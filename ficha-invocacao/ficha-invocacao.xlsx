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CAÇÃO" sheetId="1" state="visible" r:id="rId1"/>
    <sheet xmlns:r="http://schemas.openxmlformats.org/officeDocument/2006/relationships" name="CATÁLOGO" sheetId="2" state="visible" r:id="rId2"/>
    <sheet xmlns:r="http://schemas.openxmlformats.org/officeDocument/2006/relationships" name="DAD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4">
    <font>
      <name val="Roboto"/>
      <color rgb="00F4F1F7"/>
      <sz val="12"/>
    </font>
    <font>
      <name val="Oswald"/>
      <color rgb="00998BA9"/>
      <sz val="9"/>
    </font>
    <font>
      <name val="Roboto"/>
      <color rgb="00F4F1F7"/>
      <sz val="12"/>
    </font>
    <font>
      <name val="Roboto"/>
      <color rgb="00998BA9"/>
      <sz val="9"/>
    </font>
    <font>
      <name val="Oswald"/>
      <color rgb="00493F54"/>
      <sz val="11"/>
    </font>
    <font>
      <name val="Oswald"/>
      <color rgb="00E8DCD4"/>
      <sz val="18"/>
    </font>
    <font>
      <name val="Courier New"/>
      <color rgb="00998BA9"/>
      <sz val="8"/>
    </font>
    <font>
      <name val="Oswald"/>
      <color rgb="003D2E78"/>
      <sz val="22"/>
    </font>
    <font>
      <name val="Oswald"/>
      <color rgb="00756588"/>
      <sz val="12"/>
    </font>
    <font>
      <name val="Oswald"/>
      <color rgb="00998BA9"/>
      <sz val="8"/>
    </font>
    <font>
      <name val="Castoro"/>
      <color rgb="00E8DCD4"/>
      <sz val="20"/>
    </font>
    <font>
      <name val="Castoro"/>
      <color rgb="00E8DCD4"/>
      <sz val="16"/>
    </font>
    <font>
      <name val="Oswald"/>
      <color rgb="00F4F1F7"/>
      <sz val="16"/>
    </font>
    <font>
      <name val="Roboto"/>
      <color rgb="00998BA9"/>
      <sz val="8"/>
    </font>
    <font>
      <name val="Castoro"/>
      <color rgb="00E8DCD4"/>
      <sz val="18"/>
    </font>
    <font>
      <name val="Castoro"/>
      <color rgb="00E8DCD4"/>
      <sz val="12"/>
    </font>
    <font>
      <name val="Oswald"/>
      <color rgb="00E8DCD4"/>
      <sz val="24"/>
    </font>
    <font>
      <name val="Oswald"/>
      <color rgb="00F4F1F7"/>
      <sz val="12"/>
    </font>
    <font>
      <name val="Oswald"/>
      <color rgb="00D89B3A"/>
      <sz val="12"/>
    </font>
    <font>
      <name val="Castoro"/>
      <color rgb="00F4F1F7"/>
      <sz val="11"/>
    </font>
    <font>
      <name val="Oswald"/>
      <color rgb="00E8DCD4"/>
      <sz val="12"/>
    </font>
    <font>
      <name val="Oswald"/>
      <color rgb="00F4F1F7"/>
      <sz val="20"/>
    </font>
    <font>
      <name val="Oswald"/>
      <color rgb="00F4F1F7"/>
      <sz val="14"/>
    </font>
    <font>
      <name val="Roboto"/>
      <color rgb="00F4F1F7"/>
      <sz val="9"/>
    </font>
    <font>
      <name val="Oswald"/>
      <color rgb="00756588"/>
      <sz val="9"/>
    </font>
    <font>
      <name val="Roboto"/>
      <color rgb="00E8DCD4"/>
      <sz val="11"/>
    </font>
    <font>
      <name val="Oswald"/>
      <color rgb="00998BA9"/>
      <sz val="11"/>
    </font>
    <font>
      <name val="Oswald"/>
      <color rgb="00D89B3A"/>
      <sz val="14"/>
    </font>
    <font>
      <name val="Roboto"/>
      <color rgb="00F4F1F7"/>
      <sz val="10"/>
    </font>
    <font>
      <name val="Oswald"/>
      <color rgb="00D89B3A"/>
      <sz val="10"/>
    </font>
    <font>
      <name val="Oswald"/>
      <color rgb="00E8DCD4"/>
      <sz val="16"/>
    </font>
    <font>
      <name val="Oswald"/>
      <color rgb="00E8DCD4"/>
      <sz val="11"/>
    </font>
    <font>
      <name val="Castoro"/>
      <color rgb="00E8DCD4"/>
      <sz val="10"/>
    </font>
    <font>
      <name val="Oswald"/>
      <color rgb="00D89B3A"/>
      <sz val="9"/>
    </font>
  </fonts>
  <fills count="6">
    <fill>
      <patternFill/>
    </fill>
    <fill>
      <patternFill patternType="gray125"/>
    </fill>
    <fill>
      <patternFill patternType="solid">
        <fgColor rgb="00120F1D"/>
        <bgColor rgb="00120F1D"/>
      </patternFill>
    </fill>
    <fill>
      <patternFill patternType="solid">
        <fgColor rgb="000A0810"/>
        <bgColor rgb="000A0810"/>
      </patternFill>
    </fill>
    <fill>
      <patternFill patternType="solid">
        <fgColor rgb="003D2E78"/>
        <bgColor rgb="003D2E78"/>
      </patternFill>
    </fill>
    <fill>
      <patternFill patternType="solid">
        <fgColor rgb="001E1733"/>
        <bgColor rgb="001E1733"/>
      </patternFill>
    </fill>
  </fills>
  <borders count="3">
    <border>
      <left/>
      <right/>
      <top/>
      <bottom/>
      <diagonal/>
    </border>
    <border>
      <top style="thin">
        <color rgb="00493F54"/>
      </top>
    </border>
    <border>
      <left/>
      <right/>
      <top style="thin">
        <color rgb="00493F54"/>
      </top>
      <bottom/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5" fillId="4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right" vertical="center"/>
    </xf>
    <xf numFmtId="0" fontId="0" fillId="2" borderId="0" pivotButton="0" quotePrefix="0" xfId="0"/>
    <xf numFmtId="0" fontId="7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/>
    </xf>
    <xf numFmtId="0" fontId="10" fillId="2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center" vertical="center" textRotation="90"/>
    </xf>
    <xf numFmtId="0" fontId="0" fillId="2" borderId="1" pivotButton="0" quotePrefix="0" xfId="0"/>
    <xf numFmtId="0" fontId="13" fillId="2" borderId="0" applyAlignment="1" pivotButton="0" quotePrefix="0" xfId="0">
      <alignment horizontal="left" vertical="center"/>
    </xf>
    <xf numFmtId="0" fontId="14" fillId="2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right" vertical="center"/>
    </xf>
    <xf numFmtId="0" fontId="2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/>
    </xf>
    <xf numFmtId="0" fontId="25" fillId="5" borderId="0" applyAlignment="1" pivotButton="0" quotePrefix="0" xfId="0">
      <alignment horizontal="left" vertical="center"/>
    </xf>
    <xf numFmtId="0" fontId="26" fillId="5" borderId="0" applyAlignment="1" pivotButton="0" quotePrefix="0" xfId="0">
      <alignment horizontal="right" vertical="center"/>
    </xf>
    <xf numFmtId="0" fontId="25" fillId="4" borderId="0" applyAlignment="1" pivotButton="0" quotePrefix="0" xfId="0">
      <alignment horizontal="left" vertical="center"/>
    </xf>
    <xf numFmtId="0" fontId="26" fillId="4" borderId="0" applyAlignment="1" pivotButton="0" quotePrefix="0" xfId="0">
      <alignment horizontal="right" vertical="center"/>
    </xf>
    <xf numFmtId="0" fontId="27" fillId="2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left" vertical="center"/>
    </xf>
    <xf numFmtId="0" fontId="1" fillId="5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left" vertical="center"/>
    </xf>
    <xf numFmtId="0" fontId="1" fillId="4" borderId="0" applyAlignment="1" pivotButton="0" quotePrefix="0" xfId="0">
      <alignment horizontal="left" vertical="center"/>
    </xf>
    <xf numFmtId="0" fontId="28" fillId="4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29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23" fillId="5" borderId="0" applyAlignment="1" pivotButton="0" quotePrefix="0" xfId="0">
      <alignment horizontal="left" vertical="center"/>
    </xf>
    <xf numFmtId="0" fontId="13" fillId="5" borderId="0" applyAlignment="1" pivotButton="0" quotePrefix="0" xfId="0">
      <alignment horizontal="left" vertical="center"/>
    </xf>
    <xf numFmtId="0" fontId="30" fillId="4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31" fillId="5" borderId="1" applyAlignment="1" pivotButton="0" quotePrefix="0" xfId="0">
      <alignment horizontal="center" vertical="center"/>
    </xf>
    <xf numFmtId="0" fontId="0" fillId="0" borderId="2" pivotButton="0" quotePrefix="0" xfId="0"/>
    <xf numFmtId="0" fontId="32" fillId="5" borderId="1" applyAlignment="1" pivotButton="0" quotePrefix="0" xfId="0">
      <alignment horizontal="left" vertical="center"/>
    </xf>
    <xf numFmtId="0" fontId="23" fillId="5" borderId="1" applyAlignment="1" pivotButton="0" quotePrefix="0" xfId="0">
      <alignment horizontal="left" vertical="center"/>
    </xf>
    <xf numFmtId="0" fontId="31" fillId="4" borderId="0" applyAlignment="1" pivotButton="0" quotePrefix="0" xfId="0">
      <alignment horizontal="center" vertical="center"/>
    </xf>
    <xf numFmtId="0" fontId="32" fillId="4" borderId="0" applyAlignment="1" pivotButton="0" quotePrefix="0" xfId="0">
      <alignment horizontal="left" vertical="center"/>
    </xf>
    <xf numFmtId="0" fontId="23" fillId="4" borderId="0" applyAlignment="1" pivotButton="0" quotePrefix="0" xfId="0">
      <alignment horizontal="left" vertical="center"/>
    </xf>
    <xf numFmtId="0" fontId="31" fillId="5" borderId="0" applyAlignment="1" pivotButton="0" quotePrefix="0" xfId="0">
      <alignment horizontal="center" vertical="center"/>
    </xf>
    <xf numFmtId="0" fontId="32" fillId="5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33" fillId="2" borderId="0" applyAlignment="1" pivotButton="0" quotePrefix="0" xfId="0">
      <alignment horizontal="left" vertical="center"/>
    </xf>
    <xf numFmtId="0" fontId="32" fillId="2" borderId="0" applyAlignment="1" pivotButton="0" quotePrefix="0" xfId="0">
      <alignment horizontal="left" vertical="center"/>
    </xf>
    <xf numFmtId="0" fontId="32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T10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1" t="n"/>
      <c r="B1" s="1" t="n"/>
      <c r="C1" s="2" t="n"/>
      <c r="D1" s="3" t="inlineStr">
        <is>
          <t>A FICHA DA INVOCAÇÃO</t>
        </is>
      </c>
      <c r="AE1" s="2" t="n"/>
      <c r="AF1" s="4" t="inlineStr">
        <is>
          <t>capítulo 16 · sistema v0.200, e os dois capitulos conferidos IDENTICOS na 0.205</t>
        </is>
      </c>
    </row>
    <row r="2" ht="15" customHeight="1">
      <c r="A2" s="1" t="n"/>
      <c r="B2" s="1" t="n"/>
      <c r="C2" s="2" t="n"/>
      <c r="AE2" s="2" t="n"/>
    </row>
    <row r="3" ht="15" customHeight="1">
      <c r="A3" s="1" t="n"/>
      <c r="B3" s="1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</row>
    <row r="4" ht="15" customHeight="1">
      <c r="A4" s="1" t="n"/>
      <c r="B4" s="1" t="n"/>
      <c r="C4" s="5" t="n"/>
      <c r="D4" s="6" t="inlineStr">
        <is>
          <t>01</t>
        </is>
      </c>
      <c r="G4" s="7" t="inlineStr">
        <is>
          <t>O DONO — o que a ficha dele decide</t>
        </is>
      </c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</row>
    <row r="5" ht="15" customHeight="1">
      <c r="A5" s="1" t="n"/>
      <c r="B5" s="1" t="n"/>
      <c r="C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</row>
    <row r="6" ht="15" customHeight="1">
      <c r="A6" s="1" t="n"/>
      <c r="B6" s="1" t="n"/>
      <c r="C6" s="5" t="n"/>
      <c r="D6" s="8" t="inlineStr">
        <is>
          <t>NÍVEL DO DONO</t>
        </is>
      </c>
      <c r="J6" s="5" t="n"/>
      <c r="K6" s="8" t="inlineStr">
        <is>
          <t>ESSÊNCIA DELE</t>
        </is>
      </c>
      <c r="Q6" s="5" t="n"/>
      <c r="R6" s="8" t="inlineStr">
        <is>
          <t>INTELIGÊNCIA DELE</t>
        </is>
      </c>
      <c r="X6" s="5" t="n"/>
      <c r="Y6" s="8" t="inlineStr">
        <is>
          <t>MAESTRIA</t>
        </is>
      </c>
      <c r="AE6" s="5" t="n"/>
      <c r="AF6" s="8" t="inlineStr">
        <is>
          <t>MARCOS</t>
        </is>
      </c>
      <c r="AL6" s="5" t="n"/>
      <c r="AM6" s="8" t="inlineStr">
        <is>
          <t>MAIOR CLASSE · PE DE INVOCAR</t>
        </is>
      </c>
      <c r="AT6" s="5" t="n"/>
    </row>
    <row r="7" ht="15" customHeight="1">
      <c r="A7" s="1" t="n"/>
      <c r="B7" s="1" t="n"/>
      <c r="C7" s="5" t="n"/>
      <c r="D7" s="9" t="n">
        <v>2</v>
      </c>
      <c r="J7" s="5" t="n"/>
      <c r="K7" s="10" t="n">
        <v>0</v>
      </c>
      <c r="Q7" s="5" t="n"/>
      <c r="R7" s="10" t="n">
        <v>0</v>
      </c>
      <c r="X7" s="5" t="n"/>
      <c r="Y7" s="11">
        <f>(1+COUNTIF(DADOS!$AH$3:$AH$5,"&lt;="&amp;$D$7))</f>
        <v/>
      </c>
      <c r="AE7" s="5" t="n"/>
      <c r="AF7" s="11">
        <f>COUNTIF(DADOS!$AG$3:$AG$9,"&lt;="&amp;$D$7)</f>
        <v/>
      </c>
      <c r="AL7" s="5" t="n"/>
      <c r="AM7" s="11">
        <f>COUNTIF(DADOS!$AI$3:$AI$9,"&lt;="&amp;$D$7)</f>
        <v/>
      </c>
      <c r="AT7" s="5" t="n"/>
    </row>
    <row r="8" ht="15" customHeight="1">
      <c r="A8" s="12" t="inlineStr">
        <is>
          <t>INVOCAÇÃO</t>
        </is>
      </c>
      <c r="C8" s="5" t="n"/>
      <c r="D8" s="13" t="n"/>
      <c r="E8" s="13" t="n"/>
      <c r="F8" s="13" t="n"/>
      <c r="G8" s="13" t="n"/>
      <c r="H8" s="13" t="n"/>
      <c r="I8" s="13" t="n"/>
      <c r="J8" s="5" t="n"/>
      <c r="K8" s="13" t="n"/>
      <c r="L8" s="13" t="n"/>
      <c r="M8" s="13" t="n"/>
      <c r="N8" s="13" t="n"/>
      <c r="O8" s="13" t="n"/>
      <c r="P8" s="13" t="n"/>
      <c r="Q8" s="5" t="n"/>
      <c r="R8" s="13" t="n"/>
      <c r="S8" s="13" t="n"/>
      <c r="T8" s="13" t="n"/>
      <c r="U8" s="13" t="n"/>
      <c r="V8" s="13" t="n"/>
      <c r="W8" s="13" t="n"/>
      <c r="X8" s="5" t="n"/>
      <c r="Y8" s="13" t="n"/>
      <c r="Z8" s="13" t="n"/>
      <c r="AA8" s="13" t="n"/>
      <c r="AB8" s="13" t="n"/>
      <c r="AC8" s="13" t="n"/>
      <c r="AD8" s="13" t="n"/>
      <c r="AE8" s="5" t="n"/>
      <c r="AF8" s="13" t="n"/>
      <c r="AG8" s="13" t="n"/>
      <c r="AH8" s="13" t="n"/>
      <c r="AI8" s="13" t="n"/>
      <c r="AJ8" s="13" t="n"/>
      <c r="AK8" s="13" t="n"/>
      <c r="AL8" s="5" t="n"/>
      <c r="AM8" s="13" t="n"/>
      <c r="AN8" s="13" t="n"/>
      <c r="AO8" s="13" t="n"/>
      <c r="AP8" s="13" t="n"/>
      <c r="AQ8" s="13" t="n"/>
      <c r="AR8" s="13" t="n"/>
      <c r="AS8" s="13" t="n"/>
      <c r="AT8" s="5" t="n"/>
    </row>
    <row r="9" ht="15" customHeight="1">
      <c r="C9" s="5" t="n"/>
      <c r="D9" s="14" t="inlineStr">
        <is>
          <t>estas três da esquerda você digita; no dia em que isto virar aba da ficha grande, elas puxam da FICHA por fórmula e nada mais muda.</t>
        </is>
      </c>
    </row>
    <row r="10" ht="15" customHeight="1"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</row>
    <row r="11" ht="15" customHeight="1">
      <c r="C11" s="5" t="n"/>
      <c r="D11" s="6" t="inlineStr">
        <is>
          <t>02</t>
        </is>
      </c>
      <c r="G11" s="7" t="inlineStr">
        <is>
          <t>A INVOCAÇÃO</t>
        </is>
      </c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</row>
    <row r="12" ht="15" customHeight="1">
      <c r="C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</row>
    <row r="13" ht="15" customHeight="1">
      <c r="C13" s="5" t="n"/>
      <c r="D13" s="8" t="inlineStr">
        <is>
          <t>NOME</t>
        </is>
      </c>
      <c r="P13" s="5" t="n"/>
      <c r="Q13" s="8" t="inlineStr">
        <is>
          <t>TIPO</t>
        </is>
      </c>
      <c r="Z13" s="5" t="n"/>
      <c r="AA13" s="8" t="inlineStr">
        <is>
          <t>TRILHA</t>
        </is>
      </c>
      <c r="AH13" s="5" t="n"/>
      <c r="AI13" s="8" t="inlineStr">
        <is>
          <t>SINTONIA</t>
        </is>
      </c>
      <c r="AT13" s="5" t="n"/>
    </row>
    <row r="14" ht="15" customHeight="1">
      <c r="C14" s="5" t="n"/>
      <c r="D14" s="15" t="n"/>
      <c r="P14" s="5" t="n"/>
      <c r="Q14" s="16" t="n"/>
      <c r="Z14" s="5" t="n"/>
      <c r="AA14" s="16" t="n"/>
      <c r="AH14" s="5" t="n"/>
      <c r="AI14" s="16" t="inlineStr">
        <is>
          <t>—</t>
        </is>
      </c>
      <c r="AT14" s="5" t="n"/>
    </row>
    <row r="15" ht="15" customHeight="1">
      <c r="C15" s="5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5" t="n"/>
      <c r="Q15" s="13" t="n"/>
      <c r="R15" s="13" t="n"/>
      <c r="S15" s="13" t="n"/>
      <c r="T15" s="13" t="n"/>
      <c r="U15" s="13" t="n"/>
      <c r="V15" s="13" t="n"/>
      <c r="W15" s="13" t="n"/>
      <c r="X15" s="13" t="n"/>
      <c r="Y15" s="13" t="n"/>
      <c r="Z15" s="5" t="n"/>
      <c r="AA15" s="13" t="n"/>
      <c r="AB15" s="13" t="n"/>
      <c r="AC15" s="13" t="n"/>
      <c r="AD15" s="13" t="n"/>
      <c r="AE15" s="13" t="n"/>
      <c r="AF15" s="13" t="n"/>
      <c r="AG15" s="13" t="n"/>
      <c r="AH15" s="5" t="n"/>
      <c r="AI15" s="13" t="n"/>
      <c r="AJ15" s="13" t="n"/>
      <c r="AK15" s="13" t="n"/>
      <c r="AL15" s="13" t="n"/>
      <c r="AM15" s="13" t="n"/>
      <c r="AN15" s="13" t="n"/>
      <c r="AO15" s="13" t="n"/>
      <c r="AP15" s="13" t="n"/>
      <c r="AQ15" s="13" t="n"/>
      <c r="AR15" s="13" t="n"/>
      <c r="AS15" s="13" t="n"/>
      <c r="AT15" s="5" t="n"/>
    </row>
    <row r="16" ht="15" customHeight="1">
      <c r="C16" s="5" t="n"/>
      <c r="D16" s="14" t="inlineStr">
        <is>
          <t>a Sintonia é o degrau de nível 2 do Evocador, e as três rotas dela mexem nesta ficha: Presa as suas invocacoes acertam critico com 19 ou 20 · Parrudo as suas invocacoes tem mais vida, equivalente a 5 x a sua maestria · Voz a CD dos efeitos das suas invocacoes sobe em 1, e vira metade da sua maestria a partir do nivel 7</t>
        </is>
      </c>
    </row>
    <row r="17" ht="15" customHeight="1">
      <c r="C17" s="5" t="n"/>
    </row>
    <row r="18" ht="15" customHeight="1"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</row>
    <row r="19" ht="15" customHeight="1">
      <c r="C19" s="5" t="n"/>
      <c r="D19" s="6" t="inlineStr">
        <is>
          <t>03</t>
        </is>
      </c>
      <c r="G19" s="7" t="inlineStr">
        <is>
          <t>OS ATRIBUTOS DELA — são dela, e ela não copia os seus</t>
        </is>
      </c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</row>
    <row r="20" ht="15" customHeight="1">
      <c r="C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</row>
    <row r="21" ht="15" customHeight="1">
      <c r="C21" s="5" t="n"/>
      <c r="D21" s="8" t="inlineStr">
        <is>
          <t>FORÇA</t>
        </is>
      </c>
      <c r="J21" s="5" t="n"/>
      <c r="K21" s="8" t="inlineStr">
        <is>
          <t>DESTREZA</t>
        </is>
      </c>
      <c r="Q21" s="5" t="n"/>
      <c r="R21" s="8" t="inlineStr">
        <is>
          <t>CONSTITUIÇÃO</t>
        </is>
      </c>
      <c r="X21" s="5" t="n"/>
      <c r="Y21" s="8" t="inlineStr">
        <is>
          <t>INTELIGÊNCIA</t>
        </is>
      </c>
      <c r="AE21" s="5" t="n"/>
      <c r="AF21" s="8" t="inlineStr">
        <is>
          <t>ESSÊNCIA</t>
        </is>
      </c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</row>
    <row r="22" ht="15" customHeight="1">
      <c r="C22" s="5" t="n"/>
      <c r="D22" s="17" t="n">
        <v>0</v>
      </c>
      <c r="J22" s="5" t="n"/>
      <c r="K22" s="17" t="n">
        <v>0</v>
      </c>
      <c r="Q22" s="5" t="n"/>
      <c r="R22" s="17" t="n">
        <v>0</v>
      </c>
      <c r="X22" s="5" t="n"/>
      <c r="Y22" s="17" t="n">
        <v>0</v>
      </c>
      <c r="AE22" s="5" t="n"/>
      <c r="AF22" s="17" t="n">
        <v>0</v>
      </c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</row>
    <row r="23" ht="15" customHeight="1">
      <c r="C23" s="5" t="n"/>
      <c r="J23" s="5" t="n"/>
      <c r="Q23" s="5" t="n"/>
      <c r="X23" s="5" t="n"/>
      <c r="AE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</row>
    <row r="24" ht="15" customHeight="1">
      <c r="C24" s="5" t="n"/>
      <c r="D24" s="13" t="n"/>
      <c r="E24" s="13" t="n"/>
      <c r="F24" s="13" t="n"/>
      <c r="G24" s="13" t="n"/>
      <c r="H24" s="13" t="n"/>
      <c r="I24" s="13" t="n"/>
      <c r="J24" s="5" t="n"/>
      <c r="K24" s="13" t="n"/>
      <c r="L24" s="13" t="n"/>
      <c r="M24" s="13" t="n"/>
      <c r="N24" s="13" t="n"/>
      <c r="O24" s="13" t="n"/>
      <c r="P24" s="13" t="n"/>
      <c r="Q24" s="5" t="n"/>
      <c r="R24" s="13" t="n"/>
      <c r="S24" s="13" t="n"/>
      <c r="T24" s="13" t="n"/>
      <c r="U24" s="13" t="n"/>
      <c r="V24" s="13" t="n"/>
      <c r="W24" s="13" t="n"/>
      <c r="X24" s="5" t="n"/>
      <c r="Y24" s="13" t="n"/>
      <c r="Z24" s="13" t="n"/>
      <c r="AA24" s="13" t="n"/>
      <c r="AB24" s="13" t="n"/>
      <c r="AC24" s="13" t="n"/>
      <c r="AD24" s="13" t="n"/>
      <c r="AE24" s="5" t="n"/>
      <c r="AF24" s="13" t="n"/>
      <c r="AG24" s="13" t="n"/>
      <c r="AH24" s="13" t="n"/>
      <c r="AI24" s="13" t="n"/>
      <c r="AJ24" s="13" t="n"/>
      <c r="AK24" s="13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</row>
    <row r="25" ht="15" customHeight="1">
      <c r="C25" s="5" t="n"/>
      <c r="D25" s="8" t="inlineStr">
        <is>
          <t>PONTOS GASTOS · DE</t>
        </is>
      </c>
      <c r="M25" s="5" t="n"/>
      <c r="N25" s="8" t="inlineStr">
        <is>
          <t>DISPONÍVEIS</t>
        </is>
      </c>
      <c r="W25" s="5" t="n"/>
      <c r="X25" s="8" t="inlineStr">
        <is>
          <t>CONFERÊNCIA</t>
        </is>
      </c>
      <c r="AS25" s="5" t="n"/>
      <c r="AT25" s="5" t="n"/>
    </row>
    <row r="26" ht="15" customHeight="1">
      <c r="C26" s="5" t="n"/>
      <c r="D26" s="18">
        <f>$D$22+$K$22+$R$22+$Y$22+$AF$22</f>
        <v/>
      </c>
      <c r="M26" s="5" t="n"/>
      <c r="N26" s="18">
        <f>(9+$AF$7)</f>
        <v/>
      </c>
      <c r="W26" s="5" t="n"/>
      <c r="X26" s="19">
        <f>IF($D$22+$K$22+$R$22+$Y$22+$AF$22&gt;(9+$AF$7),"estourou o total",IF(MAX($D$22,$K$22,$R$22,$Y$22,$AF$22)&gt;6,"estourou o teto de 6",IF($D$22+$K$22+$R$22+$Y$22+$AF$22&lt;(9+$AF$7),"sobrou ponto","ok")))</f>
        <v/>
      </c>
      <c r="AS26" s="5" t="n"/>
      <c r="AT26" s="5" t="n"/>
    </row>
    <row r="27" ht="15" customHeight="1">
      <c r="A27" s="1" t="n"/>
      <c r="B27" s="1" t="n"/>
      <c r="C27" s="5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5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  <c r="W27" s="5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3" t="n"/>
      <c r="AI27" s="13" t="n"/>
      <c r="AJ27" s="13" t="n"/>
      <c r="AK27" s="13" t="n"/>
      <c r="AL27" s="13" t="n"/>
      <c r="AM27" s="13" t="n"/>
      <c r="AN27" s="13" t="n"/>
      <c r="AO27" s="13" t="n"/>
      <c r="AP27" s="13" t="n"/>
      <c r="AQ27" s="13" t="n"/>
      <c r="AR27" s="13" t="n"/>
      <c r="AS27" s="5" t="n"/>
      <c r="AT27" s="5" t="n"/>
    </row>
    <row r="28" ht="15" customHeight="1">
      <c r="A28" s="1" t="n"/>
      <c r="B28" s="1" t="n"/>
      <c r="C28" s="5" t="n"/>
      <c r="D28" s="14" t="inlineStr">
        <is>
          <t>9 pontos na criação com teto 3, mais 1 por marco, teto 6. Mesma regra da sua ficha.</t>
        </is>
      </c>
    </row>
    <row r="29" ht="15" customHeight="1">
      <c r="A29" s="1" t="n"/>
      <c r="B29" s="1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</row>
    <row r="30" ht="15" customHeight="1">
      <c r="A30" s="12" t="inlineStr">
        <is>
          <t>PROJETO - M</t>
        </is>
      </c>
      <c r="C30" s="5" t="n"/>
      <c r="D30" s="6" t="inlineStr">
        <is>
          <t>04</t>
        </is>
      </c>
      <c r="G30" s="7" t="inlineStr">
        <is>
          <t>O QUE ENCARA O DADO — o número é dela, o ritmo é seu</t>
        </is>
      </c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</row>
    <row r="31" ht="15" customHeight="1">
      <c r="C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</row>
    <row r="32" ht="15" customHeight="1">
      <c r="C32" s="5" t="n"/>
      <c r="D32" s="8" t="inlineStr">
        <is>
          <t>ATRIBUTO DO ACERTO</t>
        </is>
      </c>
      <c r="M32" s="5" t="n"/>
      <c r="N32" s="8" t="inlineStr">
        <is>
          <t>ACERTO</t>
        </is>
      </c>
      <c r="T32" s="5" t="n"/>
      <c r="U32" s="8" t="inlineStr">
        <is>
          <t>DEFESA USA, DELE</t>
        </is>
      </c>
      <c r="AE32" s="5" t="n"/>
      <c r="AF32" s="8" t="inlineStr">
        <is>
          <t>DEFESA</t>
        </is>
      </c>
      <c r="AL32" s="5" t="n"/>
      <c r="AM32" s="8" t="inlineStr">
        <is>
          <t>CRÍTICO COM</t>
        </is>
      </c>
      <c r="AT32" s="5" t="n"/>
    </row>
    <row r="33" ht="15" customHeight="1">
      <c r="C33" s="5" t="n"/>
      <c r="D33" s="16" t="n"/>
      <c r="M33" s="5" t="n"/>
      <c r="N33" s="11">
        <f>IF($D$33="","",INDEX(DADOS!$AK$3:$AK$7,MATCH($D$33,DADOS!$C$2:$C$6,0))+$Y$7)</f>
        <v/>
      </c>
      <c r="T33" s="5" t="n"/>
      <c r="U33" s="16" t="n"/>
      <c r="AE33" s="5" t="n"/>
      <c r="AF33" s="11">
        <f>10+$K$22+FLOOR(IF($U$33="Essência",$K$7,$R$7)/2,1)</f>
        <v/>
      </c>
      <c r="AL33" s="5" t="n"/>
      <c r="AM33" s="18">
        <f>IF($AI$14="Presa","19 ou 20","20")</f>
        <v/>
      </c>
      <c r="AT33" s="5" t="n"/>
    </row>
    <row r="34" ht="15" customHeight="1">
      <c r="C34" s="5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5" t="n"/>
      <c r="N34" s="13" t="n"/>
      <c r="O34" s="13" t="n"/>
      <c r="P34" s="13" t="n"/>
      <c r="Q34" s="13" t="n"/>
      <c r="R34" s="13" t="n"/>
      <c r="S34" s="13" t="n"/>
      <c r="T34" s="5" t="n"/>
      <c r="U34" s="13" t="n"/>
      <c r="V34" s="13" t="n"/>
      <c r="W34" s="13" t="n"/>
      <c r="X34" s="13" t="n"/>
      <c r="Y34" s="13" t="n"/>
      <c r="Z34" s="13" t="n"/>
      <c r="AA34" s="13" t="n"/>
      <c r="AB34" s="13" t="n"/>
      <c r="AC34" s="13" t="n"/>
      <c r="AD34" s="13" t="n"/>
      <c r="AE34" s="5" t="n"/>
      <c r="AF34" s="13" t="n"/>
      <c r="AG34" s="13" t="n"/>
      <c r="AH34" s="13" t="n"/>
      <c r="AI34" s="13" t="n"/>
      <c r="AJ34" s="13" t="n"/>
      <c r="AK34" s="13" t="n"/>
      <c r="AL34" s="5" t="n"/>
      <c r="AM34" s="13" t="n"/>
      <c r="AN34" s="13" t="n"/>
      <c r="AO34" s="13" t="n"/>
      <c r="AP34" s="13" t="n"/>
      <c r="AQ34" s="13" t="n"/>
      <c r="AR34" s="13" t="n"/>
      <c r="AS34" s="13" t="n"/>
      <c r="AT34" s="5" t="n"/>
    </row>
    <row r="35" ht="15" customHeight="1">
      <c r="C35" s="5" t="n"/>
      <c r="D35" s="14" t="inlineStr">
        <is>
          <t>acerto e Teste de Resistência rolam d20 + isto. A Defesa é passiva, e a maestria não entra nela.</t>
        </is>
      </c>
    </row>
    <row r="36" ht="15" customHeight="1">
      <c r="C36" s="5" t="n"/>
      <c r="D36" s="8" t="inlineStr">
        <is>
          <t>QUAL TR ELA TREINA</t>
        </is>
      </c>
      <c r="M36" s="5" t="n"/>
      <c r="N36" s="8" t="inlineStr">
        <is>
          <t>O FÍSICO DELA USA</t>
        </is>
      </c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</row>
    <row r="37" ht="15" customHeight="1">
      <c r="C37" s="5" t="n"/>
      <c r="D37" s="16" t="n"/>
      <c r="M37" s="5" t="n"/>
      <c r="N37" s="16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</row>
    <row r="38" ht="15" customHeight="1">
      <c r="C38" s="5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5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</row>
    <row r="39" ht="15" customHeight="1">
      <c r="C39" s="5" t="n"/>
      <c r="D39" s="20" t="inlineStr">
        <is>
          <t>Físico</t>
        </is>
      </c>
      <c r="O39" s="21">
        <f>IFERROR(INDEX(DADOS!$AK$3:$AK$7,MATCH($N$37,DADOS!$C$2:$C$6,0))+IF($D$37="Físico",$Y$7,0),"")</f>
        <v/>
      </c>
      <c r="T39" s="5" t="n"/>
      <c r="U39" s="5" t="n"/>
      <c r="V39" s="5" t="n"/>
      <c r="W39" s="5" t="n"/>
      <c r="X39" s="20" t="inlineStr">
        <is>
          <t>Vigor</t>
        </is>
      </c>
      <c r="AI39" s="21">
        <f>IFERROR(INDEX(DADOS!$AK$3:$AK$7,MATCH("Constituição",DADOS!$C$2:$C$6,0))+IF($D$37="Vigor",$Y$7,0),"")</f>
        <v/>
      </c>
      <c r="AN39" s="5" t="n"/>
      <c r="AO39" s="5" t="n"/>
      <c r="AP39" s="5" t="n"/>
      <c r="AQ39" s="5" t="n"/>
      <c r="AR39" s="5" t="n"/>
      <c r="AS39" s="5" t="n"/>
      <c r="AT39" s="5" t="n"/>
    </row>
    <row r="40" ht="15" customHeight="1">
      <c r="C40" s="5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5" t="n"/>
      <c r="U40" s="5" t="n"/>
      <c r="V40" s="5" t="n"/>
      <c r="W40" s="5" t="n"/>
      <c r="X40" s="13" t="n"/>
      <c r="Y40" s="13" t="n"/>
      <c r="Z40" s="13" t="n"/>
      <c r="AA40" s="13" t="n"/>
      <c r="AB40" s="13" t="n"/>
      <c r="AC40" s="13" t="n"/>
      <c r="AD40" s="13" t="n"/>
      <c r="AE40" s="13" t="n"/>
      <c r="AF40" s="13" t="n"/>
      <c r="AG40" s="13" t="n"/>
      <c r="AH40" s="13" t="n"/>
      <c r="AI40" s="13" t="n"/>
      <c r="AJ40" s="13" t="n"/>
      <c r="AK40" s="13" t="n"/>
      <c r="AL40" s="13" t="n"/>
      <c r="AM40" s="13" t="n"/>
      <c r="AN40" s="5" t="n"/>
      <c r="AO40" s="5" t="n"/>
      <c r="AP40" s="5" t="n"/>
      <c r="AQ40" s="5" t="n"/>
      <c r="AR40" s="5" t="n"/>
      <c r="AS40" s="5" t="n"/>
      <c r="AT40" s="5" t="n"/>
    </row>
    <row r="41" ht="15" customHeight="1">
      <c r="C41" s="5" t="n"/>
      <c r="D41" s="20" t="inlineStr">
        <is>
          <t>Intelecto</t>
        </is>
      </c>
      <c r="O41" s="21">
        <f>IFERROR(INDEX(DADOS!$AK$3:$AK$7,MATCH("Inteligência",DADOS!$C$2:$C$6,0))+IF($D$37="Intelecto",$Y$7,0),"")</f>
        <v/>
      </c>
      <c r="T41" s="5" t="n"/>
      <c r="U41" s="5" t="n"/>
      <c r="V41" s="5" t="n"/>
      <c r="W41" s="5" t="n"/>
      <c r="X41" s="20" t="inlineStr">
        <is>
          <t>Espírito</t>
        </is>
      </c>
      <c r="AI41" s="21">
        <f>IFERROR(INDEX(DADOS!$AK$3:$AK$7,MATCH("Essência",DADOS!$C$2:$C$6,0))+IF($D$37="Espírito",$Y$7,0),"")</f>
        <v/>
      </c>
      <c r="AN41" s="5" t="n"/>
      <c r="AO41" s="5" t="n"/>
      <c r="AP41" s="5" t="n"/>
      <c r="AQ41" s="5" t="n"/>
      <c r="AR41" s="5" t="n"/>
      <c r="AS41" s="5" t="n"/>
      <c r="AT41" s="5" t="n"/>
    </row>
    <row r="42" ht="15" customHeight="1">
      <c r="C42" s="5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5" t="n"/>
      <c r="U42" s="5" t="n"/>
      <c r="V42" s="5" t="n"/>
      <c r="W42" s="5" t="n"/>
      <c r="X42" s="13" t="n"/>
      <c r="Y42" s="13" t="n"/>
      <c r="Z42" s="13" t="n"/>
      <c r="AA42" s="13" t="n"/>
      <c r="AB42" s="13" t="n"/>
      <c r="AC42" s="13" t="n"/>
      <c r="AD42" s="13" t="n"/>
      <c r="AE42" s="13" t="n"/>
      <c r="AF42" s="13" t="n"/>
      <c r="AG42" s="13" t="n"/>
      <c r="AH42" s="13" t="n"/>
      <c r="AI42" s="13" t="n"/>
      <c r="AJ42" s="13" t="n"/>
      <c r="AK42" s="13" t="n"/>
      <c r="AL42" s="13" t="n"/>
      <c r="AM42" s="13" t="n"/>
      <c r="AN42" s="5" t="n"/>
      <c r="AO42" s="5" t="n"/>
      <c r="AP42" s="5" t="n"/>
      <c r="AQ42" s="5" t="n"/>
      <c r="AR42" s="5" t="n"/>
      <c r="AS42" s="5" t="n"/>
      <c r="AT42" s="5" t="n"/>
    </row>
    <row r="43" ht="15" customHeight="1">
      <c r="C43" s="5" t="n"/>
      <c r="D43" s="14" t="inlineStr">
        <is>
          <t>ela treina um só. A sua maestria entra nele, e nos outros três não — igual a qualquer ficha.</t>
        </is>
      </c>
    </row>
    <row r="44" ht="15" customHeight="1"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</row>
    <row r="45" ht="15" customHeight="1">
      <c r="C45" s="5" t="n"/>
      <c r="D45" s="6" t="inlineStr">
        <is>
          <t>05</t>
        </is>
      </c>
      <c r="G45" s="7" t="inlineStr">
        <is>
          <t>VIDA E MORTE</t>
        </is>
      </c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</row>
    <row r="46" ht="15" customHeight="1">
      <c r="C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</row>
    <row r="47" ht="15" customHeight="1">
      <c r="C47" s="5" t="n"/>
      <c r="D47" s="8" t="inlineStr">
        <is>
          <t>VIDA MÁXIMA</t>
        </is>
      </c>
      <c r="K47" s="5" t="n"/>
      <c r="L47" s="8" t="inlineStr">
        <is>
          <t>VIDA AGORA</t>
        </is>
      </c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8" t="inlineStr">
        <is>
          <t>CORPOS EM CAMPO</t>
        </is>
      </c>
      <c r="AM47" s="5" t="n"/>
      <c r="AN47" s="8" t="inlineStr">
        <is>
          <t>ÁREA BATE ×</t>
        </is>
      </c>
      <c r="AT47" s="5" t="n"/>
    </row>
    <row r="48" ht="15" customHeight="1">
      <c r="C48" s="5" t="n"/>
      <c r="D48" s="22">
        <f>IF($Q$14="","",IF(IFERROR(VLOOKUP($AA$14,DADOS!$N$3:$R$5,4,FALSE),"cru")="forte",FLOOR(2.5*(IFERROR(VLOOKUP($Q$14,DADOS!$K$3:$L$6,2,FALSE),0)+2*$D$7)+$R$22*$D$7,1),(IFERROR(VLOOKUP($Q$14,DADOS!$K$3:$L$6,2,FALSE),0)+(2+$R$22)*$D$7))+IF($AI$14="Parrudo",5*$Y$7,0))</f>
        <v/>
      </c>
      <c r="K48" s="5" t="n"/>
      <c r="L48" s="9" t="n"/>
      <c r="S48" s="5" t="n"/>
      <c r="T48" s="23">
        <f>IFERROR(SPARKLINE($L$48,{"charttype","bar";"max",$D$48;"color1",IF(N($D$48)=0,"#E8DCD4",IF($L$48/$D$48&lt;=0.25,"#C2334D",IF($L$48/$D$48&lt;=0.5,"#D89B3A","#E8DCD4")))}),"")</f>
        <v/>
      </c>
      <c r="AF48" s="5" t="n"/>
      <c r="AG48" s="11">
        <f>IFERROR(VLOOKUP($AA$14,DADOS!$N$3:$R$5,2,FALSE),"")</f>
        <v/>
      </c>
      <c r="AM48" s="5" t="n"/>
      <c r="AN48" s="11">
        <f>IFERROR(VLOOKUP($AA$14,DADOS!$N$3:$R$5,5,FALSE),"")</f>
        <v/>
      </c>
      <c r="AT48" s="5" t="n"/>
    </row>
    <row r="49" ht="15" customHeight="1">
      <c r="A49" s="1" t="n"/>
      <c r="B49" s="1" t="n"/>
      <c r="C49" s="5" t="n"/>
      <c r="D49" s="13" t="n"/>
      <c r="E49" s="13" t="n"/>
      <c r="F49" s="13" t="n"/>
      <c r="G49" s="13" t="n"/>
      <c r="H49" s="13" t="n"/>
      <c r="I49" s="13" t="n"/>
      <c r="J49" s="13" t="n"/>
      <c r="K49" s="5" t="n"/>
      <c r="L49" s="13" t="n"/>
      <c r="M49" s="13" t="n"/>
      <c r="N49" s="13" t="n"/>
      <c r="O49" s="13" t="n"/>
      <c r="P49" s="13" t="n"/>
      <c r="Q49" s="13" t="n"/>
      <c r="R49" s="13" t="n"/>
      <c r="S49" s="5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5" t="n"/>
      <c r="AG49" s="13" t="n"/>
      <c r="AH49" s="13" t="n"/>
      <c r="AI49" s="13" t="n"/>
      <c r="AJ49" s="13" t="n"/>
      <c r="AK49" s="13" t="n"/>
      <c r="AL49" s="13" t="n"/>
      <c r="AM49" s="5" t="n"/>
      <c r="AN49" s="13" t="n"/>
      <c r="AO49" s="13" t="n"/>
      <c r="AP49" s="13" t="n"/>
      <c r="AQ49" s="13" t="n"/>
      <c r="AR49" s="13" t="n"/>
      <c r="AS49" s="13" t="n"/>
      <c r="AT49" s="5" t="n"/>
    </row>
    <row r="50" ht="15" customHeight="1">
      <c r="A50" s="1" t="n"/>
      <c r="B50" s="1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/>
      <c r="AS50" s="5" t="n"/>
      <c r="AT50" s="5" t="n"/>
    </row>
    <row r="51" ht="15" customHeight="1">
      <c r="A51" s="1" t="n"/>
      <c r="B51" s="1" t="n"/>
      <c r="C51" s="5" t="n"/>
      <c r="D51" s="8" t="inlineStr">
        <is>
          <t>RÉGUA DA MORTE</t>
        </is>
      </c>
      <c r="L51" s="5" t="n"/>
      <c r="M51" s="8" t="inlineStr">
        <is>
          <t>METADE DELA</t>
        </is>
      </c>
      <c r="U51" s="5" t="n"/>
      <c r="V51" s="8" t="inlineStr">
        <is>
          <t>VOLTA COM</t>
        </is>
      </c>
      <c r="AD51" s="5" t="n"/>
      <c r="AE51" s="8" t="inlineStr">
        <is>
          <t>MORRE DE VEZ SE</t>
        </is>
      </c>
    </row>
    <row r="52" ht="15" customHeight="1">
      <c r="A52" s="1" t="n"/>
      <c r="B52" s="1" t="n"/>
      <c r="C52" s="5" t="n"/>
      <c r="D52" s="24">
        <f>IF($Q$14="","",5*(IFERROR(VLOOKUP($Q$14,DADOS!$K$3:$L$6,2,FALSE),0)+(2+$R$22)*$D$7))</f>
        <v/>
      </c>
      <c r="L52" s="5" t="n"/>
      <c r="M52" s="24">
        <f>IF($Q$14="","",5*(IFERROR(VLOOKUP($Q$14,DADOS!$K$3:$L$6,2,FALSE),0)+(2+$R$22)*$D$7)/2)</f>
        <v/>
      </c>
      <c r="U52" s="5" t="n"/>
      <c r="V52" s="24">
        <f>IF($Q$14="","",FLOOR($D$48/2,1))</f>
        <v/>
      </c>
      <c r="AD52" s="5" t="n"/>
      <c r="AE52" s="25" t="inlineStr">
        <is>
          <t>o excedente passar da metade, ou um golpe só causar a régua inteira</t>
        </is>
      </c>
    </row>
    <row r="53" ht="15" customHeight="1">
      <c r="A53" s="1" t="n"/>
      <c r="B53" s="1" t="n"/>
      <c r="C53" s="5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5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5" t="n"/>
      <c r="V53" s="13" t="n"/>
      <c r="W53" s="13" t="n"/>
      <c r="X53" s="13" t="n"/>
      <c r="Y53" s="13" t="n"/>
      <c r="Z53" s="13" t="n"/>
      <c r="AA53" s="13" t="n"/>
      <c r="AB53" s="13" t="n"/>
      <c r="AC53" s="13" t="n"/>
      <c r="AD53" s="5" t="n"/>
    </row>
    <row r="54" ht="15" customHeight="1">
      <c r="A54" s="1" t="n"/>
      <c r="B54" s="1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  <c r="AQ54" s="5" t="n"/>
      <c r="AR54" s="5" t="n"/>
      <c r="AS54" s="5" t="n"/>
      <c r="AT54" s="5" t="n"/>
    </row>
    <row r="55" ht="15" customHeight="1">
      <c r="A55" s="1" t="n"/>
      <c r="B55" s="1" t="n"/>
      <c r="C55" s="5" t="n"/>
      <c r="D55" s="14" t="inlineStr">
        <is>
          <t>a régua sai da vida CRUA do tipo, nunca da do corpo forte — é a mesma para um corpo, cinco, ou o corpo grande. Ela some no zero: sem Inconsciente, sem Sequela, sem Cicatriz. A vida cheia volta no descanso longo.</t>
        </is>
      </c>
    </row>
    <row r="56" ht="15" customHeight="1">
      <c r="A56" s="1" t="n"/>
      <c r="B56" s="1" t="n"/>
      <c r="C56" s="5" t="n"/>
    </row>
    <row r="57" ht="15" customHeight="1">
      <c r="A57" s="1" t="n"/>
      <c r="B57" s="1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</row>
    <row r="58" ht="15" customHeight="1">
      <c r="A58" s="1" t="n"/>
      <c r="B58" s="1" t="n"/>
      <c r="C58" s="5" t="n"/>
      <c r="D58" s="6" t="inlineStr">
        <is>
          <t>06</t>
        </is>
      </c>
      <c r="G58" s="7" t="inlineStr">
        <is>
          <t>O ORÇAMENTO — compra o que ela FAZ, nunca número</t>
        </is>
      </c>
      <c r="AK58" s="5" t="n"/>
      <c r="AL58" s="5" t="n"/>
      <c r="AM58" s="5" t="n"/>
      <c r="AN58" s="5" t="n"/>
      <c r="AO58" s="5" t="n"/>
      <c r="AP58" s="5" t="n"/>
      <c r="AQ58" s="5" t="n"/>
      <c r="AR58" s="5" t="n"/>
      <c r="AS58" s="5" t="n"/>
      <c r="AT58" s="5" t="n"/>
    </row>
    <row r="59" ht="15" customHeight="1">
      <c r="A59" s="1" t="n"/>
      <c r="B59" s="1" t="n"/>
      <c r="C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  <c r="AQ59" s="5" t="n"/>
      <c r="AR59" s="5" t="n"/>
      <c r="AS59" s="5" t="n"/>
      <c r="AT59" s="5" t="n"/>
    </row>
    <row r="60" ht="15" customHeight="1">
      <c r="A60" s="1" t="n"/>
      <c r="B60" s="1" t="n"/>
      <c r="C60" s="5" t="n"/>
      <c r="D60" s="8" t="inlineStr">
        <is>
          <t>ORÇAMENTO</t>
        </is>
      </c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  <c r="AQ60" s="5" t="n"/>
      <c r="AR60" s="5" t="n"/>
      <c r="AS60" s="5" t="n"/>
      <c r="AT60" s="5" t="n"/>
    </row>
    <row r="61" ht="15" customHeight="1">
      <c r="A61" s="1" t="n"/>
      <c r="B61" s="1" t="n"/>
      <c r="C61" s="5" t="n"/>
      <c r="D61" s="22">
        <f>FLOOR((8+4*$AF$7)*IFERROR(VLOOKUP($AA$14,DADOS!$N$3:$R$5,3,FALSE),1),1)</f>
        <v/>
      </c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</row>
    <row r="62" ht="15" customHeight="1">
      <c r="A62" s="1" t="n"/>
      <c r="B62" s="1" t="n"/>
      <c r="C62" s="5" t="n"/>
      <c r="D62" s="13" t="n"/>
      <c r="E62" s="13" t="n"/>
      <c r="F62" s="13" t="n"/>
      <c r="G62" s="13" t="n"/>
      <c r="H62" s="13" t="n"/>
      <c r="I62" s="13" t="n"/>
      <c r="J62" s="13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</row>
    <row r="63" ht="15" customHeight="1">
      <c r="A63" s="1" t="n"/>
      <c r="B63" s="1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</row>
    <row r="64" ht="15" customHeight="1">
      <c r="A64" s="1" t="n"/>
      <c r="B64" s="1" t="n"/>
      <c r="C64" s="5" t="n"/>
      <c r="D64" s="26" t="inlineStr">
        <is>
          <t>TRAÇO · até 9</t>
        </is>
      </c>
      <c r="V64" s="5" t="n"/>
      <c r="W64" s="5" t="n"/>
      <c r="X64" s="5" t="n"/>
      <c r="Y64" s="5" t="n"/>
      <c r="Z64" s="26" t="inlineStr">
        <is>
          <t>COMANDO · até 6</t>
        </is>
      </c>
      <c r="AR64" s="5" t="n"/>
      <c r="AS64" s="5" t="n"/>
      <c r="AT64" s="5" t="n"/>
    </row>
    <row r="65" ht="15" customHeight="1">
      <c r="A65" s="1" t="n"/>
      <c r="B65" s="1" t="n"/>
      <c r="C65" s="5" t="n"/>
      <c r="D65" s="27" t="inlineStr">
        <is>
          <t>—</t>
        </is>
      </c>
      <c r="Q65" s="28">
        <f>IFERROR(VLOOKUP($D$65,DADOS!$T$3:$U$16,2,FALSE),0)</f>
        <v/>
      </c>
      <c r="V65" s="5" t="n"/>
      <c r="W65" s="5" t="n"/>
      <c r="X65" s="5" t="n"/>
      <c r="Y65" s="5" t="n"/>
      <c r="Z65" s="27" t="inlineStr">
        <is>
          <t>—</t>
        </is>
      </c>
      <c r="AM65" s="28">
        <f>IFERROR(VLOOKUP($Z$65,DADOS!$W$3:$X$10,2,FALSE),0)</f>
        <v/>
      </c>
      <c r="AR65" s="5" t="n"/>
      <c r="AS65" s="5" t="n"/>
      <c r="AT65" s="5" t="n"/>
    </row>
    <row r="66" ht="15" customHeight="1">
      <c r="A66" s="1" t="n"/>
      <c r="B66" s="1" t="n"/>
      <c r="C66" s="5" t="n"/>
      <c r="D66" s="29" t="inlineStr">
        <is>
          <t>—</t>
        </is>
      </c>
      <c r="Q66" s="30">
        <f>IFERROR(VLOOKUP($D$66,DADOS!$T$3:$U$16,2,FALSE),0)</f>
        <v/>
      </c>
      <c r="V66" s="5" t="n"/>
      <c r="W66" s="5" t="n"/>
      <c r="X66" s="5" t="n"/>
      <c r="Y66" s="5" t="n"/>
      <c r="Z66" s="29" t="inlineStr">
        <is>
          <t>—</t>
        </is>
      </c>
      <c r="AM66" s="30">
        <f>IFERROR(VLOOKUP($Z$66,DADOS!$W$3:$X$10,2,FALSE),0)</f>
        <v/>
      </c>
      <c r="AR66" s="5" t="n"/>
      <c r="AS66" s="5" t="n"/>
      <c r="AT66" s="5" t="n"/>
    </row>
    <row r="67" ht="15" customHeight="1">
      <c r="A67" s="1" t="n"/>
      <c r="B67" s="1" t="n"/>
      <c r="C67" s="5" t="n"/>
      <c r="D67" s="27" t="inlineStr">
        <is>
          <t>—</t>
        </is>
      </c>
      <c r="Q67" s="28">
        <f>IFERROR(VLOOKUP($D$67,DADOS!$T$3:$U$16,2,FALSE),0)</f>
        <v/>
      </c>
      <c r="V67" s="5" t="n"/>
      <c r="W67" s="5" t="n"/>
      <c r="X67" s="5" t="n"/>
      <c r="Y67" s="5" t="n"/>
      <c r="Z67" s="27" t="inlineStr">
        <is>
          <t>—</t>
        </is>
      </c>
      <c r="AM67" s="28">
        <f>IFERROR(VLOOKUP($Z$67,DADOS!$W$3:$X$10,2,FALSE),0)</f>
        <v/>
      </c>
      <c r="AR67" s="5" t="n"/>
      <c r="AS67" s="5" t="n"/>
      <c r="AT67" s="5" t="n"/>
    </row>
    <row r="68" ht="15" customHeight="1">
      <c r="A68" s="1" t="n"/>
      <c r="B68" s="1" t="n"/>
      <c r="C68" s="5" t="n"/>
      <c r="D68" s="29" t="inlineStr">
        <is>
          <t>—</t>
        </is>
      </c>
      <c r="Q68" s="30">
        <f>IFERROR(VLOOKUP($D$68,DADOS!$T$3:$U$16,2,FALSE),0)</f>
        <v/>
      </c>
      <c r="V68" s="5" t="n"/>
      <c r="W68" s="5" t="n"/>
      <c r="X68" s="5" t="n"/>
      <c r="Y68" s="5" t="n"/>
      <c r="Z68" s="29" t="inlineStr">
        <is>
          <t>—</t>
        </is>
      </c>
      <c r="AM68" s="30">
        <f>IFERROR(VLOOKUP($Z$68,DADOS!$W$3:$X$10,2,FALSE),0)</f>
        <v/>
      </c>
      <c r="AR68" s="5" t="n"/>
      <c r="AS68" s="5" t="n"/>
      <c r="AT68" s="5" t="n"/>
    </row>
    <row r="69" ht="15" customHeight="1">
      <c r="A69" s="1" t="n"/>
      <c r="B69" s="1" t="n"/>
      <c r="C69" s="5" t="n"/>
      <c r="D69" s="27" t="inlineStr">
        <is>
          <t>—</t>
        </is>
      </c>
      <c r="Q69" s="28">
        <f>IFERROR(VLOOKUP($D$69,DADOS!$T$3:$U$16,2,FALSE),0)</f>
        <v/>
      </c>
      <c r="V69" s="5" t="n"/>
      <c r="W69" s="5" t="n"/>
      <c r="X69" s="5" t="n"/>
      <c r="Y69" s="5" t="n"/>
      <c r="Z69" s="27" t="inlineStr">
        <is>
          <t>—</t>
        </is>
      </c>
      <c r="AM69" s="28">
        <f>IFERROR(VLOOKUP($Z$69,DADOS!$W$3:$X$10,2,FALSE),0)</f>
        <v/>
      </c>
      <c r="AR69" s="5" t="n"/>
      <c r="AS69" s="5" t="n"/>
      <c r="AT69" s="5" t="n"/>
    </row>
    <row r="70" ht="15" customHeight="1">
      <c r="A70" s="1" t="n"/>
      <c r="B70" s="1" t="n"/>
      <c r="C70" s="5" t="n"/>
      <c r="D70" s="29" t="inlineStr">
        <is>
          <t>—</t>
        </is>
      </c>
      <c r="Q70" s="30">
        <f>IFERROR(VLOOKUP($D$70,DADOS!$T$3:$U$16,2,FALSE),0)</f>
        <v/>
      </c>
      <c r="V70" s="5" t="n"/>
      <c r="W70" s="5" t="n"/>
      <c r="X70" s="5" t="n"/>
      <c r="Y70" s="5" t="n"/>
      <c r="Z70" s="29" t="inlineStr">
        <is>
          <t>—</t>
        </is>
      </c>
      <c r="AM70" s="30">
        <f>IFERROR(VLOOKUP($Z$70,DADOS!$W$3:$X$10,2,FALSE),0)</f>
        <v/>
      </c>
      <c r="AR70" s="5" t="n"/>
      <c r="AS70" s="5" t="n"/>
      <c r="AT70" s="5" t="n"/>
    </row>
    <row r="71" ht="15" customHeight="1">
      <c r="A71" s="1" t="n"/>
      <c r="B71" s="1" t="n"/>
      <c r="C71" s="5" t="n"/>
      <c r="D71" s="27" t="inlineStr">
        <is>
          <t>—</t>
        </is>
      </c>
      <c r="Q71" s="28">
        <f>IFERROR(VLOOKUP($D$71,DADOS!$T$3:$U$16,2,FALSE),0)</f>
        <v/>
      </c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  <c r="AP71" s="5" t="n"/>
      <c r="AQ71" s="5" t="n"/>
      <c r="AR71" s="5" t="n"/>
      <c r="AS71" s="5" t="n"/>
      <c r="AT71" s="5" t="n"/>
    </row>
    <row r="72" ht="15" customHeight="1">
      <c r="A72" s="1" t="n"/>
      <c r="B72" s="1" t="n"/>
      <c r="C72" s="5" t="n"/>
      <c r="D72" s="29" t="inlineStr">
        <is>
          <t>—</t>
        </is>
      </c>
      <c r="Q72" s="30">
        <f>IFERROR(VLOOKUP($D$72,DADOS!$T$3:$U$16,2,FALSE),0)</f>
        <v/>
      </c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  <c r="AQ72" s="5" t="n"/>
      <c r="AR72" s="5" t="n"/>
      <c r="AS72" s="5" t="n"/>
      <c r="AT72" s="5" t="n"/>
    </row>
    <row r="73" ht="15" customHeight="1">
      <c r="A73" s="1" t="n"/>
      <c r="B73" s="1" t="n"/>
      <c r="C73" s="5" t="n"/>
      <c r="D73" s="27" t="inlineStr">
        <is>
          <t>—</t>
        </is>
      </c>
      <c r="Q73" s="28">
        <f>IFERROR(VLOOKUP($D$73,DADOS!$T$3:$U$16,2,FALSE),0)</f>
        <v/>
      </c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</row>
    <row r="74" ht="15" customHeight="1">
      <c r="A74" s="1" t="n"/>
      <c r="B74" s="1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  <c r="AP74" s="5" t="n"/>
      <c r="AQ74" s="5" t="n"/>
      <c r="AR74" s="5" t="n"/>
      <c r="AS74" s="5" t="n"/>
      <c r="AT74" s="5" t="n"/>
    </row>
    <row r="75" ht="15" customHeight="1">
      <c r="A75" s="1" t="n"/>
      <c r="B75" s="1" t="n"/>
      <c r="C75" s="5" t="n"/>
      <c r="D75" s="8" t="inlineStr">
        <is>
          <t>GASTO</t>
        </is>
      </c>
      <c r="K75" s="5" t="n"/>
      <c r="L75" s="8" t="inlineStr">
        <is>
          <t>SOBRA</t>
        </is>
      </c>
      <c r="S75" s="5" t="n"/>
      <c r="T75" s="8" t="inlineStr">
        <is>
          <t>O QUE ELE NÃO COMPRA A PREÇO NENHUM</t>
        </is>
      </c>
    </row>
    <row r="76" ht="15" customHeight="1">
      <c r="A76" s="1" t="n"/>
      <c r="B76" s="1" t="n"/>
      <c r="C76" s="5" t="n"/>
      <c r="D76" s="24">
        <f>$Q$65+$Q$66+$Q$67+$Q$68+$Q$69+$Q$70+$Q$71+$Q$72+$Q$73+$AM$65+$AM$66+$AM$67+$AM$68+$AM$69+$AM$70</f>
        <v/>
      </c>
      <c r="K76" s="5" t="n"/>
      <c r="L76" s="31">
        <f>IF($D$61-($Q$65+$Q$66+$Q$67+$Q$68+$Q$69+$Q$70+$Q$71+$Q$72+$Q$73+$AM$65+$AM$66+$AM$67+$AM$68+$AM$69+$AM$70)&lt;0,"estourou "&amp;(($Q$65+$Q$66+$Q$67+$Q$68+$Q$69+$Q$70+$Q$71+$Q$72+$Q$73+$AM$65+$AM$66+$AM$67+$AM$68+$AM$69+$AM$70)-$D$61),$D$61-($Q$65+$Q$66+$Q$67+$Q$68+$Q$69+$Q$70+$Q$71+$Q$72+$Q$73+$AM$65+$AM$66+$AM$67+$AM$68+$AM$69+$AM$70))</f>
        <v/>
      </c>
      <c r="S76" s="5" t="n"/>
      <c r="T76" s="25" t="inlineStr">
        <is>
          <t>dado de dano · qualquer coisa que cresça com refino · atributo · Defesa, acerto ou vida direto</t>
        </is>
      </c>
    </row>
    <row r="77" ht="15" customHeight="1">
      <c r="A77" s="1" t="n"/>
      <c r="B77" s="1" t="n"/>
      <c r="C77" s="5" t="n"/>
      <c r="D77" s="13" t="n"/>
      <c r="E77" s="13" t="n"/>
      <c r="F77" s="13" t="n"/>
      <c r="G77" s="13" t="n"/>
      <c r="H77" s="13" t="n"/>
      <c r="I77" s="13" t="n"/>
      <c r="J77" s="13" t="n"/>
      <c r="K77" s="5" t="n"/>
      <c r="L77" s="13" t="n"/>
      <c r="M77" s="13" t="n"/>
      <c r="N77" s="13" t="n"/>
      <c r="O77" s="13" t="n"/>
      <c r="P77" s="13" t="n"/>
      <c r="Q77" s="13" t="n"/>
      <c r="R77" s="13" t="n"/>
      <c r="S77" s="5" t="n"/>
    </row>
    <row r="78" ht="15" customHeight="1">
      <c r="A78" s="1" t="n"/>
      <c r="B78" s="1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  <c r="AP78" s="5" t="n"/>
      <c r="AQ78" s="5" t="n"/>
      <c r="AR78" s="5" t="n"/>
      <c r="AS78" s="5" t="n"/>
      <c r="AT78" s="5" t="n"/>
    </row>
    <row r="79" ht="15" customHeight="1">
      <c r="A79" s="1" t="n"/>
      <c r="B79" s="1" t="n"/>
      <c r="C79" s="5" t="n"/>
      <c r="D79" s="14" t="inlineStr">
        <is>
          <t>o Servo monta com o orçamento da ficha mais metade, porque é um corpo só e não cinco. Todo orçamento é múltiplo de 4, então fecha redondo.</t>
        </is>
      </c>
    </row>
    <row r="80" ht="15" customHeight="1">
      <c r="A80" s="1" t="n"/>
      <c r="B80" s="1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  <c r="AJ80" s="5" t="n"/>
      <c r="AK80" s="5" t="n"/>
      <c r="AL80" s="5" t="n"/>
      <c r="AM80" s="5" t="n"/>
      <c r="AN80" s="5" t="n"/>
      <c r="AO80" s="5" t="n"/>
      <c r="AP80" s="5" t="n"/>
      <c r="AQ80" s="5" t="n"/>
      <c r="AR80" s="5" t="n"/>
      <c r="AS80" s="5" t="n"/>
      <c r="AT80" s="5" t="n"/>
    </row>
    <row r="81" ht="15" customHeight="1">
      <c r="A81" s="1" t="n"/>
      <c r="B81" s="1" t="n"/>
      <c r="C81" s="5" t="n"/>
      <c r="D81" s="6" t="inlineStr">
        <is>
          <t>07</t>
        </is>
      </c>
      <c r="G81" s="7" t="inlineStr">
        <is>
          <t>INVESTIR — o ataque, e toda invocação tem</t>
        </is>
      </c>
      <c r="AG81" s="5" t="n"/>
      <c r="AH81" s="5" t="n"/>
      <c r="AI81" s="5" t="n"/>
      <c r="AJ81" s="5" t="n"/>
      <c r="AK81" s="5" t="n"/>
      <c r="AL81" s="5" t="n"/>
      <c r="AM81" s="5" t="n"/>
      <c r="AN81" s="5" t="n"/>
      <c r="AO81" s="5" t="n"/>
      <c r="AP81" s="5" t="n"/>
      <c r="AQ81" s="5" t="n"/>
      <c r="AR81" s="5" t="n"/>
      <c r="AS81" s="5" t="n"/>
      <c r="AT81" s="5" t="n"/>
    </row>
    <row r="82" ht="15" customHeight="1">
      <c r="A82" s="1" t="n"/>
      <c r="B82" s="1" t="n"/>
      <c r="C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  <c r="AI82" s="5" t="n"/>
      <c r="AJ82" s="5" t="n"/>
      <c r="AK82" s="5" t="n"/>
      <c r="AL82" s="5" t="n"/>
      <c r="AM82" s="5" t="n"/>
      <c r="AN82" s="5" t="n"/>
      <c r="AO82" s="5" t="n"/>
      <c r="AP82" s="5" t="n"/>
      <c r="AQ82" s="5" t="n"/>
      <c r="AR82" s="5" t="n"/>
      <c r="AS82" s="5" t="n"/>
      <c r="AT82" s="5" t="n"/>
    </row>
    <row r="83" ht="15" customHeight="1">
      <c r="A83" s="1" t="n"/>
      <c r="B83" s="1" t="n"/>
      <c r="C83" s="5" t="n"/>
      <c r="D83" s="8" t="inlineStr">
        <is>
          <t>DANO DO INVESTIR</t>
        </is>
      </c>
      <c r="L83" s="5" t="n"/>
      <c r="M83" s="5" t="n"/>
      <c r="N83" s="8" t="inlineStr">
        <is>
          <t>POR CORPO</t>
        </is>
      </c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  <c r="AL83" s="5" t="n"/>
      <c r="AM83" s="5" t="n"/>
      <c r="AN83" s="5" t="n"/>
      <c r="AO83" s="5" t="n"/>
      <c r="AP83" s="5" t="n"/>
      <c r="AQ83" s="5" t="n"/>
      <c r="AR83" s="5" t="n"/>
      <c r="AS83" s="5" t="n"/>
      <c r="AT83" s="5" t="n"/>
    </row>
    <row r="84" ht="15" customHeight="1">
      <c r="A84" s="1" t="n"/>
      <c r="B84" s="1" t="n"/>
      <c r="C84" s="5" t="n"/>
      <c r="D84" s="22">
        <f>IF($D$7="","",VLOOKUP($D$7,DADOS!$Z$3:$AB$9,IF($AA$14="Matilha",3,2),TRUE))</f>
        <v/>
      </c>
      <c r="L84" s="5" t="n"/>
      <c r="M84" s="5" t="n"/>
      <c r="N84" s="32">
        <f>IF($AA$14="Matilha","cada um dos cinco rola isto",IF($AA$14="","","o corpo em campo rola isto"))</f>
        <v/>
      </c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  <c r="AP84" s="5" t="n"/>
      <c r="AQ84" s="5" t="n"/>
      <c r="AR84" s="5" t="n"/>
      <c r="AS84" s="5" t="n"/>
      <c r="AT84" s="5" t="n"/>
    </row>
    <row r="85" ht="15" customHeight="1">
      <c r="A85" s="1" t="n"/>
      <c r="B85" s="1" t="n"/>
      <c r="C85" s="5" t="n"/>
      <c r="D85" s="13" t="n"/>
      <c r="E85" s="13" t="n"/>
      <c r="F85" s="13" t="n"/>
      <c r="G85" s="13" t="n"/>
      <c r="H85" s="13" t="n"/>
      <c r="I85" s="13" t="n"/>
      <c r="J85" s="13" t="n"/>
      <c r="K85" s="13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  <c r="AJ85" s="5" t="n"/>
      <c r="AK85" s="5" t="n"/>
      <c r="AL85" s="5" t="n"/>
      <c r="AM85" s="5" t="n"/>
      <c r="AN85" s="5" t="n"/>
      <c r="AO85" s="5" t="n"/>
      <c r="AP85" s="5" t="n"/>
      <c r="AQ85" s="5" t="n"/>
      <c r="AR85" s="5" t="n"/>
      <c r="AS85" s="5" t="n"/>
      <c r="AT85" s="5" t="n"/>
    </row>
    <row r="86" ht="15" customHeight="1">
      <c r="A86" s="1" t="n"/>
      <c r="B86" s="1" t="n"/>
      <c r="C86" s="5" t="n"/>
      <c r="D86" s="14" t="inlineStr">
        <is>
          <t>você e todas as suas invocações somados entregam uma Rotina. O número de dados sempre desce — a soma nunca passa do que você faria sozinho.</t>
        </is>
      </c>
    </row>
    <row r="87" ht="15" customHeight="1">
      <c r="A87" s="1" t="n"/>
      <c r="B87" s="1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</row>
    <row r="88" ht="15" customHeight="1">
      <c r="A88" s="1" t="n"/>
      <c r="B88" s="1" t="n"/>
      <c r="C88" s="5" t="n"/>
      <c r="D88" s="6" t="inlineStr">
        <is>
          <t>08</t>
        </is>
      </c>
      <c r="G88" s="7" t="inlineStr">
        <is>
          <t>NA MESA — o que não muda</t>
        </is>
      </c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</row>
    <row r="89" ht="15" customHeight="1">
      <c r="A89" s="1" t="n"/>
      <c r="B89" s="1" t="n"/>
      <c r="C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  <c r="AP89" s="5" t="n"/>
      <c r="AQ89" s="5" t="n"/>
      <c r="AR89" s="5" t="n"/>
      <c r="AS89" s="5" t="n"/>
      <c r="AT89" s="5" t="n"/>
    </row>
    <row r="90" ht="15" customHeight="1">
      <c r="A90" s="1" t="n"/>
      <c r="B90" s="1" t="n"/>
      <c r="C90" s="5" t="n"/>
      <c r="D90" s="33" t="inlineStr">
        <is>
          <t>invocar</t>
        </is>
      </c>
      <c r="M90" s="34">
        <f>("custa "&amp;$AM$7&amp;" PE e a Ação Padrão")</f>
        <v/>
      </c>
    </row>
    <row r="91" ht="15" customHeight="1">
      <c r="A91" s="1" t="n"/>
      <c r="B91" s="1" t="n"/>
      <c r="C91" s="5" t="n"/>
      <c r="D91" s="35" t="inlineStr">
        <is>
          <t>comandar</t>
        </is>
      </c>
      <c r="M91" s="36">
        <f>"a Ação Padrão, toda rodada"</f>
        <v/>
      </c>
    </row>
    <row r="92" ht="15" customHeight="1">
      <c r="A92" s="1" t="n"/>
      <c r="B92" s="1" t="n"/>
      <c r="C92" s="5" t="n"/>
      <c r="D92" s="33" t="inlineStr">
        <is>
          <t>iniciativa</t>
        </is>
      </c>
      <c r="M92" s="34">
        <f>"a sua, e ela age logo depois de você"</f>
        <v/>
      </c>
    </row>
    <row r="93">
      <c r="D93" s="35" t="inlineStr">
        <is>
          <t>deslocamento</t>
        </is>
      </c>
      <c r="M93" s="36">
        <f>(9&amp;" metros")</f>
        <v/>
      </c>
    </row>
    <row r="94">
      <c r="D94" s="33" t="inlineStr">
        <is>
          <t>amarra</t>
        </is>
      </c>
      <c r="M94" s="34">
        <f>(18&amp;" metros — além disso não pode ser comandada, e não some")</f>
        <v/>
      </c>
    </row>
    <row r="96">
      <c r="D96" s="37" t="inlineStr">
        <is>
          <t>09</t>
        </is>
      </c>
      <c r="G96" s="38" t="inlineStr">
        <is>
          <t>O QUE ESTA FICHA NÃO CALCULA, E POR QUÊ</t>
        </is>
      </c>
    </row>
    <row r="97"/>
    <row r="98">
      <c r="D98" s="39" t="inlineStr">
        <is>
          <t>a CD dos efeitos dela</t>
        </is>
      </c>
      <c r="U98" s="40" t="n"/>
      <c r="V98" s="40" t="n"/>
      <c r="W98" s="40" t="n"/>
      <c r="X98" s="40" t="n"/>
      <c r="Y98" s="40" t="n"/>
      <c r="Z98" s="40" t="n"/>
      <c r="AA98" s="40" t="n"/>
      <c r="AB98" s="40" t="n"/>
      <c r="AC98" s="40" t="n"/>
      <c r="AD98" s="40" t="n"/>
      <c r="AE98" s="40" t="n"/>
      <c r="AF98" s="40" t="n"/>
      <c r="AG98" s="40" t="n"/>
      <c r="AH98" s="40" t="n"/>
      <c r="AI98" s="40" t="n"/>
      <c r="AJ98" s="40" t="n"/>
      <c r="AK98" s="40" t="n"/>
      <c r="AL98" s="40" t="n"/>
      <c r="AM98" s="40" t="n"/>
      <c r="AN98" s="40" t="n"/>
      <c r="AO98" s="40" t="n"/>
      <c r="AP98" s="40" t="n"/>
      <c r="AQ98" s="40" t="n"/>
      <c r="AR98" s="40" t="n"/>
      <c r="AS98" s="40" t="n"/>
      <c r="AT98" s="40" t="n"/>
    </row>
    <row r="99">
      <c r="D99" s="41">
        <f>IF($AI$14="Voz","a Voz manda subir a CD dela, e a invocação não tem fórmula de CD em documento nenhum — combine com o mestre","")</f>
        <v/>
      </c>
    </row>
    <row r="100">
      <c r="D100" s="42" t="inlineStr">
        <is>
          <t>A invocação não tem fórmula de CD em documento nenhum — nem o capítulo 16, nem a peça 15 escrevem uma. Esta rota soma num número que o sistema ainda não produz, então combine com o mestre em vez de chutar.</t>
        </is>
      </c>
    </row>
    <row r="101"/>
  </sheetData>
  <mergeCells count="162">
    <mergeCell ref="AI39:AM39"/>
    <mergeCell ref="D58:F59"/>
    <mergeCell ref="AI13:AS13"/>
    <mergeCell ref="D19:F20"/>
    <mergeCell ref="Q68:U68"/>
    <mergeCell ref="D68:P68"/>
    <mergeCell ref="AN47:AS47"/>
    <mergeCell ref="M52:T52"/>
    <mergeCell ref="AF21:AK21"/>
    <mergeCell ref="AM33:AS33"/>
    <mergeCell ref="D67:P67"/>
    <mergeCell ref="Y6:AD6"/>
    <mergeCell ref="Q72:U72"/>
    <mergeCell ref="D1:AD2"/>
    <mergeCell ref="D69:P69"/>
    <mergeCell ref="A8:B26"/>
    <mergeCell ref="K7:P7"/>
    <mergeCell ref="G4:AD4"/>
    <mergeCell ref="D33:L33"/>
    <mergeCell ref="D64:U64"/>
    <mergeCell ref="D45:F46"/>
    <mergeCell ref="Z66:AL66"/>
    <mergeCell ref="D26:L26"/>
    <mergeCell ref="N26:V26"/>
    <mergeCell ref="D76:J76"/>
    <mergeCell ref="Q65:U65"/>
    <mergeCell ref="Q70:U70"/>
    <mergeCell ref="AM65:AQ65"/>
    <mergeCell ref="D70:P70"/>
    <mergeCell ref="D83:K83"/>
    <mergeCell ref="D90:L90"/>
    <mergeCell ref="N25:V25"/>
    <mergeCell ref="D75:J75"/>
    <mergeCell ref="D47:J47"/>
    <mergeCell ref="D86:AT86"/>
    <mergeCell ref="D6:I6"/>
    <mergeCell ref="Q66:U66"/>
    <mergeCell ref="D36:L36"/>
    <mergeCell ref="D72:P72"/>
    <mergeCell ref="AF22:AK23"/>
    <mergeCell ref="D21:I21"/>
    <mergeCell ref="N36:U36"/>
    <mergeCell ref="L76:R76"/>
    <mergeCell ref="M90:AT90"/>
    <mergeCell ref="R6:W6"/>
    <mergeCell ref="D71:P71"/>
    <mergeCell ref="AM7:AS7"/>
    <mergeCell ref="D84:K84"/>
    <mergeCell ref="V52:AC52"/>
    <mergeCell ref="R21:W21"/>
    <mergeCell ref="D7:I7"/>
    <mergeCell ref="D73:P73"/>
    <mergeCell ref="O39:S39"/>
    <mergeCell ref="N37:U37"/>
    <mergeCell ref="M91:AT91"/>
    <mergeCell ref="D37:L37"/>
    <mergeCell ref="Q67:U67"/>
    <mergeCell ref="L48:R48"/>
    <mergeCell ref="Z65:AL65"/>
    <mergeCell ref="AF32:AK32"/>
    <mergeCell ref="AM67:AQ67"/>
    <mergeCell ref="M93:AT93"/>
    <mergeCell ref="AE51:AT51"/>
    <mergeCell ref="G45:AD45"/>
    <mergeCell ref="D79:AT79"/>
    <mergeCell ref="D11:F12"/>
    <mergeCell ref="T75:AT75"/>
    <mergeCell ref="Q69:U69"/>
    <mergeCell ref="AF7:AK7"/>
    <mergeCell ref="D35:AT35"/>
    <mergeCell ref="L47:R47"/>
    <mergeCell ref="M92:AT92"/>
    <mergeCell ref="AM69:AQ69"/>
    <mergeCell ref="V51:AC51"/>
    <mergeCell ref="D14:O14"/>
    <mergeCell ref="D99:AT99"/>
    <mergeCell ref="T48:AE48"/>
    <mergeCell ref="AF33:AK33"/>
    <mergeCell ref="G19:AH19"/>
    <mergeCell ref="D51:K51"/>
    <mergeCell ref="K21:P21"/>
    <mergeCell ref="R22:W23"/>
    <mergeCell ref="T76:AT77"/>
    <mergeCell ref="Y21:AD21"/>
    <mergeCell ref="Z67:AL67"/>
    <mergeCell ref="Q14:Y14"/>
    <mergeCell ref="X39:AH39"/>
    <mergeCell ref="D30:F31"/>
    <mergeCell ref="D100:AT101"/>
    <mergeCell ref="Q71:U71"/>
    <mergeCell ref="D88:F89"/>
    <mergeCell ref="D28:AT28"/>
    <mergeCell ref="Z69:AL69"/>
    <mergeCell ref="G81:AF81"/>
    <mergeCell ref="D91:L91"/>
    <mergeCell ref="AM66:AQ66"/>
    <mergeCell ref="Y7:AD7"/>
    <mergeCell ref="AA14:AG14"/>
    <mergeCell ref="D9:AT9"/>
    <mergeCell ref="D81:F82"/>
    <mergeCell ref="Q73:U73"/>
    <mergeCell ref="M51:T51"/>
    <mergeCell ref="AM32:AS32"/>
    <mergeCell ref="D93:L93"/>
    <mergeCell ref="G30:AJ30"/>
    <mergeCell ref="AM68:AQ68"/>
    <mergeCell ref="D25:L25"/>
    <mergeCell ref="AN48:AS48"/>
    <mergeCell ref="D92:L92"/>
    <mergeCell ref="X26:AR26"/>
    <mergeCell ref="D65:P65"/>
    <mergeCell ref="K6:P6"/>
    <mergeCell ref="D16:AT17"/>
    <mergeCell ref="X25:AR25"/>
    <mergeCell ref="K22:P23"/>
    <mergeCell ref="D94:L94"/>
    <mergeCell ref="Y22:AD23"/>
    <mergeCell ref="N84:AD84"/>
    <mergeCell ref="N32:S32"/>
    <mergeCell ref="D39:N39"/>
    <mergeCell ref="G96:AJ96"/>
    <mergeCell ref="M94:AT94"/>
    <mergeCell ref="D66:P66"/>
    <mergeCell ref="D98:T98"/>
    <mergeCell ref="A30:B48"/>
    <mergeCell ref="Z68:AL68"/>
    <mergeCell ref="R7:W7"/>
    <mergeCell ref="U33:AD33"/>
    <mergeCell ref="D13:O13"/>
    <mergeCell ref="N33:S33"/>
    <mergeCell ref="D32:L32"/>
    <mergeCell ref="D43:AT43"/>
    <mergeCell ref="AF6:AK6"/>
    <mergeCell ref="AM6:AS6"/>
    <mergeCell ref="AG48:AL48"/>
    <mergeCell ref="AE52:AT53"/>
    <mergeCell ref="D52:K52"/>
    <mergeCell ref="Z64:AQ64"/>
    <mergeCell ref="D22:I23"/>
    <mergeCell ref="AG47:AL47"/>
    <mergeCell ref="D60:J60"/>
    <mergeCell ref="D96:F97"/>
    <mergeCell ref="G58:AJ58"/>
    <mergeCell ref="O41:S41"/>
    <mergeCell ref="D41:N41"/>
    <mergeCell ref="AI41:AM41"/>
    <mergeCell ref="AA13:AG13"/>
    <mergeCell ref="G88:AD88"/>
    <mergeCell ref="AM70:AQ70"/>
    <mergeCell ref="L75:R75"/>
    <mergeCell ref="Z70:AL70"/>
    <mergeCell ref="D4:F5"/>
    <mergeCell ref="Q13:Y13"/>
    <mergeCell ref="X41:AH41"/>
    <mergeCell ref="D61:J61"/>
    <mergeCell ref="U32:AD32"/>
    <mergeCell ref="D48:J48"/>
    <mergeCell ref="D55:AT56"/>
    <mergeCell ref="G11:AD11"/>
    <mergeCell ref="AF1:AT2"/>
    <mergeCell ref="AI14:AS14"/>
    <mergeCell ref="N83:X83"/>
  </mergeCells>
  <dataValidations count="22">
    <dataValidation sqref="Q14" showDropDown="0" showInputMessage="0" showErrorMessage="0" allowBlank="1" type="list">
      <formula1>DADOS!$A$2:$A$5</formula1>
    </dataValidation>
    <dataValidation sqref="AA14" showDropDown="0" showInputMessage="0" showErrorMessage="0" allowBlank="1" type="list">
      <formula1>DADOS!$B$2:$B$4</formula1>
    </dataValidation>
    <dataValidation sqref="AI14" showDropDown="0" showInputMessage="0" showErrorMessage="0" allowBlank="1" type="list">
      <formula1>DADOS!$E$2:$E$5</formula1>
    </dataValidation>
    <dataValidation sqref="D33" showDropDown="0" showInputMessage="0" showErrorMessage="0" allowBlank="1" type="list">
      <formula1>DADOS!$C$2:$C$6</formula1>
    </dataValidation>
    <dataValidation sqref="U33" showDropDown="0" showInputMessage="0" showErrorMessage="0" allowBlank="1" type="list">
      <formula1>DADOS!$F$2:$F$3</formula1>
    </dataValidation>
    <dataValidation sqref="D37" showDropDown="0" showInputMessage="0" showErrorMessage="0" allowBlank="1" type="list">
      <formula1>DADOS!$D$2:$D$5</formula1>
    </dataValidation>
    <dataValidation sqref="N37" showDropDown="0" showInputMessage="0" showErrorMessage="0" allowBlank="1" type="list">
      <formula1>DADOS!$G$2:$G$3</formula1>
    </dataValidation>
    <dataValidation sqref="D65" showDropDown="0" showInputMessage="0" showErrorMessage="0" allowBlank="1" type="list">
      <formula1>DADOS!$H$2:$H$15</formula1>
    </dataValidation>
    <dataValidation sqref="D66" showDropDown="0" showInputMessage="0" showErrorMessage="0" allowBlank="1" type="list">
      <formula1>DADOS!$H$2:$H$15</formula1>
    </dataValidation>
    <dataValidation sqref="D67" showDropDown="0" showInputMessage="0" showErrorMessage="0" allowBlank="1" type="list">
      <formula1>DADOS!$H$2:$H$15</formula1>
    </dataValidation>
    <dataValidation sqref="D68" showDropDown="0" showInputMessage="0" showErrorMessage="0" allowBlank="1" type="list">
      <formula1>DADOS!$H$2:$H$15</formula1>
    </dataValidation>
    <dataValidation sqref="D69" showDropDown="0" showInputMessage="0" showErrorMessage="0" allowBlank="1" type="list">
      <formula1>DADOS!$H$2:$H$15</formula1>
    </dataValidation>
    <dataValidation sqref="D70" showDropDown="0" showInputMessage="0" showErrorMessage="0" allowBlank="1" type="list">
      <formula1>DADOS!$H$2:$H$15</formula1>
    </dataValidation>
    <dataValidation sqref="D71" showDropDown="0" showInputMessage="0" showErrorMessage="0" allowBlank="1" type="list">
      <formula1>DADOS!$H$2:$H$15</formula1>
    </dataValidation>
    <dataValidation sqref="D72" showDropDown="0" showInputMessage="0" showErrorMessage="0" allowBlank="1" type="list">
      <formula1>DADOS!$H$2:$H$15</formula1>
    </dataValidation>
    <dataValidation sqref="D73" showDropDown="0" showInputMessage="0" showErrorMessage="0" allowBlank="1" type="list">
      <formula1>DADOS!$H$2:$H$15</formula1>
    </dataValidation>
    <dataValidation sqref="Z65" showDropDown="0" showInputMessage="0" showErrorMessage="0" allowBlank="1" type="list">
      <formula1>DADOS!$I$2:$I$9</formula1>
    </dataValidation>
    <dataValidation sqref="Z66" showDropDown="0" showInputMessage="0" showErrorMessage="0" allowBlank="1" type="list">
      <formula1>DADOS!$I$2:$I$9</formula1>
    </dataValidation>
    <dataValidation sqref="Z67" showDropDown="0" showInputMessage="0" showErrorMessage="0" allowBlank="1" type="list">
      <formula1>DADOS!$I$2:$I$9</formula1>
    </dataValidation>
    <dataValidation sqref="Z68" showDropDown="0" showInputMessage="0" showErrorMessage="0" allowBlank="1" type="list">
      <formula1>DADOS!$I$2:$I$9</formula1>
    </dataValidation>
    <dataValidation sqref="Z69" showDropDown="0" showInputMessage="0" showErrorMessage="0" allowBlank="1" type="list">
      <formula1>DADOS!$I$2:$I$9</formula1>
    </dataValidation>
    <dataValidation sqref="Z70" showDropDown="0" showInputMessage="0" showErrorMessage="0" allowBlank="1" type="list">
      <formula1>DADOS!$I$2:$I$9</formula1>
    </dataValidation>
  </dataValidation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T6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5" t="n"/>
      <c r="B1" s="5" t="n"/>
      <c r="C1" s="2" t="n"/>
      <c r="D1" s="43" t="inlineStr">
        <is>
          <t>O CATÁLOGO — o que dá para comprar</t>
        </is>
      </c>
      <c r="AE1" s="2" t="n"/>
      <c r="AF1" s="4" t="inlineStr">
        <is>
          <t>capítulo 16</t>
        </is>
      </c>
    </row>
    <row r="2" ht="15" customHeight="1">
      <c r="A2" s="5" t="n"/>
      <c r="B2" s="5" t="n"/>
      <c r="C2" s="2" t="n"/>
      <c r="AE2" s="2" t="n"/>
    </row>
    <row r="3" ht="15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</row>
    <row r="4" ht="15" customHeight="1">
      <c r="A4" s="5" t="n"/>
      <c r="B4" s="5" t="n"/>
      <c r="C4" s="5" t="n"/>
      <c r="D4" s="7" t="inlineStr">
        <is>
          <t>TRAÇO</t>
        </is>
      </c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</row>
    <row r="5" ht="15" customHeight="1">
      <c r="A5" s="5" t="n"/>
      <c r="B5" s="5" t="n"/>
      <c r="C5" s="5" t="n"/>
      <c r="D5" s="44" t="inlineStr">
        <is>
          <t>o que ela É. Sempre ligado, sem gastar ação.</t>
        </is>
      </c>
    </row>
    <row r="6" ht="15" customHeight="1">
      <c r="A6" s="5" t="n"/>
      <c r="B6" s="5" t="n"/>
      <c r="C6" s="5" t="n"/>
      <c r="D6" s="8" t="inlineStr">
        <is>
          <t>PONTOS</t>
        </is>
      </c>
      <c r="H6" s="8" t="inlineStr">
        <is>
          <t>NOME</t>
        </is>
      </c>
      <c r="P6" s="8" t="inlineStr">
        <is>
          <t>O QUE FAZ</t>
        </is>
      </c>
    </row>
    <row r="7" ht="15" customHeight="1">
      <c r="A7" s="5" t="n"/>
      <c r="B7" s="5" t="n"/>
      <c r="C7" s="5" t="n"/>
      <c r="D7" s="45" t="n">
        <v>2</v>
      </c>
      <c r="E7" s="46" t="n"/>
      <c r="F7" s="46" t="n"/>
      <c r="G7" s="46" t="n"/>
      <c r="H7" s="47" t="inlineStr">
        <is>
          <t>Escalada</t>
        </is>
      </c>
      <c r="I7" s="46" t="n"/>
      <c r="J7" s="46" t="n"/>
      <c r="K7" s="46" t="n"/>
      <c r="L7" s="46" t="n"/>
      <c r="M7" s="46" t="n"/>
      <c r="N7" s="46" t="n"/>
      <c r="O7" s="46" t="n"/>
      <c r="P7" s="48" t="inlineStr">
        <is>
          <t>sobe parede e teto sem teste</t>
        </is>
      </c>
      <c r="Q7" s="46" t="n"/>
      <c r="R7" s="46" t="n"/>
      <c r="S7" s="46" t="n"/>
      <c r="T7" s="46" t="n"/>
      <c r="U7" s="46" t="n"/>
      <c r="V7" s="46" t="n"/>
      <c r="W7" s="46" t="n"/>
      <c r="X7" s="46" t="n"/>
      <c r="Y7" s="46" t="n"/>
      <c r="Z7" s="46" t="n"/>
      <c r="AA7" s="46" t="n"/>
      <c r="AB7" s="46" t="n"/>
      <c r="AC7" s="46" t="n"/>
      <c r="AD7" s="46" t="n"/>
      <c r="AE7" s="46" t="n"/>
      <c r="AF7" s="46" t="n"/>
      <c r="AG7" s="46" t="n"/>
      <c r="AH7" s="46" t="n"/>
      <c r="AI7" s="46" t="n"/>
      <c r="AJ7" s="46" t="n"/>
      <c r="AK7" s="46" t="n"/>
      <c r="AL7" s="46" t="n"/>
      <c r="AM7" s="46" t="n"/>
      <c r="AN7" s="46" t="n"/>
      <c r="AO7" s="46" t="n"/>
      <c r="AP7" s="46" t="n"/>
      <c r="AQ7" s="46" t="n"/>
      <c r="AR7" s="46" t="n"/>
      <c r="AS7" s="46" t="n"/>
      <c r="AT7" s="46" t="n"/>
    </row>
    <row r="8" ht="15" customHeight="1">
      <c r="A8" s="5" t="n"/>
      <c r="B8" s="5" t="n"/>
      <c r="C8" s="5" t="n"/>
      <c r="D8" s="49" t="n">
        <v>2</v>
      </c>
      <c r="H8" s="50" t="inlineStr">
        <is>
          <t>Nado</t>
        </is>
      </c>
      <c r="P8" s="51" t="inlineStr">
        <is>
          <t>move na água sem penalidade. Rio, cisterna, tanque alagado de estação</t>
        </is>
      </c>
    </row>
    <row r="9" ht="15" customHeight="1">
      <c r="A9" s="5" t="n"/>
      <c r="B9" s="5" t="n"/>
      <c r="C9" s="5" t="n"/>
      <c r="D9" s="52" t="n">
        <v>3</v>
      </c>
      <c r="H9" s="53" t="inlineStr">
        <is>
          <t>Fala</t>
        </is>
      </c>
      <c r="P9" s="41" t="inlineStr">
        <is>
          <t>ela fala, e dá para conversar com ela</t>
        </is>
      </c>
    </row>
    <row r="10" ht="15" customHeight="1">
      <c r="A10" s="5" t="n"/>
      <c r="B10" s="5" t="n"/>
      <c r="C10" s="5" t="n"/>
      <c r="D10" s="49" t="n">
        <v>5</v>
      </c>
      <c r="H10" s="50" t="inlineStr">
        <is>
          <t>Faro</t>
        </is>
      </c>
      <c r="P10" s="51" t="inlineStr">
        <is>
          <t>rastreia por cheiro e por energia. Pega rastro velho de horas</t>
        </is>
      </c>
    </row>
    <row r="11" ht="15" customHeight="1">
      <c r="A11" s="5" t="n"/>
      <c r="B11" s="5" t="n"/>
      <c r="C11" s="5" t="n"/>
      <c r="D11" s="52" t="n">
        <v>5</v>
      </c>
      <c r="H11" s="53" t="inlineStr">
        <is>
          <t>Vigia</t>
        </is>
      </c>
      <c r="P11" s="41" t="inlineStr">
        <is>
          <t>o que ela vê e ouve, você vê e ouve também</t>
        </is>
      </c>
    </row>
    <row r="12" ht="15" customHeight="1">
      <c r="A12" s="5" t="n"/>
      <c r="B12" s="5" t="n"/>
      <c r="C12" s="5" t="n"/>
      <c r="D12" s="49" t="n">
        <v>7</v>
      </c>
      <c r="H12" s="50" t="inlineStr">
        <is>
          <t>Miúdo</t>
        </is>
      </c>
      <c r="P12" s="51" t="inlineStr">
        <is>
          <t>ocupa espaço menor e passa por vão. Duto, grade de bueiro, folga embaixo da porta</t>
        </is>
      </c>
    </row>
    <row r="13" ht="15" customHeight="1">
      <c r="A13" s="5" t="n"/>
      <c r="B13" s="5" t="n"/>
      <c r="C13" s="5" t="n"/>
      <c r="D13" s="52" t="n">
        <v>8</v>
      </c>
      <c r="H13" s="53" t="inlineStr">
        <is>
          <t>Voo</t>
        </is>
      </c>
      <c r="P13" s="41" t="inlineStr">
        <is>
          <t>o deslocamento dela passa a ser de voo também</t>
        </is>
      </c>
    </row>
    <row r="14" ht="15" customHeight="1">
      <c r="A14" s="5" t="n"/>
      <c r="B14" s="5" t="n"/>
      <c r="C14" s="5" t="n"/>
      <c r="D14" s="49" t="n">
        <v>8</v>
      </c>
      <c r="H14" s="50" t="inlineStr">
        <is>
          <t>Montaria</t>
        </is>
      </c>
      <c r="P14" s="51" t="inlineStr">
        <is>
          <t>carrega uma pessoa ou mais, dependendo do tamanho</t>
        </is>
      </c>
    </row>
    <row r="15" ht="15" customHeight="1">
      <c r="A15" s="5" t="n"/>
      <c r="B15" s="5" t="n"/>
      <c r="C15" s="5" t="n"/>
      <c r="D15" s="52" t="n">
        <v>8</v>
      </c>
      <c r="H15" s="53" t="inlineStr">
        <is>
          <t>Fisgada</t>
        </is>
      </c>
      <c r="P15" s="41" t="inlineStr">
        <is>
          <t>prende à distância. Ela alcança, engancha, e quem ia fugir para de conseguir</t>
        </is>
      </c>
    </row>
    <row r="16" ht="15" customHeight="1">
      <c r="A16" s="5" t="n"/>
      <c r="B16" s="5" t="n"/>
      <c r="C16" s="5" t="n"/>
      <c r="D16" s="49" t="n">
        <v>8</v>
      </c>
      <c r="H16" s="50" t="inlineStr">
        <is>
          <t>Emboscada</t>
        </is>
      </c>
      <c r="P16" s="51" t="inlineStr">
        <is>
          <t>surge do chão, fora do alcance de visão</t>
        </is>
      </c>
    </row>
    <row r="17" ht="15" customHeight="1">
      <c r="A17" s="5" t="n"/>
      <c r="B17" s="5" t="n"/>
      <c r="C17" s="5" t="n"/>
      <c r="D17" s="52" t="n">
        <v>8</v>
      </c>
      <c r="H17" s="53" t="inlineStr">
        <is>
          <t>Jorro</t>
        </is>
      </c>
      <c r="P17" s="41" t="inlineStr">
        <is>
          <t>ataca em linha ou em área</t>
        </is>
      </c>
    </row>
    <row r="18" ht="15" customHeight="1">
      <c r="A18" s="5" t="n"/>
      <c r="B18" s="5" t="n"/>
      <c r="C18" s="5" t="n"/>
      <c r="D18" s="49" t="n">
        <v>8</v>
      </c>
      <c r="H18" s="50" t="inlineStr">
        <is>
          <t>Graúdo</t>
        </is>
      </c>
      <c r="P18" s="51" t="inlineStr">
        <is>
          <t>ocupa espaço maior e barra passagem</t>
        </is>
      </c>
    </row>
    <row r="19" ht="15" customHeight="1">
      <c r="A19" s="5" t="n"/>
      <c r="B19" s="5" t="n"/>
      <c r="C19" s="5" t="n"/>
      <c r="D19" s="52" t="n">
        <v>8</v>
      </c>
      <c r="H19" s="53" t="inlineStr">
        <is>
          <t>Remoto</t>
        </is>
      </c>
      <c r="P19" s="41" t="inlineStr">
        <is>
          <t>funciona além dos 18 metros da amarra. Dentro da cena, para qualquer um; fora da cena, com requisito</t>
        </is>
      </c>
    </row>
    <row r="20" ht="15" customHeight="1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</row>
    <row r="21" ht="15" customHeight="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</row>
    <row r="22" ht="15" customHeight="1">
      <c r="A22" s="5" t="n"/>
      <c r="B22" s="5" t="n"/>
      <c r="C22" s="5" t="n"/>
      <c r="D22" s="7" t="inlineStr">
        <is>
          <t>COMANDO</t>
        </is>
      </c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</row>
    <row r="23" ht="15" customHeight="1">
      <c r="A23" s="5" t="n"/>
      <c r="B23" s="5" t="n"/>
      <c r="C23" s="5" t="n"/>
      <c r="D23" s="44" t="inlineStr">
        <is>
          <t>o que ela FAZ quando o dono gasta a Ação Padrão nela.</t>
        </is>
      </c>
    </row>
    <row r="24" ht="15" customHeight="1">
      <c r="A24" s="5" t="n"/>
      <c r="B24" s="5" t="n"/>
      <c r="C24" s="5" t="n"/>
      <c r="D24" s="8" t="inlineStr">
        <is>
          <t>PONTOS</t>
        </is>
      </c>
      <c r="H24" s="8" t="inlineStr">
        <is>
          <t>NOME</t>
        </is>
      </c>
      <c r="P24" s="8" t="inlineStr">
        <is>
          <t>O QUE FAZ</t>
        </is>
      </c>
    </row>
    <row r="25" ht="15" customHeight="1">
      <c r="A25" s="5" t="n"/>
      <c r="B25" s="5" t="n"/>
      <c r="C25" s="5" t="n"/>
      <c r="D25" s="45" t="n">
        <v>0</v>
      </c>
      <c r="E25" s="46" t="n"/>
      <c r="F25" s="46" t="n"/>
      <c r="G25" s="46" t="n"/>
      <c r="H25" s="47" t="inlineStr">
        <is>
          <t>Investir</t>
        </is>
      </c>
      <c r="I25" s="46" t="n"/>
      <c r="J25" s="46" t="n"/>
      <c r="K25" s="46" t="n"/>
      <c r="L25" s="46" t="n"/>
      <c r="M25" s="46" t="n"/>
      <c r="N25" s="46" t="n"/>
      <c r="O25" s="46" t="n"/>
      <c r="P25" s="48" t="inlineStr">
        <is>
          <t>o ataque. Toda invocação tem</t>
        </is>
      </c>
      <c r="Q25" s="46" t="n"/>
      <c r="R25" s="46" t="n"/>
      <c r="S25" s="46" t="n"/>
      <c r="T25" s="46" t="n"/>
      <c r="U25" s="46" t="n"/>
      <c r="V25" s="46" t="n"/>
      <c r="W25" s="46" t="n"/>
      <c r="X25" s="46" t="n"/>
      <c r="Y25" s="46" t="n"/>
      <c r="Z25" s="46" t="n"/>
      <c r="AA25" s="46" t="n"/>
      <c r="AB25" s="46" t="n"/>
      <c r="AC25" s="46" t="n"/>
      <c r="AD25" s="46" t="n"/>
      <c r="AE25" s="46" t="n"/>
      <c r="AF25" s="46" t="n"/>
      <c r="AG25" s="46" t="n"/>
      <c r="AH25" s="46" t="n"/>
      <c r="AI25" s="46" t="n"/>
      <c r="AJ25" s="46" t="n"/>
      <c r="AK25" s="46" t="n"/>
      <c r="AL25" s="46" t="n"/>
      <c r="AM25" s="46" t="n"/>
      <c r="AN25" s="46" t="n"/>
      <c r="AO25" s="46" t="n"/>
      <c r="AP25" s="46" t="n"/>
      <c r="AQ25" s="46" t="n"/>
      <c r="AR25" s="46" t="n"/>
      <c r="AS25" s="46" t="n"/>
      <c r="AT25" s="46" t="n"/>
    </row>
    <row r="26" ht="15" customHeight="1">
      <c r="A26" s="5" t="n"/>
      <c r="B26" s="5" t="n"/>
      <c r="C26" s="5" t="n"/>
      <c r="D26" s="49" t="n">
        <v>4</v>
      </c>
      <c r="H26" s="50" t="inlineStr">
        <is>
          <t>Agarrar</t>
        </is>
      </c>
      <c r="P26" s="51" t="inlineStr">
        <is>
          <t>prende o alvo</t>
        </is>
      </c>
    </row>
    <row r="27" ht="15" customHeight="1">
      <c r="A27" s="5" t="n"/>
      <c r="B27" s="5" t="n"/>
      <c r="C27" s="5" t="n"/>
      <c r="D27" s="52" t="n">
        <v>4</v>
      </c>
      <c r="H27" s="53" t="inlineStr">
        <is>
          <t>Arrastar</t>
        </is>
      </c>
      <c r="P27" s="41" t="inlineStr">
        <is>
          <t>move o alvo, ou se move levando ele. Tira alguém de cima de uma beirada, ou põe</t>
        </is>
      </c>
    </row>
    <row r="28" ht="15" customHeight="1">
      <c r="A28" s="5" t="n"/>
      <c r="B28" s="5" t="n"/>
      <c r="C28" s="5" t="n"/>
      <c r="D28" s="49" t="n">
        <v>4</v>
      </c>
      <c r="H28" s="50" t="inlineStr">
        <is>
          <t>Buscar</t>
        </is>
      </c>
      <c r="P28" s="51" t="inlineStr">
        <is>
          <t>pega um objeto, ou rastreia de forma ativa</t>
        </is>
      </c>
    </row>
    <row r="29" ht="15" customHeight="1">
      <c r="A29" s="5" t="n"/>
      <c r="B29" s="5" t="n"/>
      <c r="C29" s="5" t="n"/>
      <c r="D29" s="52" t="n">
        <v>4</v>
      </c>
      <c r="H29" s="53" t="inlineStr">
        <is>
          <t>Cavar</t>
        </is>
      </c>
      <c r="P29" s="41" t="inlineStr">
        <is>
          <t>abre buraco, desenterra, revira o terreno. Faz rota onde não havia rota</t>
        </is>
      </c>
    </row>
    <row r="30" ht="15" customHeight="1">
      <c r="A30" s="5" t="n"/>
      <c r="B30" s="5" t="n"/>
      <c r="C30" s="5" t="n"/>
      <c r="D30" s="49" t="n">
        <v>8</v>
      </c>
      <c r="H30" s="50" t="inlineStr">
        <is>
          <t>Interpor</t>
        </is>
      </c>
      <c r="P30" s="51" t="inlineStr">
        <is>
          <t>se põe entre você e o golpe. O corpo dela recebe o que ia em você</t>
        </is>
      </c>
    </row>
    <row r="31" ht="15" customHeight="1">
      <c r="A31" s="5" t="n"/>
      <c r="B31" s="5" t="n"/>
      <c r="C31" s="5" t="n"/>
      <c r="D31" s="52" t="n">
        <v>8</v>
      </c>
      <c r="H31" s="53" t="inlineStr">
        <is>
          <t>Chamariz</t>
        </is>
      </c>
      <c r="P31" s="41" t="inlineStr">
        <is>
          <t>o alvo tem de vir para cima dela. Você escolhe em quem a coisa está prestando atenção</t>
        </is>
      </c>
    </row>
    <row r="32" ht="15" customHeight="1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</row>
    <row r="33" ht="15" customHeight="1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</row>
    <row r="34" ht="15" customHeight="1">
      <c r="A34" s="5" t="n"/>
      <c r="B34" s="5" t="n"/>
      <c r="C34" s="5" t="n"/>
      <c r="D34" s="7" t="inlineStr">
        <is>
          <t>INVENTAR O SEU</t>
        </is>
      </c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</row>
    <row r="35" ht="15" customHeight="1">
      <c r="A35" s="5" t="n"/>
      <c r="B35" s="5" t="n"/>
      <c r="C35" s="5" t="n"/>
      <c r="D35" s="44" t="inlineStr">
        <is>
          <t>escreva o efeito, ache na régua o degrau em que ele cai, e leve para o mestre. A palavra final é dele, sempre em cima de uma entrada escrita.</t>
        </is>
      </c>
    </row>
    <row r="36" ht="15" customHeight="1">
      <c r="A36" s="5" t="n"/>
      <c r="B36" s="5" t="n"/>
      <c r="C36" s="5" t="n"/>
    </row>
    <row r="37" ht="15" customHeight="1">
      <c r="A37" s="5" t="n"/>
      <c r="B37" s="5" t="n"/>
      <c r="C37" s="5" t="n"/>
      <c r="D37" s="54" t="inlineStr">
        <is>
          <t>régua de TRAÇO</t>
        </is>
      </c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</row>
    <row r="38" ht="15" customHeight="1">
      <c r="A38" s="5" t="n"/>
      <c r="B38" s="5" t="n"/>
      <c r="C38" s="5" t="n"/>
      <c r="D38" s="52" t="n">
        <v>2</v>
      </c>
      <c r="H38" s="41" t="inlineStr">
        <is>
          <t>muda como ela anda, e só ela</t>
        </is>
      </c>
    </row>
    <row r="39" ht="15" customHeight="1">
      <c r="A39" s="5" t="n"/>
      <c r="B39" s="5" t="n"/>
      <c r="C39" s="5" t="n"/>
      <c r="D39" s="49" t="n">
        <v>3</v>
      </c>
      <c r="H39" s="51" t="inlineStr">
        <is>
          <t>muda o que ela comunica</t>
        </is>
      </c>
    </row>
    <row r="40" ht="15" customHeight="1">
      <c r="A40" s="5" t="n"/>
      <c r="B40" s="5" t="n"/>
      <c r="C40" s="5" t="n"/>
      <c r="D40" s="52" t="n">
        <v>5</v>
      </c>
      <c r="H40" s="41" t="inlineStr">
        <is>
          <t>muda o que ela percebe</t>
        </is>
      </c>
    </row>
    <row r="41" ht="15" customHeight="1">
      <c r="A41" s="5" t="n"/>
      <c r="B41" s="5" t="n"/>
      <c r="C41" s="5" t="n"/>
      <c r="D41" s="49" t="n">
        <v>7</v>
      </c>
      <c r="H41" s="51" t="inlineStr">
        <is>
          <t>muda que espaço ela ocupa, a um passo de mexer no tabuleiro</t>
        </is>
      </c>
    </row>
    <row r="42" ht="15" customHeight="1">
      <c r="A42" s="5" t="n"/>
      <c r="B42" s="5" t="n"/>
      <c r="C42" s="5" t="n"/>
      <c r="D42" s="52" t="n">
        <v>8</v>
      </c>
      <c r="H42" s="41" t="inlineStr">
        <is>
          <t>encosta em outra criatura ou no ambiente: carrega, prende, empurra, barra, alcança além do alcance, aparece onde não dava</t>
        </is>
      </c>
    </row>
    <row r="43" ht="15" customHeight="1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  <c r="AP43" s="5" t="n"/>
      <c r="AQ43" s="5" t="n"/>
      <c r="AR43" s="5" t="n"/>
      <c r="AS43" s="5" t="n"/>
      <c r="AT43" s="5" t="n"/>
    </row>
    <row r="44" ht="15" customHeight="1">
      <c r="A44" s="5" t="n"/>
      <c r="B44" s="5" t="n"/>
      <c r="C44" s="5" t="n"/>
      <c r="D44" s="54" t="inlineStr">
        <is>
          <t>régua de COMANDO</t>
        </is>
      </c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</row>
    <row r="45" ht="15" customHeight="1">
      <c r="A45" s="5" t="n"/>
      <c r="B45" s="5" t="n"/>
      <c r="C45" s="5" t="n"/>
      <c r="D45" s="52" t="n">
        <v>0</v>
      </c>
      <c r="H45" s="41" t="inlineStr">
        <is>
          <t>é o ataque</t>
        </is>
      </c>
    </row>
    <row r="46" ht="15" customHeight="1">
      <c r="A46" s="5" t="n"/>
      <c r="B46" s="5" t="n"/>
      <c r="C46" s="5" t="n"/>
      <c r="D46" s="49" t="n">
        <v>4</v>
      </c>
      <c r="H46" s="51" t="inlineStr">
        <is>
          <t>faz uma coisa com um alvo ou um objeto</t>
        </is>
      </c>
    </row>
    <row r="47" ht="15" customHeight="1">
      <c r="A47" s="5" t="n"/>
      <c r="B47" s="5" t="n"/>
      <c r="C47" s="5" t="n"/>
      <c r="D47" s="52" t="n">
        <v>8</v>
      </c>
      <c r="H47" s="41" t="inlineStr">
        <is>
          <t>protege você, ou nega a ação de outro</t>
        </is>
      </c>
    </row>
    <row r="48" ht="15" customHeight="1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  <c r="AP48" s="5" t="n"/>
      <c r="AQ48" s="5" t="n"/>
      <c r="AR48" s="5" t="n"/>
      <c r="AS48" s="5" t="n"/>
      <c r="AT48" s="5" t="n"/>
    </row>
    <row r="49" ht="15" customHeight="1">
      <c r="A49" s="5" t="n"/>
      <c r="B49" s="5" t="n"/>
      <c r="C49" s="5" t="n"/>
      <c r="D49" s="55" t="inlineStr">
        <is>
          <t>E O QUE NÃO SE COMPRA A PREÇO NENHUM</t>
        </is>
      </c>
    </row>
    <row r="50" ht="15" customHeight="1">
      <c r="A50" s="5" t="n"/>
      <c r="B50" s="5" t="n"/>
      <c r="C50" s="5" t="n"/>
      <c r="D50" s="56" t="inlineStr">
        <is>
          <t>dado de dano</t>
        </is>
      </c>
      <c r="P50" s="44" t="inlineStr">
        <is>
          <t>o teto de uma Rotina já governa a saída. Um Traço que dê +1d6 não existe</t>
        </is>
      </c>
    </row>
    <row r="51" ht="15" customHeight="1">
      <c r="A51" s="5" t="n"/>
      <c r="B51" s="5" t="n"/>
      <c r="C51" s="5" t="n"/>
      <c r="D51" s="57" t="inlineStr">
        <is>
          <t>qualquer coisa que cresça com refino</t>
        </is>
      </c>
      <c r="E51" s="46" t="n"/>
      <c r="F51" s="46" t="n"/>
      <c r="G51" s="46" t="n"/>
      <c r="H51" s="46" t="n"/>
      <c r="I51" s="46" t="n"/>
      <c r="J51" s="46" t="n"/>
      <c r="K51" s="46" t="n"/>
      <c r="L51" s="46" t="n"/>
      <c r="M51" s="46" t="n"/>
      <c r="N51" s="46" t="n"/>
      <c r="O51" s="46" t="n"/>
      <c r="P51" s="58" t="inlineStr">
        <is>
          <t>refino cresce muito mais rápido que a ficha dela, e ela passaria de você</t>
        </is>
      </c>
      <c r="Q51" s="46" t="n"/>
      <c r="R51" s="46" t="n"/>
      <c r="S51" s="46" t="n"/>
      <c r="T51" s="46" t="n"/>
      <c r="U51" s="46" t="n"/>
      <c r="V51" s="46" t="n"/>
      <c r="W51" s="46" t="n"/>
      <c r="X51" s="46" t="n"/>
      <c r="Y51" s="46" t="n"/>
      <c r="Z51" s="46" t="n"/>
      <c r="AA51" s="46" t="n"/>
      <c r="AB51" s="46" t="n"/>
      <c r="AC51" s="46" t="n"/>
      <c r="AD51" s="46" t="n"/>
      <c r="AE51" s="46" t="n"/>
      <c r="AF51" s="46" t="n"/>
      <c r="AG51" s="46" t="n"/>
      <c r="AH51" s="46" t="n"/>
      <c r="AI51" s="46" t="n"/>
      <c r="AJ51" s="46" t="n"/>
      <c r="AK51" s="46" t="n"/>
      <c r="AL51" s="46" t="n"/>
      <c r="AM51" s="46" t="n"/>
      <c r="AN51" s="46" t="n"/>
      <c r="AO51" s="46" t="n"/>
      <c r="AP51" s="46" t="n"/>
      <c r="AQ51" s="46" t="n"/>
      <c r="AR51" s="46" t="n"/>
      <c r="AS51" s="46" t="n"/>
      <c r="AT51" s="46" t="n"/>
    </row>
    <row r="52" ht="15" customHeight="1">
      <c r="A52" s="5" t="n"/>
      <c r="B52" s="5" t="n"/>
      <c r="C52" s="5" t="n"/>
      <c r="D52" s="57" t="inlineStr">
        <is>
          <t>atributo</t>
        </is>
      </c>
      <c r="E52" s="46" t="n"/>
      <c r="F52" s="46" t="n"/>
      <c r="G52" s="46" t="n"/>
      <c r="H52" s="46" t="n"/>
      <c r="I52" s="46" t="n"/>
      <c r="J52" s="46" t="n"/>
      <c r="K52" s="46" t="n"/>
      <c r="L52" s="46" t="n"/>
      <c r="M52" s="46" t="n"/>
      <c r="N52" s="46" t="n"/>
      <c r="O52" s="46" t="n"/>
      <c r="P52" s="58" t="inlineStr">
        <is>
          <t>os cinco já saem do arranjo dela, e comprar de novo é pagar duas vezes</t>
        </is>
      </c>
      <c r="Q52" s="46" t="n"/>
      <c r="R52" s="46" t="n"/>
      <c r="S52" s="46" t="n"/>
      <c r="T52" s="46" t="n"/>
      <c r="U52" s="46" t="n"/>
      <c r="V52" s="46" t="n"/>
      <c r="W52" s="46" t="n"/>
      <c r="X52" s="46" t="n"/>
      <c r="Y52" s="46" t="n"/>
      <c r="Z52" s="46" t="n"/>
      <c r="AA52" s="46" t="n"/>
      <c r="AB52" s="46" t="n"/>
      <c r="AC52" s="46" t="n"/>
      <c r="AD52" s="46" t="n"/>
      <c r="AE52" s="46" t="n"/>
      <c r="AF52" s="46" t="n"/>
      <c r="AG52" s="46" t="n"/>
      <c r="AH52" s="46" t="n"/>
      <c r="AI52" s="46" t="n"/>
      <c r="AJ52" s="46" t="n"/>
      <c r="AK52" s="46" t="n"/>
      <c r="AL52" s="46" t="n"/>
      <c r="AM52" s="46" t="n"/>
      <c r="AN52" s="46" t="n"/>
      <c r="AO52" s="46" t="n"/>
      <c r="AP52" s="46" t="n"/>
      <c r="AQ52" s="46" t="n"/>
      <c r="AR52" s="46" t="n"/>
      <c r="AS52" s="46" t="n"/>
      <c r="AT52" s="46" t="n"/>
    </row>
    <row r="53" ht="15" customHeight="1">
      <c r="A53" s="5" t="n"/>
      <c r="B53" s="5" t="n"/>
      <c r="C53" s="5" t="n"/>
      <c r="D53" s="57" t="inlineStr">
        <is>
          <t>Defesa, acerto ou vida direto</t>
        </is>
      </c>
      <c r="E53" s="46" t="n"/>
      <c r="F53" s="46" t="n"/>
      <c r="G53" s="46" t="n"/>
      <c r="H53" s="46" t="n"/>
      <c r="I53" s="46" t="n"/>
      <c r="J53" s="46" t="n"/>
      <c r="K53" s="46" t="n"/>
      <c r="L53" s="46" t="n"/>
      <c r="M53" s="46" t="n"/>
      <c r="N53" s="46" t="n"/>
      <c r="O53" s="46" t="n"/>
      <c r="P53" s="58" t="inlineStr">
        <is>
          <t>os três saem dos atributos dela</t>
        </is>
      </c>
      <c r="Q53" s="46" t="n"/>
      <c r="R53" s="46" t="n"/>
      <c r="S53" s="46" t="n"/>
      <c r="T53" s="46" t="n"/>
      <c r="U53" s="46" t="n"/>
      <c r="V53" s="46" t="n"/>
      <c r="W53" s="46" t="n"/>
      <c r="X53" s="46" t="n"/>
      <c r="Y53" s="46" t="n"/>
      <c r="Z53" s="46" t="n"/>
      <c r="AA53" s="46" t="n"/>
      <c r="AB53" s="46" t="n"/>
      <c r="AC53" s="46" t="n"/>
      <c r="AD53" s="46" t="n"/>
      <c r="AE53" s="46" t="n"/>
      <c r="AF53" s="46" t="n"/>
      <c r="AG53" s="46" t="n"/>
      <c r="AH53" s="46" t="n"/>
      <c r="AI53" s="46" t="n"/>
      <c r="AJ53" s="46" t="n"/>
      <c r="AK53" s="46" t="n"/>
      <c r="AL53" s="46" t="n"/>
      <c r="AM53" s="46" t="n"/>
      <c r="AN53" s="46" t="n"/>
      <c r="AO53" s="46" t="n"/>
      <c r="AP53" s="46" t="n"/>
      <c r="AQ53" s="46" t="n"/>
      <c r="AR53" s="46" t="n"/>
      <c r="AS53" s="46" t="n"/>
      <c r="AT53" s="46" t="n"/>
    </row>
    <row r="54" ht="15" customHeight="1">
      <c r="A54" s="5" t="n"/>
      <c r="B54" s="5" t="n"/>
      <c r="C54" s="5" t="n"/>
      <c r="D54" s="13" t="n"/>
      <c r="E54" s="13" t="n"/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13" t="n"/>
      <c r="V54" s="13" t="n"/>
      <c r="W54" s="13" t="n"/>
      <c r="X54" s="13" t="n"/>
      <c r="Y54" s="13" t="n"/>
      <c r="Z54" s="13" t="n"/>
      <c r="AA54" s="13" t="n"/>
      <c r="AB54" s="13" t="n"/>
      <c r="AC54" s="13" t="n"/>
      <c r="AD54" s="13" t="n"/>
      <c r="AE54" s="13" t="n"/>
      <c r="AF54" s="13" t="n"/>
      <c r="AG54" s="13" t="n"/>
      <c r="AH54" s="13" t="n"/>
      <c r="AI54" s="13" t="n"/>
      <c r="AJ54" s="13" t="n"/>
      <c r="AK54" s="13" t="n"/>
      <c r="AL54" s="13" t="n"/>
      <c r="AM54" s="13" t="n"/>
      <c r="AN54" s="13" t="n"/>
      <c r="AO54" s="13" t="n"/>
      <c r="AP54" s="13" t="n"/>
      <c r="AQ54" s="13" t="n"/>
      <c r="AR54" s="13" t="n"/>
      <c r="AS54" s="13" t="n"/>
      <c r="AT54" s="13" t="n"/>
    </row>
    <row r="55" ht="15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</row>
    <row r="56" ht="15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</row>
    <row r="57" ht="15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</row>
    <row r="58" ht="15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  <c r="AQ58" s="5" t="n"/>
      <c r="AR58" s="5" t="n"/>
      <c r="AS58" s="5" t="n"/>
      <c r="AT58" s="5" t="n"/>
    </row>
    <row r="59" ht="15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  <c r="AQ59" s="5" t="n"/>
      <c r="AR59" s="5" t="n"/>
      <c r="AS59" s="5" t="n"/>
      <c r="AT59" s="5" t="n"/>
    </row>
    <row r="60" ht="15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  <c r="AQ60" s="5" t="n"/>
      <c r="AR60" s="5" t="n"/>
      <c r="AS60" s="5" t="n"/>
      <c r="AT60" s="5" t="n"/>
    </row>
    <row r="61" ht="15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</row>
    <row r="62" ht="15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</row>
    <row r="63" ht="15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</row>
    <row r="64" ht="15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</row>
  </sheetData>
  <mergeCells count="101">
    <mergeCell ref="D18:G18"/>
    <mergeCell ref="P17:AT17"/>
    <mergeCell ref="D8:G8"/>
    <mergeCell ref="H29:O29"/>
    <mergeCell ref="H39:AT39"/>
    <mergeCell ref="P19:AT19"/>
    <mergeCell ref="P53:AT53"/>
    <mergeCell ref="D53:O53"/>
    <mergeCell ref="H31:O31"/>
    <mergeCell ref="D1:AD2"/>
    <mergeCell ref="D31:G31"/>
    <mergeCell ref="D45:G45"/>
    <mergeCell ref="P29:AT29"/>
    <mergeCell ref="D6:G6"/>
    <mergeCell ref="H7:O7"/>
    <mergeCell ref="H16:O16"/>
    <mergeCell ref="D13:G13"/>
    <mergeCell ref="P31:AT31"/>
    <mergeCell ref="H27:O27"/>
    <mergeCell ref="P8:AT8"/>
    <mergeCell ref="D7:G7"/>
    <mergeCell ref="H38:AT38"/>
    <mergeCell ref="H40:AT40"/>
    <mergeCell ref="P7:AT7"/>
    <mergeCell ref="P16:AT16"/>
    <mergeCell ref="D24:G24"/>
    <mergeCell ref="D42:G42"/>
    <mergeCell ref="H9:O9"/>
    <mergeCell ref="P18:AT18"/>
    <mergeCell ref="D26:G26"/>
    <mergeCell ref="H6:O6"/>
    <mergeCell ref="D19:G19"/>
    <mergeCell ref="P25:AT25"/>
    <mergeCell ref="D11:G11"/>
    <mergeCell ref="P9:AT9"/>
    <mergeCell ref="H13:O13"/>
    <mergeCell ref="P6:AT6"/>
    <mergeCell ref="D47:G47"/>
    <mergeCell ref="P11:AT11"/>
    <mergeCell ref="H15:O15"/>
    <mergeCell ref="H24:O24"/>
    <mergeCell ref="H18:O18"/>
    <mergeCell ref="H8:O8"/>
    <mergeCell ref="D9:G9"/>
    <mergeCell ref="H26:O26"/>
    <mergeCell ref="D44:T44"/>
    <mergeCell ref="D39:G39"/>
    <mergeCell ref="D34:T34"/>
    <mergeCell ref="H10:O10"/>
    <mergeCell ref="D15:G15"/>
    <mergeCell ref="D29:G29"/>
    <mergeCell ref="P13:AT13"/>
    <mergeCell ref="D38:G38"/>
    <mergeCell ref="D22:T22"/>
    <mergeCell ref="P15:AT15"/>
    <mergeCell ref="P24:AT24"/>
    <mergeCell ref="D10:G10"/>
    <mergeCell ref="D23:AT23"/>
    <mergeCell ref="P26:AT26"/>
    <mergeCell ref="P10:AT10"/>
    <mergeCell ref="P50:AT50"/>
    <mergeCell ref="D50:O50"/>
    <mergeCell ref="D27:G27"/>
    <mergeCell ref="H28:O28"/>
    <mergeCell ref="H42:AT42"/>
    <mergeCell ref="D4:T4"/>
    <mergeCell ref="H12:O12"/>
    <mergeCell ref="D17:G17"/>
    <mergeCell ref="P52:AT52"/>
    <mergeCell ref="D49:AT49"/>
    <mergeCell ref="H14:O14"/>
    <mergeCell ref="D28:G28"/>
    <mergeCell ref="D12:G12"/>
    <mergeCell ref="D25:G25"/>
    <mergeCell ref="D30:G30"/>
    <mergeCell ref="P28:AT28"/>
    <mergeCell ref="D35:AT36"/>
    <mergeCell ref="D14:G14"/>
    <mergeCell ref="H46:AT46"/>
    <mergeCell ref="P12:AT12"/>
    <mergeCell ref="P30:AT30"/>
    <mergeCell ref="H25:O25"/>
    <mergeCell ref="P14:AT14"/>
    <mergeCell ref="D5:AT5"/>
    <mergeCell ref="H45:AT45"/>
    <mergeCell ref="D46:G46"/>
    <mergeCell ref="D40:G40"/>
    <mergeCell ref="H17:O17"/>
    <mergeCell ref="H11:O11"/>
    <mergeCell ref="P51:AT51"/>
    <mergeCell ref="H47:AT47"/>
    <mergeCell ref="D51:O51"/>
    <mergeCell ref="H19:O19"/>
    <mergeCell ref="D37:T37"/>
    <mergeCell ref="D41:G41"/>
    <mergeCell ref="D16:G16"/>
    <mergeCell ref="P27:AT27"/>
    <mergeCell ref="AF1:AT2"/>
    <mergeCell ref="D52:O52"/>
    <mergeCell ref="H30:O30"/>
    <mergeCell ref="H41:AT41"/>
  </mergeCells>
  <pageMargins left="0.75" right="0.75" top="1" bottom="1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6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6" customWidth="1" min="11" max="11"/>
    <col width="16" customWidth="1" min="12" max="12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20" max="20"/>
    <col width="16" customWidth="1" min="21" max="21"/>
    <col width="16" customWidth="1" min="23" max="23"/>
    <col width="16" customWidth="1" min="24" max="24"/>
    <col width="16" customWidth="1" min="26" max="26"/>
    <col width="16" customWidth="1" min="27" max="27"/>
    <col width="16" customWidth="1" min="28" max="28"/>
    <col width="16" customWidth="1" min="30" max="30"/>
    <col width="16" customWidth="1" min="31" max="31"/>
    <col width="10" customWidth="1" min="33" max="33"/>
    <col width="10" customWidth="1" min="34" max="34"/>
    <col width="10" customWidth="1" min="35" max="35"/>
    <col width="10" customWidth="1" min="37" max="37"/>
    <col width="22" customWidth="1" min="39" max="39"/>
    <col width="12" customWidth="1" min="40" max="40"/>
  </cols>
  <sheetData>
    <row r="1">
      <c r="A1" s="54" t="inlineStr">
        <is>
          <t>tipos</t>
        </is>
      </c>
      <c r="B1" s="54" t="inlineStr">
        <is>
          <t>trilhas</t>
        </is>
      </c>
      <c r="C1" s="54" t="inlineStr">
        <is>
          <t>atributos</t>
        </is>
      </c>
      <c r="D1" s="54" t="inlineStr">
        <is>
          <t>trs</t>
        </is>
      </c>
      <c r="E1" s="54" t="inlineStr">
        <is>
          <t>sintonia</t>
        </is>
      </c>
      <c r="F1" s="54" t="inlineStr">
        <is>
          <t>defesa_de</t>
        </is>
      </c>
      <c r="G1" s="54" t="inlineStr">
        <is>
          <t>fisico_de</t>
        </is>
      </c>
      <c r="H1" s="54" t="inlineStr">
        <is>
          <t>traco</t>
        </is>
      </c>
      <c r="I1" s="54" t="inlineStr">
        <is>
          <t>comando</t>
        </is>
      </c>
      <c r="J1" s="5" t="n"/>
      <c r="K1" s="54" t="inlineStr">
        <is>
          <t>tab_tipos</t>
        </is>
      </c>
      <c r="L1" s="5" t="n"/>
      <c r="M1" s="5" t="n"/>
      <c r="N1" s="54" t="inlineStr">
        <is>
          <t>tab_trilhas</t>
        </is>
      </c>
      <c r="O1" s="5" t="n"/>
      <c r="P1" s="5" t="n"/>
      <c r="Q1" s="5" t="n"/>
      <c r="R1" s="5" t="n"/>
      <c r="S1" s="5" t="n"/>
      <c r="T1" s="54" t="inlineStr">
        <is>
          <t>tab_traco</t>
        </is>
      </c>
      <c r="U1" s="5" t="n"/>
      <c r="V1" s="5" t="n"/>
      <c r="W1" s="54" t="inlineStr">
        <is>
          <t>tab_comando</t>
        </is>
      </c>
      <c r="X1" s="5" t="n"/>
      <c r="Y1" s="5" t="n"/>
      <c r="Z1" s="54" t="inlineStr">
        <is>
          <t>tab_investir</t>
        </is>
      </c>
      <c r="AA1" s="5" t="n"/>
      <c r="AB1" s="5" t="n"/>
      <c r="AC1" s="5" t="n"/>
      <c r="AD1" s="54" t="inlineStr">
        <is>
          <t>tab_trs</t>
        </is>
      </c>
      <c r="AE1" s="5" t="n"/>
      <c r="AF1" s="5" t="n"/>
      <c r="AG1" s="5" t="n"/>
      <c r="AH1" s="5" t="n"/>
      <c r="AI1" s="5" t="n"/>
      <c r="AJ1" s="5" t="n"/>
      <c r="AK1" s="5" t="n"/>
      <c r="AL1" s="5" t="n"/>
      <c r="AM1" s="5" t="n"/>
    </row>
    <row r="2">
      <c r="A2" s="23" t="inlineStr">
        <is>
          <t>talismã</t>
        </is>
      </c>
      <c r="B2" s="23" t="inlineStr">
        <is>
          <t>Servo</t>
        </is>
      </c>
      <c r="C2" s="23" t="inlineStr">
        <is>
          <t>Força</t>
        </is>
      </c>
      <c r="D2" s="23" t="inlineStr">
        <is>
          <t>Físico</t>
        </is>
      </c>
      <c r="E2" s="23" t="inlineStr">
        <is>
          <t>—</t>
        </is>
      </c>
      <c r="F2" s="23" t="inlineStr">
        <is>
          <t>Essência</t>
        </is>
      </c>
      <c r="G2" s="23" t="inlineStr">
        <is>
          <t>Força</t>
        </is>
      </c>
      <c r="H2" s="23" t="inlineStr">
        <is>
          <t>—</t>
        </is>
      </c>
      <c r="I2" s="23" t="inlineStr">
        <is>
          <t>—</t>
        </is>
      </c>
      <c r="J2" s="5" t="n"/>
      <c r="K2" s="44" t="inlineStr">
        <is>
          <t>tipo</t>
        </is>
      </c>
      <c r="L2" s="44" t="inlineStr">
        <is>
          <t>base</t>
        </is>
      </c>
      <c r="M2" s="5" t="n"/>
      <c r="N2" s="44" t="inlineStr">
        <is>
          <t>trilha</t>
        </is>
      </c>
      <c r="O2" s="44" t="inlineStr">
        <is>
          <t>corpos</t>
        </is>
      </c>
      <c r="P2" s="44" t="inlineStr">
        <is>
          <t>mult</t>
        </is>
      </c>
      <c r="Q2" s="44" t="inlineStr">
        <is>
          <t>corpo</t>
        </is>
      </c>
      <c r="R2" s="44" t="inlineStr">
        <is>
          <t>area</t>
        </is>
      </c>
      <c r="S2" s="5" t="n"/>
      <c r="T2" s="44" t="inlineStr">
        <is>
          <t>traço</t>
        </is>
      </c>
      <c r="U2" s="44" t="inlineStr">
        <is>
          <t>pontos</t>
        </is>
      </c>
      <c r="V2" s="5" t="n"/>
      <c r="W2" s="44" t="inlineStr">
        <is>
          <t>comando</t>
        </is>
      </c>
      <c r="X2" s="44" t="inlineStr">
        <is>
          <t>pontos</t>
        </is>
      </c>
      <c r="Y2" s="5" t="n"/>
      <c r="Z2" s="44" t="inlineStr">
        <is>
          <t>de</t>
        </is>
      </c>
      <c r="AA2" s="44" t="inlineStr">
        <is>
          <t>uma</t>
        </is>
      </c>
      <c r="AB2" s="44" t="inlineStr">
        <is>
          <t>matilha</t>
        </is>
      </c>
      <c r="AC2" s="5" t="n"/>
      <c r="AD2" s="44" t="inlineStr">
        <is>
          <t>tr</t>
        </is>
      </c>
      <c r="AE2" s="44" t="inlineStr">
        <is>
          <t>atributo</t>
        </is>
      </c>
      <c r="AF2" s="5" t="n"/>
      <c r="AG2" s="44" t="inlineStr">
        <is>
          <t>e_marcos</t>
        </is>
      </c>
      <c r="AH2" s="44" t="inlineStr">
        <is>
          <t>e_maestria</t>
        </is>
      </c>
      <c r="AI2" s="44" t="inlineStr">
        <is>
          <t>e_classe</t>
        </is>
      </c>
      <c r="AJ2" s="5" t="n"/>
      <c r="AK2" s="44" t="inlineStr">
        <is>
          <t>espelho</t>
        </is>
      </c>
      <c r="AL2" s="5" t="n"/>
      <c r="AM2" s="44" t="inlineStr">
        <is>
          <t>campo</t>
        </is>
      </c>
      <c r="AN2" s="59" t="inlineStr">
        <is>
          <t>célula</t>
        </is>
      </c>
    </row>
    <row r="3">
      <c r="A3" s="23" t="inlineStr">
        <is>
          <t>corpo amaldiçoado</t>
        </is>
      </c>
      <c r="B3" s="23" t="inlineStr">
        <is>
          <t>Matilha</t>
        </is>
      </c>
      <c r="C3" s="23" t="inlineStr">
        <is>
          <t>Destreza</t>
        </is>
      </c>
      <c r="D3" s="23" t="inlineStr">
        <is>
          <t>Vigor</t>
        </is>
      </c>
      <c r="E3" s="23" t="inlineStr">
        <is>
          <t>Presa</t>
        </is>
      </c>
      <c r="F3" s="23" t="inlineStr">
        <is>
          <t>Inteligência</t>
        </is>
      </c>
      <c r="G3" s="23" t="inlineStr">
        <is>
          <t>Destreza</t>
        </is>
      </c>
      <c r="H3" s="23" t="inlineStr">
        <is>
          <t>Escalada</t>
        </is>
      </c>
      <c r="I3" s="23" t="inlineStr">
        <is>
          <t>Investir</t>
        </is>
      </c>
      <c r="J3" s="5" t="n"/>
      <c r="K3" s="23" t="inlineStr">
        <is>
          <t>talismã</t>
        </is>
      </c>
      <c r="L3" s="23" t="n">
        <v>1</v>
      </c>
      <c r="M3" s="5" t="n"/>
      <c r="N3" s="23" t="inlineStr">
        <is>
          <t>Servo</t>
        </is>
      </c>
      <c r="O3" s="23" t="n">
        <v>1</v>
      </c>
      <c r="P3" s="23" t="n">
        <v>1.5</v>
      </c>
      <c r="Q3" s="23" t="inlineStr">
        <is>
          <t>forte</t>
        </is>
      </c>
      <c r="R3" s="23" t="n">
        <v>1</v>
      </c>
      <c r="S3" s="5" t="n"/>
      <c r="T3" s="23" t="inlineStr">
        <is>
          <t>—</t>
        </is>
      </c>
      <c r="U3" s="23" t="n">
        <v>0</v>
      </c>
      <c r="V3" s="5" t="n"/>
      <c r="W3" s="23" t="inlineStr">
        <is>
          <t>—</t>
        </is>
      </c>
      <c r="X3" s="23" t="n">
        <v>0</v>
      </c>
      <c r="Y3" s="5" t="n"/>
      <c r="Z3" s="23" t="n">
        <v>2</v>
      </c>
      <c r="AA3" s="23" t="inlineStr">
        <is>
          <t>1d6</t>
        </is>
      </c>
      <c r="AB3" s="23" t="inlineStr">
        <is>
          <t>2</t>
        </is>
      </c>
      <c r="AC3" s="5" t="n"/>
      <c r="AD3" s="23" t="inlineStr">
        <is>
          <t>Físico</t>
        </is>
      </c>
      <c r="AE3" s="23" t="inlineStr">
        <is>
          <t>Força</t>
        </is>
      </c>
      <c r="AF3" s="5" t="n"/>
      <c r="AG3" s="23" t="n">
        <v>6</v>
      </c>
      <c r="AH3" s="23" t="n">
        <v>10</v>
      </c>
      <c r="AI3" s="23" t="n">
        <v>1</v>
      </c>
      <c r="AJ3" s="5" t="n"/>
      <c r="AK3" s="23">
        <f>INVOCAÇÃO!$D$22</f>
        <v/>
      </c>
      <c r="AL3" s="5" t="n"/>
      <c r="AM3" s="23" t="inlineStr">
        <is>
          <t>nivel</t>
        </is>
      </c>
      <c r="AN3" s="60" t="inlineStr">
        <is>
          <t>D7</t>
        </is>
      </c>
    </row>
    <row r="4">
      <c r="A4" s="23" t="inlineStr">
        <is>
          <t>técnica</t>
        </is>
      </c>
      <c r="B4" s="23" t="inlineStr">
        <is>
          <t>Coro</t>
        </is>
      </c>
      <c r="C4" s="23" t="inlineStr">
        <is>
          <t>Constituição</t>
        </is>
      </c>
      <c r="D4" s="23" t="inlineStr">
        <is>
          <t>Intelecto</t>
        </is>
      </c>
      <c r="E4" s="23" t="inlineStr">
        <is>
          <t>Parrudo</t>
        </is>
      </c>
      <c r="F4" s="5" t="n"/>
      <c r="G4" s="5" t="n"/>
      <c r="H4" s="23" t="inlineStr">
        <is>
          <t>Nado</t>
        </is>
      </c>
      <c r="I4" s="23" t="inlineStr">
        <is>
          <t>Agarrar</t>
        </is>
      </c>
      <c r="J4" s="5" t="n"/>
      <c r="K4" s="23" t="inlineStr">
        <is>
          <t>corpo amaldiçoado</t>
        </is>
      </c>
      <c r="L4" s="23" t="n">
        <v>1</v>
      </c>
      <c r="M4" s="5" t="n"/>
      <c r="N4" s="23" t="inlineStr">
        <is>
          <t>Matilha</t>
        </is>
      </c>
      <c r="O4" s="23" t="n">
        <v>5</v>
      </c>
      <c r="P4" s="23" t="n">
        <v>1</v>
      </c>
      <c r="Q4" s="23" t="inlineStr">
        <is>
          <t>forte</t>
        </is>
      </c>
      <c r="R4" s="23" t="n">
        <v>1.5</v>
      </c>
      <c r="S4" s="5" t="n"/>
      <c r="T4" s="23" t="inlineStr">
        <is>
          <t>Escalada</t>
        </is>
      </c>
      <c r="U4" s="23" t="n">
        <v>2</v>
      </c>
      <c r="V4" s="5" t="n"/>
      <c r="W4" s="23" t="inlineStr">
        <is>
          <t>Investir</t>
        </is>
      </c>
      <c r="X4" s="23" t="n">
        <v>0</v>
      </c>
      <c r="Y4" s="5" t="n"/>
      <c r="Z4" s="23" t="n">
        <v>5</v>
      </c>
      <c r="AA4" s="23" t="inlineStr">
        <is>
          <t>4d6</t>
        </is>
      </c>
      <c r="AB4" s="23" t="inlineStr">
        <is>
          <t>1d6</t>
        </is>
      </c>
      <c r="AC4" s="5" t="n"/>
      <c r="AD4" s="23" t="inlineStr">
        <is>
          <t>Vigor</t>
        </is>
      </c>
      <c r="AE4" s="23" t="inlineStr">
        <is>
          <t>Constituição</t>
        </is>
      </c>
      <c r="AF4" s="5" t="n"/>
      <c r="AG4" s="23" t="n">
        <v>10</v>
      </c>
      <c r="AH4" s="23" t="n">
        <v>18</v>
      </c>
      <c r="AI4" s="23" t="n">
        <v>5</v>
      </c>
      <c r="AJ4" s="5" t="n"/>
      <c r="AK4" s="23">
        <f>INVOCAÇÃO!$K$22</f>
        <v/>
      </c>
      <c r="AL4" s="5" t="n"/>
      <c r="AM4" s="23" t="inlineStr">
        <is>
          <t>ess_dono</t>
        </is>
      </c>
      <c r="AN4" s="60" t="inlineStr">
        <is>
          <t>K7</t>
        </is>
      </c>
    </row>
    <row r="5">
      <c r="A5" s="23" t="inlineStr">
        <is>
          <t>maldição domada</t>
        </is>
      </c>
      <c r="B5" s="5" t="n"/>
      <c r="C5" s="23" t="inlineStr">
        <is>
          <t>Inteligência</t>
        </is>
      </c>
      <c r="D5" s="23" t="inlineStr">
        <is>
          <t>Espírito</t>
        </is>
      </c>
      <c r="E5" s="23" t="inlineStr">
        <is>
          <t>Voz</t>
        </is>
      </c>
      <c r="F5" s="5" t="n"/>
      <c r="G5" s="5" t="n"/>
      <c r="H5" s="23" t="inlineStr">
        <is>
          <t>Fala</t>
        </is>
      </c>
      <c r="I5" s="23" t="inlineStr">
        <is>
          <t>Arrastar</t>
        </is>
      </c>
      <c r="J5" s="5" t="n"/>
      <c r="K5" s="23" t="inlineStr">
        <is>
          <t>técnica</t>
        </is>
      </c>
      <c r="L5" s="23" t="n">
        <v>2</v>
      </c>
      <c r="M5" s="5" t="n"/>
      <c r="N5" s="23" t="inlineStr">
        <is>
          <t>Coro</t>
        </is>
      </c>
      <c r="O5" s="23" t="n">
        <v>1</v>
      </c>
      <c r="P5" s="23" t="n">
        <v>1</v>
      </c>
      <c r="Q5" s="23" t="inlineStr">
        <is>
          <t>cru</t>
        </is>
      </c>
      <c r="R5" s="23" t="n">
        <v>1</v>
      </c>
      <c r="S5" s="5" t="n"/>
      <c r="T5" s="23" t="inlineStr">
        <is>
          <t>Nado</t>
        </is>
      </c>
      <c r="U5" s="23" t="n">
        <v>2</v>
      </c>
      <c r="V5" s="5" t="n"/>
      <c r="W5" s="23" t="inlineStr">
        <is>
          <t>Agarrar</t>
        </is>
      </c>
      <c r="X5" s="23" t="n">
        <v>4</v>
      </c>
      <c r="Y5" s="5" t="n"/>
      <c r="Z5" s="23" t="n">
        <v>9</v>
      </c>
      <c r="AA5" s="23" t="inlineStr">
        <is>
          <t>6d6</t>
        </is>
      </c>
      <c r="AB5" s="23" t="inlineStr">
        <is>
          <t>2d6</t>
        </is>
      </c>
      <c r="AC5" s="5" t="n"/>
      <c r="AD5" s="23" t="inlineStr">
        <is>
          <t>Intelecto</t>
        </is>
      </c>
      <c r="AE5" s="23" t="inlineStr">
        <is>
          <t>Inteligência</t>
        </is>
      </c>
      <c r="AF5" s="5" t="n"/>
      <c r="AG5" s="23" t="n">
        <v>14</v>
      </c>
      <c r="AH5" s="23" t="n">
        <v>26</v>
      </c>
      <c r="AI5" s="23" t="n">
        <v>9</v>
      </c>
      <c r="AJ5" s="5" t="n"/>
      <c r="AK5" s="23">
        <f>INVOCAÇÃO!$R$22</f>
        <v/>
      </c>
      <c r="AL5" s="5" t="n"/>
      <c r="AM5" s="23" t="inlineStr">
        <is>
          <t>int_dono</t>
        </is>
      </c>
      <c r="AN5" s="60" t="inlineStr">
        <is>
          <t>R7</t>
        </is>
      </c>
    </row>
    <row r="6">
      <c r="A6" s="5" t="n"/>
      <c r="B6" s="5" t="n"/>
      <c r="C6" s="23" t="inlineStr">
        <is>
          <t>Essência</t>
        </is>
      </c>
      <c r="D6" s="5" t="n"/>
      <c r="E6" s="5" t="n"/>
      <c r="F6" s="5" t="n"/>
      <c r="G6" s="5" t="n"/>
      <c r="H6" s="23" t="inlineStr">
        <is>
          <t>Faro</t>
        </is>
      </c>
      <c r="I6" s="23" t="inlineStr">
        <is>
          <t>Buscar</t>
        </is>
      </c>
      <c r="J6" s="5" t="n"/>
      <c r="K6" s="23" t="inlineStr">
        <is>
          <t>maldição domada</t>
        </is>
      </c>
      <c r="L6" s="23" t="n">
        <v>3</v>
      </c>
      <c r="M6" s="5" t="n"/>
      <c r="N6" s="5" t="n"/>
      <c r="O6" s="5" t="n"/>
      <c r="P6" s="5" t="n"/>
      <c r="Q6" s="5" t="n"/>
      <c r="R6" s="5" t="n"/>
      <c r="S6" s="5" t="n"/>
      <c r="T6" s="23" t="inlineStr">
        <is>
          <t>Fala</t>
        </is>
      </c>
      <c r="U6" s="23" t="n">
        <v>3</v>
      </c>
      <c r="V6" s="5" t="n"/>
      <c r="W6" s="23" t="inlineStr">
        <is>
          <t>Arrastar</t>
        </is>
      </c>
      <c r="X6" s="23" t="n">
        <v>4</v>
      </c>
      <c r="Y6" s="5" t="n"/>
      <c r="Z6" s="23" t="n">
        <v>13</v>
      </c>
      <c r="AA6" s="23" t="inlineStr">
        <is>
          <t>8d6</t>
        </is>
      </c>
      <c r="AB6" s="23" t="inlineStr">
        <is>
          <t>3d6</t>
        </is>
      </c>
      <c r="AC6" s="5" t="n"/>
      <c r="AD6" s="23" t="inlineStr">
        <is>
          <t>Espírito</t>
        </is>
      </c>
      <c r="AE6" s="23" t="inlineStr">
        <is>
          <t>Essência</t>
        </is>
      </c>
      <c r="AF6" s="5" t="n"/>
      <c r="AG6" s="23" t="n">
        <v>18</v>
      </c>
      <c r="AH6" s="5" t="n"/>
      <c r="AI6" s="23" t="n">
        <v>13</v>
      </c>
      <c r="AJ6" s="5" t="n"/>
      <c r="AK6" s="23">
        <f>INVOCAÇÃO!$Y$22</f>
        <v/>
      </c>
      <c r="AL6" s="5" t="n"/>
      <c r="AM6" s="23" t="inlineStr">
        <is>
          <t>maestria</t>
        </is>
      </c>
      <c r="AN6" s="60" t="inlineStr">
        <is>
          <t>Y7</t>
        </is>
      </c>
    </row>
    <row r="7">
      <c r="A7" s="5" t="n"/>
      <c r="B7" s="5" t="n"/>
      <c r="C7" s="5" t="n"/>
      <c r="D7" s="5" t="n"/>
      <c r="E7" s="5" t="n"/>
      <c r="F7" s="5" t="n"/>
      <c r="G7" s="5" t="n"/>
      <c r="H7" s="23" t="inlineStr">
        <is>
          <t>Vigia</t>
        </is>
      </c>
      <c r="I7" s="23" t="inlineStr">
        <is>
          <t>Cavar</t>
        </is>
      </c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23" t="inlineStr">
        <is>
          <t>Faro</t>
        </is>
      </c>
      <c r="U7" s="23" t="n">
        <v>5</v>
      </c>
      <c r="V7" s="5" t="n"/>
      <c r="W7" s="23" t="inlineStr">
        <is>
          <t>Buscar</t>
        </is>
      </c>
      <c r="X7" s="23" t="n">
        <v>4</v>
      </c>
      <c r="Y7" s="5" t="n"/>
      <c r="Z7" s="23" t="n">
        <v>17</v>
      </c>
      <c r="AA7" s="23" t="inlineStr">
        <is>
          <t>10d6</t>
        </is>
      </c>
      <c r="AB7" s="23" t="inlineStr">
        <is>
          <t>4d6</t>
        </is>
      </c>
      <c r="AC7" s="5" t="n"/>
      <c r="AD7" s="5" t="n"/>
      <c r="AE7" s="5" t="n"/>
      <c r="AF7" s="5" t="n"/>
      <c r="AG7" s="23" t="n">
        <v>22</v>
      </c>
      <c r="AH7" s="5" t="n"/>
      <c r="AI7" s="23" t="n">
        <v>17</v>
      </c>
      <c r="AJ7" s="5" t="n"/>
      <c r="AK7" s="23">
        <f>INVOCAÇÃO!$AF$22</f>
        <v/>
      </c>
      <c r="AL7" s="5" t="n"/>
      <c r="AM7" s="23" t="inlineStr">
        <is>
          <t>marcos</t>
        </is>
      </c>
      <c r="AN7" s="60" t="inlineStr">
        <is>
          <t>AF7</t>
        </is>
      </c>
    </row>
    <row r="8">
      <c r="A8" s="5" t="n"/>
      <c r="B8" s="5" t="n"/>
      <c r="C8" s="5" t="n"/>
      <c r="D8" s="5" t="n"/>
      <c r="E8" s="5" t="n"/>
      <c r="F8" s="5" t="n"/>
      <c r="G8" s="5" t="n"/>
      <c r="H8" s="23" t="inlineStr">
        <is>
          <t>Miúdo</t>
        </is>
      </c>
      <c r="I8" s="23" t="inlineStr">
        <is>
          <t>Interpor</t>
        </is>
      </c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23" t="inlineStr">
        <is>
          <t>Vigia</t>
        </is>
      </c>
      <c r="U8" s="23" t="n">
        <v>5</v>
      </c>
      <c r="V8" s="5" t="n"/>
      <c r="W8" s="23" t="inlineStr">
        <is>
          <t>Cavar</t>
        </is>
      </c>
      <c r="X8" s="23" t="n">
        <v>4</v>
      </c>
      <c r="Y8" s="5" t="n"/>
      <c r="Z8" s="23" t="n">
        <v>21</v>
      </c>
      <c r="AA8" s="23" t="inlineStr">
        <is>
          <t>13d6</t>
        </is>
      </c>
      <c r="AB8" s="23" t="inlineStr">
        <is>
          <t>5d6</t>
        </is>
      </c>
      <c r="AC8" s="5" t="n"/>
      <c r="AD8" s="5" t="n"/>
      <c r="AE8" s="5" t="n"/>
      <c r="AF8" s="5" t="n"/>
      <c r="AG8" s="23" t="n">
        <v>26</v>
      </c>
      <c r="AH8" s="5" t="n"/>
      <c r="AI8" s="23" t="n">
        <v>21</v>
      </c>
      <c r="AJ8" s="5" t="n"/>
      <c r="AK8" s="5" t="n"/>
      <c r="AL8" s="5" t="n"/>
      <c r="AM8" s="23" t="inlineStr">
        <is>
          <t>classe</t>
        </is>
      </c>
      <c r="AN8" s="60" t="inlineStr">
        <is>
          <t>AM7</t>
        </is>
      </c>
    </row>
    <row r="9">
      <c r="A9" s="5" t="n"/>
      <c r="B9" s="5" t="n"/>
      <c r="C9" s="5" t="n"/>
      <c r="D9" s="5" t="n"/>
      <c r="E9" s="5" t="n"/>
      <c r="F9" s="5" t="n"/>
      <c r="G9" s="5" t="n"/>
      <c r="H9" s="23" t="inlineStr">
        <is>
          <t>Voo</t>
        </is>
      </c>
      <c r="I9" s="23" t="inlineStr">
        <is>
          <t>Chamariz</t>
        </is>
      </c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23" t="inlineStr">
        <is>
          <t>Miúdo</t>
        </is>
      </c>
      <c r="U9" s="23" t="n">
        <v>7</v>
      </c>
      <c r="V9" s="5" t="n"/>
      <c r="W9" s="23" t="inlineStr">
        <is>
          <t>Interpor</t>
        </is>
      </c>
      <c r="X9" s="23" t="n">
        <v>8</v>
      </c>
      <c r="Y9" s="5" t="n"/>
      <c r="Z9" s="23" t="n">
        <v>26</v>
      </c>
      <c r="AA9" s="23" t="inlineStr">
        <is>
          <t>15d6</t>
        </is>
      </c>
      <c r="AB9" s="23" t="inlineStr">
        <is>
          <t>6d6</t>
        </is>
      </c>
      <c r="AC9" s="5" t="n"/>
      <c r="AD9" s="5" t="n"/>
      <c r="AE9" s="5" t="n"/>
      <c r="AF9" s="5" t="n"/>
      <c r="AG9" s="23" t="n">
        <v>30</v>
      </c>
      <c r="AH9" s="5" t="n"/>
      <c r="AI9" s="23" t="n">
        <v>26</v>
      </c>
      <c r="AJ9" s="5" t="n"/>
      <c r="AK9" s="5" t="n"/>
      <c r="AL9" s="5" t="n"/>
      <c r="AM9" s="23" t="inlineStr">
        <is>
          <t>nome</t>
        </is>
      </c>
      <c r="AN9" s="60" t="inlineStr">
        <is>
          <t>D14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23" t="inlineStr">
        <is>
          <t>Montaria</t>
        </is>
      </c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23" t="inlineStr">
        <is>
          <t>Voo</t>
        </is>
      </c>
      <c r="U10" s="23" t="n">
        <v>8</v>
      </c>
      <c r="V10" s="5" t="n"/>
      <c r="W10" s="23" t="inlineStr">
        <is>
          <t>Chamariz</t>
        </is>
      </c>
      <c r="X10" s="23" t="n">
        <v>8</v>
      </c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23" t="inlineStr">
        <is>
          <t>tipo</t>
        </is>
      </c>
      <c r="AN10" s="60" t="inlineStr">
        <is>
          <t>Q14</t>
        </is>
      </c>
    </row>
    <row r="11">
      <c r="A11" s="5" t="n"/>
      <c r="B11" s="5" t="n"/>
      <c r="C11" s="5" t="n"/>
      <c r="D11" s="5" t="n"/>
      <c r="E11" s="5" t="n"/>
      <c r="F11" s="5" t="n"/>
      <c r="G11" s="5" t="n"/>
      <c r="H11" s="23" t="inlineStr">
        <is>
          <t>Fisgada</t>
        </is>
      </c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23" t="inlineStr">
        <is>
          <t>Montaria</t>
        </is>
      </c>
      <c r="U11" s="23" t="n">
        <v>8</v>
      </c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23" t="inlineStr">
        <is>
          <t>trilha</t>
        </is>
      </c>
      <c r="AN11" s="60" t="inlineStr">
        <is>
          <t>AA14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23" t="inlineStr">
        <is>
          <t>Emboscada</t>
        </is>
      </c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23" t="inlineStr">
        <is>
          <t>Fisgada</t>
        </is>
      </c>
      <c r="U12" s="23" t="n">
        <v>8</v>
      </c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23" t="inlineStr">
        <is>
          <t>sintonia</t>
        </is>
      </c>
      <c r="AN12" s="60" t="inlineStr">
        <is>
          <t>AI14</t>
        </is>
      </c>
    </row>
    <row r="13">
      <c r="A13" s="5" t="n"/>
      <c r="B13" s="5" t="n"/>
      <c r="C13" s="5" t="n"/>
      <c r="D13" s="5" t="n"/>
      <c r="E13" s="5" t="n"/>
      <c r="F13" s="5" t="n"/>
      <c r="G13" s="5" t="n"/>
      <c r="H13" s="23" t="inlineStr">
        <is>
          <t>Jorro</t>
        </is>
      </c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23" t="inlineStr">
        <is>
          <t>Emboscada</t>
        </is>
      </c>
      <c r="U13" s="23" t="n">
        <v>8</v>
      </c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23" t="inlineStr">
        <is>
          <t>pontos_atributo</t>
        </is>
      </c>
      <c r="AN13" s="60" t="inlineStr">
        <is>
          <t>D26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23" t="inlineStr">
        <is>
          <t>Graúdo</t>
        </is>
      </c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23" t="inlineStr">
        <is>
          <t>Jorro</t>
        </is>
      </c>
      <c r="U14" s="23" t="n">
        <v>8</v>
      </c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23" t="inlineStr">
        <is>
          <t>pontos_disp</t>
        </is>
      </c>
      <c r="AN14" s="60" t="inlineStr">
        <is>
          <t>N26</t>
        </is>
      </c>
    </row>
    <row r="15">
      <c r="A15" s="5" t="n"/>
      <c r="B15" s="5" t="n"/>
      <c r="C15" s="5" t="n"/>
      <c r="D15" s="5" t="n"/>
      <c r="E15" s="5" t="n"/>
      <c r="F15" s="5" t="n"/>
      <c r="G15" s="5" t="n"/>
      <c r="H15" s="23" t="inlineStr">
        <is>
          <t>Remoto</t>
        </is>
      </c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23" t="inlineStr">
        <is>
          <t>Graúdo</t>
        </is>
      </c>
      <c r="U15" s="23" t="n">
        <v>8</v>
      </c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23" t="inlineStr">
        <is>
          <t>aviso_atributo</t>
        </is>
      </c>
      <c r="AN15" s="60" t="inlineStr">
        <is>
          <t>X26</t>
        </is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23" t="inlineStr">
        <is>
          <t>Remoto</t>
        </is>
      </c>
      <c r="U16" s="23" t="n">
        <v>8</v>
      </c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23" t="inlineStr">
        <is>
          <t>atr_acerto</t>
        </is>
      </c>
      <c r="AN16" s="60" t="inlineStr">
        <is>
          <t>D33</t>
        </is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23" t="inlineStr">
        <is>
          <t>acerto</t>
        </is>
      </c>
      <c r="AN17" s="60" t="inlineStr">
        <is>
          <t>N33</t>
        </is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23" t="inlineStr">
        <is>
          <t>defesa_de</t>
        </is>
      </c>
      <c r="AN18" s="60" t="inlineStr">
        <is>
          <t>U33</t>
        </is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23" t="inlineStr">
        <is>
          <t>defesa</t>
        </is>
      </c>
      <c r="AN19" s="60" t="inlineStr">
        <is>
          <t>AF33</t>
        </is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23" t="inlineStr">
        <is>
          <t>critico</t>
        </is>
      </c>
      <c r="AN20" s="60" t="inlineStr">
        <is>
          <t>AM33</t>
        </is>
      </c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23" t="inlineStr">
        <is>
          <t>tr_treinado</t>
        </is>
      </c>
      <c r="AN21" s="60" t="inlineStr">
        <is>
          <t>D37</t>
        </is>
      </c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23" t="inlineStr">
        <is>
          <t>fisico_de</t>
        </is>
      </c>
      <c r="AN22" s="60" t="inlineStr">
        <is>
          <t>N37</t>
        </is>
      </c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23" t="inlineStr">
        <is>
          <t>vida_max</t>
        </is>
      </c>
      <c r="AN23" s="60" t="inlineStr">
        <is>
          <t>D48</t>
        </is>
      </c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23" t="inlineStr">
        <is>
          <t>vida</t>
        </is>
      </c>
      <c r="AN24" s="60" t="inlineStr">
        <is>
          <t>L48</t>
        </is>
      </c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23" t="inlineStr">
        <is>
          <t>corpos</t>
        </is>
      </c>
      <c r="AN25" s="60" t="inlineStr">
        <is>
          <t>AG48</t>
        </is>
      </c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23" t="inlineStr">
        <is>
          <t>area</t>
        </is>
      </c>
      <c r="AN26" s="60" t="inlineStr">
        <is>
          <t>AN48</t>
        </is>
      </c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23" t="inlineStr">
        <is>
          <t>regua</t>
        </is>
      </c>
      <c r="AN27" s="60" t="inlineStr">
        <is>
          <t>D52</t>
        </is>
      </c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23" t="inlineStr">
        <is>
          <t>meia_regua</t>
        </is>
      </c>
      <c r="AN28" s="60" t="inlineStr">
        <is>
          <t>M52</t>
        </is>
      </c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23" t="inlineStr">
        <is>
          <t>volta_com</t>
        </is>
      </c>
      <c r="AN29" s="60" t="inlineStr">
        <is>
          <t>V52</t>
        </is>
      </c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23" t="inlineStr">
        <is>
          <t>orcamento</t>
        </is>
      </c>
      <c r="AN30" s="60" t="inlineStr">
        <is>
          <t>D61</t>
        </is>
      </c>
    </row>
    <row r="31">
      <c r="AM31" s="60" t="inlineStr">
        <is>
          <t>gasto</t>
        </is>
      </c>
      <c r="AN31" s="60" t="inlineStr">
        <is>
          <t>D76</t>
        </is>
      </c>
    </row>
    <row r="32">
      <c r="AM32" s="60" t="inlineStr">
        <is>
          <t>sobra</t>
        </is>
      </c>
      <c r="AN32" s="60" t="inlineStr">
        <is>
          <t>L76</t>
        </is>
      </c>
    </row>
    <row r="33">
      <c r="AM33" s="60" t="inlineStr">
        <is>
          <t>investir</t>
        </is>
      </c>
      <c r="AN33" s="60" t="inlineStr">
        <is>
          <t>D84</t>
        </is>
      </c>
    </row>
    <row r="34">
      <c r="AM34" s="60" t="inlineStr">
        <is>
          <t>cd_pendente</t>
        </is>
      </c>
      <c r="AN34" s="60" t="inlineStr">
        <is>
          <t>D99</t>
        </is>
      </c>
    </row>
    <row r="35">
      <c r="AM35" s="60" t="inlineStr">
        <is>
          <t>atr_Força</t>
        </is>
      </c>
      <c r="AN35" s="60" t="inlineStr">
        <is>
          <t>D22</t>
        </is>
      </c>
    </row>
    <row r="36">
      <c r="AM36" s="60" t="inlineStr">
        <is>
          <t>atr_Destreza</t>
        </is>
      </c>
      <c r="AN36" s="60" t="inlineStr">
        <is>
          <t>K22</t>
        </is>
      </c>
    </row>
    <row r="37">
      <c r="AM37" s="60" t="inlineStr">
        <is>
          <t>atr_Constituição</t>
        </is>
      </c>
      <c r="AN37" s="60" t="inlineStr">
        <is>
          <t>R22</t>
        </is>
      </c>
    </row>
    <row r="38">
      <c r="AM38" s="60" t="inlineStr">
        <is>
          <t>atr_Inteligência</t>
        </is>
      </c>
      <c r="AN38" s="60" t="inlineStr">
        <is>
          <t>Y22</t>
        </is>
      </c>
    </row>
    <row r="39">
      <c r="AM39" s="60" t="inlineStr">
        <is>
          <t>atr_Essência</t>
        </is>
      </c>
      <c r="AN39" s="60" t="inlineStr">
        <is>
          <t>AF22</t>
        </is>
      </c>
    </row>
    <row r="40">
      <c r="AM40" s="60" t="inlineStr">
        <is>
          <t>slot_pontos_1</t>
        </is>
      </c>
      <c r="AN40" s="60" t="inlineStr">
        <is>
          <t>Q65</t>
        </is>
      </c>
    </row>
    <row r="41">
      <c r="AM41" s="60" t="inlineStr">
        <is>
          <t>slot_pontos_2</t>
        </is>
      </c>
      <c r="AN41" s="60" t="inlineStr">
        <is>
          <t>Q66</t>
        </is>
      </c>
    </row>
    <row r="42">
      <c r="AM42" s="60" t="inlineStr">
        <is>
          <t>slot_pontos_3</t>
        </is>
      </c>
      <c r="AN42" s="60" t="inlineStr">
        <is>
          <t>Q67</t>
        </is>
      </c>
    </row>
    <row r="43">
      <c r="AM43" s="60" t="inlineStr">
        <is>
          <t>slot_pontos_4</t>
        </is>
      </c>
      <c r="AN43" s="60" t="inlineStr">
        <is>
          <t>Q68</t>
        </is>
      </c>
    </row>
    <row r="44">
      <c r="AM44" s="60" t="inlineStr">
        <is>
          <t>slot_pontos_5</t>
        </is>
      </c>
      <c r="AN44" s="60" t="inlineStr">
        <is>
          <t>Q69</t>
        </is>
      </c>
    </row>
    <row r="45">
      <c r="AM45" s="60" t="inlineStr">
        <is>
          <t>slot_pontos_6</t>
        </is>
      </c>
      <c r="AN45" s="60" t="inlineStr">
        <is>
          <t>Q70</t>
        </is>
      </c>
    </row>
    <row r="46">
      <c r="AM46" s="60" t="inlineStr">
        <is>
          <t>slot_pontos_7</t>
        </is>
      </c>
      <c r="AN46" s="60" t="inlineStr">
        <is>
          <t>Q71</t>
        </is>
      </c>
    </row>
    <row r="47">
      <c r="AM47" s="60" t="inlineStr">
        <is>
          <t>slot_pontos_8</t>
        </is>
      </c>
      <c r="AN47" s="60" t="inlineStr">
        <is>
          <t>Q72</t>
        </is>
      </c>
    </row>
    <row r="48">
      <c r="AM48" s="60" t="inlineStr">
        <is>
          <t>slot_pontos_9</t>
        </is>
      </c>
      <c r="AN48" s="60" t="inlineStr">
        <is>
          <t>Q73</t>
        </is>
      </c>
    </row>
    <row r="49">
      <c r="AM49" s="60" t="inlineStr">
        <is>
          <t>slot_pontos_10</t>
        </is>
      </c>
      <c r="AN49" s="60" t="inlineStr">
        <is>
          <t>AM65</t>
        </is>
      </c>
    </row>
    <row r="50">
      <c r="AM50" s="60" t="inlineStr">
        <is>
          <t>slot_pontos_11</t>
        </is>
      </c>
      <c r="AN50" s="60" t="inlineStr">
        <is>
          <t>AM66</t>
        </is>
      </c>
    </row>
    <row r="51">
      <c r="AM51" s="60" t="inlineStr">
        <is>
          <t>slot_pontos_12</t>
        </is>
      </c>
      <c r="AN51" s="60" t="inlineStr">
        <is>
          <t>AM67</t>
        </is>
      </c>
    </row>
    <row r="52">
      <c r="AM52" s="60" t="inlineStr">
        <is>
          <t>slot_pontos_13</t>
        </is>
      </c>
      <c r="AN52" s="60" t="inlineStr">
        <is>
          <t>AM68</t>
        </is>
      </c>
    </row>
    <row r="53">
      <c r="AM53" s="60" t="inlineStr">
        <is>
          <t>slot_pontos_14</t>
        </is>
      </c>
      <c r="AN53" s="60" t="inlineStr">
        <is>
          <t>AM69</t>
        </is>
      </c>
    </row>
    <row r="54">
      <c r="AM54" s="60" t="inlineStr">
        <is>
          <t>slot_pontos_15</t>
        </is>
      </c>
      <c r="AN54" s="60" t="inlineStr">
        <is>
          <t>AM70</t>
        </is>
      </c>
    </row>
    <row r="55">
      <c r="AM55" s="60" t="inlineStr">
        <is>
          <t>traco_1</t>
        </is>
      </c>
      <c r="AN55" s="60" t="inlineStr">
        <is>
          <t>D65</t>
        </is>
      </c>
    </row>
    <row r="56">
      <c r="AM56" s="60" t="inlineStr">
        <is>
          <t>traco_2</t>
        </is>
      </c>
      <c r="AN56" s="60" t="inlineStr">
        <is>
          <t>D66</t>
        </is>
      </c>
    </row>
    <row r="57">
      <c r="AM57" s="60" t="inlineStr">
        <is>
          <t>traco_3</t>
        </is>
      </c>
      <c r="AN57" s="60" t="inlineStr">
        <is>
          <t>D67</t>
        </is>
      </c>
    </row>
    <row r="58">
      <c r="AM58" s="60" t="inlineStr">
        <is>
          <t>traco_4</t>
        </is>
      </c>
      <c r="AN58" s="60" t="inlineStr">
        <is>
          <t>D68</t>
        </is>
      </c>
    </row>
    <row r="59">
      <c r="AM59" s="60" t="inlineStr">
        <is>
          <t>traco_5</t>
        </is>
      </c>
      <c r="AN59" s="60" t="inlineStr">
        <is>
          <t>D69</t>
        </is>
      </c>
    </row>
    <row r="60">
      <c r="AM60" s="60" t="inlineStr">
        <is>
          <t>traco_6</t>
        </is>
      </c>
      <c r="AN60" s="60" t="inlineStr">
        <is>
          <t>D70</t>
        </is>
      </c>
    </row>
    <row r="61">
      <c r="AM61" s="60" t="inlineStr">
        <is>
          <t>traco_7</t>
        </is>
      </c>
      <c r="AN61" s="60" t="inlineStr">
        <is>
          <t>D71</t>
        </is>
      </c>
    </row>
    <row r="62">
      <c r="AM62" s="60" t="inlineStr">
        <is>
          <t>traco_8</t>
        </is>
      </c>
      <c r="AN62" s="60" t="inlineStr">
        <is>
          <t>D72</t>
        </is>
      </c>
    </row>
    <row r="63">
      <c r="AM63" s="60" t="inlineStr">
        <is>
          <t>traco_9</t>
        </is>
      </c>
      <c r="AN63" s="60" t="inlineStr">
        <is>
          <t>D73</t>
        </is>
      </c>
    </row>
    <row r="64">
      <c r="AM64" s="60" t="inlineStr">
        <is>
          <t>comando_1</t>
        </is>
      </c>
      <c r="AN64" s="60" t="inlineStr">
        <is>
          <t>Z65</t>
        </is>
      </c>
    </row>
    <row r="65">
      <c r="AM65" s="60" t="inlineStr">
        <is>
          <t>comando_2</t>
        </is>
      </c>
      <c r="AN65" s="60" t="inlineStr">
        <is>
          <t>Z66</t>
        </is>
      </c>
    </row>
    <row r="66">
      <c r="AM66" s="60" t="inlineStr">
        <is>
          <t>comando_3</t>
        </is>
      </c>
      <c r="AN66" s="60" t="inlineStr">
        <is>
          <t>Z67</t>
        </is>
      </c>
    </row>
    <row r="67">
      <c r="AM67" s="60" t="inlineStr">
        <is>
          <t>comando_4</t>
        </is>
      </c>
      <c r="AN67" s="60" t="inlineStr">
        <is>
          <t>Z68</t>
        </is>
      </c>
    </row>
    <row r="68">
      <c r="AM68" s="60" t="inlineStr">
        <is>
          <t>comando_5</t>
        </is>
      </c>
      <c r="AN68" s="60" t="inlineStr">
        <is>
          <t>Z69</t>
        </is>
      </c>
    </row>
    <row r="69">
      <c r="AM69" s="60" t="inlineStr">
        <is>
          <t>comando_6</t>
        </is>
      </c>
      <c r="AN69" s="60" t="inlineStr">
        <is>
          <t>Z70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2026-09-04T11:50:06Z</dcterms:created>
  <dcterms:modified xmlns:dcterms="http://purl.org/dc/terms/" xmlns:xsi="http://www.w3.org/2001/XMLSchema-instance" xsi:type="dcterms:W3CDTF">2026-09-04T11:50:06Z</dcterms:modified>
</cp:coreProperties>
</file>
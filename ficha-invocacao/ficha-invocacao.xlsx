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o dano que passar de zero for maior que a metade da régua, ou quando um golpe só causar a régua inteira.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X79" s="5" t="n"/>
      <c r="Y79" s="5" t="n"/>
      <c r="Z79" s="22" t="inlineStr">
        <is>
          <t>COMANDO · até 6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S80" s="36">
        <f>IFERROR(VLOOKUP($D$80,DADOS!$T$3:$U$16,2,FALSE),0)</f>
        <v/>
      </c>
      <c r="X80" s="5" t="n"/>
      <c r="Y80" s="5" t="n"/>
      <c r="Z80" s="25" t="inlineStr">
        <is>
          <t>—</t>
        </is>
      </c>
      <c r="AO80" s="36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S81" s="37">
        <f>IFERROR(VLOOKUP($D$81,DADOS!$T$3:$U$16,2,FALSE),0)</f>
        <v/>
      </c>
      <c r="X81" s="5" t="n"/>
      <c r="Y81" s="5" t="n"/>
      <c r="Z81" s="29" t="inlineStr">
        <is>
          <t>—</t>
        </is>
      </c>
      <c r="AO81" s="37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S82" s="36">
        <f>IFERROR(VLOOKUP($D$82,DADOS!$T$3:$U$16,2,FALSE),0)</f>
        <v/>
      </c>
      <c r="X82" s="5" t="n"/>
      <c r="Y82" s="5" t="n"/>
      <c r="Z82" s="25" t="inlineStr">
        <is>
          <t>—</t>
        </is>
      </c>
      <c r="AO82" s="36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S83" s="37">
        <f>IFERROR(VLOOKUP($D$83,DADOS!$T$3:$U$16,2,FALSE),0)</f>
        <v/>
      </c>
      <c r="X83" s="5" t="n"/>
      <c r="Y83" s="5" t="n"/>
      <c r="Z83" s="29" t="inlineStr">
        <is>
          <t>—</t>
        </is>
      </c>
      <c r="AO83" s="37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S84" s="36">
        <f>IFERROR(VLOOKUP($D$84,DADOS!$T$3:$U$16,2,FALSE),0)</f>
        <v/>
      </c>
      <c r="X84" s="5" t="n"/>
      <c r="Y84" s="5" t="n"/>
      <c r="Z84" s="25" t="inlineStr">
        <is>
          <t>—</t>
        </is>
      </c>
      <c r="AO84" s="36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S85" s="37">
        <f>IFERROR(VLOOKUP($D$85,DADOS!$T$3:$U$16,2,FALSE),0)</f>
        <v/>
      </c>
      <c r="X85" s="5" t="n"/>
      <c r="Y85" s="5" t="n"/>
      <c r="Z85" s="29" t="inlineStr">
        <is>
          <t>—</t>
        </is>
      </c>
      <c r="AO85" s="37">
        <f>IFERROR(VLOOKUP($Z$85,DADOS!$W$3:$X$10,2,FALSE),0)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S86" s="36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S87" s="37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S88" s="36">
        <f>IFERROR(VLOOKUP($D$88,DADOS!$T$3:$U$16,2,FALSE),0)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8" t="inlineStr">
        <is>
          <t>GASTO</t>
        </is>
      </c>
      <c r="N90" s="5" t="n"/>
      <c r="O90" s="8" t="inlineStr">
        <is>
          <t>SOBRA</t>
        </is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10">
        <f>$S$80+$S$81+$S$82+$S$83+$S$84+$S$85+$S$86+$S$87+$S$88+$AO$80+$AO$81+$AO$82+$AO$83+$AO$84+$AO$85</f>
        <v/>
      </c>
      <c r="N91" s="5" t="n"/>
      <c r="O91" s="38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" t="n"/>
      <c r="B94" s="1" t="n"/>
      <c r="C94" s="5" t="n"/>
    </row>
    <row r="95" ht="15" customHeight="1">
      <c r="A95" s="1" t="n"/>
      <c r="B95" s="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D96" s="6" t="inlineStr">
        <is>
          <t>7</t>
        </is>
      </c>
      <c r="G96" s="7" t="inlineStr">
        <is>
          <t>INVESTIR</t>
        </is>
      </c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D98" s="8" t="inlineStr">
        <is>
          <t>DANO DO INVESTIR</t>
        </is>
      </c>
      <c r="N98" s="5" t="n"/>
      <c r="O98" s="8" t="inlineStr">
        <is>
          <t>POR CORPO</t>
        </is>
      </c>
    </row>
    <row r="99" ht="15" customHeight="1">
      <c r="A99" s="1" t="n"/>
      <c r="B99" s="1" t="n"/>
      <c r="C99" s="5" t="n"/>
      <c r="D99" s="9">
        <f>IF($D$7="","",VLOOKUP($D$7,DADOS!$Z$3:$AB$9,IF($AK$19="Matilha",3,2),TRUE))</f>
        <v/>
      </c>
      <c r="N99" s="5" t="n"/>
      <c r="O99" s="21">
        <f>IF($AK$19="Matilha","cada um dos cinco rola isto",IF($AK$19="","","o corpo em campo rola isto"))</f>
        <v/>
      </c>
    </row>
    <row r="100" ht="15" customHeight="1">
      <c r="A100" s="1" t="n"/>
      <c r="B100" s="1" t="n"/>
      <c r="C100" s="5" t="n"/>
      <c r="N100" s="5" t="n"/>
    </row>
    <row r="101" ht="15" customHeight="1">
      <c r="A101" s="1" t="n"/>
      <c r="B101" s="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</row>
    <row r="102" ht="15" customHeight="1">
      <c r="A102" s="1" t="n"/>
      <c r="B102" s="1" t="n"/>
      <c r="C102" s="5" t="n"/>
      <c r="D102" s="12" t="inlineStr">
        <is>
          <t>É o dano dela quando você gasta a Ação Padrão comandando. Você e as suas invocações somados causam o dano de uma rodada sua sozinho.</t>
        </is>
      </c>
    </row>
    <row r="103" ht="15" customHeight="1">
      <c r="A103" s="1" t="n"/>
      <c r="B103" s="1" t="n"/>
      <c r="C103" s="5" t="n"/>
    </row>
    <row r="104" ht="15" customHeight="1">
      <c r="A104" s="1" t="n"/>
      <c r="B104" s="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D105" s="6" t="inlineStr">
        <is>
          <t>8</t>
        </is>
      </c>
      <c r="G105" s="7" t="inlineStr">
        <is>
          <t>NA MESA</t>
        </is>
      </c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D107" s="39" t="inlineStr">
        <is>
          <t>INVOCAR</t>
        </is>
      </c>
      <c r="O107" s="40">
        <f>("custa "&amp;$O$11&amp;" PE e a Ação Padrão")</f>
        <v/>
      </c>
    </row>
    <row r="108" ht="15" customHeight="1">
      <c r="A108" s="1" t="n"/>
      <c r="B108" s="1" t="n"/>
      <c r="C108" s="5" t="n"/>
      <c r="D108" s="41" t="inlineStr">
        <is>
          <t>COMANDAR</t>
        </is>
      </c>
      <c r="O108" s="42">
        <f>"a Ação Padrão, toda rodada"</f>
        <v/>
      </c>
    </row>
    <row r="109" ht="15" customHeight="1">
      <c r="A109" s="1" t="n"/>
      <c r="B109" s="1" t="n"/>
      <c r="C109" s="5" t="n"/>
      <c r="D109" s="39" t="inlineStr">
        <is>
          <t>INICIATIVA</t>
        </is>
      </c>
      <c r="O109" s="40">
        <f>"a sua, e ela age logo depois de você"</f>
        <v/>
      </c>
    </row>
    <row r="110" ht="15" customHeight="1">
      <c r="A110" s="1" t="n"/>
      <c r="B110" s="1" t="n"/>
      <c r="C110" s="5" t="n"/>
      <c r="D110" s="41" t="inlineStr">
        <is>
          <t>DESLOCAMENTO</t>
        </is>
      </c>
      <c r="O110" s="42">
        <f>(9&amp;" metros")</f>
        <v/>
      </c>
    </row>
    <row r="111" ht="15" customHeight="1">
      <c r="A111" s="1" t="n"/>
      <c r="B111" s="1" t="n"/>
      <c r="C111" s="5" t="n"/>
      <c r="D111" s="39" t="inlineStr">
        <is>
          <t>AMARRA</t>
        </is>
      </c>
      <c r="O111" s="40">
        <f>(18&amp;" metros — além disso não pode ser comandada, e não some")</f>
        <v/>
      </c>
    </row>
    <row r="112" ht="15" customHeight="1">
      <c r="A112" s="1" t="n"/>
      <c r="B112" s="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D113" s="6" t="inlineStr">
        <is>
          <t>9</t>
        </is>
      </c>
      <c r="G113" s="7" t="inlineStr">
        <is>
          <t>O QUE A FICHA NÃO CALCULA</t>
        </is>
      </c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D115" s="34" t="inlineStr">
        <is>
          <t>A CD DOS EFEITOS DELA</t>
        </is>
      </c>
    </row>
    <row r="116" ht="15" customHeight="1">
      <c r="A116" s="1" t="n"/>
      <c r="B116" s="1" t="n"/>
      <c r="C116" s="5" t="n"/>
      <c r="D116" s="35">
        <f>IF($D$22="Voz","A Voz sobe a CD dos efeitos dela, e o sistema ainda não diz qual é essa CD. Combine com o mestre.","")</f>
        <v/>
      </c>
    </row>
    <row r="117" ht="15" customHeight="1">
      <c r="A117" s="1" t="n"/>
      <c r="B117" s="1" t="n"/>
      <c r="C117" s="5" t="n"/>
      <c r="D117" s="43" t="inlineStr">
        <is>
          <t>A CD dos efeitos dela não tem fórmula em documento nenhum — nem o capítulo 16, nem a peça 15 escrevem uma. Enquanto não existir, combine o número com o mestre.</t>
        </is>
      </c>
    </row>
    <row r="118" ht="15" customHeight="1">
      <c r="A118" s="1" t="n"/>
      <c r="B118" s="1" t="n"/>
      <c r="C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8">
    <mergeCell ref="D59:M60"/>
    <mergeCell ref="AB30:AH31"/>
    <mergeCell ref="T30:Z31"/>
    <mergeCell ref="Z81:AN81"/>
    <mergeCell ref="D109:N109"/>
    <mergeCell ref="O111:AT111"/>
    <mergeCell ref="G4:AB4"/>
    <mergeCell ref="O91:X91"/>
    <mergeCell ref="D51:J51"/>
    <mergeCell ref="AO80:AS80"/>
    <mergeCell ref="AJ32:AP32"/>
    <mergeCell ref="D111:N111"/>
    <mergeCell ref="D108:N108"/>
    <mergeCell ref="Z45:AI45"/>
    <mergeCell ref="D1:AD2"/>
    <mergeCell ref="Z6:AI6"/>
    <mergeCell ref="D7:M8"/>
    <mergeCell ref="O108:AT108"/>
    <mergeCell ref="O10:X10"/>
    <mergeCell ref="G96:AB96"/>
    <mergeCell ref="AH50:AL50"/>
    <mergeCell ref="A8:B26"/>
    <mergeCell ref="Z49:AF49"/>
    <mergeCell ref="D83:R83"/>
    <mergeCell ref="AK19:AT19"/>
    <mergeCell ref="S87:W87"/>
    <mergeCell ref="D115:AT115"/>
    <mergeCell ref="AH49:AL49"/>
    <mergeCell ref="S80:W80"/>
    <mergeCell ref="D85:R85"/>
    <mergeCell ref="D62:N62"/>
    <mergeCell ref="D68:AT69"/>
    <mergeCell ref="D16:F17"/>
    <mergeCell ref="O62:AT62"/>
    <mergeCell ref="Z79:AS79"/>
    <mergeCell ref="D84:R84"/>
    <mergeCell ref="Z18:AI18"/>
    <mergeCell ref="Z58:AI58"/>
    <mergeCell ref="Z85:AN85"/>
    <mergeCell ref="G73:AF73"/>
    <mergeCell ref="D91:M91"/>
    <mergeCell ref="D93:AT94"/>
    <mergeCell ref="D102:AT103"/>
    <mergeCell ref="O110:AT110"/>
    <mergeCell ref="D43:M43"/>
    <mergeCell ref="Z64:AI64"/>
    <mergeCell ref="Z42:AI42"/>
    <mergeCell ref="AK7:AT8"/>
    <mergeCell ref="O46:X46"/>
    <mergeCell ref="D73:F74"/>
    <mergeCell ref="D48:AT48"/>
    <mergeCell ref="D86:R86"/>
    <mergeCell ref="AM51:AQ51"/>
    <mergeCell ref="O64:X64"/>
    <mergeCell ref="AO82:AS82"/>
    <mergeCell ref="D99:M100"/>
    <mergeCell ref="AJ29:AP29"/>
    <mergeCell ref="Z19:AI19"/>
    <mergeCell ref="D29:J29"/>
    <mergeCell ref="D113:F114"/>
    <mergeCell ref="G27:AF27"/>
    <mergeCell ref="O99:AT100"/>
    <mergeCell ref="O90:X90"/>
    <mergeCell ref="D87:R87"/>
    <mergeCell ref="S86:W86"/>
    <mergeCell ref="D70:AT71"/>
    <mergeCell ref="D27:F28"/>
    <mergeCell ref="L30:R31"/>
    <mergeCell ref="L32:R32"/>
    <mergeCell ref="T29:Z29"/>
    <mergeCell ref="AO83:AS83"/>
    <mergeCell ref="D46:M46"/>
    <mergeCell ref="G16:X16"/>
    <mergeCell ref="AB32:AH32"/>
    <mergeCell ref="D82:R82"/>
    <mergeCell ref="Z34:AT34"/>
    <mergeCell ref="AJ30:AP31"/>
    <mergeCell ref="AK18:AT18"/>
    <mergeCell ref="R49:X49"/>
    <mergeCell ref="D21:M21"/>
    <mergeCell ref="L50:P50"/>
    <mergeCell ref="D49:J49"/>
    <mergeCell ref="AO84:AS84"/>
    <mergeCell ref="O21:AT21"/>
    <mergeCell ref="O35:X35"/>
    <mergeCell ref="AK58:AT58"/>
    <mergeCell ref="O109:AT109"/>
    <mergeCell ref="L49:P49"/>
    <mergeCell ref="O43:X43"/>
    <mergeCell ref="S88:W88"/>
    <mergeCell ref="D116:AT116"/>
    <mergeCell ref="Z51:AF51"/>
    <mergeCell ref="D79:W79"/>
    <mergeCell ref="G56:T56"/>
    <mergeCell ref="O42:X42"/>
    <mergeCell ref="S81:W81"/>
    <mergeCell ref="D58:M58"/>
    <mergeCell ref="AK6:AT6"/>
    <mergeCell ref="D42:M42"/>
    <mergeCell ref="Z83:AN83"/>
    <mergeCell ref="D76:M77"/>
    <mergeCell ref="D35:M35"/>
    <mergeCell ref="Z65:AI65"/>
    <mergeCell ref="S82:W82"/>
    <mergeCell ref="D40:F41"/>
    <mergeCell ref="G40:AH40"/>
    <mergeCell ref="D34:M34"/>
    <mergeCell ref="D107:N107"/>
    <mergeCell ref="AK42:AT42"/>
    <mergeCell ref="D18:X18"/>
    <mergeCell ref="Q50:U50"/>
    <mergeCell ref="T32:Z32"/>
    <mergeCell ref="AB29:AH29"/>
    <mergeCell ref="O6:X6"/>
    <mergeCell ref="Z35:AT35"/>
    <mergeCell ref="D22:M22"/>
    <mergeCell ref="D13:AT14"/>
    <mergeCell ref="L51:P51"/>
    <mergeCell ref="D105:F106"/>
    <mergeCell ref="D45:M45"/>
    <mergeCell ref="D6:M6"/>
    <mergeCell ref="AK43:AT43"/>
    <mergeCell ref="AH51:AL51"/>
    <mergeCell ref="S84:W84"/>
    <mergeCell ref="Z80:AN80"/>
    <mergeCell ref="D88:R88"/>
    <mergeCell ref="O7:X8"/>
    <mergeCell ref="G105:X105"/>
    <mergeCell ref="D24:AT25"/>
    <mergeCell ref="D32:J32"/>
    <mergeCell ref="Z59:AI60"/>
    <mergeCell ref="D81:R81"/>
    <mergeCell ref="AM50:AQ50"/>
    <mergeCell ref="G113:AF113"/>
    <mergeCell ref="A30:B48"/>
    <mergeCell ref="O58:X58"/>
    <mergeCell ref="O11:X11"/>
    <mergeCell ref="Z7:AI8"/>
    <mergeCell ref="D64:M64"/>
    <mergeCell ref="AO81:AS81"/>
    <mergeCell ref="D98:M98"/>
    <mergeCell ref="Z46:AI46"/>
    <mergeCell ref="O22:AT23"/>
    <mergeCell ref="D50:J50"/>
    <mergeCell ref="O98:AT98"/>
    <mergeCell ref="Z82:AN82"/>
    <mergeCell ref="O107:AT107"/>
    <mergeCell ref="Q51:U51"/>
    <mergeCell ref="O34:X34"/>
    <mergeCell ref="D67:AT67"/>
    <mergeCell ref="D96:F97"/>
    <mergeCell ref="D10:M10"/>
    <mergeCell ref="O59:X60"/>
    <mergeCell ref="D90:M90"/>
    <mergeCell ref="AN49:AT49"/>
    <mergeCell ref="AK59:AT60"/>
    <mergeCell ref="D65:M65"/>
    <mergeCell ref="O45:X45"/>
    <mergeCell ref="Z84:AN84"/>
    <mergeCell ref="D4:F5"/>
    <mergeCell ref="Z50:AF50"/>
    <mergeCell ref="D56:F57"/>
    <mergeCell ref="Z43:AI43"/>
    <mergeCell ref="D53:AT54"/>
    <mergeCell ref="D11:M11"/>
    <mergeCell ref="O65:X65"/>
    <mergeCell ref="S83:W83"/>
    <mergeCell ref="D30:J31"/>
    <mergeCell ref="D19:X19"/>
    <mergeCell ref="D37:AT38"/>
    <mergeCell ref="D117:AT118"/>
    <mergeCell ref="D75:M75"/>
    <mergeCell ref="D80:R80"/>
    <mergeCell ref="L29:R29"/>
    <mergeCell ref="S85:W85"/>
    <mergeCell ref="AF1:AT2"/>
    <mergeCell ref="AO85:AS85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D88:R88" showDropDown="0" showInputMessage="0" showErrorMessage="0" allowBlank="1" type="list">
      <formula1>DADOS!$H$2:$H$15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  <dataValidation sqref="Z85:AN85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4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5" t="inlineStr">
        <is>
          <t>TRAÇO</t>
        </is>
      </c>
      <c r="U4" s="46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7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48" t="n">
        <v>2</v>
      </c>
      <c r="H7" s="29" t="inlineStr">
        <is>
          <t>Nado</t>
        </is>
      </c>
      <c r="P7" s="49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7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48" t="n">
        <v>5</v>
      </c>
      <c r="H9" s="29" t="inlineStr">
        <is>
          <t>Faro</t>
        </is>
      </c>
      <c r="P9" s="49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7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8" t="n">
        <v>7</v>
      </c>
      <c r="H11" s="29" t="inlineStr">
        <is>
          <t>Miúdo</t>
        </is>
      </c>
      <c r="P11" s="49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7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8" t="n">
        <v>8</v>
      </c>
      <c r="H13" s="29" t="inlineStr">
        <is>
          <t>Montaria</t>
        </is>
      </c>
      <c r="P13" s="49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7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8" t="n">
        <v>8</v>
      </c>
      <c r="H15" s="29" t="inlineStr">
        <is>
          <t>Emboscada</t>
        </is>
      </c>
      <c r="P15" s="49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7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48" t="n">
        <v>8</v>
      </c>
      <c r="H17" s="29" t="inlineStr">
        <is>
          <t>Graúdo</t>
        </is>
      </c>
      <c r="P17" s="49" t="inlineStr">
        <is>
          <t>ocupa espaço maior e barra passagem</t>
        </is>
      </c>
    </row>
    <row r="18" ht="15" customHeight="1">
      <c r="A18" s="5" t="n"/>
      <c r="B18" s="5" t="n"/>
      <c r="C18" s="5" t="n"/>
      <c r="D18" s="47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5" t="inlineStr">
        <is>
          <t>COMANDO</t>
        </is>
      </c>
      <c r="U21" s="46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7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48" t="n">
        <v>4</v>
      </c>
      <c r="H24" s="29" t="inlineStr">
        <is>
          <t>Agarrar</t>
        </is>
      </c>
      <c r="P24" s="49" t="inlineStr">
        <is>
          <t>prende o alvo</t>
        </is>
      </c>
    </row>
    <row r="25" ht="15" customHeight="1">
      <c r="A25" s="5" t="n"/>
      <c r="B25" s="5" t="n"/>
      <c r="C25" s="5" t="n"/>
      <c r="D25" s="47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8" t="n">
        <v>4</v>
      </c>
      <c r="H26" s="29" t="inlineStr">
        <is>
          <t>Buscar</t>
        </is>
      </c>
      <c r="P26" s="49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7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8" t="n">
        <v>8</v>
      </c>
      <c r="H28" s="29" t="inlineStr">
        <is>
          <t>Interpor</t>
        </is>
      </c>
      <c r="P28" s="49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7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5" t="inlineStr">
        <is>
          <t>INVENTAR O SEU</t>
        </is>
      </c>
      <c r="U32" s="46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7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48" t="n">
        <v>3</v>
      </c>
      <c r="H35" s="49" t="inlineStr">
        <is>
          <t>muda o que ela comunica</t>
        </is>
      </c>
    </row>
    <row r="36" ht="15" customHeight="1">
      <c r="A36" s="5" t="n"/>
      <c r="B36" s="5" t="n"/>
      <c r="C36" s="5" t="n"/>
      <c r="D36" s="47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48" t="n">
        <v>7</v>
      </c>
      <c r="H37" s="49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7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7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48" t="n">
        <v>4</v>
      </c>
      <c r="H42" s="49" t="inlineStr">
        <is>
          <t>faz uma coisa com um alvo ou um objeto</t>
        </is>
      </c>
    </row>
    <row r="43" ht="15" customHeight="1">
      <c r="A43" s="5" t="n"/>
      <c r="B43" s="5" t="n"/>
      <c r="C43" s="5" t="n"/>
      <c r="D43" s="47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0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1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0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1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2" t="inlineStr">
        <is>
          <t>tipos</t>
        </is>
      </c>
      <c r="B1" s="52" t="inlineStr">
        <is>
          <t>trilhas</t>
        </is>
      </c>
      <c r="C1" s="52" t="inlineStr">
        <is>
          <t>atributos</t>
        </is>
      </c>
      <c r="D1" s="52" t="inlineStr">
        <is>
          <t>trs</t>
        </is>
      </c>
      <c r="E1" s="52" t="inlineStr">
        <is>
          <t>sintonia</t>
        </is>
      </c>
      <c r="F1" s="52" t="inlineStr">
        <is>
          <t>defesa_de</t>
        </is>
      </c>
      <c r="G1" s="52" t="inlineStr">
        <is>
          <t>fisico_de</t>
        </is>
      </c>
      <c r="H1" s="52" t="inlineStr">
        <is>
          <t>traco</t>
        </is>
      </c>
      <c r="I1" s="52" t="inlineStr">
        <is>
          <t>comando</t>
        </is>
      </c>
      <c r="J1" s="5" t="n"/>
      <c r="K1" s="52" t="inlineStr">
        <is>
          <t>tab_tipos</t>
        </is>
      </c>
      <c r="L1" s="5" t="n"/>
      <c r="M1" s="5" t="n"/>
      <c r="N1" s="52" t="inlineStr">
        <is>
          <t>tab_trilhas</t>
        </is>
      </c>
      <c r="O1" s="5" t="n"/>
      <c r="P1" s="5" t="n"/>
      <c r="Q1" s="5" t="n"/>
      <c r="R1" s="5" t="n"/>
      <c r="S1" s="5" t="n"/>
      <c r="T1" s="52" t="inlineStr">
        <is>
          <t>tab_traco</t>
        </is>
      </c>
      <c r="U1" s="5" t="n"/>
      <c r="V1" s="5" t="n"/>
      <c r="W1" s="52" t="inlineStr">
        <is>
          <t>tab_comando</t>
        </is>
      </c>
      <c r="X1" s="5" t="n"/>
      <c r="Y1" s="5" t="n"/>
      <c r="Z1" s="52" t="inlineStr">
        <is>
          <t>tab_investir</t>
        </is>
      </c>
      <c r="AA1" s="5" t="n"/>
      <c r="AB1" s="5" t="n"/>
      <c r="AC1" s="5" t="n"/>
      <c r="AD1" s="52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53" t="inlineStr">
        <is>
          <t>talismã</t>
        </is>
      </c>
      <c r="B2" s="53" t="inlineStr">
        <is>
          <t>Servo</t>
        </is>
      </c>
      <c r="C2" s="53" t="inlineStr">
        <is>
          <t>Força</t>
        </is>
      </c>
      <c r="D2" s="53" t="inlineStr">
        <is>
          <t>Físico</t>
        </is>
      </c>
      <c r="E2" s="53" t="inlineStr">
        <is>
          <t>—</t>
        </is>
      </c>
      <c r="F2" s="53" t="inlineStr">
        <is>
          <t>Essência</t>
        </is>
      </c>
      <c r="G2" s="53" t="inlineStr">
        <is>
          <t>Força</t>
        </is>
      </c>
      <c r="H2" s="53" t="inlineStr">
        <is>
          <t>—</t>
        </is>
      </c>
      <c r="I2" s="53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4" t="inlineStr">
        <is>
          <t>célula</t>
        </is>
      </c>
    </row>
    <row r="3">
      <c r="A3" s="53" t="inlineStr">
        <is>
          <t>corpo amaldiçoado</t>
        </is>
      </c>
      <c r="B3" s="53" t="inlineStr">
        <is>
          <t>Matilha</t>
        </is>
      </c>
      <c r="C3" s="53" t="inlineStr">
        <is>
          <t>Destreza</t>
        </is>
      </c>
      <c r="D3" s="53" t="inlineStr">
        <is>
          <t>Vigor</t>
        </is>
      </c>
      <c r="E3" s="53" t="inlineStr">
        <is>
          <t>Presa</t>
        </is>
      </c>
      <c r="F3" s="53" t="inlineStr">
        <is>
          <t>Inteligência</t>
        </is>
      </c>
      <c r="G3" s="53" t="inlineStr">
        <is>
          <t>Destreza</t>
        </is>
      </c>
      <c r="H3" s="53" t="inlineStr">
        <is>
          <t>Escalada</t>
        </is>
      </c>
      <c r="I3" s="53" t="inlineStr">
        <is>
          <t>Investir</t>
        </is>
      </c>
      <c r="J3" s="5" t="n"/>
      <c r="K3" s="53" t="inlineStr">
        <is>
          <t>talismã</t>
        </is>
      </c>
      <c r="L3" s="53" t="n">
        <v>1</v>
      </c>
      <c r="M3" s="5" t="n"/>
      <c r="N3" s="53" t="inlineStr">
        <is>
          <t>Servo</t>
        </is>
      </c>
      <c r="O3" s="53" t="n">
        <v>1</v>
      </c>
      <c r="P3" s="53" t="n">
        <v>1.5</v>
      </c>
      <c r="Q3" s="53" t="inlineStr">
        <is>
          <t>forte</t>
        </is>
      </c>
      <c r="R3" s="53" t="n">
        <v>1</v>
      </c>
      <c r="S3" s="5" t="n"/>
      <c r="T3" s="53" t="inlineStr">
        <is>
          <t>—</t>
        </is>
      </c>
      <c r="U3" s="53" t="n">
        <v>0</v>
      </c>
      <c r="V3" s="5" t="n"/>
      <c r="W3" s="53" t="inlineStr">
        <is>
          <t>—</t>
        </is>
      </c>
      <c r="X3" s="53" t="n">
        <v>0</v>
      </c>
      <c r="Y3" s="5" t="n"/>
      <c r="Z3" s="53" t="n">
        <v>2</v>
      </c>
      <c r="AA3" s="53" t="inlineStr">
        <is>
          <t>1d6</t>
        </is>
      </c>
      <c r="AB3" s="53" t="inlineStr">
        <is>
          <t>2</t>
        </is>
      </c>
      <c r="AC3" s="5" t="n"/>
      <c r="AD3" s="53" t="inlineStr">
        <is>
          <t>Físico</t>
        </is>
      </c>
      <c r="AE3" s="53" t="inlineStr">
        <is>
          <t>Força</t>
        </is>
      </c>
      <c r="AF3" s="5" t="n"/>
      <c r="AG3" s="53" t="n">
        <v>6</v>
      </c>
      <c r="AH3" s="53" t="n">
        <v>10</v>
      </c>
      <c r="AI3" s="53" t="n">
        <v>1</v>
      </c>
      <c r="AJ3" s="5" t="n"/>
      <c r="AK3" s="53">
        <f>INVOCAÇÃO!$D$30</f>
        <v/>
      </c>
      <c r="AL3" s="5" t="n"/>
      <c r="AM3" s="53" t="inlineStr">
        <is>
          <t>nivel</t>
        </is>
      </c>
      <c r="AN3" s="55" t="inlineStr">
        <is>
          <t>D7</t>
        </is>
      </c>
    </row>
    <row r="4">
      <c r="A4" s="53" t="inlineStr">
        <is>
          <t>técnica</t>
        </is>
      </c>
      <c r="B4" s="53" t="inlineStr">
        <is>
          <t>Coro</t>
        </is>
      </c>
      <c r="C4" s="53" t="inlineStr">
        <is>
          <t>Constituição</t>
        </is>
      </c>
      <c r="D4" s="53" t="inlineStr">
        <is>
          <t>Intelecto</t>
        </is>
      </c>
      <c r="E4" s="53" t="inlineStr">
        <is>
          <t>Parrudo</t>
        </is>
      </c>
      <c r="F4" s="5" t="n"/>
      <c r="G4" s="5" t="n"/>
      <c r="H4" s="53" t="inlineStr">
        <is>
          <t>Nado</t>
        </is>
      </c>
      <c r="I4" s="53" t="inlineStr">
        <is>
          <t>Agarrar</t>
        </is>
      </c>
      <c r="J4" s="5" t="n"/>
      <c r="K4" s="53" t="inlineStr">
        <is>
          <t>corpo amaldiçoado</t>
        </is>
      </c>
      <c r="L4" s="53" t="n">
        <v>1</v>
      </c>
      <c r="M4" s="5" t="n"/>
      <c r="N4" s="53" t="inlineStr">
        <is>
          <t>Matilha</t>
        </is>
      </c>
      <c r="O4" s="53" t="n">
        <v>5</v>
      </c>
      <c r="P4" s="53" t="n">
        <v>1</v>
      </c>
      <c r="Q4" s="53" t="inlineStr">
        <is>
          <t>forte</t>
        </is>
      </c>
      <c r="R4" s="53" t="n">
        <v>1.5</v>
      </c>
      <c r="S4" s="5" t="n"/>
      <c r="T4" s="53" t="inlineStr">
        <is>
          <t>Escalada</t>
        </is>
      </c>
      <c r="U4" s="53" t="n">
        <v>2</v>
      </c>
      <c r="V4" s="5" t="n"/>
      <c r="W4" s="53" t="inlineStr">
        <is>
          <t>Investir</t>
        </is>
      </c>
      <c r="X4" s="53" t="n">
        <v>0</v>
      </c>
      <c r="Y4" s="5" t="n"/>
      <c r="Z4" s="53" t="n">
        <v>5</v>
      </c>
      <c r="AA4" s="53" t="inlineStr">
        <is>
          <t>4d6</t>
        </is>
      </c>
      <c r="AB4" s="53" t="inlineStr">
        <is>
          <t>1d6</t>
        </is>
      </c>
      <c r="AC4" s="5" t="n"/>
      <c r="AD4" s="53" t="inlineStr">
        <is>
          <t>Vigor</t>
        </is>
      </c>
      <c r="AE4" s="53" t="inlineStr">
        <is>
          <t>Constituição</t>
        </is>
      </c>
      <c r="AF4" s="5" t="n"/>
      <c r="AG4" s="53" t="n">
        <v>10</v>
      </c>
      <c r="AH4" s="53" t="n">
        <v>18</v>
      </c>
      <c r="AI4" s="53" t="n">
        <v>5</v>
      </c>
      <c r="AJ4" s="5" t="n"/>
      <c r="AK4" s="53">
        <f>INVOCAÇÃO!$L$30</f>
        <v/>
      </c>
      <c r="AL4" s="5" t="n"/>
      <c r="AM4" s="53" t="inlineStr">
        <is>
          <t>ess_dono</t>
        </is>
      </c>
      <c r="AN4" s="55" t="inlineStr">
        <is>
          <t>O7</t>
        </is>
      </c>
    </row>
    <row r="5">
      <c r="A5" s="53" t="inlineStr">
        <is>
          <t>maldição domada</t>
        </is>
      </c>
      <c r="B5" s="5" t="n"/>
      <c r="C5" s="53" t="inlineStr">
        <is>
          <t>Inteligência</t>
        </is>
      </c>
      <c r="D5" s="53" t="inlineStr">
        <is>
          <t>Espírito</t>
        </is>
      </c>
      <c r="E5" s="53" t="inlineStr">
        <is>
          <t>Voz</t>
        </is>
      </c>
      <c r="F5" s="5" t="n"/>
      <c r="G5" s="5" t="n"/>
      <c r="H5" s="53" t="inlineStr">
        <is>
          <t>Fala</t>
        </is>
      </c>
      <c r="I5" s="53" t="inlineStr">
        <is>
          <t>Arrastar</t>
        </is>
      </c>
      <c r="J5" s="5" t="n"/>
      <c r="K5" s="53" t="inlineStr">
        <is>
          <t>técnica</t>
        </is>
      </c>
      <c r="L5" s="53" t="n">
        <v>2</v>
      </c>
      <c r="M5" s="5" t="n"/>
      <c r="N5" s="53" t="inlineStr">
        <is>
          <t>Coro</t>
        </is>
      </c>
      <c r="O5" s="53" t="n">
        <v>1</v>
      </c>
      <c r="P5" s="53" t="n">
        <v>1</v>
      </c>
      <c r="Q5" s="53" t="inlineStr">
        <is>
          <t>cru</t>
        </is>
      </c>
      <c r="R5" s="53" t="n">
        <v>1</v>
      </c>
      <c r="S5" s="5" t="n"/>
      <c r="T5" s="53" t="inlineStr">
        <is>
          <t>Nado</t>
        </is>
      </c>
      <c r="U5" s="53" t="n">
        <v>2</v>
      </c>
      <c r="V5" s="5" t="n"/>
      <c r="W5" s="53" t="inlineStr">
        <is>
          <t>Agarrar</t>
        </is>
      </c>
      <c r="X5" s="53" t="n">
        <v>4</v>
      </c>
      <c r="Y5" s="5" t="n"/>
      <c r="Z5" s="53" t="n">
        <v>9</v>
      </c>
      <c r="AA5" s="53" t="inlineStr">
        <is>
          <t>6d6</t>
        </is>
      </c>
      <c r="AB5" s="53" t="inlineStr">
        <is>
          <t>2d6</t>
        </is>
      </c>
      <c r="AC5" s="5" t="n"/>
      <c r="AD5" s="53" t="inlineStr">
        <is>
          <t>Intelecto</t>
        </is>
      </c>
      <c r="AE5" s="53" t="inlineStr">
        <is>
          <t>Inteligência</t>
        </is>
      </c>
      <c r="AF5" s="5" t="n"/>
      <c r="AG5" s="53" t="n">
        <v>14</v>
      </c>
      <c r="AH5" s="53" t="n">
        <v>26</v>
      </c>
      <c r="AI5" s="53" t="n">
        <v>9</v>
      </c>
      <c r="AJ5" s="5" t="n"/>
      <c r="AK5" s="53">
        <f>INVOCAÇÃO!$T$30</f>
        <v/>
      </c>
      <c r="AL5" s="5" t="n"/>
      <c r="AM5" s="53" t="inlineStr">
        <is>
          <t>int_dono</t>
        </is>
      </c>
      <c r="AN5" s="55" t="inlineStr">
        <is>
          <t>Z7</t>
        </is>
      </c>
    </row>
    <row r="6">
      <c r="A6" s="5" t="n"/>
      <c r="B6" s="5" t="n"/>
      <c r="C6" s="53" t="inlineStr">
        <is>
          <t>Essência</t>
        </is>
      </c>
      <c r="D6" s="5" t="n"/>
      <c r="E6" s="5" t="n"/>
      <c r="F6" s="5" t="n"/>
      <c r="G6" s="5" t="n"/>
      <c r="H6" s="53" t="inlineStr">
        <is>
          <t>Faro</t>
        </is>
      </c>
      <c r="I6" s="53" t="inlineStr">
        <is>
          <t>Buscar</t>
        </is>
      </c>
      <c r="J6" s="5" t="n"/>
      <c r="K6" s="53" t="inlineStr">
        <is>
          <t>maldição domada</t>
        </is>
      </c>
      <c r="L6" s="53" t="n">
        <v>3</v>
      </c>
      <c r="M6" s="5" t="n"/>
      <c r="N6" s="5" t="n"/>
      <c r="O6" s="5" t="n"/>
      <c r="P6" s="5" t="n"/>
      <c r="Q6" s="5" t="n"/>
      <c r="R6" s="5" t="n"/>
      <c r="S6" s="5" t="n"/>
      <c r="T6" s="53" t="inlineStr">
        <is>
          <t>Fala</t>
        </is>
      </c>
      <c r="U6" s="53" t="n">
        <v>3</v>
      </c>
      <c r="V6" s="5" t="n"/>
      <c r="W6" s="53" t="inlineStr">
        <is>
          <t>Arrastar</t>
        </is>
      </c>
      <c r="X6" s="53" t="n">
        <v>4</v>
      </c>
      <c r="Y6" s="5" t="n"/>
      <c r="Z6" s="53" t="n">
        <v>13</v>
      </c>
      <c r="AA6" s="53" t="inlineStr">
        <is>
          <t>8d6</t>
        </is>
      </c>
      <c r="AB6" s="53" t="inlineStr">
        <is>
          <t>3d6</t>
        </is>
      </c>
      <c r="AC6" s="5" t="n"/>
      <c r="AD6" s="53" t="inlineStr">
        <is>
          <t>Espírito</t>
        </is>
      </c>
      <c r="AE6" s="53" t="inlineStr">
        <is>
          <t>Essência</t>
        </is>
      </c>
      <c r="AF6" s="5" t="n"/>
      <c r="AG6" s="53" t="n">
        <v>18</v>
      </c>
      <c r="AH6" s="5" t="n"/>
      <c r="AI6" s="53" t="n">
        <v>13</v>
      </c>
      <c r="AJ6" s="5" t="n"/>
      <c r="AK6" s="53">
        <f>INVOCAÇÃO!$AB$30</f>
        <v/>
      </c>
      <c r="AL6" s="5" t="n"/>
      <c r="AM6" s="53" t="inlineStr">
        <is>
          <t>maestria</t>
        </is>
      </c>
      <c r="AN6" s="55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3" t="inlineStr">
        <is>
          <t>Vigia</t>
        </is>
      </c>
      <c r="I7" s="5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3" t="inlineStr">
        <is>
          <t>Faro</t>
        </is>
      </c>
      <c r="U7" s="53" t="n">
        <v>5</v>
      </c>
      <c r="V7" s="5" t="n"/>
      <c r="W7" s="53" t="inlineStr">
        <is>
          <t>Buscar</t>
        </is>
      </c>
      <c r="X7" s="53" t="n">
        <v>4</v>
      </c>
      <c r="Y7" s="5" t="n"/>
      <c r="Z7" s="53" t="n">
        <v>17</v>
      </c>
      <c r="AA7" s="53" t="inlineStr">
        <is>
          <t>10d6</t>
        </is>
      </c>
      <c r="AB7" s="53" t="inlineStr">
        <is>
          <t>4d6</t>
        </is>
      </c>
      <c r="AC7" s="5" t="n"/>
      <c r="AD7" s="5" t="n"/>
      <c r="AE7" s="5" t="n"/>
      <c r="AF7" s="5" t="n"/>
      <c r="AG7" s="53" t="n">
        <v>22</v>
      </c>
      <c r="AH7" s="5" t="n"/>
      <c r="AI7" s="53" t="n">
        <v>17</v>
      </c>
      <c r="AJ7" s="5" t="n"/>
      <c r="AK7" s="53">
        <f>INVOCAÇÃO!$AJ$30</f>
        <v/>
      </c>
      <c r="AL7" s="5" t="n"/>
      <c r="AM7" s="53" t="inlineStr">
        <is>
          <t>marcos</t>
        </is>
      </c>
      <c r="AN7" s="55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3" t="inlineStr">
        <is>
          <t>Miúdo</t>
        </is>
      </c>
      <c r="I8" s="5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3" t="inlineStr">
        <is>
          <t>Vigia</t>
        </is>
      </c>
      <c r="U8" s="53" t="n">
        <v>5</v>
      </c>
      <c r="V8" s="5" t="n"/>
      <c r="W8" s="53" t="inlineStr">
        <is>
          <t>Cavar</t>
        </is>
      </c>
      <c r="X8" s="53" t="n">
        <v>4</v>
      </c>
      <c r="Y8" s="5" t="n"/>
      <c r="Z8" s="53" t="n">
        <v>21</v>
      </c>
      <c r="AA8" s="53" t="inlineStr">
        <is>
          <t>13d6</t>
        </is>
      </c>
      <c r="AB8" s="53" t="inlineStr">
        <is>
          <t>5d6</t>
        </is>
      </c>
      <c r="AC8" s="5" t="n"/>
      <c r="AD8" s="5" t="n"/>
      <c r="AE8" s="5" t="n"/>
      <c r="AF8" s="5" t="n"/>
      <c r="AG8" s="53" t="n">
        <v>26</v>
      </c>
      <c r="AH8" s="5" t="n"/>
      <c r="AI8" s="53" t="n">
        <v>21</v>
      </c>
      <c r="AJ8" s="5" t="n"/>
      <c r="AK8" s="5" t="n"/>
      <c r="AL8" s="5" t="n"/>
      <c r="AM8" s="53" t="inlineStr">
        <is>
          <t>classe</t>
        </is>
      </c>
      <c r="AN8" s="55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3" t="inlineStr">
        <is>
          <t>Voo</t>
        </is>
      </c>
      <c r="I9" s="5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3" t="inlineStr">
        <is>
          <t>Miúdo</t>
        </is>
      </c>
      <c r="U9" s="53" t="n">
        <v>7</v>
      </c>
      <c r="V9" s="5" t="n"/>
      <c r="W9" s="53" t="inlineStr">
        <is>
          <t>Interpor</t>
        </is>
      </c>
      <c r="X9" s="53" t="n">
        <v>8</v>
      </c>
      <c r="Y9" s="5" t="n"/>
      <c r="Z9" s="53" t="n">
        <v>26</v>
      </c>
      <c r="AA9" s="53" t="inlineStr">
        <is>
          <t>15d6</t>
        </is>
      </c>
      <c r="AB9" s="53" t="inlineStr">
        <is>
          <t>6d6</t>
        </is>
      </c>
      <c r="AC9" s="5" t="n"/>
      <c r="AD9" s="5" t="n"/>
      <c r="AE9" s="5" t="n"/>
      <c r="AF9" s="5" t="n"/>
      <c r="AG9" s="53" t="n">
        <v>30</v>
      </c>
      <c r="AH9" s="5" t="n"/>
      <c r="AI9" s="53" t="n">
        <v>26</v>
      </c>
      <c r="AJ9" s="5" t="n"/>
      <c r="AK9" s="5" t="n"/>
      <c r="AL9" s="5" t="n"/>
      <c r="AM9" s="53" t="inlineStr">
        <is>
          <t>nome</t>
        </is>
      </c>
      <c r="AN9" s="55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3" t="inlineStr">
        <is>
          <t>Voo</t>
        </is>
      </c>
      <c r="U10" s="53" t="n">
        <v>8</v>
      </c>
      <c r="V10" s="5" t="n"/>
      <c r="W10" s="53" t="inlineStr">
        <is>
          <t>Chamariz</t>
        </is>
      </c>
      <c r="X10" s="5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3" t="inlineStr">
        <is>
          <t>tipo</t>
        </is>
      </c>
      <c r="AN10" s="55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3" t="inlineStr">
        <is>
          <t>Montaria</t>
        </is>
      </c>
      <c r="U11" s="5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3" t="inlineStr">
        <is>
          <t>trilha</t>
        </is>
      </c>
      <c r="AN11" s="55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3" t="inlineStr">
        <is>
          <t>Fisgada</t>
        </is>
      </c>
      <c r="U12" s="5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3" t="inlineStr">
        <is>
          <t>sintonia</t>
        </is>
      </c>
      <c r="AN12" s="55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5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3" t="inlineStr">
        <is>
          <t>Emboscada</t>
        </is>
      </c>
      <c r="U13" s="5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3" t="inlineStr">
        <is>
          <t>pontos_atributo</t>
        </is>
      </c>
      <c r="AN13" s="55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3" t="inlineStr">
        <is>
          <t>Jorro</t>
        </is>
      </c>
      <c r="U14" s="5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3" t="inlineStr">
        <is>
          <t>pontos_disp</t>
        </is>
      </c>
      <c r="AN14" s="55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5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3" t="inlineStr">
        <is>
          <t>Graúdo</t>
        </is>
      </c>
      <c r="U15" s="5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3" t="inlineStr">
        <is>
          <t>aviso_atributo</t>
        </is>
      </c>
      <c r="AN15" s="55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3" t="inlineStr">
        <is>
          <t>Remoto</t>
        </is>
      </c>
      <c r="U16" s="5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3" t="inlineStr">
        <is>
          <t>atr_acerto</t>
        </is>
      </c>
      <c r="AN16" s="55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3" t="inlineStr">
        <is>
          <t>acerto</t>
        </is>
      </c>
      <c r="AN17" s="55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3" t="inlineStr">
        <is>
          <t>defesa_de</t>
        </is>
      </c>
      <c r="AN18" s="55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3" t="inlineStr">
        <is>
          <t>defesa</t>
        </is>
      </c>
      <c r="AN19" s="55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3" t="inlineStr">
        <is>
          <t>critico</t>
        </is>
      </c>
      <c r="AN20" s="55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3" t="inlineStr">
        <is>
          <t>tr_treinado</t>
        </is>
      </c>
      <c r="AN21" s="55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3" t="inlineStr">
        <is>
          <t>fisico_de</t>
        </is>
      </c>
      <c r="AN22" s="55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3" t="inlineStr">
        <is>
          <t>tr_Físico</t>
        </is>
      </c>
      <c r="AN23" s="55" t="inlineStr">
        <is>
          <t>Q50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3" t="inlineStr">
        <is>
          <t>tr_extra_Físico</t>
        </is>
      </c>
      <c r="AN24" s="55" t="inlineStr">
        <is>
          <t>K50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3" t="inlineStr">
        <is>
          <t>tr_Vigor</t>
        </is>
      </c>
      <c r="AN25" s="55" t="inlineStr">
        <is>
          <t>AM50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3" t="inlineStr">
        <is>
          <t>tr_extra_Vigor</t>
        </is>
      </c>
      <c r="AN26" s="55" t="inlineStr">
        <is>
          <t>AG50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3" t="inlineStr">
        <is>
          <t>tr_Intelecto</t>
        </is>
      </c>
      <c r="AN27" s="55" t="inlineStr">
        <is>
          <t>Q51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3" t="inlineStr">
        <is>
          <t>tr_extra_Intelecto</t>
        </is>
      </c>
      <c r="AN28" s="55" t="inlineStr">
        <is>
          <t>K51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3" t="inlineStr">
        <is>
          <t>tr_Espírito</t>
        </is>
      </c>
      <c r="AN29" s="55" t="inlineStr">
        <is>
          <t>AM51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3" t="inlineStr">
        <is>
          <t>tr_extra_Espírito</t>
        </is>
      </c>
      <c r="AN30" s="55" t="inlineStr">
        <is>
          <t>AG51</t>
        </is>
      </c>
    </row>
    <row r="31">
      <c r="AM31" s="55" t="inlineStr">
        <is>
          <t>vida_max</t>
        </is>
      </c>
      <c r="AN31" s="55" t="inlineStr">
        <is>
          <t>D59</t>
        </is>
      </c>
    </row>
    <row r="32">
      <c r="AM32" s="55" t="inlineStr">
        <is>
          <t>vida</t>
        </is>
      </c>
      <c r="AN32" s="55" t="inlineStr">
        <is>
          <t>O59</t>
        </is>
      </c>
    </row>
    <row r="33">
      <c r="AM33" s="55" t="inlineStr">
        <is>
          <t>corpos</t>
        </is>
      </c>
      <c r="AN33" s="55" t="inlineStr">
        <is>
          <t>Z59</t>
        </is>
      </c>
    </row>
    <row r="34">
      <c r="AM34" s="55" t="inlineStr">
        <is>
          <t>area</t>
        </is>
      </c>
      <c r="AN34" s="55" t="inlineStr">
        <is>
          <t>AK59</t>
        </is>
      </c>
    </row>
    <row r="35">
      <c r="AM35" s="55" t="inlineStr">
        <is>
          <t>regua</t>
        </is>
      </c>
      <c r="AN35" s="55" t="inlineStr">
        <is>
          <t>D65</t>
        </is>
      </c>
    </row>
    <row r="36">
      <c r="AM36" s="55" t="inlineStr">
        <is>
          <t>meia_regua</t>
        </is>
      </c>
      <c r="AN36" s="55" t="inlineStr">
        <is>
          <t>O65</t>
        </is>
      </c>
    </row>
    <row r="37">
      <c r="AM37" s="55" t="inlineStr">
        <is>
          <t>volta_com</t>
        </is>
      </c>
      <c r="AN37" s="55" t="inlineStr">
        <is>
          <t>Z65</t>
        </is>
      </c>
    </row>
    <row r="38">
      <c r="AM38" s="55" t="inlineStr">
        <is>
          <t>orcamento</t>
        </is>
      </c>
      <c r="AN38" s="55" t="inlineStr">
        <is>
          <t>D76</t>
        </is>
      </c>
    </row>
    <row r="39">
      <c r="AM39" s="55" t="inlineStr">
        <is>
          <t>gasto</t>
        </is>
      </c>
      <c r="AN39" s="55" t="inlineStr">
        <is>
          <t>D91</t>
        </is>
      </c>
    </row>
    <row r="40">
      <c r="AM40" s="55" t="inlineStr">
        <is>
          <t>sobra</t>
        </is>
      </c>
      <c r="AN40" s="55" t="inlineStr">
        <is>
          <t>O91</t>
        </is>
      </c>
    </row>
    <row r="41">
      <c r="AM41" s="55" t="inlineStr">
        <is>
          <t>investir</t>
        </is>
      </c>
      <c r="AN41" s="55" t="inlineStr">
        <is>
          <t>D99</t>
        </is>
      </c>
    </row>
    <row r="42">
      <c r="AM42" s="55" t="inlineStr">
        <is>
          <t>cd_pendente</t>
        </is>
      </c>
      <c r="AN42" s="55" t="inlineStr">
        <is>
          <t>D116</t>
        </is>
      </c>
    </row>
    <row r="43">
      <c r="AM43" s="55" t="inlineStr">
        <is>
          <t>atr_Força</t>
        </is>
      </c>
      <c r="AN43" s="55" t="inlineStr">
        <is>
          <t>D30</t>
        </is>
      </c>
    </row>
    <row r="44">
      <c r="AM44" s="55" t="inlineStr">
        <is>
          <t>atr_Destreza</t>
        </is>
      </c>
      <c r="AN44" s="55" t="inlineStr">
        <is>
          <t>L30</t>
        </is>
      </c>
    </row>
    <row r="45">
      <c r="AM45" s="55" t="inlineStr">
        <is>
          <t>atr_Constituição</t>
        </is>
      </c>
      <c r="AN45" s="55" t="inlineStr">
        <is>
          <t>T30</t>
        </is>
      </c>
    </row>
    <row r="46">
      <c r="AM46" s="55" t="inlineStr">
        <is>
          <t>atr_Inteligência</t>
        </is>
      </c>
      <c r="AN46" s="55" t="inlineStr">
        <is>
          <t>AB30</t>
        </is>
      </c>
    </row>
    <row r="47">
      <c r="AM47" s="55" t="inlineStr">
        <is>
          <t>atr_Essência</t>
        </is>
      </c>
      <c r="AN47" s="55" t="inlineStr">
        <is>
          <t>AJ30</t>
        </is>
      </c>
    </row>
    <row r="48">
      <c r="AM48" s="55" t="inlineStr">
        <is>
          <t>slot_pontos_1</t>
        </is>
      </c>
      <c r="AN48" s="55" t="inlineStr">
        <is>
          <t>S80</t>
        </is>
      </c>
    </row>
    <row r="49">
      <c r="AM49" s="55" t="inlineStr">
        <is>
          <t>slot_pontos_2</t>
        </is>
      </c>
      <c r="AN49" s="55" t="inlineStr">
        <is>
          <t>S81</t>
        </is>
      </c>
    </row>
    <row r="50">
      <c r="AM50" s="55" t="inlineStr">
        <is>
          <t>slot_pontos_3</t>
        </is>
      </c>
      <c r="AN50" s="55" t="inlineStr">
        <is>
          <t>S82</t>
        </is>
      </c>
    </row>
    <row r="51">
      <c r="AM51" s="55" t="inlineStr">
        <is>
          <t>slot_pontos_4</t>
        </is>
      </c>
      <c r="AN51" s="55" t="inlineStr">
        <is>
          <t>S83</t>
        </is>
      </c>
    </row>
    <row r="52">
      <c r="AM52" s="55" t="inlineStr">
        <is>
          <t>slot_pontos_5</t>
        </is>
      </c>
      <c r="AN52" s="55" t="inlineStr">
        <is>
          <t>S84</t>
        </is>
      </c>
    </row>
    <row r="53">
      <c r="AM53" s="55" t="inlineStr">
        <is>
          <t>slot_pontos_6</t>
        </is>
      </c>
      <c r="AN53" s="55" t="inlineStr">
        <is>
          <t>S85</t>
        </is>
      </c>
    </row>
    <row r="54">
      <c r="AM54" s="55" t="inlineStr">
        <is>
          <t>slot_pontos_7</t>
        </is>
      </c>
      <c r="AN54" s="55" t="inlineStr">
        <is>
          <t>S86</t>
        </is>
      </c>
    </row>
    <row r="55">
      <c r="AM55" s="55" t="inlineStr">
        <is>
          <t>slot_pontos_8</t>
        </is>
      </c>
      <c r="AN55" s="55" t="inlineStr">
        <is>
          <t>S87</t>
        </is>
      </c>
    </row>
    <row r="56">
      <c r="AM56" s="55" t="inlineStr">
        <is>
          <t>slot_pontos_9</t>
        </is>
      </c>
      <c r="AN56" s="55" t="inlineStr">
        <is>
          <t>S88</t>
        </is>
      </c>
    </row>
    <row r="57">
      <c r="AM57" s="55" t="inlineStr">
        <is>
          <t>slot_pontos_10</t>
        </is>
      </c>
      <c r="AN57" s="55" t="inlineStr">
        <is>
          <t>AO80</t>
        </is>
      </c>
    </row>
    <row r="58">
      <c r="AM58" s="55" t="inlineStr">
        <is>
          <t>slot_pontos_11</t>
        </is>
      </c>
      <c r="AN58" s="55" t="inlineStr">
        <is>
          <t>AO81</t>
        </is>
      </c>
    </row>
    <row r="59">
      <c r="AM59" s="55" t="inlineStr">
        <is>
          <t>slot_pontos_12</t>
        </is>
      </c>
      <c r="AN59" s="55" t="inlineStr">
        <is>
          <t>AO82</t>
        </is>
      </c>
    </row>
    <row r="60">
      <c r="AM60" s="55" t="inlineStr">
        <is>
          <t>slot_pontos_13</t>
        </is>
      </c>
      <c r="AN60" s="55" t="inlineStr">
        <is>
          <t>AO83</t>
        </is>
      </c>
    </row>
    <row r="61">
      <c r="AM61" s="55" t="inlineStr">
        <is>
          <t>slot_pontos_14</t>
        </is>
      </c>
      <c r="AN61" s="55" t="inlineStr">
        <is>
          <t>AO84</t>
        </is>
      </c>
    </row>
    <row r="62">
      <c r="AM62" s="55" t="inlineStr">
        <is>
          <t>slot_pontos_15</t>
        </is>
      </c>
      <c r="AN62" s="55" t="inlineStr">
        <is>
          <t>AO85</t>
        </is>
      </c>
    </row>
    <row r="63">
      <c r="AM63" s="55" t="inlineStr">
        <is>
          <t>traco_1</t>
        </is>
      </c>
      <c r="AN63" s="55" t="inlineStr">
        <is>
          <t>D80</t>
        </is>
      </c>
    </row>
    <row r="64">
      <c r="AM64" s="55" t="inlineStr">
        <is>
          <t>traco_2</t>
        </is>
      </c>
      <c r="AN64" s="55" t="inlineStr">
        <is>
          <t>D81</t>
        </is>
      </c>
    </row>
    <row r="65">
      <c r="AM65" s="55" t="inlineStr">
        <is>
          <t>traco_3</t>
        </is>
      </c>
      <c r="AN65" s="55" t="inlineStr">
        <is>
          <t>D82</t>
        </is>
      </c>
    </row>
    <row r="66">
      <c r="AM66" s="55" t="inlineStr">
        <is>
          <t>traco_4</t>
        </is>
      </c>
      <c r="AN66" s="55" t="inlineStr">
        <is>
          <t>D83</t>
        </is>
      </c>
    </row>
    <row r="67">
      <c r="AM67" s="55" t="inlineStr">
        <is>
          <t>traco_5</t>
        </is>
      </c>
      <c r="AN67" s="55" t="inlineStr">
        <is>
          <t>D84</t>
        </is>
      </c>
    </row>
    <row r="68">
      <c r="AM68" s="55" t="inlineStr">
        <is>
          <t>traco_6</t>
        </is>
      </c>
      <c r="AN68" s="55" t="inlineStr">
        <is>
          <t>D85</t>
        </is>
      </c>
    </row>
    <row r="69">
      <c r="AM69" s="55" t="inlineStr">
        <is>
          <t>traco_7</t>
        </is>
      </c>
      <c r="AN69" s="55" t="inlineStr">
        <is>
          <t>D86</t>
        </is>
      </c>
    </row>
    <row r="70">
      <c r="AM70" s="55" t="inlineStr">
        <is>
          <t>traco_8</t>
        </is>
      </c>
      <c r="AN70" s="55" t="inlineStr">
        <is>
          <t>D87</t>
        </is>
      </c>
    </row>
    <row r="71">
      <c r="AM71" s="55" t="inlineStr">
        <is>
          <t>traco_9</t>
        </is>
      </c>
      <c r="AN71" s="55" t="inlineStr">
        <is>
          <t>D88</t>
        </is>
      </c>
    </row>
    <row r="72">
      <c r="AM72" s="55" t="inlineStr">
        <is>
          <t>comando_1</t>
        </is>
      </c>
      <c r="AN72" s="55" t="inlineStr">
        <is>
          <t>Z80</t>
        </is>
      </c>
    </row>
    <row r="73">
      <c r="AM73" s="55" t="inlineStr">
        <is>
          <t>comando_2</t>
        </is>
      </c>
      <c r="AN73" s="55" t="inlineStr">
        <is>
          <t>Z81</t>
        </is>
      </c>
    </row>
    <row r="74">
      <c r="AM74" s="55" t="inlineStr">
        <is>
          <t>comando_3</t>
        </is>
      </c>
      <c r="AN74" s="55" t="inlineStr">
        <is>
          <t>Z82</t>
        </is>
      </c>
    </row>
    <row r="75">
      <c r="AM75" s="55" t="inlineStr">
        <is>
          <t>comando_4</t>
        </is>
      </c>
      <c r="AN75" s="55" t="inlineStr">
        <is>
          <t>Z83</t>
        </is>
      </c>
    </row>
    <row r="76">
      <c r="AM76" s="55" t="inlineStr">
        <is>
          <t>comando_5</t>
        </is>
      </c>
      <c r="AN76" s="55" t="inlineStr">
        <is>
          <t>Z84</t>
        </is>
      </c>
    </row>
    <row r="77">
      <c r="AM77" s="55" t="inlineStr">
        <is>
          <t>comando_6</t>
        </is>
      </c>
      <c r="AN77" s="55" t="inlineStr">
        <is>
          <t>Z85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2026-09-05T04:47:45Z</dcterms:created>
  <dcterms:modified xmlns:dcterms="http://purl.org/dc/terms/" xmlns:xsi="http://www.w3.org/2001/XMLSchema-instance" xsi:type="dcterms:W3CDTF">2026-09-05T04:47:45Z</dcterms:modified>
</cp:coreProperties>
</file>
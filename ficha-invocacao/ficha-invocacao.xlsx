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CAÇÃO" sheetId="1" state="visible" r:id="rId1"/>
    <sheet xmlns:r="http://schemas.openxmlformats.org/officeDocument/2006/relationships" name="CATÁLOGO" sheetId="2" state="visible" r:id="rId2"/>
    <sheet xmlns:r="http://schemas.openxmlformats.org/officeDocument/2006/relationships" name="DADOS" sheetId="3" state="hidden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7">
    <font>
      <name val="Roboto"/>
      <color rgb="00F4F1F7"/>
      <sz val="12"/>
    </font>
    <font>
      <name val="Oswald"/>
      <color rgb="00998BA9"/>
      <sz val="9"/>
    </font>
    <font>
      <name val="Roboto"/>
      <color rgb="00F4F1F7"/>
      <sz val="12"/>
    </font>
    <font>
      <name val="Roboto"/>
      <color rgb="00998BA9"/>
      <sz val="9"/>
    </font>
    <font>
      <name val="Oswald"/>
      <color rgb="00493F54"/>
      <sz val="11"/>
    </font>
    <font>
      <name val="Oswald"/>
      <color rgb="00E8DCD4"/>
      <sz val="18"/>
    </font>
    <font>
      <name val="Courier New"/>
      <color rgb="00998BA9"/>
      <sz val="8"/>
    </font>
    <font>
      <name val="Oswald"/>
      <color rgb="00E8DCD4"/>
      <sz val="22"/>
    </font>
    <font>
      <name val="Oswald"/>
      <color rgb="00E8DCD4"/>
      <sz val="12"/>
    </font>
    <font>
      <name val="Oswald"/>
      <color rgb="00E8DCD4"/>
      <sz val="8"/>
    </font>
    <font>
      <name val="Oswald"/>
      <color rgb="00E8DCD4"/>
      <sz val="16"/>
    </font>
    <font>
      <name val="Castoro"/>
      <color rgb="00E8DCD4"/>
      <sz val="18"/>
    </font>
    <font>
      <name val="Roboto"/>
      <color rgb="00E8DCD4"/>
      <sz val="12"/>
    </font>
    <font>
      <name val="Oswald"/>
      <color rgb="00756588"/>
      <sz val="8"/>
    </font>
    <font>
      <name val="Roboto"/>
      <color rgb="00F4F1F7"/>
      <sz val="9"/>
    </font>
    <font>
      <name val="Oswald"/>
      <color rgb="00E8DCD4"/>
      <sz val="24"/>
    </font>
    <font>
      <name val="Roboto"/>
      <color rgb="00E8DCD4"/>
      <sz val="8"/>
    </font>
    <font>
      <name val="Oswald"/>
      <color rgb="00D89B3A"/>
      <sz val="12"/>
    </font>
    <font>
      <name val="Roboto"/>
      <color rgb="00E8DCD4"/>
      <sz val="11"/>
    </font>
    <font>
      <name val="Castoro"/>
      <color rgb="00E8DCD4"/>
      <sz val="10"/>
    </font>
    <font>
      <name val="Oswald"/>
      <color rgb="00998BA9"/>
      <sz val="8"/>
    </font>
    <font>
      <name val="Oswald"/>
      <color rgb="00E8DCD4"/>
      <sz val="10"/>
    </font>
    <font>
      <name val="Oswald"/>
      <color rgb="00D89B3A"/>
      <sz val="8"/>
    </font>
    <font>
      <name val="Oswald"/>
      <color rgb="00E8DCD4"/>
      <sz val="11"/>
    </font>
    <font>
      <name val="Oswald"/>
      <color rgb="00D89B3A"/>
      <sz val="16"/>
    </font>
    <font>
      <name val="Roboto"/>
      <color rgb="00E8DCD4"/>
      <sz val="9"/>
    </font>
    <font>
      <name val="Roboto"/>
      <color rgb="00998BA9"/>
      <sz val="8"/>
    </font>
  </fonts>
  <fills count="7">
    <fill>
      <patternFill/>
    </fill>
    <fill>
      <patternFill patternType="gray125"/>
    </fill>
    <fill>
      <patternFill patternType="solid">
        <fgColor rgb="00120F1D"/>
        <bgColor rgb="00120F1D"/>
      </patternFill>
    </fill>
    <fill>
      <patternFill patternType="solid">
        <fgColor rgb="000A0810"/>
        <bgColor rgb="000A0810"/>
      </patternFill>
    </fill>
    <fill>
      <patternFill patternType="solid">
        <fgColor rgb="003D2E78"/>
        <bgColor rgb="003D2E78"/>
      </patternFill>
    </fill>
    <fill>
      <patternFill patternType="solid">
        <fgColor rgb="00211940"/>
        <bgColor rgb="00211940"/>
      </patternFill>
    </fill>
    <fill>
      <patternFill patternType="solid">
        <fgColor rgb="001E1733"/>
        <bgColor rgb="001E17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3" borderId="0" pivotButton="0" quotePrefix="0" xfId="0"/>
    <xf numFmtId="0" fontId="0" fillId="4" borderId="0" pivotButton="0" quotePrefix="0" xfId="0"/>
    <xf numFmtId="0" fontId="5" fillId="4" borderId="0" applyAlignment="1" pivotButton="0" quotePrefix="0" xfId="0">
      <alignment horizontal="left" vertical="center"/>
    </xf>
    <xf numFmtId="0" fontId="6" fillId="4" borderId="0" applyAlignment="1" pivotButton="0" quotePrefix="0" xfId="0">
      <alignment horizontal="right" vertical="center"/>
    </xf>
    <xf numFmtId="0" fontId="0" fillId="2" borderId="0" pivotButton="0" quotePrefix="0" xfId="0"/>
    <xf numFmtId="0" fontId="7" fillId="5" borderId="0" applyAlignment="1" pivotButton="0" quotePrefix="0" xfId="0">
      <alignment horizontal="center" vertical="center"/>
    </xf>
    <xf numFmtId="0" fontId="8" fillId="4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10" fillId="6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 textRotation="90"/>
    </xf>
    <xf numFmtId="0" fontId="3" fillId="2" borderId="0" applyAlignment="1" pivotButton="0" quotePrefix="0" xfId="0">
      <alignment horizontal="left" vertical="center"/>
    </xf>
    <xf numFmtId="0" fontId="11" fillId="6" borderId="0" applyAlignment="1" pivotButton="0" quotePrefix="0" xfId="0">
      <alignment horizontal="center" vertical="center"/>
    </xf>
    <xf numFmtId="0" fontId="12" fillId="6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left" vertical="center"/>
    </xf>
    <xf numFmtId="0" fontId="14" fillId="2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4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17" fillId="6" borderId="0" applyAlignment="1" pivotButton="0" quotePrefix="0" xfId="0">
      <alignment horizontal="center" vertical="center"/>
    </xf>
    <xf numFmtId="0" fontId="18" fillId="6" borderId="0" applyAlignment="1" pivotButton="0" quotePrefix="0" xfId="0">
      <alignment horizontal="center" vertical="center"/>
    </xf>
    <xf numFmtId="0" fontId="9" fillId="4" borderId="0" applyAlignment="1" pivotButton="0" quotePrefix="0" xfId="0">
      <alignment horizontal="left" vertical="center"/>
    </xf>
    <xf numFmtId="0" fontId="19" fillId="6" borderId="0" applyAlignment="1" pivotButton="0" quotePrefix="0" xfId="0">
      <alignment horizontal="left" vertical="center"/>
    </xf>
    <xf numFmtId="0" fontId="20" fillId="6" borderId="0" applyAlignment="1" pivotButton="0" quotePrefix="0" xfId="0">
      <alignment horizontal="center" vertical="center"/>
    </xf>
    <xf numFmtId="0" fontId="21" fillId="6" borderId="0" applyAlignment="1" pivotButton="0" quotePrefix="0" xfId="0">
      <alignment horizontal="right" vertical="center"/>
    </xf>
    <xf numFmtId="0" fontId="19" fillId="4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center" vertical="center"/>
    </xf>
    <xf numFmtId="0" fontId="21" fillId="4" borderId="0" applyAlignment="1" pivotButton="0" quotePrefix="0" xfId="0">
      <alignment horizontal="right" vertical="center"/>
    </xf>
    <xf numFmtId="0" fontId="2" fillId="6" borderId="0" applyAlignment="1" pivotButton="0" quotePrefix="0" xfId="0">
      <alignment horizontal="left" vertical="center"/>
    </xf>
    <xf numFmtId="0" fontId="22" fillId="4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right" vertical="center"/>
    </xf>
    <xf numFmtId="0" fontId="23" fillId="4" borderId="0" applyAlignment="1" pivotButton="0" quotePrefix="0" xfId="0">
      <alignment horizontal="right" vertical="center"/>
    </xf>
    <xf numFmtId="0" fontId="24" fillId="6" borderId="0" applyAlignment="1" pivotButton="0" quotePrefix="0" xfId="0">
      <alignment horizontal="center" vertical="center"/>
    </xf>
    <xf numFmtId="0" fontId="20" fillId="6" borderId="0" applyAlignment="1" pivotButton="0" quotePrefix="0" xfId="0">
      <alignment horizontal="left" vertical="center"/>
    </xf>
    <xf numFmtId="0" fontId="25" fillId="6" borderId="0" applyAlignment="1" pivotButton="0" quotePrefix="0" xfId="0">
      <alignment horizontal="left" vertical="center"/>
    </xf>
    <xf numFmtId="0" fontId="20" fillId="4" borderId="0" applyAlignment="1" pivotButton="0" quotePrefix="0" xfId="0">
      <alignment horizontal="left" vertical="center"/>
    </xf>
    <xf numFmtId="0" fontId="25" fillId="4" borderId="0" applyAlignment="1" pivotButton="0" quotePrefix="0" xfId="0">
      <alignment horizontal="left" vertical="center"/>
    </xf>
    <xf numFmtId="0" fontId="26" fillId="6" borderId="0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/>
    </xf>
    <xf numFmtId="0" fontId="8" fillId="5" borderId="0" applyAlignment="1" pivotButton="0" quotePrefix="0" xfId="0">
      <alignment horizontal="left" vertical="center"/>
    </xf>
    <xf numFmtId="0" fontId="3" fillId="5" borderId="0" applyAlignment="1" pivotButton="0" quotePrefix="0" xfId="0">
      <alignment horizontal="left" vertical="center"/>
    </xf>
    <xf numFmtId="0" fontId="23" fillId="6" borderId="0" applyAlignment="1" pivotButton="0" quotePrefix="0" xfId="0">
      <alignment horizontal="center" vertical="center"/>
    </xf>
    <xf numFmtId="0" fontId="23" fillId="4" borderId="0" applyAlignment="1" pivotButton="0" quotePrefix="0" xfId="0">
      <alignment horizontal="center" vertical="center"/>
    </xf>
    <xf numFmtId="0" fontId="14" fillId="4" borderId="0" applyAlignment="1" pivotButton="0" quotePrefix="0" xfId="0">
      <alignment horizontal="left" vertical="center"/>
    </xf>
    <xf numFmtId="0" fontId="3" fillId="6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left" vertical="center"/>
    </xf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T12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1" t="n"/>
      <c r="B1" s="1" t="n"/>
      <c r="C1" s="2" t="n"/>
      <c r="D1" s="3" t="inlineStr">
        <is>
          <t>A FICHA DA INVOCAÇÃO</t>
        </is>
      </c>
      <c r="AE1" s="2" t="n"/>
      <c r="AF1" s="4" t="inlineStr">
        <is>
          <t>capítulo 16 · sistema v0.200</t>
        </is>
      </c>
    </row>
    <row r="2" ht="15" customHeight="1">
      <c r="A2" s="1" t="n"/>
      <c r="B2" s="1" t="n"/>
      <c r="C2" s="2" t="n"/>
      <c r="AE2" s="2" t="n"/>
    </row>
    <row r="3" ht="15" customHeight="1">
      <c r="A3" s="1" t="n"/>
      <c r="B3" s="1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1" t="n"/>
      <c r="B4" s="1" t="n"/>
      <c r="C4" s="5" t="n"/>
      <c r="D4" s="6" t="inlineStr">
        <is>
          <t>1.0</t>
        </is>
      </c>
      <c r="G4" s="7" t="inlineStr">
        <is>
          <t>O DONO — o que a ficha dele decide</t>
        </is>
      </c>
      <c r="AC4" s="5" t="n"/>
      <c r="AD4" s="5" t="n"/>
      <c r="AE4" s="5" t="n"/>
      <c r="AF4" s="5" t="n"/>
      <c r="AG4" s="5" t="n"/>
      <c r="AH4" s="5" t="n"/>
      <c r="AI4" s="5" t="n"/>
      <c r="AJ4" s="5" t="n"/>
      <c r="AK4" s="5" t="n"/>
      <c r="AL4" s="5" t="n"/>
      <c r="AM4" s="5" t="n"/>
      <c r="AN4" s="5" t="n"/>
      <c r="AO4" s="5" t="n"/>
      <c r="AP4" s="5" t="n"/>
      <c r="AQ4" s="5" t="n"/>
      <c r="AR4" s="5" t="n"/>
      <c r="AS4" s="5" t="n"/>
      <c r="AT4" s="5" t="n"/>
    </row>
    <row r="5" ht="15" customHeight="1">
      <c r="A5" s="1" t="n"/>
      <c r="B5" s="1" t="n"/>
      <c r="C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</row>
    <row r="6" ht="15" customHeight="1">
      <c r="A6" s="1" t="n"/>
      <c r="B6" s="1" t="n"/>
      <c r="C6" s="5" t="n"/>
      <c r="D6" s="8" t="inlineStr">
        <is>
          <t>NÍVEL DO DONO</t>
        </is>
      </c>
      <c r="N6" s="5" t="n"/>
      <c r="O6" s="8" t="inlineStr">
        <is>
          <t>ESSÊNCIA DELE</t>
        </is>
      </c>
      <c r="Y6" s="5" t="n"/>
      <c r="Z6" s="8" t="inlineStr">
        <is>
          <t>INTELIGÊNCIA DELE</t>
        </is>
      </c>
      <c r="AJ6" s="5" t="n"/>
      <c r="AK6" s="8" t="inlineStr">
        <is>
          <t>MAESTRIA</t>
        </is>
      </c>
    </row>
    <row r="7" ht="15" customHeight="1">
      <c r="A7" s="1" t="n"/>
      <c r="B7" s="1" t="n"/>
      <c r="C7" s="5" t="n"/>
      <c r="D7" s="9" t="n">
        <v>2</v>
      </c>
      <c r="N7" s="5" t="n"/>
      <c r="O7" s="9" t="n">
        <v>0</v>
      </c>
      <c r="Y7" s="5" t="n"/>
      <c r="Z7" s="9" t="n">
        <v>0</v>
      </c>
      <c r="AJ7" s="5" t="n"/>
      <c r="AK7" s="10">
        <f>(1+COUNTIF(DADOS!$AH$3:$AH$5,"&lt;="&amp;$D$7))</f>
        <v/>
      </c>
    </row>
    <row r="8" ht="15" customHeight="1">
      <c r="A8" s="11" t="inlineStr">
        <is>
          <t>INVOCAÇÃO</t>
        </is>
      </c>
      <c r="C8" s="5" t="n"/>
      <c r="N8" s="5" t="n"/>
      <c r="Y8" s="5" t="n"/>
      <c r="AJ8" s="5" t="n"/>
    </row>
    <row r="9" ht="15" customHeight="1"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</row>
    <row r="10" ht="15" customHeight="1">
      <c r="C10" s="5" t="n"/>
      <c r="D10" s="8" t="inlineStr">
        <is>
          <t>MARCOS</t>
        </is>
      </c>
      <c r="N10" s="5" t="n"/>
      <c r="O10" s="8" t="inlineStr">
        <is>
          <t>MAIOR CLASSE · PE DE INVOCAR</t>
        </is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</row>
    <row r="11" ht="15" customHeight="1">
      <c r="C11" s="5" t="n"/>
      <c r="D11" s="10">
        <f>COUNTIF(DADOS!$AG$3:$AG$9,"&lt;="&amp;$D$7)</f>
        <v/>
      </c>
      <c r="N11" s="5" t="n"/>
      <c r="O11" s="10">
        <f>COUNTIF(DADOS!$AI$3:$AI$9,"&lt;="&amp;$D$7)</f>
        <v/>
      </c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</row>
    <row r="12" ht="15" customHeight="1"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</row>
    <row r="13" ht="15" customHeight="1">
      <c r="C13" s="5" t="n"/>
      <c r="D13" s="12" t="inlineStr">
        <is>
          <t>As três da esquerda você digita. No dia em que isto virar aba da ficha grande, elas puxam da FICHA por fórmula e nada mais muda.</t>
        </is>
      </c>
    </row>
    <row r="14" ht="15" customHeight="1">
      <c r="C14" s="5" t="n"/>
    </row>
    <row r="15" ht="15" customHeight="1"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</row>
    <row r="16" ht="15" customHeight="1">
      <c r="C16" s="5" t="n"/>
      <c r="D16" s="6" t="inlineStr">
        <is>
          <t>2.0</t>
        </is>
      </c>
      <c r="G16" s="7" t="inlineStr">
        <is>
          <t>A INVOCAÇÃO</t>
        </is>
      </c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</row>
    <row r="17" ht="15" customHeight="1">
      <c r="C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</row>
    <row r="18" ht="15" customHeight="1">
      <c r="C18" s="5" t="n"/>
      <c r="D18" s="8" t="inlineStr">
        <is>
          <t>NOME</t>
        </is>
      </c>
      <c r="Y18" s="5" t="n"/>
      <c r="Z18" s="8" t="inlineStr">
        <is>
          <t>TIPO</t>
        </is>
      </c>
      <c r="AJ18" s="5" t="n"/>
      <c r="AK18" s="8" t="inlineStr">
        <is>
          <t>TRILHA</t>
        </is>
      </c>
    </row>
    <row r="19" ht="15" customHeight="1">
      <c r="C19" s="5" t="n"/>
      <c r="D19" s="13" t="n"/>
      <c r="Y19" s="5" t="n"/>
      <c r="Z19" s="14" t="n"/>
      <c r="AJ19" s="5" t="n"/>
      <c r="AK19" s="14" t="n"/>
    </row>
    <row r="20" ht="15" customHeight="1"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C21" s="5" t="n"/>
      <c r="D21" s="8" t="inlineStr">
        <is>
          <t>SINTONIA</t>
        </is>
      </c>
      <c r="N21" s="5" t="n"/>
      <c r="O21" s="15" t="inlineStr">
        <is>
          <t>A TRILHA É O EIXO</t>
        </is>
      </c>
    </row>
    <row r="22" ht="15" customHeight="1">
      <c r="C22" s="5" t="n"/>
      <c r="D22" s="14" t="inlineStr">
        <is>
          <t>—</t>
        </is>
      </c>
      <c r="N22" s="5" t="n"/>
      <c r="O22" s="16" t="inlineStr">
        <is>
          <t>ela decide quantos corpos vão a campo, qual fórmula de vida vale, e o multiplicador do orçamento</t>
        </is>
      </c>
    </row>
    <row r="23" ht="15" customHeight="1"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</row>
    <row r="24" ht="15" customHeight="1">
      <c r="C24" s="5" t="n"/>
      <c r="D24" s="12" t="inlineStr">
        <is>
          <t>A Sintonia é o degrau de nível 2 do Evocador: Presa — as suas invocacoes acertam critico com 19 ou 20 · Parrudo — as suas invocacoes tem mais vida, equivalente a 5 x a sua maestria · Voz — a CD dos efeitos das suas invocacoes sobe em 1, e vira metade da sua maestria a partir do nivel 7</t>
        </is>
      </c>
    </row>
    <row r="25" ht="15" customHeight="1">
      <c r="C25" s="5" t="n"/>
    </row>
    <row r="26" ht="15" customHeight="1"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</row>
    <row r="27" ht="15" customHeight="1">
      <c r="A27" s="1" t="n"/>
      <c r="B27" s="1" t="n"/>
      <c r="C27" s="5" t="n"/>
      <c r="D27" s="6" t="inlineStr">
        <is>
          <t>3.0</t>
        </is>
      </c>
      <c r="G27" s="7" t="inlineStr">
        <is>
          <t>OS ATRIBUTOS DELA — são dela, e ela não copia os seus</t>
        </is>
      </c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</row>
    <row r="28" ht="15" customHeight="1">
      <c r="A28" s="1" t="n"/>
      <c r="B28" s="1" t="n"/>
      <c r="C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</row>
    <row r="29" ht="15" customHeight="1">
      <c r="A29" s="1" t="n"/>
      <c r="B29" s="1" t="n"/>
      <c r="C29" s="5" t="n"/>
      <c r="D29" s="8" t="inlineStr">
        <is>
          <t>FOR</t>
        </is>
      </c>
      <c r="K29" s="5" t="n"/>
      <c r="L29" s="8" t="inlineStr">
        <is>
          <t>DES</t>
        </is>
      </c>
      <c r="S29" s="5" t="n"/>
      <c r="T29" s="8" t="inlineStr">
        <is>
          <t>CON</t>
        </is>
      </c>
      <c r="AA29" s="5" t="n"/>
      <c r="AB29" s="8" t="inlineStr">
        <is>
          <t>INT</t>
        </is>
      </c>
      <c r="AI29" s="5" t="n"/>
      <c r="AJ29" s="8" t="inlineStr">
        <is>
          <t>ESS</t>
        </is>
      </c>
      <c r="AQ29" s="5" t="n"/>
      <c r="AR29" s="5" t="n"/>
      <c r="AS29" s="5" t="n"/>
      <c r="AT29" s="5" t="n"/>
    </row>
    <row r="30" ht="15" customHeight="1">
      <c r="A30" s="11" t="inlineStr">
        <is>
          <t>PROJETO - M</t>
        </is>
      </c>
      <c r="C30" s="5" t="n"/>
      <c r="D30" s="17" t="n">
        <v>0</v>
      </c>
      <c r="K30" s="5" t="n"/>
      <c r="L30" s="17" t="n">
        <v>0</v>
      </c>
      <c r="S30" s="5" t="n"/>
      <c r="T30" s="17" t="n">
        <v>0</v>
      </c>
      <c r="AA30" s="5" t="n"/>
      <c r="AB30" s="17" t="n">
        <v>0</v>
      </c>
      <c r="AI30" s="5" t="n"/>
      <c r="AJ30" s="17" t="n">
        <v>0</v>
      </c>
      <c r="AQ30" s="5" t="n"/>
      <c r="AR30" s="5" t="n"/>
      <c r="AS30" s="5" t="n"/>
      <c r="AT30" s="5" t="n"/>
    </row>
    <row r="31" ht="15" customHeight="1">
      <c r="C31" s="5" t="n"/>
      <c r="K31" s="5" t="n"/>
      <c r="S31" s="5" t="n"/>
      <c r="AA31" s="5" t="n"/>
      <c r="AI31" s="5" t="n"/>
      <c r="AQ31" s="5" t="n"/>
      <c r="AR31" s="5" t="n"/>
      <c r="AS31" s="5" t="n"/>
      <c r="AT31" s="5" t="n"/>
    </row>
    <row r="32" ht="15" customHeight="1">
      <c r="C32" s="5" t="n"/>
      <c r="D32" s="18" t="inlineStr">
        <is>
          <t>Força</t>
        </is>
      </c>
      <c r="K32" s="5" t="n"/>
      <c r="L32" s="18" t="inlineStr">
        <is>
          <t>Destreza</t>
        </is>
      </c>
      <c r="S32" s="5" t="n"/>
      <c r="T32" s="18" t="inlineStr">
        <is>
          <t>Constituição</t>
        </is>
      </c>
      <c r="AA32" s="5" t="n"/>
      <c r="AB32" s="18" t="inlineStr">
        <is>
          <t>Inteligência</t>
        </is>
      </c>
      <c r="AI32" s="5" t="n"/>
      <c r="AJ32" s="18" t="inlineStr">
        <is>
          <t>Essência</t>
        </is>
      </c>
      <c r="AQ32" s="5" t="n"/>
      <c r="AR32" s="5" t="n"/>
      <c r="AS32" s="5" t="n"/>
      <c r="AT32" s="5" t="n"/>
    </row>
    <row r="33" ht="15" customHeight="1"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</row>
    <row r="34" ht="15" customHeight="1">
      <c r="C34" s="5" t="n"/>
      <c r="D34" s="8" t="inlineStr">
        <is>
          <t>PONTOS GASTOS</t>
        </is>
      </c>
      <c r="N34" s="5" t="n"/>
      <c r="O34" s="8" t="inlineStr">
        <is>
          <t>DISPONÍVEIS</t>
        </is>
      </c>
      <c r="Y34" s="5" t="n"/>
      <c r="Z34" s="8" t="inlineStr">
        <is>
          <t>CONFERÊNCIA</t>
        </is>
      </c>
    </row>
    <row r="35" ht="15" customHeight="1">
      <c r="C35" s="5" t="n"/>
      <c r="D35" s="19">
        <f>$D$30+$L$30+$T$30+$AB$30+$AJ$30</f>
        <v/>
      </c>
      <c r="N35" s="5" t="n"/>
      <c r="O35" s="19">
        <f>(9+$D$11)</f>
        <v/>
      </c>
      <c r="Y35" s="5" t="n"/>
      <c r="Z35" s="20">
        <f>IF($D$30+$L$30+$T$30+$AB$30+$AJ$30&gt;(9+$D$11),"estourou o total",IF(MAX($D$30,$L$30,$T$30,$AB$30,$AJ$30)&gt;6,"estourou o teto de 6",IF($D$30+$L$30+$T$30+$AB$30+$AJ$30&lt;(9+$D$11),"sobrou ponto","ok")))</f>
        <v/>
      </c>
    </row>
    <row r="36" ht="15" customHeight="1"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</row>
    <row r="37" ht="15" customHeight="1">
      <c r="C37" s="5" t="n"/>
      <c r="D37" s="12" t="inlineStr">
        <is>
          <t>9 pontos na criação com teto 3, mais 1 por marco, teto 6. Mesma regra da sua ficha.</t>
        </is>
      </c>
    </row>
    <row r="38" ht="15" customHeight="1">
      <c r="C38" s="5" t="n"/>
    </row>
    <row r="39" ht="15" customHeight="1"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C40" s="5" t="n"/>
      <c r="D40" s="6" t="inlineStr">
        <is>
          <t>4.0</t>
        </is>
      </c>
      <c r="G40" s="7" t="inlineStr">
        <is>
          <t>O QUE ENCARA O DADO — o número é dela, o ritmo é seu</t>
        </is>
      </c>
      <c r="AI40" s="5" t="n"/>
      <c r="AJ40" s="5" t="n"/>
      <c r="AK40" s="5" t="n"/>
      <c r="AL40" s="5" t="n"/>
      <c r="AM40" s="5" t="n"/>
      <c r="AN40" s="5" t="n"/>
      <c r="AO40" s="5" t="n"/>
      <c r="AP40" s="5" t="n"/>
      <c r="AQ40" s="5" t="n"/>
      <c r="AR40" s="5" t="n"/>
      <c r="AS40" s="5" t="n"/>
      <c r="AT40" s="5" t="n"/>
    </row>
    <row r="41" ht="15" customHeight="1">
      <c r="C41" s="5" t="n"/>
      <c r="G41" s="5" t="n"/>
      <c r="H41" s="5" t="n"/>
      <c r="I41" s="5" t="n"/>
      <c r="J41" s="5" t="n"/>
      <c r="K41" s="5" t="n"/>
      <c r="L41" s="5" t="n"/>
      <c r="M41" s="5" t="n"/>
      <c r="N41" s="5" t="n"/>
      <c r="O41" s="5" t="n"/>
      <c r="P41" s="5" t="n"/>
      <c r="Q41" s="5" t="n"/>
      <c r="R41" s="5" t="n"/>
      <c r="S41" s="5" t="n"/>
      <c r="T41" s="5" t="n"/>
      <c r="U41" s="5" t="n"/>
      <c r="V41" s="5" t="n"/>
      <c r="W41" s="5" t="n"/>
      <c r="X41" s="5" t="n"/>
      <c r="Y41" s="5" t="n"/>
      <c r="Z41" s="5" t="n"/>
      <c r="AA41" s="5" t="n"/>
      <c r="AB41" s="5" t="n"/>
      <c r="AC41" s="5" t="n"/>
      <c r="AD41" s="5" t="n"/>
      <c r="AE41" s="5" t="n"/>
      <c r="AF41" s="5" t="n"/>
      <c r="AG41" s="5" t="n"/>
      <c r="AH41" s="5" t="n"/>
      <c r="AI41" s="5" t="n"/>
      <c r="AJ41" s="5" t="n"/>
      <c r="AK41" s="5" t="n"/>
      <c r="AL41" s="5" t="n"/>
      <c r="AM41" s="5" t="n"/>
      <c r="AN41" s="5" t="n"/>
      <c r="AO41" s="5" t="n"/>
      <c r="AP41" s="5" t="n"/>
      <c r="AQ41" s="5" t="n"/>
      <c r="AR41" s="5" t="n"/>
      <c r="AS41" s="5" t="n"/>
      <c r="AT41" s="5" t="n"/>
    </row>
    <row r="42" ht="15" customHeight="1">
      <c r="C42" s="5" t="n"/>
      <c r="D42" s="8" t="inlineStr">
        <is>
          <t>ATRIBUTO DO ACERTO</t>
        </is>
      </c>
      <c r="N42" s="5" t="n"/>
      <c r="O42" s="8" t="inlineStr">
        <is>
          <t>ACERTO</t>
        </is>
      </c>
      <c r="Y42" s="5" t="n"/>
      <c r="Z42" s="8" t="inlineStr">
        <is>
          <t>DEFESA USA, DELE</t>
        </is>
      </c>
      <c r="AJ42" s="5" t="n"/>
      <c r="AK42" s="8" t="inlineStr">
        <is>
          <t>DEFESA</t>
        </is>
      </c>
    </row>
    <row r="43" ht="15" customHeight="1">
      <c r="C43" s="5" t="n"/>
      <c r="D43" s="21" t="n"/>
      <c r="N43" s="5" t="n"/>
      <c r="O43" s="10">
        <f>IF($D$43="","",INDEX(DADOS!$AK$3:$AK$7,MATCH($D$43,DADOS!$C$2:$C$6,0))+$AK$7)</f>
        <v/>
      </c>
      <c r="Y43" s="5" t="n"/>
      <c r="Z43" s="21" t="n"/>
      <c r="AJ43" s="5" t="n"/>
      <c r="AK43" s="10">
        <f>10+$L$30+FLOOR(IF($Z$43="Essência",$O$7,$Z$7)/2,1)</f>
        <v/>
      </c>
    </row>
    <row r="44" ht="15" customHeight="1"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C45" s="5" t="n"/>
      <c r="D45" s="8" t="inlineStr">
        <is>
          <t>CRÍTICO COM</t>
        </is>
      </c>
      <c r="N45" s="5" t="n"/>
      <c r="O45" s="8" t="inlineStr">
        <is>
          <t>QUAL TR ELA TREINA</t>
        </is>
      </c>
      <c r="Y45" s="5" t="n"/>
      <c r="Z45" s="8" t="inlineStr">
        <is>
          <t>O FÍSICO DELA USA</t>
        </is>
      </c>
      <c r="AJ45" s="5" t="n"/>
      <c r="AK45" s="5" t="n"/>
      <c r="AL45" s="5" t="n"/>
      <c r="AM45" s="5" t="n"/>
      <c r="AN45" s="5" t="n"/>
      <c r="AO45" s="5" t="n"/>
      <c r="AP45" s="5" t="n"/>
      <c r="AQ45" s="5" t="n"/>
      <c r="AR45" s="5" t="n"/>
      <c r="AS45" s="5" t="n"/>
      <c r="AT45" s="5" t="n"/>
    </row>
    <row r="46" ht="15" customHeight="1">
      <c r="C46" s="5" t="n"/>
      <c r="D46" s="19">
        <f>IF($D$22="Presa","19 ou 20","20")</f>
        <v/>
      </c>
      <c r="N46" s="5" t="n"/>
      <c r="O46" s="21" t="n"/>
      <c r="Y46" s="5" t="n"/>
      <c r="Z46" s="21" t="n"/>
      <c r="AJ46" s="5" t="n"/>
      <c r="AK46" s="5" t="n"/>
      <c r="AL46" s="5" t="n"/>
      <c r="AM46" s="5" t="n"/>
      <c r="AN46" s="5" t="n"/>
      <c r="AO46" s="5" t="n"/>
      <c r="AP46" s="5" t="n"/>
      <c r="AQ46" s="5" t="n"/>
      <c r="AR46" s="5" t="n"/>
      <c r="AS46" s="5" t="n"/>
      <c r="AT46" s="5" t="n"/>
    </row>
    <row r="47" ht="15" customHeight="1"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  <c r="N47" s="5" t="n"/>
      <c r="O47" s="5" t="n"/>
      <c r="P47" s="5" t="n"/>
      <c r="Q47" s="5" t="n"/>
      <c r="R47" s="5" t="n"/>
      <c r="S47" s="5" t="n"/>
      <c r="T47" s="5" t="n"/>
      <c r="U47" s="5" t="n"/>
      <c r="V47" s="5" t="n"/>
      <c r="W47" s="5" t="n"/>
      <c r="X47" s="5" t="n"/>
      <c r="Y47" s="5" t="n"/>
      <c r="Z47" s="5" t="n"/>
      <c r="AA47" s="5" t="n"/>
      <c r="AB47" s="5" t="n"/>
      <c r="AC47" s="5" t="n"/>
      <c r="AD47" s="5" t="n"/>
      <c r="AE47" s="5" t="n"/>
      <c r="AF47" s="5" t="n"/>
      <c r="AG47" s="5" t="n"/>
      <c r="AH47" s="5" t="n"/>
      <c r="AI47" s="5" t="n"/>
      <c r="AJ47" s="5" t="n"/>
      <c r="AK47" s="5" t="n"/>
      <c r="AL47" s="5" t="n"/>
      <c r="AM47" s="5" t="n"/>
      <c r="AN47" s="5" t="n"/>
      <c r="AO47" s="5" t="n"/>
      <c r="AP47" s="5" t="n"/>
      <c r="AQ47" s="5" t="n"/>
      <c r="AR47" s="5" t="n"/>
      <c r="AS47" s="5" t="n"/>
      <c r="AT47" s="5" t="n"/>
    </row>
    <row r="48" ht="15" customHeight="1">
      <c r="C48" s="5" t="n"/>
      <c r="D48" s="22" t="inlineStr">
        <is>
          <t>OS QUATRO TESTES DE RESISTÊNCIA · ela treina UM, e a sua maestria entra só nele</t>
        </is>
      </c>
    </row>
    <row r="49" ht="15" customHeight="1">
      <c r="A49" s="1" t="n"/>
      <c r="B49" s="1" t="n"/>
      <c r="C49" s="5" t="n"/>
      <c r="D49" s="23" t="inlineStr">
        <is>
          <t>Físico</t>
        </is>
      </c>
      <c r="P49" s="24" t="inlineStr">
        <is>
          <t>For ou Des</t>
        </is>
      </c>
      <c r="R49" s="25">
        <f>IFERROR(INDEX(DADOS!$AK$3:$AK$7,MATCH($Z$46,DADOS!$C$2:$C$6,0))+IF($O$46="Físico",$AK$7,0),"")</f>
        <v/>
      </c>
      <c r="U49" s="5" t="n"/>
      <c r="V49" s="5" t="n"/>
      <c r="W49" s="5" t="n"/>
      <c r="X49" s="5" t="n"/>
      <c r="Y49" s="23" t="inlineStr">
        <is>
          <t>Vigor</t>
        </is>
      </c>
      <c r="AK49" s="24" t="inlineStr">
        <is>
          <t>Con</t>
        </is>
      </c>
      <c r="AM49" s="25">
        <f>IFERROR(INDEX(DADOS!$AK$3:$AK$7,MATCH("Constituição",DADOS!$C$2:$C$6,0))+IF($O$46="Vigor",$AK$7,0),"")</f>
        <v/>
      </c>
      <c r="AP49" s="5" t="n"/>
      <c r="AQ49" s="5" t="n"/>
      <c r="AR49" s="5" t="n"/>
      <c r="AS49" s="5" t="n"/>
      <c r="AT49" s="5" t="n"/>
    </row>
    <row r="50" ht="15" customHeight="1">
      <c r="A50" s="1" t="n"/>
      <c r="B50" s="1" t="n"/>
      <c r="C50" s="5" t="n"/>
      <c r="D50" s="26" t="inlineStr">
        <is>
          <t>Intelecto</t>
        </is>
      </c>
      <c r="P50" s="27" t="inlineStr">
        <is>
          <t>Int</t>
        </is>
      </c>
      <c r="R50" s="28">
        <f>IFERROR(INDEX(DADOS!$AK$3:$AK$7,MATCH("Inteligência",DADOS!$C$2:$C$6,0))+IF($O$46="Intelecto",$AK$7,0),"")</f>
        <v/>
      </c>
      <c r="U50" s="5" t="n"/>
      <c r="V50" s="5" t="n"/>
      <c r="W50" s="5" t="n"/>
      <c r="X50" s="5" t="n"/>
      <c r="Y50" s="26" t="inlineStr">
        <is>
          <t>Espírito</t>
        </is>
      </c>
      <c r="AK50" s="27" t="inlineStr">
        <is>
          <t>Ess</t>
        </is>
      </c>
      <c r="AM50" s="28">
        <f>IFERROR(INDEX(DADOS!$AK$3:$AK$7,MATCH("Essência",DADOS!$C$2:$C$6,0))+IF($O$46="Espírito",$AK$7,0),"")</f>
        <v/>
      </c>
      <c r="AP50" s="5" t="n"/>
      <c r="AQ50" s="5" t="n"/>
      <c r="AR50" s="5" t="n"/>
      <c r="AS50" s="5" t="n"/>
      <c r="AT50" s="5" t="n"/>
    </row>
    <row r="51" ht="15" customHeight="1">
      <c r="A51" s="1" t="n"/>
      <c r="B51" s="1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1" t="n"/>
      <c r="B52" s="1" t="n"/>
      <c r="C52" s="5" t="n"/>
      <c r="D52" s="12" t="inlineStr">
        <is>
          <t>Acerto e Teste de Resistência rolam d20 + isto. A Defesa é passiva, e a maestria não entra nela.</t>
        </is>
      </c>
    </row>
    <row r="53" ht="15" customHeight="1">
      <c r="A53" s="1" t="n"/>
      <c r="B53" s="1" t="n"/>
      <c r="C53" s="5" t="n"/>
    </row>
    <row r="54" ht="15" customHeight="1">
      <c r="A54" s="1" t="n"/>
      <c r="B54" s="1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1" t="n"/>
      <c r="B55" s="1" t="n"/>
      <c r="C55" s="5" t="n"/>
      <c r="D55" s="6" t="inlineStr">
        <is>
          <t>5.0</t>
        </is>
      </c>
      <c r="G55" s="7" t="inlineStr">
        <is>
          <t>VIDA E MORTE</t>
        </is>
      </c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1" t="n"/>
      <c r="B56" s="1" t="n"/>
      <c r="C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1" t="n"/>
      <c r="B57" s="1" t="n"/>
      <c r="C57" s="5" t="n"/>
      <c r="D57" s="8" t="inlineStr">
        <is>
          <t>VIDA MÁXIMA</t>
        </is>
      </c>
      <c r="N57" s="5" t="n"/>
      <c r="O57" s="8" t="inlineStr">
        <is>
          <t>VIDA AGORA</t>
        </is>
      </c>
      <c r="Y57" s="5" t="n"/>
      <c r="Z57" s="8" t="inlineStr">
        <is>
          <t>CORPOS EM CAMPO</t>
        </is>
      </c>
      <c r="AJ57" s="5" t="n"/>
      <c r="AK57" s="8" t="inlineStr">
        <is>
          <t>ÁREA BATE ×</t>
        </is>
      </c>
    </row>
    <row r="58" ht="15" customHeight="1">
      <c r="A58" s="1" t="n"/>
      <c r="B58" s="1" t="n"/>
      <c r="C58" s="5" t="n"/>
      <c r="D58" s="9">
        <f>IF($Z$19="","",IF(IFERROR(VLOOKUP($AK$19,DADOS!$N$3:$R$5,4,FALSE),"cru")="forte",FLOOR(2.5*(IFERROR(VLOOKUP($Z$19,DADOS!$K$3:$L$6,2,FALSE),0)+2*$D$7)+$T$30*$D$7,1),(IFERROR(VLOOKUP($Z$19,DADOS!$K$3:$L$6,2,FALSE),0)+(2+$T$30)*$D$7))+IF($D$22="Parrudo",5*$AK$7,0))</f>
        <v/>
      </c>
      <c r="N58" s="5" t="n"/>
      <c r="O58" s="9" t="n"/>
      <c r="Y58" s="5" t="n"/>
      <c r="Z58" s="10">
        <f>IFERROR(VLOOKUP($AK$19,DADOS!$N$3:$R$5,2,FALSE),"")</f>
        <v/>
      </c>
      <c r="AJ58" s="5" t="n"/>
      <c r="AK58" s="10">
        <f>IFERROR(VLOOKUP($AK$19,DADOS!$N$3:$R$5,5,FALSE),"")</f>
        <v/>
      </c>
    </row>
    <row r="59" ht="15" customHeight="1">
      <c r="A59" s="1" t="n"/>
      <c r="B59" s="1" t="n"/>
      <c r="C59" s="5" t="n"/>
      <c r="N59" s="5" t="n"/>
      <c r="Y59" s="5" t="n"/>
      <c r="AJ59" s="5" t="n"/>
    </row>
    <row r="60" ht="15" customHeight="1">
      <c r="A60" s="1" t="n"/>
      <c r="B60" s="1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1" t="n"/>
      <c r="B61" s="1" t="n"/>
      <c r="C61" s="5" t="n"/>
      <c r="D61" s="22" t="inlineStr">
        <is>
          <t>A BARRA</t>
        </is>
      </c>
      <c r="O61" s="29">
        <f>IFERROR(SPARKLINE($O$58,{"charttype","bar";"max",$D$58;"color1",IF(N($D$58)=0,"#E8DCD4",IF($O$58/$D$58&lt;=0.25,"#C2334D",IF($O$58/$D$58&lt;=0.5,"#D89B3A","#E8DCD4")))}),"")</f>
        <v/>
      </c>
    </row>
    <row r="62" ht="15" customHeight="1">
      <c r="A62" s="1" t="n"/>
      <c r="B62" s="1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1" t="n"/>
      <c r="B63" s="1" t="n"/>
      <c r="C63" s="5" t="n"/>
      <c r="D63" s="8" t="inlineStr">
        <is>
          <t>RÉGUA DA MORTE</t>
        </is>
      </c>
      <c r="N63" s="5" t="n"/>
      <c r="O63" s="8" t="inlineStr">
        <is>
          <t>METADE DELA</t>
        </is>
      </c>
      <c r="Y63" s="5" t="n"/>
      <c r="Z63" s="8" t="inlineStr">
        <is>
          <t>VOLTA COM</t>
        </is>
      </c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1" t="n"/>
      <c r="B64" s="1" t="n"/>
      <c r="C64" s="5" t="n"/>
      <c r="D64" s="10">
        <f>IF($Z$19="","",5*(IFERROR(VLOOKUP($Z$19,DADOS!$K$3:$L$6,2,FALSE),0)+(2+$T$30)*$D$7))</f>
        <v/>
      </c>
      <c r="N64" s="5" t="n"/>
      <c r="O64" s="10">
        <f>IF($Z$19="","",5*(IFERROR(VLOOKUP($Z$19,DADOS!$K$3:$L$6,2,FALSE),0)+(2+$T$30)*$D$7)/2)</f>
        <v/>
      </c>
      <c r="Y64" s="5" t="n"/>
      <c r="Z64" s="10">
        <f>IF($Z$19="","",FLOOR($D$58/2,1))</f>
        <v/>
      </c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  <row r="65" ht="15" customHeight="1">
      <c r="A65" s="1" t="n"/>
      <c r="B65" s="1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  <c r="N65" s="5" t="n"/>
      <c r="O65" s="5" t="n"/>
      <c r="P65" s="5" t="n"/>
      <c r="Q65" s="5" t="n"/>
      <c r="R65" s="5" t="n"/>
      <c r="S65" s="5" t="n"/>
      <c r="T65" s="5" t="n"/>
      <c r="U65" s="5" t="n"/>
      <c r="V65" s="5" t="n"/>
      <c r="W65" s="5" t="n"/>
      <c r="X65" s="5" t="n"/>
      <c r="Y65" s="5" t="n"/>
      <c r="Z65" s="5" t="n"/>
      <c r="AA65" s="5" t="n"/>
      <c r="AB65" s="5" t="n"/>
      <c r="AC65" s="5" t="n"/>
      <c r="AD65" s="5" t="n"/>
      <c r="AE65" s="5" t="n"/>
      <c r="AF65" s="5" t="n"/>
      <c r="AG65" s="5" t="n"/>
      <c r="AH65" s="5" t="n"/>
      <c r="AI65" s="5" t="n"/>
      <c r="AJ65" s="5" t="n"/>
      <c r="AK65" s="5" t="n"/>
      <c r="AL65" s="5" t="n"/>
      <c r="AM65" s="5" t="n"/>
      <c r="AN65" s="5" t="n"/>
      <c r="AO65" s="5" t="n"/>
      <c r="AP65" s="5" t="n"/>
      <c r="AQ65" s="5" t="n"/>
      <c r="AR65" s="5" t="n"/>
      <c r="AS65" s="5" t="n"/>
      <c r="AT65" s="5" t="n"/>
    </row>
    <row r="66" ht="15" customHeight="1">
      <c r="A66" s="1" t="n"/>
      <c r="B66" s="1" t="n"/>
      <c r="C66" s="5" t="n"/>
      <c r="D66" s="30" t="inlineStr">
        <is>
          <t>MORRE DE VEZ SE</t>
        </is>
      </c>
    </row>
    <row r="67" ht="15" customHeight="1">
      <c r="A67" s="1" t="n"/>
      <c r="B67" s="1" t="n"/>
      <c r="C67" s="5" t="n"/>
      <c r="D67" s="31" t="inlineStr">
        <is>
          <t>o excedente passar da metade da régua, ou um golpe só causar a régua inteira. A régua sai da vida CRUA do tipo, nunca da do corpo forte — é a mesma para um corpo, cinco, ou o corpo grande.</t>
        </is>
      </c>
    </row>
    <row r="68" ht="15" customHeight="1">
      <c r="A68" s="1" t="n"/>
      <c r="B68" s="1" t="n"/>
      <c r="C68" s="5" t="n"/>
    </row>
    <row r="69" ht="15" customHeight="1">
      <c r="A69" s="1" t="n"/>
      <c r="B69" s="1" t="n"/>
      <c r="C69" s="5" t="n"/>
      <c r="D69" s="12" t="inlineStr">
        <is>
          <t>Ela some no zero: sem Inconsciente, sem Sequela e sem Cicatriz. A vida cheia volta no descanso longo.</t>
        </is>
      </c>
    </row>
    <row r="70" ht="15" customHeight="1">
      <c r="A70" s="1" t="n"/>
      <c r="B70" s="1" t="n"/>
      <c r="C70" s="5" t="n"/>
    </row>
    <row r="71" ht="15" customHeight="1">
      <c r="A71" s="1" t="n"/>
      <c r="B71" s="1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  <c r="N71" s="5" t="n"/>
      <c r="O71" s="5" t="n"/>
      <c r="P71" s="5" t="n"/>
      <c r="Q71" s="5" t="n"/>
      <c r="R71" s="5" t="n"/>
      <c r="S71" s="5" t="n"/>
      <c r="T71" s="5" t="n"/>
      <c r="U71" s="5" t="n"/>
      <c r="V71" s="5" t="n"/>
      <c r="W71" s="5" t="n"/>
      <c r="X71" s="5" t="n"/>
      <c r="Y71" s="5" t="n"/>
      <c r="Z71" s="5" t="n"/>
      <c r="AA71" s="5" t="n"/>
      <c r="AB71" s="5" t="n"/>
      <c r="AC71" s="5" t="n"/>
      <c r="AD71" s="5" t="n"/>
      <c r="AE71" s="5" t="n"/>
      <c r="AF71" s="5" t="n"/>
      <c r="AG71" s="5" t="n"/>
      <c r="AH71" s="5" t="n"/>
      <c r="AI71" s="5" t="n"/>
      <c r="AJ71" s="5" t="n"/>
      <c r="AK71" s="5" t="n"/>
      <c r="AL71" s="5" t="n"/>
      <c r="AM71" s="5" t="n"/>
      <c r="AN71" s="5" t="n"/>
      <c r="AO71" s="5" t="n"/>
      <c r="AP71" s="5" t="n"/>
      <c r="AQ71" s="5" t="n"/>
      <c r="AR71" s="5" t="n"/>
      <c r="AS71" s="5" t="n"/>
      <c r="AT71" s="5" t="n"/>
    </row>
    <row r="72" ht="15" customHeight="1">
      <c r="A72" s="1" t="n"/>
      <c r="B72" s="1" t="n"/>
      <c r="C72" s="5" t="n"/>
      <c r="D72" s="6" t="inlineStr">
        <is>
          <t>6.0</t>
        </is>
      </c>
      <c r="G72" s="7" t="inlineStr">
        <is>
          <t>O ORÇAMENTO — compra o que ela FAZ, nunca número</t>
        </is>
      </c>
      <c r="AG72" s="5" t="n"/>
      <c r="AH72" s="5" t="n"/>
      <c r="AI72" s="5" t="n"/>
      <c r="AJ72" s="5" t="n"/>
      <c r="AK72" s="5" t="n"/>
      <c r="AL72" s="5" t="n"/>
      <c r="AM72" s="5" t="n"/>
      <c r="AN72" s="5" t="n"/>
      <c r="AO72" s="5" t="n"/>
      <c r="AP72" s="5" t="n"/>
      <c r="AQ72" s="5" t="n"/>
      <c r="AR72" s="5" t="n"/>
      <c r="AS72" s="5" t="n"/>
      <c r="AT72" s="5" t="n"/>
    </row>
    <row r="73" ht="15" customHeight="1">
      <c r="A73" s="1" t="n"/>
      <c r="B73" s="1" t="n"/>
      <c r="C73" s="5" t="n"/>
      <c r="G73" s="5" t="n"/>
      <c r="H73" s="5" t="n"/>
      <c r="I73" s="5" t="n"/>
      <c r="J73" s="5" t="n"/>
      <c r="K73" s="5" t="n"/>
      <c r="L73" s="5" t="n"/>
      <c r="M73" s="5" t="n"/>
      <c r="N73" s="5" t="n"/>
      <c r="O73" s="5" t="n"/>
      <c r="P73" s="5" t="n"/>
      <c r="Q73" s="5" t="n"/>
      <c r="R73" s="5" t="n"/>
      <c r="S73" s="5" t="n"/>
      <c r="T73" s="5" t="n"/>
      <c r="U73" s="5" t="n"/>
      <c r="V73" s="5" t="n"/>
      <c r="W73" s="5" t="n"/>
      <c r="X73" s="5" t="n"/>
      <c r="Y73" s="5" t="n"/>
      <c r="Z73" s="5" t="n"/>
      <c r="AA73" s="5" t="n"/>
      <c r="AB73" s="5" t="n"/>
      <c r="AC73" s="5" t="n"/>
      <c r="AD73" s="5" t="n"/>
      <c r="AE73" s="5" t="n"/>
      <c r="AF73" s="5" t="n"/>
      <c r="AG73" s="5" t="n"/>
      <c r="AH73" s="5" t="n"/>
      <c r="AI73" s="5" t="n"/>
      <c r="AJ73" s="5" t="n"/>
      <c r="AK73" s="5" t="n"/>
      <c r="AL73" s="5" t="n"/>
      <c r="AM73" s="5" t="n"/>
      <c r="AN73" s="5" t="n"/>
      <c r="AO73" s="5" t="n"/>
      <c r="AP73" s="5" t="n"/>
      <c r="AQ73" s="5" t="n"/>
      <c r="AR73" s="5" t="n"/>
      <c r="AS73" s="5" t="n"/>
      <c r="AT73" s="5" t="n"/>
    </row>
    <row r="74" ht="15" customHeight="1">
      <c r="A74" s="1" t="n"/>
      <c r="B74" s="1" t="n"/>
      <c r="C74" s="5" t="n"/>
      <c r="D74" s="8" t="inlineStr">
        <is>
          <t>ORÇAMENTO</t>
        </is>
      </c>
      <c r="N74" s="5" t="n"/>
      <c r="O74" s="5" t="n"/>
      <c r="P74" s="5" t="n"/>
      <c r="Q74" s="5" t="n"/>
      <c r="R74" s="5" t="n"/>
      <c r="S74" s="5" t="n"/>
      <c r="T74" s="5" t="n"/>
      <c r="U74" s="5" t="n"/>
      <c r="V74" s="5" t="n"/>
      <c r="W74" s="5" t="n"/>
      <c r="X74" s="5" t="n"/>
      <c r="Y74" s="5" t="n"/>
      <c r="Z74" s="5" t="n"/>
      <c r="AA74" s="5" t="n"/>
      <c r="AB74" s="5" t="n"/>
      <c r="AC74" s="5" t="n"/>
      <c r="AD74" s="5" t="n"/>
      <c r="AE74" s="5" t="n"/>
      <c r="AF74" s="5" t="n"/>
      <c r="AG74" s="5" t="n"/>
      <c r="AH74" s="5" t="n"/>
      <c r="AI74" s="5" t="n"/>
      <c r="AJ74" s="5" t="n"/>
      <c r="AK74" s="5" t="n"/>
      <c r="AL74" s="5" t="n"/>
      <c r="AM74" s="5" t="n"/>
      <c r="AN74" s="5" t="n"/>
      <c r="AO74" s="5" t="n"/>
      <c r="AP74" s="5" t="n"/>
      <c r="AQ74" s="5" t="n"/>
      <c r="AR74" s="5" t="n"/>
      <c r="AS74" s="5" t="n"/>
      <c r="AT74" s="5" t="n"/>
    </row>
    <row r="75" ht="15" customHeight="1">
      <c r="A75" s="1" t="n"/>
      <c r="B75" s="1" t="n"/>
      <c r="C75" s="5" t="n"/>
      <c r="D75" s="9">
        <f>FLOOR((8+4*$D$11)*IFERROR(VLOOKUP($AK$19,DADOS!$N$3:$R$5,3,FALSE),1),1)</f>
        <v/>
      </c>
      <c r="N75" s="5" t="n"/>
      <c r="O75" s="5" t="n"/>
      <c r="P75" s="5" t="n"/>
      <c r="Q75" s="5" t="n"/>
      <c r="R75" s="5" t="n"/>
      <c r="S75" s="5" t="n"/>
      <c r="T75" s="5" t="n"/>
      <c r="U75" s="5" t="n"/>
      <c r="V75" s="5" t="n"/>
      <c r="W75" s="5" t="n"/>
      <c r="X75" s="5" t="n"/>
      <c r="Y75" s="5" t="n"/>
      <c r="Z75" s="5" t="n"/>
      <c r="AA75" s="5" t="n"/>
      <c r="AB75" s="5" t="n"/>
      <c r="AC75" s="5" t="n"/>
      <c r="AD75" s="5" t="n"/>
      <c r="AE75" s="5" t="n"/>
      <c r="AF75" s="5" t="n"/>
      <c r="AG75" s="5" t="n"/>
      <c r="AH75" s="5" t="n"/>
      <c r="AI75" s="5" t="n"/>
      <c r="AJ75" s="5" t="n"/>
      <c r="AK75" s="5" t="n"/>
      <c r="AL75" s="5" t="n"/>
      <c r="AM75" s="5" t="n"/>
      <c r="AN75" s="5" t="n"/>
      <c r="AO75" s="5" t="n"/>
      <c r="AP75" s="5" t="n"/>
      <c r="AQ75" s="5" t="n"/>
      <c r="AR75" s="5" t="n"/>
      <c r="AS75" s="5" t="n"/>
      <c r="AT75" s="5" t="n"/>
    </row>
    <row r="76" ht="15" customHeight="1">
      <c r="A76" s="1" t="n"/>
      <c r="B76" s="1" t="n"/>
      <c r="C76" s="5" t="n"/>
      <c r="N76" s="5" t="n"/>
      <c r="O76" s="5" t="n"/>
      <c r="P76" s="5" t="n"/>
      <c r="Q76" s="5" t="n"/>
      <c r="R76" s="5" t="n"/>
      <c r="S76" s="5" t="n"/>
      <c r="T76" s="5" t="n"/>
      <c r="U76" s="5" t="n"/>
      <c r="V76" s="5" t="n"/>
      <c r="W76" s="5" t="n"/>
      <c r="X76" s="5" t="n"/>
      <c r="Y76" s="5" t="n"/>
      <c r="Z76" s="5" t="n"/>
      <c r="AA76" s="5" t="n"/>
      <c r="AB76" s="5" t="n"/>
      <c r="AC76" s="5" t="n"/>
      <c r="AD76" s="5" t="n"/>
      <c r="AE76" s="5" t="n"/>
      <c r="AF76" s="5" t="n"/>
      <c r="AG76" s="5" t="n"/>
      <c r="AH76" s="5" t="n"/>
      <c r="AI76" s="5" t="n"/>
      <c r="AJ76" s="5" t="n"/>
      <c r="AK76" s="5" t="n"/>
      <c r="AL76" s="5" t="n"/>
      <c r="AM76" s="5" t="n"/>
      <c r="AN76" s="5" t="n"/>
      <c r="AO76" s="5" t="n"/>
      <c r="AP76" s="5" t="n"/>
      <c r="AQ76" s="5" t="n"/>
      <c r="AR76" s="5" t="n"/>
      <c r="AS76" s="5" t="n"/>
      <c r="AT76" s="5" t="n"/>
    </row>
    <row r="77" ht="15" customHeight="1">
      <c r="A77" s="1" t="n"/>
      <c r="B77" s="1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  <c r="N77" s="5" t="n"/>
      <c r="O77" s="5" t="n"/>
      <c r="P77" s="5" t="n"/>
      <c r="Q77" s="5" t="n"/>
      <c r="R77" s="5" t="n"/>
      <c r="S77" s="5" t="n"/>
      <c r="T77" s="5" t="n"/>
      <c r="U77" s="5" t="n"/>
      <c r="V77" s="5" t="n"/>
      <c r="W77" s="5" t="n"/>
      <c r="X77" s="5" t="n"/>
      <c r="Y77" s="5" t="n"/>
      <c r="Z77" s="5" t="n"/>
      <c r="AA77" s="5" t="n"/>
      <c r="AB77" s="5" t="n"/>
      <c r="AC77" s="5" t="n"/>
      <c r="AD77" s="5" t="n"/>
      <c r="AE77" s="5" t="n"/>
      <c r="AF77" s="5" t="n"/>
      <c r="AG77" s="5" t="n"/>
      <c r="AH77" s="5" t="n"/>
      <c r="AI77" s="5" t="n"/>
      <c r="AJ77" s="5" t="n"/>
      <c r="AK77" s="5" t="n"/>
      <c r="AL77" s="5" t="n"/>
      <c r="AM77" s="5" t="n"/>
      <c r="AN77" s="5" t="n"/>
      <c r="AO77" s="5" t="n"/>
      <c r="AP77" s="5" t="n"/>
      <c r="AQ77" s="5" t="n"/>
      <c r="AR77" s="5" t="n"/>
      <c r="AS77" s="5" t="n"/>
      <c r="AT77" s="5" t="n"/>
    </row>
    <row r="78" ht="15" customHeight="1">
      <c r="A78" s="1" t="n"/>
      <c r="B78" s="1" t="n"/>
      <c r="C78" s="5" t="n"/>
      <c r="D78" s="22" t="inlineStr">
        <is>
          <t>TRAÇO · até 9</t>
        </is>
      </c>
      <c r="X78" s="5" t="n"/>
      <c r="Y78" s="5" t="n"/>
      <c r="Z78" s="22" t="inlineStr">
        <is>
          <t>COMANDO · até 6</t>
        </is>
      </c>
      <c r="AT78" s="5" t="n"/>
    </row>
    <row r="79" ht="15" customHeight="1">
      <c r="A79" s="1" t="n"/>
      <c r="B79" s="1" t="n"/>
      <c r="C79" s="5" t="n"/>
      <c r="D79" s="23" t="inlineStr">
        <is>
          <t>—</t>
        </is>
      </c>
      <c r="S79" s="32">
        <f>IFERROR(VLOOKUP($D$79,DADOS!$T$3:$U$16,2,FALSE),0)</f>
        <v/>
      </c>
      <c r="X79" s="5" t="n"/>
      <c r="Y79" s="5" t="n"/>
      <c r="Z79" s="23" t="inlineStr">
        <is>
          <t>—</t>
        </is>
      </c>
      <c r="AO79" s="32">
        <f>IFERROR(VLOOKUP($Z$79,DADOS!$W$3:$X$10,2,FALSE),0)</f>
        <v/>
      </c>
      <c r="AT79" s="5" t="n"/>
    </row>
    <row r="80" ht="15" customHeight="1">
      <c r="A80" s="1" t="n"/>
      <c r="B80" s="1" t="n"/>
      <c r="C80" s="5" t="n"/>
      <c r="D80" s="26" t="inlineStr">
        <is>
          <t>—</t>
        </is>
      </c>
      <c r="S80" s="33">
        <f>IFERROR(VLOOKUP($D$80,DADOS!$T$3:$U$16,2,FALSE),0)</f>
        <v/>
      </c>
      <c r="X80" s="5" t="n"/>
      <c r="Y80" s="5" t="n"/>
      <c r="Z80" s="26" t="inlineStr">
        <is>
          <t>—</t>
        </is>
      </c>
      <c r="AO80" s="33">
        <f>IFERROR(VLOOKUP($Z$80,DADOS!$W$3:$X$10,2,FALSE),0)</f>
        <v/>
      </c>
      <c r="AT80" s="5" t="n"/>
    </row>
    <row r="81" ht="15" customHeight="1">
      <c r="A81" s="1" t="n"/>
      <c r="B81" s="1" t="n"/>
      <c r="C81" s="5" t="n"/>
      <c r="D81" s="23" t="inlineStr">
        <is>
          <t>—</t>
        </is>
      </c>
      <c r="S81" s="32">
        <f>IFERROR(VLOOKUP($D$81,DADOS!$T$3:$U$16,2,FALSE),0)</f>
        <v/>
      </c>
      <c r="X81" s="5" t="n"/>
      <c r="Y81" s="5" t="n"/>
      <c r="Z81" s="23" t="inlineStr">
        <is>
          <t>—</t>
        </is>
      </c>
      <c r="AO81" s="32">
        <f>IFERROR(VLOOKUP($Z$81,DADOS!$W$3:$X$10,2,FALSE),0)</f>
        <v/>
      </c>
      <c r="AT81" s="5" t="n"/>
    </row>
    <row r="82" ht="15" customHeight="1">
      <c r="A82" s="1" t="n"/>
      <c r="B82" s="1" t="n"/>
      <c r="C82" s="5" t="n"/>
      <c r="D82" s="26" t="inlineStr">
        <is>
          <t>—</t>
        </is>
      </c>
      <c r="S82" s="33">
        <f>IFERROR(VLOOKUP($D$82,DADOS!$T$3:$U$16,2,FALSE),0)</f>
        <v/>
      </c>
      <c r="X82" s="5" t="n"/>
      <c r="Y82" s="5" t="n"/>
      <c r="Z82" s="26" t="inlineStr">
        <is>
          <t>—</t>
        </is>
      </c>
      <c r="AO82" s="33">
        <f>IFERROR(VLOOKUP($Z$82,DADOS!$W$3:$X$10,2,FALSE),0)</f>
        <v/>
      </c>
      <c r="AT82" s="5" t="n"/>
    </row>
    <row r="83" ht="15" customHeight="1">
      <c r="A83" s="1" t="n"/>
      <c r="B83" s="1" t="n"/>
      <c r="C83" s="5" t="n"/>
      <c r="D83" s="23" t="inlineStr">
        <is>
          <t>—</t>
        </is>
      </c>
      <c r="S83" s="32">
        <f>IFERROR(VLOOKUP($D$83,DADOS!$T$3:$U$16,2,FALSE),0)</f>
        <v/>
      </c>
      <c r="X83" s="5" t="n"/>
      <c r="Y83" s="5" t="n"/>
      <c r="Z83" s="23" t="inlineStr">
        <is>
          <t>—</t>
        </is>
      </c>
      <c r="AO83" s="32">
        <f>IFERROR(VLOOKUP($Z$83,DADOS!$W$3:$X$10,2,FALSE),0)</f>
        <v/>
      </c>
      <c r="AT83" s="5" t="n"/>
    </row>
    <row r="84" ht="15" customHeight="1">
      <c r="A84" s="1" t="n"/>
      <c r="B84" s="1" t="n"/>
      <c r="C84" s="5" t="n"/>
      <c r="D84" s="26" t="inlineStr">
        <is>
          <t>—</t>
        </is>
      </c>
      <c r="S84" s="33">
        <f>IFERROR(VLOOKUP($D$84,DADOS!$T$3:$U$16,2,FALSE),0)</f>
        <v/>
      </c>
      <c r="X84" s="5" t="n"/>
      <c r="Y84" s="5" t="n"/>
      <c r="Z84" s="26" t="inlineStr">
        <is>
          <t>—</t>
        </is>
      </c>
      <c r="AO84" s="33">
        <f>IFERROR(VLOOKUP($Z$84,DADOS!$W$3:$X$10,2,FALSE),0)</f>
        <v/>
      </c>
      <c r="AT84" s="5" t="n"/>
    </row>
    <row r="85" ht="15" customHeight="1">
      <c r="A85" s="1" t="n"/>
      <c r="B85" s="1" t="n"/>
      <c r="C85" s="5" t="n"/>
      <c r="D85" s="23" t="inlineStr">
        <is>
          <t>—</t>
        </is>
      </c>
      <c r="S85" s="32">
        <f>IFERROR(VLOOKUP($D$85,DADOS!$T$3:$U$16,2,FALSE),0)</f>
        <v/>
      </c>
      <c r="X85" s="5" t="n"/>
      <c r="Y85" s="5" t="n"/>
      <c r="Z85" s="5" t="n"/>
      <c r="AA85" s="5" t="n"/>
      <c r="AB85" s="5" t="n"/>
      <c r="AC85" s="5" t="n"/>
      <c r="AD85" s="5" t="n"/>
      <c r="AE85" s="5" t="n"/>
      <c r="AF85" s="5" t="n"/>
      <c r="AG85" s="5" t="n"/>
      <c r="AH85" s="5" t="n"/>
      <c r="AI85" s="5" t="n"/>
      <c r="AJ85" s="5" t="n"/>
      <c r="AK85" s="5" t="n"/>
      <c r="AL85" s="5" t="n"/>
      <c r="AM85" s="5" t="n"/>
      <c r="AN85" s="5" t="n"/>
      <c r="AO85" s="5" t="n"/>
      <c r="AP85" s="5" t="n"/>
      <c r="AQ85" s="5" t="n"/>
      <c r="AR85" s="5" t="n"/>
      <c r="AS85" s="5" t="n"/>
      <c r="AT85" s="5" t="n"/>
    </row>
    <row r="86" ht="15" customHeight="1">
      <c r="A86" s="1" t="n"/>
      <c r="B86" s="1" t="n"/>
      <c r="C86" s="5" t="n"/>
      <c r="D86" s="26" t="inlineStr">
        <is>
          <t>—</t>
        </is>
      </c>
      <c r="S86" s="33">
        <f>IFERROR(VLOOKUP($D$86,DADOS!$T$3:$U$16,2,FALSE),0)</f>
        <v/>
      </c>
      <c r="X86" s="5" t="n"/>
      <c r="Y86" s="5" t="n"/>
      <c r="Z86" s="5" t="n"/>
      <c r="AA86" s="5" t="n"/>
      <c r="AB86" s="5" t="n"/>
      <c r="AC86" s="5" t="n"/>
      <c r="AD86" s="5" t="n"/>
      <c r="AE86" s="5" t="n"/>
      <c r="AF86" s="5" t="n"/>
      <c r="AG86" s="5" t="n"/>
      <c r="AH86" s="5" t="n"/>
      <c r="AI86" s="5" t="n"/>
      <c r="AJ86" s="5" t="n"/>
      <c r="AK86" s="5" t="n"/>
      <c r="AL86" s="5" t="n"/>
      <c r="AM86" s="5" t="n"/>
      <c r="AN86" s="5" t="n"/>
      <c r="AO86" s="5" t="n"/>
      <c r="AP86" s="5" t="n"/>
      <c r="AQ86" s="5" t="n"/>
      <c r="AR86" s="5" t="n"/>
      <c r="AS86" s="5" t="n"/>
      <c r="AT86" s="5" t="n"/>
    </row>
    <row r="87" ht="15" customHeight="1">
      <c r="A87" s="1" t="n"/>
      <c r="B87" s="1" t="n"/>
      <c r="C87" s="5" t="n"/>
      <c r="D87" s="23" t="inlineStr">
        <is>
          <t>—</t>
        </is>
      </c>
      <c r="S87" s="32">
        <f>IFERROR(VLOOKUP($D$87,DADOS!$T$3:$U$16,2,FALSE),0)</f>
        <v/>
      </c>
      <c r="X87" s="5" t="n"/>
      <c r="Y87" s="5" t="n"/>
      <c r="Z87" s="5" t="n"/>
      <c r="AA87" s="5" t="n"/>
      <c r="AB87" s="5" t="n"/>
      <c r="AC87" s="5" t="n"/>
      <c r="AD87" s="5" t="n"/>
      <c r="AE87" s="5" t="n"/>
      <c r="AF87" s="5" t="n"/>
      <c r="AG87" s="5" t="n"/>
      <c r="AH87" s="5" t="n"/>
      <c r="AI87" s="5" t="n"/>
      <c r="AJ87" s="5" t="n"/>
      <c r="AK87" s="5" t="n"/>
      <c r="AL87" s="5" t="n"/>
      <c r="AM87" s="5" t="n"/>
      <c r="AN87" s="5" t="n"/>
      <c r="AO87" s="5" t="n"/>
      <c r="AP87" s="5" t="n"/>
      <c r="AQ87" s="5" t="n"/>
      <c r="AR87" s="5" t="n"/>
      <c r="AS87" s="5" t="n"/>
      <c r="AT87" s="5" t="n"/>
    </row>
    <row r="88" ht="15" customHeight="1">
      <c r="A88" s="1" t="n"/>
      <c r="B88" s="1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  <c r="N88" s="5" t="n"/>
      <c r="O88" s="5" t="n"/>
      <c r="P88" s="5" t="n"/>
      <c r="Q88" s="5" t="n"/>
      <c r="R88" s="5" t="n"/>
      <c r="S88" s="5" t="n"/>
      <c r="T88" s="5" t="n"/>
      <c r="U88" s="5" t="n"/>
      <c r="V88" s="5" t="n"/>
      <c r="W88" s="5" t="n"/>
      <c r="X88" s="5" t="n"/>
      <c r="Y88" s="5" t="n"/>
      <c r="Z88" s="5" t="n"/>
      <c r="AA88" s="5" t="n"/>
      <c r="AB88" s="5" t="n"/>
      <c r="AC88" s="5" t="n"/>
      <c r="AD88" s="5" t="n"/>
      <c r="AE88" s="5" t="n"/>
      <c r="AF88" s="5" t="n"/>
      <c r="AG88" s="5" t="n"/>
      <c r="AH88" s="5" t="n"/>
      <c r="AI88" s="5" t="n"/>
      <c r="AJ88" s="5" t="n"/>
      <c r="AK88" s="5" t="n"/>
      <c r="AL88" s="5" t="n"/>
      <c r="AM88" s="5" t="n"/>
      <c r="AN88" s="5" t="n"/>
      <c r="AO88" s="5" t="n"/>
      <c r="AP88" s="5" t="n"/>
      <c r="AQ88" s="5" t="n"/>
      <c r="AR88" s="5" t="n"/>
      <c r="AS88" s="5" t="n"/>
      <c r="AT88" s="5" t="n"/>
    </row>
    <row r="89" ht="15" customHeight="1">
      <c r="A89" s="1" t="n"/>
      <c r="B89" s="1" t="n"/>
      <c r="C89" s="5" t="n"/>
      <c r="D89" s="8" t="inlineStr">
        <is>
          <t>GASTO</t>
        </is>
      </c>
      <c r="N89" s="5" t="n"/>
      <c r="O89" s="8" t="inlineStr">
        <is>
          <t>SOBRA</t>
        </is>
      </c>
      <c r="Y89" s="5" t="n"/>
      <c r="Z89" s="5" t="n"/>
      <c r="AA89" s="5" t="n"/>
      <c r="AB89" s="5" t="n"/>
      <c r="AC89" s="5" t="n"/>
      <c r="AD89" s="5" t="n"/>
      <c r="AE89" s="5" t="n"/>
      <c r="AF89" s="5" t="n"/>
      <c r="AG89" s="5" t="n"/>
      <c r="AH89" s="5" t="n"/>
      <c r="AI89" s="5" t="n"/>
      <c r="AJ89" s="5" t="n"/>
      <c r="AK89" s="5" t="n"/>
      <c r="AL89" s="5" t="n"/>
      <c r="AM89" s="5" t="n"/>
      <c r="AN89" s="5" t="n"/>
      <c r="AO89" s="5" t="n"/>
      <c r="AP89" s="5" t="n"/>
      <c r="AQ89" s="5" t="n"/>
      <c r="AR89" s="5" t="n"/>
      <c r="AS89" s="5" t="n"/>
      <c r="AT89" s="5" t="n"/>
    </row>
    <row r="90" ht="15" customHeight="1">
      <c r="A90" s="1" t="n"/>
      <c r="B90" s="1" t="n"/>
      <c r="C90" s="5" t="n"/>
      <c r="D90" s="10">
        <f>$S$79+$S$80+$S$81+$S$82+$S$83+$S$84+$S$85+$S$86+$S$87+$AO$79+$AO$80+$AO$81+$AO$82+$AO$83+$AO$84</f>
        <v/>
      </c>
      <c r="N90" s="5" t="n"/>
      <c r="O90" s="34">
        <f>IF($D$75-($S$79+$S$80+$S$81+$S$82+$S$83+$S$84+$S$85+$S$86+$S$87+$AO$79+$AO$80+$AO$81+$AO$82+$AO$83+$AO$84)&lt;0,"estourou "&amp;(($S$79+$S$80+$S$81+$S$82+$S$83+$S$84+$S$85+$S$86+$S$87+$AO$79+$AO$80+$AO$81+$AO$82+$AO$83+$AO$84)-$D$75),$D$75-($S$79+$S$80+$S$81+$S$82+$S$83+$S$84+$S$85+$S$86+$S$87+$AO$79+$AO$80+$AO$81+$AO$82+$AO$83+$AO$84))</f>
        <v/>
      </c>
      <c r="Y90" s="5" t="n"/>
      <c r="Z90" s="5" t="n"/>
      <c r="AA90" s="5" t="n"/>
      <c r="AB90" s="5" t="n"/>
      <c r="AC90" s="5" t="n"/>
      <c r="AD90" s="5" t="n"/>
      <c r="AE90" s="5" t="n"/>
      <c r="AF90" s="5" t="n"/>
      <c r="AG90" s="5" t="n"/>
      <c r="AH90" s="5" t="n"/>
      <c r="AI90" s="5" t="n"/>
      <c r="AJ90" s="5" t="n"/>
      <c r="AK90" s="5" t="n"/>
      <c r="AL90" s="5" t="n"/>
      <c r="AM90" s="5" t="n"/>
      <c r="AN90" s="5" t="n"/>
      <c r="AO90" s="5" t="n"/>
      <c r="AP90" s="5" t="n"/>
      <c r="AQ90" s="5" t="n"/>
      <c r="AR90" s="5" t="n"/>
      <c r="AS90" s="5" t="n"/>
      <c r="AT90" s="5" t="n"/>
    </row>
    <row r="91" ht="15" customHeight="1">
      <c r="A91" s="1" t="n"/>
      <c r="B91" s="1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  <c r="N91" s="5" t="n"/>
      <c r="O91" s="5" t="n"/>
      <c r="P91" s="5" t="n"/>
      <c r="Q91" s="5" t="n"/>
      <c r="R91" s="5" t="n"/>
      <c r="S91" s="5" t="n"/>
      <c r="T91" s="5" t="n"/>
      <c r="U91" s="5" t="n"/>
      <c r="V91" s="5" t="n"/>
      <c r="W91" s="5" t="n"/>
      <c r="X91" s="5" t="n"/>
      <c r="Y91" s="5" t="n"/>
      <c r="Z91" s="5" t="n"/>
      <c r="AA91" s="5" t="n"/>
      <c r="AB91" s="5" t="n"/>
      <c r="AC91" s="5" t="n"/>
      <c r="AD91" s="5" t="n"/>
      <c r="AE91" s="5" t="n"/>
      <c r="AF91" s="5" t="n"/>
      <c r="AG91" s="5" t="n"/>
      <c r="AH91" s="5" t="n"/>
      <c r="AI91" s="5" t="n"/>
      <c r="AJ91" s="5" t="n"/>
      <c r="AK91" s="5" t="n"/>
      <c r="AL91" s="5" t="n"/>
      <c r="AM91" s="5" t="n"/>
      <c r="AN91" s="5" t="n"/>
      <c r="AO91" s="5" t="n"/>
      <c r="AP91" s="5" t="n"/>
      <c r="AQ91" s="5" t="n"/>
      <c r="AR91" s="5" t="n"/>
      <c r="AS91" s="5" t="n"/>
      <c r="AT91" s="5" t="n"/>
    </row>
    <row r="92" ht="15" customHeight="1">
      <c r="A92" s="1" t="n"/>
      <c r="B92" s="1" t="n"/>
      <c r="C92" s="5" t="n"/>
      <c r="D92" s="12" t="inlineStr">
        <is>
          <t>O Servo monta com o orçamento da ficha mais metade, porque é um corpo só e não cinco. O que ele NÃO compra a preço nenhum: dado de dano · qualquer coisa que cresça com refino · atributo · Defesa, acerto ou vida direto.</t>
        </is>
      </c>
    </row>
    <row r="93" ht="15" customHeight="1">
      <c r="A93" s="1" t="n"/>
      <c r="B93" s="1" t="n"/>
      <c r="C93" s="5" t="n"/>
    </row>
    <row r="94" ht="15" customHeight="1">
      <c r="A94" s="1" t="n"/>
      <c r="B94" s="1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  <c r="N94" s="5" t="n"/>
      <c r="O94" s="5" t="n"/>
      <c r="P94" s="5" t="n"/>
      <c r="Q94" s="5" t="n"/>
      <c r="R94" s="5" t="n"/>
      <c r="S94" s="5" t="n"/>
      <c r="T94" s="5" t="n"/>
      <c r="U94" s="5" t="n"/>
      <c r="V94" s="5" t="n"/>
      <c r="W94" s="5" t="n"/>
      <c r="X94" s="5" t="n"/>
      <c r="Y94" s="5" t="n"/>
      <c r="Z94" s="5" t="n"/>
      <c r="AA94" s="5" t="n"/>
      <c r="AB94" s="5" t="n"/>
      <c r="AC94" s="5" t="n"/>
      <c r="AD94" s="5" t="n"/>
      <c r="AE94" s="5" t="n"/>
      <c r="AF94" s="5" t="n"/>
      <c r="AG94" s="5" t="n"/>
      <c r="AH94" s="5" t="n"/>
      <c r="AI94" s="5" t="n"/>
      <c r="AJ94" s="5" t="n"/>
      <c r="AK94" s="5" t="n"/>
      <c r="AL94" s="5" t="n"/>
      <c r="AM94" s="5" t="n"/>
      <c r="AN94" s="5" t="n"/>
      <c r="AO94" s="5" t="n"/>
      <c r="AP94" s="5" t="n"/>
      <c r="AQ94" s="5" t="n"/>
      <c r="AR94" s="5" t="n"/>
      <c r="AS94" s="5" t="n"/>
      <c r="AT94" s="5" t="n"/>
    </row>
    <row r="95" ht="15" customHeight="1">
      <c r="A95" s="1" t="n"/>
      <c r="B95" s="1" t="n"/>
      <c r="C95" s="5" t="n"/>
      <c r="D95" s="6" t="inlineStr">
        <is>
          <t>7.0</t>
        </is>
      </c>
      <c r="G95" s="7" t="inlineStr">
        <is>
          <t>INVESTIR — o ataque, e toda invocação tem</t>
        </is>
      </c>
      <c r="AC95" s="5" t="n"/>
      <c r="AD95" s="5" t="n"/>
      <c r="AE95" s="5" t="n"/>
      <c r="AF95" s="5" t="n"/>
      <c r="AG95" s="5" t="n"/>
      <c r="AH95" s="5" t="n"/>
      <c r="AI95" s="5" t="n"/>
      <c r="AJ95" s="5" t="n"/>
      <c r="AK95" s="5" t="n"/>
      <c r="AL95" s="5" t="n"/>
      <c r="AM95" s="5" t="n"/>
      <c r="AN95" s="5" t="n"/>
      <c r="AO95" s="5" t="n"/>
      <c r="AP95" s="5" t="n"/>
      <c r="AQ95" s="5" t="n"/>
      <c r="AR95" s="5" t="n"/>
      <c r="AS95" s="5" t="n"/>
      <c r="AT95" s="5" t="n"/>
    </row>
    <row r="96" ht="15" customHeight="1">
      <c r="A96" s="1" t="n"/>
      <c r="B96" s="1" t="n"/>
      <c r="C96" s="5" t="n"/>
      <c r="G96" s="5" t="n"/>
      <c r="H96" s="5" t="n"/>
      <c r="I96" s="5" t="n"/>
      <c r="J96" s="5" t="n"/>
      <c r="K96" s="5" t="n"/>
      <c r="L96" s="5" t="n"/>
      <c r="M96" s="5" t="n"/>
      <c r="N96" s="5" t="n"/>
      <c r="O96" s="5" t="n"/>
      <c r="P96" s="5" t="n"/>
      <c r="Q96" s="5" t="n"/>
      <c r="R96" s="5" t="n"/>
      <c r="S96" s="5" t="n"/>
      <c r="T96" s="5" t="n"/>
      <c r="U96" s="5" t="n"/>
      <c r="V96" s="5" t="n"/>
      <c r="W96" s="5" t="n"/>
      <c r="X96" s="5" t="n"/>
      <c r="Y96" s="5" t="n"/>
      <c r="Z96" s="5" t="n"/>
      <c r="AA96" s="5" t="n"/>
      <c r="AB96" s="5" t="n"/>
      <c r="AC96" s="5" t="n"/>
      <c r="AD96" s="5" t="n"/>
      <c r="AE96" s="5" t="n"/>
      <c r="AF96" s="5" t="n"/>
      <c r="AG96" s="5" t="n"/>
      <c r="AH96" s="5" t="n"/>
      <c r="AI96" s="5" t="n"/>
      <c r="AJ96" s="5" t="n"/>
      <c r="AK96" s="5" t="n"/>
      <c r="AL96" s="5" t="n"/>
      <c r="AM96" s="5" t="n"/>
      <c r="AN96" s="5" t="n"/>
      <c r="AO96" s="5" t="n"/>
      <c r="AP96" s="5" t="n"/>
      <c r="AQ96" s="5" t="n"/>
      <c r="AR96" s="5" t="n"/>
      <c r="AS96" s="5" t="n"/>
      <c r="AT96" s="5" t="n"/>
    </row>
    <row r="97" ht="15" customHeight="1">
      <c r="A97" s="1" t="n"/>
      <c r="B97" s="1" t="n"/>
      <c r="C97" s="5" t="n"/>
      <c r="D97" s="8" t="inlineStr">
        <is>
          <t>DANO DO INVESTIR</t>
        </is>
      </c>
      <c r="N97" s="5" t="n"/>
      <c r="O97" s="8" t="inlineStr">
        <is>
          <t>POR CORPO</t>
        </is>
      </c>
    </row>
    <row r="98" ht="15" customHeight="1">
      <c r="A98" s="1" t="n"/>
      <c r="B98" s="1" t="n"/>
      <c r="C98" s="5" t="n"/>
      <c r="D98" s="9">
        <f>IF($D$7="","",VLOOKUP($D$7,DADOS!$Z$3:$AB$9,IF($AK$19="Matilha",3,2),TRUE))</f>
        <v/>
      </c>
      <c r="N98" s="5" t="n"/>
      <c r="O98" s="21">
        <f>IF($AK$19="Matilha","cada um dos cinco rola isto",IF($AK$19="","","o corpo em campo rola isto"))</f>
        <v/>
      </c>
    </row>
    <row r="99" ht="15" customHeight="1">
      <c r="A99" s="1" t="n"/>
      <c r="B99" s="1" t="n"/>
      <c r="C99" s="5" t="n"/>
      <c r="N99" s="5" t="n"/>
    </row>
    <row r="100" ht="15" customHeight="1">
      <c r="A100" s="1" t="n"/>
      <c r="B100" s="1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  <c r="N100" s="5" t="n"/>
      <c r="O100" s="5" t="n"/>
      <c r="P100" s="5" t="n"/>
      <c r="Q100" s="5" t="n"/>
      <c r="R100" s="5" t="n"/>
      <c r="S100" s="5" t="n"/>
      <c r="T100" s="5" t="n"/>
      <c r="U100" s="5" t="n"/>
      <c r="V100" s="5" t="n"/>
      <c r="W100" s="5" t="n"/>
      <c r="X100" s="5" t="n"/>
      <c r="Y100" s="5" t="n"/>
      <c r="Z100" s="5" t="n"/>
      <c r="AA100" s="5" t="n"/>
      <c r="AB100" s="5" t="n"/>
      <c r="AC100" s="5" t="n"/>
      <c r="AD100" s="5" t="n"/>
      <c r="AE100" s="5" t="n"/>
      <c r="AF100" s="5" t="n"/>
      <c r="AG100" s="5" t="n"/>
      <c r="AH100" s="5" t="n"/>
      <c r="AI100" s="5" t="n"/>
      <c r="AJ100" s="5" t="n"/>
      <c r="AK100" s="5" t="n"/>
      <c r="AL100" s="5" t="n"/>
      <c r="AM100" s="5" t="n"/>
      <c r="AN100" s="5" t="n"/>
      <c r="AO100" s="5" t="n"/>
      <c r="AP100" s="5" t="n"/>
      <c r="AQ100" s="5" t="n"/>
      <c r="AR100" s="5" t="n"/>
      <c r="AS100" s="5" t="n"/>
      <c r="AT100" s="5" t="n"/>
    </row>
    <row r="101" ht="15" customHeight="1">
      <c r="A101" s="1" t="n"/>
      <c r="B101" s="1" t="n"/>
      <c r="C101" s="5" t="n"/>
      <c r="D101" s="12" t="inlineStr">
        <is>
          <t>Você e todas as suas invocações somados entregam uma Rotina. O número de dados sempre desce — a soma nunca passa do que você faria sozinho.</t>
        </is>
      </c>
    </row>
    <row r="102" ht="15" customHeight="1">
      <c r="A102" s="1" t="n"/>
      <c r="B102" s="1" t="n"/>
      <c r="C102" s="5" t="n"/>
    </row>
    <row r="103" ht="15" customHeight="1">
      <c r="A103" s="1" t="n"/>
      <c r="B103" s="1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  <c r="N103" s="5" t="n"/>
      <c r="O103" s="5" t="n"/>
      <c r="P103" s="5" t="n"/>
      <c r="Q103" s="5" t="n"/>
      <c r="R103" s="5" t="n"/>
      <c r="S103" s="5" t="n"/>
      <c r="T103" s="5" t="n"/>
      <c r="U103" s="5" t="n"/>
      <c r="V103" s="5" t="n"/>
      <c r="W103" s="5" t="n"/>
      <c r="X103" s="5" t="n"/>
      <c r="Y103" s="5" t="n"/>
      <c r="Z103" s="5" t="n"/>
      <c r="AA103" s="5" t="n"/>
      <c r="AB103" s="5" t="n"/>
      <c r="AC103" s="5" t="n"/>
      <c r="AD103" s="5" t="n"/>
      <c r="AE103" s="5" t="n"/>
      <c r="AF103" s="5" t="n"/>
      <c r="AG103" s="5" t="n"/>
      <c r="AH103" s="5" t="n"/>
      <c r="AI103" s="5" t="n"/>
      <c r="AJ103" s="5" t="n"/>
      <c r="AK103" s="5" t="n"/>
      <c r="AL103" s="5" t="n"/>
      <c r="AM103" s="5" t="n"/>
      <c r="AN103" s="5" t="n"/>
      <c r="AO103" s="5" t="n"/>
      <c r="AP103" s="5" t="n"/>
      <c r="AQ103" s="5" t="n"/>
      <c r="AR103" s="5" t="n"/>
      <c r="AS103" s="5" t="n"/>
      <c r="AT103" s="5" t="n"/>
    </row>
    <row r="104" ht="15" customHeight="1">
      <c r="A104" s="1" t="n"/>
      <c r="B104" s="1" t="n"/>
      <c r="C104" s="5" t="n"/>
      <c r="D104" s="6" t="inlineStr">
        <is>
          <t>8.0</t>
        </is>
      </c>
      <c r="G104" s="7" t="inlineStr">
        <is>
          <t>NA MESA — o que não muda</t>
        </is>
      </c>
      <c r="Y104" s="5" t="n"/>
      <c r="Z104" s="5" t="n"/>
      <c r="AA104" s="5" t="n"/>
      <c r="AB104" s="5" t="n"/>
      <c r="AC104" s="5" t="n"/>
      <c r="AD104" s="5" t="n"/>
      <c r="AE104" s="5" t="n"/>
      <c r="AF104" s="5" t="n"/>
      <c r="AG104" s="5" t="n"/>
      <c r="AH104" s="5" t="n"/>
      <c r="AI104" s="5" t="n"/>
      <c r="AJ104" s="5" t="n"/>
      <c r="AK104" s="5" t="n"/>
      <c r="AL104" s="5" t="n"/>
      <c r="AM104" s="5" t="n"/>
      <c r="AN104" s="5" t="n"/>
      <c r="AO104" s="5" t="n"/>
      <c r="AP104" s="5" t="n"/>
      <c r="AQ104" s="5" t="n"/>
      <c r="AR104" s="5" t="n"/>
      <c r="AS104" s="5" t="n"/>
      <c r="AT104" s="5" t="n"/>
    </row>
    <row r="105" ht="15" customHeight="1">
      <c r="A105" s="1" t="n"/>
      <c r="B105" s="1" t="n"/>
      <c r="C105" s="5" t="n"/>
      <c r="G105" s="5" t="n"/>
      <c r="H105" s="5" t="n"/>
      <c r="I105" s="5" t="n"/>
      <c r="J105" s="5" t="n"/>
      <c r="K105" s="5" t="n"/>
      <c r="L105" s="5" t="n"/>
      <c r="M105" s="5" t="n"/>
      <c r="N105" s="5" t="n"/>
      <c r="O105" s="5" t="n"/>
      <c r="P105" s="5" t="n"/>
      <c r="Q105" s="5" t="n"/>
      <c r="R105" s="5" t="n"/>
      <c r="S105" s="5" t="n"/>
      <c r="T105" s="5" t="n"/>
      <c r="U105" s="5" t="n"/>
      <c r="V105" s="5" t="n"/>
      <c r="W105" s="5" t="n"/>
      <c r="X105" s="5" t="n"/>
      <c r="Y105" s="5" t="n"/>
      <c r="Z105" s="5" t="n"/>
      <c r="AA105" s="5" t="n"/>
      <c r="AB105" s="5" t="n"/>
      <c r="AC105" s="5" t="n"/>
      <c r="AD105" s="5" t="n"/>
      <c r="AE105" s="5" t="n"/>
      <c r="AF105" s="5" t="n"/>
      <c r="AG105" s="5" t="n"/>
      <c r="AH105" s="5" t="n"/>
      <c r="AI105" s="5" t="n"/>
      <c r="AJ105" s="5" t="n"/>
      <c r="AK105" s="5" t="n"/>
      <c r="AL105" s="5" t="n"/>
      <c r="AM105" s="5" t="n"/>
      <c r="AN105" s="5" t="n"/>
      <c r="AO105" s="5" t="n"/>
      <c r="AP105" s="5" t="n"/>
      <c r="AQ105" s="5" t="n"/>
      <c r="AR105" s="5" t="n"/>
      <c r="AS105" s="5" t="n"/>
      <c r="AT105" s="5" t="n"/>
    </row>
    <row r="106" ht="15" customHeight="1">
      <c r="A106" s="1" t="n"/>
      <c r="B106" s="1" t="n"/>
      <c r="C106" s="5" t="n"/>
      <c r="D106" s="35" t="inlineStr">
        <is>
          <t>INVOCAR</t>
        </is>
      </c>
      <c r="O106" s="36">
        <f>("custa "&amp;$O$11&amp;" PE e a Ação Padrão")</f>
        <v/>
      </c>
    </row>
    <row r="107" ht="15" customHeight="1">
      <c r="A107" s="1" t="n"/>
      <c r="B107" s="1" t="n"/>
      <c r="C107" s="5" t="n"/>
      <c r="D107" s="37" t="inlineStr">
        <is>
          <t>COMANDAR</t>
        </is>
      </c>
      <c r="O107" s="38">
        <f>"a Ação Padrão, toda rodada"</f>
        <v/>
      </c>
    </row>
    <row r="108" ht="15" customHeight="1">
      <c r="A108" s="1" t="n"/>
      <c r="B108" s="1" t="n"/>
      <c r="C108" s="5" t="n"/>
      <c r="D108" s="35" t="inlineStr">
        <is>
          <t>INICIATIVA</t>
        </is>
      </c>
      <c r="O108" s="36">
        <f>"a sua, e ela age logo depois de você"</f>
        <v/>
      </c>
    </row>
    <row r="109" ht="15" customHeight="1">
      <c r="A109" s="1" t="n"/>
      <c r="B109" s="1" t="n"/>
      <c r="C109" s="5" t="n"/>
      <c r="D109" s="37" t="inlineStr">
        <is>
          <t>DESLOCAMENTO</t>
        </is>
      </c>
      <c r="O109" s="38">
        <f>(9&amp;" metros")</f>
        <v/>
      </c>
    </row>
    <row r="110" ht="15" customHeight="1">
      <c r="A110" s="1" t="n"/>
      <c r="B110" s="1" t="n"/>
      <c r="C110" s="5" t="n"/>
      <c r="D110" s="35" t="inlineStr">
        <is>
          <t>AMARRA</t>
        </is>
      </c>
      <c r="O110" s="36">
        <f>(18&amp;" metros — além disso não pode ser comandada, e não some")</f>
        <v/>
      </c>
    </row>
    <row r="111" ht="15" customHeight="1">
      <c r="A111" s="1" t="n"/>
      <c r="B111" s="1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  <c r="M111" s="5" t="n"/>
      <c r="N111" s="5" t="n"/>
      <c r="O111" s="5" t="n"/>
      <c r="P111" s="5" t="n"/>
      <c r="Q111" s="5" t="n"/>
      <c r="R111" s="5" t="n"/>
      <c r="S111" s="5" t="n"/>
      <c r="T111" s="5" t="n"/>
      <c r="U111" s="5" t="n"/>
      <c r="V111" s="5" t="n"/>
      <c r="W111" s="5" t="n"/>
      <c r="X111" s="5" t="n"/>
      <c r="Y111" s="5" t="n"/>
      <c r="Z111" s="5" t="n"/>
      <c r="AA111" s="5" t="n"/>
      <c r="AB111" s="5" t="n"/>
      <c r="AC111" s="5" t="n"/>
      <c r="AD111" s="5" t="n"/>
      <c r="AE111" s="5" t="n"/>
      <c r="AF111" s="5" t="n"/>
      <c r="AG111" s="5" t="n"/>
      <c r="AH111" s="5" t="n"/>
      <c r="AI111" s="5" t="n"/>
      <c r="AJ111" s="5" t="n"/>
      <c r="AK111" s="5" t="n"/>
      <c r="AL111" s="5" t="n"/>
      <c r="AM111" s="5" t="n"/>
      <c r="AN111" s="5" t="n"/>
      <c r="AO111" s="5" t="n"/>
      <c r="AP111" s="5" t="n"/>
      <c r="AQ111" s="5" t="n"/>
      <c r="AR111" s="5" t="n"/>
      <c r="AS111" s="5" t="n"/>
      <c r="AT111" s="5" t="n"/>
    </row>
    <row r="112" ht="15" customHeight="1">
      <c r="A112" s="1" t="n"/>
      <c r="B112" s="1" t="n"/>
      <c r="C112" s="5" t="n"/>
      <c r="D112" s="6" t="inlineStr">
        <is>
          <t>9.0</t>
        </is>
      </c>
      <c r="G112" s="7" t="inlineStr">
        <is>
          <t>O QUE ESTA FICHA NÃO CALCULA, E POR QUÊ</t>
        </is>
      </c>
      <c r="AG112" s="5" t="n"/>
      <c r="AH112" s="5" t="n"/>
      <c r="AI112" s="5" t="n"/>
      <c r="AJ112" s="5" t="n"/>
      <c r="AK112" s="5" t="n"/>
      <c r="AL112" s="5" t="n"/>
      <c r="AM112" s="5" t="n"/>
      <c r="AN112" s="5" t="n"/>
      <c r="AO112" s="5" t="n"/>
      <c r="AP112" s="5" t="n"/>
      <c r="AQ112" s="5" t="n"/>
      <c r="AR112" s="5" t="n"/>
      <c r="AS112" s="5" t="n"/>
      <c r="AT112" s="5" t="n"/>
    </row>
    <row r="113" ht="15" customHeight="1">
      <c r="A113" s="1" t="n"/>
      <c r="B113" s="1" t="n"/>
      <c r="C113" s="5" t="n"/>
      <c r="G113" s="5" t="n"/>
      <c r="H113" s="5" t="n"/>
      <c r="I113" s="5" t="n"/>
      <c r="J113" s="5" t="n"/>
      <c r="K113" s="5" t="n"/>
      <c r="L113" s="5" t="n"/>
      <c r="M113" s="5" t="n"/>
      <c r="N113" s="5" t="n"/>
      <c r="O113" s="5" t="n"/>
      <c r="P113" s="5" t="n"/>
      <c r="Q113" s="5" t="n"/>
      <c r="R113" s="5" t="n"/>
      <c r="S113" s="5" t="n"/>
      <c r="T113" s="5" t="n"/>
      <c r="U113" s="5" t="n"/>
      <c r="V113" s="5" t="n"/>
      <c r="W113" s="5" t="n"/>
      <c r="X113" s="5" t="n"/>
      <c r="Y113" s="5" t="n"/>
      <c r="Z113" s="5" t="n"/>
      <c r="AA113" s="5" t="n"/>
      <c r="AB113" s="5" t="n"/>
      <c r="AC113" s="5" t="n"/>
      <c r="AD113" s="5" t="n"/>
      <c r="AE113" s="5" t="n"/>
      <c r="AF113" s="5" t="n"/>
      <c r="AG113" s="5" t="n"/>
      <c r="AH113" s="5" t="n"/>
      <c r="AI113" s="5" t="n"/>
      <c r="AJ113" s="5" t="n"/>
      <c r="AK113" s="5" t="n"/>
      <c r="AL113" s="5" t="n"/>
      <c r="AM113" s="5" t="n"/>
      <c r="AN113" s="5" t="n"/>
      <c r="AO113" s="5" t="n"/>
      <c r="AP113" s="5" t="n"/>
      <c r="AQ113" s="5" t="n"/>
      <c r="AR113" s="5" t="n"/>
      <c r="AS113" s="5" t="n"/>
      <c r="AT113" s="5" t="n"/>
    </row>
    <row r="114" ht="15" customHeight="1">
      <c r="A114" s="1" t="n"/>
      <c r="B114" s="1" t="n"/>
      <c r="C114" s="5" t="n"/>
      <c r="D114" s="30" t="inlineStr">
        <is>
          <t>A CD DOS EFEITOS DELA</t>
        </is>
      </c>
    </row>
    <row r="115" ht="15" customHeight="1">
      <c r="A115" s="1" t="n"/>
      <c r="B115" s="1" t="n"/>
      <c r="C115" s="5" t="n"/>
      <c r="D115" s="31">
        <f>IF($D$22="Voz","a Voz manda subir a CD dela, e a invocação não tem fórmula de CD em documento nenhum — combine com o mestre","")</f>
        <v/>
      </c>
    </row>
    <row r="116" ht="15" customHeight="1">
      <c r="A116" s="1" t="n"/>
      <c r="B116" s="1" t="n"/>
      <c r="C116" s="5" t="n"/>
      <c r="D116" s="39" t="inlineStr">
        <is>
          <t>A invocação não tem fórmula de CD em documento nenhum — nem o capítulo 16, nem a peça 15 escrevem uma. Esta rota soma num número que o sistema ainda não produz, então combine com o mestre em vez de chutar.</t>
        </is>
      </c>
    </row>
    <row r="117" ht="15" customHeight="1">
      <c r="A117" s="1" t="n"/>
      <c r="B117" s="1" t="n"/>
      <c r="C117" s="5" t="n"/>
    </row>
    <row r="118" ht="15" customHeight="1">
      <c r="A118" s="1" t="n"/>
      <c r="B118" s="1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  <c r="M118" s="5" t="n"/>
      <c r="N118" s="5" t="n"/>
      <c r="O118" s="5" t="n"/>
      <c r="P118" s="5" t="n"/>
      <c r="Q118" s="5" t="n"/>
      <c r="R118" s="5" t="n"/>
      <c r="S118" s="5" t="n"/>
      <c r="T118" s="5" t="n"/>
      <c r="U118" s="5" t="n"/>
      <c r="V118" s="5" t="n"/>
      <c r="W118" s="5" t="n"/>
      <c r="X118" s="5" t="n"/>
      <c r="Y118" s="5" t="n"/>
      <c r="Z118" s="5" t="n"/>
      <c r="AA118" s="5" t="n"/>
      <c r="AB118" s="5" t="n"/>
      <c r="AC118" s="5" t="n"/>
      <c r="AD118" s="5" t="n"/>
      <c r="AE118" s="5" t="n"/>
      <c r="AF118" s="5" t="n"/>
      <c r="AG118" s="5" t="n"/>
      <c r="AH118" s="5" t="n"/>
      <c r="AI118" s="5" t="n"/>
      <c r="AJ118" s="5" t="n"/>
      <c r="AK118" s="5" t="n"/>
      <c r="AL118" s="5" t="n"/>
      <c r="AM118" s="5" t="n"/>
      <c r="AN118" s="5" t="n"/>
      <c r="AO118" s="5" t="n"/>
      <c r="AP118" s="5" t="n"/>
      <c r="AQ118" s="5" t="n"/>
      <c r="AR118" s="5" t="n"/>
      <c r="AS118" s="5" t="n"/>
      <c r="AT118" s="5" t="n"/>
    </row>
    <row r="119" ht="15" customHeight="1">
      <c r="A119" s="1" t="n"/>
      <c r="B119" s="1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  <c r="M119" s="5" t="n"/>
      <c r="N119" s="5" t="n"/>
      <c r="O119" s="5" t="n"/>
      <c r="P119" s="5" t="n"/>
      <c r="Q119" s="5" t="n"/>
      <c r="R119" s="5" t="n"/>
      <c r="S119" s="5" t="n"/>
      <c r="T119" s="5" t="n"/>
      <c r="U119" s="5" t="n"/>
      <c r="V119" s="5" t="n"/>
      <c r="W119" s="5" t="n"/>
      <c r="X119" s="5" t="n"/>
      <c r="Y119" s="5" t="n"/>
      <c r="Z119" s="5" t="n"/>
      <c r="AA119" s="5" t="n"/>
      <c r="AB119" s="5" t="n"/>
      <c r="AC119" s="5" t="n"/>
      <c r="AD119" s="5" t="n"/>
      <c r="AE119" s="5" t="n"/>
      <c r="AF119" s="5" t="n"/>
      <c r="AG119" s="5" t="n"/>
      <c r="AH119" s="5" t="n"/>
      <c r="AI119" s="5" t="n"/>
      <c r="AJ119" s="5" t="n"/>
      <c r="AK119" s="5" t="n"/>
      <c r="AL119" s="5" t="n"/>
      <c r="AM119" s="5" t="n"/>
      <c r="AN119" s="5" t="n"/>
      <c r="AO119" s="5" t="n"/>
      <c r="AP119" s="5" t="n"/>
      <c r="AQ119" s="5" t="n"/>
      <c r="AR119" s="5" t="n"/>
      <c r="AS119" s="5" t="n"/>
      <c r="AT119" s="5" t="n"/>
    </row>
    <row r="120" ht="15" customHeight="1">
      <c r="A120" s="1" t="n"/>
      <c r="B120" s="1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  <c r="M120" s="5" t="n"/>
      <c r="N120" s="5" t="n"/>
      <c r="O120" s="5" t="n"/>
      <c r="P120" s="5" t="n"/>
      <c r="Q120" s="5" t="n"/>
      <c r="R120" s="5" t="n"/>
      <c r="S120" s="5" t="n"/>
      <c r="T120" s="5" t="n"/>
      <c r="U120" s="5" t="n"/>
      <c r="V120" s="5" t="n"/>
      <c r="W120" s="5" t="n"/>
      <c r="X120" s="5" t="n"/>
      <c r="Y120" s="5" t="n"/>
      <c r="Z120" s="5" t="n"/>
      <c r="AA120" s="5" t="n"/>
      <c r="AB120" s="5" t="n"/>
      <c r="AC120" s="5" t="n"/>
      <c r="AD120" s="5" t="n"/>
      <c r="AE120" s="5" t="n"/>
      <c r="AF120" s="5" t="n"/>
      <c r="AG120" s="5" t="n"/>
      <c r="AH120" s="5" t="n"/>
      <c r="AI120" s="5" t="n"/>
      <c r="AJ120" s="5" t="n"/>
      <c r="AK120" s="5" t="n"/>
      <c r="AL120" s="5" t="n"/>
      <c r="AM120" s="5" t="n"/>
      <c r="AN120" s="5" t="n"/>
      <c r="AO120" s="5" t="n"/>
      <c r="AP120" s="5" t="n"/>
      <c r="AQ120" s="5" t="n"/>
      <c r="AR120" s="5" t="n"/>
      <c r="AS120" s="5" t="n"/>
      <c r="AT120" s="5" t="n"/>
    </row>
  </sheetData>
  <mergeCells count="172">
    <mergeCell ref="AB30:AH31"/>
    <mergeCell ref="T30:Z31"/>
    <mergeCell ref="Z81:AN81"/>
    <mergeCell ref="D109:N109"/>
    <mergeCell ref="G4:AB4"/>
    <mergeCell ref="AO80:AS80"/>
    <mergeCell ref="AJ32:AP32"/>
    <mergeCell ref="AK58:AT59"/>
    <mergeCell ref="D108:N108"/>
    <mergeCell ref="Z45:AI45"/>
    <mergeCell ref="D1:AD2"/>
    <mergeCell ref="O97:AT97"/>
    <mergeCell ref="Z6:AI6"/>
    <mergeCell ref="D7:M8"/>
    <mergeCell ref="O108:AT108"/>
    <mergeCell ref="O10:X10"/>
    <mergeCell ref="A8:B26"/>
    <mergeCell ref="D83:R83"/>
    <mergeCell ref="AK19:AT19"/>
    <mergeCell ref="S87:W87"/>
    <mergeCell ref="D115:AT115"/>
    <mergeCell ref="D78:W78"/>
    <mergeCell ref="S80:W80"/>
    <mergeCell ref="D57:M57"/>
    <mergeCell ref="D85:R85"/>
    <mergeCell ref="AO79:AS79"/>
    <mergeCell ref="O58:X59"/>
    <mergeCell ref="D16:F17"/>
    <mergeCell ref="D92:AT93"/>
    <mergeCell ref="D84:R84"/>
    <mergeCell ref="Z18:AI18"/>
    <mergeCell ref="D98:M99"/>
    <mergeCell ref="O110:AT110"/>
    <mergeCell ref="D43:M43"/>
    <mergeCell ref="R49:T49"/>
    <mergeCell ref="Z64:AI64"/>
    <mergeCell ref="D112:F113"/>
    <mergeCell ref="Z42:AI42"/>
    <mergeCell ref="AK7:AT8"/>
    <mergeCell ref="O46:X46"/>
    <mergeCell ref="D86:R86"/>
    <mergeCell ref="D48:AT48"/>
    <mergeCell ref="O89:X89"/>
    <mergeCell ref="D49:O49"/>
    <mergeCell ref="O64:X64"/>
    <mergeCell ref="AM49:AO49"/>
    <mergeCell ref="D74:M74"/>
    <mergeCell ref="P50:Q50"/>
    <mergeCell ref="AO82:AS82"/>
    <mergeCell ref="AJ29:AP29"/>
    <mergeCell ref="Z19:AI19"/>
    <mergeCell ref="D29:J29"/>
    <mergeCell ref="G27:AF27"/>
    <mergeCell ref="O90:X90"/>
    <mergeCell ref="D87:R87"/>
    <mergeCell ref="S86:W86"/>
    <mergeCell ref="D114:AT114"/>
    <mergeCell ref="G104:X104"/>
    <mergeCell ref="D27:F28"/>
    <mergeCell ref="L30:R31"/>
    <mergeCell ref="L32:R32"/>
    <mergeCell ref="T29:Z29"/>
    <mergeCell ref="Z79:AN79"/>
    <mergeCell ref="D61:N61"/>
    <mergeCell ref="AO83:AS83"/>
    <mergeCell ref="AK57:AT57"/>
    <mergeCell ref="D46:M46"/>
    <mergeCell ref="G16:X16"/>
    <mergeCell ref="AB32:AH32"/>
    <mergeCell ref="D82:R82"/>
    <mergeCell ref="Z34:AT34"/>
    <mergeCell ref="AJ30:AP31"/>
    <mergeCell ref="AK18:AT18"/>
    <mergeCell ref="D21:M21"/>
    <mergeCell ref="AK50:AL50"/>
    <mergeCell ref="O63:X63"/>
    <mergeCell ref="AO84:AS84"/>
    <mergeCell ref="O21:AT21"/>
    <mergeCell ref="D72:F73"/>
    <mergeCell ref="O35:X35"/>
    <mergeCell ref="O109:AT109"/>
    <mergeCell ref="D97:M97"/>
    <mergeCell ref="O98:AT99"/>
    <mergeCell ref="AK49:AL49"/>
    <mergeCell ref="O61:AT61"/>
    <mergeCell ref="Z78:AS78"/>
    <mergeCell ref="S79:W79"/>
    <mergeCell ref="O43:X43"/>
    <mergeCell ref="D67:AT68"/>
    <mergeCell ref="D55:F56"/>
    <mergeCell ref="D66:AT66"/>
    <mergeCell ref="O42:X42"/>
    <mergeCell ref="S81:W81"/>
    <mergeCell ref="D69:AT70"/>
    <mergeCell ref="G72:AF72"/>
    <mergeCell ref="AK6:AT6"/>
    <mergeCell ref="D42:M42"/>
    <mergeCell ref="Z63:AI63"/>
    <mergeCell ref="Z83:AN83"/>
    <mergeCell ref="D35:M35"/>
    <mergeCell ref="R50:T50"/>
    <mergeCell ref="D52:AT53"/>
    <mergeCell ref="S82:W82"/>
    <mergeCell ref="D40:F41"/>
    <mergeCell ref="D75:M76"/>
    <mergeCell ref="P49:Q49"/>
    <mergeCell ref="G40:AH40"/>
    <mergeCell ref="D34:M34"/>
    <mergeCell ref="D107:N107"/>
    <mergeCell ref="AK42:AT42"/>
    <mergeCell ref="D18:X18"/>
    <mergeCell ref="T32:Z32"/>
    <mergeCell ref="AB29:AH29"/>
    <mergeCell ref="O6:X6"/>
    <mergeCell ref="AM50:AO50"/>
    <mergeCell ref="Z58:AI59"/>
    <mergeCell ref="Z35:AT35"/>
    <mergeCell ref="D22:M22"/>
    <mergeCell ref="D13:AT14"/>
    <mergeCell ref="Z57:AI57"/>
    <mergeCell ref="D45:M45"/>
    <mergeCell ref="D106:N106"/>
    <mergeCell ref="D6:M6"/>
    <mergeCell ref="AK43:AT43"/>
    <mergeCell ref="D50:O50"/>
    <mergeCell ref="D79:R79"/>
    <mergeCell ref="S84:W84"/>
    <mergeCell ref="Z80:AN80"/>
    <mergeCell ref="O7:X8"/>
    <mergeCell ref="D24:AT25"/>
    <mergeCell ref="D32:J32"/>
    <mergeCell ref="G55:T55"/>
    <mergeCell ref="D81:R81"/>
    <mergeCell ref="A30:B48"/>
    <mergeCell ref="G95:AB95"/>
    <mergeCell ref="O106:AT106"/>
    <mergeCell ref="Y50:AJ50"/>
    <mergeCell ref="O11:X11"/>
    <mergeCell ref="Z7:AI8"/>
    <mergeCell ref="D64:M64"/>
    <mergeCell ref="AO81:AS81"/>
    <mergeCell ref="D89:M89"/>
    <mergeCell ref="O57:X57"/>
    <mergeCell ref="Z46:AI46"/>
    <mergeCell ref="O22:AT23"/>
    <mergeCell ref="Z82:AN82"/>
    <mergeCell ref="O107:AT107"/>
    <mergeCell ref="Y49:AJ49"/>
    <mergeCell ref="O34:X34"/>
    <mergeCell ref="D63:M63"/>
    <mergeCell ref="D10:M10"/>
    <mergeCell ref="D90:M90"/>
    <mergeCell ref="G112:AF112"/>
    <mergeCell ref="D101:AT102"/>
    <mergeCell ref="O45:X45"/>
    <mergeCell ref="D116:AT117"/>
    <mergeCell ref="D95:F96"/>
    <mergeCell ref="Z84:AN84"/>
    <mergeCell ref="D104:F105"/>
    <mergeCell ref="D4:F5"/>
    <mergeCell ref="Z43:AI43"/>
    <mergeCell ref="D11:M11"/>
    <mergeCell ref="D58:M59"/>
    <mergeCell ref="S83:W83"/>
    <mergeCell ref="D30:J31"/>
    <mergeCell ref="D19:X19"/>
    <mergeCell ref="D37:AT38"/>
    <mergeCell ref="D80:R80"/>
    <mergeCell ref="L29:R29"/>
    <mergeCell ref="S85:W85"/>
    <mergeCell ref="AF1:AT2"/>
    <mergeCell ref="D110:N110"/>
  </mergeCells>
  <dataValidations count="22">
    <dataValidation sqref="Z19" showDropDown="0" showInputMessage="0" showErrorMessage="0" allowBlank="1" type="list">
      <formula1>DADOS!$A$2:$A$5</formula1>
    </dataValidation>
    <dataValidation sqref="AK19" showDropDown="0" showInputMessage="0" showErrorMessage="0" allowBlank="1" type="list">
      <formula1>DADOS!$B$2:$B$4</formula1>
    </dataValidation>
    <dataValidation sqref="D22" showDropDown="0" showInputMessage="0" showErrorMessage="0" allowBlank="1" type="list">
      <formula1>DADOS!$E$2:$E$5</formula1>
    </dataValidation>
    <dataValidation sqref="D43" showDropDown="0" showInputMessage="0" showErrorMessage="0" allowBlank="1" type="list">
      <formula1>DADOS!$C$2:$C$6</formula1>
    </dataValidation>
    <dataValidation sqref="Z43" showDropDown="0" showInputMessage="0" showErrorMessage="0" allowBlank="1" type="list">
      <formula1>DADOS!$F$2:$F$3</formula1>
    </dataValidation>
    <dataValidation sqref="O46" showDropDown="0" showInputMessage="0" showErrorMessage="0" allowBlank="1" type="list">
      <formula1>DADOS!$D$2:$D$5</formula1>
    </dataValidation>
    <dataValidation sqref="Z46" showDropDown="0" showInputMessage="0" showErrorMessage="0" allowBlank="1" type="list">
      <formula1>DADOS!$G$2:$G$3</formula1>
    </dataValidation>
    <dataValidation sqref="D79:R79" showDropDown="0" showInputMessage="0" showErrorMessage="0" allowBlank="1" type="list">
      <formula1>DADOS!$H$2:$H$15</formula1>
    </dataValidation>
    <dataValidation sqref="D80:R80" showDropDown="0" showInputMessage="0" showErrorMessage="0" allowBlank="1" type="list">
      <formula1>DADOS!$H$2:$H$15</formula1>
    </dataValidation>
    <dataValidation sqref="D81:R81" showDropDown="0" showInputMessage="0" showErrorMessage="0" allowBlank="1" type="list">
      <formula1>DADOS!$H$2:$H$15</formula1>
    </dataValidation>
    <dataValidation sqref="D82:R82" showDropDown="0" showInputMessage="0" showErrorMessage="0" allowBlank="1" type="list">
      <formula1>DADOS!$H$2:$H$15</formula1>
    </dataValidation>
    <dataValidation sqref="D83:R83" showDropDown="0" showInputMessage="0" showErrorMessage="0" allowBlank="1" type="list">
      <formula1>DADOS!$H$2:$H$15</formula1>
    </dataValidation>
    <dataValidation sqref="D84:R84" showDropDown="0" showInputMessage="0" showErrorMessage="0" allowBlank="1" type="list">
      <formula1>DADOS!$H$2:$H$15</formula1>
    </dataValidation>
    <dataValidation sqref="D85:R85" showDropDown="0" showInputMessage="0" showErrorMessage="0" allowBlank="1" type="list">
      <formula1>DADOS!$H$2:$H$15</formula1>
    </dataValidation>
    <dataValidation sqref="D86:R86" showDropDown="0" showInputMessage="0" showErrorMessage="0" allowBlank="1" type="list">
      <formula1>DADOS!$H$2:$H$15</formula1>
    </dataValidation>
    <dataValidation sqref="D87:R87" showDropDown="0" showInputMessage="0" showErrorMessage="0" allowBlank="1" type="list">
      <formula1>DADOS!$H$2:$H$15</formula1>
    </dataValidation>
    <dataValidation sqref="Z79:AN79" showDropDown="0" showInputMessage="0" showErrorMessage="0" allowBlank="1" type="list">
      <formula1>DADOS!$I$2:$I$9</formula1>
    </dataValidation>
    <dataValidation sqref="Z80:AN80" showDropDown="0" showInputMessage="0" showErrorMessage="0" allowBlank="1" type="list">
      <formula1>DADOS!$I$2:$I$9</formula1>
    </dataValidation>
    <dataValidation sqref="Z81:AN81" showDropDown="0" showInputMessage="0" showErrorMessage="0" allowBlank="1" type="list">
      <formula1>DADOS!$I$2:$I$9</formula1>
    </dataValidation>
    <dataValidation sqref="Z82:AN82" showDropDown="0" showInputMessage="0" showErrorMessage="0" allowBlank="1" type="list">
      <formula1>DADOS!$I$2:$I$9</formula1>
    </dataValidation>
    <dataValidation sqref="Z83:AN83" showDropDown="0" showInputMessage="0" showErrorMessage="0" allowBlank="1" type="list">
      <formula1>DADOS!$I$2:$I$9</formula1>
    </dataValidation>
    <dataValidation sqref="Z84:AN84" showDropDown="0" showInputMessage="0" showErrorMessage="0" allowBlank="1" type="list">
      <formula1>DADOS!$I$2:$I$9</formula1>
    </dataValidation>
  </dataValidation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T6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4" customWidth="1" min="2" max="2"/>
    <col width="4" customWidth="1" min="3" max="3"/>
    <col width="4" customWidth="1" min="4" max="4"/>
    <col width="4" customWidth="1" min="5" max="5"/>
    <col width="4" customWidth="1" min="6" max="6"/>
    <col width="4" customWidth="1" min="7" max="7"/>
    <col width="4" customWidth="1" min="8" max="8"/>
    <col width="4" customWidth="1" min="9" max="9"/>
    <col width="4" customWidth="1" min="10" max="10"/>
    <col width="4" customWidth="1" min="11" max="11"/>
    <col width="4" customWidth="1" min="12" max="12"/>
    <col width="4" customWidth="1" min="13" max="13"/>
    <col width="4" customWidth="1" min="14" max="14"/>
    <col width="4" customWidth="1" min="15" max="15"/>
    <col width="4" customWidth="1" min="16" max="16"/>
    <col width="4" customWidth="1" min="17" max="17"/>
    <col width="4" customWidth="1" min="18" max="18"/>
    <col width="4" customWidth="1" min="19" max="19"/>
    <col width="4" customWidth="1" min="20" max="20"/>
    <col width="4" customWidth="1" min="21" max="21"/>
    <col width="4" customWidth="1" min="22" max="22"/>
    <col width="4" customWidth="1" min="23" max="23"/>
    <col width="4" customWidth="1" min="24" max="24"/>
    <col width="4" customWidth="1" min="25" max="25"/>
    <col width="4" customWidth="1" min="26" max="26"/>
    <col width="4" customWidth="1" min="27" max="27"/>
    <col width="4" customWidth="1" min="28" max="28"/>
    <col width="4" customWidth="1" min="29" max="29"/>
    <col width="4" customWidth="1" min="30" max="30"/>
    <col width="4" customWidth="1" min="31" max="31"/>
    <col width="4" customWidth="1" min="32" max="32"/>
    <col width="4" customWidth="1" min="33" max="33"/>
    <col width="4" customWidth="1" min="34" max="34"/>
    <col width="4" customWidth="1" min="35" max="35"/>
    <col width="4" customWidth="1" min="36" max="36"/>
    <col width="4" customWidth="1" min="37" max="37"/>
    <col width="4" customWidth="1" min="38" max="38"/>
    <col width="4" customWidth="1" min="39" max="39"/>
    <col width="4" customWidth="1" min="40" max="40"/>
    <col width="4" customWidth="1" min="41" max="41"/>
    <col width="4" customWidth="1" min="42" max="42"/>
    <col width="4" customWidth="1" min="43" max="43"/>
    <col width="4" customWidth="1" min="44" max="44"/>
    <col width="4" customWidth="1" min="45" max="45"/>
    <col width="4" customWidth="1" min="46" max="46"/>
  </cols>
  <sheetData>
    <row r="1" ht="15" customHeight="1">
      <c r="A1" s="5" t="n"/>
      <c r="B1" s="5" t="n"/>
      <c r="C1" s="2" t="n"/>
      <c r="D1" s="40" t="inlineStr">
        <is>
          <t>O CATÁLOGO — o que dá para comprar</t>
        </is>
      </c>
      <c r="AE1" s="2" t="n"/>
      <c r="AF1" s="4" t="inlineStr">
        <is>
          <t>capítulo 16</t>
        </is>
      </c>
    </row>
    <row r="2" ht="15" customHeight="1">
      <c r="A2" s="5" t="n"/>
      <c r="B2" s="5" t="n"/>
      <c r="C2" s="2" t="n"/>
      <c r="AE2" s="2" t="n"/>
    </row>
    <row r="3" ht="15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  <c r="M3" s="5" t="n"/>
      <c r="N3" s="5" t="n"/>
      <c r="O3" s="5" t="n"/>
      <c r="P3" s="5" t="n"/>
      <c r="Q3" s="5" t="n"/>
      <c r="R3" s="5" t="n"/>
      <c r="S3" s="5" t="n"/>
      <c r="T3" s="5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5" t="n"/>
      <c r="AE3" s="5" t="n"/>
      <c r="AF3" s="5" t="n"/>
      <c r="AG3" s="5" t="n"/>
      <c r="AH3" s="5" t="n"/>
      <c r="AI3" s="5" t="n"/>
      <c r="AJ3" s="5" t="n"/>
      <c r="AK3" s="5" t="n"/>
      <c r="AL3" s="5" t="n"/>
      <c r="AM3" s="5" t="n"/>
      <c r="AN3" s="5" t="n"/>
      <c r="AO3" s="5" t="n"/>
      <c r="AP3" s="5" t="n"/>
      <c r="AQ3" s="5" t="n"/>
      <c r="AR3" s="5" t="n"/>
      <c r="AS3" s="5" t="n"/>
      <c r="AT3" s="5" t="n"/>
    </row>
    <row r="4" ht="15" customHeight="1">
      <c r="A4" s="5" t="n"/>
      <c r="B4" s="5" t="n"/>
      <c r="C4" s="5" t="n"/>
      <c r="D4" s="41" t="inlineStr">
        <is>
          <t>TRAÇO</t>
        </is>
      </c>
      <c r="U4" s="42" t="inlineStr">
        <is>
          <t>o que ela É. Sempre ligado, sem gastar ação.</t>
        </is>
      </c>
    </row>
    <row r="5" ht="15" customHeight="1">
      <c r="A5" s="5" t="n"/>
      <c r="B5" s="5" t="n"/>
      <c r="C5" s="5" t="n"/>
      <c r="D5" s="8" t="inlineStr">
        <is>
          <t>PONTOS</t>
        </is>
      </c>
      <c r="H5" s="22" t="inlineStr">
        <is>
          <t>NOME</t>
        </is>
      </c>
      <c r="P5" s="22" t="inlineStr">
        <is>
          <t>O QUE FAZ</t>
        </is>
      </c>
    </row>
    <row r="6" ht="15" customHeight="1">
      <c r="A6" s="5" t="n"/>
      <c r="B6" s="5" t="n"/>
      <c r="C6" s="5" t="n"/>
      <c r="D6" s="43" t="n">
        <v>2</v>
      </c>
      <c r="H6" s="23" t="inlineStr">
        <is>
          <t>Escalada</t>
        </is>
      </c>
      <c r="P6" s="31" t="inlineStr">
        <is>
          <t>sobe parede e teto sem teste</t>
        </is>
      </c>
    </row>
    <row r="7" ht="15" customHeight="1">
      <c r="A7" s="5" t="n"/>
      <c r="B7" s="5" t="n"/>
      <c r="C7" s="5" t="n"/>
      <c r="D7" s="44" t="n">
        <v>2</v>
      </c>
      <c r="H7" s="26" t="inlineStr">
        <is>
          <t>Nado</t>
        </is>
      </c>
      <c r="P7" s="45" t="inlineStr">
        <is>
          <t>move na água sem penalidade. Rio, cisterna, tanque alagado de estação</t>
        </is>
      </c>
    </row>
    <row r="8" ht="15" customHeight="1">
      <c r="A8" s="5" t="n"/>
      <c r="B8" s="5" t="n"/>
      <c r="C8" s="5" t="n"/>
      <c r="D8" s="43" t="n">
        <v>3</v>
      </c>
      <c r="H8" s="23" t="inlineStr">
        <is>
          <t>Fala</t>
        </is>
      </c>
      <c r="P8" s="31" t="inlineStr">
        <is>
          <t>ela fala, e dá para conversar com ela</t>
        </is>
      </c>
    </row>
    <row r="9" ht="15" customHeight="1">
      <c r="A9" s="5" t="n"/>
      <c r="B9" s="5" t="n"/>
      <c r="C9" s="5" t="n"/>
      <c r="D9" s="44" t="n">
        <v>5</v>
      </c>
      <c r="H9" s="26" t="inlineStr">
        <is>
          <t>Faro</t>
        </is>
      </c>
      <c r="P9" s="45" t="inlineStr">
        <is>
          <t>rastreia por cheiro e por energia. Pega rastro velho de horas</t>
        </is>
      </c>
    </row>
    <row r="10" ht="15" customHeight="1">
      <c r="A10" s="5" t="n"/>
      <c r="B10" s="5" t="n"/>
      <c r="C10" s="5" t="n"/>
      <c r="D10" s="43" t="n">
        <v>5</v>
      </c>
      <c r="H10" s="23" t="inlineStr">
        <is>
          <t>Vigia</t>
        </is>
      </c>
      <c r="P10" s="31" t="inlineStr">
        <is>
          <t>o que ela vê e ouve, você vê e ouve também</t>
        </is>
      </c>
    </row>
    <row r="11" ht="15" customHeight="1">
      <c r="A11" s="5" t="n"/>
      <c r="B11" s="5" t="n"/>
      <c r="C11" s="5" t="n"/>
      <c r="D11" s="44" t="n">
        <v>7</v>
      </c>
      <c r="H11" s="26" t="inlineStr">
        <is>
          <t>Miúdo</t>
        </is>
      </c>
      <c r="P11" s="45" t="inlineStr">
        <is>
          <t>ocupa espaço menor e passa por vão. Duto, grade de bueiro, folga embaixo da porta</t>
        </is>
      </c>
    </row>
    <row r="12" ht="15" customHeight="1">
      <c r="A12" s="5" t="n"/>
      <c r="B12" s="5" t="n"/>
      <c r="C12" s="5" t="n"/>
      <c r="D12" s="43" t="n">
        <v>8</v>
      </c>
      <c r="H12" s="23" t="inlineStr">
        <is>
          <t>Voo</t>
        </is>
      </c>
      <c r="P12" s="31" t="inlineStr">
        <is>
          <t>o deslocamento dela passa a ser de voo também</t>
        </is>
      </c>
    </row>
    <row r="13" ht="15" customHeight="1">
      <c r="A13" s="5" t="n"/>
      <c r="B13" s="5" t="n"/>
      <c r="C13" s="5" t="n"/>
      <c r="D13" s="44" t="n">
        <v>8</v>
      </c>
      <c r="H13" s="26" t="inlineStr">
        <is>
          <t>Montaria</t>
        </is>
      </c>
      <c r="P13" s="45" t="inlineStr">
        <is>
          <t>carrega uma pessoa ou mais, dependendo do tamanho</t>
        </is>
      </c>
    </row>
    <row r="14" ht="15" customHeight="1">
      <c r="A14" s="5" t="n"/>
      <c r="B14" s="5" t="n"/>
      <c r="C14" s="5" t="n"/>
      <c r="D14" s="43" t="n">
        <v>8</v>
      </c>
      <c r="H14" s="23" t="inlineStr">
        <is>
          <t>Fisgada</t>
        </is>
      </c>
      <c r="P14" s="31" t="inlineStr">
        <is>
          <t>prende à distância. Ela alcança, engancha, e quem ia fugir para de conseguir</t>
        </is>
      </c>
    </row>
    <row r="15" ht="15" customHeight="1">
      <c r="A15" s="5" t="n"/>
      <c r="B15" s="5" t="n"/>
      <c r="C15" s="5" t="n"/>
      <c r="D15" s="44" t="n">
        <v>8</v>
      </c>
      <c r="H15" s="26" t="inlineStr">
        <is>
          <t>Emboscada</t>
        </is>
      </c>
      <c r="P15" s="45" t="inlineStr">
        <is>
          <t>surge do chão, fora do alcance de visão</t>
        </is>
      </c>
    </row>
    <row r="16" ht="15" customHeight="1">
      <c r="A16" s="5" t="n"/>
      <c r="B16" s="5" t="n"/>
      <c r="C16" s="5" t="n"/>
      <c r="D16" s="43" t="n">
        <v>8</v>
      </c>
      <c r="H16" s="23" t="inlineStr">
        <is>
          <t>Jorro</t>
        </is>
      </c>
      <c r="P16" s="31" t="inlineStr">
        <is>
          <t>ataca em linha ou em área</t>
        </is>
      </c>
    </row>
    <row r="17" ht="15" customHeight="1">
      <c r="A17" s="5" t="n"/>
      <c r="B17" s="5" t="n"/>
      <c r="C17" s="5" t="n"/>
      <c r="D17" s="44" t="n">
        <v>8</v>
      </c>
      <c r="H17" s="26" t="inlineStr">
        <is>
          <t>Graúdo</t>
        </is>
      </c>
      <c r="P17" s="45" t="inlineStr">
        <is>
          <t>ocupa espaço maior e barra passagem</t>
        </is>
      </c>
    </row>
    <row r="18" ht="15" customHeight="1">
      <c r="A18" s="5" t="n"/>
      <c r="B18" s="5" t="n"/>
      <c r="C18" s="5" t="n"/>
      <c r="D18" s="43" t="n">
        <v>8</v>
      </c>
      <c r="H18" s="23" t="inlineStr">
        <is>
          <t>Remoto</t>
        </is>
      </c>
      <c r="P18" s="31" t="inlineStr">
        <is>
          <t>funciona além dos 18 metros da amarra. Dentro da cena, para qualquer um; fora da cena, com requisito</t>
        </is>
      </c>
    </row>
    <row r="19" ht="15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</row>
    <row r="20" ht="15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</row>
    <row r="21" ht="15" customHeight="1">
      <c r="A21" s="5" t="n"/>
      <c r="B21" s="5" t="n"/>
      <c r="C21" s="5" t="n"/>
      <c r="D21" s="41" t="inlineStr">
        <is>
          <t>COMANDO</t>
        </is>
      </c>
      <c r="U21" s="42" t="inlineStr">
        <is>
          <t>o que ela FAZ quando o dono gasta a Ação Padrão nela.</t>
        </is>
      </c>
    </row>
    <row r="22" ht="15" customHeight="1">
      <c r="A22" s="5" t="n"/>
      <c r="B22" s="5" t="n"/>
      <c r="C22" s="5" t="n"/>
      <c r="D22" s="8" t="inlineStr">
        <is>
          <t>PONTOS</t>
        </is>
      </c>
      <c r="H22" s="22" t="inlineStr">
        <is>
          <t>NOME</t>
        </is>
      </c>
      <c r="P22" s="22" t="inlineStr">
        <is>
          <t>O QUE FAZ</t>
        </is>
      </c>
    </row>
    <row r="23" ht="15" customHeight="1">
      <c r="A23" s="5" t="n"/>
      <c r="B23" s="5" t="n"/>
      <c r="C23" s="5" t="n"/>
      <c r="D23" s="43" t="n">
        <v>0</v>
      </c>
      <c r="H23" s="23" t="inlineStr">
        <is>
          <t>Investir</t>
        </is>
      </c>
      <c r="P23" s="31" t="inlineStr">
        <is>
          <t>o ataque. Toda invocação tem</t>
        </is>
      </c>
    </row>
    <row r="24" ht="15" customHeight="1">
      <c r="A24" s="5" t="n"/>
      <c r="B24" s="5" t="n"/>
      <c r="C24" s="5" t="n"/>
      <c r="D24" s="44" t="n">
        <v>4</v>
      </c>
      <c r="H24" s="26" t="inlineStr">
        <is>
          <t>Agarrar</t>
        </is>
      </c>
      <c r="P24" s="45" t="inlineStr">
        <is>
          <t>prende o alvo</t>
        </is>
      </c>
    </row>
    <row r="25" ht="15" customHeight="1">
      <c r="A25" s="5" t="n"/>
      <c r="B25" s="5" t="n"/>
      <c r="C25" s="5" t="n"/>
      <c r="D25" s="43" t="n">
        <v>4</v>
      </c>
      <c r="H25" s="23" t="inlineStr">
        <is>
          <t>Arrastar</t>
        </is>
      </c>
      <c r="P25" s="31" t="inlineStr">
        <is>
          <t>move o alvo, ou se move levando ele. Tira alguém de cima de uma beirada, ou põe</t>
        </is>
      </c>
    </row>
    <row r="26" ht="15" customHeight="1">
      <c r="A26" s="5" t="n"/>
      <c r="B26" s="5" t="n"/>
      <c r="C26" s="5" t="n"/>
      <c r="D26" s="44" t="n">
        <v>4</v>
      </c>
      <c r="H26" s="26" t="inlineStr">
        <is>
          <t>Buscar</t>
        </is>
      </c>
      <c r="P26" s="45" t="inlineStr">
        <is>
          <t>pega um objeto, ou rastreia de forma ativa</t>
        </is>
      </c>
    </row>
    <row r="27" ht="15" customHeight="1">
      <c r="A27" s="5" t="n"/>
      <c r="B27" s="5" t="n"/>
      <c r="C27" s="5" t="n"/>
      <c r="D27" s="43" t="n">
        <v>4</v>
      </c>
      <c r="H27" s="23" t="inlineStr">
        <is>
          <t>Cavar</t>
        </is>
      </c>
      <c r="P27" s="31" t="inlineStr">
        <is>
          <t>abre buraco, desenterra, revira o terreno. Faz rota onde não havia rota</t>
        </is>
      </c>
    </row>
    <row r="28" ht="15" customHeight="1">
      <c r="A28" s="5" t="n"/>
      <c r="B28" s="5" t="n"/>
      <c r="C28" s="5" t="n"/>
      <c r="D28" s="44" t="n">
        <v>8</v>
      </c>
      <c r="H28" s="26" t="inlineStr">
        <is>
          <t>Interpor</t>
        </is>
      </c>
      <c r="P28" s="45" t="inlineStr">
        <is>
          <t>se põe entre você e o golpe. O corpo dela recebe o que ia em você</t>
        </is>
      </c>
    </row>
    <row r="29" ht="15" customHeight="1">
      <c r="A29" s="5" t="n"/>
      <c r="B29" s="5" t="n"/>
      <c r="C29" s="5" t="n"/>
      <c r="D29" s="43" t="n">
        <v>8</v>
      </c>
      <c r="H29" s="23" t="inlineStr">
        <is>
          <t>Chamariz</t>
        </is>
      </c>
      <c r="P29" s="31" t="inlineStr">
        <is>
          <t>o alvo tem de vir para cima dela. Você escolhe em quem a coisa está prestando atenção</t>
        </is>
      </c>
    </row>
    <row r="30" ht="15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</row>
    <row r="31" ht="15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</row>
    <row r="32" ht="15" customHeight="1">
      <c r="A32" s="5" t="n"/>
      <c r="B32" s="5" t="n"/>
      <c r="C32" s="5" t="n"/>
      <c r="D32" s="41" t="inlineStr">
        <is>
          <t>INVENTAR O SEU</t>
        </is>
      </c>
      <c r="U32" s="42" t="inlineStr">
        <is>
          <t>escreva o efeito, ache na régua o degrau em que ele cai, e leve para o mestre</t>
        </is>
      </c>
    </row>
    <row r="33" ht="15" customHeight="1">
      <c r="A33" s="5" t="n"/>
      <c r="B33" s="5" t="n"/>
      <c r="C33" s="5" t="n"/>
      <c r="D33" s="22" t="inlineStr">
        <is>
          <t>régua de TRAÇO</t>
        </is>
      </c>
    </row>
    <row r="34" ht="15" customHeight="1">
      <c r="A34" s="5" t="n"/>
      <c r="B34" s="5" t="n"/>
      <c r="C34" s="5" t="n"/>
      <c r="D34" s="43" t="n">
        <v>2</v>
      </c>
      <c r="H34" s="31" t="inlineStr">
        <is>
          <t>muda como ela anda, e só ela</t>
        </is>
      </c>
    </row>
    <row r="35" ht="15" customHeight="1">
      <c r="A35" s="5" t="n"/>
      <c r="B35" s="5" t="n"/>
      <c r="C35" s="5" t="n"/>
      <c r="D35" s="44" t="n">
        <v>3</v>
      </c>
      <c r="H35" s="45" t="inlineStr">
        <is>
          <t>muda o que ela comunica</t>
        </is>
      </c>
    </row>
    <row r="36" ht="15" customHeight="1">
      <c r="A36" s="5" t="n"/>
      <c r="B36" s="5" t="n"/>
      <c r="C36" s="5" t="n"/>
      <c r="D36" s="43" t="n">
        <v>5</v>
      </c>
      <c r="H36" s="31" t="inlineStr">
        <is>
          <t>muda o que ela percebe</t>
        </is>
      </c>
    </row>
    <row r="37" ht="15" customHeight="1">
      <c r="A37" s="5" t="n"/>
      <c r="B37" s="5" t="n"/>
      <c r="C37" s="5" t="n"/>
      <c r="D37" s="44" t="n">
        <v>7</v>
      </c>
      <c r="H37" s="45" t="inlineStr">
        <is>
          <t>muda que espaço ela ocupa, a um passo de mexer no tabuleiro</t>
        </is>
      </c>
    </row>
    <row r="38" ht="15" customHeight="1">
      <c r="A38" s="5" t="n"/>
      <c r="B38" s="5" t="n"/>
      <c r="C38" s="5" t="n"/>
      <c r="D38" s="43" t="n">
        <v>8</v>
      </c>
      <c r="H38" s="31" t="inlineStr">
        <is>
          <t>encosta em outra criatura ou no ambiente: carrega, prende, empurra, barra, alcança além do alcance, aparece onde não dava</t>
        </is>
      </c>
    </row>
    <row r="39" ht="15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</row>
    <row r="40" ht="15" customHeight="1">
      <c r="A40" s="5" t="n"/>
      <c r="B40" s="5" t="n"/>
      <c r="C40" s="5" t="n"/>
      <c r="D40" s="22" t="inlineStr">
        <is>
          <t>régua de COMANDO</t>
        </is>
      </c>
    </row>
    <row r="41" ht="15" customHeight="1">
      <c r="A41" s="5" t="n"/>
      <c r="B41" s="5" t="n"/>
      <c r="C41" s="5" t="n"/>
      <c r="D41" s="43" t="n">
        <v>0</v>
      </c>
      <c r="H41" s="31" t="inlineStr">
        <is>
          <t>é o ataque</t>
        </is>
      </c>
    </row>
    <row r="42" ht="15" customHeight="1">
      <c r="A42" s="5" t="n"/>
      <c r="B42" s="5" t="n"/>
      <c r="C42" s="5" t="n"/>
      <c r="D42" s="44" t="n">
        <v>4</v>
      </c>
      <c r="H42" s="45" t="inlineStr">
        <is>
          <t>faz uma coisa com um alvo ou um objeto</t>
        </is>
      </c>
    </row>
    <row r="43" ht="15" customHeight="1">
      <c r="A43" s="5" t="n"/>
      <c r="B43" s="5" t="n"/>
      <c r="C43" s="5" t="n"/>
      <c r="D43" s="43" t="n">
        <v>8</v>
      </c>
      <c r="H43" s="31" t="inlineStr">
        <is>
          <t>protege você, ou nega a ação de outro</t>
        </is>
      </c>
    </row>
    <row r="44" ht="15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  <c r="N44" s="5" t="n"/>
      <c r="O44" s="5" t="n"/>
      <c r="P44" s="5" t="n"/>
      <c r="Q44" s="5" t="n"/>
      <c r="R44" s="5" t="n"/>
      <c r="S44" s="5" t="n"/>
      <c r="T44" s="5" t="n"/>
      <c r="U44" s="5" t="n"/>
      <c r="V44" s="5" t="n"/>
      <c r="W44" s="5" t="n"/>
      <c r="X44" s="5" t="n"/>
      <c r="Y44" s="5" t="n"/>
      <c r="Z44" s="5" t="n"/>
      <c r="AA44" s="5" t="n"/>
      <c r="AB44" s="5" t="n"/>
      <c r="AC44" s="5" t="n"/>
      <c r="AD44" s="5" t="n"/>
      <c r="AE44" s="5" t="n"/>
      <c r="AF44" s="5" t="n"/>
      <c r="AG44" s="5" t="n"/>
      <c r="AH44" s="5" t="n"/>
      <c r="AI44" s="5" t="n"/>
      <c r="AJ44" s="5" t="n"/>
      <c r="AK44" s="5" t="n"/>
      <c r="AL44" s="5" t="n"/>
      <c r="AM44" s="5" t="n"/>
      <c r="AN44" s="5" t="n"/>
      <c r="AO44" s="5" t="n"/>
      <c r="AP44" s="5" t="n"/>
      <c r="AQ44" s="5" t="n"/>
      <c r="AR44" s="5" t="n"/>
      <c r="AS44" s="5" t="n"/>
      <c r="AT44" s="5" t="n"/>
    </row>
    <row r="45" ht="15" customHeight="1">
      <c r="A45" s="5" t="n"/>
      <c r="B45" s="5" t="n"/>
      <c r="C45" s="5" t="n"/>
      <c r="D45" s="30" t="inlineStr">
        <is>
          <t>E O QUE NÃO SE COMPRA A PREÇO NENHUM</t>
        </is>
      </c>
    </row>
    <row r="46" ht="15" customHeight="1">
      <c r="A46" s="5" t="n"/>
      <c r="B46" s="5" t="n"/>
      <c r="C46" s="5" t="n"/>
      <c r="D46" s="23" t="inlineStr">
        <is>
          <t>dado de dano</t>
        </is>
      </c>
      <c r="R46" s="46" t="inlineStr">
        <is>
          <t>o teto de uma Rotina já governa a saída. Um Traço que dê +1d6 não existe</t>
        </is>
      </c>
    </row>
    <row r="47" ht="15" customHeight="1">
      <c r="A47" s="5" t="n"/>
      <c r="B47" s="5" t="n"/>
      <c r="C47" s="5" t="n"/>
      <c r="D47" s="26" t="inlineStr">
        <is>
          <t>qualquer coisa que cresça com refino</t>
        </is>
      </c>
      <c r="R47" s="47" t="inlineStr">
        <is>
          <t>refino cresce muito mais rápido que a ficha dela, e ela passaria de você</t>
        </is>
      </c>
    </row>
    <row r="48" ht="15" customHeight="1">
      <c r="A48" s="5" t="n"/>
      <c r="B48" s="5" t="n"/>
      <c r="C48" s="5" t="n"/>
      <c r="D48" s="23" t="inlineStr">
        <is>
          <t>atributo</t>
        </is>
      </c>
      <c r="R48" s="46" t="inlineStr">
        <is>
          <t>os cinco já saem do arranjo dela, e comprar de novo é pagar duas vezes</t>
        </is>
      </c>
    </row>
    <row r="49" ht="15" customHeight="1">
      <c r="A49" s="5" t="n"/>
      <c r="B49" s="5" t="n"/>
      <c r="C49" s="5" t="n"/>
      <c r="D49" s="26" t="inlineStr">
        <is>
          <t>Defesa, acerto ou vida direto</t>
        </is>
      </c>
      <c r="R49" s="47" t="inlineStr">
        <is>
          <t>os três saem dos atributos dela</t>
        </is>
      </c>
    </row>
    <row r="50" ht="15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  <c r="N50" s="5" t="n"/>
      <c r="O50" s="5" t="n"/>
      <c r="P50" s="5" t="n"/>
      <c r="Q50" s="5" t="n"/>
      <c r="R50" s="5" t="n"/>
      <c r="S50" s="5" t="n"/>
      <c r="T50" s="5" t="n"/>
      <c r="U50" s="5" t="n"/>
      <c r="V50" s="5" t="n"/>
      <c r="W50" s="5" t="n"/>
      <c r="X50" s="5" t="n"/>
      <c r="Y50" s="5" t="n"/>
      <c r="Z50" s="5" t="n"/>
      <c r="AA50" s="5" t="n"/>
      <c r="AB50" s="5" t="n"/>
      <c r="AC50" s="5" t="n"/>
      <c r="AD50" s="5" t="n"/>
      <c r="AE50" s="5" t="n"/>
      <c r="AF50" s="5" t="n"/>
      <c r="AG50" s="5" t="n"/>
      <c r="AH50" s="5" t="n"/>
      <c r="AI50" s="5" t="n"/>
      <c r="AJ50" s="5" t="n"/>
      <c r="AK50" s="5" t="n"/>
      <c r="AL50" s="5" t="n"/>
      <c r="AM50" s="5" t="n"/>
      <c r="AN50" s="5" t="n"/>
      <c r="AO50" s="5" t="n"/>
      <c r="AP50" s="5" t="n"/>
      <c r="AQ50" s="5" t="n"/>
      <c r="AR50" s="5" t="n"/>
      <c r="AS50" s="5" t="n"/>
      <c r="AT50" s="5" t="n"/>
    </row>
    <row r="51" ht="15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  <c r="N51" s="5" t="n"/>
      <c r="O51" s="5" t="n"/>
      <c r="P51" s="5" t="n"/>
      <c r="Q51" s="5" t="n"/>
      <c r="R51" s="5" t="n"/>
      <c r="S51" s="5" t="n"/>
      <c r="T51" s="5" t="n"/>
      <c r="U51" s="5" t="n"/>
      <c r="V51" s="5" t="n"/>
      <c r="W51" s="5" t="n"/>
      <c r="X51" s="5" t="n"/>
      <c r="Y51" s="5" t="n"/>
      <c r="Z51" s="5" t="n"/>
      <c r="AA51" s="5" t="n"/>
      <c r="AB51" s="5" t="n"/>
      <c r="AC51" s="5" t="n"/>
      <c r="AD51" s="5" t="n"/>
      <c r="AE51" s="5" t="n"/>
      <c r="AF51" s="5" t="n"/>
      <c r="AG51" s="5" t="n"/>
      <c r="AH51" s="5" t="n"/>
      <c r="AI51" s="5" t="n"/>
      <c r="AJ51" s="5" t="n"/>
      <c r="AK51" s="5" t="n"/>
      <c r="AL51" s="5" t="n"/>
      <c r="AM51" s="5" t="n"/>
      <c r="AN51" s="5" t="n"/>
      <c r="AO51" s="5" t="n"/>
      <c r="AP51" s="5" t="n"/>
      <c r="AQ51" s="5" t="n"/>
      <c r="AR51" s="5" t="n"/>
      <c r="AS51" s="5" t="n"/>
      <c r="AT51" s="5" t="n"/>
    </row>
    <row r="52" ht="15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  <c r="N52" s="5" t="n"/>
      <c r="O52" s="5" t="n"/>
      <c r="P52" s="5" t="n"/>
      <c r="Q52" s="5" t="n"/>
      <c r="R52" s="5" t="n"/>
      <c r="S52" s="5" t="n"/>
      <c r="T52" s="5" t="n"/>
      <c r="U52" s="5" t="n"/>
      <c r="V52" s="5" t="n"/>
      <c r="W52" s="5" t="n"/>
      <c r="X52" s="5" t="n"/>
      <c r="Y52" s="5" t="n"/>
      <c r="Z52" s="5" t="n"/>
      <c r="AA52" s="5" t="n"/>
      <c r="AB52" s="5" t="n"/>
      <c r="AC52" s="5" t="n"/>
      <c r="AD52" s="5" t="n"/>
      <c r="AE52" s="5" t="n"/>
      <c r="AF52" s="5" t="n"/>
      <c r="AG52" s="5" t="n"/>
      <c r="AH52" s="5" t="n"/>
      <c r="AI52" s="5" t="n"/>
      <c r="AJ52" s="5" t="n"/>
      <c r="AK52" s="5" t="n"/>
      <c r="AL52" s="5" t="n"/>
      <c r="AM52" s="5" t="n"/>
      <c r="AN52" s="5" t="n"/>
      <c r="AO52" s="5" t="n"/>
      <c r="AP52" s="5" t="n"/>
      <c r="AQ52" s="5" t="n"/>
      <c r="AR52" s="5" t="n"/>
      <c r="AS52" s="5" t="n"/>
      <c r="AT52" s="5" t="n"/>
    </row>
    <row r="53" ht="15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  <c r="N53" s="5" t="n"/>
      <c r="O53" s="5" t="n"/>
      <c r="P53" s="5" t="n"/>
      <c r="Q53" s="5" t="n"/>
      <c r="R53" s="5" t="n"/>
      <c r="S53" s="5" t="n"/>
      <c r="T53" s="5" t="n"/>
      <c r="U53" s="5" t="n"/>
      <c r="V53" s="5" t="n"/>
      <c r="W53" s="5" t="n"/>
      <c r="X53" s="5" t="n"/>
      <c r="Y53" s="5" t="n"/>
      <c r="Z53" s="5" t="n"/>
      <c r="AA53" s="5" t="n"/>
      <c r="AB53" s="5" t="n"/>
      <c r="AC53" s="5" t="n"/>
      <c r="AD53" s="5" t="n"/>
      <c r="AE53" s="5" t="n"/>
      <c r="AF53" s="5" t="n"/>
      <c r="AG53" s="5" t="n"/>
      <c r="AH53" s="5" t="n"/>
      <c r="AI53" s="5" t="n"/>
      <c r="AJ53" s="5" t="n"/>
      <c r="AK53" s="5" t="n"/>
      <c r="AL53" s="5" t="n"/>
      <c r="AM53" s="5" t="n"/>
      <c r="AN53" s="5" t="n"/>
      <c r="AO53" s="5" t="n"/>
      <c r="AP53" s="5" t="n"/>
      <c r="AQ53" s="5" t="n"/>
      <c r="AR53" s="5" t="n"/>
      <c r="AS53" s="5" t="n"/>
      <c r="AT53" s="5" t="n"/>
    </row>
    <row r="54" ht="15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  <c r="N54" s="5" t="n"/>
      <c r="O54" s="5" t="n"/>
      <c r="P54" s="5" t="n"/>
      <c r="Q54" s="5" t="n"/>
      <c r="R54" s="5" t="n"/>
      <c r="S54" s="5" t="n"/>
      <c r="T54" s="5" t="n"/>
      <c r="U54" s="5" t="n"/>
      <c r="V54" s="5" t="n"/>
      <c r="W54" s="5" t="n"/>
      <c r="X54" s="5" t="n"/>
      <c r="Y54" s="5" t="n"/>
      <c r="Z54" s="5" t="n"/>
      <c r="AA54" s="5" t="n"/>
      <c r="AB54" s="5" t="n"/>
      <c r="AC54" s="5" t="n"/>
      <c r="AD54" s="5" t="n"/>
      <c r="AE54" s="5" t="n"/>
      <c r="AF54" s="5" t="n"/>
      <c r="AG54" s="5" t="n"/>
      <c r="AH54" s="5" t="n"/>
      <c r="AI54" s="5" t="n"/>
      <c r="AJ54" s="5" t="n"/>
      <c r="AK54" s="5" t="n"/>
      <c r="AL54" s="5" t="n"/>
      <c r="AM54" s="5" t="n"/>
      <c r="AN54" s="5" t="n"/>
      <c r="AO54" s="5" t="n"/>
      <c r="AP54" s="5" t="n"/>
      <c r="AQ54" s="5" t="n"/>
      <c r="AR54" s="5" t="n"/>
      <c r="AS54" s="5" t="n"/>
      <c r="AT54" s="5" t="n"/>
    </row>
    <row r="55" ht="15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  <c r="N55" s="5" t="n"/>
      <c r="O55" s="5" t="n"/>
      <c r="P55" s="5" t="n"/>
      <c r="Q55" s="5" t="n"/>
      <c r="R55" s="5" t="n"/>
      <c r="S55" s="5" t="n"/>
      <c r="T55" s="5" t="n"/>
      <c r="U55" s="5" t="n"/>
      <c r="V55" s="5" t="n"/>
      <c r="W55" s="5" t="n"/>
      <c r="X55" s="5" t="n"/>
      <c r="Y55" s="5" t="n"/>
      <c r="Z55" s="5" t="n"/>
      <c r="AA55" s="5" t="n"/>
      <c r="AB55" s="5" t="n"/>
      <c r="AC55" s="5" t="n"/>
      <c r="AD55" s="5" t="n"/>
      <c r="AE55" s="5" t="n"/>
      <c r="AF55" s="5" t="n"/>
      <c r="AG55" s="5" t="n"/>
      <c r="AH55" s="5" t="n"/>
      <c r="AI55" s="5" t="n"/>
      <c r="AJ55" s="5" t="n"/>
      <c r="AK55" s="5" t="n"/>
      <c r="AL55" s="5" t="n"/>
      <c r="AM55" s="5" t="n"/>
      <c r="AN55" s="5" t="n"/>
      <c r="AO55" s="5" t="n"/>
      <c r="AP55" s="5" t="n"/>
      <c r="AQ55" s="5" t="n"/>
      <c r="AR55" s="5" t="n"/>
      <c r="AS55" s="5" t="n"/>
      <c r="AT55" s="5" t="n"/>
    </row>
    <row r="56" ht="15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  <c r="N56" s="5" t="n"/>
      <c r="O56" s="5" t="n"/>
      <c r="P56" s="5" t="n"/>
      <c r="Q56" s="5" t="n"/>
      <c r="R56" s="5" t="n"/>
      <c r="S56" s="5" t="n"/>
      <c r="T56" s="5" t="n"/>
      <c r="U56" s="5" t="n"/>
      <c r="V56" s="5" t="n"/>
      <c r="W56" s="5" t="n"/>
      <c r="X56" s="5" t="n"/>
      <c r="Y56" s="5" t="n"/>
      <c r="Z56" s="5" t="n"/>
      <c r="AA56" s="5" t="n"/>
      <c r="AB56" s="5" t="n"/>
      <c r="AC56" s="5" t="n"/>
      <c r="AD56" s="5" t="n"/>
      <c r="AE56" s="5" t="n"/>
      <c r="AF56" s="5" t="n"/>
      <c r="AG56" s="5" t="n"/>
      <c r="AH56" s="5" t="n"/>
      <c r="AI56" s="5" t="n"/>
      <c r="AJ56" s="5" t="n"/>
      <c r="AK56" s="5" t="n"/>
      <c r="AL56" s="5" t="n"/>
      <c r="AM56" s="5" t="n"/>
      <c r="AN56" s="5" t="n"/>
      <c r="AO56" s="5" t="n"/>
      <c r="AP56" s="5" t="n"/>
      <c r="AQ56" s="5" t="n"/>
      <c r="AR56" s="5" t="n"/>
      <c r="AS56" s="5" t="n"/>
      <c r="AT56" s="5" t="n"/>
    </row>
    <row r="57" ht="15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  <c r="N57" s="5" t="n"/>
      <c r="O57" s="5" t="n"/>
      <c r="P57" s="5" t="n"/>
      <c r="Q57" s="5" t="n"/>
      <c r="R57" s="5" t="n"/>
      <c r="S57" s="5" t="n"/>
      <c r="T57" s="5" t="n"/>
      <c r="U57" s="5" t="n"/>
      <c r="V57" s="5" t="n"/>
      <c r="W57" s="5" t="n"/>
      <c r="X57" s="5" t="n"/>
      <c r="Y57" s="5" t="n"/>
      <c r="Z57" s="5" t="n"/>
      <c r="AA57" s="5" t="n"/>
      <c r="AB57" s="5" t="n"/>
      <c r="AC57" s="5" t="n"/>
      <c r="AD57" s="5" t="n"/>
      <c r="AE57" s="5" t="n"/>
      <c r="AF57" s="5" t="n"/>
      <c r="AG57" s="5" t="n"/>
      <c r="AH57" s="5" t="n"/>
      <c r="AI57" s="5" t="n"/>
      <c r="AJ57" s="5" t="n"/>
      <c r="AK57" s="5" t="n"/>
      <c r="AL57" s="5" t="n"/>
      <c r="AM57" s="5" t="n"/>
      <c r="AN57" s="5" t="n"/>
      <c r="AO57" s="5" t="n"/>
      <c r="AP57" s="5" t="n"/>
      <c r="AQ57" s="5" t="n"/>
      <c r="AR57" s="5" t="n"/>
      <c r="AS57" s="5" t="n"/>
      <c r="AT57" s="5" t="n"/>
    </row>
    <row r="58" ht="15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  <c r="N58" s="5" t="n"/>
      <c r="O58" s="5" t="n"/>
      <c r="P58" s="5" t="n"/>
      <c r="Q58" s="5" t="n"/>
      <c r="R58" s="5" t="n"/>
      <c r="S58" s="5" t="n"/>
      <c r="T58" s="5" t="n"/>
      <c r="U58" s="5" t="n"/>
      <c r="V58" s="5" t="n"/>
      <c r="W58" s="5" t="n"/>
      <c r="X58" s="5" t="n"/>
      <c r="Y58" s="5" t="n"/>
      <c r="Z58" s="5" t="n"/>
      <c r="AA58" s="5" t="n"/>
      <c r="AB58" s="5" t="n"/>
      <c r="AC58" s="5" t="n"/>
      <c r="AD58" s="5" t="n"/>
      <c r="AE58" s="5" t="n"/>
      <c r="AF58" s="5" t="n"/>
      <c r="AG58" s="5" t="n"/>
      <c r="AH58" s="5" t="n"/>
      <c r="AI58" s="5" t="n"/>
      <c r="AJ58" s="5" t="n"/>
      <c r="AK58" s="5" t="n"/>
      <c r="AL58" s="5" t="n"/>
      <c r="AM58" s="5" t="n"/>
      <c r="AN58" s="5" t="n"/>
      <c r="AO58" s="5" t="n"/>
      <c r="AP58" s="5" t="n"/>
      <c r="AQ58" s="5" t="n"/>
      <c r="AR58" s="5" t="n"/>
      <c r="AS58" s="5" t="n"/>
      <c r="AT58" s="5" t="n"/>
    </row>
    <row r="59" ht="15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  <c r="N59" s="5" t="n"/>
      <c r="O59" s="5" t="n"/>
      <c r="P59" s="5" t="n"/>
      <c r="Q59" s="5" t="n"/>
      <c r="R59" s="5" t="n"/>
      <c r="S59" s="5" t="n"/>
      <c r="T59" s="5" t="n"/>
      <c r="U59" s="5" t="n"/>
      <c r="V59" s="5" t="n"/>
      <c r="W59" s="5" t="n"/>
      <c r="X59" s="5" t="n"/>
      <c r="Y59" s="5" t="n"/>
      <c r="Z59" s="5" t="n"/>
      <c r="AA59" s="5" t="n"/>
      <c r="AB59" s="5" t="n"/>
      <c r="AC59" s="5" t="n"/>
      <c r="AD59" s="5" t="n"/>
      <c r="AE59" s="5" t="n"/>
      <c r="AF59" s="5" t="n"/>
      <c r="AG59" s="5" t="n"/>
      <c r="AH59" s="5" t="n"/>
      <c r="AI59" s="5" t="n"/>
      <c r="AJ59" s="5" t="n"/>
      <c r="AK59" s="5" t="n"/>
      <c r="AL59" s="5" t="n"/>
      <c r="AM59" s="5" t="n"/>
      <c r="AN59" s="5" t="n"/>
      <c r="AO59" s="5" t="n"/>
      <c r="AP59" s="5" t="n"/>
      <c r="AQ59" s="5" t="n"/>
      <c r="AR59" s="5" t="n"/>
      <c r="AS59" s="5" t="n"/>
      <c r="AT59" s="5" t="n"/>
    </row>
    <row r="60" ht="15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  <c r="N60" s="5" t="n"/>
      <c r="O60" s="5" t="n"/>
      <c r="P60" s="5" t="n"/>
      <c r="Q60" s="5" t="n"/>
      <c r="R60" s="5" t="n"/>
      <c r="S60" s="5" t="n"/>
      <c r="T60" s="5" t="n"/>
      <c r="U60" s="5" t="n"/>
      <c r="V60" s="5" t="n"/>
      <c r="W60" s="5" t="n"/>
      <c r="X60" s="5" t="n"/>
      <c r="Y60" s="5" t="n"/>
      <c r="Z60" s="5" t="n"/>
      <c r="AA60" s="5" t="n"/>
      <c r="AB60" s="5" t="n"/>
      <c r="AC60" s="5" t="n"/>
      <c r="AD60" s="5" t="n"/>
      <c r="AE60" s="5" t="n"/>
      <c r="AF60" s="5" t="n"/>
      <c r="AG60" s="5" t="n"/>
      <c r="AH60" s="5" t="n"/>
      <c r="AI60" s="5" t="n"/>
      <c r="AJ60" s="5" t="n"/>
      <c r="AK60" s="5" t="n"/>
      <c r="AL60" s="5" t="n"/>
      <c r="AM60" s="5" t="n"/>
      <c r="AN60" s="5" t="n"/>
      <c r="AO60" s="5" t="n"/>
      <c r="AP60" s="5" t="n"/>
      <c r="AQ60" s="5" t="n"/>
      <c r="AR60" s="5" t="n"/>
      <c r="AS60" s="5" t="n"/>
      <c r="AT60" s="5" t="n"/>
    </row>
    <row r="61" ht="15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  <c r="N61" s="5" t="n"/>
      <c r="O61" s="5" t="n"/>
      <c r="P61" s="5" t="n"/>
      <c r="Q61" s="5" t="n"/>
      <c r="R61" s="5" t="n"/>
      <c r="S61" s="5" t="n"/>
      <c r="T61" s="5" t="n"/>
      <c r="U61" s="5" t="n"/>
      <c r="V61" s="5" t="n"/>
      <c r="W61" s="5" t="n"/>
      <c r="X61" s="5" t="n"/>
      <c r="Y61" s="5" t="n"/>
      <c r="Z61" s="5" t="n"/>
      <c r="AA61" s="5" t="n"/>
      <c r="AB61" s="5" t="n"/>
      <c r="AC61" s="5" t="n"/>
      <c r="AD61" s="5" t="n"/>
      <c r="AE61" s="5" t="n"/>
      <c r="AF61" s="5" t="n"/>
      <c r="AG61" s="5" t="n"/>
      <c r="AH61" s="5" t="n"/>
      <c r="AI61" s="5" t="n"/>
      <c r="AJ61" s="5" t="n"/>
      <c r="AK61" s="5" t="n"/>
      <c r="AL61" s="5" t="n"/>
      <c r="AM61" s="5" t="n"/>
      <c r="AN61" s="5" t="n"/>
      <c r="AO61" s="5" t="n"/>
      <c r="AP61" s="5" t="n"/>
      <c r="AQ61" s="5" t="n"/>
      <c r="AR61" s="5" t="n"/>
      <c r="AS61" s="5" t="n"/>
      <c r="AT61" s="5" t="n"/>
    </row>
    <row r="62" ht="15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  <c r="N62" s="5" t="n"/>
      <c r="O62" s="5" t="n"/>
      <c r="P62" s="5" t="n"/>
      <c r="Q62" s="5" t="n"/>
      <c r="R62" s="5" t="n"/>
      <c r="S62" s="5" t="n"/>
      <c r="T62" s="5" t="n"/>
      <c r="U62" s="5" t="n"/>
      <c r="V62" s="5" t="n"/>
      <c r="W62" s="5" t="n"/>
      <c r="X62" s="5" t="n"/>
      <c r="Y62" s="5" t="n"/>
      <c r="Z62" s="5" t="n"/>
      <c r="AA62" s="5" t="n"/>
      <c r="AB62" s="5" t="n"/>
      <c r="AC62" s="5" t="n"/>
      <c r="AD62" s="5" t="n"/>
      <c r="AE62" s="5" t="n"/>
      <c r="AF62" s="5" t="n"/>
      <c r="AG62" s="5" t="n"/>
      <c r="AH62" s="5" t="n"/>
      <c r="AI62" s="5" t="n"/>
      <c r="AJ62" s="5" t="n"/>
      <c r="AK62" s="5" t="n"/>
      <c r="AL62" s="5" t="n"/>
      <c r="AM62" s="5" t="n"/>
      <c r="AN62" s="5" t="n"/>
      <c r="AO62" s="5" t="n"/>
      <c r="AP62" s="5" t="n"/>
      <c r="AQ62" s="5" t="n"/>
      <c r="AR62" s="5" t="n"/>
      <c r="AS62" s="5" t="n"/>
      <c r="AT62" s="5" t="n"/>
    </row>
    <row r="63" ht="15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  <c r="N63" s="5" t="n"/>
      <c r="O63" s="5" t="n"/>
      <c r="P63" s="5" t="n"/>
      <c r="Q63" s="5" t="n"/>
      <c r="R63" s="5" t="n"/>
      <c r="S63" s="5" t="n"/>
      <c r="T63" s="5" t="n"/>
      <c r="U63" s="5" t="n"/>
      <c r="V63" s="5" t="n"/>
      <c r="W63" s="5" t="n"/>
      <c r="X63" s="5" t="n"/>
      <c r="Y63" s="5" t="n"/>
      <c r="Z63" s="5" t="n"/>
      <c r="AA63" s="5" t="n"/>
      <c r="AB63" s="5" t="n"/>
      <c r="AC63" s="5" t="n"/>
      <c r="AD63" s="5" t="n"/>
      <c r="AE63" s="5" t="n"/>
      <c r="AF63" s="5" t="n"/>
      <c r="AG63" s="5" t="n"/>
      <c r="AH63" s="5" t="n"/>
      <c r="AI63" s="5" t="n"/>
      <c r="AJ63" s="5" t="n"/>
      <c r="AK63" s="5" t="n"/>
      <c r="AL63" s="5" t="n"/>
      <c r="AM63" s="5" t="n"/>
      <c r="AN63" s="5" t="n"/>
      <c r="AO63" s="5" t="n"/>
      <c r="AP63" s="5" t="n"/>
      <c r="AQ63" s="5" t="n"/>
      <c r="AR63" s="5" t="n"/>
      <c r="AS63" s="5" t="n"/>
      <c r="AT63" s="5" t="n"/>
    </row>
    <row r="64" ht="15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  <c r="N64" s="5" t="n"/>
      <c r="O64" s="5" t="n"/>
      <c r="P64" s="5" t="n"/>
      <c r="Q64" s="5" t="n"/>
      <c r="R64" s="5" t="n"/>
      <c r="S64" s="5" t="n"/>
      <c r="T64" s="5" t="n"/>
      <c r="U64" s="5" t="n"/>
      <c r="V64" s="5" t="n"/>
      <c r="W64" s="5" t="n"/>
      <c r="X64" s="5" t="n"/>
      <c r="Y64" s="5" t="n"/>
      <c r="Z64" s="5" t="n"/>
      <c r="AA64" s="5" t="n"/>
      <c r="AB64" s="5" t="n"/>
      <c r="AC64" s="5" t="n"/>
      <c r="AD64" s="5" t="n"/>
      <c r="AE64" s="5" t="n"/>
      <c r="AF64" s="5" t="n"/>
      <c r="AG64" s="5" t="n"/>
      <c r="AH64" s="5" t="n"/>
      <c r="AI64" s="5" t="n"/>
      <c r="AJ64" s="5" t="n"/>
      <c r="AK64" s="5" t="n"/>
      <c r="AL64" s="5" t="n"/>
      <c r="AM64" s="5" t="n"/>
      <c r="AN64" s="5" t="n"/>
      <c r="AO64" s="5" t="n"/>
      <c r="AP64" s="5" t="n"/>
      <c r="AQ64" s="5" t="n"/>
      <c r="AR64" s="5" t="n"/>
      <c r="AS64" s="5" t="n"/>
      <c r="AT64" s="5" t="n"/>
    </row>
  </sheetData>
  <mergeCells count="101">
    <mergeCell ref="D18:G18"/>
    <mergeCell ref="P17:AT17"/>
    <mergeCell ref="D8:G8"/>
    <mergeCell ref="H29:O29"/>
    <mergeCell ref="H34:AT34"/>
    <mergeCell ref="H36:AT36"/>
    <mergeCell ref="D1:AD2"/>
    <mergeCell ref="P5:AT5"/>
    <mergeCell ref="D22:G22"/>
    <mergeCell ref="P29:AT29"/>
    <mergeCell ref="H37:AT37"/>
    <mergeCell ref="D47:Q47"/>
    <mergeCell ref="D6:G6"/>
    <mergeCell ref="H7:O7"/>
    <mergeCell ref="H16:O16"/>
    <mergeCell ref="D13:G13"/>
    <mergeCell ref="P22:AT22"/>
    <mergeCell ref="U21:AT21"/>
    <mergeCell ref="H27:O27"/>
    <mergeCell ref="D45:AT45"/>
    <mergeCell ref="P8:AT8"/>
    <mergeCell ref="D7:G7"/>
    <mergeCell ref="H38:AT38"/>
    <mergeCell ref="H43:AT43"/>
    <mergeCell ref="P23:AT23"/>
    <mergeCell ref="P7:AT7"/>
    <mergeCell ref="P16:AT16"/>
    <mergeCell ref="D24:G24"/>
    <mergeCell ref="D42:G42"/>
    <mergeCell ref="H9:O9"/>
    <mergeCell ref="P18:AT18"/>
    <mergeCell ref="D26:G26"/>
    <mergeCell ref="D35:G35"/>
    <mergeCell ref="D21:T21"/>
    <mergeCell ref="H6:O6"/>
    <mergeCell ref="D33:AT33"/>
    <mergeCell ref="D49:Q49"/>
    <mergeCell ref="D34:G34"/>
    <mergeCell ref="D32:T32"/>
    <mergeCell ref="H5:O5"/>
    <mergeCell ref="D36:G36"/>
    <mergeCell ref="P25:AT25"/>
    <mergeCell ref="D11:G11"/>
    <mergeCell ref="P9:AT9"/>
    <mergeCell ref="H13:O13"/>
    <mergeCell ref="P6:AT6"/>
    <mergeCell ref="P11:AT11"/>
    <mergeCell ref="H15:O15"/>
    <mergeCell ref="H24:O24"/>
    <mergeCell ref="H18:O18"/>
    <mergeCell ref="D37:G37"/>
    <mergeCell ref="H8:O8"/>
    <mergeCell ref="D9:G9"/>
    <mergeCell ref="H26:O26"/>
    <mergeCell ref="U4:AT4"/>
    <mergeCell ref="H10:O10"/>
    <mergeCell ref="D15:G15"/>
    <mergeCell ref="D29:G29"/>
    <mergeCell ref="P13:AT13"/>
    <mergeCell ref="D38:G38"/>
    <mergeCell ref="D46:Q46"/>
    <mergeCell ref="P15:AT15"/>
    <mergeCell ref="P24:AT24"/>
    <mergeCell ref="D10:G10"/>
    <mergeCell ref="P26:AT26"/>
    <mergeCell ref="P10:AT10"/>
    <mergeCell ref="D27:G27"/>
    <mergeCell ref="H28:O28"/>
    <mergeCell ref="H42:AT42"/>
    <mergeCell ref="D4:T4"/>
    <mergeCell ref="H12:O12"/>
    <mergeCell ref="D17:G17"/>
    <mergeCell ref="R47:AT47"/>
    <mergeCell ref="H35:AT35"/>
    <mergeCell ref="H14:O14"/>
    <mergeCell ref="H23:O23"/>
    <mergeCell ref="D28:G28"/>
    <mergeCell ref="R46:AT46"/>
    <mergeCell ref="D12:G12"/>
    <mergeCell ref="D25:G25"/>
    <mergeCell ref="R48:AT48"/>
    <mergeCell ref="P28:AT28"/>
    <mergeCell ref="D5:G5"/>
    <mergeCell ref="D14:G14"/>
    <mergeCell ref="P12:AT12"/>
    <mergeCell ref="D23:G23"/>
    <mergeCell ref="H25:O25"/>
    <mergeCell ref="P14:AT14"/>
    <mergeCell ref="R49:AT49"/>
    <mergeCell ref="D48:Q48"/>
    <mergeCell ref="U32:AT32"/>
    <mergeCell ref="H17:O17"/>
    <mergeCell ref="H11:O11"/>
    <mergeCell ref="H22:O22"/>
    <mergeCell ref="D40:AT40"/>
    <mergeCell ref="D41:G41"/>
    <mergeCell ref="D16:G16"/>
    <mergeCell ref="D43:G43"/>
    <mergeCell ref="P27:AT27"/>
    <mergeCell ref="AF1:AT2"/>
    <mergeCell ref="H41:AT41"/>
  </mergeCells>
  <pageMargins left="0.75" right="0.75" top="1" bottom="1" header="0.5" footer="0.5"/>
  <pageSetup orientation="landscape" fitToHeight="1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69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6" customWidth="1" min="11" max="11"/>
    <col width="16" customWidth="1" min="12" max="12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20" max="20"/>
    <col width="16" customWidth="1" min="21" max="21"/>
    <col width="16" customWidth="1" min="23" max="23"/>
    <col width="16" customWidth="1" min="24" max="24"/>
    <col width="16" customWidth="1" min="26" max="26"/>
    <col width="16" customWidth="1" min="27" max="27"/>
    <col width="16" customWidth="1" min="28" max="28"/>
    <col width="16" customWidth="1" min="30" max="30"/>
    <col width="16" customWidth="1" min="31" max="31"/>
    <col width="10" customWidth="1" min="33" max="33"/>
    <col width="10" customWidth="1" min="34" max="34"/>
    <col width="10" customWidth="1" min="35" max="35"/>
    <col width="10" customWidth="1" min="37" max="37"/>
    <col width="22" customWidth="1" min="39" max="39"/>
    <col width="12" customWidth="1" min="40" max="40"/>
  </cols>
  <sheetData>
    <row r="1">
      <c r="A1" s="48" t="inlineStr">
        <is>
          <t>tipos</t>
        </is>
      </c>
      <c r="B1" s="48" t="inlineStr">
        <is>
          <t>trilhas</t>
        </is>
      </c>
      <c r="C1" s="48" t="inlineStr">
        <is>
          <t>atributos</t>
        </is>
      </c>
      <c r="D1" s="48" t="inlineStr">
        <is>
          <t>trs</t>
        </is>
      </c>
      <c r="E1" s="48" t="inlineStr">
        <is>
          <t>sintonia</t>
        </is>
      </c>
      <c r="F1" s="48" t="inlineStr">
        <is>
          <t>defesa_de</t>
        </is>
      </c>
      <c r="G1" s="48" t="inlineStr">
        <is>
          <t>fisico_de</t>
        </is>
      </c>
      <c r="H1" s="48" t="inlineStr">
        <is>
          <t>traco</t>
        </is>
      </c>
      <c r="I1" s="48" t="inlineStr">
        <is>
          <t>comando</t>
        </is>
      </c>
      <c r="J1" s="5" t="n"/>
      <c r="K1" s="48" t="inlineStr">
        <is>
          <t>tab_tipos</t>
        </is>
      </c>
      <c r="L1" s="5" t="n"/>
      <c r="M1" s="5" t="n"/>
      <c r="N1" s="48" t="inlineStr">
        <is>
          <t>tab_trilhas</t>
        </is>
      </c>
      <c r="O1" s="5" t="n"/>
      <c r="P1" s="5" t="n"/>
      <c r="Q1" s="5" t="n"/>
      <c r="R1" s="5" t="n"/>
      <c r="S1" s="5" t="n"/>
      <c r="T1" s="48" t="inlineStr">
        <is>
          <t>tab_traco</t>
        </is>
      </c>
      <c r="U1" s="5" t="n"/>
      <c r="V1" s="5" t="n"/>
      <c r="W1" s="48" t="inlineStr">
        <is>
          <t>tab_comando</t>
        </is>
      </c>
      <c r="X1" s="5" t="n"/>
      <c r="Y1" s="5" t="n"/>
      <c r="Z1" s="48" t="inlineStr">
        <is>
          <t>tab_investir</t>
        </is>
      </c>
      <c r="AA1" s="5" t="n"/>
      <c r="AB1" s="5" t="n"/>
      <c r="AC1" s="5" t="n"/>
      <c r="AD1" s="48" t="inlineStr">
        <is>
          <t>tab_trs</t>
        </is>
      </c>
      <c r="AE1" s="5" t="n"/>
      <c r="AF1" s="5" t="n"/>
      <c r="AG1" s="5" t="n"/>
      <c r="AH1" s="5" t="n"/>
      <c r="AI1" s="5" t="n"/>
      <c r="AJ1" s="5" t="n"/>
      <c r="AK1" s="5" t="n"/>
      <c r="AL1" s="5" t="n"/>
      <c r="AM1" s="5" t="n"/>
    </row>
    <row r="2">
      <c r="A2" s="49" t="inlineStr">
        <is>
          <t>talismã</t>
        </is>
      </c>
      <c r="B2" s="49" t="inlineStr">
        <is>
          <t>Servo</t>
        </is>
      </c>
      <c r="C2" s="49" t="inlineStr">
        <is>
          <t>Força</t>
        </is>
      </c>
      <c r="D2" s="49" t="inlineStr">
        <is>
          <t>Físico</t>
        </is>
      </c>
      <c r="E2" s="49" t="inlineStr">
        <is>
          <t>—</t>
        </is>
      </c>
      <c r="F2" s="49" t="inlineStr">
        <is>
          <t>Essência</t>
        </is>
      </c>
      <c r="G2" s="49" t="inlineStr">
        <is>
          <t>Força</t>
        </is>
      </c>
      <c r="H2" s="49" t="inlineStr">
        <is>
          <t>—</t>
        </is>
      </c>
      <c r="I2" s="49" t="inlineStr">
        <is>
          <t>—</t>
        </is>
      </c>
      <c r="J2" s="5" t="n"/>
      <c r="K2" s="12" t="inlineStr">
        <is>
          <t>tipo</t>
        </is>
      </c>
      <c r="L2" s="12" t="inlineStr">
        <is>
          <t>base</t>
        </is>
      </c>
      <c r="M2" s="5" t="n"/>
      <c r="N2" s="12" t="inlineStr">
        <is>
          <t>trilha</t>
        </is>
      </c>
      <c r="O2" s="12" t="inlineStr">
        <is>
          <t>corpos</t>
        </is>
      </c>
      <c r="P2" s="12" t="inlineStr">
        <is>
          <t>mult</t>
        </is>
      </c>
      <c r="Q2" s="12" t="inlineStr">
        <is>
          <t>corpo</t>
        </is>
      </c>
      <c r="R2" s="12" t="inlineStr">
        <is>
          <t>area</t>
        </is>
      </c>
      <c r="S2" s="5" t="n"/>
      <c r="T2" s="12" t="inlineStr">
        <is>
          <t>traço</t>
        </is>
      </c>
      <c r="U2" s="12" t="inlineStr">
        <is>
          <t>pontos</t>
        </is>
      </c>
      <c r="V2" s="5" t="n"/>
      <c r="W2" s="12" t="inlineStr">
        <is>
          <t>comando</t>
        </is>
      </c>
      <c r="X2" s="12" t="inlineStr">
        <is>
          <t>pontos</t>
        </is>
      </c>
      <c r="Y2" s="5" t="n"/>
      <c r="Z2" s="12" t="inlineStr">
        <is>
          <t>de</t>
        </is>
      </c>
      <c r="AA2" s="12" t="inlineStr">
        <is>
          <t>uma</t>
        </is>
      </c>
      <c r="AB2" s="12" t="inlineStr">
        <is>
          <t>matilha</t>
        </is>
      </c>
      <c r="AC2" s="5" t="n"/>
      <c r="AD2" s="12" t="inlineStr">
        <is>
          <t>tr</t>
        </is>
      </c>
      <c r="AE2" s="12" t="inlineStr">
        <is>
          <t>atributo</t>
        </is>
      </c>
      <c r="AF2" s="5" t="n"/>
      <c r="AG2" s="12" t="inlineStr">
        <is>
          <t>e_marcos</t>
        </is>
      </c>
      <c r="AH2" s="12" t="inlineStr">
        <is>
          <t>e_maestria</t>
        </is>
      </c>
      <c r="AI2" s="12" t="inlineStr">
        <is>
          <t>e_classe</t>
        </is>
      </c>
      <c r="AJ2" s="5" t="n"/>
      <c r="AK2" s="12" t="inlineStr">
        <is>
          <t>espelho</t>
        </is>
      </c>
      <c r="AL2" s="5" t="n"/>
      <c r="AM2" s="12" t="inlineStr">
        <is>
          <t>campo</t>
        </is>
      </c>
      <c r="AN2" s="50" t="inlineStr">
        <is>
          <t>célula</t>
        </is>
      </c>
    </row>
    <row r="3">
      <c r="A3" s="49" t="inlineStr">
        <is>
          <t>corpo amaldiçoado</t>
        </is>
      </c>
      <c r="B3" s="49" t="inlineStr">
        <is>
          <t>Matilha</t>
        </is>
      </c>
      <c r="C3" s="49" t="inlineStr">
        <is>
          <t>Destreza</t>
        </is>
      </c>
      <c r="D3" s="49" t="inlineStr">
        <is>
          <t>Vigor</t>
        </is>
      </c>
      <c r="E3" s="49" t="inlineStr">
        <is>
          <t>Presa</t>
        </is>
      </c>
      <c r="F3" s="49" t="inlineStr">
        <is>
          <t>Inteligência</t>
        </is>
      </c>
      <c r="G3" s="49" t="inlineStr">
        <is>
          <t>Destreza</t>
        </is>
      </c>
      <c r="H3" s="49" t="inlineStr">
        <is>
          <t>Escalada</t>
        </is>
      </c>
      <c r="I3" s="49" t="inlineStr">
        <is>
          <t>Investir</t>
        </is>
      </c>
      <c r="J3" s="5" t="n"/>
      <c r="K3" s="49" t="inlineStr">
        <is>
          <t>talismã</t>
        </is>
      </c>
      <c r="L3" s="49" t="n">
        <v>1</v>
      </c>
      <c r="M3" s="5" t="n"/>
      <c r="N3" s="49" t="inlineStr">
        <is>
          <t>Servo</t>
        </is>
      </c>
      <c r="O3" s="49" t="n">
        <v>1</v>
      </c>
      <c r="P3" s="49" t="n">
        <v>1.5</v>
      </c>
      <c r="Q3" s="49" t="inlineStr">
        <is>
          <t>forte</t>
        </is>
      </c>
      <c r="R3" s="49" t="n">
        <v>1</v>
      </c>
      <c r="S3" s="5" t="n"/>
      <c r="T3" s="49" t="inlineStr">
        <is>
          <t>—</t>
        </is>
      </c>
      <c r="U3" s="49" t="n">
        <v>0</v>
      </c>
      <c r="V3" s="5" t="n"/>
      <c r="W3" s="49" t="inlineStr">
        <is>
          <t>—</t>
        </is>
      </c>
      <c r="X3" s="49" t="n">
        <v>0</v>
      </c>
      <c r="Y3" s="5" t="n"/>
      <c r="Z3" s="49" t="n">
        <v>2</v>
      </c>
      <c r="AA3" s="49" t="inlineStr">
        <is>
          <t>1d6</t>
        </is>
      </c>
      <c r="AB3" s="49" t="inlineStr">
        <is>
          <t>2</t>
        </is>
      </c>
      <c r="AC3" s="5" t="n"/>
      <c r="AD3" s="49" t="inlineStr">
        <is>
          <t>Físico</t>
        </is>
      </c>
      <c r="AE3" s="49" t="inlineStr">
        <is>
          <t>Força</t>
        </is>
      </c>
      <c r="AF3" s="5" t="n"/>
      <c r="AG3" s="49" t="n">
        <v>6</v>
      </c>
      <c r="AH3" s="49" t="n">
        <v>10</v>
      </c>
      <c r="AI3" s="49" t="n">
        <v>1</v>
      </c>
      <c r="AJ3" s="5" t="n"/>
      <c r="AK3" s="49">
        <f>INVOCAÇÃO!$D$30</f>
        <v/>
      </c>
      <c r="AL3" s="5" t="n"/>
      <c r="AM3" s="49" t="inlineStr">
        <is>
          <t>nivel</t>
        </is>
      </c>
      <c r="AN3" s="51" t="inlineStr">
        <is>
          <t>D7</t>
        </is>
      </c>
    </row>
    <row r="4">
      <c r="A4" s="49" t="inlineStr">
        <is>
          <t>técnica</t>
        </is>
      </c>
      <c r="B4" s="49" t="inlineStr">
        <is>
          <t>Coro</t>
        </is>
      </c>
      <c r="C4" s="49" t="inlineStr">
        <is>
          <t>Constituição</t>
        </is>
      </c>
      <c r="D4" s="49" t="inlineStr">
        <is>
          <t>Intelecto</t>
        </is>
      </c>
      <c r="E4" s="49" t="inlineStr">
        <is>
          <t>Parrudo</t>
        </is>
      </c>
      <c r="F4" s="5" t="n"/>
      <c r="G4" s="5" t="n"/>
      <c r="H4" s="49" t="inlineStr">
        <is>
          <t>Nado</t>
        </is>
      </c>
      <c r="I4" s="49" t="inlineStr">
        <is>
          <t>Agarrar</t>
        </is>
      </c>
      <c r="J4" s="5" t="n"/>
      <c r="K4" s="49" t="inlineStr">
        <is>
          <t>corpo amaldiçoado</t>
        </is>
      </c>
      <c r="L4" s="49" t="n">
        <v>1</v>
      </c>
      <c r="M4" s="5" t="n"/>
      <c r="N4" s="49" t="inlineStr">
        <is>
          <t>Matilha</t>
        </is>
      </c>
      <c r="O4" s="49" t="n">
        <v>5</v>
      </c>
      <c r="P4" s="49" t="n">
        <v>1</v>
      </c>
      <c r="Q4" s="49" t="inlineStr">
        <is>
          <t>forte</t>
        </is>
      </c>
      <c r="R4" s="49" t="n">
        <v>1.5</v>
      </c>
      <c r="S4" s="5" t="n"/>
      <c r="T4" s="49" t="inlineStr">
        <is>
          <t>Escalada</t>
        </is>
      </c>
      <c r="U4" s="49" t="n">
        <v>2</v>
      </c>
      <c r="V4" s="5" t="n"/>
      <c r="W4" s="49" t="inlineStr">
        <is>
          <t>Investir</t>
        </is>
      </c>
      <c r="X4" s="49" t="n">
        <v>0</v>
      </c>
      <c r="Y4" s="5" t="n"/>
      <c r="Z4" s="49" t="n">
        <v>5</v>
      </c>
      <c r="AA4" s="49" t="inlineStr">
        <is>
          <t>4d6</t>
        </is>
      </c>
      <c r="AB4" s="49" t="inlineStr">
        <is>
          <t>1d6</t>
        </is>
      </c>
      <c r="AC4" s="5" t="n"/>
      <c r="AD4" s="49" t="inlineStr">
        <is>
          <t>Vigor</t>
        </is>
      </c>
      <c r="AE4" s="49" t="inlineStr">
        <is>
          <t>Constituição</t>
        </is>
      </c>
      <c r="AF4" s="5" t="n"/>
      <c r="AG4" s="49" t="n">
        <v>10</v>
      </c>
      <c r="AH4" s="49" t="n">
        <v>18</v>
      </c>
      <c r="AI4" s="49" t="n">
        <v>5</v>
      </c>
      <c r="AJ4" s="5" t="n"/>
      <c r="AK4" s="49">
        <f>INVOCAÇÃO!$L$30</f>
        <v/>
      </c>
      <c r="AL4" s="5" t="n"/>
      <c r="AM4" s="49" t="inlineStr">
        <is>
          <t>ess_dono</t>
        </is>
      </c>
      <c r="AN4" s="51" t="inlineStr">
        <is>
          <t>O7</t>
        </is>
      </c>
    </row>
    <row r="5">
      <c r="A5" s="49" t="inlineStr">
        <is>
          <t>maldição domada</t>
        </is>
      </c>
      <c r="B5" s="5" t="n"/>
      <c r="C5" s="49" t="inlineStr">
        <is>
          <t>Inteligência</t>
        </is>
      </c>
      <c r="D5" s="49" t="inlineStr">
        <is>
          <t>Espírito</t>
        </is>
      </c>
      <c r="E5" s="49" t="inlineStr">
        <is>
          <t>Voz</t>
        </is>
      </c>
      <c r="F5" s="5" t="n"/>
      <c r="G5" s="5" t="n"/>
      <c r="H5" s="49" t="inlineStr">
        <is>
          <t>Fala</t>
        </is>
      </c>
      <c r="I5" s="49" t="inlineStr">
        <is>
          <t>Arrastar</t>
        </is>
      </c>
      <c r="J5" s="5" t="n"/>
      <c r="K5" s="49" t="inlineStr">
        <is>
          <t>técnica</t>
        </is>
      </c>
      <c r="L5" s="49" t="n">
        <v>2</v>
      </c>
      <c r="M5" s="5" t="n"/>
      <c r="N5" s="49" t="inlineStr">
        <is>
          <t>Coro</t>
        </is>
      </c>
      <c r="O5" s="49" t="n">
        <v>1</v>
      </c>
      <c r="P5" s="49" t="n">
        <v>1</v>
      </c>
      <c r="Q5" s="49" t="inlineStr">
        <is>
          <t>cru</t>
        </is>
      </c>
      <c r="R5" s="49" t="n">
        <v>1</v>
      </c>
      <c r="S5" s="5" t="n"/>
      <c r="T5" s="49" t="inlineStr">
        <is>
          <t>Nado</t>
        </is>
      </c>
      <c r="U5" s="49" t="n">
        <v>2</v>
      </c>
      <c r="V5" s="5" t="n"/>
      <c r="W5" s="49" t="inlineStr">
        <is>
          <t>Agarrar</t>
        </is>
      </c>
      <c r="X5" s="49" t="n">
        <v>4</v>
      </c>
      <c r="Y5" s="5" t="n"/>
      <c r="Z5" s="49" t="n">
        <v>9</v>
      </c>
      <c r="AA5" s="49" t="inlineStr">
        <is>
          <t>6d6</t>
        </is>
      </c>
      <c r="AB5" s="49" t="inlineStr">
        <is>
          <t>2d6</t>
        </is>
      </c>
      <c r="AC5" s="5" t="n"/>
      <c r="AD5" s="49" t="inlineStr">
        <is>
          <t>Intelecto</t>
        </is>
      </c>
      <c r="AE5" s="49" t="inlineStr">
        <is>
          <t>Inteligência</t>
        </is>
      </c>
      <c r="AF5" s="5" t="n"/>
      <c r="AG5" s="49" t="n">
        <v>14</v>
      </c>
      <c r="AH5" s="49" t="n">
        <v>26</v>
      </c>
      <c r="AI5" s="49" t="n">
        <v>9</v>
      </c>
      <c r="AJ5" s="5" t="n"/>
      <c r="AK5" s="49">
        <f>INVOCAÇÃO!$T$30</f>
        <v/>
      </c>
      <c r="AL5" s="5" t="n"/>
      <c r="AM5" s="49" t="inlineStr">
        <is>
          <t>int_dono</t>
        </is>
      </c>
      <c r="AN5" s="51" t="inlineStr">
        <is>
          <t>Z7</t>
        </is>
      </c>
    </row>
    <row r="6">
      <c r="A6" s="5" t="n"/>
      <c r="B6" s="5" t="n"/>
      <c r="C6" s="49" t="inlineStr">
        <is>
          <t>Essência</t>
        </is>
      </c>
      <c r="D6" s="5" t="n"/>
      <c r="E6" s="5" t="n"/>
      <c r="F6" s="5" t="n"/>
      <c r="G6" s="5" t="n"/>
      <c r="H6" s="49" t="inlineStr">
        <is>
          <t>Faro</t>
        </is>
      </c>
      <c r="I6" s="49" t="inlineStr">
        <is>
          <t>Buscar</t>
        </is>
      </c>
      <c r="J6" s="5" t="n"/>
      <c r="K6" s="49" t="inlineStr">
        <is>
          <t>maldição domada</t>
        </is>
      </c>
      <c r="L6" s="49" t="n">
        <v>3</v>
      </c>
      <c r="M6" s="5" t="n"/>
      <c r="N6" s="5" t="n"/>
      <c r="O6" s="5" t="n"/>
      <c r="P6" s="5" t="n"/>
      <c r="Q6" s="5" t="n"/>
      <c r="R6" s="5" t="n"/>
      <c r="S6" s="5" t="n"/>
      <c r="T6" s="49" t="inlineStr">
        <is>
          <t>Fala</t>
        </is>
      </c>
      <c r="U6" s="49" t="n">
        <v>3</v>
      </c>
      <c r="V6" s="5" t="n"/>
      <c r="W6" s="49" t="inlineStr">
        <is>
          <t>Arrastar</t>
        </is>
      </c>
      <c r="X6" s="49" t="n">
        <v>4</v>
      </c>
      <c r="Y6" s="5" t="n"/>
      <c r="Z6" s="49" t="n">
        <v>13</v>
      </c>
      <c r="AA6" s="49" t="inlineStr">
        <is>
          <t>8d6</t>
        </is>
      </c>
      <c r="AB6" s="49" t="inlineStr">
        <is>
          <t>3d6</t>
        </is>
      </c>
      <c r="AC6" s="5" t="n"/>
      <c r="AD6" s="49" t="inlineStr">
        <is>
          <t>Espírito</t>
        </is>
      </c>
      <c r="AE6" s="49" t="inlineStr">
        <is>
          <t>Essência</t>
        </is>
      </c>
      <c r="AF6" s="5" t="n"/>
      <c r="AG6" s="49" t="n">
        <v>18</v>
      </c>
      <c r="AH6" s="5" t="n"/>
      <c r="AI6" s="49" t="n">
        <v>13</v>
      </c>
      <c r="AJ6" s="5" t="n"/>
      <c r="AK6" s="49">
        <f>INVOCAÇÃO!$AB$30</f>
        <v/>
      </c>
      <c r="AL6" s="5" t="n"/>
      <c r="AM6" s="49" t="inlineStr">
        <is>
          <t>maestria</t>
        </is>
      </c>
      <c r="AN6" s="51" t="inlineStr">
        <is>
          <t>AK7</t>
        </is>
      </c>
    </row>
    <row r="7">
      <c r="A7" s="5" t="n"/>
      <c r="B7" s="5" t="n"/>
      <c r="C7" s="5" t="n"/>
      <c r="D7" s="5" t="n"/>
      <c r="E7" s="5" t="n"/>
      <c r="F7" s="5" t="n"/>
      <c r="G7" s="5" t="n"/>
      <c r="H7" s="49" t="inlineStr">
        <is>
          <t>Vigia</t>
        </is>
      </c>
      <c r="I7" s="49" t="inlineStr">
        <is>
          <t>Cavar</t>
        </is>
      </c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49" t="inlineStr">
        <is>
          <t>Faro</t>
        </is>
      </c>
      <c r="U7" s="49" t="n">
        <v>5</v>
      </c>
      <c r="V7" s="5" t="n"/>
      <c r="W7" s="49" t="inlineStr">
        <is>
          <t>Buscar</t>
        </is>
      </c>
      <c r="X7" s="49" t="n">
        <v>4</v>
      </c>
      <c r="Y7" s="5" t="n"/>
      <c r="Z7" s="49" t="n">
        <v>17</v>
      </c>
      <c r="AA7" s="49" t="inlineStr">
        <is>
          <t>10d6</t>
        </is>
      </c>
      <c r="AB7" s="49" t="inlineStr">
        <is>
          <t>4d6</t>
        </is>
      </c>
      <c r="AC7" s="5" t="n"/>
      <c r="AD7" s="5" t="n"/>
      <c r="AE7" s="5" t="n"/>
      <c r="AF7" s="5" t="n"/>
      <c r="AG7" s="49" t="n">
        <v>22</v>
      </c>
      <c r="AH7" s="5" t="n"/>
      <c r="AI7" s="49" t="n">
        <v>17</v>
      </c>
      <c r="AJ7" s="5" t="n"/>
      <c r="AK7" s="49">
        <f>INVOCAÇÃO!$AJ$30</f>
        <v/>
      </c>
      <c r="AL7" s="5" t="n"/>
      <c r="AM7" s="49" t="inlineStr">
        <is>
          <t>marcos</t>
        </is>
      </c>
      <c r="AN7" s="51" t="inlineStr">
        <is>
          <t>D11</t>
        </is>
      </c>
    </row>
    <row r="8">
      <c r="A8" s="5" t="n"/>
      <c r="B8" s="5" t="n"/>
      <c r="C8" s="5" t="n"/>
      <c r="D8" s="5" t="n"/>
      <c r="E8" s="5" t="n"/>
      <c r="F8" s="5" t="n"/>
      <c r="G8" s="5" t="n"/>
      <c r="H8" s="49" t="inlineStr">
        <is>
          <t>Miúdo</t>
        </is>
      </c>
      <c r="I8" s="49" t="inlineStr">
        <is>
          <t>Interpor</t>
        </is>
      </c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49" t="inlineStr">
        <is>
          <t>Vigia</t>
        </is>
      </c>
      <c r="U8" s="49" t="n">
        <v>5</v>
      </c>
      <c r="V8" s="5" t="n"/>
      <c r="W8" s="49" t="inlineStr">
        <is>
          <t>Cavar</t>
        </is>
      </c>
      <c r="X8" s="49" t="n">
        <v>4</v>
      </c>
      <c r="Y8" s="5" t="n"/>
      <c r="Z8" s="49" t="n">
        <v>21</v>
      </c>
      <c r="AA8" s="49" t="inlineStr">
        <is>
          <t>13d6</t>
        </is>
      </c>
      <c r="AB8" s="49" t="inlineStr">
        <is>
          <t>5d6</t>
        </is>
      </c>
      <c r="AC8" s="5" t="n"/>
      <c r="AD8" s="5" t="n"/>
      <c r="AE8" s="5" t="n"/>
      <c r="AF8" s="5" t="n"/>
      <c r="AG8" s="49" t="n">
        <v>26</v>
      </c>
      <c r="AH8" s="5" t="n"/>
      <c r="AI8" s="49" t="n">
        <v>21</v>
      </c>
      <c r="AJ8" s="5" t="n"/>
      <c r="AK8" s="5" t="n"/>
      <c r="AL8" s="5" t="n"/>
      <c r="AM8" s="49" t="inlineStr">
        <is>
          <t>classe</t>
        </is>
      </c>
      <c r="AN8" s="51" t="inlineStr">
        <is>
          <t>O11</t>
        </is>
      </c>
    </row>
    <row r="9">
      <c r="A9" s="5" t="n"/>
      <c r="B9" s="5" t="n"/>
      <c r="C9" s="5" t="n"/>
      <c r="D9" s="5" t="n"/>
      <c r="E9" s="5" t="n"/>
      <c r="F9" s="5" t="n"/>
      <c r="G9" s="5" t="n"/>
      <c r="H9" s="49" t="inlineStr">
        <is>
          <t>Voo</t>
        </is>
      </c>
      <c r="I9" s="49" t="inlineStr">
        <is>
          <t>Chamariz</t>
        </is>
      </c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49" t="inlineStr">
        <is>
          <t>Miúdo</t>
        </is>
      </c>
      <c r="U9" s="49" t="n">
        <v>7</v>
      </c>
      <c r="V9" s="5" t="n"/>
      <c r="W9" s="49" t="inlineStr">
        <is>
          <t>Interpor</t>
        </is>
      </c>
      <c r="X9" s="49" t="n">
        <v>8</v>
      </c>
      <c r="Y9" s="5" t="n"/>
      <c r="Z9" s="49" t="n">
        <v>26</v>
      </c>
      <c r="AA9" s="49" t="inlineStr">
        <is>
          <t>15d6</t>
        </is>
      </c>
      <c r="AB9" s="49" t="inlineStr">
        <is>
          <t>6d6</t>
        </is>
      </c>
      <c r="AC9" s="5" t="n"/>
      <c r="AD9" s="5" t="n"/>
      <c r="AE9" s="5" t="n"/>
      <c r="AF9" s="5" t="n"/>
      <c r="AG9" s="49" t="n">
        <v>30</v>
      </c>
      <c r="AH9" s="5" t="n"/>
      <c r="AI9" s="49" t="n">
        <v>26</v>
      </c>
      <c r="AJ9" s="5" t="n"/>
      <c r="AK9" s="5" t="n"/>
      <c r="AL9" s="5" t="n"/>
      <c r="AM9" s="49" t="inlineStr">
        <is>
          <t>nome</t>
        </is>
      </c>
      <c r="AN9" s="51" t="inlineStr">
        <is>
          <t>D19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49" t="inlineStr">
        <is>
          <t>Montaria</t>
        </is>
      </c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49" t="inlineStr">
        <is>
          <t>Voo</t>
        </is>
      </c>
      <c r="U10" s="49" t="n">
        <v>8</v>
      </c>
      <c r="V10" s="5" t="n"/>
      <c r="W10" s="49" t="inlineStr">
        <is>
          <t>Chamariz</t>
        </is>
      </c>
      <c r="X10" s="49" t="n">
        <v>8</v>
      </c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49" t="inlineStr">
        <is>
          <t>tipo</t>
        </is>
      </c>
      <c r="AN10" s="51" t="inlineStr">
        <is>
          <t>Z19</t>
        </is>
      </c>
    </row>
    <row r="11">
      <c r="A11" s="5" t="n"/>
      <c r="B11" s="5" t="n"/>
      <c r="C11" s="5" t="n"/>
      <c r="D11" s="5" t="n"/>
      <c r="E11" s="5" t="n"/>
      <c r="F11" s="5" t="n"/>
      <c r="G11" s="5" t="n"/>
      <c r="H11" s="49" t="inlineStr">
        <is>
          <t>Fisgada</t>
        </is>
      </c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49" t="inlineStr">
        <is>
          <t>Montaria</t>
        </is>
      </c>
      <c r="U11" s="49" t="n">
        <v>8</v>
      </c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49" t="inlineStr">
        <is>
          <t>trilha</t>
        </is>
      </c>
      <c r="AN11" s="51" t="inlineStr">
        <is>
          <t>AK19</t>
        </is>
      </c>
    </row>
    <row r="12">
      <c r="A12" s="5" t="n"/>
      <c r="B12" s="5" t="n"/>
      <c r="C12" s="5" t="n"/>
      <c r="D12" s="5" t="n"/>
      <c r="E12" s="5" t="n"/>
      <c r="F12" s="5" t="n"/>
      <c r="G12" s="5" t="n"/>
      <c r="H12" s="49" t="inlineStr">
        <is>
          <t>Emboscada</t>
        </is>
      </c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49" t="inlineStr">
        <is>
          <t>Fisgada</t>
        </is>
      </c>
      <c r="U12" s="49" t="n">
        <v>8</v>
      </c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49" t="inlineStr">
        <is>
          <t>sintonia</t>
        </is>
      </c>
      <c r="AN12" s="51" t="inlineStr">
        <is>
          <t>D22</t>
        </is>
      </c>
    </row>
    <row r="13">
      <c r="A13" s="5" t="n"/>
      <c r="B13" s="5" t="n"/>
      <c r="C13" s="5" t="n"/>
      <c r="D13" s="5" t="n"/>
      <c r="E13" s="5" t="n"/>
      <c r="F13" s="5" t="n"/>
      <c r="G13" s="5" t="n"/>
      <c r="H13" s="49" t="inlineStr">
        <is>
          <t>Jorro</t>
        </is>
      </c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49" t="inlineStr">
        <is>
          <t>Emboscada</t>
        </is>
      </c>
      <c r="U13" s="49" t="n">
        <v>8</v>
      </c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49" t="inlineStr">
        <is>
          <t>pontos_atributo</t>
        </is>
      </c>
      <c r="AN13" s="51" t="inlineStr">
        <is>
          <t>D35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49" t="inlineStr">
        <is>
          <t>Graúdo</t>
        </is>
      </c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49" t="inlineStr">
        <is>
          <t>Jorro</t>
        </is>
      </c>
      <c r="U14" s="49" t="n">
        <v>8</v>
      </c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49" t="inlineStr">
        <is>
          <t>pontos_disp</t>
        </is>
      </c>
      <c r="AN14" s="51" t="inlineStr">
        <is>
          <t>O35</t>
        </is>
      </c>
    </row>
    <row r="15">
      <c r="A15" s="5" t="n"/>
      <c r="B15" s="5" t="n"/>
      <c r="C15" s="5" t="n"/>
      <c r="D15" s="5" t="n"/>
      <c r="E15" s="5" t="n"/>
      <c r="F15" s="5" t="n"/>
      <c r="G15" s="5" t="n"/>
      <c r="H15" s="49" t="inlineStr">
        <is>
          <t>Remoto</t>
        </is>
      </c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49" t="inlineStr">
        <is>
          <t>Graúdo</t>
        </is>
      </c>
      <c r="U15" s="49" t="n">
        <v>8</v>
      </c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49" t="inlineStr">
        <is>
          <t>aviso_atributo</t>
        </is>
      </c>
      <c r="AN15" s="51" t="inlineStr">
        <is>
          <t>Z35</t>
        </is>
      </c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49" t="inlineStr">
        <is>
          <t>Remoto</t>
        </is>
      </c>
      <c r="U16" s="49" t="n">
        <v>8</v>
      </c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49" t="inlineStr">
        <is>
          <t>atr_acerto</t>
        </is>
      </c>
      <c r="AN16" s="51" t="inlineStr">
        <is>
          <t>D43</t>
        </is>
      </c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49" t="inlineStr">
        <is>
          <t>acerto</t>
        </is>
      </c>
      <c r="AN17" s="51" t="inlineStr">
        <is>
          <t>O43</t>
        </is>
      </c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49" t="inlineStr">
        <is>
          <t>defesa_de</t>
        </is>
      </c>
      <c r="AN18" s="51" t="inlineStr">
        <is>
          <t>Z43</t>
        </is>
      </c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49" t="inlineStr">
        <is>
          <t>defesa</t>
        </is>
      </c>
      <c r="AN19" s="51" t="inlineStr">
        <is>
          <t>AK43</t>
        </is>
      </c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49" t="inlineStr">
        <is>
          <t>critico</t>
        </is>
      </c>
      <c r="AN20" s="51" t="inlineStr">
        <is>
          <t>D46</t>
        </is>
      </c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49" t="inlineStr">
        <is>
          <t>tr_treinado</t>
        </is>
      </c>
      <c r="AN21" s="51" t="inlineStr">
        <is>
          <t>O46</t>
        </is>
      </c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49" t="inlineStr">
        <is>
          <t>fisico_de</t>
        </is>
      </c>
      <c r="AN22" s="51" t="inlineStr">
        <is>
          <t>Z46</t>
        </is>
      </c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49" t="inlineStr">
        <is>
          <t>vida_max</t>
        </is>
      </c>
      <c r="AN23" s="51" t="inlineStr">
        <is>
          <t>D58</t>
        </is>
      </c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49" t="inlineStr">
        <is>
          <t>vida</t>
        </is>
      </c>
      <c r="AN24" s="51" t="inlineStr">
        <is>
          <t>O58</t>
        </is>
      </c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49" t="inlineStr">
        <is>
          <t>corpos</t>
        </is>
      </c>
      <c r="AN25" s="51" t="inlineStr">
        <is>
          <t>Z58</t>
        </is>
      </c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49" t="inlineStr">
        <is>
          <t>area</t>
        </is>
      </c>
      <c r="AN26" s="51" t="inlineStr">
        <is>
          <t>AK58</t>
        </is>
      </c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49" t="inlineStr">
        <is>
          <t>regua</t>
        </is>
      </c>
      <c r="AN27" s="51" t="inlineStr">
        <is>
          <t>D64</t>
        </is>
      </c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49" t="inlineStr">
        <is>
          <t>meia_regua</t>
        </is>
      </c>
      <c r="AN28" s="51" t="inlineStr">
        <is>
          <t>O64</t>
        </is>
      </c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49" t="inlineStr">
        <is>
          <t>volta_com</t>
        </is>
      </c>
      <c r="AN29" s="51" t="inlineStr">
        <is>
          <t>Z64</t>
        </is>
      </c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49" t="inlineStr">
        <is>
          <t>orcamento</t>
        </is>
      </c>
      <c r="AN30" s="51" t="inlineStr">
        <is>
          <t>D75</t>
        </is>
      </c>
    </row>
    <row r="31">
      <c r="AM31" s="51" t="inlineStr">
        <is>
          <t>gasto</t>
        </is>
      </c>
      <c r="AN31" s="51" t="inlineStr">
        <is>
          <t>D90</t>
        </is>
      </c>
    </row>
    <row r="32">
      <c r="AM32" s="51" t="inlineStr">
        <is>
          <t>sobra</t>
        </is>
      </c>
      <c r="AN32" s="51" t="inlineStr">
        <is>
          <t>O90</t>
        </is>
      </c>
    </row>
    <row r="33">
      <c r="AM33" s="51" t="inlineStr">
        <is>
          <t>investir</t>
        </is>
      </c>
      <c r="AN33" s="51" t="inlineStr">
        <is>
          <t>D98</t>
        </is>
      </c>
    </row>
    <row r="34">
      <c r="AM34" s="51" t="inlineStr">
        <is>
          <t>cd_pendente</t>
        </is>
      </c>
      <c r="AN34" s="51" t="inlineStr">
        <is>
          <t>D115</t>
        </is>
      </c>
    </row>
    <row r="35">
      <c r="AM35" s="51" t="inlineStr">
        <is>
          <t>atr_Força</t>
        </is>
      </c>
      <c r="AN35" s="51" t="inlineStr">
        <is>
          <t>D30</t>
        </is>
      </c>
    </row>
    <row r="36">
      <c r="AM36" s="51" t="inlineStr">
        <is>
          <t>atr_Destreza</t>
        </is>
      </c>
      <c r="AN36" s="51" t="inlineStr">
        <is>
          <t>L30</t>
        </is>
      </c>
    </row>
    <row r="37">
      <c r="AM37" s="51" t="inlineStr">
        <is>
          <t>atr_Constituição</t>
        </is>
      </c>
      <c r="AN37" s="51" t="inlineStr">
        <is>
          <t>T30</t>
        </is>
      </c>
    </row>
    <row r="38">
      <c r="AM38" s="51" t="inlineStr">
        <is>
          <t>atr_Inteligência</t>
        </is>
      </c>
      <c r="AN38" s="51" t="inlineStr">
        <is>
          <t>AB30</t>
        </is>
      </c>
    </row>
    <row r="39">
      <c r="AM39" s="51" t="inlineStr">
        <is>
          <t>atr_Essência</t>
        </is>
      </c>
      <c r="AN39" s="51" t="inlineStr">
        <is>
          <t>AJ30</t>
        </is>
      </c>
    </row>
    <row r="40">
      <c r="AM40" s="51" t="inlineStr">
        <is>
          <t>slot_pontos_1</t>
        </is>
      </c>
      <c r="AN40" s="51" t="inlineStr">
        <is>
          <t>S79</t>
        </is>
      </c>
    </row>
    <row r="41">
      <c r="AM41" s="51" t="inlineStr">
        <is>
          <t>slot_pontos_2</t>
        </is>
      </c>
      <c r="AN41" s="51" t="inlineStr">
        <is>
          <t>S80</t>
        </is>
      </c>
    </row>
    <row r="42">
      <c r="AM42" s="51" t="inlineStr">
        <is>
          <t>slot_pontos_3</t>
        </is>
      </c>
      <c r="AN42" s="51" t="inlineStr">
        <is>
          <t>S81</t>
        </is>
      </c>
    </row>
    <row r="43">
      <c r="AM43" s="51" t="inlineStr">
        <is>
          <t>slot_pontos_4</t>
        </is>
      </c>
      <c r="AN43" s="51" t="inlineStr">
        <is>
          <t>S82</t>
        </is>
      </c>
    </row>
    <row r="44">
      <c r="AM44" s="51" t="inlineStr">
        <is>
          <t>slot_pontos_5</t>
        </is>
      </c>
      <c r="AN44" s="51" t="inlineStr">
        <is>
          <t>S83</t>
        </is>
      </c>
    </row>
    <row r="45">
      <c r="AM45" s="51" t="inlineStr">
        <is>
          <t>slot_pontos_6</t>
        </is>
      </c>
      <c r="AN45" s="51" t="inlineStr">
        <is>
          <t>S84</t>
        </is>
      </c>
    </row>
    <row r="46">
      <c r="AM46" s="51" t="inlineStr">
        <is>
          <t>slot_pontos_7</t>
        </is>
      </c>
      <c r="AN46" s="51" t="inlineStr">
        <is>
          <t>S85</t>
        </is>
      </c>
    </row>
    <row r="47">
      <c r="AM47" s="51" t="inlineStr">
        <is>
          <t>slot_pontos_8</t>
        </is>
      </c>
      <c r="AN47" s="51" t="inlineStr">
        <is>
          <t>S86</t>
        </is>
      </c>
    </row>
    <row r="48">
      <c r="AM48" s="51" t="inlineStr">
        <is>
          <t>slot_pontos_9</t>
        </is>
      </c>
      <c r="AN48" s="51" t="inlineStr">
        <is>
          <t>S87</t>
        </is>
      </c>
    </row>
    <row r="49">
      <c r="AM49" s="51" t="inlineStr">
        <is>
          <t>slot_pontos_10</t>
        </is>
      </c>
      <c r="AN49" s="51" t="inlineStr">
        <is>
          <t>AO79</t>
        </is>
      </c>
    </row>
    <row r="50">
      <c r="AM50" s="51" t="inlineStr">
        <is>
          <t>slot_pontos_11</t>
        </is>
      </c>
      <c r="AN50" s="51" t="inlineStr">
        <is>
          <t>AO80</t>
        </is>
      </c>
    </row>
    <row r="51">
      <c r="AM51" s="51" t="inlineStr">
        <is>
          <t>slot_pontos_12</t>
        </is>
      </c>
      <c r="AN51" s="51" t="inlineStr">
        <is>
          <t>AO81</t>
        </is>
      </c>
    </row>
    <row r="52">
      <c r="AM52" s="51" t="inlineStr">
        <is>
          <t>slot_pontos_13</t>
        </is>
      </c>
      <c r="AN52" s="51" t="inlineStr">
        <is>
          <t>AO82</t>
        </is>
      </c>
    </row>
    <row r="53">
      <c r="AM53" s="51" t="inlineStr">
        <is>
          <t>slot_pontos_14</t>
        </is>
      </c>
      <c r="AN53" s="51" t="inlineStr">
        <is>
          <t>AO83</t>
        </is>
      </c>
    </row>
    <row r="54">
      <c r="AM54" s="51" t="inlineStr">
        <is>
          <t>slot_pontos_15</t>
        </is>
      </c>
      <c r="AN54" s="51" t="inlineStr">
        <is>
          <t>AO84</t>
        </is>
      </c>
    </row>
    <row r="55">
      <c r="AM55" s="51" t="inlineStr">
        <is>
          <t>traco_1</t>
        </is>
      </c>
      <c r="AN55" s="51" t="inlineStr">
        <is>
          <t>D79</t>
        </is>
      </c>
    </row>
    <row r="56">
      <c r="AM56" s="51" t="inlineStr">
        <is>
          <t>traco_2</t>
        </is>
      </c>
      <c r="AN56" s="51" t="inlineStr">
        <is>
          <t>D80</t>
        </is>
      </c>
    </row>
    <row r="57">
      <c r="AM57" s="51" t="inlineStr">
        <is>
          <t>traco_3</t>
        </is>
      </c>
      <c r="AN57" s="51" t="inlineStr">
        <is>
          <t>D81</t>
        </is>
      </c>
    </row>
    <row r="58">
      <c r="AM58" s="51" t="inlineStr">
        <is>
          <t>traco_4</t>
        </is>
      </c>
      <c r="AN58" s="51" t="inlineStr">
        <is>
          <t>D82</t>
        </is>
      </c>
    </row>
    <row r="59">
      <c r="AM59" s="51" t="inlineStr">
        <is>
          <t>traco_5</t>
        </is>
      </c>
      <c r="AN59" s="51" t="inlineStr">
        <is>
          <t>D83</t>
        </is>
      </c>
    </row>
    <row r="60">
      <c r="AM60" s="51" t="inlineStr">
        <is>
          <t>traco_6</t>
        </is>
      </c>
      <c r="AN60" s="51" t="inlineStr">
        <is>
          <t>D84</t>
        </is>
      </c>
    </row>
    <row r="61">
      <c r="AM61" s="51" t="inlineStr">
        <is>
          <t>traco_7</t>
        </is>
      </c>
      <c r="AN61" s="51" t="inlineStr">
        <is>
          <t>D85</t>
        </is>
      </c>
    </row>
    <row r="62">
      <c r="AM62" s="51" t="inlineStr">
        <is>
          <t>traco_8</t>
        </is>
      </c>
      <c r="AN62" s="51" t="inlineStr">
        <is>
          <t>D86</t>
        </is>
      </c>
    </row>
    <row r="63">
      <c r="AM63" s="51" t="inlineStr">
        <is>
          <t>traco_9</t>
        </is>
      </c>
      <c r="AN63" s="51" t="inlineStr">
        <is>
          <t>D87</t>
        </is>
      </c>
    </row>
    <row r="64">
      <c r="AM64" s="51" t="inlineStr">
        <is>
          <t>comando_1</t>
        </is>
      </c>
      <c r="AN64" s="51" t="inlineStr">
        <is>
          <t>Z79</t>
        </is>
      </c>
    </row>
    <row r="65">
      <c r="AM65" s="51" t="inlineStr">
        <is>
          <t>comando_2</t>
        </is>
      </c>
      <c r="AN65" s="51" t="inlineStr">
        <is>
          <t>Z80</t>
        </is>
      </c>
    </row>
    <row r="66">
      <c r="AM66" s="51" t="inlineStr">
        <is>
          <t>comando_3</t>
        </is>
      </c>
      <c r="AN66" s="51" t="inlineStr">
        <is>
          <t>Z81</t>
        </is>
      </c>
    </row>
    <row r="67">
      <c r="AM67" s="51" t="inlineStr">
        <is>
          <t>comando_4</t>
        </is>
      </c>
      <c r="AN67" s="51" t="inlineStr">
        <is>
          <t>Z82</t>
        </is>
      </c>
    </row>
    <row r="68">
      <c r="AM68" s="51" t="inlineStr">
        <is>
          <t>comando_5</t>
        </is>
      </c>
      <c r="AN68" s="51" t="inlineStr">
        <is>
          <t>Z83</t>
        </is>
      </c>
    </row>
    <row r="69">
      <c r="AM69" s="51" t="inlineStr">
        <is>
          <t>comando_6</t>
        </is>
      </c>
      <c r="AN69" s="51" t="inlineStr">
        <is>
          <t>Z84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2026-09-04T11:59:32Z</dcterms:created>
  <dcterms:modified xmlns:dcterms="http://purl.org/dc/terms/" xmlns:xsi="http://www.w3.org/2001/XMLSchema-instance" xsi:type="dcterms:W3CDTF">2026-09-04T11:59:32Z</dcterms:modified>
</cp:coreProperties>
</file>
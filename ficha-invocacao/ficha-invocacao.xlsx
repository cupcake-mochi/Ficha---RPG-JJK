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DADO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30294D"/>
      <sz val="22"/>
    </font>
    <font>
      <name val="Oswald"/>
      <color rgb="00756588"/>
      <sz val="12"/>
    </font>
    <font>
      <name val="Oswald"/>
      <color rgb="00998BA9"/>
      <sz val="8"/>
    </font>
    <font>
      <name val="Castoro"/>
      <color rgb="00E8DCD4"/>
      <sz val="20"/>
    </font>
    <font>
      <name val="Castoro"/>
      <color rgb="00E8DCD4"/>
      <sz val="16"/>
    </font>
    <font>
      <name val="Oswald"/>
      <color rgb="00F4F1F7"/>
      <sz val="16"/>
    </font>
    <font>
      <name val="Roboto"/>
      <color rgb="00998BA9"/>
      <sz val="8"/>
    </font>
    <font>
      <name val="Castoro"/>
      <color rgb="00E8DCD4"/>
      <sz val="18"/>
    </font>
    <font>
      <name val="Castoro"/>
      <color rgb="00E8DCD4"/>
      <sz val="12"/>
    </font>
    <font>
      <name val="Oswald"/>
      <color rgb="00E8DCD4"/>
      <sz val="24"/>
    </font>
    <font>
      <name val="Oswald"/>
      <color rgb="00F4F1F7"/>
      <sz val="12"/>
    </font>
    <font>
      <name val="Oswald"/>
      <color rgb="00D89B3A"/>
      <sz val="12"/>
    </font>
    <font>
      <name val="Castoro"/>
      <color rgb="00F4F1F7"/>
      <sz val="11"/>
    </font>
    <font>
      <name val="Oswald"/>
      <color rgb="00E8DCD4"/>
      <sz val="12"/>
    </font>
    <font>
      <name val="Oswald"/>
      <color rgb="00F4F1F7"/>
      <sz val="20"/>
    </font>
    <font>
      <name val="Oswald"/>
      <color rgb="00F4F1F7"/>
      <sz val="14"/>
    </font>
    <font>
      <name val="Roboto"/>
      <color rgb="00F4F1F7"/>
      <sz val="9"/>
    </font>
    <font>
      <name val="Oswald"/>
      <color rgb="00756588"/>
      <sz val="9"/>
    </font>
    <font>
      <name val="Roboto"/>
      <color rgb="00E8DCD4"/>
      <sz val="11"/>
    </font>
    <font>
      <name val="Oswald"/>
      <color rgb="00998BA9"/>
      <sz val="11"/>
    </font>
    <font>
      <name val="Oswald"/>
      <color rgb="00D89B3A"/>
      <sz val="14"/>
    </font>
    <font>
      <name val="Roboto"/>
      <color rgb="00F4F1F7"/>
      <sz val="10"/>
    </font>
    <font>
      <name val="Oswald"/>
      <color rgb="00D89B3A"/>
      <sz val="10"/>
    </font>
  </fonts>
  <fills count="6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0294D"/>
        <bgColor rgb="0030294D"/>
      </patternFill>
    </fill>
    <fill>
      <patternFill patternType="solid">
        <fgColor rgb="00211C35"/>
        <bgColor rgb="00211C35"/>
      </patternFill>
    </fill>
  </fills>
  <borders count="2">
    <border>
      <left/>
      <right/>
      <top/>
      <bottom/>
      <diagonal/>
    </border>
    <border>
      <top style="thin">
        <color rgb="00493F54"/>
      </top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 textRotation="90"/>
    </xf>
    <xf numFmtId="0" fontId="0" fillId="2" borderId="1" pivotButton="0" quotePrefix="0" xfId="0"/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right" vertical="center"/>
    </xf>
    <xf numFmtId="0" fontId="2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5" borderId="0" applyAlignment="1" pivotButton="0" quotePrefix="0" xfId="0">
      <alignment horizontal="left" vertical="center"/>
    </xf>
    <xf numFmtId="0" fontId="26" fillId="5" borderId="0" applyAlignment="1" pivotButton="0" quotePrefix="0" xfId="0">
      <alignment horizontal="right" vertical="center"/>
    </xf>
    <xf numFmtId="0" fontId="25" fillId="4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28" fillId="4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29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23" fillId="5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0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sistema v0.200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01</t>
        </is>
      </c>
      <c r="G4" s="7" t="inlineStr">
        <is>
          <t>O DONO — o que a ficha dele decide</t>
        </is>
      </c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J6" s="5" t="n"/>
      <c r="K6" s="8" t="inlineStr">
        <is>
          <t>ESSÊNCIA DELE</t>
        </is>
      </c>
      <c r="Q6" s="5" t="n"/>
      <c r="R6" s="8" t="inlineStr">
        <is>
          <t>INTELIGÊNCIA DELE</t>
        </is>
      </c>
      <c r="X6" s="5" t="n"/>
      <c r="Y6" s="8" t="inlineStr">
        <is>
          <t>MAESTRIA</t>
        </is>
      </c>
      <c r="AE6" s="5" t="n"/>
      <c r="AF6" s="8" t="inlineStr">
        <is>
          <t>MARCOS</t>
        </is>
      </c>
      <c r="AL6" s="5" t="n"/>
      <c r="AM6" s="8" t="inlineStr">
        <is>
          <t>MAIOR CLASSE · PE DE INVOCAR</t>
        </is>
      </c>
      <c r="AT6" s="5" t="n"/>
    </row>
    <row r="7" ht="15" customHeight="1">
      <c r="A7" s="1" t="n"/>
      <c r="B7" s="1" t="n"/>
      <c r="C7" s="5" t="n"/>
      <c r="D7" s="9" t="n">
        <v>2</v>
      </c>
      <c r="J7" s="5" t="n"/>
      <c r="K7" s="10" t="n">
        <v>0</v>
      </c>
      <c r="Q7" s="5" t="n"/>
      <c r="R7" s="10" t="n">
        <v>0</v>
      </c>
      <c r="X7" s="5" t="n"/>
      <c r="Y7" s="11">
        <f>(1+COUNTIF(DADOS!$AH$3:$AH$5,"&lt;="&amp;$D$7))</f>
        <v/>
      </c>
      <c r="AE7" s="5" t="n"/>
      <c r="AF7" s="11">
        <f>COUNTIF(DADOS!$AG$3:$AG$9,"&lt;="&amp;$D$7)</f>
        <v/>
      </c>
      <c r="AL7" s="5" t="n"/>
      <c r="AM7" s="11">
        <f>COUNTIF(DADOS!$AI$3:$AI$9,"&lt;="&amp;$D$7)</f>
        <v/>
      </c>
      <c r="AT7" s="5" t="n"/>
    </row>
    <row r="8" ht="15" customHeight="1">
      <c r="A8" s="12" t="inlineStr">
        <is>
          <t>INVOCAÇÃO</t>
        </is>
      </c>
      <c r="C8" s="5" t="n"/>
      <c r="D8" s="13" t="n"/>
      <c r="E8" s="13" t="n"/>
      <c r="F8" s="13" t="n"/>
      <c r="G8" s="13" t="n"/>
      <c r="H8" s="13" t="n"/>
      <c r="I8" s="13" t="n"/>
      <c r="J8" s="5" t="n"/>
      <c r="K8" s="13" t="n"/>
      <c r="L8" s="13" t="n"/>
      <c r="M8" s="13" t="n"/>
      <c r="N8" s="13" t="n"/>
      <c r="O8" s="13" t="n"/>
      <c r="P8" s="13" t="n"/>
      <c r="Q8" s="5" t="n"/>
      <c r="R8" s="13" t="n"/>
      <c r="S8" s="13" t="n"/>
      <c r="T8" s="13" t="n"/>
      <c r="U8" s="13" t="n"/>
      <c r="V8" s="13" t="n"/>
      <c r="W8" s="13" t="n"/>
      <c r="X8" s="5" t="n"/>
      <c r="Y8" s="13" t="n"/>
      <c r="Z8" s="13" t="n"/>
      <c r="AA8" s="13" t="n"/>
      <c r="AB8" s="13" t="n"/>
      <c r="AC8" s="13" t="n"/>
      <c r="AD8" s="13" t="n"/>
      <c r="AE8" s="5" t="n"/>
      <c r="AF8" s="13" t="n"/>
      <c r="AG8" s="13" t="n"/>
      <c r="AH8" s="13" t="n"/>
      <c r="AI8" s="13" t="n"/>
      <c r="AJ8" s="13" t="n"/>
      <c r="AK8" s="13" t="n"/>
      <c r="AL8" s="5" t="n"/>
      <c r="AM8" s="13" t="n"/>
      <c r="AN8" s="13" t="n"/>
      <c r="AO8" s="13" t="n"/>
      <c r="AP8" s="13" t="n"/>
      <c r="AQ8" s="13" t="n"/>
      <c r="AR8" s="13" t="n"/>
      <c r="AS8" s="13" t="n"/>
      <c r="AT8" s="5" t="n"/>
    </row>
    <row r="9" ht="15" customHeight="1">
      <c r="C9" s="5" t="n"/>
      <c r="D9" s="14" t="inlineStr">
        <is>
          <t>estas três da esquerda você digita; no dia em que isto virar aba da ficha grande, elas puxam da FICHA por fórmula e nada mais muda.</t>
        </is>
      </c>
    </row>
    <row r="10" ht="15" customHeight="1"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6" t="inlineStr">
        <is>
          <t>02</t>
        </is>
      </c>
      <c r="G11" s="7" t="inlineStr">
        <is>
          <t>A INVOCAÇÃO</t>
        </is>
      </c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8" t="inlineStr">
        <is>
          <t>NOME</t>
        </is>
      </c>
      <c r="P13" s="5" t="n"/>
      <c r="Q13" s="8" t="inlineStr">
        <is>
          <t>TIPO</t>
        </is>
      </c>
      <c r="Z13" s="5" t="n"/>
      <c r="AA13" s="8" t="inlineStr">
        <is>
          <t>TRILHA</t>
        </is>
      </c>
      <c r="AH13" s="5" t="n"/>
      <c r="AI13" s="8" t="inlineStr">
        <is>
          <t>SINTONIA</t>
        </is>
      </c>
      <c r="AT13" s="5" t="n"/>
    </row>
    <row r="14" ht="15" customHeight="1">
      <c r="C14" s="5" t="n"/>
      <c r="D14" s="15" t="n"/>
      <c r="P14" s="5" t="n"/>
      <c r="Q14" s="16" t="n"/>
      <c r="Z14" s="5" t="n"/>
      <c r="AA14" s="16" t="n"/>
      <c r="AH14" s="5" t="n"/>
      <c r="AI14" s="16" t="inlineStr">
        <is>
          <t>—</t>
        </is>
      </c>
      <c r="AT14" s="5" t="n"/>
    </row>
    <row r="15" ht="15" customHeight="1">
      <c r="C15" s="5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5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5" t="n"/>
      <c r="AA15" s="13" t="n"/>
      <c r="AB15" s="13" t="n"/>
      <c r="AC15" s="13" t="n"/>
      <c r="AD15" s="13" t="n"/>
      <c r="AE15" s="13" t="n"/>
      <c r="AF15" s="13" t="n"/>
      <c r="AG15" s="13" t="n"/>
      <c r="AH15" s="5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5" t="n"/>
    </row>
    <row r="16" ht="15" customHeight="1">
      <c r="C16" s="5" t="n"/>
      <c r="D16" s="14" t="inlineStr">
        <is>
          <t>a Sintonia é o degrau de nível 2 do Evocador, e as três rotas dela mexem nesta ficha: Presa as suas invocacoes acertam critico com 19 ou 20 · Parrudo as suas invocacoes tem mais vida, equivalente a 5 x a sua maestria · Voz a CD dos efeitos das suas invocacoes sobe em 1, e vira metade da sua maestria a partir do nivel 7</t>
        </is>
      </c>
    </row>
    <row r="17" ht="15" customHeight="1">
      <c r="C17" s="5" t="n"/>
    </row>
    <row r="18" ht="15" customHeight="1"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</row>
    <row r="19" ht="15" customHeight="1">
      <c r="C19" s="5" t="n"/>
      <c r="D19" s="6" t="inlineStr">
        <is>
          <t>03</t>
        </is>
      </c>
      <c r="G19" s="7" t="inlineStr">
        <is>
          <t>OS ATRIBUTOS DELA — são dela, e ela não copia os seus</t>
        </is>
      </c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C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FORÇA</t>
        </is>
      </c>
      <c r="J21" s="5" t="n"/>
      <c r="K21" s="8" t="inlineStr">
        <is>
          <t>DESTREZA</t>
        </is>
      </c>
      <c r="Q21" s="5" t="n"/>
      <c r="R21" s="8" t="inlineStr">
        <is>
          <t>CONSTITUIÇÃO</t>
        </is>
      </c>
      <c r="X21" s="5" t="n"/>
      <c r="Y21" s="8" t="inlineStr">
        <is>
          <t>INTELIGÊNCIA</t>
        </is>
      </c>
      <c r="AE21" s="5" t="n"/>
      <c r="AF21" s="8" t="inlineStr">
        <is>
          <t>ESSÊNCIA</t>
        </is>
      </c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</row>
    <row r="22" ht="15" customHeight="1">
      <c r="C22" s="5" t="n"/>
      <c r="D22" s="17" t="n">
        <v>0</v>
      </c>
      <c r="J22" s="5" t="n"/>
      <c r="K22" s="17" t="n">
        <v>0</v>
      </c>
      <c r="Q22" s="5" t="n"/>
      <c r="R22" s="17" t="n">
        <v>0</v>
      </c>
      <c r="X22" s="5" t="n"/>
      <c r="Y22" s="17" t="n">
        <v>0</v>
      </c>
      <c r="AE22" s="5" t="n"/>
      <c r="AF22" s="17" t="n">
        <v>0</v>
      </c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</row>
    <row r="23" ht="15" customHeight="1">
      <c r="C23" s="5" t="n"/>
      <c r="J23" s="5" t="n"/>
      <c r="Q23" s="5" t="n"/>
      <c r="X23" s="5" t="n"/>
      <c r="AE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</row>
    <row r="24" ht="15" customHeight="1">
      <c r="C24" s="5" t="n"/>
      <c r="D24" s="13" t="n"/>
      <c r="E24" s="13" t="n"/>
      <c r="F24" s="13" t="n"/>
      <c r="G24" s="13" t="n"/>
      <c r="H24" s="13" t="n"/>
      <c r="I24" s="13" t="n"/>
      <c r="J24" s="5" t="n"/>
      <c r="K24" s="13" t="n"/>
      <c r="L24" s="13" t="n"/>
      <c r="M24" s="13" t="n"/>
      <c r="N24" s="13" t="n"/>
      <c r="O24" s="13" t="n"/>
      <c r="P24" s="13" t="n"/>
      <c r="Q24" s="5" t="n"/>
      <c r="R24" s="13" t="n"/>
      <c r="S24" s="13" t="n"/>
      <c r="T24" s="13" t="n"/>
      <c r="U24" s="13" t="n"/>
      <c r="V24" s="13" t="n"/>
      <c r="W24" s="13" t="n"/>
      <c r="X24" s="5" t="n"/>
      <c r="Y24" s="13" t="n"/>
      <c r="Z24" s="13" t="n"/>
      <c r="AA24" s="13" t="n"/>
      <c r="AB24" s="13" t="n"/>
      <c r="AC24" s="13" t="n"/>
      <c r="AD24" s="13" t="n"/>
      <c r="AE24" s="5" t="n"/>
      <c r="AF24" s="13" t="n"/>
      <c r="AG24" s="13" t="n"/>
      <c r="AH24" s="13" t="n"/>
      <c r="AI24" s="13" t="n"/>
      <c r="AJ24" s="13" t="n"/>
      <c r="AK24" s="13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</row>
    <row r="25" ht="15" customHeight="1">
      <c r="C25" s="5" t="n"/>
      <c r="D25" s="8" t="inlineStr">
        <is>
          <t>PONTOS GASTOS · DE</t>
        </is>
      </c>
      <c r="M25" s="5" t="n"/>
      <c r="N25" s="8" t="inlineStr">
        <is>
          <t>DISPONÍVEIS</t>
        </is>
      </c>
      <c r="W25" s="5" t="n"/>
      <c r="X25" s="8" t="inlineStr">
        <is>
          <t>CONFERÊNCIA</t>
        </is>
      </c>
      <c r="AS25" s="5" t="n"/>
      <c r="AT25" s="5" t="n"/>
    </row>
    <row r="26" ht="15" customHeight="1">
      <c r="C26" s="5" t="n"/>
      <c r="D26" s="18">
        <f>$D$22+$K$22+$R$22+$Y$22+$AF$22</f>
        <v/>
      </c>
      <c r="M26" s="5" t="n"/>
      <c r="N26" s="18">
        <f>(9+$AF$7)</f>
        <v/>
      </c>
      <c r="W26" s="5" t="n"/>
      <c r="X26" s="19">
        <f>IF($D$22+$K$22+$R$22+$Y$22+$AF$22&gt;(9+$AF$7),"estourou o total",IF(MAX($D$22,$K$22,$R$22,$Y$22,$AF$22)&gt;6,"estourou o teto de 6",IF($D$22+$K$22+$R$22+$Y$22+$AF$22&lt;(9+$AF$7),"sobrou ponto","ok")))</f>
        <v/>
      </c>
      <c r="AS26" s="5" t="n"/>
      <c r="AT26" s="5" t="n"/>
    </row>
    <row r="27" ht="15" customHeight="1">
      <c r="A27" s="1" t="n"/>
      <c r="B27" s="1" t="n"/>
      <c r="C27" s="5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5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5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5" t="n"/>
      <c r="AT27" s="5" t="n"/>
    </row>
    <row r="28" ht="15" customHeight="1">
      <c r="A28" s="1" t="n"/>
      <c r="B28" s="1" t="n"/>
      <c r="C28" s="5" t="n"/>
      <c r="D28" s="14" t="inlineStr">
        <is>
          <t>9 pontos na criação com teto 3, mais 1 por marco, teto 6. Mesma regra da sua ficha.</t>
        </is>
      </c>
    </row>
    <row r="29" ht="15" customHeight="1">
      <c r="A29" s="1" t="n"/>
      <c r="B29" s="1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</row>
    <row r="30" ht="15" customHeight="1">
      <c r="A30" s="12" t="inlineStr">
        <is>
          <t>PROJETO - M</t>
        </is>
      </c>
      <c r="C30" s="5" t="n"/>
      <c r="D30" s="6" t="inlineStr">
        <is>
          <t>04</t>
        </is>
      </c>
      <c r="G30" s="7" t="inlineStr">
        <is>
          <t>O QUE ENCARA O DADO — o número é dela, o ritmo é seu</t>
        </is>
      </c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C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C32" s="5" t="n"/>
      <c r="D32" s="8" t="inlineStr">
        <is>
          <t>ATRIBUTO DO ACERTO</t>
        </is>
      </c>
      <c r="M32" s="5" t="n"/>
      <c r="N32" s="8" t="inlineStr">
        <is>
          <t>ACERTO</t>
        </is>
      </c>
      <c r="T32" s="5" t="n"/>
      <c r="U32" s="8" t="inlineStr">
        <is>
          <t>DEFESA USA, DELE</t>
        </is>
      </c>
      <c r="AE32" s="5" t="n"/>
      <c r="AF32" s="8" t="inlineStr">
        <is>
          <t>DEFESA</t>
        </is>
      </c>
      <c r="AL32" s="5" t="n"/>
      <c r="AM32" s="8" t="inlineStr">
        <is>
          <t>CRÍTICO COM</t>
        </is>
      </c>
      <c r="AT32" s="5" t="n"/>
    </row>
    <row r="33" ht="15" customHeight="1">
      <c r="C33" s="5" t="n"/>
      <c r="D33" s="16" t="n"/>
      <c r="M33" s="5" t="n"/>
      <c r="N33" s="11">
        <f>IF($D$33="","",INDEX(DADOS!$AK$3:$AK$7,MATCH($D$33,DADOS!$C$2:$C$6,0))+$Y$7)</f>
        <v/>
      </c>
      <c r="T33" s="5" t="n"/>
      <c r="U33" s="16" t="n"/>
      <c r="AE33" s="5" t="n"/>
      <c r="AF33" s="11">
        <f>10+$K$22+FLOOR(IF($U$33="Essência",$K$7,$R$7)/2,1)</f>
        <v/>
      </c>
      <c r="AL33" s="5" t="n"/>
      <c r="AM33" s="18">
        <f>IF($AI$14="Presa","19 ou 20","20")</f>
        <v/>
      </c>
      <c r="AT33" s="5" t="n"/>
    </row>
    <row r="34" ht="15" customHeight="1">
      <c r="C34" s="5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5" t="n"/>
      <c r="N34" s="13" t="n"/>
      <c r="O34" s="13" t="n"/>
      <c r="P34" s="13" t="n"/>
      <c r="Q34" s="13" t="n"/>
      <c r="R34" s="13" t="n"/>
      <c r="S34" s="13" t="n"/>
      <c r="T34" s="5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5" t="n"/>
      <c r="AF34" s="13" t="n"/>
      <c r="AG34" s="13" t="n"/>
      <c r="AH34" s="13" t="n"/>
      <c r="AI34" s="13" t="n"/>
      <c r="AJ34" s="13" t="n"/>
      <c r="AK34" s="13" t="n"/>
      <c r="AL34" s="5" t="n"/>
      <c r="AM34" s="13" t="n"/>
      <c r="AN34" s="13" t="n"/>
      <c r="AO34" s="13" t="n"/>
      <c r="AP34" s="13" t="n"/>
      <c r="AQ34" s="13" t="n"/>
      <c r="AR34" s="13" t="n"/>
      <c r="AS34" s="13" t="n"/>
      <c r="AT34" s="5" t="n"/>
    </row>
    <row r="35" ht="15" customHeight="1">
      <c r="C35" s="5" t="n"/>
      <c r="D35" s="14" t="inlineStr">
        <is>
          <t>acerto e Teste de Resistência rolam d20 + isto. A Defesa é passiva, e a maestria não entra nela.</t>
        </is>
      </c>
    </row>
    <row r="36" ht="15" customHeight="1">
      <c r="C36" s="5" t="n"/>
      <c r="D36" s="8" t="inlineStr">
        <is>
          <t>QUAL TR ELA TREINA</t>
        </is>
      </c>
      <c r="M36" s="5" t="n"/>
      <c r="N36" s="8" t="inlineStr">
        <is>
          <t>O FÍSICO DELA USA</t>
        </is>
      </c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6" t="n"/>
      <c r="M37" s="5" t="n"/>
      <c r="N37" s="16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</row>
    <row r="38" ht="15" customHeight="1">
      <c r="C38" s="5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5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</row>
    <row r="39" ht="15" customHeight="1">
      <c r="C39" s="5" t="n"/>
      <c r="D39" s="20" t="inlineStr">
        <is>
          <t>Físico</t>
        </is>
      </c>
      <c r="O39" s="21">
        <f>IFERROR(INDEX(DADOS!$AK$3:$AK$7,MATCH($N$37,DADOS!$C$2:$C$6,0))+IF($D$37="Físico",$Y$7,0),"")</f>
        <v/>
      </c>
      <c r="T39" s="5" t="n"/>
      <c r="U39" s="5" t="n"/>
      <c r="V39" s="5" t="n"/>
      <c r="W39" s="5" t="n"/>
      <c r="X39" s="20" t="inlineStr">
        <is>
          <t>Vigor</t>
        </is>
      </c>
      <c r="AI39" s="21">
        <f>IFERROR(INDEX(DADOS!$AK$3:$AK$7,MATCH("Constituição",DADOS!$C$2:$C$6,0))+IF($D$37="Vigor",$Y$7,0),"")</f>
        <v/>
      </c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5" t="n"/>
      <c r="U40" s="5" t="n"/>
      <c r="V40" s="5" t="n"/>
      <c r="W40" s="5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  <c r="AJ40" s="13" t="n"/>
      <c r="AK40" s="13" t="n"/>
      <c r="AL40" s="13" t="n"/>
      <c r="AM40" s="13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D41" s="20" t="inlineStr">
        <is>
          <t>Intelecto</t>
        </is>
      </c>
      <c r="O41" s="21">
        <f>IFERROR(INDEX(DADOS!$AK$3:$AK$7,MATCH("Inteligência",DADOS!$C$2:$C$6,0))+IF($D$37="Intelecto",$Y$7,0),"")</f>
        <v/>
      </c>
      <c r="T41" s="5" t="n"/>
      <c r="U41" s="5" t="n"/>
      <c r="V41" s="5" t="n"/>
      <c r="W41" s="5" t="n"/>
      <c r="X41" s="20" t="inlineStr">
        <is>
          <t>Espírito</t>
        </is>
      </c>
      <c r="AI41" s="21">
        <f>IFERROR(INDEX(DADOS!$AK$3:$AK$7,MATCH("Essência",DADOS!$C$2:$C$6,0))+IF($D$37="Espírito",$Y$7,0),"")</f>
        <v/>
      </c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5" t="n"/>
      <c r="U42" s="5" t="n"/>
      <c r="V42" s="5" t="n"/>
      <c r="W42" s="5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  <c r="AJ42" s="13" t="n"/>
      <c r="AK42" s="13" t="n"/>
      <c r="AL42" s="13" t="n"/>
      <c r="AM42" s="13" t="n"/>
      <c r="AN42" s="5" t="n"/>
      <c r="AO42" s="5" t="n"/>
      <c r="AP42" s="5" t="n"/>
      <c r="AQ42" s="5" t="n"/>
      <c r="AR42" s="5" t="n"/>
      <c r="AS42" s="5" t="n"/>
      <c r="AT42" s="5" t="n"/>
    </row>
    <row r="43" ht="15" customHeight="1">
      <c r="C43" s="5" t="n"/>
      <c r="D43" s="14" t="inlineStr">
        <is>
          <t>ela treina um só. A sua maestria entra nele, e nos outros três não — igual a qualquer ficha.</t>
        </is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6" t="inlineStr">
        <is>
          <t>05</t>
        </is>
      </c>
      <c r="G45" s="7" t="inlineStr">
        <is>
          <t>VIDA E MORTE</t>
        </is>
      </c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8" t="inlineStr">
        <is>
          <t>VIDA MÁXIMA</t>
        </is>
      </c>
      <c r="K47" s="5" t="n"/>
      <c r="L47" s="8" t="inlineStr">
        <is>
          <t>VIDA AGORA</t>
        </is>
      </c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8" t="inlineStr">
        <is>
          <t>CORPOS EM CAMPO</t>
        </is>
      </c>
      <c r="AM47" s="5" t="n"/>
      <c r="AN47" s="8" t="inlineStr">
        <is>
          <t>ÁREA BATE ×</t>
        </is>
      </c>
      <c r="AT47" s="5" t="n"/>
    </row>
    <row r="48" ht="15" customHeight="1">
      <c r="C48" s="5" t="n"/>
      <c r="D48" s="22">
        <f>IF($Q$14="","",IF(IFERROR(VLOOKUP($AA$14,DADOS!$N$3:$R$5,4,FALSE),"cru")="forte",FLOOR(2.5*(IFERROR(VLOOKUP($Q$14,DADOS!$K$3:$L$6,2,FALSE),0)+2*$D$7)+$R$22*$D$7,1),(IFERROR(VLOOKUP($Q$14,DADOS!$K$3:$L$6,2,FALSE),0)+(2+$R$22)*$D$7))+IF($AI$14="Parrudo",5*$Y$7,0))</f>
        <v/>
      </c>
      <c r="K48" s="5" t="n"/>
      <c r="L48" s="9" t="n"/>
      <c r="S48" s="5" t="n"/>
      <c r="T48" s="23">
        <f>IFERROR(SPARKLINE($L$48,{"charttype","bar";"max",$D$48;"color1",IF(N($D$48)=0,"#E8DCD4",IF($L$48/$D$48&lt;=0.25,"#C2334D",IF($L$48/$D$48&lt;=0.5,"#D89B3A","#E8DCD4")))}),"")</f>
        <v/>
      </c>
      <c r="AF48" s="5" t="n"/>
      <c r="AG48" s="11">
        <f>IFERROR(VLOOKUP($AA$14,DADOS!$N$3:$R$5,2,FALSE),"")</f>
        <v/>
      </c>
      <c r="AM48" s="5" t="n"/>
      <c r="AN48" s="11">
        <f>IFERROR(VLOOKUP($AA$14,DADOS!$N$3:$R$5,5,FALSE),"")</f>
        <v/>
      </c>
      <c r="AT48" s="5" t="n"/>
    </row>
    <row r="49" ht="15" customHeight="1">
      <c r="A49" s="1" t="n"/>
      <c r="B49" s="1" t="n"/>
      <c r="C49" s="5" t="n"/>
      <c r="D49" s="13" t="n"/>
      <c r="E49" s="13" t="n"/>
      <c r="F49" s="13" t="n"/>
      <c r="G49" s="13" t="n"/>
      <c r="H49" s="13" t="n"/>
      <c r="I49" s="13" t="n"/>
      <c r="J49" s="13" t="n"/>
      <c r="K49" s="5" t="n"/>
      <c r="L49" s="13" t="n"/>
      <c r="M49" s="13" t="n"/>
      <c r="N49" s="13" t="n"/>
      <c r="O49" s="13" t="n"/>
      <c r="P49" s="13" t="n"/>
      <c r="Q49" s="13" t="n"/>
      <c r="R49" s="13" t="n"/>
      <c r="S49" s="5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5" t="n"/>
      <c r="AG49" s="13" t="n"/>
      <c r="AH49" s="13" t="n"/>
      <c r="AI49" s="13" t="n"/>
      <c r="AJ49" s="13" t="n"/>
      <c r="AK49" s="13" t="n"/>
      <c r="AL49" s="13" t="n"/>
      <c r="AM49" s="5" t="n"/>
      <c r="AN49" s="13" t="n"/>
      <c r="AO49" s="13" t="n"/>
      <c r="AP49" s="13" t="n"/>
      <c r="AQ49" s="13" t="n"/>
      <c r="AR49" s="13" t="n"/>
      <c r="AS49" s="13" t="n"/>
      <c r="AT49" s="5" t="n"/>
    </row>
    <row r="50" ht="15" customHeight="1">
      <c r="A50" s="1" t="n"/>
      <c r="B50" s="1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1" t="n"/>
      <c r="B51" s="1" t="n"/>
      <c r="C51" s="5" t="n"/>
      <c r="D51" s="8" t="inlineStr">
        <is>
          <t>RÉGUA DA MORTE</t>
        </is>
      </c>
      <c r="L51" s="5" t="n"/>
      <c r="M51" s="8" t="inlineStr">
        <is>
          <t>METADE DELA</t>
        </is>
      </c>
      <c r="U51" s="5" t="n"/>
      <c r="V51" s="8" t="inlineStr">
        <is>
          <t>VOLTA COM</t>
        </is>
      </c>
      <c r="AD51" s="5" t="n"/>
      <c r="AE51" s="8" t="inlineStr">
        <is>
          <t>MORRE DE VEZ SE</t>
        </is>
      </c>
    </row>
    <row r="52" ht="15" customHeight="1">
      <c r="A52" s="1" t="n"/>
      <c r="B52" s="1" t="n"/>
      <c r="C52" s="5" t="n"/>
      <c r="D52" s="24">
        <f>IF($Q$14="","",5*(IFERROR(VLOOKUP($Q$14,DADOS!$K$3:$L$6,2,FALSE),0)+(2+$R$22)*$D$7))</f>
        <v/>
      </c>
      <c r="L52" s="5" t="n"/>
      <c r="M52" s="24">
        <f>IF($Q$14="","",5*(IFERROR(VLOOKUP($Q$14,DADOS!$K$3:$L$6,2,FALSE),0)+(2+$R$22)*$D$7)/2)</f>
        <v/>
      </c>
      <c r="U52" s="5" t="n"/>
      <c r="V52" s="24">
        <f>IF($Q$14="","",FLOOR($D$48/2,1))</f>
        <v/>
      </c>
      <c r="AD52" s="5" t="n"/>
      <c r="AE52" s="25" t="inlineStr">
        <is>
          <t>o excedente passar da metade, ou um golpe só causar a régua inteira</t>
        </is>
      </c>
    </row>
    <row r="53" ht="15" customHeight="1">
      <c r="A53" s="1" t="n"/>
      <c r="B53" s="1" t="n"/>
      <c r="C53" s="5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5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5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5" t="n"/>
    </row>
    <row r="54" ht="15" customHeight="1">
      <c r="A54" s="1" t="n"/>
      <c r="B54" s="1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1" t="n"/>
      <c r="B55" s="1" t="n"/>
      <c r="C55" s="5" t="n"/>
      <c r="D55" s="14" t="inlineStr">
        <is>
          <t>a régua sai da vida CRUA do tipo, nunca da do corpo forte — é a mesma para um corpo, cinco, ou o corpo grande. Ela some no zero: sem Inconsciente, sem Sequela, sem Cicatriz. A vida cheia volta no descanso longo.</t>
        </is>
      </c>
    </row>
    <row r="56" ht="15" customHeight="1">
      <c r="A56" s="1" t="n"/>
      <c r="B56" s="1" t="n"/>
      <c r="C56" s="5" t="n"/>
    </row>
    <row r="57" ht="15" customHeight="1">
      <c r="A57" s="1" t="n"/>
      <c r="B57" s="1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6" t="inlineStr">
        <is>
          <t>06</t>
        </is>
      </c>
      <c r="G58" s="7" t="inlineStr">
        <is>
          <t>O ORÇAMENTO — compra o que ela FAZ, nunca número</t>
        </is>
      </c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1" t="n"/>
      <c r="B59" s="1" t="n"/>
      <c r="C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1" t="n"/>
      <c r="B60" s="1" t="n"/>
      <c r="C60" s="5" t="n"/>
      <c r="D60" s="8" t="inlineStr">
        <is>
          <t>ORÇAMENTO</t>
        </is>
      </c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1" t="n"/>
      <c r="B61" s="1" t="n"/>
      <c r="C61" s="5" t="n"/>
      <c r="D61" s="22">
        <f>FLOOR((8+4*$AF$7)*IFERROR(VLOOKUP($AA$14,DADOS!$N$3:$R$5,3,FALSE),1),1)</f>
        <v/>
      </c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13" t="n"/>
      <c r="E62" s="13" t="n"/>
      <c r="F62" s="13" t="n"/>
      <c r="G62" s="13" t="n"/>
      <c r="H62" s="13" t="n"/>
      <c r="I62" s="13" t="n"/>
      <c r="J62" s="13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26" t="inlineStr">
        <is>
          <t>TRAÇO · até 9</t>
        </is>
      </c>
      <c r="V64" s="5" t="n"/>
      <c r="W64" s="5" t="n"/>
      <c r="X64" s="5" t="n"/>
      <c r="Y64" s="5" t="n"/>
      <c r="Z64" s="26" t="inlineStr">
        <is>
          <t>COMANDO · até 6</t>
        </is>
      </c>
      <c r="AR64" s="5" t="n"/>
      <c r="AS64" s="5" t="n"/>
      <c r="AT64" s="5" t="n"/>
    </row>
    <row r="65" ht="15" customHeight="1">
      <c r="A65" s="1" t="n"/>
      <c r="B65" s="1" t="n"/>
      <c r="C65" s="5" t="n"/>
      <c r="D65" s="27" t="inlineStr">
        <is>
          <t>—</t>
        </is>
      </c>
      <c r="Q65" s="28">
        <f>IFERROR(VLOOKUP($D$65,DADOS!$T$3:$U$16,2,FALSE),0)</f>
        <v/>
      </c>
      <c r="V65" s="5" t="n"/>
      <c r="W65" s="5" t="n"/>
      <c r="X65" s="5" t="n"/>
      <c r="Y65" s="5" t="n"/>
      <c r="Z65" s="27" t="inlineStr">
        <is>
          <t>—</t>
        </is>
      </c>
      <c r="AM65" s="28">
        <f>IFERROR(VLOOKUP($Z$65,DADOS!$W$3:$X$10,2,FALSE),0)</f>
        <v/>
      </c>
      <c r="AR65" s="5" t="n"/>
      <c r="AS65" s="5" t="n"/>
      <c r="AT65" s="5" t="n"/>
    </row>
    <row r="66" ht="15" customHeight="1">
      <c r="A66" s="1" t="n"/>
      <c r="B66" s="1" t="n"/>
      <c r="C66" s="5" t="n"/>
      <c r="D66" s="29" t="inlineStr">
        <is>
          <t>—</t>
        </is>
      </c>
      <c r="Q66" s="30">
        <f>IFERROR(VLOOKUP($D$66,DADOS!$T$3:$U$16,2,FALSE),0)</f>
        <v/>
      </c>
      <c r="V66" s="5" t="n"/>
      <c r="W66" s="5" t="n"/>
      <c r="X66" s="5" t="n"/>
      <c r="Y66" s="5" t="n"/>
      <c r="Z66" s="29" t="inlineStr">
        <is>
          <t>—</t>
        </is>
      </c>
      <c r="AM66" s="30">
        <f>IFERROR(VLOOKUP($Z$66,DADOS!$W$3:$X$10,2,FALSE),0)</f>
        <v/>
      </c>
      <c r="AR66" s="5" t="n"/>
      <c r="AS66" s="5" t="n"/>
      <c r="AT66" s="5" t="n"/>
    </row>
    <row r="67" ht="15" customHeight="1">
      <c r="A67" s="1" t="n"/>
      <c r="B67" s="1" t="n"/>
      <c r="C67" s="5" t="n"/>
      <c r="D67" s="27" t="inlineStr">
        <is>
          <t>—</t>
        </is>
      </c>
      <c r="Q67" s="28">
        <f>IFERROR(VLOOKUP($D$67,DADOS!$T$3:$U$16,2,FALSE),0)</f>
        <v/>
      </c>
      <c r="V67" s="5" t="n"/>
      <c r="W67" s="5" t="n"/>
      <c r="X67" s="5" t="n"/>
      <c r="Y67" s="5" t="n"/>
      <c r="Z67" s="27" t="inlineStr">
        <is>
          <t>—</t>
        </is>
      </c>
      <c r="AM67" s="28">
        <f>IFERROR(VLOOKUP($Z$67,DADOS!$W$3:$X$10,2,FALSE),0)</f>
        <v/>
      </c>
      <c r="AR67" s="5" t="n"/>
      <c r="AS67" s="5" t="n"/>
      <c r="AT67" s="5" t="n"/>
    </row>
    <row r="68" ht="15" customHeight="1">
      <c r="A68" s="1" t="n"/>
      <c r="B68" s="1" t="n"/>
      <c r="C68" s="5" t="n"/>
      <c r="D68" s="29" t="inlineStr">
        <is>
          <t>—</t>
        </is>
      </c>
      <c r="Q68" s="30">
        <f>IFERROR(VLOOKUP($D$68,DADOS!$T$3:$U$16,2,FALSE),0)</f>
        <v/>
      </c>
      <c r="V68" s="5" t="n"/>
      <c r="W68" s="5" t="n"/>
      <c r="X68" s="5" t="n"/>
      <c r="Y68" s="5" t="n"/>
      <c r="Z68" s="29" t="inlineStr">
        <is>
          <t>—</t>
        </is>
      </c>
      <c r="AM68" s="30">
        <f>IFERROR(VLOOKUP($Z$68,DADOS!$W$3:$X$10,2,FALSE),0)</f>
        <v/>
      </c>
      <c r="AR68" s="5" t="n"/>
      <c r="AS68" s="5" t="n"/>
      <c r="AT68" s="5" t="n"/>
    </row>
    <row r="69" ht="15" customHeight="1">
      <c r="A69" s="1" t="n"/>
      <c r="B69" s="1" t="n"/>
      <c r="C69" s="5" t="n"/>
      <c r="D69" s="27" t="inlineStr">
        <is>
          <t>—</t>
        </is>
      </c>
      <c r="Q69" s="28">
        <f>IFERROR(VLOOKUP($D$69,DADOS!$T$3:$U$16,2,FALSE),0)</f>
        <v/>
      </c>
      <c r="V69" s="5" t="n"/>
      <c r="W69" s="5" t="n"/>
      <c r="X69" s="5" t="n"/>
      <c r="Y69" s="5" t="n"/>
      <c r="Z69" s="27" t="inlineStr">
        <is>
          <t>—</t>
        </is>
      </c>
      <c r="AM69" s="28">
        <f>IFERROR(VLOOKUP($Z$69,DADOS!$W$3:$X$10,2,FALSE),0)</f>
        <v/>
      </c>
      <c r="AR69" s="5" t="n"/>
      <c r="AS69" s="5" t="n"/>
      <c r="AT69" s="5" t="n"/>
    </row>
    <row r="70" ht="15" customHeight="1">
      <c r="A70" s="1" t="n"/>
      <c r="B70" s="1" t="n"/>
      <c r="C70" s="5" t="n"/>
      <c r="D70" s="29" t="inlineStr">
        <is>
          <t>—</t>
        </is>
      </c>
      <c r="Q70" s="30">
        <f>IFERROR(VLOOKUP($D$70,DADOS!$T$3:$U$16,2,FALSE),0)</f>
        <v/>
      </c>
      <c r="V70" s="5" t="n"/>
      <c r="W70" s="5" t="n"/>
      <c r="X70" s="5" t="n"/>
      <c r="Y70" s="5" t="n"/>
      <c r="Z70" s="29" t="inlineStr">
        <is>
          <t>—</t>
        </is>
      </c>
      <c r="AM70" s="30">
        <f>IFERROR(VLOOKUP($Z$70,DADOS!$W$3:$X$10,2,FALSE),0)</f>
        <v/>
      </c>
      <c r="AR70" s="5" t="n"/>
      <c r="AS70" s="5" t="n"/>
      <c r="AT70" s="5" t="n"/>
    </row>
    <row r="71" ht="15" customHeight="1">
      <c r="A71" s="1" t="n"/>
      <c r="B71" s="1" t="n"/>
      <c r="C71" s="5" t="n"/>
      <c r="D71" s="27" t="inlineStr">
        <is>
          <t>—</t>
        </is>
      </c>
      <c r="Q71" s="28">
        <f>IFERROR(VLOOKUP($D$71,DADOS!$T$3:$U$16,2,FALSE),0)</f>
        <v/>
      </c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</row>
    <row r="72" ht="15" customHeight="1">
      <c r="A72" s="1" t="n"/>
      <c r="B72" s="1" t="n"/>
      <c r="C72" s="5" t="n"/>
      <c r="D72" s="29" t="inlineStr">
        <is>
          <t>—</t>
        </is>
      </c>
      <c r="Q72" s="30">
        <f>IFERROR(VLOOKUP($D$72,DADOS!$T$3:$U$16,2,FALSE),0)</f>
        <v/>
      </c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27" t="inlineStr">
        <is>
          <t>—</t>
        </is>
      </c>
      <c r="Q73" s="28">
        <f>IFERROR(VLOOKUP($D$73,DADOS!$T$3:$U$16,2,FALSE),0)</f>
        <v/>
      </c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GASTO</t>
        </is>
      </c>
      <c r="K75" s="5" t="n"/>
      <c r="L75" s="8" t="inlineStr">
        <is>
          <t>SOBRA</t>
        </is>
      </c>
      <c r="S75" s="5" t="n"/>
      <c r="T75" s="8" t="inlineStr">
        <is>
          <t>O QUE ELE NÃO COMPRA A PREÇO NENHUM</t>
        </is>
      </c>
    </row>
    <row r="76" ht="15" customHeight="1">
      <c r="A76" s="1" t="n"/>
      <c r="B76" s="1" t="n"/>
      <c r="C76" s="5" t="n"/>
      <c r="D76" s="24">
        <f>$Q$65+$Q$66+$Q$67+$Q$68+$Q$69+$Q$70+$Q$71+$Q$72+$Q$73+$AM$65+$AM$66+$AM$67+$AM$68+$AM$69+$AM$70</f>
        <v/>
      </c>
      <c r="K76" s="5" t="n"/>
      <c r="L76" s="31">
        <f>IF($D$61-($Q$65+$Q$66+$Q$67+$Q$68+$Q$69+$Q$70+$Q$71+$Q$72+$Q$73+$AM$65+$AM$66+$AM$67+$AM$68+$AM$69+$AM$70)&lt;0,"estourou "&amp;(($Q$65+$Q$66+$Q$67+$Q$68+$Q$69+$Q$70+$Q$71+$Q$72+$Q$73+$AM$65+$AM$66+$AM$67+$AM$68+$AM$69+$AM$70)-$D$61),$D$61-($Q$65+$Q$66+$Q$67+$Q$68+$Q$69+$Q$70+$Q$71+$Q$72+$Q$73+$AM$65+$AM$66+$AM$67+$AM$68+$AM$69+$AM$70))</f>
        <v/>
      </c>
      <c r="S76" s="5" t="n"/>
      <c r="T76" s="25" t="inlineStr">
        <is>
          <t>dado de dano · qualquer coisa que cresça com refino · atributo · Defesa, acerto ou vida direto</t>
        </is>
      </c>
    </row>
    <row r="77" ht="15" customHeight="1">
      <c r="A77" s="1" t="n"/>
      <c r="B77" s="1" t="n"/>
      <c r="C77" s="5" t="n"/>
      <c r="D77" s="13" t="n"/>
      <c r="E77" s="13" t="n"/>
      <c r="F77" s="13" t="n"/>
      <c r="G77" s="13" t="n"/>
      <c r="H77" s="13" t="n"/>
      <c r="I77" s="13" t="n"/>
      <c r="J77" s="13" t="n"/>
      <c r="K77" s="5" t="n"/>
      <c r="L77" s="13" t="n"/>
      <c r="M77" s="13" t="n"/>
      <c r="N77" s="13" t="n"/>
      <c r="O77" s="13" t="n"/>
      <c r="P77" s="13" t="n"/>
      <c r="Q77" s="13" t="n"/>
      <c r="R77" s="13" t="n"/>
      <c r="S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14" t="inlineStr">
        <is>
          <t>o Servo monta com o orçamento da ficha mais metade, porque é um corpo só e não cinco. Todo orçamento é múltiplo de 4, então fecha redondo.</t>
        </is>
      </c>
    </row>
    <row r="80" ht="15" customHeight="1">
      <c r="A80" s="1" t="n"/>
      <c r="B80" s="1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</row>
    <row r="81" ht="15" customHeight="1">
      <c r="A81" s="1" t="n"/>
      <c r="B81" s="1" t="n"/>
      <c r="C81" s="5" t="n"/>
      <c r="D81" s="6" t="inlineStr">
        <is>
          <t>07</t>
        </is>
      </c>
      <c r="G81" s="7" t="inlineStr">
        <is>
          <t>INVESTIR — o ataque, e toda invocação tem</t>
        </is>
      </c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</row>
    <row r="82" ht="15" customHeight="1">
      <c r="A82" s="1" t="n"/>
      <c r="B82" s="1" t="n"/>
      <c r="C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</row>
    <row r="83" ht="15" customHeight="1">
      <c r="A83" s="1" t="n"/>
      <c r="B83" s="1" t="n"/>
      <c r="C83" s="5" t="n"/>
      <c r="D83" s="8" t="inlineStr">
        <is>
          <t>DANO DO INVESTIR</t>
        </is>
      </c>
      <c r="L83" s="5" t="n"/>
      <c r="M83" s="5" t="n"/>
      <c r="N83" s="8" t="inlineStr">
        <is>
          <t>POR CORPO</t>
        </is>
      </c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</row>
    <row r="84" ht="15" customHeight="1">
      <c r="A84" s="1" t="n"/>
      <c r="B84" s="1" t="n"/>
      <c r="C84" s="5" t="n"/>
      <c r="D84" s="22">
        <f>IF($D$7="","",VLOOKUP($D$7,DADOS!$Z$3:$AB$9,IF($AA$14="Matilha",3,2),TRUE))</f>
        <v/>
      </c>
      <c r="L84" s="5" t="n"/>
      <c r="M84" s="5" t="n"/>
      <c r="N84" s="32">
        <f>IF($AA$14="Matilha","cada um dos cinco rola isto",IF($AA$14="","","o corpo em campo rola isto"))</f>
        <v/>
      </c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</row>
    <row r="85" ht="15" customHeight="1">
      <c r="A85" s="1" t="n"/>
      <c r="B85" s="1" t="n"/>
      <c r="C85" s="5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</row>
    <row r="86" ht="15" customHeight="1">
      <c r="A86" s="1" t="n"/>
      <c r="B86" s="1" t="n"/>
      <c r="C86" s="5" t="n"/>
      <c r="D86" s="14" t="inlineStr">
        <is>
          <t>você e todas as suas invocações somados entregam uma Rotina. O número de dados sempre desce — a soma nunca passa do que você faria sozinho.</t>
        </is>
      </c>
    </row>
    <row r="87" ht="15" customHeight="1">
      <c r="A87" s="1" t="n"/>
      <c r="B87" s="1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6" t="inlineStr">
        <is>
          <t>08</t>
        </is>
      </c>
      <c r="G88" s="7" t="inlineStr">
        <is>
          <t>NA MESA — o que não muda</t>
        </is>
      </c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</row>
    <row r="90" ht="15" customHeight="1">
      <c r="A90" s="1" t="n"/>
      <c r="B90" s="1" t="n"/>
      <c r="C90" s="5" t="n"/>
      <c r="D90" s="33" t="inlineStr">
        <is>
          <t>invocar</t>
        </is>
      </c>
      <c r="M90" s="34">
        <f>("custa "&amp;$AM$7&amp;" PE e a Ação Padrão")</f>
        <v/>
      </c>
    </row>
    <row r="91" ht="15" customHeight="1">
      <c r="A91" s="1" t="n"/>
      <c r="B91" s="1" t="n"/>
      <c r="C91" s="5" t="n"/>
      <c r="D91" s="35" t="inlineStr">
        <is>
          <t>comandar</t>
        </is>
      </c>
      <c r="M91" s="36">
        <f>"a Ação Padrão, toda rodada"</f>
        <v/>
      </c>
    </row>
    <row r="92" ht="15" customHeight="1">
      <c r="A92" s="1" t="n"/>
      <c r="B92" s="1" t="n"/>
      <c r="C92" s="5" t="n"/>
      <c r="D92" s="33" t="inlineStr">
        <is>
          <t>iniciativa</t>
        </is>
      </c>
      <c r="M92" s="34">
        <f>"a sua, e ela age logo depois de você"</f>
        <v/>
      </c>
    </row>
    <row r="93">
      <c r="D93" s="35" t="inlineStr">
        <is>
          <t>deslocamento</t>
        </is>
      </c>
      <c r="M93" s="36">
        <f>(9&amp;" metros")</f>
        <v/>
      </c>
    </row>
    <row r="94">
      <c r="D94" s="33" t="inlineStr">
        <is>
          <t>amarra</t>
        </is>
      </c>
      <c r="M94" s="34">
        <f>(18&amp;" metros — além disso não pode ser comandada, e não some")</f>
        <v/>
      </c>
    </row>
    <row r="96">
      <c r="D96" s="37" t="inlineStr">
        <is>
          <t>09</t>
        </is>
      </c>
      <c r="G96" s="38" t="inlineStr">
        <is>
          <t>O QUE ESTA FICHA NÃO CALCULA, E POR QUÊ</t>
        </is>
      </c>
    </row>
    <row r="97"/>
    <row r="98">
      <c r="D98" s="39" t="inlineStr">
        <is>
          <t>a CD dos efeitos dela</t>
        </is>
      </c>
      <c r="U98" s="40" t="n"/>
      <c r="V98" s="40" t="n"/>
      <c r="W98" s="40" t="n"/>
      <c r="X98" s="40" t="n"/>
      <c r="Y98" s="40" t="n"/>
      <c r="Z98" s="40" t="n"/>
      <c r="AA98" s="40" t="n"/>
      <c r="AB98" s="40" t="n"/>
      <c r="AC98" s="40" t="n"/>
      <c r="AD98" s="40" t="n"/>
      <c r="AE98" s="40" t="n"/>
      <c r="AF98" s="40" t="n"/>
      <c r="AG98" s="40" t="n"/>
      <c r="AH98" s="40" t="n"/>
      <c r="AI98" s="40" t="n"/>
      <c r="AJ98" s="40" t="n"/>
      <c r="AK98" s="40" t="n"/>
      <c r="AL98" s="40" t="n"/>
      <c r="AM98" s="40" t="n"/>
      <c r="AN98" s="40" t="n"/>
      <c r="AO98" s="40" t="n"/>
      <c r="AP98" s="40" t="n"/>
      <c r="AQ98" s="40" t="n"/>
      <c r="AR98" s="40" t="n"/>
      <c r="AS98" s="40" t="n"/>
      <c r="AT98" s="40" t="n"/>
    </row>
    <row r="99">
      <c r="D99" s="41">
        <f>IF($AI$14="Voz","a Voz manda subir a CD dela, e a invocação não tem fórmula de CD em documento nenhum — combine com o mestre","")</f>
        <v/>
      </c>
    </row>
    <row r="100">
      <c r="D100" s="42" t="inlineStr">
        <is>
          <t>A invocação não tem fórmula de CD em documento nenhum — nem o capítulo 16, nem a peça 15 escrevem uma. Esta rota soma num número que o sistema ainda não produz, então combine com o mestre em vez de chutar.</t>
        </is>
      </c>
    </row>
    <row r="101"/>
  </sheetData>
  <mergeCells count="162">
    <mergeCell ref="AI39:AM39"/>
    <mergeCell ref="D58:F59"/>
    <mergeCell ref="AI13:AS13"/>
    <mergeCell ref="D19:F20"/>
    <mergeCell ref="Q68:U68"/>
    <mergeCell ref="D68:P68"/>
    <mergeCell ref="AN47:AS47"/>
    <mergeCell ref="M52:T52"/>
    <mergeCell ref="AF21:AK21"/>
    <mergeCell ref="AM33:AS33"/>
    <mergeCell ref="D67:P67"/>
    <mergeCell ref="Y6:AD6"/>
    <mergeCell ref="Q72:U72"/>
    <mergeCell ref="D1:AD2"/>
    <mergeCell ref="D69:P69"/>
    <mergeCell ref="A8:B26"/>
    <mergeCell ref="K7:P7"/>
    <mergeCell ref="G4:AD4"/>
    <mergeCell ref="D33:L33"/>
    <mergeCell ref="D64:U64"/>
    <mergeCell ref="D45:F46"/>
    <mergeCell ref="Z66:AL66"/>
    <mergeCell ref="D26:L26"/>
    <mergeCell ref="N26:V26"/>
    <mergeCell ref="D76:J76"/>
    <mergeCell ref="Q65:U65"/>
    <mergeCell ref="Q70:U70"/>
    <mergeCell ref="AM65:AQ65"/>
    <mergeCell ref="D70:P70"/>
    <mergeCell ref="D83:K83"/>
    <mergeCell ref="D90:L90"/>
    <mergeCell ref="N25:V25"/>
    <mergeCell ref="D75:J75"/>
    <mergeCell ref="D47:J47"/>
    <mergeCell ref="D86:AT86"/>
    <mergeCell ref="D6:I6"/>
    <mergeCell ref="Q66:U66"/>
    <mergeCell ref="D36:L36"/>
    <mergeCell ref="D72:P72"/>
    <mergeCell ref="AF22:AK23"/>
    <mergeCell ref="D21:I21"/>
    <mergeCell ref="N36:U36"/>
    <mergeCell ref="L76:R76"/>
    <mergeCell ref="M90:AT90"/>
    <mergeCell ref="R6:W6"/>
    <mergeCell ref="D71:P71"/>
    <mergeCell ref="AM7:AS7"/>
    <mergeCell ref="D84:K84"/>
    <mergeCell ref="V52:AC52"/>
    <mergeCell ref="R21:W21"/>
    <mergeCell ref="D7:I7"/>
    <mergeCell ref="D73:P73"/>
    <mergeCell ref="O39:S39"/>
    <mergeCell ref="N37:U37"/>
    <mergeCell ref="M91:AT91"/>
    <mergeCell ref="D37:L37"/>
    <mergeCell ref="Q67:U67"/>
    <mergeCell ref="L48:R48"/>
    <mergeCell ref="Z65:AL65"/>
    <mergeCell ref="AF32:AK32"/>
    <mergeCell ref="AM67:AQ67"/>
    <mergeCell ref="M93:AT93"/>
    <mergeCell ref="AE51:AT51"/>
    <mergeCell ref="G45:AD45"/>
    <mergeCell ref="D79:AT79"/>
    <mergeCell ref="D11:F12"/>
    <mergeCell ref="T75:AT75"/>
    <mergeCell ref="Q69:U69"/>
    <mergeCell ref="AF7:AK7"/>
    <mergeCell ref="D35:AT35"/>
    <mergeCell ref="L47:R47"/>
    <mergeCell ref="M92:AT92"/>
    <mergeCell ref="AM69:AQ69"/>
    <mergeCell ref="V51:AC51"/>
    <mergeCell ref="D14:O14"/>
    <mergeCell ref="D99:AT99"/>
    <mergeCell ref="T48:AE48"/>
    <mergeCell ref="AF33:AK33"/>
    <mergeCell ref="G19:AH19"/>
    <mergeCell ref="D51:K51"/>
    <mergeCell ref="K21:P21"/>
    <mergeCell ref="R22:W23"/>
    <mergeCell ref="T76:AT77"/>
    <mergeCell ref="Y21:AD21"/>
    <mergeCell ref="Z67:AL67"/>
    <mergeCell ref="Q14:Y14"/>
    <mergeCell ref="X39:AH39"/>
    <mergeCell ref="D30:F31"/>
    <mergeCell ref="D100:AT101"/>
    <mergeCell ref="Q71:U71"/>
    <mergeCell ref="D88:F89"/>
    <mergeCell ref="D28:AT28"/>
    <mergeCell ref="Z69:AL69"/>
    <mergeCell ref="G81:AF81"/>
    <mergeCell ref="D91:L91"/>
    <mergeCell ref="AM66:AQ66"/>
    <mergeCell ref="Y7:AD7"/>
    <mergeCell ref="AA14:AG14"/>
    <mergeCell ref="D9:AT9"/>
    <mergeCell ref="D81:F82"/>
    <mergeCell ref="Q73:U73"/>
    <mergeCell ref="M51:T51"/>
    <mergeCell ref="AM32:AS32"/>
    <mergeCell ref="D93:L93"/>
    <mergeCell ref="G30:AJ30"/>
    <mergeCell ref="AM68:AQ68"/>
    <mergeCell ref="D25:L25"/>
    <mergeCell ref="AN48:AS48"/>
    <mergeCell ref="D92:L92"/>
    <mergeCell ref="X26:AR26"/>
    <mergeCell ref="D65:P65"/>
    <mergeCell ref="K6:P6"/>
    <mergeCell ref="D16:AT17"/>
    <mergeCell ref="X25:AR25"/>
    <mergeCell ref="K22:P23"/>
    <mergeCell ref="D94:L94"/>
    <mergeCell ref="Y22:AD23"/>
    <mergeCell ref="N84:AD84"/>
    <mergeCell ref="N32:S32"/>
    <mergeCell ref="D39:N39"/>
    <mergeCell ref="G96:AJ96"/>
    <mergeCell ref="M94:AT94"/>
    <mergeCell ref="D66:P66"/>
    <mergeCell ref="D98:T98"/>
    <mergeCell ref="A30:B48"/>
    <mergeCell ref="Z68:AL68"/>
    <mergeCell ref="R7:W7"/>
    <mergeCell ref="U33:AD33"/>
    <mergeCell ref="D13:O13"/>
    <mergeCell ref="N33:S33"/>
    <mergeCell ref="D32:L32"/>
    <mergeCell ref="D43:AT43"/>
    <mergeCell ref="AF6:AK6"/>
    <mergeCell ref="AM6:AS6"/>
    <mergeCell ref="AG48:AL48"/>
    <mergeCell ref="AE52:AT53"/>
    <mergeCell ref="D52:K52"/>
    <mergeCell ref="Z64:AQ64"/>
    <mergeCell ref="D22:I23"/>
    <mergeCell ref="AG47:AL47"/>
    <mergeCell ref="D60:J60"/>
    <mergeCell ref="D96:F97"/>
    <mergeCell ref="G58:AJ58"/>
    <mergeCell ref="O41:S41"/>
    <mergeCell ref="D41:N41"/>
    <mergeCell ref="AI41:AM41"/>
    <mergeCell ref="AA13:AG13"/>
    <mergeCell ref="G88:AD88"/>
    <mergeCell ref="AM70:AQ70"/>
    <mergeCell ref="L75:R75"/>
    <mergeCell ref="Z70:AL70"/>
    <mergeCell ref="D4:F5"/>
    <mergeCell ref="Q13:Y13"/>
    <mergeCell ref="X41:AH41"/>
    <mergeCell ref="D61:J61"/>
    <mergeCell ref="U32:AD32"/>
    <mergeCell ref="D48:J48"/>
    <mergeCell ref="D55:AT56"/>
    <mergeCell ref="G11:AD11"/>
    <mergeCell ref="AF1:AT2"/>
    <mergeCell ref="AI14:AS14"/>
    <mergeCell ref="N83:X83"/>
  </mergeCells>
  <dataValidations count="22">
    <dataValidation sqref="Q14" showDropDown="0" showInputMessage="0" showErrorMessage="0" allowBlank="1" type="list">
      <formula1>DADOS!$A$2:$A$5</formula1>
    </dataValidation>
    <dataValidation sqref="AA14" showDropDown="0" showInputMessage="0" showErrorMessage="0" allowBlank="1" type="list">
      <formula1>DADOS!$B$2:$B$4</formula1>
    </dataValidation>
    <dataValidation sqref="AI14" showDropDown="0" showInputMessage="0" showErrorMessage="0" allowBlank="1" type="list">
      <formula1>DADOS!$E$2:$E$5</formula1>
    </dataValidation>
    <dataValidation sqref="D33" showDropDown="0" showInputMessage="0" showErrorMessage="0" allowBlank="1" type="list">
      <formula1>DADOS!$C$2:$C$6</formula1>
    </dataValidation>
    <dataValidation sqref="U33" showDropDown="0" showInputMessage="0" showErrorMessage="0" allowBlank="1" type="list">
      <formula1>DADOS!$F$2:$F$3</formula1>
    </dataValidation>
    <dataValidation sqref="D37" showDropDown="0" showInputMessage="0" showErrorMessage="0" allowBlank="1" type="list">
      <formula1>DADOS!$D$2:$D$5</formula1>
    </dataValidation>
    <dataValidation sqref="N37" showDropDown="0" showInputMessage="0" showErrorMessage="0" allowBlank="1" type="list">
      <formula1>DADOS!$G$2:$G$3</formula1>
    </dataValidation>
    <dataValidation sqref="D65" showDropDown="0" showInputMessage="0" showErrorMessage="0" allowBlank="1" type="list">
      <formula1>DADOS!$H$2:$H$15</formula1>
    </dataValidation>
    <dataValidation sqref="D66" showDropDown="0" showInputMessage="0" showErrorMessage="0" allowBlank="1" type="list">
      <formula1>DADOS!$H$2:$H$15</formula1>
    </dataValidation>
    <dataValidation sqref="D67" showDropDown="0" showInputMessage="0" showErrorMessage="0" allowBlank="1" type="list">
      <formula1>DADOS!$H$2:$H$15</formula1>
    </dataValidation>
    <dataValidation sqref="D68" showDropDown="0" showInputMessage="0" showErrorMessage="0" allowBlank="1" type="list">
      <formula1>DADOS!$H$2:$H$15</formula1>
    </dataValidation>
    <dataValidation sqref="D69" showDropDown="0" showInputMessage="0" showErrorMessage="0" allowBlank="1" type="list">
      <formula1>DADOS!$H$2:$H$15</formula1>
    </dataValidation>
    <dataValidation sqref="D70" showDropDown="0" showInputMessage="0" showErrorMessage="0" allowBlank="1" type="list">
      <formula1>DADOS!$H$2:$H$15</formula1>
    </dataValidation>
    <dataValidation sqref="D71" showDropDown="0" showInputMessage="0" showErrorMessage="0" allowBlank="1" type="list">
      <formula1>DADOS!$H$2:$H$15</formula1>
    </dataValidation>
    <dataValidation sqref="D72" showDropDown="0" showInputMessage="0" showErrorMessage="0" allowBlank="1" type="list">
      <formula1>DADOS!$H$2:$H$15</formula1>
    </dataValidation>
    <dataValidation sqref="D73" showDropDown="0" showInputMessage="0" showErrorMessage="0" allowBlank="1" type="list">
      <formula1>DADOS!$H$2:$H$15</formula1>
    </dataValidation>
    <dataValidation sqref="Z65" showDropDown="0" showInputMessage="0" showErrorMessage="0" allowBlank="1" type="list">
      <formula1>DADOS!$I$2:$I$9</formula1>
    </dataValidation>
    <dataValidation sqref="Z66" showDropDown="0" showInputMessage="0" showErrorMessage="0" allowBlank="1" type="list">
      <formula1>DADOS!$I$2:$I$9</formula1>
    </dataValidation>
    <dataValidation sqref="Z67" showDropDown="0" showInputMessage="0" showErrorMessage="0" allowBlank="1" type="list">
      <formula1>DADOS!$I$2:$I$9</formula1>
    </dataValidation>
    <dataValidation sqref="Z68" showDropDown="0" showInputMessage="0" showErrorMessage="0" allowBlank="1" type="list">
      <formula1>DADOS!$I$2:$I$9</formula1>
    </dataValidation>
    <dataValidation sqref="Z69" showDropDown="0" showInputMessage="0" showErrorMessage="0" allowBlank="1" type="list">
      <formula1>DADOS!$I$2:$I$9</formula1>
    </dataValidation>
    <dataValidation sqref="Z70" showDropDown="0" showInputMessage="0" showErrorMessage="0" allowBlank="1" type="list">
      <formula1>DADOS!$I$2:$I$9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</cols>
  <sheetData>
    <row r="1">
      <c r="A1" s="43" t="inlineStr">
        <is>
          <t>tipos</t>
        </is>
      </c>
      <c r="B1" s="43" t="inlineStr">
        <is>
          <t>trilhas</t>
        </is>
      </c>
      <c r="C1" s="43" t="inlineStr">
        <is>
          <t>atributos</t>
        </is>
      </c>
      <c r="D1" s="43" t="inlineStr">
        <is>
          <t>trs</t>
        </is>
      </c>
      <c r="E1" s="43" t="inlineStr">
        <is>
          <t>sintonia</t>
        </is>
      </c>
      <c r="F1" s="43" t="inlineStr">
        <is>
          <t>defesa_de</t>
        </is>
      </c>
      <c r="G1" s="43" t="inlineStr">
        <is>
          <t>fisico_de</t>
        </is>
      </c>
      <c r="H1" s="43" t="inlineStr">
        <is>
          <t>traco</t>
        </is>
      </c>
      <c r="I1" s="43" t="inlineStr">
        <is>
          <t>comando</t>
        </is>
      </c>
      <c r="J1" s="5" t="n"/>
      <c r="K1" s="43" t="inlineStr">
        <is>
          <t>tab_tipos</t>
        </is>
      </c>
      <c r="L1" s="5" t="n"/>
      <c r="M1" s="5" t="n"/>
      <c r="N1" s="43" t="inlineStr">
        <is>
          <t>tab_trilhas</t>
        </is>
      </c>
      <c r="O1" s="5" t="n"/>
      <c r="P1" s="5" t="n"/>
      <c r="Q1" s="5" t="n"/>
      <c r="R1" s="5" t="n"/>
      <c r="S1" s="5" t="n"/>
      <c r="T1" s="43" t="inlineStr">
        <is>
          <t>tab_traco</t>
        </is>
      </c>
      <c r="U1" s="5" t="n"/>
      <c r="V1" s="5" t="n"/>
      <c r="W1" s="43" t="inlineStr">
        <is>
          <t>tab_comando</t>
        </is>
      </c>
      <c r="X1" s="5" t="n"/>
      <c r="Y1" s="5" t="n"/>
      <c r="Z1" s="43" t="inlineStr">
        <is>
          <t>tab_investir</t>
        </is>
      </c>
      <c r="AA1" s="5" t="n"/>
      <c r="AB1" s="5" t="n"/>
      <c r="AC1" s="5" t="n"/>
      <c r="AD1" s="43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</row>
    <row r="2">
      <c r="A2" s="23" t="inlineStr">
        <is>
          <t>talismã</t>
        </is>
      </c>
      <c r="B2" s="23" t="inlineStr">
        <is>
          <t>Servo</t>
        </is>
      </c>
      <c r="C2" s="23" t="inlineStr">
        <is>
          <t>Força</t>
        </is>
      </c>
      <c r="D2" s="23" t="inlineStr">
        <is>
          <t>Físico</t>
        </is>
      </c>
      <c r="E2" s="23" t="inlineStr">
        <is>
          <t>—</t>
        </is>
      </c>
      <c r="F2" s="23" t="inlineStr">
        <is>
          <t>Essência</t>
        </is>
      </c>
      <c r="G2" s="23" t="inlineStr">
        <is>
          <t>Força</t>
        </is>
      </c>
      <c r="H2" s="23" t="inlineStr">
        <is>
          <t>—</t>
        </is>
      </c>
      <c r="I2" s="23" t="inlineStr">
        <is>
          <t>—</t>
        </is>
      </c>
      <c r="J2" s="5" t="n"/>
      <c r="K2" s="44" t="inlineStr">
        <is>
          <t>tipo</t>
        </is>
      </c>
      <c r="L2" s="44" t="inlineStr">
        <is>
          <t>base</t>
        </is>
      </c>
      <c r="M2" s="5" t="n"/>
      <c r="N2" s="44" t="inlineStr">
        <is>
          <t>trilha</t>
        </is>
      </c>
      <c r="O2" s="44" t="inlineStr">
        <is>
          <t>corpos</t>
        </is>
      </c>
      <c r="P2" s="44" t="inlineStr">
        <is>
          <t>mult</t>
        </is>
      </c>
      <c r="Q2" s="44" t="inlineStr">
        <is>
          <t>corpo</t>
        </is>
      </c>
      <c r="R2" s="44" t="inlineStr">
        <is>
          <t>area</t>
        </is>
      </c>
      <c r="S2" s="5" t="n"/>
      <c r="T2" s="44" t="inlineStr">
        <is>
          <t>traço</t>
        </is>
      </c>
      <c r="U2" s="44" t="inlineStr">
        <is>
          <t>pontos</t>
        </is>
      </c>
      <c r="V2" s="5" t="n"/>
      <c r="W2" s="44" t="inlineStr">
        <is>
          <t>comando</t>
        </is>
      </c>
      <c r="X2" s="44" t="inlineStr">
        <is>
          <t>pontos</t>
        </is>
      </c>
      <c r="Y2" s="5" t="n"/>
      <c r="Z2" s="44" t="inlineStr">
        <is>
          <t>de</t>
        </is>
      </c>
      <c r="AA2" s="44" t="inlineStr">
        <is>
          <t>uma</t>
        </is>
      </c>
      <c r="AB2" s="44" t="inlineStr">
        <is>
          <t>matilha</t>
        </is>
      </c>
      <c r="AC2" s="5" t="n"/>
      <c r="AD2" s="44" t="inlineStr">
        <is>
          <t>tr</t>
        </is>
      </c>
      <c r="AE2" s="44" t="inlineStr">
        <is>
          <t>atributo</t>
        </is>
      </c>
      <c r="AF2" s="5" t="n"/>
      <c r="AG2" s="44" t="inlineStr">
        <is>
          <t>e_marcos</t>
        </is>
      </c>
      <c r="AH2" s="44" t="inlineStr">
        <is>
          <t>e_maestria</t>
        </is>
      </c>
      <c r="AI2" s="44" t="inlineStr">
        <is>
          <t>e_classe</t>
        </is>
      </c>
      <c r="AJ2" s="5" t="n"/>
      <c r="AK2" s="44" t="inlineStr">
        <is>
          <t>espelho</t>
        </is>
      </c>
      <c r="AL2" s="5" t="n"/>
      <c r="AM2" s="44" t="inlineStr">
        <is>
          <t>campo</t>
        </is>
      </c>
      <c r="AN2" s="45" t="inlineStr">
        <is>
          <t>célula</t>
        </is>
      </c>
    </row>
    <row r="3">
      <c r="A3" s="23" t="inlineStr">
        <is>
          <t>corpo amaldiçoado</t>
        </is>
      </c>
      <c r="B3" s="23" t="inlineStr">
        <is>
          <t>Matilha</t>
        </is>
      </c>
      <c r="C3" s="23" t="inlineStr">
        <is>
          <t>Destreza</t>
        </is>
      </c>
      <c r="D3" s="23" t="inlineStr">
        <is>
          <t>Vigor</t>
        </is>
      </c>
      <c r="E3" s="23" t="inlineStr">
        <is>
          <t>Presa</t>
        </is>
      </c>
      <c r="F3" s="23" t="inlineStr">
        <is>
          <t>Inteligência</t>
        </is>
      </c>
      <c r="G3" s="23" t="inlineStr">
        <is>
          <t>Destreza</t>
        </is>
      </c>
      <c r="H3" s="23" t="inlineStr">
        <is>
          <t>Escalada</t>
        </is>
      </c>
      <c r="I3" s="23" t="inlineStr">
        <is>
          <t>Investir</t>
        </is>
      </c>
      <c r="J3" s="5" t="n"/>
      <c r="K3" s="23" t="inlineStr">
        <is>
          <t>talismã</t>
        </is>
      </c>
      <c r="L3" s="23" t="n">
        <v>1</v>
      </c>
      <c r="M3" s="5" t="n"/>
      <c r="N3" s="23" t="inlineStr">
        <is>
          <t>Servo</t>
        </is>
      </c>
      <c r="O3" s="23" t="n">
        <v>1</v>
      </c>
      <c r="P3" s="23" t="n">
        <v>1.5</v>
      </c>
      <c r="Q3" s="23" t="inlineStr">
        <is>
          <t>forte</t>
        </is>
      </c>
      <c r="R3" s="23" t="n">
        <v>1</v>
      </c>
      <c r="S3" s="5" t="n"/>
      <c r="T3" s="23" t="inlineStr">
        <is>
          <t>—</t>
        </is>
      </c>
      <c r="U3" s="23" t="n">
        <v>0</v>
      </c>
      <c r="V3" s="5" t="n"/>
      <c r="W3" s="23" t="inlineStr">
        <is>
          <t>—</t>
        </is>
      </c>
      <c r="X3" s="23" t="n">
        <v>0</v>
      </c>
      <c r="Y3" s="5" t="n"/>
      <c r="Z3" s="23" t="n">
        <v>2</v>
      </c>
      <c r="AA3" s="23" t="inlineStr">
        <is>
          <t>1d6</t>
        </is>
      </c>
      <c r="AB3" s="23" t="inlineStr">
        <is>
          <t>2</t>
        </is>
      </c>
      <c r="AC3" s="5" t="n"/>
      <c r="AD3" s="23" t="inlineStr">
        <is>
          <t>Físico</t>
        </is>
      </c>
      <c r="AE3" s="23" t="inlineStr">
        <is>
          <t>Força</t>
        </is>
      </c>
      <c r="AF3" s="5" t="n"/>
      <c r="AG3" s="23" t="n">
        <v>6</v>
      </c>
      <c r="AH3" s="23" t="n">
        <v>10</v>
      </c>
      <c r="AI3" s="23" t="n">
        <v>1</v>
      </c>
      <c r="AJ3" s="5" t="n"/>
      <c r="AK3" s="23">
        <f>INVOCAÇÃO!$D$22</f>
        <v/>
      </c>
      <c r="AL3" s="5" t="n"/>
      <c r="AM3" s="23" t="inlineStr">
        <is>
          <t>nivel</t>
        </is>
      </c>
      <c r="AN3" s="46" t="inlineStr">
        <is>
          <t>D7</t>
        </is>
      </c>
    </row>
    <row r="4">
      <c r="A4" s="23" t="inlineStr">
        <is>
          <t>técnica</t>
        </is>
      </c>
      <c r="B4" s="23" t="inlineStr">
        <is>
          <t>Coro</t>
        </is>
      </c>
      <c r="C4" s="23" t="inlineStr">
        <is>
          <t>Constituição</t>
        </is>
      </c>
      <c r="D4" s="23" t="inlineStr">
        <is>
          <t>Intelecto</t>
        </is>
      </c>
      <c r="E4" s="23" t="inlineStr">
        <is>
          <t>Parrudo</t>
        </is>
      </c>
      <c r="F4" s="5" t="n"/>
      <c r="G4" s="5" t="n"/>
      <c r="H4" s="23" t="inlineStr">
        <is>
          <t>Nado</t>
        </is>
      </c>
      <c r="I4" s="23" t="inlineStr">
        <is>
          <t>Agarrar</t>
        </is>
      </c>
      <c r="J4" s="5" t="n"/>
      <c r="K4" s="23" t="inlineStr">
        <is>
          <t>corpo amaldiçoado</t>
        </is>
      </c>
      <c r="L4" s="23" t="n">
        <v>1</v>
      </c>
      <c r="M4" s="5" t="n"/>
      <c r="N4" s="23" t="inlineStr">
        <is>
          <t>Matilha</t>
        </is>
      </c>
      <c r="O4" s="23" t="n">
        <v>5</v>
      </c>
      <c r="P4" s="23" t="n">
        <v>1</v>
      </c>
      <c r="Q4" s="23" t="inlineStr">
        <is>
          <t>forte</t>
        </is>
      </c>
      <c r="R4" s="23" t="n">
        <v>1.5</v>
      </c>
      <c r="S4" s="5" t="n"/>
      <c r="T4" s="23" t="inlineStr">
        <is>
          <t>Escalada</t>
        </is>
      </c>
      <c r="U4" s="23" t="n">
        <v>2</v>
      </c>
      <c r="V4" s="5" t="n"/>
      <c r="W4" s="23" t="inlineStr">
        <is>
          <t>Investir</t>
        </is>
      </c>
      <c r="X4" s="23" t="n">
        <v>0</v>
      </c>
      <c r="Y4" s="5" t="n"/>
      <c r="Z4" s="23" t="n">
        <v>5</v>
      </c>
      <c r="AA4" s="23" t="inlineStr">
        <is>
          <t>4d6</t>
        </is>
      </c>
      <c r="AB4" s="23" t="inlineStr">
        <is>
          <t>1d6</t>
        </is>
      </c>
      <c r="AC4" s="5" t="n"/>
      <c r="AD4" s="23" t="inlineStr">
        <is>
          <t>Vigor</t>
        </is>
      </c>
      <c r="AE4" s="23" t="inlineStr">
        <is>
          <t>Constituição</t>
        </is>
      </c>
      <c r="AF4" s="5" t="n"/>
      <c r="AG4" s="23" t="n">
        <v>10</v>
      </c>
      <c r="AH4" s="23" t="n">
        <v>18</v>
      </c>
      <c r="AI4" s="23" t="n">
        <v>5</v>
      </c>
      <c r="AJ4" s="5" t="n"/>
      <c r="AK4" s="23">
        <f>INVOCAÇÃO!$K$22</f>
        <v/>
      </c>
      <c r="AL4" s="5" t="n"/>
      <c r="AM4" s="23" t="inlineStr">
        <is>
          <t>ess_dono</t>
        </is>
      </c>
      <c r="AN4" s="46" t="inlineStr">
        <is>
          <t>K7</t>
        </is>
      </c>
    </row>
    <row r="5">
      <c r="A5" s="23" t="inlineStr">
        <is>
          <t>maldição domada</t>
        </is>
      </c>
      <c r="B5" s="5" t="n"/>
      <c r="C5" s="23" t="inlineStr">
        <is>
          <t>Inteligência</t>
        </is>
      </c>
      <c r="D5" s="23" t="inlineStr">
        <is>
          <t>Espírito</t>
        </is>
      </c>
      <c r="E5" s="23" t="inlineStr">
        <is>
          <t>Voz</t>
        </is>
      </c>
      <c r="F5" s="5" t="n"/>
      <c r="G5" s="5" t="n"/>
      <c r="H5" s="23" t="inlineStr">
        <is>
          <t>Fala</t>
        </is>
      </c>
      <c r="I5" s="23" t="inlineStr">
        <is>
          <t>Arrastar</t>
        </is>
      </c>
      <c r="J5" s="5" t="n"/>
      <c r="K5" s="23" t="inlineStr">
        <is>
          <t>técnica</t>
        </is>
      </c>
      <c r="L5" s="23" t="n">
        <v>2</v>
      </c>
      <c r="M5" s="5" t="n"/>
      <c r="N5" s="23" t="inlineStr">
        <is>
          <t>Coro</t>
        </is>
      </c>
      <c r="O5" s="23" t="n">
        <v>1</v>
      </c>
      <c r="P5" s="23" t="n">
        <v>1</v>
      </c>
      <c r="Q5" s="23" t="inlineStr">
        <is>
          <t>cru</t>
        </is>
      </c>
      <c r="R5" s="23" t="n">
        <v>1</v>
      </c>
      <c r="S5" s="5" t="n"/>
      <c r="T5" s="23" t="inlineStr">
        <is>
          <t>Nado</t>
        </is>
      </c>
      <c r="U5" s="23" t="n">
        <v>2</v>
      </c>
      <c r="V5" s="5" t="n"/>
      <c r="W5" s="23" t="inlineStr">
        <is>
          <t>Agarrar</t>
        </is>
      </c>
      <c r="X5" s="23" t="n">
        <v>4</v>
      </c>
      <c r="Y5" s="5" t="n"/>
      <c r="Z5" s="23" t="n">
        <v>9</v>
      </c>
      <c r="AA5" s="23" t="inlineStr">
        <is>
          <t>6d6</t>
        </is>
      </c>
      <c r="AB5" s="23" t="inlineStr">
        <is>
          <t>2d6</t>
        </is>
      </c>
      <c r="AC5" s="5" t="n"/>
      <c r="AD5" s="23" t="inlineStr">
        <is>
          <t>Intelecto</t>
        </is>
      </c>
      <c r="AE5" s="23" t="inlineStr">
        <is>
          <t>Inteligência</t>
        </is>
      </c>
      <c r="AF5" s="5" t="n"/>
      <c r="AG5" s="23" t="n">
        <v>14</v>
      </c>
      <c r="AH5" s="23" t="n">
        <v>26</v>
      </c>
      <c r="AI5" s="23" t="n">
        <v>9</v>
      </c>
      <c r="AJ5" s="5" t="n"/>
      <c r="AK5" s="23">
        <f>INVOCAÇÃO!$R$22</f>
        <v/>
      </c>
      <c r="AL5" s="5" t="n"/>
      <c r="AM5" s="23" t="inlineStr">
        <is>
          <t>int_dono</t>
        </is>
      </c>
      <c r="AN5" s="46" t="inlineStr">
        <is>
          <t>R7</t>
        </is>
      </c>
    </row>
    <row r="6">
      <c r="A6" s="5" t="n"/>
      <c r="B6" s="5" t="n"/>
      <c r="C6" s="23" t="inlineStr">
        <is>
          <t>Essência</t>
        </is>
      </c>
      <c r="D6" s="5" t="n"/>
      <c r="E6" s="5" t="n"/>
      <c r="F6" s="5" t="n"/>
      <c r="G6" s="5" t="n"/>
      <c r="H6" s="23" t="inlineStr">
        <is>
          <t>Faro</t>
        </is>
      </c>
      <c r="I6" s="23" t="inlineStr">
        <is>
          <t>Buscar</t>
        </is>
      </c>
      <c r="J6" s="5" t="n"/>
      <c r="K6" s="23" t="inlineStr">
        <is>
          <t>maldição domada</t>
        </is>
      </c>
      <c r="L6" s="23" t="n">
        <v>3</v>
      </c>
      <c r="M6" s="5" t="n"/>
      <c r="N6" s="5" t="n"/>
      <c r="O6" s="5" t="n"/>
      <c r="P6" s="5" t="n"/>
      <c r="Q6" s="5" t="n"/>
      <c r="R6" s="5" t="n"/>
      <c r="S6" s="5" t="n"/>
      <c r="T6" s="23" t="inlineStr">
        <is>
          <t>Fala</t>
        </is>
      </c>
      <c r="U6" s="23" t="n">
        <v>3</v>
      </c>
      <c r="V6" s="5" t="n"/>
      <c r="W6" s="23" t="inlineStr">
        <is>
          <t>Arrastar</t>
        </is>
      </c>
      <c r="X6" s="23" t="n">
        <v>4</v>
      </c>
      <c r="Y6" s="5" t="n"/>
      <c r="Z6" s="23" t="n">
        <v>13</v>
      </c>
      <c r="AA6" s="23" t="inlineStr">
        <is>
          <t>8d6</t>
        </is>
      </c>
      <c r="AB6" s="23" t="inlineStr">
        <is>
          <t>3d6</t>
        </is>
      </c>
      <c r="AC6" s="5" t="n"/>
      <c r="AD6" s="23" t="inlineStr">
        <is>
          <t>Espírito</t>
        </is>
      </c>
      <c r="AE6" s="23" t="inlineStr">
        <is>
          <t>Essência</t>
        </is>
      </c>
      <c r="AF6" s="5" t="n"/>
      <c r="AG6" s="23" t="n">
        <v>18</v>
      </c>
      <c r="AH6" s="5" t="n"/>
      <c r="AI6" s="23" t="n">
        <v>13</v>
      </c>
      <c r="AJ6" s="5" t="n"/>
      <c r="AK6" s="23">
        <f>INVOCAÇÃO!$Y$22</f>
        <v/>
      </c>
      <c r="AL6" s="5" t="n"/>
      <c r="AM6" s="23" t="inlineStr">
        <is>
          <t>maestria</t>
        </is>
      </c>
      <c r="AN6" s="46" t="inlineStr">
        <is>
          <t>Y7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23" t="inlineStr">
        <is>
          <t>Vigia</t>
        </is>
      </c>
      <c r="I7" s="23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23" t="inlineStr">
        <is>
          <t>Faro</t>
        </is>
      </c>
      <c r="U7" s="23" t="n">
        <v>5</v>
      </c>
      <c r="V7" s="5" t="n"/>
      <c r="W7" s="23" t="inlineStr">
        <is>
          <t>Buscar</t>
        </is>
      </c>
      <c r="X7" s="23" t="n">
        <v>4</v>
      </c>
      <c r="Y7" s="5" t="n"/>
      <c r="Z7" s="23" t="n">
        <v>17</v>
      </c>
      <c r="AA7" s="23" t="inlineStr">
        <is>
          <t>10d6</t>
        </is>
      </c>
      <c r="AB7" s="23" t="inlineStr">
        <is>
          <t>4d6</t>
        </is>
      </c>
      <c r="AC7" s="5" t="n"/>
      <c r="AD7" s="5" t="n"/>
      <c r="AE7" s="5" t="n"/>
      <c r="AF7" s="5" t="n"/>
      <c r="AG7" s="23" t="n">
        <v>22</v>
      </c>
      <c r="AH7" s="5" t="n"/>
      <c r="AI7" s="23" t="n">
        <v>17</v>
      </c>
      <c r="AJ7" s="5" t="n"/>
      <c r="AK7" s="23">
        <f>INVOCAÇÃO!$AF$22</f>
        <v/>
      </c>
      <c r="AL7" s="5" t="n"/>
      <c r="AM7" s="23" t="inlineStr">
        <is>
          <t>marcos</t>
        </is>
      </c>
      <c r="AN7" s="46" t="inlineStr">
        <is>
          <t>AF7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23" t="inlineStr">
        <is>
          <t>Miúdo</t>
        </is>
      </c>
      <c r="I8" s="23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23" t="inlineStr">
        <is>
          <t>Vigia</t>
        </is>
      </c>
      <c r="U8" s="23" t="n">
        <v>5</v>
      </c>
      <c r="V8" s="5" t="n"/>
      <c r="W8" s="23" t="inlineStr">
        <is>
          <t>Cavar</t>
        </is>
      </c>
      <c r="X8" s="23" t="n">
        <v>4</v>
      </c>
      <c r="Y8" s="5" t="n"/>
      <c r="Z8" s="23" t="n">
        <v>21</v>
      </c>
      <c r="AA8" s="23" t="inlineStr">
        <is>
          <t>13d6</t>
        </is>
      </c>
      <c r="AB8" s="23" t="inlineStr">
        <is>
          <t>5d6</t>
        </is>
      </c>
      <c r="AC8" s="5" t="n"/>
      <c r="AD8" s="5" t="n"/>
      <c r="AE8" s="5" t="n"/>
      <c r="AF8" s="5" t="n"/>
      <c r="AG8" s="23" t="n">
        <v>26</v>
      </c>
      <c r="AH8" s="5" t="n"/>
      <c r="AI8" s="23" t="n">
        <v>21</v>
      </c>
      <c r="AJ8" s="5" t="n"/>
      <c r="AK8" s="5" t="n"/>
      <c r="AL8" s="5" t="n"/>
      <c r="AM8" s="23" t="inlineStr">
        <is>
          <t>classe</t>
        </is>
      </c>
      <c r="AN8" s="46" t="inlineStr">
        <is>
          <t>AM7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23" t="inlineStr">
        <is>
          <t>Voo</t>
        </is>
      </c>
      <c r="I9" s="23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23" t="inlineStr">
        <is>
          <t>Miúdo</t>
        </is>
      </c>
      <c r="U9" s="23" t="n">
        <v>7</v>
      </c>
      <c r="V9" s="5" t="n"/>
      <c r="W9" s="23" t="inlineStr">
        <is>
          <t>Interpor</t>
        </is>
      </c>
      <c r="X9" s="23" t="n">
        <v>8</v>
      </c>
      <c r="Y9" s="5" t="n"/>
      <c r="Z9" s="23" t="n">
        <v>26</v>
      </c>
      <c r="AA9" s="23" t="inlineStr">
        <is>
          <t>15d6</t>
        </is>
      </c>
      <c r="AB9" s="23" t="inlineStr">
        <is>
          <t>6d6</t>
        </is>
      </c>
      <c r="AC9" s="5" t="n"/>
      <c r="AD9" s="5" t="n"/>
      <c r="AE9" s="5" t="n"/>
      <c r="AF9" s="5" t="n"/>
      <c r="AG9" s="23" t="n">
        <v>30</v>
      </c>
      <c r="AH9" s="5" t="n"/>
      <c r="AI9" s="23" t="n">
        <v>26</v>
      </c>
      <c r="AJ9" s="5" t="n"/>
      <c r="AK9" s="5" t="n"/>
      <c r="AL9" s="5" t="n"/>
      <c r="AM9" s="23" t="inlineStr">
        <is>
          <t>nome</t>
        </is>
      </c>
      <c r="AN9" s="46" t="inlineStr">
        <is>
          <t>D14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23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23" t="inlineStr">
        <is>
          <t>Voo</t>
        </is>
      </c>
      <c r="U10" s="23" t="n">
        <v>8</v>
      </c>
      <c r="V10" s="5" t="n"/>
      <c r="W10" s="23" t="inlineStr">
        <is>
          <t>Chamariz</t>
        </is>
      </c>
      <c r="X10" s="23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23" t="inlineStr">
        <is>
          <t>tipo</t>
        </is>
      </c>
      <c r="AN10" s="46" t="inlineStr">
        <is>
          <t>Q14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23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23" t="inlineStr">
        <is>
          <t>Montaria</t>
        </is>
      </c>
      <c r="U11" s="23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23" t="inlineStr">
        <is>
          <t>trilha</t>
        </is>
      </c>
      <c r="AN11" s="46" t="inlineStr">
        <is>
          <t>AA14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23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23" t="inlineStr">
        <is>
          <t>Fisgada</t>
        </is>
      </c>
      <c r="U12" s="23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23" t="inlineStr">
        <is>
          <t>sintonia</t>
        </is>
      </c>
      <c r="AN12" s="46" t="inlineStr">
        <is>
          <t>AI14</t>
        </is>
      </c>
    </row>
    <row r="13">
      <c r="A13" s="5" t="n"/>
      <c r="B13" s="5" t="n"/>
      <c r="C13" s="5" t="n"/>
      <c r="D13" s="5" t="n"/>
      <c r="E13" s="5" t="n"/>
      <c r="F13" s="5" t="n"/>
      <c r="G13" s="5" t="n"/>
      <c r="H13" s="23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23" t="inlineStr">
        <is>
          <t>Emboscada</t>
        </is>
      </c>
      <c r="U13" s="23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23" t="inlineStr">
        <is>
          <t>pontos_atributo</t>
        </is>
      </c>
      <c r="AN13" s="46" t="inlineStr">
        <is>
          <t>D26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23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23" t="inlineStr">
        <is>
          <t>Jorro</t>
        </is>
      </c>
      <c r="U14" s="23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23" t="inlineStr">
        <is>
          <t>pontos_disp</t>
        </is>
      </c>
      <c r="AN14" s="46" t="inlineStr">
        <is>
          <t>N26</t>
        </is>
      </c>
    </row>
    <row r="15">
      <c r="A15" s="5" t="n"/>
      <c r="B15" s="5" t="n"/>
      <c r="C15" s="5" t="n"/>
      <c r="D15" s="5" t="n"/>
      <c r="E15" s="5" t="n"/>
      <c r="F15" s="5" t="n"/>
      <c r="G15" s="5" t="n"/>
      <c r="H15" s="23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23" t="inlineStr">
        <is>
          <t>Graúdo</t>
        </is>
      </c>
      <c r="U15" s="23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23" t="inlineStr">
        <is>
          <t>aviso_atributo</t>
        </is>
      </c>
      <c r="AN15" s="46" t="inlineStr">
        <is>
          <t>X26</t>
        </is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23" t="inlineStr">
        <is>
          <t>Remoto</t>
        </is>
      </c>
      <c r="U16" s="23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23" t="inlineStr">
        <is>
          <t>atr_acerto</t>
        </is>
      </c>
      <c r="AN16" s="46" t="inlineStr">
        <is>
          <t>D33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23" t="inlineStr">
        <is>
          <t>acerto</t>
        </is>
      </c>
      <c r="AN17" s="46" t="inlineStr">
        <is>
          <t>N33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23" t="inlineStr">
        <is>
          <t>defesa_de</t>
        </is>
      </c>
      <c r="AN18" s="46" t="inlineStr">
        <is>
          <t>U33</t>
        </is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23" t="inlineStr">
        <is>
          <t>defesa</t>
        </is>
      </c>
      <c r="AN19" s="46" t="inlineStr">
        <is>
          <t>AF33</t>
        </is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23" t="inlineStr">
        <is>
          <t>critico</t>
        </is>
      </c>
      <c r="AN20" s="46" t="inlineStr">
        <is>
          <t>AM33</t>
        </is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23" t="inlineStr">
        <is>
          <t>tr_treinado</t>
        </is>
      </c>
      <c r="AN21" s="46" t="inlineStr">
        <is>
          <t>D37</t>
        </is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23" t="inlineStr">
        <is>
          <t>fisico_de</t>
        </is>
      </c>
      <c r="AN22" s="46" t="inlineStr">
        <is>
          <t>N37</t>
        </is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23" t="inlineStr">
        <is>
          <t>vida_max</t>
        </is>
      </c>
      <c r="AN23" s="46" t="inlineStr">
        <is>
          <t>D48</t>
        </is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23" t="inlineStr">
        <is>
          <t>vida</t>
        </is>
      </c>
      <c r="AN24" s="46" t="inlineStr">
        <is>
          <t>L48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23" t="inlineStr">
        <is>
          <t>corpos</t>
        </is>
      </c>
      <c r="AN25" s="46" t="inlineStr">
        <is>
          <t>AG48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23" t="inlineStr">
        <is>
          <t>area</t>
        </is>
      </c>
      <c r="AN26" s="46" t="inlineStr">
        <is>
          <t>AN48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23" t="inlineStr">
        <is>
          <t>regua</t>
        </is>
      </c>
      <c r="AN27" s="46" t="inlineStr">
        <is>
          <t>D52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23" t="inlineStr">
        <is>
          <t>meia_regua</t>
        </is>
      </c>
      <c r="AN28" s="46" t="inlineStr">
        <is>
          <t>M52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23" t="inlineStr">
        <is>
          <t>volta_com</t>
        </is>
      </c>
      <c r="AN29" s="46" t="inlineStr">
        <is>
          <t>V52</t>
        </is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23" t="inlineStr">
        <is>
          <t>orcamento</t>
        </is>
      </c>
      <c r="AN30" s="46" t="inlineStr">
        <is>
          <t>D61</t>
        </is>
      </c>
    </row>
    <row r="31">
      <c r="AM31" s="46" t="inlineStr">
        <is>
          <t>gasto</t>
        </is>
      </c>
      <c r="AN31" s="46" t="inlineStr">
        <is>
          <t>D76</t>
        </is>
      </c>
    </row>
    <row r="32">
      <c r="AM32" s="46" t="inlineStr">
        <is>
          <t>sobra</t>
        </is>
      </c>
      <c r="AN32" s="46" t="inlineStr">
        <is>
          <t>L76</t>
        </is>
      </c>
    </row>
    <row r="33">
      <c r="AM33" s="46" t="inlineStr">
        <is>
          <t>investir</t>
        </is>
      </c>
      <c r="AN33" s="46" t="inlineStr">
        <is>
          <t>D84</t>
        </is>
      </c>
    </row>
    <row r="34">
      <c r="AM34" s="46" t="inlineStr">
        <is>
          <t>cd_pendente</t>
        </is>
      </c>
      <c r="AN34" s="46" t="inlineStr">
        <is>
          <t>D99</t>
        </is>
      </c>
    </row>
    <row r="35">
      <c r="AM35" s="46" t="inlineStr">
        <is>
          <t>atr_Força</t>
        </is>
      </c>
      <c r="AN35" s="46" t="inlineStr">
        <is>
          <t>D22</t>
        </is>
      </c>
    </row>
    <row r="36">
      <c r="AM36" s="46" t="inlineStr">
        <is>
          <t>atr_Destreza</t>
        </is>
      </c>
      <c r="AN36" s="46" t="inlineStr">
        <is>
          <t>K22</t>
        </is>
      </c>
    </row>
    <row r="37">
      <c r="AM37" s="46" t="inlineStr">
        <is>
          <t>atr_Constituição</t>
        </is>
      </c>
      <c r="AN37" s="46" t="inlineStr">
        <is>
          <t>R22</t>
        </is>
      </c>
    </row>
    <row r="38">
      <c r="AM38" s="46" t="inlineStr">
        <is>
          <t>atr_Inteligência</t>
        </is>
      </c>
      <c r="AN38" s="46" t="inlineStr">
        <is>
          <t>Y22</t>
        </is>
      </c>
    </row>
    <row r="39">
      <c r="AM39" s="46" t="inlineStr">
        <is>
          <t>atr_Essência</t>
        </is>
      </c>
      <c r="AN39" s="46" t="inlineStr">
        <is>
          <t>AF22</t>
        </is>
      </c>
    </row>
    <row r="40">
      <c r="AM40" s="46" t="inlineStr">
        <is>
          <t>slot_pontos_1</t>
        </is>
      </c>
      <c r="AN40" s="46" t="inlineStr">
        <is>
          <t>Q65</t>
        </is>
      </c>
    </row>
    <row r="41">
      <c r="AM41" s="46" t="inlineStr">
        <is>
          <t>slot_pontos_2</t>
        </is>
      </c>
      <c r="AN41" s="46" t="inlineStr">
        <is>
          <t>Q66</t>
        </is>
      </c>
    </row>
    <row r="42">
      <c r="AM42" s="46" t="inlineStr">
        <is>
          <t>slot_pontos_3</t>
        </is>
      </c>
      <c r="AN42" s="46" t="inlineStr">
        <is>
          <t>Q67</t>
        </is>
      </c>
    </row>
    <row r="43">
      <c r="AM43" s="46" t="inlineStr">
        <is>
          <t>slot_pontos_4</t>
        </is>
      </c>
      <c r="AN43" s="46" t="inlineStr">
        <is>
          <t>Q68</t>
        </is>
      </c>
    </row>
    <row r="44">
      <c r="AM44" s="46" t="inlineStr">
        <is>
          <t>slot_pontos_5</t>
        </is>
      </c>
      <c r="AN44" s="46" t="inlineStr">
        <is>
          <t>Q69</t>
        </is>
      </c>
    </row>
    <row r="45">
      <c r="AM45" s="46" t="inlineStr">
        <is>
          <t>slot_pontos_6</t>
        </is>
      </c>
      <c r="AN45" s="46" t="inlineStr">
        <is>
          <t>Q70</t>
        </is>
      </c>
    </row>
    <row r="46">
      <c r="AM46" s="46" t="inlineStr">
        <is>
          <t>slot_pontos_7</t>
        </is>
      </c>
      <c r="AN46" s="46" t="inlineStr">
        <is>
          <t>Q71</t>
        </is>
      </c>
    </row>
    <row r="47">
      <c r="AM47" s="46" t="inlineStr">
        <is>
          <t>slot_pontos_8</t>
        </is>
      </c>
      <c r="AN47" s="46" t="inlineStr">
        <is>
          <t>Q72</t>
        </is>
      </c>
    </row>
    <row r="48">
      <c r="AM48" s="46" t="inlineStr">
        <is>
          <t>slot_pontos_9</t>
        </is>
      </c>
      <c r="AN48" s="46" t="inlineStr">
        <is>
          <t>Q73</t>
        </is>
      </c>
    </row>
    <row r="49">
      <c r="AM49" s="46" t="inlineStr">
        <is>
          <t>slot_pontos_10</t>
        </is>
      </c>
      <c r="AN49" s="46" t="inlineStr">
        <is>
          <t>AM65</t>
        </is>
      </c>
    </row>
    <row r="50">
      <c r="AM50" s="46" t="inlineStr">
        <is>
          <t>slot_pontos_11</t>
        </is>
      </c>
      <c r="AN50" s="46" t="inlineStr">
        <is>
          <t>AM66</t>
        </is>
      </c>
    </row>
    <row r="51">
      <c r="AM51" s="46" t="inlineStr">
        <is>
          <t>slot_pontos_12</t>
        </is>
      </c>
      <c r="AN51" s="46" t="inlineStr">
        <is>
          <t>AM67</t>
        </is>
      </c>
    </row>
    <row r="52">
      <c r="AM52" s="46" t="inlineStr">
        <is>
          <t>slot_pontos_13</t>
        </is>
      </c>
      <c r="AN52" s="46" t="inlineStr">
        <is>
          <t>AM68</t>
        </is>
      </c>
    </row>
    <row r="53">
      <c r="AM53" s="46" t="inlineStr">
        <is>
          <t>slot_pontos_14</t>
        </is>
      </c>
      <c r="AN53" s="46" t="inlineStr">
        <is>
          <t>AM69</t>
        </is>
      </c>
    </row>
    <row r="54">
      <c r="AM54" s="46" t="inlineStr">
        <is>
          <t>slot_pontos_15</t>
        </is>
      </c>
      <c r="AN54" s="46" t="inlineStr">
        <is>
          <t>AM70</t>
        </is>
      </c>
    </row>
    <row r="55">
      <c r="AM55" s="46" t="inlineStr">
        <is>
          <t>traco_1</t>
        </is>
      </c>
      <c r="AN55" s="46" t="inlineStr">
        <is>
          <t>D65</t>
        </is>
      </c>
    </row>
    <row r="56">
      <c r="AM56" s="46" t="inlineStr">
        <is>
          <t>traco_2</t>
        </is>
      </c>
      <c r="AN56" s="46" t="inlineStr">
        <is>
          <t>D66</t>
        </is>
      </c>
    </row>
    <row r="57">
      <c r="AM57" s="46" t="inlineStr">
        <is>
          <t>traco_3</t>
        </is>
      </c>
      <c r="AN57" s="46" t="inlineStr">
        <is>
          <t>D67</t>
        </is>
      </c>
    </row>
    <row r="58">
      <c r="AM58" s="46" t="inlineStr">
        <is>
          <t>traco_4</t>
        </is>
      </c>
      <c r="AN58" s="46" t="inlineStr">
        <is>
          <t>D68</t>
        </is>
      </c>
    </row>
    <row r="59">
      <c r="AM59" s="46" t="inlineStr">
        <is>
          <t>traco_5</t>
        </is>
      </c>
      <c r="AN59" s="46" t="inlineStr">
        <is>
          <t>D69</t>
        </is>
      </c>
    </row>
    <row r="60">
      <c r="AM60" s="46" t="inlineStr">
        <is>
          <t>traco_6</t>
        </is>
      </c>
      <c r="AN60" s="46" t="inlineStr">
        <is>
          <t>D70</t>
        </is>
      </c>
    </row>
    <row r="61">
      <c r="AM61" s="46" t="inlineStr">
        <is>
          <t>traco_7</t>
        </is>
      </c>
      <c r="AN61" s="46" t="inlineStr">
        <is>
          <t>D71</t>
        </is>
      </c>
    </row>
    <row r="62">
      <c r="AM62" s="46" t="inlineStr">
        <is>
          <t>traco_8</t>
        </is>
      </c>
      <c r="AN62" s="46" t="inlineStr">
        <is>
          <t>D72</t>
        </is>
      </c>
    </row>
    <row r="63">
      <c r="AM63" s="46" t="inlineStr">
        <is>
          <t>traco_9</t>
        </is>
      </c>
      <c r="AN63" s="46" t="inlineStr">
        <is>
          <t>D73</t>
        </is>
      </c>
    </row>
    <row r="64">
      <c r="AM64" s="46" t="inlineStr">
        <is>
          <t>comando_1</t>
        </is>
      </c>
      <c r="AN64" s="46" t="inlineStr">
        <is>
          <t>Z65</t>
        </is>
      </c>
    </row>
    <row r="65">
      <c r="AM65" s="46" t="inlineStr">
        <is>
          <t>comando_2</t>
        </is>
      </c>
      <c r="AN65" s="46" t="inlineStr">
        <is>
          <t>Z66</t>
        </is>
      </c>
    </row>
    <row r="66">
      <c r="AM66" s="46" t="inlineStr">
        <is>
          <t>comando_3</t>
        </is>
      </c>
      <c r="AN66" s="46" t="inlineStr">
        <is>
          <t>Z67</t>
        </is>
      </c>
    </row>
    <row r="67">
      <c r="AM67" s="46" t="inlineStr">
        <is>
          <t>comando_4</t>
        </is>
      </c>
      <c r="AN67" s="46" t="inlineStr">
        <is>
          <t>Z68</t>
        </is>
      </c>
    </row>
    <row r="68">
      <c r="AM68" s="46" t="inlineStr">
        <is>
          <t>comando_5</t>
        </is>
      </c>
      <c r="AN68" s="46" t="inlineStr">
        <is>
          <t>Z69</t>
        </is>
      </c>
    </row>
    <row r="69">
      <c r="AM69" s="46" t="inlineStr">
        <is>
          <t>comando_6</t>
        </is>
      </c>
      <c r="AN69" s="46" t="inlineStr">
        <is>
          <t>Z70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2026-09-02T02:51:56Z</dcterms:created>
  <dcterms:modified xmlns:dcterms="http://purl.org/dc/terms/" xmlns:xsi="http://www.w3.org/2001/XMLSchema-instance" xsi:type="dcterms:W3CDTF">2026-09-02T02:51:56Z</dcterms:modified>
</cp:coreProperties>
</file>
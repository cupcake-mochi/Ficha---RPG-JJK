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CAÇÃO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DADO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Roboto"/>
      <color rgb="00F4F1F7"/>
      <sz val="12"/>
    </font>
    <font>
      <name val="Oswald"/>
      <color rgb="00998BA9"/>
      <sz val="9"/>
    </font>
    <font>
      <name val="Roboto"/>
      <color rgb="00F4F1F7"/>
      <sz val="12"/>
    </font>
    <font>
      <name val="Roboto"/>
      <color rgb="00998BA9"/>
      <sz val="9"/>
    </font>
    <font>
      <name val="Oswald"/>
      <color rgb="00493F54"/>
      <sz val="11"/>
    </font>
    <font>
      <name val="Oswald"/>
      <color rgb="00E8DCD4"/>
      <sz val="18"/>
    </font>
    <font>
      <name val="Courier New"/>
      <color rgb="00998BA9"/>
      <sz val="8"/>
    </font>
    <font>
      <name val="Oswald"/>
      <color rgb="00E8DCD4"/>
      <sz val="22"/>
    </font>
    <font>
      <name val="Oswald"/>
      <color rgb="00E8DCD4"/>
      <sz val="12"/>
    </font>
    <font>
      <name val="Oswald"/>
      <color rgb="00E8DCD4"/>
      <sz val="8"/>
    </font>
    <font>
      <name val="Oswald"/>
      <color rgb="00E8DCD4"/>
      <sz val="16"/>
    </font>
    <font>
      <name val="Castoro"/>
      <color rgb="00E8DCD4"/>
      <sz val="18"/>
    </font>
    <font>
      <name val="Roboto"/>
      <color rgb="00E8DCD4"/>
      <sz val="12"/>
    </font>
    <font>
      <name val="Oswald"/>
      <color rgb="00756588"/>
      <sz val="8"/>
    </font>
    <font>
      <name val="Roboto"/>
      <color rgb="00F4F1F7"/>
      <sz val="9"/>
    </font>
    <font>
      <name val="Oswald"/>
      <color rgb="00E8DCD4"/>
      <sz val="24"/>
    </font>
    <font>
      <name val="Roboto"/>
      <color rgb="00E8DCD4"/>
      <sz val="8"/>
    </font>
    <font>
      <name val="Oswald"/>
      <color rgb="00D89B3A"/>
      <sz val="12"/>
    </font>
    <font>
      <name val="Roboto"/>
      <color rgb="00E8DCD4"/>
      <sz val="11"/>
    </font>
    <font>
      <name val="Castoro"/>
      <color rgb="00E8DCD4"/>
      <sz val="6"/>
    </font>
    <font>
      <name val="Castoro"/>
      <color rgb="00E8DCD4"/>
      <sz val="10"/>
    </font>
    <font>
      <name val="Oswald"/>
      <color rgb="00E8DCD4"/>
      <sz val="10"/>
    </font>
    <font>
      <name val="Oswald"/>
      <color rgb="00998BA9"/>
      <sz val="8"/>
    </font>
    <font>
      <name val="Oswald"/>
      <color rgb="00D89B3A"/>
      <sz val="8"/>
    </font>
    <font>
      <name val="Oswald"/>
      <color rgb="00998BA9"/>
      <sz val="10"/>
    </font>
    <font>
      <name val="Oswald"/>
      <color rgb="00E8DCD4"/>
      <sz val="11"/>
    </font>
    <font>
      <name val="Oswald"/>
      <color rgb="00D89B3A"/>
      <sz val="16"/>
    </font>
    <font>
      <name val="Roboto"/>
      <color rgb="00E8DCD4"/>
      <sz val="9"/>
    </font>
  </fonts>
  <fills count="7">
    <fill>
      <patternFill/>
    </fill>
    <fill>
      <patternFill patternType="gray125"/>
    </fill>
    <fill>
      <patternFill patternType="solid">
        <fgColor rgb="00120F1D"/>
        <bgColor rgb="00120F1D"/>
      </patternFill>
    </fill>
    <fill>
      <patternFill patternType="solid">
        <fgColor rgb="000A0810"/>
        <bgColor rgb="000A0810"/>
      </patternFill>
    </fill>
    <fill>
      <patternFill patternType="solid">
        <fgColor rgb="003D2E78"/>
        <bgColor rgb="003D2E78"/>
      </patternFill>
    </fill>
    <fill>
      <patternFill patternType="solid">
        <fgColor rgb="00211940"/>
        <bgColor rgb="00211940"/>
      </patternFill>
    </fill>
    <fill>
      <patternFill patternType="solid">
        <fgColor rgb="001E1733"/>
        <bgColor rgb="001E1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0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textRotation="90"/>
    </xf>
    <xf numFmtId="0" fontId="3" fillId="2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right" vertical="center"/>
    </xf>
    <xf numFmtId="0" fontId="20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right" vertical="center"/>
    </xf>
    <xf numFmtId="0" fontId="20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right" vertical="center"/>
    </xf>
    <xf numFmtId="0" fontId="24" fillId="6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0" fontId="27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1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5" customHeight="1">
      <c r="A1" s="1" t="n"/>
      <c r="B1" s="1" t="n"/>
      <c r="C1" s="2" t="n"/>
      <c r="D1" s="3" t="inlineStr">
        <is>
          <t>A FICHA DA INVOCAÇÃO</t>
        </is>
      </c>
      <c r="AE1" s="2" t="n"/>
      <c r="AF1" s="4" t="inlineStr">
        <is>
          <t>Capítulo 16 · Projeto - M</t>
        </is>
      </c>
    </row>
    <row r="2" ht="15" customHeight="1">
      <c r="A2" s="1" t="n"/>
      <c r="B2" s="1" t="n"/>
      <c r="C2" s="2" t="n"/>
      <c r="AE2" s="2" t="n"/>
    </row>
    <row r="3" ht="15" customHeight="1">
      <c r="A3" s="1" t="n"/>
      <c r="B3" s="1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</row>
    <row r="4" ht="15" customHeight="1">
      <c r="A4" s="1" t="n"/>
      <c r="B4" s="1" t="n"/>
      <c r="C4" s="5" t="n"/>
      <c r="D4" s="6" t="inlineStr">
        <is>
          <t>1</t>
        </is>
      </c>
      <c r="G4" s="7" t="inlineStr">
        <is>
          <t>O DONO</t>
        </is>
      </c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</row>
    <row r="5" ht="15" customHeight="1">
      <c r="A5" s="1" t="n"/>
      <c r="B5" s="1" t="n"/>
      <c r="C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</row>
    <row r="6" ht="15" customHeight="1">
      <c r="A6" s="1" t="n"/>
      <c r="B6" s="1" t="n"/>
      <c r="C6" s="5" t="n"/>
      <c r="D6" s="8" t="inlineStr">
        <is>
          <t>NÍVEL DO DONO</t>
        </is>
      </c>
      <c r="N6" s="5" t="n"/>
      <c r="O6" s="8" t="inlineStr">
        <is>
          <t>ESSÊNCIA DO DONO</t>
        </is>
      </c>
      <c r="Y6" s="5" t="n"/>
      <c r="Z6" s="8" t="inlineStr">
        <is>
          <t>INTELIGÊNCIA DO DONO</t>
        </is>
      </c>
      <c r="AJ6" s="5" t="n"/>
      <c r="AK6" s="8" t="inlineStr">
        <is>
          <t>MAESTRIA</t>
        </is>
      </c>
    </row>
    <row r="7" ht="15" customHeight="1">
      <c r="A7" s="1" t="n"/>
      <c r="B7" s="1" t="n"/>
      <c r="C7" s="5" t="n"/>
      <c r="D7" s="9" t="n">
        <v>2</v>
      </c>
      <c r="N7" s="5" t="n"/>
      <c r="O7" s="9" t="n">
        <v>0</v>
      </c>
      <c r="Y7" s="5" t="n"/>
      <c r="Z7" s="9" t="n">
        <v>0</v>
      </c>
      <c r="AJ7" s="5" t="n"/>
      <c r="AK7" s="10">
        <f>(1+COUNTIF(DADOS!$AH$3:$AH$5,"&lt;="&amp;$D$7))</f>
        <v/>
      </c>
    </row>
    <row r="8" ht="15" customHeight="1">
      <c r="A8" s="11" t="inlineStr">
        <is>
          <t>INVOCAÇÃO</t>
        </is>
      </c>
      <c r="C8" s="5" t="n"/>
      <c r="N8" s="5" t="n"/>
      <c r="Y8" s="5" t="n"/>
      <c r="AJ8" s="5" t="n"/>
    </row>
    <row r="9" ht="15" customHeight="1"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</row>
    <row r="10" ht="15" customHeight="1">
      <c r="C10" s="5" t="n"/>
      <c r="D10" s="8" t="inlineStr">
        <is>
          <t>MARCOS</t>
        </is>
      </c>
      <c r="N10" s="5" t="n"/>
      <c r="O10" s="8" t="inlineStr">
        <is>
          <t>MAIOR CLASSE</t>
        </is>
      </c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</row>
    <row r="11" ht="15" customHeight="1">
      <c r="C11" s="5" t="n"/>
      <c r="D11" s="10">
        <f>COUNTIF(DADOS!$AG$3:$AG$9,"&lt;="&amp;$D$7)</f>
        <v/>
      </c>
      <c r="N11" s="5" t="n"/>
      <c r="O11" s="10">
        <f>COUNTIF(DADOS!$AI$3:$AI$9,"&lt;="&amp;$D$7)</f>
        <v/>
      </c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</row>
    <row r="12" ht="15" customHeight="1"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</row>
    <row r="13" ht="15" customHeight="1">
      <c r="C13" s="5" t="n"/>
      <c r="D13" s="12" t="inlineStr">
        <is>
          <t>Copie estes três da sua ficha. O resto desta seção a planilha calcula.</t>
        </is>
      </c>
    </row>
    <row r="14" ht="15" customHeight="1">
      <c r="C14" s="5" t="n"/>
    </row>
    <row r="15" ht="15" customHeight="1"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</row>
    <row r="16" ht="15" customHeight="1">
      <c r="C16" s="5" t="n"/>
      <c r="D16" s="6" t="inlineStr">
        <is>
          <t>2</t>
        </is>
      </c>
      <c r="G16" s="7" t="inlineStr">
        <is>
          <t>A INVOCAÇÃO</t>
        </is>
      </c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</row>
    <row r="17" ht="15" customHeight="1">
      <c r="C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</row>
    <row r="18" ht="15" customHeight="1">
      <c r="C18" s="5" t="n"/>
      <c r="D18" s="8" t="inlineStr">
        <is>
          <t>NOME</t>
        </is>
      </c>
      <c r="Y18" s="5" t="n"/>
      <c r="Z18" s="8" t="inlineStr">
        <is>
          <t>TIPO</t>
        </is>
      </c>
      <c r="AJ18" s="5" t="n"/>
      <c r="AK18" s="8" t="inlineStr">
        <is>
          <t>TRILHA</t>
        </is>
      </c>
    </row>
    <row r="19" ht="15" customHeight="1">
      <c r="C19" s="5" t="n"/>
      <c r="D19" s="13" t="n"/>
      <c r="Y19" s="5" t="n"/>
      <c r="Z19" s="14" t="n"/>
      <c r="AJ19" s="5" t="n"/>
      <c r="AK19" s="14" t="n"/>
    </row>
    <row r="20" ht="15" customHeight="1"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</row>
    <row r="21" ht="15" customHeight="1">
      <c r="C21" s="5" t="n"/>
      <c r="D21" s="8" t="inlineStr">
        <is>
          <t>SINTONIA</t>
        </is>
      </c>
      <c r="N21" s="5" t="n"/>
      <c r="O21" s="15" t="inlineStr">
        <is>
          <t>O QUE A TRILHA DECIDE</t>
        </is>
      </c>
    </row>
    <row r="22" ht="15" customHeight="1">
      <c r="C22" s="5" t="n"/>
      <c r="D22" s="14" t="inlineStr">
        <is>
          <t>—</t>
        </is>
      </c>
      <c r="N22" s="5" t="n"/>
      <c r="O22" s="16" t="inlineStr">
        <is>
          <t>Quantos corpos você põe em campo, quanta vida cada um tem, e o tamanho do orçamento</t>
        </is>
      </c>
    </row>
    <row r="23" ht="15" customHeight="1"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 ht="15" customHeight="1">
      <c r="C24" s="5" t="n"/>
      <c r="D24" s="12" t="inlineStr">
        <is>
          <t>A Sintonia é a escolha de nível 2 do Evocador. Presa: crítico com 19 ou 20. Parrudo: mais vida, 5 × a sua maestria. Voz: sobe a CD dos efeitos dela, e a seção 9 faz a conta.</t>
        </is>
      </c>
    </row>
    <row r="25" ht="15" customHeight="1">
      <c r="C25" s="5" t="n"/>
    </row>
    <row r="26" ht="15" customHeight="1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</row>
    <row r="27" ht="15" customHeight="1">
      <c r="A27" s="1" t="n"/>
      <c r="B27" s="1" t="n"/>
      <c r="C27" s="5" t="n"/>
      <c r="D27" s="6" t="inlineStr">
        <is>
          <t>3</t>
        </is>
      </c>
      <c r="G27" s="7" t="inlineStr">
        <is>
          <t>OS ATRIBUTOS DELA</t>
        </is>
      </c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</row>
    <row r="28" ht="15" customHeight="1">
      <c r="A28" s="1" t="n"/>
      <c r="B28" s="1" t="n"/>
      <c r="C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</row>
    <row r="29" ht="15" customHeight="1">
      <c r="A29" s="1" t="n"/>
      <c r="B29" s="1" t="n"/>
      <c r="C29" s="5" t="n"/>
      <c r="D29" s="8" t="inlineStr">
        <is>
          <t>FOR</t>
        </is>
      </c>
      <c r="K29" s="5" t="n"/>
      <c r="L29" s="8" t="inlineStr">
        <is>
          <t>DES</t>
        </is>
      </c>
      <c r="S29" s="5" t="n"/>
      <c r="T29" s="8" t="inlineStr">
        <is>
          <t>CON</t>
        </is>
      </c>
      <c r="AA29" s="5" t="n"/>
      <c r="AB29" s="8" t="inlineStr">
        <is>
          <t>INT</t>
        </is>
      </c>
      <c r="AI29" s="5" t="n"/>
      <c r="AJ29" s="8" t="inlineStr">
        <is>
          <t>ESS</t>
        </is>
      </c>
      <c r="AQ29" s="5" t="n"/>
      <c r="AR29" s="5" t="n"/>
      <c r="AS29" s="5" t="n"/>
      <c r="AT29" s="5" t="n"/>
    </row>
    <row r="30" ht="15" customHeight="1">
      <c r="A30" s="11" t="inlineStr">
        <is>
          <t>PROJETO - M</t>
        </is>
      </c>
      <c r="C30" s="5" t="n"/>
      <c r="D30" s="17" t="n">
        <v>0</v>
      </c>
      <c r="K30" s="5" t="n"/>
      <c r="L30" s="17" t="n">
        <v>0</v>
      </c>
      <c r="S30" s="5" t="n"/>
      <c r="T30" s="17" t="n">
        <v>0</v>
      </c>
      <c r="AA30" s="5" t="n"/>
      <c r="AB30" s="17" t="n">
        <v>0</v>
      </c>
      <c r="AI30" s="5" t="n"/>
      <c r="AJ30" s="17" t="n">
        <v>0</v>
      </c>
      <c r="AQ30" s="5" t="n"/>
      <c r="AR30" s="5" t="n"/>
      <c r="AS30" s="5" t="n"/>
      <c r="AT30" s="5" t="n"/>
    </row>
    <row r="31" ht="15" customHeight="1">
      <c r="C31" s="5" t="n"/>
      <c r="K31" s="5" t="n"/>
      <c r="S31" s="5" t="n"/>
      <c r="AA31" s="5" t="n"/>
      <c r="AI31" s="5" t="n"/>
      <c r="AQ31" s="5" t="n"/>
      <c r="AR31" s="5" t="n"/>
      <c r="AS31" s="5" t="n"/>
      <c r="AT31" s="5" t="n"/>
    </row>
    <row r="32" ht="15" customHeight="1">
      <c r="C32" s="5" t="n"/>
      <c r="D32" s="18" t="inlineStr">
        <is>
          <t>Força</t>
        </is>
      </c>
      <c r="K32" s="5" t="n"/>
      <c r="L32" s="18" t="inlineStr">
        <is>
          <t>Destreza</t>
        </is>
      </c>
      <c r="S32" s="5" t="n"/>
      <c r="T32" s="18" t="inlineStr">
        <is>
          <t>Constituição</t>
        </is>
      </c>
      <c r="AA32" s="5" t="n"/>
      <c r="AB32" s="18" t="inlineStr">
        <is>
          <t>Inteligência</t>
        </is>
      </c>
      <c r="AI32" s="5" t="n"/>
      <c r="AJ32" s="18" t="inlineStr">
        <is>
          <t>Essência</t>
        </is>
      </c>
      <c r="AQ32" s="5" t="n"/>
      <c r="AR32" s="5" t="n"/>
      <c r="AS32" s="5" t="n"/>
      <c r="AT32" s="5" t="n"/>
    </row>
    <row r="33" ht="15" customHeight="1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</row>
    <row r="34" ht="15" customHeight="1">
      <c r="C34" s="5" t="n"/>
      <c r="D34" s="8" t="inlineStr">
        <is>
          <t>PONTOS GASTOS</t>
        </is>
      </c>
      <c r="N34" s="5" t="n"/>
      <c r="O34" s="8" t="inlineStr">
        <is>
          <t>DISPONÍVEIS</t>
        </is>
      </c>
      <c r="Y34" s="5" t="n"/>
      <c r="Z34" s="8" t="inlineStr">
        <is>
          <t>CONFERÊNCIA</t>
        </is>
      </c>
    </row>
    <row r="35" ht="15" customHeight="1">
      <c r="C35" s="5" t="n"/>
      <c r="D35" s="19">
        <f>$D$30+$L$30+$T$30+$AB$30+$AJ$30</f>
        <v/>
      </c>
      <c r="N35" s="5" t="n"/>
      <c r="O35" s="19">
        <f>(9+$D$11)</f>
        <v/>
      </c>
      <c r="Y35" s="5" t="n"/>
      <c r="Z35" s="20">
        <f>IF($D$30+$L$30+$T$30+$AB$30+$AJ$30&gt;(9+$D$11),"Estourou o total",IF(MAX($D$30,$L$30,$T$30,$AB$30,$AJ$30)&gt;6,"Estourou o teto de 6",IF($D$30+$L$30+$T$30+$AB$30+$AJ$30&lt;(9+$D$11),"Sobrou ponto","Ok")))</f>
        <v/>
      </c>
    </row>
    <row r="36" ht="15" customHeight="1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</row>
    <row r="37" ht="15" customHeight="1">
      <c r="C37" s="5" t="n"/>
      <c r="D37" s="12" t="inlineStr">
        <is>
          <t>Distribua 9 pontos, nenhum acima de 3. A cada marco ela ganha 1 ponto, até o teto de 6. É a mesma regra da sua ficha.</t>
        </is>
      </c>
    </row>
    <row r="38" ht="15" customHeight="1">
      <c r="C38" s="5" t="n"/>
    </row>
    <row r="39" ht="15" customHeight="1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</row>
    <row r="40" ht="15" customHeight="1">
      <c r="C40" s="5" t="n"/>
      <c r="D40" s="6" t="inlineStr">
        <is>
          <t>4</t>
        </is>
      </c>
      <c r="G40" s="7" t="inlineStr">
        <is>
          <t>ACERTO, DEFESA E TESTES DE RESISTÊNCIA</t>
        </is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</row>
    <row r="41" ht="15" customHeight="1">
      <c r="C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</row>
    <row r="42" ht="15" customHeight="1">
      <c r="C42" s="5" t="n"/>
      <c r="D42" s="8" t="inlineStr">
        <is>
          <t>ATRIBUTO DO ACERTO</t>
        </is>
      </c>
      <c r="N42" s="5" t="n"/>
      <c r="O42" s="8" t="inlineStr">
        <is>
          <t>ACERTO</t>
        </is>
      </c>
      <c r="Y42" s="5" t="n"/>
      <c r="Z42" s="8" t="inlineStr">
        <is>
          <t>DEFESA USA, DO DONO</t>
        </is>
      </c>
      <c r="AJ42" s="5" t="n"/>
      <c r="AK42" s="8" t="inlineStr">
        <is>
          <t>DEFESA</t>
        </is>
      </c>
    </row>
    <row r="43" ht="15" customHeight="1">
      <c r="C43" s="5" t="n"/>
      <c r="D43" s="21" t="n"/>
      <c r="N43" s="5" t="n"/>
      <c r="O43" s="10">
        <f>IF($D$43="","",INDEX(DADOS!$AK$3:$AK$7,MATCH($D$43,DADOS!$C$2:$C$6,0))+$AK$7)</f>
        <v/>
      </c>
      <c r="Y43" s="5" t="n"/>
      <c r="Z43" s="21" t="n"/>
      <c r="AJ43" s="5" t="n"/>
      <c r="AK43" s="10">
        <f>10+$L$30+FLOOR(IF($Z$43="Essência",$O$7,$Z$7)/2,1)</f>
        <v/>
      </c>
    </row>
    <row r="44" ht="15" customHeight="1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</row>
    <row r="45" ht="15" customHeight="1">
      <c r="C45" s="5" t="n"/>
      <c r="D45" s="8" t="inlineStr">
        <is>
          <t>CRÍTICO COM</t>
        </is>
      </c>
      <c r="N45" s="5" t="n"/>
      <c r="O45" s="8" t="inlineStr">
        <is>
          <t>QUAL TR ELA TREINA</t>
        </is>
      </c>
      <c r="Y45" s="5" t="n"/>
      <c r="Z45" s="8" t="inlineStr">
        <is>
          <t>O FÍSICO DELA USA</t>
        </is>
      </c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</row>
    <row r="46" ht="15" customHeight="1">
      <c r="C46" s="5" t="n"/>
      <c r="D46" s="19">
        <f>IF($D$22="Presa","19 ou 20","20")</f>
        <v/>
      </c>
      <c r="N46" s="5" t="n"/>
      <c r="O46" s="21" t="n"/>
      <c r="Y46" s="5" t="n"/>
      <c r="Z46" s="21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</row>
    <row r="47" ht="15" customHeight="1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</row>
    <row r="48" ht="15" customHeight="1">
      <c r="C48" s="5" t="n"/>
      <c r="D48" s="15" t="inlineStr">
        <is>
          <t>TESTES DE RESISTÊNCIA · ela treina um, e você escolhe qual no campo acima</t>
        </is>
      </c>
    </row>
    <row r="49" ht="15" customHeight="1">
      <c r="A49" s="1" t="n"/>
      <c r="B49" s="1" t="n"/>
      <c r="C49" s="5" t="n"/>
      <c r="D49" s="22" t="inlineStr">
        <is>
          <t>TESTE</t>
        </is>
      </c>
      <c r="K49" s="23" t="inlineStr">
        <is>
          <t>Extra</t>
        </is>
      </c>
      <c r="L49" s="8" t="inlineStr">
        <is>
          <t>USA</t>
        </is>
      </c>
      <c r="Q49" s="2" t="n"/>
      <c r="R49" s="24" t="inlineStr">
        <is>
          <t>d20 +</t>
        </is>
      </c>
      <c r="Y49" s="5" t="n"/>
      <c r="Z49" s="22" t="inlineStr">
        <is>
          <t>TESTE</t>
        </is>
      </c>
      <c r="AG49" s="23" t="inlineStr">
        <is>
          <t>Extra</t>
        </is>
      </c>
      <c r="AH49" s="8" t="inlineStr">
        <is>
          <t>USA</t>
        </is>
      </c>
      <c r="AM49" s="2" t="n"/>
      <c r="AN49" s="24" t="inlineStr">
        <is>
          <t>d20 +</t>
        </is>
      </c>
    </row>
    <row r="50" ht="15" customHeight="1">
      <c r="A50" s="1" t="n"/>
      <c r="B50" s="1" t="n"/>
      <c r="C50" s="5" t="n"/>
      <c r="D50" s="25" t="inlineStr">
        <is>
          <t>Físico</t>
        </is>
      </c>
      <c r="K50" s="26" t="n"/>
      <c r="L50" s="27" t="inlineStr">
        <is>
          <t>For ou Des</t>
        </is>
      </c>
      <c r="Q50" s="28">
        <f>IFERROR(INDEX(DADOS!$AK$3:$AK$7,MATCH($Z$46,DADOS!$C$2:$C$6,0))+IF($O$46="Físico",$AK$7,0)+N($K$50),"")</f>
        <v/>
      </c>
      <c r="V50" s="5" t="n"/>
      <c r="W50" s="5" t="n"/>
      <c r="X50" s="5" t="n"/>
      <c r="Y50" s="5" t="n"/>
      <c r="Z50" s="25" t="inlineStr">
        <is>
          <t>Vigor</t>
        </is>
      </c>
      <c r="AG50" s="26" t="n"/>
      <c r="AH50" s="27" t="inlineStr">
        <is>
          <t>Con</t>
        </is>
      </c>
      <c r="AM50" s="28">
        <f>IFERROR(INDEX(DADOS!$AK$3:$AK$7,MATCH("Constituição",DADOS!$C$2:$C$6,0))+IF($O$46="Vigor",$AK$7,0)+N($AG$50),"")</f>
        <v/>
      </c>
      <c r="AR50" s="5" t="n"/>
      <c r="AS50" s="5" t="n"/>
      <c r="AT50" s="5" t="n"/>
    </row>
    <row r="51" ht="15" customHeight="1">
      <c r="A51" s="1" t="n"/>
      <c r="B51" s="1" t="n"/>
      <c r="C51" s="5" t="n"/>
      <c r="D51" s="29" t="inlineStr">
        <is>
          <t>Intelecto</t>
        </is>
      </c>
      <c r="K51" s="30" t="n"/>
      <c r="L51" s="31" t="inlineStr">
        <is>
          <t>Int</t>
        </is>
      </c>
      <c r="Q51" s="32">
        <f>IFERROR(INDEX(DADOS!$AK$3:$AK$7,MATCH("Inteligência",DADOS!$C$2:$C$6,0))+IF($O$46="Intelecto",$AK$7,0)+N($K$51),"")</f>
        <v/>
      </c>
      <c r="V51" s="5" t="n"/>
      <c r="W51" s="5" t="n"/>
      <c r="X51" s="5" t="n"/>
      <c r="Y51" s="5" t="n"/>
      <c r="Z51" s="29" t="inlineStr">
        <is>
          <t>Espírito</t>
        </is>
      </c>
      <c r="AG51" s="30" t="n"/>
      <c r="AH51" s="31" t="inlineStr">
        <is>
          <t>Ess</t>
        </is>
      </c>
      <c r="AM51" s="32">
        <f>IFERROR(INDEX(DADOS!$AK$3:$AK$7,MATCH("Essência",DADOS!$C$2:$C$6,0))+IF($O$46="Espírito",$AK$7,0)+N($AG$51),"")</f>
        <v/>
      </c>
      <c r="AR51" s="5" t="n"/>
      <c r="AS51" s="5" t="n"/>
      <c r="AT51" s="5" t="n"/>
    </row>
    <row r="52" ht="15" customHeight="1">
      <c r="A52" s="1" t="n"/>
      <c r="B52" s="1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</row>
    <row r="53" ht="15" customHeight="1">
      <c r="A53" s="1" t="n"/>
      <c r="B53" s="1" t="n"/>
      <c r="C53" s="5" t="n"/>
      <c r="D53" s="12" t="inlineStr">
        <is>
          <t>Role d20 e some o número da coluna. O Extra é para bônus que a planilha não conhece; deixe vazio se não houver. A Defesa não se rola: o inimigo rola contra ela.</t>
        </is>
      </c>
    </row>
    <row r="54" ht="15" customHeight="1">
      <c r="A54" s="1" t="n"/>
      <c r="B54" s="1" t="n"/>
      <c r="C54" s="5" t="n"/>
    </row>
    <row r="55" ht="15" customHeight="1">
      <c r="A55" s="1" t="n"/>
      <c r="B55" s="1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</row>
    <row r="56" ht="15" customHeight="1">
      <c r="A56" s="1" t="n"/>
      <c r="B56" s="1" t="n"/>
      <c r="C56" s="5" t="n"/>
      <c r="D56" s="6" t="inlineStr">
        <is>
          <t>5</t>
        </is>
      </c>
      <c r="G56" s="7" t="inlineStr">
        <is>
          <t>VIDA E MORTE</t>
        </is>
      </c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</row>
    <row r="57" ht="15" customHeight="1">
      <c r="A57" s="1" t="n"/>
      <c r="B57" s="1" t="n"/>
      <c r="C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</row>
    <row r="58" ht="15" customHeight="1">
      <c r="A58" s="1" t="n"/>
      <c r="B58" s="1" t="n"/>
      <c r="C58" s="5" t="n"/>
      <c r="D58" s="8" t="inlineStr">
        <is>
          <t>VIDA MÁXIMA</t>
        </is>
      </c>
      <c r="N58" s="5" t="n"/>
      <c r="O58" s="8" t="inlineStr">
        <is>
          <t>VIDA AGORA</t>
        </is>
      </c>
      <c r="Y58" s="5" t="n"/>
      <c r="Z58" s="8" t="inlineStr">
        <is>
          <t>CORPOS EM CAMPO</t>
        </is>
      </c>
      <c r="AJ58" s="5" t="n"/>
      <c r="AK58" s="8" t="inlineStr">
        <is>
          <t>ÁREA BATE ×</t>
        </is>
      </c>
    </row>
    <row r="59" ht="15" customHeight="1">
      <c r="A59" s="1" t="n"/>
      <c r="B59" s="1" t="n"/>
      <c r="C59" s="5" t="n"/>
      <c r="D59" s="9">
        <f>IF($Z$19="","",FLOOR(IFERROR(VLOOKUP($AK$19,DADOS!$N$3:$R$5,4,FALSE),1)*(IFERROR(VLOOKUP($Z$19,DADOS!$K$3:$L$6,2,FALSE),0)+2*$D$7)+$T$30*$D$7,1)+IF($D$22="Parrudo",5*$AK$7,0))</f>
        <v/>
      </c>
      <c r="N59" s="5" t="n"/>
      <c r="O59" s="9" t="n"/>
      <c r="Y59" s="5" t="n"/>
      <c r="Z59" s="10">
        <f>IFERROR(VLOOKUP($AK$19,DADOS!$N$3:$R$5,2,FALSE),"")</f>
        <v/>
      </c>
      <c r="AJ59" s="5" t="n"/>
      <c r="AK59" s="10">
        <f>IFERROR(VLOOKUP($AK$19,DADOS!$N$3:$R$5,5,FALSE),"")</f>
        <v/>
      </c>
    </row>
    <row r="60" ht="15" customHeight="1">
      <c r="A60" s="1" t="n"/>
      <c r="B60" s="1" t="n"/>
      <c r="C60" s="5" t="n"/>
      <c r="N60" s="5" t="n"/>
      <c r="Y60" s="5" t="n"/>
      <c r="AJ60" s="5" t="n"/>
    </row>
    <row r="61" ht="15" customHeight="1">
      <c r="A61" s="1" t="n"/>
      <c r="B61" s="1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</row>
    <row r="62" ht="15" customHeight="1">
      <c r="A62" s="1" t="n"/>
      <c r="B62" s="1" t="n"/>
      <c r="C62" s="5" t="n"/>
      <c r="D62" s="22" t="inlineStr">
        <is>
          <t>A BARRA</t>
        </is>
      </c>
      <c r="O62" s="33">
        <f>IFERROR(SPARKLINE($O$59,{"charttype","bar";"max",$D$59;"color1",IF(N($D$59)=0,"#E8DCD4",IF($O$59/$D$59&lt;=0.25,"#C2334D",IF($O$59/$D$59&lt;=0.5,"#D89B3A","#E8DCD4")))}),"")</f>
        <v/>
      </c>
    </row>
    <row r="63" ht="15" customHeight="1">
      <c r="A63" s="1" t="n"/>
      <c r="B63" s="1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</row>
    <row r="64" ht="15" customHeight="1">
      <c r="A64" s="1" t="n"/>
      <c r="B64" s="1" t="n"/>
      <c r="C64" s="5" t="n"/>
      <c r="D64" s="8" t="inlineStr">
        <is>
          <t>RÉGUA DA MORTE</t>
        </is>
      </c>
      <c r="N64" s="5" t="n"/>
      <c r="O64" s="8" t="inlineStr">
        <is>
          <t>METADE DELA</t>
        </is>
      </c>
      <c r="Y64" s="5" t="n"/>
      <c r="Z64" s="8" t="inlineStr">
        <is>
          <t>VOLTA COM</t>
        </is>
      </c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</row>
    <row r="65" ht="15" customHeight="1">
      <c r="A65" s="1" t="n"/>
      <c r="B65" s="1" t="n"/>
      <c r="C65" s="5" t="n"/>
      <c r="D65" s="10">
        <f>IF($Z$19="","",$D$59)</f>
        <v/>
      </c>
      <c r="N65" s="5" t="n"/>
      <c r="O65" s="10">
        <f>IF($Z$19="","",$D$59/2)</f>
        <v/>
      </c>
      <c r="Y65" s="5" t="n"/>
      <c r="Z65" s="10">
        <f>IF($Z$19="","",FLOOR($D$59/2,1))</f>
        <v/>
      </c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</row>
    <row r="66" ht="15" customHeight="1">
      <c r="A66" s="1" t="n"/>
      <c r="B66" s="1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</row>
    <row r="67" ht="15" customHeight="1">
      <c r="A67" s="1" t="n"/>
      <c r="B67" s="1" t="n"/>
      <c r="C67" s="5" t="n"/>
      <c r="D67" s="34" t="inlineStr">
        <is>
          <t>MORRE DE VEZ</t>
        </is>
      </c>
    </row>
    <row r="68" ht="15" customHeight="1">
      <c r="A68" s="1" t="n"/>
      <c r="B68" s="1" t="n"/>
      <c r="C68" s="5" t="n"/>
      <c r="D68" s="35" t="inlineStr">
        <is>
          <t>Quando um golpe só causar a régua inteira, ou quando o dano que passar de zero for maior que a metade da régua. A régua é a vida máxima dela. Área nunca destrói: ela derruba como qualquer dano. Fora desses dois casos ela só cai, e você reinvoca.</t>
        </is>
      </c>
    </row>
    <row r="69" ht="15" customHeight="1">
      <c r="A69" s="1" t="n"/>
      <c r="B69" s="1" t="n"/>
      <c r="C69" s="5" t="n"/>
    </row>
    <row r="70" ht="15" customHeight="1">
      <c r="A70" s="1" t="n"/>
      <c r="B70" s="1" t="n"/>
      <c r="C70" s="5" t="n"/>
      <c r="D70" s="12" t="inlineStr">
        <is>
          <t>No zero ela sai do campo. Ela não fica Inconsciente e não ganha Sequela nem Cicatriz. Reinvocar custa os PE de novo, e ela volta com metade da vida; a vida cheia volta no descanso longo.</t>
        </is>
      </c>
    </row>
    <row r="71" ht="15" customHeight="1">
      <c r="A71" s="1" t="n"/>
      <c r="B71" s="1" t="n"/>
      <c r="C71" s="5" t="n"/>
    </row>
    <row r="72" ht="15" customHeight="1">
      <c r="A72" s="1" t="n"/>
      <c r="B72" s="1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</row>
    <row r="73" ht="15" customHeight="1">
      <c r="A73" s="1" t="n"/>
      <c r="B73" s="1" t="n"/>
      <c r="C73" s="5" t="n"/>
      <c r="D73" s="6" t="inlineStr">
        <is>
          <t>6</t>
        </is>
      </c>
      <c r="G73" s="7" t="inlineStr">
        <is>
          <t>O ORÇAMENTO</t>
        </is>
      </c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</row>
    <row r="74" ht="15" customHeight="1">
      <c r="A74" s="1" t="n"/>
      <c r="B74" s="1" t="n"/>
      <c r="C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</row>
    <row r="75" ht="15" customHeight="1">
      <c r="A75" s="1" t="n"/>
      <c r="B75" s="1" t="n"/>
      <c r="C75" s="5" t="n"/>
      <c r="D75" s="8" t="inlineStr">
        <is>
          <t>ORÇAMENTO</t>
        </is>
      </c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</row>
    <row r="76" ht="15" customHeight="1">
      <c r="A76" s="1" t="n"/>
      <c r="B76" s="1" t="n"/>
      <c r="C76" s="5" t="n"/>
      <c r="D76" s="9">
        <f>FLOOR((8+4*$D$11)*IFERROR(VLOOKUP($AK$19,DADOS!$N$3:$R$5,3,FALSE),1),1)</f>
        <v/>
      </c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</row>
    <row r="77" ht="15" customHeight="1">
      <c r="A77" s="1" t="n"/>
      <c r="B77" s="1" t="n"/>
      <c r="C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</row>
    <row r="78" ht="15" customHeight="1">
      <c r="A78" s="1" t="n"/>
      <c r="B78" s="1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</row>
    <row r="79" ht="15" customHeight="1">
      <c r="A79" s="1" t="n"/>
      <c r="B79" s="1" t="n"/>
      <c r="C79" s="5" t="n"/>
      <c r="D79" s="22" t="inlineStr">
        <is>
          <t>TRAÇO · até 9</t>
        </is>
      </c>
      <c r="O79" s="36" t="inlineStr">
        <is>
          <t>DEGRAU</t>
        </is>
      </c>
      <c r="S79" s="37" t="inlineStr">
        <is>
          <t>PONTOS</t>
        </is>
      </c>
      <c r="X79" s="5" t="n"/>
      <c r="Y79" s="5" t="n"/>
      <c r="Z79" s="22" t="inlineStr">
        <is>
          <t>COMANDO · até 6</t>
        </is>
      </c>
      <c r="AK79" s="36" t="inlineStr">
        <is>
          <t>DEGRAU</t>
        </is>
      </c>
      <c r="AO79" s="37" t="inlineStr">
        <is>
          <t>PONTOS</t>
        </is>
      </c>
      <c r="AT79" s="5" t="n"/>
    </row>
    <row r="80" ht="15" customHeight="1">
      <c r="A80" s="1" t="n"/>
      <c r="B80" s="1" t="n"/>
      <c r="C80" s="5" t="n"/>
      <c r="D80" s="25" t="inlineStr">
        <is>
          <t>—</t>
        </is>
      </c>
      <c r="O80" s="38" t="inlineStr">
        <is>
          <t>—</t>
        </is>
      </c>
      <c r="S80" s="39">
        <f>IFERROR(VLOOKUP($D$80,DADOS!$T$3:$U$16,2,FALSE),N($O$80))</f>
        <v/>
      </c>
      <c r="X80" s="5" t="n"/>
      <c r="Y80" s="5" t="n"/>
      <c r="Z80" s="25" t="inlineStr">
        <is>
          <t>—</t>
        </is>
      </c>
      <c r="AK80" s="38" t="inlineStr">
        <is>
          <t>—</t>
        </is>
      </c>
      <c r="AO80" s="39">
        <f>IFERROR(VLOOKUP($Z$80,DADOS!$W$3:$X$10,2,FALSE),N($AK$80))</f>
        <v/>
      </c>
      <c r="AT80" s="5" t="n"/>
    </row>
    <row r="81" ht="15" customHeight="1">
      <c r="A81" s="1" t="n"/>
      <c r="B81" s="1" t="n"/>
      <c r="C81" s="5" t="n"/>
      <c r="D81" s="29" t="inlineStr">
        <is>
          <t>—</t>
        </is>
      </c>
      <c r="O81" s="40" t="inlineStr">
        <is>
          <t>—</t>
        </is>
      </c>
      <c r="S81" s="41">
        <f>IFERROR(VLOOKUP($D$81,DADOS!$T$3:$U$16,2,FALSE),N($O$81))</f>
        <v/>
      </c>
      <c r="X81" s="5" t="n"/>
      <c r="Y81" s="5" t="n"/>
      <c r="Z81" s="29" t="inlineStr">
        <is>
          <t>—</t>
        </is>
      </c>
      <c r="AK81" s="40" t="inlineStr">
        <is>
          <t>—</t>
        </is>
      </c>
      <c r="AO81" s="41">
        <f>IFERROR(VLOOKUP($Z$81,DADOS!$W$3:$X$10,2,FALSE),N($AK$81))</f>
        <v/>
      </c>
      <c r="AT81" s="5" t="n"/>
    </row>
    <row r="82" ht="15" customHeight="1">
      <c r="A82" s="1" t="n"/>
      <c r="B82" s="1" t="n"/>
      <c r="C82" s="5" t="n"/>
      <c r="D82" s="25" t="inlineStr">
        <is>
          <t>—</t>
        </is>
      </c>
      <c r="O82" s="38" t="inlineStr">
        <is>
          <t>—</t>
        </is>
      </c>
      <c r="S82" s="39">
        <f>IFERROR(VLOOKUP($D$82,DADOS!$T$3:$U$16,2,FALSE),N($O$82))</f>
        <v/>
      </c>
      <c r="X82" s="5" t="n"/>
      <c r="Y82" s="5" t="n"/>
      <c r="Z82" s="25" t="inlineStr">
        <is>
          <t>—</t>
        </is>
      </c>
      <c r="AK82" s="38" t="inlineStr">
        <is>
          <t>—</t>
        </is>
      </c>
      <c r="AO82" s="39">
        <f>IFERROR(VLOOKUP($Z$82,DADOS!$W$3:$X$10,2,FALSE),N($AK$82))</f>
        <v/>
      </c>
      <c r="AT82" s="5" t="n"/>
    </row>
    <row r="83" ht="15" customHeight="1">
      <c r="A83" s="1" t="n"/>
      <c r="B83" s="1" t="n"/>
      <c r="C83" s="5" t="n"/>
      <c r="D83" s="29" t="inlineStr">
        <is>
          <t>—</t>
        </is>
      </c>
      <c r="O83" s="40" t="inlineStr">
        <is>
          <t>—</t>
        </is>
      </c>
      <c r="S83" s="41">
        <f>IFERROR(VLOOKUP($D$83,DADOS!$T$3:$U$16,2,FALSE),N($O$83))</f>
        <v/>
      </c>
      <c r="X83" s="5" t="n"/>
      <c r="Y83" s="5" t="n"/>
      <c r="Z83" s="29" t="inlineStr">
        <is>
          <t>—</t>
        </is>
      </c>
      <c r="AK83" s="40" t="inlineStr">
        <is>
          <t>—</t>
        </is>
      </c>
      <c r="AO83" s="41">
        <f>IFERROR(VLOOKUP($Z$83,DADOS!$W$3:$X$10,2,FALSE),N($AK$83))</f>
        <v/>
      </c>
      <c r="AT83" s="5" t="n"/>
    </row>
    <row r="84" ht="15" customHeight="1">
      <c r="A84" s="1" t="n"/>
      <c r="B84" s="1" t="n"/>
      <c r="C84" s="5" t="n"/>
      <c r="D84" s="25" t="inlineStr">
        <is>
          <t>—</t>
        </is>
      </c>
      <c r="O84" s="38" t="inlineStr">
        <is>
          <t>—</t>
        </is>
      </c>
      <c r="S84" s="39">
        <f>IFERROR(VLOOKUP($D$84,DADOS!$T$3:$U$16,2,FALSE),N($O$84))</f>
        <v/>
      </c>
      <c r="X84" s="5" t="n"/>
      <c r="Y84" s="5" t="n"/>
      <c r="Z84" s="25" t="inlineStr">
        <is>
          <t>—</t>
        </is>
      </c>
      <c r="AK84" s="38" t="inlineStr">
        <is>
          <t>—</t>
        </is>
      </c>
      <c r="AO84" s="39">
        <f>IFERROR(VLOOKUP($Z$84,DADOS!$W$3:$X$10,2,FALSE),N($AK$84))</f>
        <v/>
      </c>
      <c r="AT84" s="5" t="n"/>
    </row>
    <row r="85" ht="15" customHeight="1">
      <c r="A85" s="1" t="n"/>
      <c r="B85" s="1" t="n"/>
      <c r="C85" s="5" t="n"/>
      <c r="D85" s="29" t="inlineStr">
        <is>
          <t>—</t>
        </is>
      </c>
      <c r="O85" s="40" t="inlineStr">
        <is>
          <t>—</t>
        </is>
      </c>
      <c r="S85" s="41">
        <f>IFERROR(VLOOKUP($D$85,DADOS!$T$3:$U$16,2,FALSE),N($O$85))</f>
        <v/>
      </c>
      <c r="X85" s="5" t="n"/>
      <c r="Y85" s="5" t="n"/>
      <c r="Z85" s="29" t="inlineStr">
        <is>
          <t>—</t>
        </is>
      </c>
      <c r="AK85" s="40" t="inlineStr">
        <is>
          <t>—</t>
        </is>
      </c>
      <c r="AO85" s="41">
        <f>IFERROR(VLOOKUP($Z$85,DADOS!$W$3:$X$10,2,FALSE),N($AK$85))</f>
        <v/>
      </c>
      <c r="AT85" s="5" t="n"/>
    </row>
    <row r="86" ht="15" customHeight="1">
      <c r="A86" s="1" t="n"/>
      <c r="B86" s="1" t="n"/>
      <c r="C86" s="5" t="n"/>
      <c r="D86" s="25" t="inlineStr">
        <is>
          <t>—</t>
        </is>
      </c>
      <c r="O86" s="38" t="inlineStr">
        <is>
          <t>—</t>
        </is>
      </c>
      <c r="S86" s="39">
        <f>IFERROR(VLOOKUP($D$86,DADOS!$T$3:$U$16,2,FALSE),N($O$86))</f>
        <v/>
      </c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</row>
    <row r="87" ht="15" customHeight="1">
      <c r="A87" s="1" t="n"/>
      <c r="B87" s="1" t="n"/>
      <c r="C87" s="5" t="n"/>
      <c r="D87" s="29" t="inlineStr">
        <is>
          <t>—</t>
        </is>
      </c>
      <c r="O87" s="40" t="inlineStr">
        <is>
          <t>—</t>
        </is>
      </c>
      <c r="S87" s="41">
        <f>IFERROR(VLOOKUP($D$87,DADOS!$T$3:$U$16,2,FALSE),N($O$87))</f>
        <v/>
      </c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</row>
    <row r="88" ht="15" customHeight="1">
      <c r="A88" s="1" t="n"/>
      <c r="B88" s="1" t="n"/>
      <c r="C88" s="5" t="n"/>
      <c r="D88" s="25" t="inlineStr">
        <is>
          <t>—</t>
        </is>
      </c>
      <c r="O88" s="38" t="inlineStr">
        <is>
          <t>—</t>
        </is>
      </c>
      <c r="S88" s="39">
        <f>IFERROR(VLOOKUP($D$88,DADOS!$T$3:$U$16,2,FALSE),N($O$88))</f>
        <v/>
      </c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</row>
    <row r="89" ht="15" customHeight="1">
      <c r="A89" s="1" t="n"/>
      <c r="B89" s="1" t="n"/>
      <c r="C89" s="5" t="n"/>
      <c r="D89" s="12" t="inlineStr">
        <is>
          <t>Para escrever um Traço ou Comando seu: digite o nome por cima do menu e escolha o DEGRAU em que o efeito cai. As duas réguas estão no CATÁLOGO, e a palavra final é do mestre.</t>
        </is>
      </c>
    </row>
    <row r="90" ht="15" customHeight="1">
      <c r="A90" s="1" t="n"/>
      <c r="B90" s="1" t="n"/>
      <c r="C90" s="5" t="n"/>
    </row>
    <row r="91" ht="15" customHeight="1">
      <c r="A91" s="1" t="n"/>
      <c r="B91" s="1" t="n"/>
      <c r="C91" s="5" t="n"/>
      <c r="D91" s="8" t="inlineStr">
        <is>
          <t>GASTO</t>
        </is>
      </c>
      <c r="N91" s="5" t="n"/>
      <c r="O91" s="8" t="inlineStr">
        <is>
          <t>SOBRA</t>
        </is>
      </c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</row>
    <row r="92" ht="15" customHeight="1">
      <c r="A92" s="1" t="n"/>
      <c r="B92" s="1" t="n"/>
      <c r="C92" s="5" t="n"/>
      <c r="D92" s="10">
        <f>$S$80+$S$81+$S$82+$S$83+$S$84+$S$85+$S$86+$S$87+$S$88+$AO$80+$AO$81+$AO$82+$AO$83+$AO$84+$AO$85</f>
        <v/>
      </c>
      <c r="N92" s="5" t="n"/>
      <c r="O92" s="42">
        <f>IF($D$76-($S$80+$S$81+$S$82+$S$83+$S$84+$S$85+$S$86+$S$87+$S$88+$AO$80+$AO$81+$AO$82+$AO$83+$AO$84+$AO$85)&lt;0,"Estourou "&amp;(($S$80+$S$81+$S$82+$S$83+$S$84+$S$85+$S$86+$S$87+$S$88+$AO$80+$AO$81+$AO$82+$AO$83+$AO$84+$AO$85)-$D$76),$D$76-($S$80+$S$81+$S$82+$S$83+$S$84+$S$85+$S$86+$S$87+$S$88+$AO$80+$AO$81+$AO$82+$AO$83+$AO$84+$AO$85))</f>
        <v/>
      </c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</row>
    <row r="93" ht="15" customHeight="1">
      <c r="A93" s="1" t="n"/>
      <c r="B93" s="1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</row>
    <row r="94" ht="15" customHeight="1">
      <c r="A94" s="1" t="n"/>
      <c r="B94" s="1" t="n"/>
      <c r="C94" s="5" t="n"/>
      <c r="D94" s="12" t="inlineStr">
        <is>
          <t>Escolha Traço e Comando até o orçamento acabar. O Servo tem metade a mais que as outras duas Trilhas. Nada aqui compra dano, Defesa, acerto ou vida — esses saem dos atributos dela.</t>
        </is>
      </c>
    </row>
    <row r="95" ht="15" customHeight="1">
      <c r="A95" s="1" t="n"/>
      <c r="B95" s="1" t="n"/>
      <c r="C95" s="5" t="n"/>
    </row>
    <row r="96" ht="15" customHeight="1">
      <c r="A96" s="1" t="n"/>
      <c r="B96" s="1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</row>
    <row r="97" ht="15" customHeight="1">
      <c r="A97" s="1" t="n"/>
      <c r="B97" s="1" t="n"/>
      <c r="C97" s="5" t="n"/>
      <c r="D97" s="6" t="inlineStr">
        <is>
          <t>7</t>
        </is>
      </c>
      <c r="G97" s="7" t="inlineStr">
        <is>
          <t>INVESTIR</t>
        </is>
      </c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</row>
    <row r="98" ht="15" customHeight="1">
      <c r="A98" s="1" t="n"/>
      <c r="B98" s="1" t="n"/>
      <c r="C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</row>
    <row r="99" ht="15" customHeight="1">
      <c r="A99" s="1" t="n"/>
      <c r="B99" s="1" t="n"/>
      <c r="C99" s="5" t="n"/>
      <c r="D99" s="8" t="inlineStr">
        <is>
          <t>DANO DO INVESTIR</t>
        </is>
      </c>
      <c r="N99" s="5" t="n"/>
      <c r="O99" s="8" t="inlineStr">
        <is>
          <t>POR CORPO</t>
        </is>
      </c>
    </row>
    <row r="100" ht="15" customHeight="1">
      <c r="A100" s="1" t="n"/>
      <c r="B100" s="1" t="n"/>
      <c r="C100" s="5" t="n"/>
      <c r="D100" s="9">
        <f>IF($D$7="","",VLOOKUP($D$7,DADOS!$Z$3:$AB$9,IF($AK$19="Matilha",3,2),TRUE))</f>
        <v/>
      </c>
      <c r="N100" s="5" t="n"/>
      <c r="O100" s="21">
        <f>IF($AK$19="Matilha","Cada um dos cinco rola isto",IF($AK$19="","","O corpo em campo rola isto"))</f>
        <v/>
      </c>
    </row>
    <row r="101" ht="15" customHeight="1">
      <c r="A101" s="1" t="n"/>
      <c r="B101" s="1" t="n"/>
      <c r="C101" s="5" t="n"/>
      <c r="N101" s="5" t="n"/>
    </row>
    <row r="102" ht="15" customHeight="1">
      <c r="A102" s="1" t="n"/>
      <c r="B102" s="1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</row>
    <row r="103" ht="15" customHeight="1">
      <c r="A103" s="1" t="n"/>
      <c r="B103" s="1" t="n"/>
      <c r="C103" s="5" t="n"/>
      <c r="D103" s="12" t="inlineStr">
        <is>
          <t>É o dano dela quando você gasta a Ação Padrão comandando. Você e as suas invocações somados causam o dano de uma rodada sua sozinho.</t>
        </is>
      </c>
    </row>
    <row r="104" ht="15" customHeight="1">
      <c r="A104" s="1" t="n"/>
      <c r="B104" s="1" t="n"/>
      <c r="C104" s="5" t="n"/>
    </row>
    <row r="105" ht="15" customHeight="1">
      <c r="A105" s="1" t="n"/>
      <c r="B105" s="1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</row>
    <row r="106" ht="15" customHeight="1">
      <c r="A106" s="1" t="n"/>
      <c r="B106" s="1" t="n"/>
      <c r="C106" s="5" t="n"/>
      <c r="D106" s="6" t="inlineStr">
        <is>
          <t>8</t>
        </is>
      </c>
      <c r="G106" s="7" t="inlineStr">
        <is>
          <t>NA MESA</t>
        </is>
      </c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</row>
    <row r="107" ht="15" customHeight="1">
      <c r="A107" s="1" t="n"/>
      <c r="B107" s="1" t="n"/>
      <c r="C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</row>
    <row r="108" ht="15" customHeight="1">
      <c r="A108" s="1" t="n"/>
      <c r="B108" s="1" t="n"/>
      <c r="C108" s="5" t="n"/>
      <c r="D108" s="43" t="inlineStr">
        <is>
          <t>INVOCAR</t>
        </is>
      </c>
      <c r="O108" s="44">
        <f>("Custa "&amp;$O$11&amp;" PE e a Ação Padrão")</f>
        <v/>
      </c>
    </row>
    <row r="109" ht="15" customHeight="1">
      <c r="A109" s="1" t="n"/>
      <c r="B109" s="1" t="n"/>
      <c r="C109" s="5" t="n"/>
      <c r="D109" s="36" t="inlineStr">
        <is>
          <t>COMANDAR</t>
        </is>
      </c>
      <c r="O109" s="45">
        <f>"A Ação Padrão, toda rodada"</f>
        <v/>
      </c>
    </row>
    <row r="110" ht="15" customHeight="1">
      <c r="A110" s="1" t="n"/>
      <c r="B110" s="1" t="n"/>
      <c r="C110" s="5" t="n"/>
      <c r="D110" s="43" t="inlineStr">
        <is>
          <t>INICIATIVA</t>
        </is>
      </c>
      <c r="O110" s="44">
        <f>"A sua, e ela age logo depois de você"</f>
        <v/>
      </c>
    </row>
    <row r="111" ht="15" customHeight="1">
      <c r="A111" s="1" t="n"/>
      <c r="B111" s="1" t="n"/>
      <c r="C111" s="5" t="n"/>
      <c r="D111" s="36" t="inlineStr">
        <is>
          <t>DESLOCAMENTO</t>
        </is>
      </c>
      <c r="O111" s="45">
        <f>(9&amp;" metros")</f>
        <v/>
      </c>
    </row>
    <row r="112" ht="15" customHeight="1">
      <c r="A112" s="1" t="n"/>
      <c r="B112" s="1" t="n"/>
      <c r="C112" s="5" t="n"/>
      <c r="D112" s="43" t="inlineStr">
        <is>
          <t>AMARRA</t>
        </is>
      </c>
      <c r="O112" s="44">
        <f>(18&amp;" metros — além disso não pode ser comandada, e não some")</f>
        <v/>
      </c>
    </row>
    <row r="113" ht="15" customHeight="1">
      <c r="A113" s="1" t="n"/>
      <c r="B113" s="1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</row>
    <row r="114" ht="15" customHeight="1">
      <c r="A114" s="1" t="n"/>
      <c r="B114" s="1" t="n"/>
      <c r="C114" s="5" t="n"/>
      <c r="D114" s="6" t="inlineStr">
        <is>
          <t>9</t>
        </is>
      </c>
      <c r="G114" s="7" t="inlineStr">
        <is>
          <t>A CD DOS EFEITOS</t>
        </is>
      </c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</row>
    <row r="115" ht="15" customHeight="1">
      <c r="A115" s="1" t="n"/>
      <c r="B115" s="1" t="n"/>
      <c r="C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</row>
    <row r="116" ht="15" customHeight="1">
      <c r="A116" s="1" t="n"/>
      <c r="B116" s="1" t="n"/>
      <c r="C116" s="5" t="n"/>
      <c r="D116" s="8" t="inlineStr">
        <is>
          <t>ATRIBUTO DA MONTAGEM</t>
        </is>
      </c>
      <c r="N116" s="5" t="n"/>
      <c r="O116" s="8" t="inlineStr">
        <is>
          <t>PREITO NA CD (SERVO)</t>
        </is>
      </c>
      <c r="Y116" s="5" t="n"/>
      <c r="Z116" s="8" t="inlineStr">
        <is>
          <t>BÔNUS NA CD</t>
        </is>
      </c>
      <c r="AJ116" s="5" t="n"/>
      <c r="AK116" s="8" t="inlineStr">
        <is>
          <t>CD DOS EFEITOS</t>
        </is>
      </c>
    </row>
    <row r="117" ht="15" customHeight="1">
      <c r="A117" s="1" t="n"/>
      <c r="B117" s="1" t="n"/>
      <c r="C117" s="5" t="n"/>
      <c r="D117" s="21" t="n"/>
      <c r="N117" s="5" t="n"/>
      <c r="O117" s="21" t="n"/>
      <c r="Y117" s="5" t="n"/>
      <c r="Z117" s="9">
        <f>MAX(IF($D$22="Voz",IF($D$7&lt;7,1,MAX(1,FLOOR($AK$7/2,1))),0),IF(AND($AK$19="Servo",$O$117="sim"),MAX(1,FLOOR($AK$7/2,1)),0))</f>
        <v/>
      </c>
      <c r="AJ117" s="5" t="n"/>
      <c r="AK117" s="9">
        <f>IF($D$117="","",8+INDEX(DADOS!$AK$3:$AK$7,MATCH($D$117,DADOS!$C$2:$C$6,0))+$AK$7+$Z$117)</f>
        <v/>
      </c>
    </row>
    <row r="118" ht="15" customHeight="1">
      <c r="A118" s="1" t="n"/>
      <c r="B118" s="1" t="n"/>
      <c r="C118" s="5" t="n"/>
      <c r="N118" s="5" t="n"/>
      <c r="Y118" s="5" t="n"/>
      <c r="AJ118" s="5" t="n"/>
    </row>
    <row r="119" ht="15" customHeight="1">
      <c r="A119" s="1" t="n"/>
      <c r="B119" s="1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</row>
    <row r="120" ht="15" customHeight="1">
      <c r="A120" s="1" t="n"/>
      <c r="B120" s="1" t="n"/>
      <c r="C120" s="5" t="n"/>
      <c r="D120" s="8" t="inlineStr">
        <is>
          <t>CONFERÊNCIA</t>
        </is>
      </c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</row>
    <row r="121">
      <c r="D121" s="20">
        <f>IF($D$117="","Escolha o atributo da montagem",IF(AND($O$117="sim",$AK$19&lt;&gt;"Servo"),"O Preito é do Servo",IF(AND($D$43&lt;&gt;"",$D$43&lt;&gt;$D$117),"O acerto usa outro atributo: só vale com arma","Ok")))</f>
        <v/>
      </c>
    </row>
    <row r="122"/>
    <row r="123">
      <c r="D123" s="46" t="inlineStr">
        <is>
          <t>CD = 8 + o atributo da montagem + a maestria do dono + o bônus. O acerto e a CD saem do mesmo atributo, e a escolha não muda depois; só o acerto muda se ela empunhar uma arma, e a CD fica neste atributo.</t>
        </is>
      </c>
    </row>
    <row r="124"/>
    <row r="125">
      <c r="D125" s="46" t="inlineStr">
        <is>
          <t>A Voz (Sintonia) e o Preito do Servo na CD não somam: dão o mesmo número em todo nível, e a planilha leva um só. Marque o Preito aqui só se o Servo escolheu a CD nele.</t>
        </is>
      </c>
    </row>
    <row r="126"/>
    <row r="127">
      <c r="D127" s="47" t="inlineStr">
        <is>
          <t>O alvo rola contra essa CD: Fisgada · Agarrar · Arrastar · Jorro (Físico); Chamariz (Espírito). O Graúdo não pede rolagem.</t>
        </is>
      </c>
    </row>
    <row r="128"/>
    <row r="129">
      <c r="D129" s="48" t="inlineStr">
        <is>
          <t>O QUE A FICHA NÃO CALCULA</t>
        </is>
      </c>
    </row>
    <row r="130">
      <c r="D130" s="35" t="inlineStr">
        <is>
          <t>Invocação com arma: o livro ainda não diz quem treina a invocação numa arma, nem se o dado da arma soma ao Investir. Combine com o mestre. O Preito também soma nas perícias e nos Testes de Resistência dela, e pode somar no acerto ou na Defesa: use o Extra dos Testes de Resistência.</t>
        </is>
      </c>
    </row>
    <row r="131"/>
    <row r="132"/>
  </sheetData>
  <mergeCells count="210">
    <mergeCell ref="AK84:AN84"/>
    <mergeCell ref="D59:M60"/>
    <mergeCell ref="AB30:AH31"/>
    <mergeCell ref="T30:Z31"/>
    <mergeCell ref="O79:R79"/>
    <mergeCell ref="D92:M92"/>
    <mergeCell ref="D109:N109"/>
    <mergeCell ref="O111:AT111"/>
    <mergeCell ref="G4:AB4"/>
    <mergeCell ref="D84:N84"/>
    <mergeCell ref="Z85:AJ85"/>
    <mergeCell ref="O91:X91"/>
    <mergeCell ref="D51:J51"/>
    <mergeCell ref="AO80:AS80"/>
    <mergeCell ref="AJ32:AP32"/>
    <mergeCell ref="D111:N111"/>
    <mergeCell ref="D108:N108"/>
    <mergeCell ref="D86:N86"/>
    <mergeCell ref="Z45:AI45"/>
    <mergeCell ref="D1:AD2"/>
    <mergeCell ref="Z6:AI6"/>
    <mergeCell ref="O87:R87"/>
    <mergeCell ref="D7:M8"/>
    <mergeCell ref="O108:AT108"/>
    <mergeCell ref="O10:X10"/>
    <mergeCell ref="AH50:AL50"/>
    <mergeCell ref="Z117:AI118"/>
    <mergeCell ref="A8:B26"/>
    <mergeCell ref="Z49:AF49"/>
    <mergeCell ref="AK19:AT19"/>
    <mergeCell ref="S87:W87"/>
    <mergeCell ref="D112:N112"/>
    <mergeCell ref="D87:N87"/>
    <mergeCell ref="AH49:AL49"/>
    <mergeCell ref="S80:W80"/>
    <mergeCell ref="D62:N62"/>
    <mergeCell ref="D68:AT69"/>
    <mergeCell ref="AO79:AS79"/>
    <mergeCell ref="O88:R88"/>
    <mergeCell ref="D16:F17"/>
    <mergeCell ref="Z79:AJ79"/>
    <mergeCell ref="O62:AT62"/>
    <mergeCell ref="Z18:AI18"/>
    <mergeCell ref="Z58:AI58"/>
    <mergeCell ref="G73:AF73"/>
    <mergeCell ref="D91:M91"/>
    <mergeCell ref="O110:AT110"/>
    <mergeCell ref="D43:M43"/>
    <mergeCell ref="Z64:AI64"/>
    <mergeCell ref="AK85:AN85"/>
    <mergeCell ref="Z42:AI42"/>
    <mergeCell ref="AK7:AT8"/>
    <mergeCell ref="O46:X46"/>
    <mergeCell ref="D73:F74"/>
    <mergeCell ref="D48:AT48"/>
    <mergeCell ref="AM51:AQ51"/>
    <mergeCell ref="O64:X64"/>
    <mergeCell ref="D114:F115"/>
    <mergeCell ref="O82:R82"/>
    <mergeCell ref="AO82:AS82"/>
    <mergeCell ref="D94:AT95"/>
    <mergeCell ref="AJ29:AP29"/>
    <mergeCell ref="Z19:AI19"/>
    <mergeCell ref="D29:J29"/>
    <mergeCell ref="AK117:AT118"/>
    <mergeCell ref="AK80:AN80"/>
    <mergeCell ref="G27:AF27"/>
    <mergeCell ref="S86:W86"/>
    <mergeCell ref="D70:AT71"/>
    <mergeCell ref="D27:F28"/>
    <mergeCell ref="L30:R31"/>
    <mergeCell ref="G114:X114"/>
    <mergeCell ref="L32:R32"/>
    <mergeCell ref="T29:Z29"/>
    <mergeCell ref="D110:N110"/>
    <mergeCell ref="AO83:AS83"/>
    <mergeCell ref="D120:AI120"/>
    <mergeCell ref="O112:AT112"/>
    <mergeCell ref="D46:M46"/>
    <mergeCell ref="G16:X16"/>
    <mergeCell ref="O116:X116"/>
    <mergeCell ref="AB32:AH32"/>
    <mergeCell ref="Z83:AJ83"/>
    <mergeCell ref="Z34:AT34"/>
    <mergeCell ref="AJ30:AP31"/>
    <mergeCell ref="AK18:AT18"/>
    <mergeCell ref="R49:X49"/>
    <mergeCell ref="D21:M21"/>
    <mergeCell ref="L50:P50"/>
    <mergeCell ref="G97:AB97"/>
    <mergeCell ref="D117:M118"/>
    <mergeCell ref="Z116:AI116"/>
    <mergeCell ref="D49:J49"/>
    <mergeCell ref="AO84:AS84"/>
    <mergeCell ref="O21:AT21"/>
    <mergeCell ref="O35:X35"/>
    <mergeCell ref="AK58:AT58"/>
    <mergeCell ref="AK79:AN79"/>
    <mergeCell ref="O109:AT109"/>
    <mergeCell ref="L49:P49"/>
    <mergeCell ref="S79:W79"/>
    <mergeCell ref="O43:X43"/>
    <mergeCell ref="D89:AT90"/>
    <mergeCell ref="S88:W88"/>
    <mergeCell ref="Z51:AF51"/>
    <mergeCell ref="AK81:AN81"/>
    <mergeCell ref="D79:N79"/>
    <mergeCell ref="Z80:AJ80"/>
    <mergeCell ref="D88:N88"/>
    <mergeCell ref="G56:T56"/>
    <mergeCell ref="O42:X42"/>
    <mergeCell ref="S81:W81"/>
    <mergeCell ref="D58:M58"/>
    <mergeCell ref="D81:N81"/>
    <mergeCell ref="O117:X118"/>
    <mergeCell ref="O85:R85"/>
    <mergeCell ref="AK6:AT6"/>
    <mergeCell ref="D42:M42"/>
    <mergeCell ref="D76:M77"/>
    <mergeCell ref="D35:M35"/>
    <mergeCell ref="Z65:AI65"/>
    <mergeCell ref="D130:AT132"/>
    <mergeCell ref="S82:W82"/>
    <mergeCell ref="D40:F41"/>
    <mergeCell ref="G40:AH40"/>
    <mergeCell ref="D34:M34"/>
    <mergeCell ref="O86:R86"/>
    <mergeCell ref="AK42:AT42"/>
    <mergeCell ref="D18:X18"/>
    <mergeCell ref="Q50:U50"/>
    <mergeCell ref="D99:M99"/>
    <mergeCell ref="D129:AT129"/>
    <mergeCell ref="T32:Z32"/>
    <mergeCell ref="AB29:AH29"/>
    <mergeCell ref="O6:X6"/>
    <mergeCell ref="Z35:AT35"/>
    <mergeCell ref="O83:R83"/>
    <mergeCell ref="D22:M22"/>
    <mergeCell ref="D13:AT14"/>
    <mergeCell ref="L51:P51"/>
    <mergeCell ref="D45:M45"/>
    <mergeCell ref="Z82:AJ82"/>
    <mergeCell ref="D6:M6"/>
    <mergeCell ref="AK43:AT43"/>
    <mergeCell ref="AH51:AL51"/>
    <mergeCell ref="S84:W84"/>
    <mergeCell ref="O7:X8"/>
    <mergeCell ref="D24:AT25"/>
    <mergeCell ref="D32:J32"/>
    <mergeCell ref="D83:N83"/>
    <mergeCell ref="Z59:AI60"/>
    <mergeCell ref="AM50:AQ50"/>
    <mergeCell ref="D121:AI121"/>
    <mergeCell ref="A30:B48"/>
    <mergeCell ref="D85:N85"/>
    <mergeCell ref="Z84:AJ84"/>
    <mergeCell ref="D123:AT124"/>
    <mergeCell ref="O58:X58"/>
    <mergeCell ref="O11:X11"/>
    <mergeCell ref="Z7:AI8"/>
    <mergeCell ref="D64:M64"/>
    <mergeCell ref="O81:R81"/>
    <mergeCell ref="D80:N80"/>
    <mergeCell ref="AO81:AS81"/>
    <mergeCell ref="Z46:AI46"/>
    <mergeCell ref="O22:AT23"/>
    <mergeCell ref="D50:J50"/>
    <mergeCell ref="Q51:U51"/>
    <mergeCell ref="Z81:AJ81"/>
    <mergeCell ref="O34:X34"/>
    <mergeCell ref="D67:AT67"/>
    <mergeCell ref="AK82:AN82"/>
    <mergeCell ref="D10:M10"/>
    <mergeCell ref="O59:X60"/>
    <mergeCell ref="AK116:AT116"/>
    <mergeCell ref="O100:AT101"/>
    <mergeCell ref="AN49:AT49"/>
    <mergeCell ref="AK59:AT60"/>
    <mergeCell ref="D65:M65"/>
    <mergeCell ref="O92:X92"/>
    <mergeCell ref="O99:AT99"/>
    <mergeCell ref="O45:X45"/>
    <mergeCell ref="D125:AT126"/>
    <mergeCell ref="AK83:AN83"/>
    <mergeCell ref="D4:F5"/>
    <mergeCell ref="Z50:AF50"/>
    <mergeCell ref="D56:F57"/>
    <mergeCell ref="G106:X106"/>
    <mergeCell ref="Z43:AI43"/>
    <mergeCell ref="D53:AT54"/>
    <mergeCell ref="D11:M11"/>
    <mergeCell ref="O65:X65"/>
    <mergeCell ref="S83:W83"/>
    <mergeCell ref="D116:M116"/>
    <mergeCell ref="D97:F98"/>
    <mergeCell ref="D127:AT128"/>
    <mergeCell ref="O84:R84"/>
    <mergeCell ref="D30:J31"/>
    <mergeCell ref="D106:F107"/>
    <mergeCell ref="D103:AT104"/>
    <mergeCell ref="D19:X19"/>
    <mergeCell ref="D37:AT38"/>
    <mergeCell ref="D82:N82"/>
    <mergeCell ref="D75:M75"/>
    <mergeCell ref="L29:R29"/>
    <mergeCell ref="S85:W85"/>
    <mergeCell ref="D100:M101"/>
    <mergeCell ref="AF1:AT2"/>
    <mergeCell ref="AO85:AS85"/>
    <mergeCell ref="O80:R80"/>
  </mergeCells>
  <dataValidations count="39">
    <dataValidation sqref="Z19" showDropDown="0" showInputMessage="0" showErrorMessage="0" allowBlank="1" type="list">
      <formula1>DADOS!$A$2:$A$5</formula1>
    </dataValidation>
    <dataValidation sqref="AK19" showDropDown="0" showInputMessage="0" showErrorMessage="0" allowBlank="1" type="list">
      <formula1>DADOS!$B$2:$B$4</formula1>
    </dataValidation>
    <dataValidation sqref="D22" showDropDown="0" showInputMessage="0" showErrorMessage="0" allowBlank="1" type="list">
      <formula1>DADOS!$E$2:$E$5</formula1>
    </dataValidation>
    <dataValidation sqref="D43" showDropDown="0" showInputMessage="0" showErrorMessage="0" allowBlank="1" type="list">
      <formula1>DADOS!$C$2:$C$6</formula1>
    </dataValidation>
    <dataValidation sqref="Z43" showDropDown="0" showInputMessage="0" showErrorMessage="0" allowBlank="1" type="list">
      <formula1>DADOS!$F$2:$F$3</formula1>
    </dataValidation>
    <dataValidation sqref="O46" showDropDown="0" showInputMessage="0" showErrorMessage="0" allowBlank="1" type="list">
      <formula1>DADOS!$D$2:$D$5</formula1>
    </dataValidation>
    <dataValidation sqref="Z46" showDropDown="0" showInputMessage="0" showErrorMessage="0" allowBlank="1" type="list">
      <formula1>DADOS!$G$2:$G$3</formula1>
    </dataValidation>
    <dataValidation sqref="D80:N80" showDropDown="0" showInputMessage="0" showErrorMessage="0" allowBlank="1" type="list">
      <formula1>DADOS!$H$2:$H$15</formula1>
    </dataValidation>
    <dataValidation sqref="O80:R80" showDropDown="0" showInputMessage="0" showErrorMessage="1" allowBlank="1" error="O degrau sai da régua do capítulo 16." type="list" errorStyle="stop">
      <formula1>DADOS!$AP$2:$AP$7</formula1>
    </dataValidation>
    <dataValidation sqref="D81:N81" showDropDown="0" showInputMessage="0" showErrorMessage="0" allowBlank="1" type="list">
      <formula1>DADOS!$H$2:$H$15</formula1>
    </dataValidation>
    <dataValidation sqref="O81:R81" showDropDown="0" showInputMessage="0" showErrorMessage="1" allowBlank="1" error="O degrau sai da régua do capítulo 16." type="list" errorStyle="stop">
      <formula1>DADOS!$AP$2:$AP$7</formula1>
    </dataValidation>
    <dataValidation sqref="D82:N82" showDropDown="0" showInputMessage="0" showErrorMessage="0" allowBlank="1" type="list">
      <formula1>DADOS!$H$2:$H$15</formula1>
    </dataValidation>
    <dataValidation sqref="O82:R82" showDropDown="0" showInputMessage="0" showErrorMessage="1" allowBlank="1" error="O degrau sai da régua do capítulo 16." type="list" errorStyle="stop">
      <formula1>DADOS!$AP$2:$AP$7</formula1>
    </dataValidation>
    <dataValidation sqref="D83:N83" showDropDown="0" showInputMessage="0" showErrorMessage="0" allowBlank="1" type="list">
      <formula1>DADOS!$H$2:$H$15</formula1>
    </dataValidation>
    <dataValidation sqref="O83:R83" showDropDown="0" showInputMessage="0" showErrorMessage="1" allowBlank="1" error="O degrau sai da régua do capítulo 16." type="list" errorStyle="stop">
      <formula1>DADOS!$AP$2:$AP$7</formula1>
    </dataValidation>
    <dataValidation sqref="D84:N84" showDropDown="0" showInputMessage="0" showErrorMessage="0" allowBlank="1" type="list">
      <formula1>DADOS!$H$2:$H$15</formula1>
    </dataValidation>
    <dataValidation sqref="O84:R84" showDropDown="0" showInputMessage="0" showErrorMessage="1" allowBlank="1" error="O degrau sai da régua do capítulo 16." type="list" errorStyle="stop">
      <formula1>DADOS!$AP$2:$AP$7</formula1>
    </dataValidation>
    <dataValidation sqref="D85:N85" showDropDown="0" showInputMessage="0" showErrorMessage="0" allowBlank="1" type="list">
      <formula1>DADOS!$H$2:$H$15</formula1>
    </dataValidation>
    <dataValidation sqref="O85:R85" showDropDown="0" showInputMessage="0" showErrorMessage="1" allowBlank="1" error="O degrau sai da régua do capítulo 16." type="list" errorStyle="stop">
      <formula1>DADOS!$AP$2:$AP$7</formula1>
    </dataValidation>
    <dataValidation sqref="D86:N86" showDropDown="0" showInputMessage="0" showErrorMessage="0" allowBlank="1" type="list">
      <formula1>DADOS!$H$2:$H$15</formula1>
    </dataValidation>
    <dataValidation sqref="O86:R86" showDropDown="0" showInputMessage="0" showErrorMessage="1" allowBlank="1" error="O degrau sai da régua do capítulo 16." type="list" errorStyle="stop">
      <formula1>DADOS!$AP$2:$AP$7</formula1>
    </dataValidation>
    <dataValidation sqref="D87:N87" showDropDown="0" showInputMessage="0" showErrorMessage="0" allowBlank="1" type="list">
      <formula1>DADOS!$H$2:$H$15</formula1>
    </dataValidation>
    <dataValidation sqref="O87:R87" showDropDown="0" showInputMessage="0" showErrorMessage="1" allowBlank="1" error="O degrau sai da régua do capítulo 16." type="list" errorStyle="stop">
      <formula1>DADOS!$AP$2:$AP$7</formula1>
    </dataValidation>
    <dataValidation sqref="D88:N88" showDropDown="0" showInputMessage="0" showErrorMessage="0" allowBlank="1" type="list">
      <formula1>DADOS!$H$2:$H$15</formula1>
    </dataValidation>
    <dataValidation sqref="O88:R88" showDropDown="0" showInputMessage="0" showErrorMessage="1" allowBlank="1" error="O degrau sai da régua do capítulo 16." type="list" errorStyle="stop">
      <formula1>DADOS!$AP$2:$AP$7</formula1>
    </dataValidation>
    <dataValidation sqref="Z80:AJ80" showDropDown="0" showInputMessage="0" showErrorMessage="0" allowBlank="1" type="list">
      <formula1>DADOS!$I$2:$I$9</formula1>
    </dataValidation>
    <dataValidation sqref="AK80:AN80" showDropDown="0" showInputMessage="0" showErrorMessage="1" allowBlank="1" error="O degrau sai da régua do capítulo 16." type="list" errorStyle="stop">
      <formula1>DADOS!$AQ$2:$AQ$5</formula1>
    </dataValidation>
    <dataValidation sqref="Z81:AJ81" showDropDown="0" showInputMessage="0" showErrorMessage="0" allowBlank="1" type="list">
      <formula1>DADOS!$I$2:$I$9</formula1>
    </dataValidation>
    <dataValidation sqref="AK81:AN81" showDropDown="0" showInputMessage="0" showErrorMessage="1" allowBlank="1" error="O degrau sai da régua do capítulo 16." type="list" errorStyle="stop">
      <formula1>DADOS!$AQ$2:$AQ$5</formula1>
    </dataValidation>
    <dataValidation sqref="Z82:AJ82" showDropDown="0" showInputMessage="0" showErrorMessage="0" allowBlank="1" type="list">
      <formula1>DADOS!$I$2:$I$9</formula1>
    </dataValidation>
    <dataValidation sqref="AK82:AN82" showDropDown="0" showInputMessage="0" showErrorMessage="1" allowBlank="1" error="O degrau sai da régua do capítulo 16." type="list" errorStyle="stop">
      <formula1>DADOS!$AQ$2:$AQ$5</formula1>
    </dataValidation>
    <dataValidation sqref="Z83:AJ83" showDropDown="0" showInputMessage="0" showErrorMessage="0" allowBlank="1" type="list">
      <formula1>DADOS!$I$2:$I$9</formula1>
    </dataValidation>
    <dataValidation sqref="AK83:AN83" showDropDown="0" showInputMessage="0" showErrorMessage="1" allowBlank="1" error="O degrau sai da régua do capítulo 16." type="list" errorStyle="stop">
      <formula1>DADOS!$AQ$2:$AQ$5</formula1>
    </dataValidation>
    <dataValidation sqref="Z84:AJ84" showDropDown="0" showInputMessage="0" showErrorMessage="0" allowBlank="1" type="list">
      <formula1>DADOS!$I$2:$I$9</formula1>
    </dataValidation>
    <dataValidation sqref="AK84:AN84" showDropDown="0" showInputMessage="0" showErrorMessage="1" allowBlank="1" error="O degrau sai da régua do capítulo 16." type="list" errorStyle="stop">
      <formula1>DADOS!$AQ$2:$AQ$5</formula1>
    </dataValidation>
    <dataValidation sqref="Z85:AJ85" showDropDown="0" showInputMessage="0" showErrorMessage="0" allowBlank="1" type="list">
      <formula1>DADOS!$I$2:$I$9</formula1>
    </dataValidation>
    <dataValidation sqref="AK85:AN85" showDropDown="0" showInputMessage="0" showErrorMessage="1" allowBlank="1" error="O degrau sai da régua do capítulo 16." type="list" errorStyle="stop">
      <formula1>DADOS!$AQ$2:$AQ$5</formula1>
    </dataValidation>
    <dataValidation sqref="D117" showDropDown="0" showInputMessage="0" showErrorMessage="0" allowBlank="1" type="list">
      <formula1>DADOS!$C$2:$C$6</formula1>
    </dataValidation>
    <dataValidation sqref="O117" showDropDown="0" showInputMessage="0" showErrorMessage="0" allowBlank="1" type="list">
      <formula1>"sim"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T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5" customHeight="1">
      <c r="A1" s="5" t="n"/>
      <c r="B1" s="5" t="n"/>
      <c r="C1" s="2" t="n"/>
      <c r="D1" s="49" t="inlineStr">
        <is>
          <t>O CATÁLOGO — o que dá para comprar</t>
        </is>
      </c>
      <c r="AE1" s="2" t="n"/>
      <c r="AF1" s="4" t="inlineStr">
        <is>
          <t>Capítulo 16</t>
        </is>
      </c>
    </row>
    <row r="2" ht="15" customHeight="1">
      <c r="A2" s="5" t="n"/>
      <c r="B2" s="5" t="n"/>
      <c r="C2" s="2" t="n"/>
      <c r="AE2" s="2" t="n"/>
    </row>
    <row r="3" ht="1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</row>
    <row r="4" ht="15" customHeight="1">
      <c r="A4" s="5" t="n"/>
      <c r="B4" s="5" t="n"/>
      <c r="C4" s="5" t="n"/>
      <c r="D4" s="50" t="inlineStr">
        <is>
          <t>TRAÇO</t>
        </is>
      </c>
      <c r="U4" s="51" t="inlineStr">
        <is>
          <t>O corpo dela. Vale sempre, sem gastar ação.</t>
        </is>
      </c>
    </row>
    <row r="5" ht="15" customHeight="1">
      <c r="A5" s="5" t="n"/>
      <c r="B5" s="5" t="n"/>
      <c r="C5" s="5" t="n"/>
      <c r="D5" s="8" t="inlineStr">
        <is>
          <t>PONTOS</t>
        </is>
      </c>
      <c r="H5" s="22" t="inlineStr">
        <is>
          <t>NOME</t>
        </is>
      </c>
      <c r="P5" s="22" t="inlineStr">
        <is>
          <t>O QUE FAZ</t>
        </is>
      </c>
    </row>
    <row r="6" ht="15" customHeight="1">
      <c r="A6" s="5" t="n"/>
      <c r="B6" s="5" t="n"/>
      <c r="C6" s="5" t="n"/>
      <c r="D6" s="52" t="n">
        <v>2</v>
      </c>
      <c r="H6" s="25" t="inlineStr">
        <is>
          <t>Escalada</t>
        </is>
      </c>
      <c r="P6" s="35" t="inlineStr">
        <is>
          <t>Sobe parede e teto sem teste</t>
        </is>
      </c>
    </row>
    <row r="7" ht="15" customHeight="1">
      <c r="A7" s="5" t="n"/>
      <c r="B7" s="5" t="n"/>
      <c r="C7" s="5" t="n"/>
      <c r="D7" s="53" t="n">
        <v>2</v>
      </c>
      <c r="H7" s="29" t="inlineStr">
        <is>
          <t>Nado</t>
        </is>
      </c>
      <c r="P7" s="54" t="inlineStr">
        <is>
          <t>Move na água sem penalidade. Rio, cisterna, tanque alagado de estação</t>
        </is>
      </c>
    </row>
    <row r="8" ht="15" customHeight="1">
      <c r="A8" s="5" t="n"/>
      <c r="B8" s="5" t="n"/>
      <c r="C8" s="5" t="n"/>
      <c r="D8" s="52" t="n">
        <v>3</v>
      </c>
      <c r="H8" s="25" t="inlineStr">
        <is>
          <t>Fala</t>
        </is>
      </c>
      <c r="P8" s="35" t="inlineStr">
        <is>
          <t>Ela fala, e dá para conversar com ela</t>
        </is>
      </c>
    </row>
    <row r="9" ht="15" customHeight="1">
      <c r="A9" s="5" t="n"/>
      <c r="B9" s="5" t="n"/>
      <c r="C9" s="5" t="n"/>
      <c r="D9" s="53" t="n">
        <v>5</v>
      </c>
      <c r="H9" s="29" t="inlineStr">
        <is>
          <t>Faro</t>
        </is>
      </c>
      <c r="P9" s="54" t="inlineStr">
        <is>
          <t>Rastreia por cheiro e por energia. Pega rastro velho de horas</t>
        </is>
      </c>
    </row>
    <row r="10" ht="15" customHeight="1">
      <c r="A10" s="5" t="n"/>
      <c r="B10" s="5" t="n"/>
      <c r="C10" s="5" t="n"/>
      <c r="D10" s="52" t="n">
        <v>5</v>
      </c>
      <c r="H10" s="25" t="inlineStr">
        <is>
          <t>Vigia</t>
        </is>
      </c>
      <c r="P10" s="35" t="inlineStr">
        <is>
          <t>O que ela vê e ouve, você vê e ouve também</t>
        </is>
      </c>
    </row>
    <row r="11" ht="15" customHeight="1">
      <c r="A11" s="5" t="n"/>
      <c r="B11" s="5" t="n"/>
      <c r="C11" s="5" t="n"/>
      <c r="D11" s="53" t="n">
        <v>7</v>
      </c>
      <c r="H11" s="29" t="inlineStr">
        <is>
          <t>Miúdo</t>
        </is>
      </c>
      <c r="P11" s="54" t="inlineStr">
        <is>
          <t>Ocupa espaço menor e passa por vão. Duto, grade de bueiro, folga embaixo da porta</t>
        </is>
      </c>
    </row>
    <row r="12" ht="15" customHeight="1">
      <c r="A12" s="5" t="n"/>
      <c r="B12" s="5" t="n"/>
      <c r="C12" s="5" t="n"/>
      <c r="D12" s="52" t="n">
        <v>8</v>
      </c>
      <c r="H12" s="25" t="inlineStr">
        <is>
          <t>Voo</t>
        </is>
      </c>
      <c r="P12" s="35" t="inlineStr">
        <is>
          <t>O deslocamento dela passa a ser de voo também</t>
        </is>
      </c>
    </row>
    <row r="13" ht="15" customHeight="1">
      <c r="A13" s="5" t="n"/>
      <c r="B13" s="5" t="n"/>
      <c r="C13" s="5" t="n"/>
      <c r="D13" s="53" t="n">
        <v>8</v>
      </c>
      <c r="H13" s="29" t="inlineStr">
        <is>
          <t>Montaria</t>
        </is>
      </c>
      <c r="P13" s="54" t="inlineStr">
        <is>
          <t>Carrega uma pessoa ou mais, dependendo do tamanho</t>
        </is>
      </c>
    </row>
    <row r="14" ht="15" customHeight="1">
      <c r="A14" s="5" t="n"/>
      <c r="B14" s="5" t="n"/>
      <c r="C14" s="5" t="n"/>
      <c r="D14" s="52" t="n">
        <v>8</v>
      </c>
      <c r="H14" s="25" t="inlineStr">
        <is>
          <t>Fisgada</t>
        </is>
      </c>
      <c r="P14" s="35" t="inlineStr">
        <is>
          <t>Prende à distância. Ela alcança, engancha, e quem ia fugir para de conseguir</t>
        </is>
      </c>
    </row>
    <row r="15" ht="15" customHeight="1">
      <c r="A15" s="5" t="n"/>
      <c r="B15" s="5" t="n"/>
      <c r="C15" s="5" t="n"/>
      <c r="D15" s="53" t="n">
        <v>8</v>
      </c>
      <c r="H15" s="29" t="inlineStr">
        <is>
          <t>Emboscada</t>
        </is>
      </c>
      <c r="P15" s="54" t="inlineStr">
        <is>
          <t>Surge do chão, fora do alcance de visão</t>
        </is>
      </c>
    </row>
    <row r="16" ht="15" customHeight="1">
      <c r="A16" s="5" t="n"/>
      <c r="B16" s="5" t="n"/>
      <c r="C16" s="5" t="n"/>
      <c r="D16" s="52" t="n">
        <v>8</v>
      </c>
      <c r="H16" s="25" t="inlineStr">
        <is>
          <t>Jorro</t>
        </is>
      </c>
      <c r="P16" s="35" t="inlineStr">
        <is>
          <t>Ataca e empurra em linha ou em área</t>
        </is>
      </c>
    </row>
    <row r="17" ht="15" customHeight="1">
      <c r="A17" s="5" t="n"/>
      <c r="B17" s="5" t="n"/>
      <c r="C17" s="5" t="n"/>
      <c r="D17" s="53" t="n">
        <v>8</v>
      </c>
      <c r="H17" s="29" t="inlineStr">
        <is>
          <t>Graúdo</t>
        </is>
      </c>
      <c r="P17" s="54" t="inlineStr">
        <is>
          <t>Ocupa espaço maior e barra passagem</t>
        </is>
      </c>
    </row>
    <row r="18" ht="15" customHeight="1">
      <c r="A18" s="5" t="n"/>
      <c r="B18" s="5" t="n"/>
      <c r="C18" s="5" t="n"/>
      <c r="D18" s="52" t="n">
        <v>8</v>
      </c>
      <c r="H18" s="25" t="inlineStr">
        <is>
          <t>Remoto</t>
        </is>
      </c>
      <c r="P18" s="35" t="inlineStr">
        <is>
          <t>Funciona além dos 18 metros da amarra. Dentro da cena, para qualquer um; fora da cena, com requisito</t>
        </is>
      </c>
    </row>
    <row r="19" ht="1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</row>
    <row r="21" ht="15" customHeight="1">
      <c r="A21" s="5" t="n"/>
      <c r="B21" s="5" t="n"/>
      <c r="C21" s="5" t="n"/>
      <c r="D21" s="50" t="inlineStr">
        <is>
          <t>COMANDO</t>
        </is>
      </c>
      <c r="U21" s="51" t="inlineStr">
        <is>
          <t>O que ela faz quando você gasta a Ação Padrão comandando.</t>
        </is>
      </c>
    </row>
    <row r="22" ht="15" customHeight="1">
      <c r="A22" s="5" t="n"/>
      <c r="B22" s="5" t="n"/>
      <c r="C22" s="5" t="n"/>
      <c r="D22" s="8" t="inlineStr">
        <is>
          <t>PONTOS</t>
        </is>
      </c>
      <c r="H22" s="22" t="inlineStr">
        <is>
          <t>NOME</t>
        </is>
      </c>
      <c r="P22" s="22" t="inlineStr">
        <is>
          <t>O QUE FAZ</t>
        </is>
      </c>
    </row>
    <row r="23" ht="15" customHeight="1">
      <c r="A23" s="5" t="n"/>
      <c r="B23" s="5" t="n"/>
      <c r="C23" s="5" t="n"/>
      <c r="D23" s="52" t="n">
        <v>0</v>
      </c>
      <c r="H23" s="25" t="inlineStr">
        <is>
          <t>Investir</t>
        </is>
      </c>
      <c r="P23" s="35" t="inlineStr">
        <is>
          <t>O ataque. Toda invocação tem</t>
        </is>
      </c>
    </row>
    <row r="24" ht="15" customHeight="1">
      <c r="A24" s="5" t="n"/>
      <c r="B24" s="5" t="n"/>
      <c r="C24" s="5" t="n"/>
      <c r="D24" s="53" t="n">
        <v>4</v>
      </c>
      <c r="H24" s="29" t="inlineStr">
        <is>
          <t>Agarrar</t>
        </is>
      </c>
      <c r="P24" s="54" t="inlineStr">
        <is>
          <t>Prende o alvo</t>
        </is>
      </c>
    </row>
    <row r="25" ht="15" customHeight="1">
      <c r="A25" s="5" t="n"/>
      <c r="B25" s="5" t="n"/>
      <c r="C25" s="5" t="n"/>
      <c r="D25" s="52" t="n">
        <v>4</v>
      </c>
      <c r="H25" s="25" t="inlineStr">
        <is>
          <t>Arrastar</t>
        </is>
      </c>
      <c r="P25" s="35" t="inlineStr">
        <is>
          <t>Move o alvo, ou se move levando ele. Tira alguém de cima de uma beirada, ou põe</t>
        </is>
      </c>
    </row>
    <row r="26" ht="15" customHeight="1">
      <c r="A26" s="5" t="n"/>
      <c r="B26" s="5" t="n"/>
      <c r="C26" s="5" t="n"/>
      <c r="D26" s="53" t="n">
        <v>4</v>
      </c>
      <c r="H26" s="29" t="inlineStr">
        <is>
          <t>Buscar</t>
        </is>
      </c>
      <c r="P26" s="54" t="inlineStr">
        <is>
          <t>Pega um objeto, ou rastreia de forma ativa</t>
        </is>
      </c>
    </row>
    <row r="27" ht="15" customHeight="1">
      <c r="A27" s="5" t="n"/>
      <c r="B27" s="5" t="n"/>
      <c r="C27" s="5" t="n"/>
      <c r="D27" s="52" t="n">
        <v>4</v>
      </c>
      <c r="H27" s="25" t="inlineStr">
        <is>
          <t>Cavar</t>
        </is>
      </c>
      <c r="P27" s="35" t="inlineStr">
        <is>
          <t>Abre buraco, desenterra, revira o terreno. Faz rota onde não havia rota</t>
        </is>
      </c>
    </row>
    <row r="28" ht="15" customHeight="1">
      <c r="A28" s="5" t="n"/>
      <c r="B28" s="5" t="n"/>
      <c r="C28" s="5" t="n"/>
      <c r="D28" s="53" t="n">
        <v>8</v>
      </c>
      <c r="H28" s="29" t="inlineStr">
        <is>
          <t>Interpor</t>
        </is>
      </c>
      <c r="P28" s="54" t="inlineStr">
        <is>
          <t>Se põe entre você e o golpe. O corpo dela recebe o que ia em você</t>
        </is>
      </c>
    </row>
    <row r="29" ht="15" customHeight="1">
      <c r="A29" s="5" t="n"/>
      <c r="B29" s="5" t="n"/>
      <c r="C29" s="5" t="n"/>
      <c r="D29" s="52" t="n">
        <v>8</v>
      </c>
      <c r="H29" s="25" t="inlineStr">
        <is>
          <t>Chamariz</t>
        </is>
      </c>
      <c r="P29" s="35" t="inlineStr">
        <is>
          <t>O alvo tem de vir para cima dela. Você escolhe em quem a coisa está prestando atenção</t>
        </is>
      </c>
    </row>
    <row r="30" ht="1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</row>
    <row r="31" ht="1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</row>
    <row r="32" ht="15" customHeight="1">
      <c r="A32" s="5" t="n"/>
      <c r="B32" s="5" t="n"/>
      <c r="C32" s="5" t="n"/>
      <c r="D32" s="50" t="inlineStr">
        <is>
          <t>INVENTAR O SEU</t>
        </is>
      </c>
      <c r="U32" s="51" t="inlineStr">
        <is>
          <t>Escreva o efeito, ache na régua o preço, e leve para o mestre aprovar</t>
        </is>
      </c>
    </row>
    <row r="33" ht="15" customHeight="1">
      <c r="A33" s="5" t="n"/>
      <c r="B33" s="5" t="n"/>
      <c r="C33" s="5" t="n"/>
      <c r="D33" s="22" t="inlineStr">
        <is>
          <t>Régua de TRAÇO</t>
        </is>
      </c>
    </row>
    <row r="34" ht="15" customHeight="1">
      <c r="A34" s="5" t="n"/>
      <c r="B34" s="5" t="n"/>
      <c r="C34" s="5" t="n"/>
      <c r="D34" s="52" t="n">
        <v>2</v>
      </c>
      <c r="H34" s="35" t="inlineStr">
        <is>
          <t>Muda como ela anda, e só ela</t>
        </is>
      </c>
    </row>
    <row r="35" ht="15" customHeight="1">
      <c r="A35" s="5" t="n"/>
      <c r="B35" s="5" t="n"/>
      <c r="C35" s="5" t="n"/>
      <c r="D35" s="53" t="n">
        <v>3</v>
      </c>
      <c r="H35" s="54" t="inlineStr">
        <is>
          <t>Muda o que ela comunica</t>
        </is>
      </c>
    </row>
    <row r="36" ht="15" customHeight="1">
      <c r="A36" s="5" t="n"/>
      <c r="B36" s="5" t="n"/>
      <c r="C36" s="5" t="n"/>
      <c r="D36" s="52" t="n">
        <v>5</v>
      </c>
      <c r="H36" s="35" t="inlineStr">
        <is>
          <t>Muda o que ela percebe</t>
        </is>
      </c>
    </row>
    <row r="37" ht="15" customHeight="1">
      <c r="A37" s="5" t="n"/>
      <c r="B37" s="5" t="n"/>
      <c r="C37" s="5" t="n"/>
      <c r="D37" s="53" t="n">
        <v>7</v>
      </c>
      <c r="H37" s="54" t="inlineStr">
        <is>
          <t>Muda que espaço ela ocupa, a um passo de mexer no tabuleiro</t>
        </is>
      </c>
    </row>
    <row r="38" ht="15" customHeight="1">
      <c r="A38" s="5" t="n"/>
      <c r="B38" s="5" t="n"/>
      <c r="C38" s="5" t="n"/>
      <c r="D38" s="52" t="n">
        <v>8</v>
      </c>
      <c r="H38" s="35" t="inlineStr">
        <is>
          <t>Encosta em outra criatura ou no ambiente: carrega, prende, empurra, barra, alcança além do alcance, aparece onde não dava</t>
        </is>
      </c>
    </row>
    <row r="39" ht="1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</row>
    <row r="40" ht="15" customHeight="1">
      <c r="A40" s="5" t="n"/>
      <c r="B40" s="5" t="n"/>
      <c r="C40" s="5" t="n"/>
      <c r="D40" s="22" t="inlineStr">
        <is>
          <t>Régua de COMANDO</t>
        </is>
      </c>
    </row>
    <row r="41" ht="15" customHeight="1">
      <c r="A41" s="5" t="n"/>
      <c r="B41" s="5" t="n"/>
      <c r="C41" s="5" t="n"/>
      <c r="D41" s="52" t="n">
        <v>0</v>
      </c>
      <c r="H41" s="35" t="inlineStr">
        <is>
          <t>É o ataque</t>
        </is>
      </c>
    </row>
    <row r="42" ht="15" customHeight="1">
      <c r="A42" s="5" t="n"/>
      <c r="B42" s="5" t="n"/>
      <c r="C42" s="5" t="n"/>
      <c r="D42" s="53" t="n">
        <v>4</v>
      </c>
      <c r="H42" s="54" t="inlineStr">
        <is>
          <t>Faz uma coisa com um alvo ou um objeto</t>
        </is>
      </c>
    </row>
    <row r="43" ht="15" customHeight="1">
      <c r="A43" s="5" t="n"/>
      <c r="B43" s="5" t="n"/>
      <c r="C43" s="5" t="n"/>
      <c r="D43" s="52" t="n">
        <v>8</v>
      </c>
      <c r="H43" s="35" t="inlineStr">
        <is>
          <t>Protege você, ou nega a ação de outro</t>
        </is>
      </c>
    </row>
    <row r="44" ht="1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</row>
    <row r="45" ht="15" customHeight="1">
      <c r="A45" s="5" t="n"/>
      <c r="B45" s="5" t="n"/>
      <c r="C45" s="5" t="n"/>
      <c r="D45" s="34" t="inlineStr">
        <is>
          <t>O QUE O ORÇAMENTO NÃO COMPRA</t>
        </is>
      </c>
    </row>
    <row r="46" ht="15" customHeight="1">
      <c r="A46" s="5" t="n"/>
      <c r="B46" s="5" t="n"/>
      <c r="C46" s="5" t="n"/>
      <c r="D46" s="25" t="inlineStr">
        <is>
          <t>Dado de dano</t>
        </is>
      </c>
      <c r="R46" s="55" t="inlineStr">
        <is>
          <t>O teto de uma Rotina já governa a saída. Um Traço que dê +1d6 não existe</t>
        </is>
      </c>
    </row>
    <row r="47" ht="15" customHeight="1">
      <c r="A47" s="5" t="n"/>
      <c r="B47" s="5" t="n"/>
      <c r="C47" s="5" t="n"/>
      <c r="D47" s="29" t="inlineStr">
        <is>
          <t>Qualquer coisa que cresça com refino</t>
        </is>
      </c>
      <c r="R47" s="56" t="inlineStr">
        <is>
          <t>Refino cresce muito mais rápido que a ficha dela, e ela passaria de você</t>
        </is>
      </c>
    </row>
    <row r="48" ht="15" customHeight="1">
      <c r="A48" s="5" t="n"/>
      <c r="B48" s="5" t="n"/>
      <c r="C48" s="5" t="n"/>
      <c r="D48" s="25" t="inlineStr">
        <is>
          <t>Atributo</t>
        </is>
      </c>
      <c r="R48" s="55" t="inlineStr">
        <is>
          <t>Os cinco já saem do arranjo dela, e comprar de novo é pagar duas vezes</t>
        </is>
      </c>
    </row>
    <row r="49" ht="15" customHeight="1">
      <c r="A49" s="5" t="n"/>
      <c r="B49" s="5" t="n"/>
      <c r="C49" s="5" t="n"/>
      <c r="D49" s="29" t="inlineStr">
        <is>
          <t>Defesa, acerto ou vida direto</t>
        </is>
      </c>
      <c r="R49" s="56" t="inlineStr">
        <is>
          <t>Os três saem dos atributos dela</t>
        </is>
      </c>
    </row>
    <row r="50" ht="1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</row>
    <row r="51" ht="1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</row>
    <row r="52" ht="1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</row>
    <row r="53" ht="1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</row>
    <row r="54" ht="1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</row>
    <row r="55" ht="1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</row>
    <row r="56" ht="1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</row>
    <row r="57" ht="1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</row>
    <row r="58" ht="1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</row>
    <row r="59" ht="1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</row>
    <row r="60" ht="1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</row>
    <row r="61" ht="1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</row>
    <row r="62" ht="1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</row>
    <row r="63" ht="1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</row>
    <row r="64" ht="1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</row>
  </sheetData>
  <mergeCells count="101">
    <mergeCell ref="D18:G18"/>
    <mergeCell ref="P17:AT17"/>
    <mergeCell ref="D8:G8"/>
    <mergeCell ref="H29:O29"/>
    <mergeCell ref="H34:AT34"/>
    <mergeCell ref="H36:AT36"/>
    <mergeCell ref="D1:AD2"/>
    <mergeCell ref="P5:AT5"/>
    <mergeCell ref="D22:G22"/>
    <mergeCell ref="P29:AT29"/>
    <mergeCell ref="H37:AT37"/>
    <mergeCell ref="D47:Q47"/>
    <mergeCell ref="D6:G6"/>
    <mergeCell ref="H7:O7"/>
    <mergeCell ref="H16:O16"/>
    <mergeCell ref="D13:G13"/>
    <mergeCell ref="P22:AT22"/>
    <mergeCell ref="U21:AT21"/>
    <mergeCell ref="H27:O27"/>
    <mergeCell ref="D45:AT45"/>
    <mergeCell ref="P8:AT8"/>
    <mergeCell ref="D7:G7"/>
    <mergeCell ref="H38:AT38"/>
    <mergeCell ref="H43:AT43"/>
    <mergeCell ref="P23:AT23"/>
    <mergeCell ref="P7:AT7"/>
    <mergeCell ref="P16:AT16"/>
    <mergeCell ref="D24:G24"/>
    <mergeCell ref="D42:G42"/>
    <mergeCell ref="H9:O9"/>
    <mergeCell ref="P18:AT18"/>
    <mergeCell ref="D26:G26"/>
    <mergeCell ref="D35:G35"/>
    <mergeCell ref="D21:T21"/>
    <mergeCell ref="H6:O6"/>
    <mergeCell ref="D33:AT33"/>
    <mergeCell ref="D49:Q49"/>
    <mergeCell ref="D34:G34"/>
    <mergeCell ref="D32:T32"/>
    <mergeCell ref="H5:O5"/>
    <mergeCell ref="D36:G36"/>
    <mergeCell ref="P25:AT25"/>
    <mergeCell ref="D11:G11"/>
    <mergeCell ref="P9:AT9"/>
    <mergeCell ref="H13:O13"/>
    <mergeCell ref="P6:AT6"/>
    <mergeCell ref="P11:AT11"/>
    <mergeCell ref="H15:O15"/>
    <mergeCell ref="H24:O24"/>
    <mergeCell ref="H18:O18"/>
    <mergeCell ref="D37:G37"/>
    <mergeCell ref="H8:O8"/>
    <mergeCell ref="D9:G9"/>
    <mergeCell ref="H26:O26"/>
    <mergeCell ref="U4:AT4"/>
    <mergeCell ref="H10:O10"/>
    <mergeCell ref="D15:G15"/>
    <mergeCell ref="D29:G29"/>
    <mergeCell ref="P13:AT13"/>
    <mergeCell ref="D38:G38"/>
    <mergeCell ref="D46:Q46"/>
    <mergeCell ref="P15:AT15"/>
    <mergeCell ref="P24:AT24"/>
    <mergeCell ref="D10:G10"/>
    <mergeCell ref="P26:AT26"/>
    <mergeCell ref="P10:AT10"/>
    <mergeCell ref="D27:G27"/>
    <mergeCell ref="H28:O28"/>
    <mergeCell ref="H42:AT42"/>
    <mergeCell ref="D4:T4"/>
    <mergeCell ref="H12:O12"/>
    <mergeCell ref="D17:G17"/>
    <mergeCell ref="R47:AT47"/>
    <mergeCell ref="H35:AT35"/>
    <mergeCell ref="H14:O14"/>
    <mergeCell ref="H23:O23"/>
    <mergeCell ref="D28:G28"/>
    <mergeCell ref="R46:AT46"/>
    <mergeCell ref="D12:G12"/>
    <mergeCell ref="D25:G25"/>
    <mergeCell ref="R48:AT48"/>
    <mergeCell ref="P28:AT28"/>
    <mergeCell ref="D5:G5"/>
    <mergeCell ref="D14:G14"/>
    <mergeCell ref="P12:AT12"/>
    <mergeCell ref="D23:G23"/>
    <mergeCell ref="H25:O25"/>
    <mergeCell ref="P14:AT14"/>
    <mergeCell ref="R49:AT49"/>
    <mergeCell ref="D48:Q48"/>
    <mergeCell ref="U32:AT32"/>
    <mergeCell ref="H17:O17"/>
    <mergeCell ref="H11:O11"/>
    <mergeCell ref="H22:O22"/>
    <mergeCell ref="D40:AT40"/>
    <mergeCell ref="D41:G41"/>
    <mergeCell ref="D16:G16"/>
    <mergeCell ref="D43:G43"/>
    <mergeCell ref="P27:AT27"/>
    <mergeCell ref="AF1:AT2"/>
    <mergeCell ref="H41:AT4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1" max="11"/>
    <col width="16" customWidth="1" min="12" max="12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0" max="20"/>
    <col width="16" customWidth="1" min="21" max="21"/>
    <col width="16" customWidth="1" min="23" max="23"/>
    <col width="16" customWidth="1" min="24" max="24"/>
    <col width="16" customWidth="1" min="26" max="26"/>
    <col width="16" customWidth="1" min="27" max="27"/>
    <col width="16" customWidth="1" min="28" max="28"/>
    <col width="16" customWidth="1" min="30" max="30"/>
    <col width="16" customWidth="1" min="31" max="31"/>
    <col width="10" customWidth="1" min="33" max="33"/>
    <col width="10" customWidth="1" min="34" max="34"/>
    <col width="10" customWidth="1" min="35" max="35"/>
    <col width="10" customWidth="1" min="37" max="37"/>
    <col width="22" customWidth="1" min="39" max="39"/>
    <col width="12" customWidth="1" min="40" max="40"/>
    <col width="12" customWidth="1" min="42" max="42"/>
    <col width="12" customWidth="1" min="43" max="43"/>
  </cols>
  <sheetData>
    <row r="1">
      <c r="A1" s="57" t="inlineStr">
        <is>
          <t>tipos</t>
        </is>
      </c>
      <c r="B1" s="57" t="inlineStr">
        <is>
          <t>trilhas</t>
        </is>
      </c>
      <c r="C1" s="57" t="inlineStr">
        <is>
          <t>atributos</t>
        </is>
      </c>
      <c r="D1" s="57" t="inlineStr">
        <is>
          <t>trs</t>
        </is>
      </c>
      <c r="E1" s="57" t="inlineStr">
        <is>
          <t>sintonia</t>
        </is>
      </c>
      <c r="F1" s="57" t="inlineStr">
        <is>
          <t>defesa_de</t>
        </is>
      </c>
      <c r="G1" s="57" t="inlineStr">
        <is>
          <t>fisico_de</t>
        </is>
      </c>
      <c r="H1" s="57" t="inlineStr">
        <is>
          <t>traco</t>
        </is>
      </c>
      <c r="I1" s="57" t="inlineStr">
        <is>
          <t>comando</t>
        </is>
      </c>
      <c r="J1" s="5" t="n"/>
      <c r="K1" s="57" t="inlineStr">
        <is>
          <t>tab_tipos</t>
        </is>
      </c>
      <c r="L1" s="5" t="n"/>
      <c r="M1" s="5" t="n"/>
      <c r="N1" s="57" t="inlineStr">
        <is>
          <t>tab_trilhas</t>
        </is>
      </c>
      <c r="O1" s="5" t="n"/>
      <c r="P1" s="5" t="n"/>
      <c r="Q1" s="5" t="n"/>
      <c r="R1" s="5" t="n"/>
      <c r="S1" s="5" t="n"/>
      <c r="T1" s="57" t="inlineStr">
        <is>
          <t>tab_traco</t>
        </is>
      </c>
      <c r="U1" s="5" t="n"/>
      <c r="V1" s="5" t="n"/>
      <c r="W1" s="57" t="inlineStr">
        <is>
          <t>tab_comando</t>
        </is>
      </c>
      <c r="X1" s="5" t="n"/>
      <c r="Y1" s="5" t="n"/>
      <c r="Z1" s="57" t="inlineStr">
        <is>
          <t>tab_investir</t>
        </is>
      </c>
      <c r="AA1" s="5" t="n"/>
      <c r="AB1" s="5" t="n"/>
      <c r="AC1" s="5" t="n"/>
      <c r="AD1" s="57" t="inlineStr">
        <is>
          <t>tab_trs</t>
        </is>
      </c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7" t="inlineStr">
        <is>
          <t>degrau_traco</t>
        </is>
      </c>
      <c r="AQ1" s="57" t="inlineStr">
        <is>
          <t>degrau_comando</t>
        </is>
      </c>
      <c r="AR1" s="5" t="n"/>
    </row>
    <row r="2">
      <c r="A2" s="58" t="inlineStr">
        <is>
          <t>talismã</t>
        </is>
      </c>
      <c r="B2" s="58" t="inlineStr">
        <is>
          <t>Servo</t>
        </is>
      </c>
      <c r="C2" s="58" t="inlineStr">
        <is>
          <t>Força</t>
        </is>
      </c>
      <c r="D2" s="58" t="inlineStr">
        <is>
          <t>Físico</t>
        </is>
      </c>
      <c r="E2" s="58" t="inlineStr">
        <is>
          <t>—</t>
        </is>
      </c>
      <c r="F2" s="58" t="inlineStr">
        <is>
          <t>Essência</t>
        </is>
      </c>
      <c r="G2" s="58" t="inlineStr">
        <is>
          <t>Força</t>
        </is>
      </c>
      <c r="H2" s="58" t="inlineStr">
        <is>
          <t>—</t>
        </is>
      </c>
      <c r="I2" s="58" t="inlineStr">
        <is>
          <t>—</t>
        </is>
      </c>
      <c r="J2" s="5" t="n"/>
      <c r="K2" s="12" t="inlineStr">
        <is>
          <t>tipo</t>
        </is>
      </c>
      <c r="L2" s="12" t="inlineStr">
        <is>
          <t>base</t>
        </is>
      </c>
      <c r="M2" s="5" t="n"/>
      <c r="N2" s="12" t="inlineStr">
        <is>
          <t>trilha</t>
        </is>
      </c>
      <c r="O2" s="12" t="inlineStr">
        <is>
          <t>corpos</t>
        </is>
      </c>
      <c r="P2" s="12" t="inlineStr">
        <is>
          <t>mult</t>
        </is>
      </c>
      <c r="Q2" s="12" t="inlineStr">
        <is>
          <t>corpo</t>
        </is>
      </c>
      <c r="R2" s="12" t="inlineStr">
        <is>
          <t>area</t>
        </is>
      </c>
      <c r="S2" s="5" t="n"/>
      <c r="T2" s="12" t="inlineStr">
        <is>
          <t>traço</t>
        </is>
      </c>
      <c r="U2" s="12" t="inlineStr">
        <is>
          <t>pontos</t>
        </is>
      </c>
      <c r="V2" s="5" t="n"/>
      <c r="W2" s="12" t="inlineStr">
        <is>
          <t>comando</t>
        </is>
      </c>
      <c r="X2" s="12" t="inlineStr">
        <is>
          <t>pontos</t>
        </is>
      </c>
      <c r="Y2" s="5" t="n"/>
      <c r="Z2" s="12" t="inlineStr">
        <is>
          <t>de</t>
        </is>
      </c>
      <c r="AA2" s="12" t="inlineStr">
        <is>
          <t>uma</t>
        </is>
      </c>
      <c r="AB2" s="12" t="inlineStr">
        <is>
          <t>matilha</t>
        </is>
      </c>
      <c r="AC2" s="5" t="n"/>
      <c r="AD2" s="12" t="inlineStr">
        <is>
          <t>tr</t>
        </is>
      </c>
      <c r="AE2" s="12" t="inlineStr">
        <is>
          <t>atributo</t>
        </is>
      </c>
      <c r="AF2" s="5" t="n"/>
      <c r="AG2" s="12" t="inlineStr">
        <is>
          <t>e_marcos</t>
        </is>
      </c>
      <c r="AH2" s="12" t="inlineStr">
        <is>
          <t>e_maestria</t>
        </is>
      </c>
      <c r="AI2" s="12" t="inlineStr">
        <is>
          <t>e_classe</t>
        </is>
      </c>
      <c r="AJ2" s="5" t="n"/>
      <c r="AK2" s="12" t="inlineStr">
        <is>
          <t>espelho</t>
        </is>
      </c>
      <c r="AL2" s="5" t="n"/>
      <c r="AM2" s="12" t="inlineStr">
        <is>
          <t>campo</t>
        </is>
      </c>
      <c r="AN2" s="12" t="inlineStr">
        <is>
          <t>célula</t>
        </is>
      </c>
      <c r="AO2" s="5" t="n"/>
      <c r="AP2" s="58" t="inlineStr">
        <is>
          <t>—</t>
        </is>
      </c>
      <c r="AQ2" s="58" t="inlineStr">
        <is>
          <t>—</t>
        </is>
      </c>
      <c r="AR2" s="5" t="n"/>
    </row>
    <row r="3">
      <c r="A3" s="58" t="inlineStr">
        <is>
          <t>corpo amaldiçoado</t>
        </is>
      </c>
      <c r="B3" s="58" t="inlineStr">
        <is>
          <t>Matilha</t>
        </is>
      </c>
      <c r="C3" s="58" t="inlineStr">
        <is>
          <t>Destreza</t>
        </is>
      </c>
      <c r="D3" s="58" t="inlineStr">
        <is>
          <t>Vigor</t>
        </is>
      </c>
      <c r="E3" s="58" t="inlineStr">
        <is>
          <t>Presa</t>
        </is>
      </c>
      <c r="F3" s="58" t="inlineStr">
        <is>
          <t>Inteligência</t>
        </is>
      </c>
      <c r="G3" s="58" t="inlineStr">
        <is>
          <t>Destreza</t>
        </is>
      </c>
      <c r="H3" s="58" t="inlineStr">
        <is>
          <t>Escalada</t>
        </is>
      </c>
      <c r="I3" s="58" t="inlineStr">
        <is>
          <t>Investir</t>
        </is>
      </c>
      <c r="J3" s="5" t="n"/>
      <c r="K3" s="58" t="inlineStr">
        <is>
          <t>talismã</t>
        </is>
      </c>
      <c r="L3" s="58" t="n">
        <v>1</v>
      </c>
      <c r="M3" s="5" t="n"/>
      <c r="N3" s="58" t="inlineStr">
        <is>
          <t>Servo</t>
        </is>
      </c>
      <c r="O3" s="58" t="n">
        <v>1</v>
      </c>
      <c r="P3" s="58" t="n">
        <v>1.5</v>
      </c>
      <c r="Q3" s="58" t="n">
        <v>2.5</v>
      </c>
      <c r="R3" s="58" t="n">
        <v>1</v>
      </c>
      <c r="S3" s="5" t="n"/>
      <c r="T3" s="58" t="inlineStr">
        <is>
          <t>—</t>
        </is>
      </c>
      <c r="U3" s="58" t="n">
        <v>0</v>
      </c>
      <c r="V3" s="5" t="n"/>
      <c r="W3" s="58" t="inlineStr">
        <is>
          <t>—</t>
        </is>
      </c>
      <c r="X3" s="58" t="n">
        <v>0</v>
      </c>
      <c r="Y3" s="5" t="n"/>
      <c r="Z3" s="58" t="n">
        <v>2</v>
      </c>
      <c r="AA3" s="58" t="inlineStr">
        <is>
          <t>1d6</t>
        </is>
      </c>
      <c r="AB3" s="58" t="inlineStr">
        <is>
          <t>2</t>
        </is>
      </c>
      <c r="AC3" s="5" t="n"/>
      <c r="AD3" s="58" t="inlineStr">
        <is>
          <t>Físico</t>
        </is>
      </c>
      <c r="AE3" s="58" t="inlineStr">
        <is>
          <t>Força</t>
        </is>
      </c>
      <c r="AF3" s="5" t="n"/>
      <c r="AG3" s="58" t="n">
        <v>6</v>
      </c>
      <c r="AH3" s="58" t="n">
        <v>10</v>
      </c>
      <c r="AI3" s="58" t="n">
        <v>1</v>
      </c>
      <c r="AJ3" s="5" t="n"/>
      <c r="AK3" s="58">
        <f>INVOCAÇÃO!$D$30</f>
        <v/>
      </c>
      <c r="AL3" s="5" t="n"/>
      <c r="AM3" s="58" t="inlineStr">
        <is>
          <t>nivel</t>
        </is>
      </c>
      <c r="AN3" s="58" t="inlineStr">
        <is>
          <t>D7</t>
        </is>
      </c>
      <c r="AO3" s="5" t="n"/>
      <c r="AP3" s="58" t="n">
        <v>2</v>
      </c>
      <c r="AQ3" s="58" t="n">
        <v>0</v>
      </c>
      <c r="AR3" s="5" t="n"/>
    </row>
    <row r="4">
      <c r="A4" s="58" t="inlineStr">
        <is>
          <t>técnica</t>
        </is>
      </c>
      <c r="B4" s="58" t="inlineStr">
        <is>
          <t>Coro</t>
        </is>
      </c>
      <c r="C4" s="58" t="inlineStr">
        <is>
          <t>Constituição</t>
        </is>
      </c>
      <c r="D4" s="58" t="inlineStr">
        <is>
          <t>Intelecto</t>
        </is>
      </c>
      <c r="E4" s="58" t="inlineStr">
        <is>
          <t>Parrudo</t>
        </is>
      </c>
      <c r="F4" s="5" t="n"/>
      <c r="G4" s="5" t="n"/>
      <c r="H4" s="58" t="inlineStr">
        <is>
          <t>Nado</t>
        </is>
      </c>
      <c r="I4" s="58" t="inlineStr">
        <is>
          <t>Agarrar</t>
        </is>
      </c>
      <c r="J4" s="5" t="n"/>
      <c r="K4" s="58" t="inlineStr">
        <is>
          <t>corpo amaldiçoado</t>
        </is>
      </c>
      <c r="L4" s="58" t="n">
        <v>1</v>
      </c>
      <c r="M4" s="5" t="n"/>
      <c r="N4" s="58" t="inlineStr">
        <is>
          <t>Matilha</t>
        </is>
      </c>
      <c r="O4" s="58" t="n">
        <v>5</v>
      </c>
      <c r="P4" s="58" t="n">
        <v>1</v>
      </c>
      <c r="Q4" s="58" t="n">
        <v>2.5</v>
      </c>
      <c r="R4" s="58" t="n">
        <v>1.5</v>
      </c>
      <c r="S4" s="5" t="n"/>
      <c r="T4" s="58" t="inlineStr">
        <is>
          <t>Escalada</t>
        </is>
      </c>
      <c r="U4" s="58" t="n">
        <v>2</v>
      </c>
      <c r="V4" s="5" t="n"/>
      <c r="W4" s="58" t="inlineStr">
        <is>
          <t>Investir</t>
        </is>
      </c>
      <c r="X4" s="58" t="n">
        <v>0</v>
      </c>
      <c r="Y4" s="5" t="n"/>
      <c r="Z4" s="58" t="n">
        <v>5</v>
      </c>
      <c r="AA4" s="58" t="inlineStr">
        <is>
          <t>4d6</t>
        </is>
      </c>
      <c r="AB4" s="58" t="inlineStr">
        <is>
          <t>1d6</t>
        </is>
      </c>
      <c r="AC4" s="5" t="n"/>
      <c r="AD4" s="58" t="inlineStr">
        <is>
          <t>Vigor</t>
        </is>
      </c>
      <c r="AE4" s="58" t="inlineStr">
        <is>
          <t>Constituição</t>
        </is>
      </c>
      <c r="AF4" s="5" t="n"/>
      <c r="AG4" s="58" t="n">
        <v>10</v>
      </c>
      <c r="AH4" s="58" t="n">
        <v>18</v>
      </c>
      <c r="AI4" s="58" t="n">
        <v>5</v>
      </c>
      <c r="AJ4" s="5" t="n"/>
      <c r="AK4" s="58">
        <f>INVOCAÇÃO!$L$30</f>
        <v/>
      </c>
      <c r="AL4" s="5" t="n"/>
      <c r="AM4" s="58" t="inlineStr">
        <is>
          <t>ess_dono</t>
        </is>
      </c>
      <c r="AN4" s="58" t="inlineStr">
        <is>
          <t>O7</t>
        </is>
      </c>
      <c r="AO4" s="5" t="n"/>
      <c r="AP4" s="58" t="n">
        <v>3</v>
      </c>
      <c r="AQ4" s="58" t="n">
        <v>4</v>
      </c>
      <c r="AR4" s="5" t="n"/>
    </row>
    <row r="5">
      <c r="A5" s="58" t="inlineStr">
        <is>
          <t>maldição domada</t>
        </is>
      </c>
      <c r="B5" s="5" t="n"/>
      <c r="C5" s="58" t="inlineStr">
        <is>
          <t>Inteligência</t>
        </is>
      </c>
      <c r="D5" s="58" t="inlineStr">
        <is>
          <t>Espírito</t>
        </is>
      </c>
      <c r="E5" s="58" t="inlineStr">
        <is>
          <t>Voz</t>
        </is>
      </c>
      <c r="F5" s="5" t="n"/>
      <c r="G5" s="5" t="n"/>
      <c r="H5" s="58" t="inlineStr">
        <is>
          <t>Fala</t>
        </is>
      </c>
      <c r="I5" s="58" t="inlineStr">
        <is>
          <t>Arrastar</t>
        </is>
      </c>
      <c r="J5" s="5" t="n"/>
      <c r="K5" s="58" t="inlineStr">
        <is>
          <t>técnica</t>
        </is>
      </c>
      <c r="L5" s="58" t="n">
        <v>2</v>
      </c>
      <c r="M5" s="5" t="n"/>
      <c r="N5" s="58" t="inlineStr">
        <is>
          <t>Coro</t>
        </is>
      </c>
      <c r="O5" s="58" t="n">
        <v>1</v>
      </c>
      <c r="P5" s="58" t="n">
        <v>1</v>
      </c>
      <c r="Q5" s="58" t="n">
        <v>2</v>
      </c>
      <c r="R5" s="58" t="n">
        <v>1</v>
      </c>
      <c r="S5" s="5" t="n"/>
      <c r="T5" s="58" t="inlineStr">
        <is>
          <t>Nado</t>
        </is>
      </c>
      <c r="U5" s="58" t="n">
        <v>2</v>
      </c>
      <c r="V5" s="5" t="n"/>
      <c r="W5" s="58" t="inlineStr">
        <is>
          <t>Agarrar</t>
        </is>
      </c>
      <c r="X5" s="58" t="n">
        <v>4</v>
      </c>
      <c r="Y5" s="5" t="n"/>
      <c r="Z5" s="58" t="n">
        <v>9</v>
      </c>
      <c r="AA5" s="58" t="inlineStr">
        <is>
          <t>6d6</t>
        </is>
      </c>
      <c r="AB5" s="58" t="inlineStr">
        <is>
          <t>2d6</t>
        </is>
      </c>
      <c r="AC5" s="5" t="n"/>
      <c r="AD5" s="58" t="inlineStr">
        <is>
          <t>Intelecto</t>
        </is>
      </c>
      <c r="AE5" s="58" t="inlineStr">
        <is>
          <t>Inteligência</t>
        </is>
      </c>
      <c r="AF5" s="5" t="n"/>
      <c r="AG5" s="58" t="n">
        <v>14</v>
      </c>
      <c r="AH5" s="58" t="n">
        <v>26</v>
      </c>
      <c r="AI5" s="58" t="n">
        <v>9</v>
      </c>
      <c r="AJ5" s="5" t="n"/>
      <c r="AK5" s="58">
        <f>INVOCAÇÃO!$T$30</f>
        <v/>
      </c>
      <c r="AL5" s="5" t="n"/>
      <c r="AM5" s="58" t="inlineStr">
        <is>
          <t>int_dono</t>
        </is>
      </c>
      <c r="AN5" s="58" t="inlineStr">
        <is>
          <t>Z7</t>
        </is>
      </c>
      <c r="AO5" s="5" t="n"/>
      <c r="AP5" s="58" t="n">
        <v>5</v>
      </c>
      <c r="AQ5" s="58" t="n">
        <v>8</v>
      </c>
      <c r="AR5" s="5" t="n"/>
    </row>
    <row r="6">
      <c r="A6" s="5" t="n"/>
      <c r="B6" s="5" t="n"/>
      <c r="C6" s="58" t="inlineStr">
        <is>
          <t>Essência</t>
        </is>
      </c>
      <c r="D6" s="5" t="n"/>
      <c r="E6" s="5" t="n"/>
      <c r="F6" s="5" t="n"/>
      <c r="G6" s="5" t="n"/>
      <c r="H6" s="58" t="inlineStr">
        <is>
          <t>Faro</t>
        </is>
      </c>
      <c r="I6" s="58" t="inlineStr">
        <is>
          <t>Buscar</t>
        </is>
      </c>
      <c r="J6" s="5" t="n"/>
      <c r="K6" s="58" t="inlineStr">
        <is>
          <t>maldição domada</t>
        </is>
      </c>
      <c r="L6" s="58" t="n">
        <v>3</v>
      </c>
      <c r="M6" s="5" t="n"/>
      <c r="N6" s="5" t="n"/>
      <c r="O6" s="5" t="n"/>
      <c r="P6" s="5" t="n"/>
      <c r="Q6" s="5" t="n"/>
      <c r="R6" s="5" t="n"/>
      <c r="S6" s="5" t="n"/>
      <c r="T6" s="58" t="inlineStr">
        <is>
          <t>Fala</t>
        </is>
      </c>
      <c r="U6" s="58" t="n">
        <v>3</v>
      </c>
      <c r="V6" s="5" t="n"/>
      <c r="W6" s="58" t="inlineStr">
        <is>
          <t>Arrastar</t>
        </is>
      </c>
      <c r="X6" s="58" t="n">
        <v>4</v>
      </c>
      <c r="Y6" s="5" t="n"/>
      <c r="Z6" s="58" t="n">
        <v>13</v>
      </c>
      <c r="AA6" s="58" t="inlineStr">
        <is>
          <t>8d6</t>
        </is>
      </c>
      <c r="AB6" s="58" t="inlineStr">
        <is>
          <t>3d6</t>
        </is>
      </c>
      <c r="AC6" s="5" t="n"/>
      <c r="AD6" s="58" t="inlineStr">
        <is>
          <t>Espírito</t>
        </is>
      </c>
      <c r="AE6" s="58" t="inlineStr">
        <is>
          <t>Essência</t>
        </is>
      </c>
      <c r="AF6" s="5" t="n"/>
      <c r="AG6" s="58" t="n">
        <v>18</v>
      </c>
      <c r="AH6" s="5" t="n"/>
      <c r="AI6" s="58" t="n">
        <v>13</v>
      </c>
      <c r="AJ6" s="5" t="n"/>
      <c r="AK6" s="58">
        <f>INVOCAÇÃO!$AB$30</f>
        <v/>
      </c>
      <c r="AL6" s="5" t="n"/>
      <c r="AM6" s="58" t="inlineStr">
        <is>
          <t>maestria</t>
        </is>
      </c>
      <c r="AN6" s="58" t="inlineStr">
        <is>
          <t>AK7</t>
        </is>
      </c>
      <c r="AO6" s="5" t="n"/>
      <c r="AP6" s="58" t="n">
        <v>7</v>
      </c>
      <c r="AQ6" s="5" t="n"/>
      <c r="AR6" s="5" t="n"/>
    </row>
    <row r="7">
      <c r="A7" s="5" t="n"/>
      <c r="B7" s="5" t="n"/>
      <c r="C7" s="5" t="n"/>
      <c r="D7" s="5" t="n"/>
      <c r="E7" s="5" t="n"/>
      <c r="F7" s="5" t="n"/>
      <c r="G7" s="5" t="n"/>
      <c r="H7" s="58" t="inlineStr">
        <is>
          <t>Vigia</t>
        </is>
      </c>
      <c r="I7" s="58" t="inlineStr">
        <is>
          <t>Cavar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8" t="inlineStr">
        <is>
          <t>Faro</t>
        </is>
      </c>
      <c r="U7" s="58" t="n">
        <v>5</v>
      </c>
      <c r="V7" s="5" t="n"/>
      <c r="W7" s="58" t="inlineStr">
        <is>
          <t>Buscar</t>
        </is>
      </c>
      <c r="X7" s="58" t="n">
        <v>4</v>
      </c>
      <c r="Y7" s="5" t="n"/>
      <c r="Z7" s="58" t="n">
        <v>17</v>
      </c>
      <c r="AA7" s="58" t="inlineStr">
        <is>
          <t>10d6</t>
        </is>
      </c>
      <c r="AB7" s="58" t="inlineStr">
        <is>
          <t>4d6</t>
        </is>
      </c>
      <c r="AC7" s="5" t="n"/>
      <c r="AD7" s="5" t="n"/>
      <c r="AE7" s="5" t="n"/>
      <c r="AF7" s="5" t="n"/>
      <c r="AG7" s="58" t="n">
        <v>22</v>
      </c>
      <c r="AH7" s="5" t="n"/>
      <c r="AI7" s="58" t="n">
        <v>17</v>
      </c>
      <c r="AJ7" s="5" t="n"/>
      <c r="AK7" s="58">
        <f>INVOCAÇÃO!$AJ$30</f>
        <v/>
      </c>
      <c r="AL7" s="5" t="n"/>
      <c r="AM7" s="58" t="inlineStr">
        <is>
          <t>marcos</t>
        </is>
      </c>
      <c r="AN7" s="58" t="inlineStr">
        <is>
          <t>D11</t>
        </is>
      </c>
      <c r="AO7" s="5" t="n"/>
      <c r="AP7" s="58" t="n">
        <v>8</v>
      </c>
      <c r="AQ7" s="5" t="n"/>
      <c r="AR7" s="5" t="n"/>
    </row>
    <row r="8">
      <c r="A8" s="5" t="n"/>
      <c r="B8" s="5" t="n"/>
      <c r="C8" s="5" t="n"/>
      <c r="D8" s="5" t="n"/>
      <c r="E8" s="5" t="n"/>
      <c r="F8" s="5" t="n"/>
      <c r="G8" s="5" t="n"/>
      <c r="H8" s="58" t="inlineStr">
        <is>
          <t>Miúdo</t>
        </is>
      </c>
      <c r="I8" s="58" t="inlineStr">
        <is>
          <t>Interpor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8" t="inlineStr">
        <is>
          <t>Vigia</t>
        </is>
      </c>
      <c r="U8" s="58" t="n">
        <v>5</v>
      </c>
      <c r="V8" s="5" t="n"/>
      <c r="W8" s="58" t="inlineStr">
        <is>
          <t>Cavar</t>
        </is>
      </c>
      <c r="X8" s="58" t="n">
        <v>4</v>
      </c>
      <c r="Y8" s="5" t="n"/>
      <c r="Z8" s="58" t="n">
        <v>21</v>
      </c>
      <c r="AA8" s="58" t="inlineStr">
        <is>
          <t>13d6</t>
        </is>
      </c>
      <c r="AB8" s="58" t="inlineStr">
        <is>
          <t>5d6</t>
        </is>
      </c>
      <c r="AC8" s="5" t="n"/>
      <c r="AD8" s="5" t="n"/>
      <c r="AE8" s="5" t="n"/>
      <c r="AF8" s="5" t="n"/>
      <c r="AG8" s="58" t="n">
        <v>26</v>
      </c>
      <c r="AH8" s="5" t="n"/>
      <c r="AI8" s="58" t="n">
        <v>21</v>
      </c>
      <c r="AJ8" s="5" t="n"/>
      <c r="AK8" s="5" t="n"/>
      <c r="AL8" s="5" t="n"/>
      <c r="AM8" s="58" t="inlineStr">
        <is>
          <t>classe</t>
        </is>
      </c>
      <c r="AN8" s="58" t="inlineStr">
        <is>
          <t>O11</t>
        </is>
      </c>
      <c r="AO8" s="5" t="n"/>
      <c r="AP8" s="5" t="n"/>
      <c r="AQ8" s="5" t="n"/>
      <c r="AR8" s="5" t="n"/>
    </row>
    <row r="9">
      <c r="A9" s="5" t="n"/>
      <c r="B9" s="5" t="n"/>
      <c r="C9" s="5" t="n"/>
      <c r="D9" s="5" t="n"/>
      <c r="E9" s="5" t="n"/>
      <c r="F9" s="5" t="n"/>
      <c r="G9" s="5" t="n"/>
      <c r="H9" s="58" t="inlineStr">
        <is>
          <t>Voo</t>
        </is>
      </c>
      <c r="I9" s="58" t="inlineStr">
        <is>
          <t>Chamariz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8" t="inlineStr">
        <is>
          <t>Miúdo</t>
        </is>
      </c>
      <c r="U9" s="58" t="n">
        <v>7</v>
      </c>
      <c r="V9" s="5" t="n"/>
      <c r="W9" s="58" t="inlineStr">
        <is>
          <t>Interpor</t>
        </is>
      </c>
      <c r="X9" s="58" t="n">
        <v>8</v>
      </c>
      <c r="Y9" s="5" t="n"/>
      <c r="Z9" s="58" t="n">
        <v>26</v>
      </c>
      <c r="AA9" s="58" t="inlineStr">
        <is>
          <t>15d6</t>
        </is>
      </c>
      <c r="AB9" s="58" t="inlineStr">
        <is>
          <t>6d6</t>
        </is>
      </c>
      <c r="AC9" s="5" t="n"/>
      <c r="AD9" s="5" t="n"/>
      <c r="AE9" s="5" t="n"/>
      <c r="AF9" s="5" t="n"/>
      <c r="AG9" s="58" t="n">
        <v>30</v>
      </c>
      <c r="AH9" s="5" t="n"/>
      <c r="AI9" s="58" t="n">
        <v>26</v>
      </c>
      <c r="AJ9" s="5" t="n"/>
      <c r="AK9" s="5" t="n"/>
      <c r="AL9" s="5" t="n"/>
      <c r="AM9" s="58" t="inlineStr">
        <is>
          <t>nome</t>
        </is>
      </c>
      <c r="AN9" s="58" t="inlineStr">
        <is>
          <t>D19</t>
        </is>
      </c>
      <c r="AO9" s="5" t="n"/>
      <c r="AP9" s="5" t="n"/>
      <c r="AQ9" s="5" t="n"/>
      <c r="A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8" t="inlineStr">
        <is>
          <t>Montaria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8" t="inlineStr">
        <is>
          <t>Voo</t>
        </is>
      </c>
      <c r="U10" s="58" t="n">
        <v>8</v>
      </c>
      <c r="V10" s="5" t="n"/>
      <c r="W10" s="58" t="inlineStr">
        <is>
          <t>Chamariz</t>
        </is>
      </c>
      <c r="X10" s="58" t="n">
        <v>8</v>
      </c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8" t="inlineStr">
        <is>
          <t>tipo</t>
        </is>
      </c>
      <c r="AN10" s="58" t="inlineStr">
        <is>
          <t>Z19</t>
        </is>
      </c>
      <c r="AO10" s="5" t="n"/>
      <c r="AP10" s="5" t="n"/>
      <c r="AQ10" s="5" t="n"/>
      <c r="A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8" t="inlineStr">
        <is>
          <t>Fisgada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8" t="inlineStr">
        <is>
          <t>Montaria</t>
        </is>
      </c>
      <c r="U11" s="58" t="n">
        <v>8</v>
      </c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8" t="inlineStr">
        <is>
          <t>trilha</t>
        </is>
      </c>
      <c r="AN11" s="58" t="inlineStr">
        <is>
          <t>AK19</t>
        </is>
      </c>
      <c r="AO11" s="5" t="n"/>
      <c r="AP11" s="5" t="n"/>
      <c r="AQ11" s="5" t="n"/>
      <c r="A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8" t="inlineStr">
        <is>
          <t>Emboscada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8" t="inlineStr">
        <is>
          <t>Fisgada</t>
        </is>
      </c>
      <c r="U12" s="58" t="n">
        <v>8</v>
      </c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8" t="inlineStr">
        <is>
          <t>sintonia</t>
        </is>
      </c>
      <c r="AN12" s="58" t="inlineStr">
        <is>
          <t>D22</t>
        </is>
      </c>
      <c r="AO12" s="5" t="n"/>
      <c r="AP12" s="5" t="n"/>
      <c r="AQ12" s="5" t="n"/>
      <c r="A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8" t="inlineStr">
        <is>
          <t>Jorro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8" t="inlineStr">
        <is>
          <t>Emboscada</t>
        </is>
      </c>
      <c r="U13" s="58" t="n">
        <v>8</v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8" t="inlineStr">
        <is>
          <t>pontos_atributo</t>
        </is>
      </c>
      <c r="AN13" s="58" t="inlineStr">
        <is>
          <t>D35</t>
        </is>
      </c>
      <c r="AO13" s="5" t="n"/>
      <c r="AP13" s="5" t="n"/>
      <c r="AQ13" s="5" t="n"/>
      <c r="A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8" t="inlineStr">
        <is>
          <t>Graúdo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8" t="inlineStr">
        <is>
          <t>Jorro</t>
        </is>
      </c>
      <c r="U14" s="58" t="n">
        <v>8</v>
      </c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8" t="inlineStr">
        <is>
          <t>pontos_disp</t>
        </is>
      </c>
      <c r="AN14" s="58" t="inlineStr">
        <is>
          <t>O35</t>
        </is>
      </c>
      <c r="AO14" s="5" t="n"/>
      <c r="AP14" s="5" t="n"/>
      <c r="AQ14" s="5" t="n"/>
      <c r="A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8" t="inlineStr">
        <is>
          <t>Remoto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8" t="inlineStr">
        <is>
          <t>Graúdo</t>
        </is>
      </c>
      <c r="U15" s="58" t="n">
        <v>8</v>
      </c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8" t="inlineStr">
        <is>
          <t>aviso_atributo</t>
        </is>
      </c>
      <c r="AN15" s="58" t="inlineStr">
        <is>
          <t>Z35</t>
        </is>
      </c>
      <c r="AO15" s="5" t="n"/>
      <c r="AP15" s="5" t="n"/>
      <c r="AQ15" s="5" t="n"/>
      <c r="A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8" t="inlineStr">
        <is>
          <t>Remoto</t>
        </is>
      </c>
      <c r="U16" s="58" t="n">
        <v>8</v>
      </c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8" t="inlineStr">
        <is>
          <t>atr_acerto</t>
        </is>
      </c>
      <c r="AN16" s="58" t="inlineStr">
        <is>
          <t>D43</t>
        </is>
      </c>
      <c r="AO16" s="5" t="n"/>
      <c r="AP16" s="5" t="n"/>
      <c r="AQ16" s="5" t="n"/>
      <c r="A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8" t="inlineStr">
        <is>
          <t>acerto</t>
        </is>
      </c>
      <c r="AN17" s="58" t="inlineStr">
        <is>
          <t>O43</t>
        </is>
      </c>
      <c r="AO17" s="5" t="n"/>
      <c r="AP17" s="5" t="n"/>
      <c r="AQ17" s="5" t="n"/>
      <c r="A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8" t="inlineStr">
        <is>
          <t>defesa_de</t>
        </is>
      </c>
      <c r="AN18" s="58" t="inlineStr">
        <is>
          <t>Z43</t>
        </is>
      </c>
      <c r="AO18" s="5" t="n"/>
      <c r="AP18" s="5" t="n"/>
      <c r="AQ18" s="5" t="n"/>
      <c r="A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8" t="inlineStr">
        <is>
          <t>defesa</t>
        </is>
      </c>
      <c r="AN19" s="58" t="inlineStr">
        <is>
          <t>AK43</t>
        </is>
      </c>
      <c r="AO19" s="5" t="n"/>
      <c r="AP19" s="5" t="n"/>
      <c r="AQ19" s="5" t="n"/>
      <c r="A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8" t="inlineStr">
        <is>
          <t>critico</t>
        </is>
      </c>
      <c r="AN20" s="58" t="inlineStr">
        <is>
          <t>D46</t>
        </is>
      </c>
      <c r="AO20" s="5" t="n"/>
      <c r="AP20" s="5" t="n"/>
      <c r="AQ20" s="5" t="n"/>
      <c r="A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8" t="inlineStr">
        <is>
          <t>tr_treinado</t>
        </is>
      </c>
      <c r="AN21" s="58" t="inlineStr">
        <is>
          <t>O46</t>
        </is>
      </c>
      <c r="AO21" s="5" t="n"/>
      <c r="AP21" s="5" t="n"/>
      <c r="AQ21" s="5" t="n"/>
      <c r="A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8" t="inlineStr">
        <is>
          <t>fisico_de</t>
        </is>
      </c>
      <c r="AN22" s="58" t="inlineStr">
        <is>
          <t>Z46</t>
        </is>
      </c>
      <c r="AO22" s="5" t="n"/>
      <c r="AP22" s="5" t="n"/>
      <c r="AQ22" s="5" t="n"/>
      <c r="A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8" t="inlineStr">
        <is>
          <t>tr_Físico</t>
        </is>
      </c>
      <c r="AN23" s="58" t="inlineStr">
        <is>
          <t>Q50</t>
        </is>
      </c>
      <c r="AO23" s="5" t="n"/>
      <c r="AP23" s="5" t="n"/>
      <c r="AQ23" s="5" t="n"/>
      <c r="A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8" t="inlineStr">
        <is>
          <t>tr_extra_Físico</t>
        </is>
      </c>
      <c r="AN24" s="58" t="inlineStr">
        <is>
          <t>K50</t>
        </is>
      </c>
      <c r="AO24" s="5" t="n"/>
      <c r="AP24" s="5" t="n"/>
      <c r="AQ24" s="5" t="n"/>
      <c r="A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8" t="inlineStr">
        <is>
          <t>tr_Vigor</t>
        </is>
      </c>
      <c r="AN25" s="58" t="inlineStr">
        <is>
          <t>AM50</t>
        </is>
      </c>
      <c r="AO25" s="5" t="n"/>
      <c r="AP25" s="5" t="n"/>
      <c r="AQ25" s="5" t="n"/>
      <c r="A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8" t="inlineStr">
        <is>
          <t>tr_extra_Vigor</t>
        </is>
      </c>
      <c r="AN26" s="58" t="inlineStr">
        <is>
          <t>AG50</t>
        </is>
      </c>
      <c r="AO26" s="5" t="n"/>
      <c r="AP26" s="5" t="n"/>
      <c r="AQ26" s="5" t="n"/>
      <c r="A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8" t="inlineStr">
        <is>
          <t>tr_Intelecto</t>
        </is>
      </c>
      <c r="AN27" s="58" t="inlineStr">
        <is>
          <t>Q51</t>
        </is>
      </c>
      <c r="AO27" s="5" t="n"/>
      <c r="AP27" s="5" t="n"/>
      <c r="AQ27" s="5" t="n"/>
      <c r="A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8" t="inlineStr">
        <is>
          <t>tr_extra_Intelecto</t>
        </is>
      </c>
      <c r="AN28" s="58" t="inlineStr">
        <is>
          <t>K51</t>
        </is>
      </c>
      <c r="AO28" s="5" t="n"/>
      <c r="AP28" s="5" t="n"/>
      <c r="AQ28" s="5" t="n"/>
      <c r="A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8" t="inlineStr">
        <is>
          <t>tr_Espírito</t>
        </is>
      </c>
      <c r="AN29" s="58" t="inlineStr">
        <is>
          <t>AM51</t>
        </is>
      </c>
      <c r="AO29" s="5" t="n"/>
      <c r="AP29" s="5" t="n"/>
      <c r="AQ29" s="5" t="n"/>
      <c r="A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8" t="inlineStr">
        <is>
          <t>tr_extra_Espírito</t>
        </is>
      </c>
      <c r="AN30" s="58" t="inlineStr">
        <is>
          <t>AG51</t>
        </is>
      </c>
      <c r="AO30" s="5" t="n"/>
      <c r="AP30" s="5" t="n"/>
      <c r="AQ30" s="5" t="n"/>
      <c r="AR30" s="5" t="n"/>
    </row>
    <row r="31">
      <c r="AM31" s="59" t="inlineStr">
        <is>
          <t>vida_max</t>
        </is>
      </c>
      <c r="AN31" s="59" t="inlineStr">
        <is>
          <t>D59</t>
        </is>
      </c>
    </row>
    <row r="32">
      <c r="AM32" s="59" t="inlineStr">
        <is>
          <t>vida</t>
        </is>
      </c>
      <c r="AN32" s="59" t="inlineStr">
        <is>
          <t>O59</t>
        </is>
      </c>
    </row>
    <row r="33">
      <c r="AM33" s="59" t="inlineStr">
        <is>
          <t>corpos</t>
        </is>
      </c>
      <c r="AN33" s="59" t="inlineStr">
        <is>
          <t>Z59</t>
        </is>
      </c>
    </row>
    <row r="34">
      <c r="AM34" s="59" t="inlineStr">
        <is>
          <t>area</t>
        </is>
      </c>
      <c r="AN34" s="59" t="inlineStr">
        <is>
          <t>AK59</t>
        </is>
      </c>
    </row>
    <row r="35">
      <c r="AM35" s="59" t="inlineStr">
        <is>
          <t>regua</t>
        </is>
      </c>
      <c r="AN35" s="59" t="inlineStr">
        <is>
          <t>D65</t>
        </is>
      </c>
    </row>
    <row r="36">
      <c r="AM36" s="59" t="inlineStr">
        <is>
          <t>meia_regua</t>
        </is>
      </c>
      <c r="AN36" s="59" t="inlineStr">
        <is>
          <t>O65</t>
        </is>
      </c>
    </row>
    <row r="37">
      <c r="AM37" s="59" t="inlineStr">
        <is>
          <t>volta_com</t>
        </is>
      </c>
      <c r="AN37" s="59" t="inlineStr">
        <is>
          <t>Z65</t>
        </is>
      </c>
    </row>
    <row r="38">
      <c r="AM38" s="59" t="inlineStr">
        <is>
          <t>orcamento</t>
        </is>
      </c>
      <c r="AN38" s="59" t="inlineStr">
        <is>
          <t>D76</t>
        </is>
      </c>
    </row>
    <row r="39">
      <c r="AM39" s="59" t="inlineStr">
        <is>
          <t>gasto</t>
        </is>
      </c>
      <c r="AN39" s="59" t="inlineStr">
        <is>
          <t>D92</t>
        </is>
      </c>
    </row>
    <row r="40">
      <c r="AM40" s="59" t="inlineStr">
        <is>
          <t>sobra</t>
        </is>
      </c>
      <c r="AN40" s="59" t="inlineStr">
        <is>
          <t>O92</t>
        </is>
      </c>
    </row>
    <row r="41">
      <c r="AM41" s="59" t="inlineStr">
        <is>
          <t>investir</t>
        </is>
      </c>
      <c r="AN41" s="59" t="inlineStr">
        <is>
          <t>D100</t>
        </is>
      </c>
    </row>
    <row r="42">
      <c r="AM42" s="59" t="inlineStr">
        <is>
          <t>cd_atributo</t>
        </is>
      </c>
      <c r="AN42" s="59" t="inlineStr">
        <is>
          <t>D117</t>
        </is>
      </c>
    </row>
    <row r="43">
      <c r="AM43" s="59" t="inlineStr">
        <is>
          <t>cd_preito</t>
        </is>
      </c>
      <c r="AN43" s="59" t="inlineStr">
        <is>
          <t>O117</t>
        </is>
      </c>
    </row>
    <row r="44">
      <c r="AM44" s="59" t="inlineStr">
        <is>
          <t>cd_bonus</t>
        </is>
      </c>
      <c r="AN44" s="59" t="inlineStr">
        <is>
          <t>Z117</t>
        </is>
      </c>
    </row>
    <row r="45">
      <c r="AM45" s="59" t="inlineStr">
        <is>
          <t>cd</t>
        </is>
      </c>
      <c r="AN45" s="59" t="inlineStr">
        <is>
          <t>AK117</t>
        </is>
      </c>
    </row>
    <row r="46">
      <c r="AM46" s="59" t="inlineStr">
        <is>
          <t>cd_confere</t>
        </is>
      </c>
      <c r="AN46" s="59" t="inlineStr">
        <is>
          <t>D121</t>
        </is>
      </c>
    </row>
    <row r="47">
      <c r="AM47" s="59" t="inlineStr">
        <is>
          <t>atr_Força</t>
        </is>
      </c>
      <c r="AN47" s="59" t="inlineStr">
        <is>
          <t>D30</t>
        </is>
      </c>
    </row>
    <row r="48">
      <c r="AM48" s="59" t="inlineStr">
        <is>
          <t>atr_Destreza</t>
        </is>
      </c>
      <c r="AN48" s="59" t="inlineStr">
        <is>
          <t>L30</t>
        </is>
      </c>
    </row>
    <row r="49">
      <c r="AM49" s="59" t="inlineStr">
        <is>
          <t>atr_Constituição</t>
        </is>
      </c>
      <c r="AN49" s="59" t="inlineStr">
        <is>
          <t>T30</t>
        </is>
      </c>
    </row>
    <row r="50">
      <c r="AM50" s="59" t="inlineStr">
        <is>
          <t>atr_Inteligência</t>
        </is>
      </c>
      <c r="AN50" s="59" t="inlineStr">
        <is>
          <t>AB30</t>
        </is>
      </c>
    </row>
    <row r="51">
      <c r="AM51" s="59" t="inlineStr">
        <is>
          <t>atr_Essência</t>
        </is>
      </c>
      <c r="AN51" s="59" t="inlineStr">
        <is>
          <t>AJ30</t>
        </is>
      </c>
    </row>
    <row r="52">
      <c r="AM52" s="59" t="inlineStr">
        <is>
          <t>slot_pontos_1</t>
        </is>
      </c>
      <c r="AN52" s="59" t="inlineStr">
        <is>
          <t>S80</t>
        </is>
      </c>
    </row>
    <row r="53">
      <c r="AM53" s="59" t="inlineStr">
        <is>
          <t>slot_pontos_2</t>
        </is>
      </c>
      <c r="AN53" s="59" t="inlineStr">
        <is>
          <t>S81</t>
        </is>
      </c>
    </row>
    <row r="54">
      <c r="AM54" s="59" t="inlineStr">
        <is>
          <t>slot_pontos_3</t>
        </is>
      </c>
      <c r="AN54" s="59" t="inlineStr">
        <is>
          <t>S82</t>
        </is>
      </c>
    </row>
    <row r="55">
      <c r="AM55" s="59" t="inlineStr">
        <is>
          <t>slot_pontos_4</t>
        </is>
      </c>
      <c r="AN55" s="59" t="inlineStr">
        <is>
          <t>S83</t>
        </is>
      </c>
    </row>
    <row r="56">
      <c r="AM56" s="59" t="inlineStr">
        <is>
          <t>slot_pontos_5</t>
        </is>
      </c>
      <c r="AN56" s="59" t="inlineStr">
        <is>
          <t>S84</t>
        </is>
      </c>
    </row>
    <row r="57">
      <c r="AM57" s="59" t="inlineStr">
        <is>
          <t>slot_pontos_6</t>
        </is>
      </c>
      <c r="AN57" s="59" t="inlineStr">
        <is>
          <t>S85</t>
        </is>
      </c>
    </row>
    <row r="58">
      <c r="AM58" s="59" t="inlineStr">
        <is>
          <t>slot_pontos_7</t>
        </is>
      </c>
      <c r="AN58" s="59" t="inlineStr">
        <is>
          <t>S86</t>
        </is>
      </c>
    </row>
    <row r="59">
      <c r="AM59" s="59" t="inlineStr">
        <is>
          <t>slot_pontos_8</t>
        </is>
      </c>
      <c r="AN59" s="59" t="inlineStr">
        <is>
          <t>S87</t>
        </is>
      </c>
    </row>
    <row r="60">
      <c r="AM60" s="59" t="inlineStr">
        <is>
          <t>slot_pontos_9</t>
        </is>
      </c>
      <c r="AN60" s="59" t="inlineStr">
        <is>
          <t>S88</t>
        </is>
      </c>
    </row>
    <row r="61">
      <c r="AM61" s="59" t="inlineStr">
        <is>
          <t>slot_pontos_10</t>
        </is>
      </c>
      <c r="AN61" s="59" t="inlineStr">
        <is>
          <t>AO80</t>
        </is>
      </c>
    </row>
    <row r="62">
      <c r="AM62" s="59" t="inlineStr">
        <is>
          <t>slot_pontos_11</t>
        </is>
      </c>
      <c r="AN62" s="59" t="inlineStr">
        <is>
          <t>AO81</t>
        </is>
      </c>
    </row>
    <row r="63">
      <c r="AM63" s="59" t="inlineStr">
        <is>
          <t>slot_pontos_12</t>
        </is>
      </c>
      <c r="AN63" s="59" t="inlineStr">
        <is>
          <t>AO82</t>
        </is>
      </c>
    </row>
    <row r="64">
      <c r="AM64" s="59" t="inlineStr">
        <is>
          <t>slot_pontos_13</t>
        </is>
      </c>
      <c r="AN64" s="59" t="inlineStr">
        <is>
          <t>AO83</t>
        </is>
      </c>
    </row>
    <row r="65">
      <c r="AM65" s="59" t="inlineStr">
        <is>
          <t>slot_pontos_14</t>
        </is>
      </c>
      <c r="AN65" s="59" t="inlineStr">
        <is>
          <t>AO84</t>
        </is>
      </c>
    </row>
    <row r="66">
      <c r="AM66" s="59" t="inlineStr">
        <is>
          <t>slot_pontos_15</t>
        </is>
      </c>
      <c r="AN66" s="59" t="inlineStr">
        <is>
          <t>AO85</t>
        </is>
      </c>
    </row>
    <row r="67">
      <c r="AM67" s="59" t="inlineStr">
        <is>
          <t>traco_1</t>
        </is>
      </c>
      <c r="AN67" s="59" t="inlineStr">
        <is>
          <t>D80</t>
        </is>
      </c>
    </row>
    <row r="68">
      <c r="AM68" s="59" t="inlineStr">
        <is>
          <t>traco_2</t>
        </is>
      </c>
      <c r="AN68" s="59" t="inlineStr">
        <is>
          <t>D81</t>
        </is>
      </c>
    </row>
    <row r="69">
      <c r="AM69" s="59" t="inlineStr">
        <is>
          <t>traco_3</t>
        </is>
      </c>
      <c r="AN69" s="59" t="inlineStr">
        <is>
          <t>D82</t>
        </is>
      </c>
    </row>
    <row r="70">
      <c r="AM70" s="59" t="inlineStr">
        <is>
          <t>traco_4</t>
        </is>
      </c>
      <c r="AN70" s="59" t="inlineStr">
        <is>
          <t>D83</t>
        </is>
      </c>
    </row>
    <row r="71">
      <c r="AM71" s="59" t="inlineStr">
        <is>
          <t>traco_5</t>
        </is>
      </c>
      <c r="AN71" s="59" t="inlineStr">
        <is>
          <t>D84</t>
        </is>
      </c>
    </row>
    <row r="72">
      <c r="AM72" s="59" t="inlineStr">
        <is>
          <t>traco_6</t>
        </is>
      </c>
      <c r="AN72" s="59" t="inlineStr">
        <is>
          <t>D85</t>
        </is>
      </c>
    </row>
    <row r="73">
      <c r="AM73" s="59" t="inlineStr">
        <is>
          <t>traco_7</t>
        </is>
      </c>
      <c r="AN73" s="59" t="inlineStr">
        <is>
          <t>D86</t>
        </is>
      </c>
    </row>
    <row r="74">
      <c r="AM74" s="59" t="inlineStr">
        <is>
          <t>traco_8</t>
        </is>
      </c>
      <c r="AN74" s="59" t="inlineStr">
        <is>
          <t>D87</t>
        </is>
      </c>
    </row>
    <row r="75">
      <c r="AM75" s="59" t="inlineStr">
        <is>
          <t>traco_9</t>
        </is>
      </c>
      <c r="AN75" s="59" t="inlineStr">
        <is>
          <t>D88</t>
        </is>
      </c>
    </row>
    <row r="76">
      <c r="AM76" s="59" t="inlineStr">
        <is>
          <t>comando_1</t>
        </is>
      </c>
      <c r="AN76" s="59" t="inlineStr">
        <is>
          <t>Z80</t>
        </is>
      </c>
    </row>
    <row r="77">
      <c r="AM77" s="59" t="inlineStr">
        <is>
          <t>comando_2</t>
        </is>
      </c>
      <c r="AN77" s="59" t="inlineStr">
        <is>
          <t>Z81</t>
        </is>
      </c>
    </row>
    <row r="78">
      <c r="AM78" s="59" t="inlineStr">
        <is>
          <t>comando_3</t>
        </is>
      </c>
      <c r="AN78" s="59" t="inlineStr">
        <is>
          <t>Z82</t>
        </is>
      </c>
    </row>
    <row r="79">
      <c r="AM79" s="59" t="inlineStr">
        <is>
          <t>comando_4</t>
        </is>
      </c>
      <c r="AN79" s="59" t="inlineStr">
        <is>
          <t>Z83</t>
        </is>
      </c>
    </row>
    <row r="80">
      <c r="AM80" s="59" t="inlineStr">
        <is>
          <t>comando_5</t>
        </is>
      </c>
      <c r="AN80" s="59" t="inlineStr">
        <is>
          <t>Z84</t>
        </is>
      </c>
    </row>
    <row r="81">
      <c r="AM81" s="59" t="inlineStr">
        <is>
          <t>comando_6</t>
        </is>
      </c>
      <c r="AN81" s="59" t="inlineStr">
        <is>
          <t>Z85</t>
        </is>
      </c>
    </row>
    <row r="82">
      <c r="AM82" s="59" t="inlineStr">
        <is>
          <t>degrau_traco_1</t>
        </is>
      </c>
      <c r="AN82" s="59" t="inlineStr">
        <is>
          <t>O80</t>
        </is>
      </c>
    </row>
    <row r="83">
      <c r="AM83" s="59" t="inlineStr">
        <is>
          <t>degrau_traco_2</t>
        </is>
      </c>
      <c r="AN83" s="59" t="inlineStr">
        <is>
          <t>O81</t>
        </is>
      </c>
    </row>
    <row r="84">
      <c r="AM84" s="59" t="inlineStr">
        <is>
          <t>degrau_traco_3</t>
        </is>
      </c>
      <c r="AN84" s="59" t="inlineStr">
        <is>
          <t>O82</t>
        </is>
      </c>
    </row>
    <row r="85">
      <c r="AM85" s="59" t="inlineStr">
        <is>
          <t>degrau_traco_4</t>
        </is>
      </c>
      <c r="AN85" s="59" t="inlineStr">
        <is>
          <t>O83</t>
        </is>
      </c>
    </row>
    <row r="86">
      <c r="AM86" s="59" t="inlineStr">
        <is>
          <t>degrau_traco_5</t>
        </is>
      </c>
      <c r="AN86" s="59" t="inlineStr">
        <is>
          <t>O84</t>
        </is>
      </c>
    </row>
    <row r="87">
      <c r="AM87" s="59" t="inlineStr">
        <is>
          <t>degrau_traco_6</t>
        </is>
      </c>
      <c r="AN87" s="59" t="inlineStr">
        <is>
          <t>O85</t>
        </is>
      </c>
    </row>
    <row r="88">
      <c r="AM88" s="59" t="inlineStr">
        <is>
          <t>degrau_traco_7</t>
        </is>
      </c>
      <c r="AN88" s="59" t="inlineStr">
        <is>
          <t>O86</t>
        </is>
      </c>
    </row>
    <row r="89">
      <c r="AM89" s="59" t="inlineStr">
        <is>
          <t>degrau_traco_8</t>
        </is>
      </c>
      <c r="AN89" s="59" t="inlineStr">
        <is>
          <t>O87</t>
        </is>
      </c>
    </row>
    <row r="90">
      <c r="AM90" s="59" t="inlineStr">
        <is>
          <t>degrau_traco_9</t>
        </is>
      </c>
      <c r="AN90" s="59" t="inlineStr">
        <is>
          <t>O88</t>
        </is>
      </c>
    </row>
    <row r="91">
      <c r="AM91" s="59" t="inlineStr">
        <is>
          <t>degrau_comando_1</t>
        </is>
      </c>
      <c r="AN91" s="59" t="inlineStr">
        <is>
          <t>AK80</t>
        </is>
      </c>
    </row>
    <row r="92">
      <c r="AM92" s="59" t="inlineStr">
        <is>
          <t>degrau_comando_2</t>
        </is>
      </c>
      <c r="AN92" s="59" t="inlineStr">
        <is>
          <t>AK81</t>
        </is>
      </c>
    </row>
    <row r="93">
      <c r="AM93" s="59" t="inlineStr">
        <is>
          <t>degrau_comando_3</t>
        </is>
      </c>
      <c r="AN93" s="59" t="inlineStr">
        <is>
          <t>AK82</t>
        </is>
      </c>
    </row>
    <row r="94">
      <c r="AM94" s="59" t="inlineStr">
        <is>
          <t>degrau_comando_4</t>
        </is>
      </c>
      <c r="AN94" s="59" t="inlineStr">
        <is>
          <t>AK83</t>
        </is>
      </c>
    </row>
    <row r="95">
      <c r="AM95" s="59" t="inlineStr">
        <is>
          <t>degrau_comando_5</t>
        </is>
      </c>
      <c r="AN95" s="59" t="inlineStr">
        <is>
          <t>AK84</t>
        </is>
      </c>
    </row>
    <row r="96">
      <c r="AM96" s="59" t="inlineStr">
        <is>
          <t>degrau_comando_6</t>
        </is>
      </c>
      <c r="AN96" s="59" t="inlineStr">
        <is>
          <t>AK85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2026-09-18T23:53:59Z</dcterms:created>
  <dcterms:modified xmlns:dcterms="http://purl.org/dc/terms/" xmlns:xsi="http://www.w3.org/2001/XMLSchema-instance" xsi:type="dcterms:W3CDTF">2026-09-18T23:54:00Z</dcterms:modified>
</cp:coreProperties>
</file>
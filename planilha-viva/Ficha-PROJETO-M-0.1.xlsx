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EIRA" sheetId="1" r:id="rId5"/>
    <sheet state="visible" name="FICHA" sheetId="2" r:id="rId6"/>
    <sheet state="hidden" name="DADOS" sheetId="3" r:id="rId7"/>
    <sheet state="visible" name="INVOCAÇÃO" sheetId="4" r:id="rId8"/>
    <sheet state="visible" name="CATÁLOGO" sheetId="5" r:id="rId9"/>
    <sheet state="hidden" name="DADOS_INV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F31">
      <text>
        <t xml:space="preserve">⚠ Regra nenhuma concede integridade temporária hoje.
O campo fica assim mesmo — é espaço do mestre: se alguma coisa na mesa conceder, anote aqui.
A ficha já trata ele como as outras duas: um delta negativo come a temporária antes da Integridade, e ela nunca fica negativa.</t>
      </text>
    </comment>
    <comment authorId="0" ref="V116">
      <text>
        <t xml:space="preserve">Troque o 0 pela quantidade de refino adicional por marco escolhido.</t>
      </text>
    </comment>
    <comment authorId="0" ref="S79">
      <text>
        <t xml:space="preserve">Escolha um instrumento ao ser treinando nesse ofício</t>
      </text>
    </comment>
    <comment authorId="0" ref="AF27">
      <text>
        <t xml:space="preserve">Energia temporária gasta como PE, e gasta primeiro.
• Acumula até o teto que a própria fonte declarar.
• Hoje só o Braseiro concede, e o teto dele é 2.
• Some no fim da cena.</t>
      </text>
    </comment>
    <comment authorId="0" ref="O40">
      <text>
        <t xml:space="preserve">Traje e Revestimento DESLIGAM a proteção da aptidão e entregam a deles no lugar. Deixe o equipamento vazio para usar a aptidão.</t>
      </text>
    </comment>
    <comment authorId="0" ref="AM31">
      <text>
        <t xml:space="preserve">Valor negativo para perda, positivo para ganho. Espere alguns segundos.
⚠ A PERDA AQUI TIRA VIDA JUNTO, no mesmo tanto: cada ponto de dano na alma tira 1 de vida e 1 de Integridade (livro, cap. 15).
Exceção: o Cisão atravessa o corpo e tira só Integridade. Para ele, edite a Integridade na mão em vez de usar esta caixinha.</t>
      </text>
    </comment>
    <comment authorId="0" ref="AF23">
      <text>
        <t xml:space="preserve">Vida temporária é anteparo, e não vida.
• É gasta antes da vida normal.
• Não empilha: duas fontes, fica a maior.
• Teto: metade da sua vida máxima.
• Some no fim da cena.
Livro, cap. 10. A Melhoria Rasga Escudo ignora ela.</t>
      </text>
    </comment>
    <comment authorId="0" ref="D59">
      <text>
        <t xml:space="preserve">Treinamento - Soma Maestria</t>
      </text>
    </comment>
    <comment authorId="0" ref="E59">
      <text>
        <t xml:space="preserve">Especialização - Soma Metade da Maestria</t>
      </text>
    </comment>
    <comment authorId="0" ref="AM27">
      <text>
        <t xml:space="preserve">Valor negativo para gasto, positivo para ganho. Espere alguns segundos.
O gasto come a energia temporária primeiro.</t>
      </text>
    </comment>
    <comment authorId="0" ref="AM23">
      <text>
        <t xml:space="preserve">Valor negativo para perda, positivo para ganho. Espere alguns segundos.
A perda come a vida temporária antes da vida.</t>
      </text>
    </comment>
    <comment authorId="0" ref="Z40">
      <text>
        <t xml:space="preserve">Digite aqui a proteção do equipamento. Vazio = usa a da aptidão.</t>
      </text>
    </comment>
    <comment authorId="0" ref="X131">
      <text>
        <t xml:space="preserve">Coloque uma Nota apontando mais profundamente o feitiço </t>
      </text>
    </comment>
    <comment authorId="0" ref="D74">
      <text>
        <t xml:space="preserve">Treinamento - Soma Maestria</t>
      </text>
    </comment>
    <comment authorId="0" ref="E74">
      <text>
        <t xml:space="preserve">Especialização - Soma Metade da Maestria</t>
      </text>
    </comment>
    <comment authorId="0" ref="S78">
      <text>
        <t xml:space="preserve">escolha um tipo de jogo de tabuleiro ou grupo de tipo de jogo, como "jogos de terror" se forem vídeo games</t>
      </text>
    </comment>
    <comment authorId="0" ref="Q74">
      <text>
        <t xml:space="preserve">Treinamento - Soma Maestria</t>
      </text>
    </comment>
    <comment authorId="0" ref="R74">
      <text>
        <t xml:space="preserve">Especialização - Soma Metade da Maestria</t>
      </text>
    </comment>
    <comment authorId="0" ref="F116">
      <text>
        <t xml:space="preserve">Coloque uma Nota apontando mais profundamente o feitiço </t>
      </text>
    </comment>
    <comment authorId="0" ref="D48">
      <text>
        <t xml:space="preserve">Vira 2 no nível 10, 3 no 18, 4 no 26. Não é "a cada oito níveis".</t>
      </text>
    </comment>
    <comment authorId="0" ref="AF74">
      <text>
        <t xml:space="preserve">Treinamento - Soma Maestria</t>
      </text>
    </comment>
    <comment authorId="0" ref="D44">
      <text>
        <t xml:space="preserve">Não existe atributo de conjuração na ficha padrão: o 2 é fixo.</t>
      </text>
    </comment>
    <comment authorId="0" ref="T58">
      <text>
        <t xml:space="preserve">Treinamento - Soma Maestria</t>
      </text>
    </comment>
    <comment authorId="0" ref="U58">
      <text>
        <t xml:space="preserve">Especialização - Soma Metade da Maestria</t>
      </text>
    </comment>
  </commentList>
</comments>
</file>

<file path=xl/sharedStrings.xml><?xml version="1.0" encoding="utf-8"?>
<sst xmlns="http://schemas.openxmlformats.org/spreadsheetml/2006/main" count="1050" uniqueCount="697">
  <si>
    <t>VERSÃO DO CATÁLOGO</t>
  </si>
  <si>
    <t>versão corrente (puxada da central)</t>
  </si>
  <si>
    <t>cole aqui o IMPORTRANGE da central em D1 quando ela existir; enquanto não existir, D1 fica igual a B1 e o aviso some</t>
  </si>
  <si>
    <t>Caminhos</t>
  </si>
  <si>
    <t>Perícias</t>
  </si>
  <si>
    <t>Ofícios</t>
  </si>
  <si>
    <t>Famílias</t>
  </si>
  <si>
    <t>Formas</t>
  </si>
  <si>
    <t>Melhorias</t>
  </si>
  <si>
    <t>Restrições</t>
  </si>
  <si>
    <t>Condições</t>
  </si>
  <si>
    <t>Origens</t>
  </si>
  <si>
    <t>呪術廻戦</t>
  </si>
  <si>
    <t>Testes</t>
  </si>
  <si>
    <t>Atributos</t>
  </si>
  <si>
    <t>Trilhas</t>
  </si>
  <si>
    <t>tabela dos Caminhos</t>
  </si>
  <si>
    <t>ERA DA REVOLUÇÃO</t>
  </si>
  <si>
    <t>A FICHA DA INVOCAÇÃO</t>
  </si>
  <si>
    <t>Bastião</t>
  </si>
  <si>
    <t>Atletismo</t>
  </si>
  <si>
    <t>Condução</t>
  </si>
  <si>
    <t>Alcance</t>
  </si>
  <si>
    <t>Projétil</t>
  </si>
  <si>
    <t>Longe</t>
  </si>
  <si>
    <t>Corpo a Corpo</t>
  </si>
  <si>
    <t>Lento</t>
  </si>
  <si>
    <t>Latente</t>
  </si>
  <si>
    <t>Físico</t>
  </si>
  <si>
    <t>lista</t>
  </si>
  <si>
    <t>Muro</t>
  </si>
  <si>
    <t>Caminho</t>
  </si>
  <si>
    <t>dado</t>
  </si>
  <si>
    <t>vida inicial</t>
  </si>
  <si>
    <t>vida por nível</t>
  </si>
  <si>
    <t>PE por nível</t>
  </si>
  <si>
    <t>perícia fixa 1</t>
  </si>
  <si>
    <t>perícia fixa 2</t>
  </si>
  <si>
    <t>ofício fixo</t>
  </si>
  <si>
    <t>marcos</t>
  </si>
  <si>
    <t>maestria</t>
  </si>
  <si>
    <t>classe</t>
  </si>
  <si>
    <t>classe 0</t>
  </si>
  <si>
    <t>perícia</t>
  </si>
  <si>
    <t>atributo</t>
  </si>
  <si>
    <t>campo</t>
  </si>
  <si>
    <t>célula</t>
  </si>
  <si>
    <t>Vanguarda</t>
  </si>
  <si>
    <t>Acrobacia</t>
  </si>
  <si>
    <t>Arrombamento</t>
  </si>
  <si>
    <t>capítulo 16 · Projeto - M</t>
  </si>
  <si>
    <t>Área</t>
  </si>
  <si>
    <t>Toque</t>
  </si>
  <si>
    <t>Muito Longe</t>
  </si>
  <si>
    <t>Incapacitado</t>
  </si>
  <si>
    <t>Receptáculo</t>
  </si>
  <si>
    <t>Vigor</t>
  </si>
  <si>
    <t>escala</t>
  </si>
  <si>
    <t>Punho</t>
  </si>
  <si>
    <t>d12</t>
  </si>
  <si>
    <t>Intimidação</t>
  </si>
  <si>
    <t>Forja</t>
  </si>
  <si>
    <t>Força</t>
  </si>
  <si>
    <t>Carteira de registro · Documento oficial</t>
  </si>
  <si>
    <t>nome</t>
  </si>
  <si>
    <t>D3</t>
  </si>
  <si>
    <t>Guia</t>
  </si>
  <si>
    <t>Furtividade</t>
  </si>
  <si>
    <t>Herbalismo</t>
  </si>
  <si>
    <t>Mira</t>
  </si>
  <si>
    <t>Explosão</t>
  </si>
  <si>
    <t>Sem Ver</t>
  </si>
  <si>
    <t>Parado</t>
  </si>
  <si>
    <t>Derrubado</t>
  </si>
  <si>
    <t>Descendente</t>
  </si>
  <si>
    <t>Intelecto</t>
  </si>
  <si>
    <t>criacao</t>
  </si>
  <si>
    <t>Brasa</t>
  </si>
  <si>
    <t>d8</t>
  </si>
  <si>
    <t>Percepção</t>
  </si>
  <si>
    <t>Destreza</t>
  </si>
  <si>
    <t>caminho</t>
  </si>
  <si>
    <t>D11</t>
  </si>
  <si>
    <t>Emanador</t>
  </si>
  <si>
    <t>Pontaria</t>
  </si>
  <si>
    <t>Controle</t>
  </si>
  <si>
    <t>Aura</t>
  </si>
  <si>
    <t>Passo</t>
  </si>
  <si>
    <t>Gesto</t>
  </si>
  <si>
    <t>Agarrado</t>
  </si>
  <si>
    <t>Reencarnado</t>
  </si>
  <si>
    <t>Espírito</t>
  </si>
  <si>
    <t>nota</t>
  </si>
  <si>
    <t>Estocada</t>
  </si>
  <si>
    <t>Persuasão</t>
  </si>
  <si>
    <t>Medicina</t>
  </si>
  <si>
    <t>trilha</t>
  </si>
  <si>
    <t>N11</t>
  </si>
  <si>
    <t>Evocador</t>
  </si>
  <si>
    <t>Prestidigitação</t>
  </si>
  <si>
    <t>Caligrafia</t>
  </si>
  <si>
    <t>Auxiliares</t>
  </si>
  <si>
    <t>Cone</t>
  </si>
  <si>
    <t>Empurrão</t>
  </si>
  <si>
    <t>Sangra</t>
  </si>
  <si>
    <t>Desarmado</t>
  </si>
  <si>
    <t>Feto</t>
  </si>
  <si>
    <t>pagina</t>
  </si>
  <si>
    <t>Batedor</t>
  </si>
  <si>
    <t>d6</t>
  </si>
  <si>
    <t>Religião</t>
  </si>
  <si>
    <t>Lidar com Animais</t>
  </si>
  <si>
    <t>Entalhador</t>
  </si>
  <si>
    <t>origem</t>
  </si>
  <si>
    <t>X11</t>
  </si>
  <si>
    <t>Investigação</t>
  </si>
  <si>
    <t>Burocracia</t>
  </si>
  <si>
    <t>Castigo</t>
  </si>
  <si>
    <t>Linha</t>
  </si>
  <si>
    <t>Troca</t>
  </si>
  <si>
    <t>Recuo</t>
  </si>
  <si>
    <t>PORTADOR</t>
  </si>
  <si>
    <t>Surdo</t>
  </si>
  <si>
    <t>Corpo Amaldiçoado</t>
  </si>
  <si>
    <t>Executor</t>
  </si>
  <si>
    <t>Ocultismo</t>
  </si>
  <si>
    <t>1</t>
  </si>
  <si>
    <t>nivel</t>
  </si>
  <si>
    <t>AH11</t>
  </si>
  <si>
    <t>Intuição</t>
  </si>
  <si>
    <t>O DONO</t>
  </si>
  <si>
    <t>Tempo</t>
  </si>
  <si>
    <t>Cura</t>
  </si>
  <si>
    <t>Perseguir</t>
  </si>
  <si>
    <t>Carregar</t>
  </si>
  <si>
    <t>Calado</t>
  </si>
  <si>
    <t>Restrição Celestial</t>
  </si>
  <si>
    <t>Elo</t>
  </si>
  <si>
    <t>Inteligência</t>
  </si>
  <si>
    <t>xp</t>
  </si>
  <si>
    <t>AN11</t>
  </si>
  <si>
    <t>Alfaiate</t>
  </si>
  <si>
    <t>Marca</t>
  </si>
  <si>
    <t>Apoio</t>
  </si>
  <si>
    <t>Maior</t>
  </si>
  <si>
    <t>Tudo ou Nada</t>
  </si>
  <si>
    <t>Enfeitiçado</t>
  </si>
  <si>
    <t>Sutura</t>
  </si>
  <si>
    <t>atr_Força</t>
  </si>
  <si>
    <t>D17</t>
  </si>
  <si>
    <t>Culinária</t>
  </si>
  <si>
    <t>Amparo</t>
  </si>
  <si>
    <t>Onda</t>
  </si>
  <si>
    <t>Muito Maior</t>
  </si>
  <si>
    <t>Uma Vez</t>
  </si>
  <si>
    <t>Petrificado</t>
  </si>
  <si>
    <t>Perímetro</t>
  </si>
  <si>
    <t>atr_Destreza</t>
  </si>
  <si>
    <t>L17</t>
  </si>
  <si>
    <t>História</t>
  </si>
  <si>
    <t>NÍVEL DO DONO</t>
  </si>
  <si>
    <t>Instrumento</t>
  </si>
  <si>
    <t>Efeito</t>
  </si>
  <si>
    <t>Escolher</t>
  </si>
  <si>
    <t>Condicional</t>
  </si>
  <si>
    <t>Impedido</t>
  </si>
  <si>
    <t>Torrente</t>
  </si>
  <si>
    <t>atr_Constituição</t>
  </si>
  <si>
    <t>T17</t>
  </si>
  <si>
    <t>ESSÊNCIA DO DONO</t>
  </si>
  <si>
    <t>Hierarquia</t>
  </si>
  <si>
    <t>Jogatina</t>
  </si>
  <si>
    <t>Fica</t>
  </si>
  <si>
    <t>Fraqueza</t>
  </si>
  <si>
    <t>Cego</t>
  </si>
  <si>
    <t>Explosivo</t>
  </si>
  <si>
    <t>INTELIGÊNCIA DO DONO</t>
  </si>
  <si>
    <t>MAESTRIA</t>
  </si>
  <si>
    <t>atr_Inteligência</t>
  </si>
  <si>
    <t>AB17</t>
  </si>
  <si>
    <t>Mais Um</t>
  </si>
  <si>
    <t>Frágil</t>
  </si>
  <si>
    <t>Amedrontado</t>
  </si>
  <si>
    <t>Arremate</t>
  </si>
  <si>
    <t>CATÁLOGO</t>
  </si>
  <si>
    <t>atr_Essência</t>
  </si>
  <si>
    <t>AJ17</t>
  </si>
  <si>
    <t>Sobrevivência</t>
  </si>
  <si>
    <t>Rajada</t>
  </si>
  <si>
    <t>Barulho</t>
  </si>
  <si>
    <t>Envenenado</t>
  </si>
  <si>
    <t>Servo</t>
  </si>
  <si>
    <t>vida</t>
  </si>
  <si>
    <t>D23</t>
  </si>
  <si>
    <t>Natureza</t>
  </si>
  <si>
    <t>Salto</t>
  </si>
  <si>
    <t>Assinatura</t>
  </si>
  <si>
    <t>Atordoado</t>
  </si>
  <si>
    <t>Matilha</t>
  </si>
  <si>
    <t>vida_max</t>
  </si>
  <si>
    <t>J23</t>
  </si>
  <si>
    <t>Contorno</t>
  </si>
  <si>
    <t>Aquecer</t>
  </si>
  <si>
    <t>Coro</t>
  </si>
  <si>
    <t>CAMINHO</t>
  </si>
  <si>
    <t>vida_temp</t>
  </si>
  <si>
    <t>AF23</t>
  </si>
  <si>
    <t>Tecnologia</t>
  </si>
  <si>
    <t>Precisão</t>
  </si>
  <si>
    <t>Dívida</t>
  </si>
  <si>
    <t>TRILHA</t>
  </si>
  <si>
    <t>vida_delta</t>
  </si>
  <si>
    <t>AM23</t>
  </si>
  <si>
    <t>Sentir Energia</t>
  </si>
  <si>
    <t>Certeiro</t>
  </si>
  <si>
    <t>Peso Morto</t>
  </si>
  <si>
    <t>ORIGEM</t>
  </si>
  <si>
    <t>energia</t>
  </si>
  <si>
    <t>D27</t>
  </si>
  <si>
    <t>Inescapável</t>
  </si>
  <si>
    <t>Sem Volta</t>
  </si>
  <si>
    <t>INVOCAÇÃO</t>
  </si>
  <si>
    <t>Essência</t>
  </si>
  <si>
    <t>energia_max</t>
  </si>
  <si>
    <t>J27</t>
  </si>
  <si>
    <t>Fura</t>
  </si>
  <si>
    <t>Restrição Própria</t>
  </si>
  <si>
    <t>energia_temp</t>
  </si>
  <si>
    <t>AF27</t>
  </si>
  <si>
    <t>Enganação</t>
  </si>
  <si>
    <t>Corrói</t>
  </si>
  <si>
    <t>PROJETO M</t>
  </si>
  <si>
    <t>energia_delta</t>
  </si>
  <si>
    <t>AM27</t>
  </si>
  <si>
    <t>Sem Cobertura</t>
  </si>
  <si>
    <t>MARCOS</t>
  </si>
  <si>
    <t>MAIOR CLASSE</t>
  </si>
  <si>
    <t>PERFIL AMALDIÇOADO</t>
  </si>
  <si>
    <t>integridade</t>
  </si>
  <si>
    <t>D31</t>
  </si>
  <si>
    <t>Atuação</t>
  </si>
  <si>
    <t>De Novo</t>
  </si>
  <si>
    <t>integridade_max</t>
  </si>
  <si>
    <t>J31</t>
  </si>
  <si>
    <t>Provocar</t>
  </si>
  <si>
    <t>Toca a Alma</t>
  </si>
  <si>
    <t>integridade_temp</t>
  </si>
  <si>
    <t>AF31</t>
  </si>
  <si>
    <t>Terreno</t>
  </si>
  <si>
    <t>integridade_delta</t>
  </si>
  <si>
    <t>AM31</t>
  </si>
  <si>
    <t>NÍVEL</t>
  </si>
  <si>
    <t>Anteparo</t>
  </si>
  <si>
    <t>estagio_alma</t>
  </si>
  <si>
    <t>MESA DE ORIGEM</t>
  </si>
  <si>
    <t>D34</t>
  </si>
  <si>
    <t>Prende</t>
  </si>
  <si>
    <t>REGISTRADO POR</t>
  </si>
  <si>
    <t>defesa</t>
  </si>
  <si>
    <t>D40</t>
  </si>
  <si>
    <t>Cerca</t>
  </si>
  <si>
    <t>proteção</t>
  </si>
  <si>
    <t>O40</t>
  </si>
  <si>
    <t>Puxa</t>
  </si>
  <si>
    <t>XP</t>
  </si>
  <si>
    <t>equipamento</t>
  </si>
  <si>
    <t>Z40</t>
  </si>
  <si>
    <t>Desarma o Feitiço</t>
  </si>
  <si>
    <t>iniciativa</t>
  </si>
  <si>
    <t>AK40</t>
  </si>
  <si>
    <t>Nível</t>
  </si>
  <si>
    <t>cd de feitiço</t>
  </si>
  <si>
    <t>D44</t>
  </si>
  <si>
    <t>Impulso</t>
  </si>
  <si>
    <t>conjuração</t>
  </si>
  <si>
    <t>O44</t>
  </si>
  <si>
    <t>Trava</t>
  </si>
  <si>
    <t>2</t>
  </si>
  <si>
    <t>A INVOCAÇÃO</t>
  </si>
  <si>
    <t>corpo a corpo</t>
  </si>
  <si>
    <t>Z44</t>
  </si>
  <si>
    <t>Abre Ferida</t>
  </si>
  <si>
    <t>à distância</t>
  </si>
  <si>
    <t>AK44</t>
  </si>
  <si>
    <t>TÉCNICA DECLARADA</t>
  </si>
  <si>
    <t>Sobrecarga</t>
  </si>
  <si>
    <t>D48</t>
  </si>
  <si>
    <t>Firmeza</t>
  </si>
  <si>
    <t>NOME</t>
  </si>
  <si>
    <t>deslocamento</t>
  </si>
  <si>
    <t>O48</t>
  </si>
  <si>
    <t>Guarda</t>
  </si>
  <si>
    <t>espaços de feitiço</t>
  </si>
  <si>
    <t>D54</t>
  </si>
  <si>
    <t>Pressa</t>
  </si>
  <si>
    <t>TIPO</t>
  </si>
  <si>
    <t>refino de graça</t>
  </si>
  <si>
    <t>O54</t>
  </si>
  <si>
    <t>Enfraquece</t>
  </si>
  <si>
    <t>VALORES</t>
  </si>
  <si>
    <t>classe máxima</t>
  </si>
  <si>
    <t>Z54</t>
  </si>
  <si>
    <t>Ecoa</t>
  </si>
  <si>
    <t>classe 0 grátis</t>
  </si>
  <si>
    <t>AK54</t>
  </si>
  <si>
    <t>Queima</t>
  </si>
  <si>
    <t>Acúmulo</t>
  </si>
  <si>
    <t>FOR</t>
  </si>
  <si>
    <t>Remate</t>
  </si>
  <si>
    <t>DES</t>
  </si>
  <si>
    <t>Estilhaço</t>
  </si>
  <si>
    <t>CON</t>
  </si>
  <si>
    <t>INT</t>
  </si>
  <si>
    <t>Quebra Coisa</t>
  </si>
  <si>
    <t>ESS</t>
  </si>
  <si>
    <t>Rasga Escudo</t>
  </si>
  <si>
    <t>técnica</t>
  </si>
  <si>
    <t>Sem Cura</t>
  </si>
  <si>
    <t>Rápido</t>
  </si>
  <si>
    <t>Reação</t>
  </si>
  <si>
    <t>Armado</t>
  </si>
  <si>
    <t>Silencioso</t>
  </si>
  <si>
    <t>SINTONIA</t>
  </si>
  <si>
    <t>Adianta</t>
  </si>
  <si>
    <t>Segura</t>
  </si>
  <si>
    <t>SELO REGISTRADO</t>
  </si>
  <si>
    <t>Constituição</t>
  </si>
  <si>
    <t>Rastro</t>
  </si>
  <si>
    <t>Sugar</t>
  </si>
  <si>
    <t>Isca</t>
  </si>
  <si>
    <t>Presa</t>
  </si>
  <si>
    <t>Cobrança</t>
  </si>
  <si>
    <t>Aviso</t>
  </si>
  <si>
    <t>VIDA - Atual/Máxima</t>
  </si>
  <si>
    <t>Limpa</t>
  </si>
  <si>
    <t>Limpa Fundo</t>
  </si>
  <si>
    <t>TEMPORÁRIO</t>
  </si>
  <si>
    <t>± PERDA &amp;/ou GANHO</t>
  </si>
  <si>
    <t>Levanta</t>
  </si>
  <si>
    <t>Divide</t>
  </si>
  <si>
    <t>Junto</t>
  </si>
  <si>
    <t>Reserva</t>
  </si>
  <si>
    <t>Remenda</t>
  </si>
  <si>
    <t>Condicao</t>
  </si>
  <si>
    <t>3</t>
  </si>
  <si>
    <t>OS ATRIBUTOS DELA</t>
  </si>
  <si>
    <t>PROJETO - M</t>
  </si>
  <si>
    <t>ENERGIA - Atual/Máxima</t>
  </si>
  <si>
    <t>tipos</t>
  </si>
  <si>
    <t>trilhas</t>
  </si>
  <si>
    <t>atributos</t>
  </si>
  <si>
    <t>trs</t>
  </si>
  <si>
    <t>sintonia</t>
  </si>
  <si>
    <t>defesa_de</t>
  </si>
  <si>
    <t>fisico_de</t>
  </si>
  <si>
    <t>traco</t>
  </si>
  <si>
    <t>comando</t>
  </si>
  <si>
    <t>tab_tipos</t>
  </si>
  <si>
    <t>tab_trilhas</t>
  </si>
  <si>
    <t>tab_traco</t>
  </si>
  <si>
    <t>tab_comando</t>
  </si>
  <si>
    <t>O CATÁLOGO — o que dá para comprar</t>
  </si>
  <si>
    <t>tab_investir</t>
  </si>
  <si>
    <t>tab_trs</t>
  </si>
  <si>
    <t>degrau_traco</t>
  </si>
  <si>
    <t>degrau_comando</t>
  </si>
  <si>
    <t>talismã</t>
  </si>
  <si>
    <t>capítulo 16</t>
  </si>
  <si>
    <t>—</t>
  </si>
  <si>
    <t>tipo</t>
  </si>
  <si>
    <t>base</t>
  </si>
  <si>
    <t>PONTOS GASTOS</t>
  </si>
  <si>
    <t>corpos</t>
  </si>
  <si>
    <t>mult</t>
  </si>
  <si>
    <t>corpo</t>
  </si>
  <si>
    <t>area</t>
  </si>
  <si>
    <t>traço</t>
  </si>
  <si>
    <t>pontos</t>
  </si>
  <si>
    <t>de</t>
  </si>
  <si>
    <t>uma</t>
  </si>
  <si>
    <t>matilha</t>
  </si>
  <si>
    <t>tr</t>
  </si>
  <si>
    <t>DISPONÍVEIS</t>
  </si>
  <si>
    <t>e_marcos</t>
  </si>
  <si>
    <t>e_maestria</t>
  </si>
  <si>
    <t>CONFERÊNCIA</t>
  </si>
  <si>
    <t>e_classe</t>
  </si>
  <si>
    <t>espelho</t>
  </si>
  <si>
    <t>FICHA DE REGISTRO</t>
  </si>
  <si>
    <t>INTEGRIDADE - Atual/Máxima</t>
  </si>
  <si>
    <t>corpo amaldiçoado</t>
  </si>
  <si>
    <t>Escalada</t>
  </si>
  <si>
    <t>Investir</t>
  </si>
  <si>
    <t>forte</t>
  </si>
  <si>
    <t>1d6</t>
  </si>
  <si>
    <t>D7</t>
  </si>
  <si>
    <t>Parrudo</t>
  </si>
  <si>
    <t>Nado</t>
  </si>
  <si>
    <t>Agarrar</t>
  </si>
  <si>
    <t>TRAÇO</t>
  </si>
  <si>
    <t>4d6</t>
  </si>
  <si>
    <t>ess_dono</t>
  </si>
  <si>
    <t>O7</t>
  </si>
  <si>
    <t>o corpo dela. Vale sempre, sem gastar ação.</t>
  </si>
  <si>
    <t>maldição domada</t>
  </si>
  <si>
    <t>Voz</t>
  </si>
  <si>
    <t>Fala</t>
  </si>
  <si>
    <t>Arrastar</t>
  </si>
  <si>
    <t>cru</t>
  </si>
  <si>
    <t>6d6</t>
  </si>
  <si>
    <t>2d6</t>
  </si>
  <si>
    <t>int_dono</t>
  </si>
  <si>
    <t>Z7</t>
  </si>
  <si>
    <t>PONTOS</t>
  </si>
  <si>
    <t>Faro</t>
  </si>
  <si>
    <t>Buscar</t>
  </si>
  <si>
    <t>8d6</t>
  </si>
  <si>
    <t>3d6</t>
  </si>
  <si>
    <t>O QUE FAZ</t>
  </si>
  <si>
    <t>AK7</t>
  </si>
  <si>
    <t>Vigia</t>
  </si>
  <si>
    <t>Cavar</t>
  </si>
  <si>
    <t>Distribua 9 pontos, nenhum acima de 3. A cada marco ela ganha 1 ponto, até o teto de 6. É a mesma regra da sua ficha.</t>
  </si>
  <si>
    <t>10d6</t>
  </si>
  <si>
    <t>Miúdo</t>
  </si>
  <si>
    <t>Interpor</t>
  </si>
  <si>
    <t>sobe parede e teto sem teste</t>
  </si>
  <si>
    <t>13d6</t>
  </si>
  <si>
    <t>5d6</t>
  </si>
  <si>
    <t>O11</t>
  </si>
  <si>
    <t>Voo</t>
  </si>
  <si>
    <t>Chamariz</t>
  </si>
  <si>
    <t>15d6</t>
  </si>
  <si>
    <t>4</t>
  </si>
  <si>
    <t>D19</t>
  </si>
  <si>
    <t>ACERTO, DEFESA E TESTES DE RESISTÊNCIA</t>
  </si>
  <si>
    <t>Montaria</t>
  </si>
  <si>
    <t>Z19</t>
  </si>
  <si>
    <t>Fisgada</t>
  </si>
  <si>
    <t>move na água sem penalidade. Rio, cisterna, tanque alagado de estação</t>
  </si>
  <si>
    <t>AK19</t>
  </si>
  <si>
    <t>Emboscada</t>
  </si>
  <si>
    <t>ATRIBUTO DO ACERTO</t>
  </si>
  <si>
    <t>ACERTO</t>
  </si>
  <si>
    <t>D22</t>
  </si>
  <si>
    <t>Jorro</t>
  </si>
  <si>
    <t>DEFESA USA, DO DONO</t>
  </si>
  <si>
    <t>pontos_atributo</t>
  </si>
  <si>
    <t>D35</t>
  </si>
  <si>
    <t>DEFESA</t>
  </si>
  <si>
    <t>Graúdo</t>
  </si>
  <si>
    <t>BLOQUEAR</t>
  </si>
  <si>
    <t>ela fala, e dá para conversar com ela</t>
  </si>
  <si>
    <t>pontos_disp</t>
  </si>
  <si>
    <t>O35</t>
  </si>
  <si>
    <t>Remoto</t>
  </si>
  <si>
    <t>aviso_atributo</t>
  </si>
  <si>
    <t>Z35</t>
  </si>
  <si>
    <t>REGISTRO</t>
  </si>
  <si>
    <t>atr_acerto</t>
  </si>
  <si>
    <t>D43</t>
  </si>
  <si>
    <t>rastreia por cheiro e por energia. Pega rastro velho de horas</t>
  </si>
  <si>
    <t>acerto</t>
  </si>
  <si>
    <t>O43</t>
  </si>
  <si>
    <t>o que ela vê e ouve, você vê e ouve também</t>
  </si>
  <si>
    <t>Z43</t>
  </si>
  <si>
    <t>AK43</t>
  </si>
  <si>
    <t>PROTEÇÃO</t>
  </si>
  <si>
    <t>CRÍTICO COM</t>
  </si>
  <si>
    <t>ocupa espaço menor e passa por vão. Duto, grade de bueiro, folga embaixo da porta</t>
  </si>
  <si>
    <t>critico</t>
  </si>
  <si>
    <t>D46</t>
  </si>
  <si>
    <t>EQUIPAMENTO</t>
  </si>
  <si>
    <t>QUAL TR ELA TREINA</t>
  </si>
  <si>
    <t>O FÍSICO DELA USA</t>
  </si>
  <si>
    <t>INICIATIVA</t>
  </si>
  <si>
    <t>tr_treinado</t>
  </si>
  <si>
    <t>O46</t>
  </si>
  <si>
    <t>Z46</t>
  </si>
  <si>
    <t>o deslocamento dela passa a ser de voo também</t>
  </si>
  <si>
    <t>tr_Físico</t>
  </si>
  <si>
    <t>Q50</t>
  </si>
  <si>
    <t>tr_extra_Físico</t>
  </si>
  <si>
    <t>K50</t>
  </si>
  <si>
    <t>carrega uma pessoa ou mais, dependendo do tamanho</t>
  </si>
  <si>
    <t>tr_Vigor</t>
  </si>
  <si>
    <t>AM50</t>
  </si>
  <si>
    <t>tr_extra_Vigor</t>
  </si>
  <si>
    <t>AG50</t>
  </si>
  <si>
    <t>prende à distância. Ela alcança, engancha, e quem ia fugir para de conseguir</t>
  </si>
  <si>
    <t>tr_Intelecto</t>
  </si>
  <si>
    <t>Q51</t>
  </si>
  <si>
    <t>TESTES DE RESISTÊNCIA · ela treina um, e você escolhe qual no campo acima</t>
  </si>
  <si>
    <t>tr_extra_Intelecto</t>
  </si>
  <si>
    <t>K51</t>
  </si>
  <si>
    <t>tr_Espírito</t>
  </si>
  <si>
    <t>AM51</t>
  </si>
  <si>
    <t>TESTE</t>
  </si>
  <si>
    <t>surge do chão, fora do alcance de visão</t>
  </si>
  <si>
    <t>CD DE FEITIÇO</t>
  </si>
  <si>
    <t>Extra</t>
  </si>
  <si>
    <t>tr_extra_Espírito</t>
  </si>
  <si>
    <t>USA</t>
  </si>
  <si>
    <t>AG51</t>
  </si>
  <si>
    <t>CONJURAÇÃO</t>
  </si>
  <si>
    <t>D59</t>
  </si>
  <si>
    <t>d20 +</t>
  </si>
  <si>
    <t>O59</t>
  </si>
  <si>
    <t>Z59</t>
  </si>
  <si>
    <t>CORPO A CORPO</t>
  </si>
  <si>
    <t>AK59</t>
  </si>
  <si>
    <t>regua</t>
  </si>
  <si>
    <t>D65</t>
  </si>
  <si>
    <t>ataca em linha ou em área</t>
  </si>
  <si>
    <t>À DISTÂNCIA</t>
  </si>
  <si>
    <t>meia_regua</t>
  </si>
  <si>
    <t>O65</t>
  </si>
  <si>
    <t>volta_com</t>
  </si>
  <si>
    <t>Z65</t>
  </si>
  <si>
    <t>orcamento</t>
  </si>
  <si>
    <t>D76</t>
  </si>
  <si>
    <t>gasto</t>
  </si>
  <si>
    <t>D91</t>
  </si>
  <si>
    <t>sobra</t>
  </si>
  <si>
    <t>O91</t>
  </si>
  <si>
    <t>For ou Des</t>
  </si>
  <si>
    <t>investir</t>
  </si>
  <si>
    <t>D99</t>
  </si>
  <si>
    <t>cd_pendente</t>
  </si>
  <si>
    <t>D116</t>
  </si>
  <si>
    <t>ocupa espaço maior e barra passagem</t>
  </si>
  <si>
    <t>D30</t>
  </si>
  <si>
    <t>L30</t>
  </si>
  <si>
    <t>T30</t>
  </si>
  <si>
    <t>AB30</t>
  </si>
  <si>
    <t>AJ30</t>
  </si>
  <si>
    <t>slot_pontos_1</t>
  </si>
  <si>
    <t>S80</t>
  </si>
  <si>
    <t>slot_pontos_2</t>
  </si>
  <si>
    <t>S81</t>
  </si>
  <si>
    <t>funciona além dos 18 metros da amarra. Dentro da cena, para qualquer um; fora da cena, com requisito</t>
  </si>
  <si>
    <t>slot_pontos_3</t>
  </si>
  <si>
    <t>S82</t>
  </si>
  <si>
    <t>slot_pontos_4</t>
  </si>
  <si>
    <t>S83</t>
  </si>
  <si>
    <t>slot_pontos_5</t>
  </si>
  <si>
    <t>S84</t>
  </si>
  <si>
    <t>Con</t>
  </si>
  <si>
    <t>slot_pontos_6</t>
  </si>
  <si>
    <t>S85</t>
  </si>
  <si>
    <t>slot_pontos_7</t>
  </si>
  <si>
    <t>S86</t>
  </si>
  <si>
    <t>slot_pontos_8</t>
  </si>
  <si>
    <t>S87</t>
  </si>
  <si>
    <t>slot_pontos_9</t>
  </si>
  <si>
    <t>S88</t>
  </si>
  <si>
    <t>slot_pontos_10</t>
  </si>
  <si>
    <t>AO80</t>
  </si>
  <si>
    <t>slot_pontos_11</t>
  </si>
  <si>
    <t>AO81</t>
  </si>
  <si>
    <t>slot_pontos_12</t>
  </si>
  <si>
    <t>AO82</t>
  </si>
  <si>
    <t>slot_pontos_13</t>
  </si>
  <si>
    <t>AO83</t>
  </si>
  <si>
    <t>slot_pontos_14</t>
  </si>
  <si>
    <t>AO84</t>
  </si>
  <si>
    <t>slot_pontos_15</t>
  </si>
  <si>
    <t>AO85</t>
  </si>
  <si>
    <t>traco_1</t>
  </si>
  <si>
    <t>D80</t>
  </si>
  <si>
    <t>COMANDO</t>
  </si>
  <si>
    <t>traco_2</t>
  </si>
  <si>
    <t>D81</t>
  </si>
  <si>
    <t>Int</t>
  </si>
  <si>
    <t>traco_3</t>
  </si>
  <si>
    <t>D82</t>
  </si>
  <si>
    <t>o que ela faz quando você gasta a Ação Padrão comandando.</t>
  </si>
  <si>
    <t>traco_4</t>
  </si>
  <si>
    <t>D83</t>
  </si>
  <si>
    <t>traco_5</t>
  </si>
  <si>
    <t>D84</t>
  </si>
  <si>
    <t>traco_6</t>
  </si>
  <si>
    <t>D85</t>
  </si>
  <si>
    <t>traco_7</t>
  </si>
  <si>
    <t>D86</t>
  </si>
  <si>
    <t>traco_8</t>
  </si>
  <si>
    <t>D87</t>
  </si>
  <si>
    <t>traco_9</t>
  </si>
  <si>
    <t>D88</t>
  </si>
  <si>
    <t>comando_1</t>
  </si>
  <si>
    <t>Z80</t>
  </si>
  <si>
    <t>comando_2</t>
  </si>
  <si>
    <t>Z81</t>
  </si>
  <si>
    <t>comando_3</t>
  </si>
  <si>
    <t>Z82</t>
  </si>
  <si>
    <t>Ess</t>
  </si>
  <si>
    <t>comando_4</t>
  </si>
  <si>
    <t>Z83</t>
  </si>
  <si>
    <t>comando_5</t>
  </si>
  <si>
    <t>Z84</t>
  </si>
  <si>
    <t>comando_6</t>
  </si>
  <si>
    <t>Z85</t>
  </si>
  <si>
    <t>o ataque. Toda invocação tem</t>
  </si>
  <si>
    <t>DESLOCAMENTO</t>
  </si>
  <si>
    <t xml:space="preserve">ATRIBUTO DE CONJURAÇÃO </t>
  </si>
  <si>
    <t>ATRIBUTO DE ATAQUE - CORPO A CORPO</t>
  </si>
  <si>
    <t>prende o alvo</t>
  </si>
  <si>
    <t>5</t>
  </si>
  <si>
    <t>9 m</t>
  </si>
  <si>
    <t>VIDA E MORTE</t>
  </si>
  <si>
    <t>ESSÊNCIA</t>
  </si>
  <si>
    <t>move o alvo, ou se move levando ele. Tira alguém de cima de uma beirada, ou põe</t>
  </si>
  <si>
    <t>VIDA MÁXIMA</t>
  </si>
  <si>
    <t>FORÇA</t>
  </si>
  <si>
    <t>VIDA AGORA</t>
  </si>
  <si>
    <t>CORPOS EM CAMPO</t>
  </si>
  <si>
    <t>ÁREA BATE ×</t>
  </si>
  <si>
    <t>pega um objeto, ou rastreia de forma ativa</t>
  </si>
  <si>
    <t xml:space="preserve">ATRIBUTO DE ATAQUE - À DISTÂNCIA </t>
  </si>
  <si>
    <t>PROGRESSÃO</t>
  </si>
  <si>
    <t>abre buraco, desenterra, revira o terreno. Faz rota onde não havia rota</t>
  </si>
  <si>
    <t>DESTREZA</t>
  </si>
  <si>
    <t>se põe entre você e o golpe. O corpo dela recebe o que ia em você</t>
  </si>
  <si>
    <t>ESPAÇOS DE FEITIÇO</t>
  </si>
  <si>
    <t>REFINO DE GRAÇA</t>
  </si>
  <si>
    <t>CLASSE MÁXIMA</t>
  </si>
  <si>
    <t>o alvo tem de vir para cima dela. Você escolhe em quem a coisa está prestando atenção</t>
  </si>
  <si>
    <t xml:space="preserve">CLASSE 0 </t>
  </si>
  <si>
    <t>INVENTAR O SEU</t>
  </si>
  <si>
    <t>A BARRA</t>
  </si>
  <si>
    <t>escreva o efeito, ache na régua o preço, e leve para o mestre aprovar</t>
  </si>
  <si>
    <t>régua de TRAÇO</t>
  </si>
  <si>
    <t>muda como ela anda, e só ela</t>
  </si>
  <si>
    <t>RÉGUA DA MORTE</t>
  </si>
  <si>
    <t>METADE DELA</t>
  </si>
  <si>
    <t>muda o que ela comunica</t>
  </si>
  <si>
    <t>VOLTA COM</t>
  </si>
  <si>
    <t>PERÍCIAS</t>
  </si>
  <si>
    <t>muda o que ela percebe</t>
  </si>
  <si>
    <t>Trein</t>
  </si>
  <si>
    <t>Espec</t>
  </si>
  <si>
    <t>muda que espaço ela ocupa, a um passo de mexer no tabuleiro</t>
  </si>
  <si>
    <t>encosta em outra criatura ou no ambiente: carrega, prende, empurra, barra, alcança além do alcance, aparece onde não dava</t>
  </si>
  <si>
    <t>MORRE DE VEZ</t>
  </si>
  <si>
    <t>régua de COMANDO</t>
  </si>
  <si>
    <t>quando o dano que passar de zero for maior que a metade da régua, ou quando um golpe só causar a régua inteira. Fora desses dois casos ela só cai, e você reinvoca.</t>
  </si>
  <si>
    <t xml:space="preserve">ANOTAÇÕES RÁPIDAS </t>
  </si>
  <si>
    <t>é o ataque</t>
  </si>
  <si>
    <t>For</t>
  </si>
  <si>
    <t>No zero ela sai do campo. Ela não fica Inconsciente e não ganha Sequela nem Cicatriz. Reinvocar custa os PE de novo, e ela volta com metade da vida; a vida cheia volta no descanso longo.</t>
  </si>
  <si>
    <t>faz uma coisa com um alvo ou um objeto</t>
  </si>
  <si>
    <t>6</t>
  </si>
  <si>
    <t>O ORÇAMENTO</t>
  </si>
  <si>
    <t>protege você, ou nega a ação de outro</t>
  </si>
  <si>
    <t>ORÇAMENTO</t>
  </si>
  <si>
    <t>Des</t>
  </si>
  <si>
    <t>O QUE O ORÇAMENTO NÃO COMPRA</t>
  </si>
  <si>
    <t>TRAÇO · até 9</t>
  </si>
  <si>
    <t>dado de dano</t>
  </si>
  <si>
    <t>DEGRAU</t>
  </si>
  <si>
    <t>o teto de uma Rotina já governa a saída. Um Traço que dê +1d6 não existe</t>
  </si>
  <si>
    <t>COMANDO · até 6</t>
  </si>
  <si>
    <t>qualquer coisa que cresça com refino</t>
  </si>
  <si>
    <t>refino cresce muito mais rápido que a ficha dela, e ela passaria de você</t>
  </si>
  <si>
    <t>os cinco já saem do arranjo dela, e comprar de novo é pagar duas vezes</t>
  </si>
  <si>
    <t>Defesa, acerto ou vida direto</t>
  </si>
  <si>
    <t>os três saem dos atributos dela</t>
  </si>
  <si>
    <t>OFÍCIOS E TESTES DE RESISTÊNCIA</t>
  </si>
  <si>
    <t>INTELIGÊNCIA</t>
  </si>
  <si>
    <t>GASTO</t>
  </si>
  <si>
    <t>SOBRA</t>
  </si>
  <si>
    <t xml:space="preserve">Alfaiate </t>
  </si>
  <si>
    <t xml:space="preserve">CONSTITUIÇÃO </t>
  </si>
  <si>
    <t>Escolha Traço e Comando até o orçamento acabar. O Servo tem metade a mais que as outras duas Trilhas. Nada aqui compra dano, Defesa, acerto ou vida — esses saem dos atributos dela.</t>
  </si>
  <si>
    <t>7</t>
  </si>
  <si>
    <t>INVESTIR</t>
  </si>
  <si>
    <t>DANO DO INVESTIR</t>
  </si>
  <si>
    <t>POR CORPO</t>
  </si>
  <si>
    <t>ANOTAÇÕES</t>
  </si>
  <si>
    <t>8</t>
  </si>
  <si>
    <t>NA MESA</t>
  </si>
  <si>
    <t>Skill Base de Caminho 1</t>
  </si>
  <si>
    <t>INVOCAR</t>
  </si>
  <si>
    <t>Skill Base de Trilha 1</t>
  </si>
  <si>
    <t>Outras Anotações</t>
  </si>
  <si>
    <t>COMANDAR</t>
  </si>
  <si>
    <t>AMARRA</t>
  </si>
  <si>
    <t>Skill Base de Caminho 2</t>
  </si>
  <si>
    <t>Skill Base de Trilha 2</t>
  </si>
  <si>
    <t>9</t>
  </si>
  <si>
    <t>O QUE A FICHA NÃO CALCULA</t>
  </si>
  <si>
    <t>A CD DOS EFEITOS DELA</t>
  </si>
  <si>
    <t>A CD dos efeitos dela não tem fórmula em documento nenhum — nem o capítulo 16, ainda. Enquanto não existir, use a da ficha padrão do invocador.</t>
  </si>
  <si>
    <t>Skill Base de Caminho 3</t>
  </si>
  <si>
    <t>Skill Base de Trilha 3</t>
  </si>
  <si>
    <t>APTIDÕES E FEITIÇOS</t>
  </si>
  <si>
    <t>Classe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</si>
</sst>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6">
    <font>
      <sz val="10.0"/>
      <color rgb="FF000000"/>
      <name val="Arial"/>
      <scheme val="minor"/>
    </font>
    <font>
      <sz val="9.0"/>
      <color rgb="FF998BA9"/>
      <name val="Oswald"/>
    </font>
    <font>
      <b/>
      <sz val="12.0"/>
      <color rgb="FFF4F1F7"/>
      <name val="Roboto"/>
    </font>
    <font>
      <sz val="9.0"/>
      <color rgb="FF998BA9"/>
      <name val="Roboto"/>
    </font>
    <font>
      <sz val="11.0"/>
      <color rgb="FFF4F1F7"/>
      <name val="Roboto"/>
    </font>
    <font>
      <sz val="12.0"/>
      <color rgb="FFF4F1F7"/>
      <name val="Roboto"/>
    </font>
    <font>
      <sz val="22.0"/>
      <color rgb="FF756588"/>
      <name val="Yuji Syuku"/>
    </font>
    <font>
      <sz val="13.0"/>
      <color rgb="FFE8DCD4"/>
      <name val="Oswald"/>
    </font>
    <font>
      <sz val="18.0"/>
      <color rgb="FFE8DCD4"/>
      <name val="Oswald"/>
    </font>
    <font/>
    <font>
      <sz val="8.0"/>
      <color rgb="FF998BA9"/>
      <name val="Courier New"/>
    </font>
    <font>
      <sz val="11.0"/>
      <color rgb="FF756588"/>
      <name val="Courier New"/>
    </font>
    <font>
      <sz val="9.0"/>
      <color rgb="FF998BA9"/>
      <name val="Courier New"/>
    </font>
    <font>
      <sz val="22.0"/>
      <color rgb="FFE8DCD4"/>
      <name val="Oswald"/>
    </font>
    <font>
      <sz val="12.0"/>
      <color rgb="FFE8DCD4"/>
      <name val="Oswald"/>
    </font>
    <font>
      <sz val="15.0"/>
      <color rgb="FFF4F1F7"/>
      <name val="Castoro"/>
    </font>
    <font>
      <sz val="8.0"/>
      <color rgb="FFE8DCD4"/>
      <name val="Oswald"/>
    </font>
    <font>
      <sz val="9.0"/>
      <color rgb="FF756588"/>
      <name val="Oswald"/>
    </font>
    <font>
      <sz val="8.0"/>
      <color rgb="FF998BA9"/>
      <name val="Oswald"/>
    </font>
    <font>
      <sz val="26.0"/>
      <color rgb="FFE8DCD4"/>
      <name val="Castoro"/>
    </font>
    <font>
      <sz val="10.0"/>
      <color rgb="FF756588"/>
      <name val="Courier New"/>
    </font>
    <font>
      <sz val="8.0"/>
      <color rgb="FF493F54"/>
      <name val="Roboto"/>
    </font>
    <font>
      <sz val="16.0"/>
      <color rgb="FFE8DCD4"/>
      <name val="Oswald"/>
    </font>
    <font>
      <sz val="11.0"/>
      <color rgb="FF493F54"/>
      <name val="Oswald"/>
    </font>
    <font>
      <sz val="11.0"/>
      <color rgb="FFE8DCD4"/>
      <name val="Roboto"/>
    </font>
    <font>
      <sz val="20.0"/>
      <color rgb="FFE8DCD4"/>
      <name val="Oswald"/>
    </font>
    <font>
      <sz val="12.0"/>
      <color rgb="FFE8DCD4"/>
      <name val="Courier New"/>
    </font>
    <font>
      <sz val="18.0"/>
      <color rgb="FFE8DCD4"/>
      <name val="Castoro"/>
    </font>
    <font>
      <sz val="24.0"/>
      <color rgb="FFE8DCD4"/>
      <name val="Oswald"/>
    </font>
    <font>
      <sz val="8.0"/>
      <color rgb="FFE8DCD4"/>
      <name val="Roboto"/>
    </font>
    <font>
      <sz val="8.0"/>
      <color rgb="FF756588"/>
      <name val="Oswald"/>
    </font>
    <font>
      <sz val="14.0"/>
      <color rgb="FFE8DCD4"/>
      <name val="Oswald"/>
    </font>
    <font>
      <sz val="9.0"/>
      <color rgb="FFF4F1F7"/>
      <name val="Roboto"/>
    </font>
    <font>
      <sz val="9.0"/>
      <color rgb="FF493F54"/>
      <name val="Courier New"/>
    </font>
    <font>
      <sz val="13.0"/>
      <color rgb="FFE8DCD4"/>
      <name val="Roboto"/>
    </font>
    <font>
      <sz val="12.0"/>
      <color rgb="FF000000"/>
      <name val="Roboto"/>
    </font>
    <font>
      <sz val="11.0"/>
      <color rgb="FFE8DCD4"/>
      <name val="Courier New"/>
    </font>
    <font>
      <sz val="12.0"/>
      <color rgb="FFE8DCD4"/>
      <name val="Roboto"/>
    </font>
    <font>
      <color theme="1"/>
      <name val="Arial"/>
      <scheme val="minor"/>
    </font>
    <font>
      <sz val="12.0"/>
      <color rgb="FFD89B3A"/>
      <name val="Oswald"/>
    </font>
    <font>
      <sz val="11.0"/>
      <color rgb="FFE8DCD4"/>
      <name val="Oswald"/>
    </font>
    <font>
      <sz val="10.0"/>
      <color rgb="FFE8DCD4"/>
      <name val="Castoro"/>
    </font>
    <font>
      <b/>
      <sz val="9.0"/>
      <color rgb="FFE8DCD4"/>
      <name val="Roboto"/>
    </font>
    <font>
      <sz val="6.0"/>
      <color rgb="FFE8DCD4"/>
      <name val="Castoro"/>
    </font>
    <font>
      <sz val="10.0"/>
      <color rgb="FFE8DCD4"/>
      <name val="Oswald"/>
    </font>
    <font>
      <color theme="1"/>
      <name val="Arial"/>
    </font>
    <font>
      <color rgb="FFE8DCD4"/>
      <name val="Castoro"/>
    </font>
    <font>
      <sz val="8.0"/>
      <color rgb="FFD89B3A"/>
      <name val="Oswald"/>
    </font>
    <font>
      <color rgb="FFE8DCD4"/>
      <name val="Oswald"/>
    </font>
    <font>
      <sz val="10.0"/>
      <color rgb="FF998BA9"/>
      <name val="Oswald"/>
    </font>
    <font>
      <sz val="9.0"/>
      <color rgb="FFD89B3A"/>
      <name val="Roboto"/>
    </font>
    <font>
      <sz val="9.0"/>
      <color rgb="FFE8DCD4"/>
      <name val="Oswald"/>
    </font>
    <font>
      <sz val="16.0"/>
      <color rgb="FFD89B3A"/>
      <name val="Oswald"/>
    </font>
    <font>
      <b/>
      <sz val="9.0"/>
      <color rgb="FFF4F1F7"/>
      <name val="Roboto"/>
    </font>
    <font>
      <sz val="9.0"/>
      <color rgb="FFE8DCD4"/>
      <name val="Roboto"/>
    </font>
    <font>
      <sz val="8.0"/>
      <color rgb="FF998BA9"/>
      <name val="Roboto"/>
    </font>
  </fonts>
  <fills count="8">
    <fill>
      <patternFill patternType="none"/>
    </fill>
    <fill>
      <patternFill patternType="lightGray"/>
    </fill>
    <fill>
      <patternFill patternType="solid">
        <fgColor rgb="FF120F1D"/>
        <bgColor rgb="FF120F1D"/>
      </patternFill>
    </fill>
    <fill>
      <patternFill patternType="solid">
        <fgColor rgb="FF17131F"/>
        <bgColor rgb="FF17131F"/>
      </patternFill>
    </fill>
    <fill>
      <patternFill patternType="solid">
        <fgColor rgb="FF0A0810"/>
        <bgColor rgb="FF0A0810"/>
      </patternFill>
    </fill>
    <fill>
      <patternFill patternType="solid">
        <fgColor rgb="FF3D2E78"/>
        <bgColor rgb="FF3D2E78"/>
      </patternFill>
    </fill>
    <fill>
      <patternFill patternType="solid">
        <fgColor rgb="FF211940"/>
        <bgColor rgb="FF211940"/>
      </patternFill>
    </fill>
    <fill>
      <patternFill patternType="solid">
        <fgColor rgb="FF1E1733"/>
        <bgColor rgb="FF1E1733"/>
      </patternFill>
    </fill>
  </fills>
  <borders count="43">
    <border/>
    <border>
      <left/>
      <right/>
      <top/>
      <bottom/>
    </border>
    <border>
      <left/>
      <right style="medium">
        <color rgb="FF8A7EC4"/>
      </right>
      <top/>
      <bottom/>
    </border>
    <border>
      <right/>
      <top style="medium">
        <color rgb="FF8A7EC4"/>
      </top>
      <bottom/>
    </border>
    <border>
      <left/>
      <top style="medium">
        <color rgb="FF8A7EC4"/>
      </top>
    </border>
    <border>
      <top style="medium">
        <color rgb="FF8A7EC4"/>
      </top>
    </border>
    <border>
      <right/>
      <top style="medium">
        <color rgb="FF8A7EC4"/>
      </top>
    </border>
    <border>
      <left/>
      <right/>
      <top style="medium">
        <color rgb="FF8A7EC4"/>
      </top>
      <bottom/>
    </border>
    <border>
      <right style="medium">
        <color rgb="FF8A7EC4"/>
      </right>
      <top style="medium">
        <color rgb="FF8A7EC4"/>
      </top>
    </border>
    <border>
      <right/>
      <top/>
      <bottom style="medium">
        <color rgb="FF8A7EC4"/>
      </bottom>
    </border>
    <border>
      <left/>
      <bottom style="medium">
        <color rgb="FF8A7EC4"/>
      </bottom>
    </border>
    <border>
      <bottom style="medium">
        <color rgb="FF8A7EC4"/>
      </bottom>
    </border>
    <border>
      <right/>
      <bottom style="medium">
        <color rgb="FF8A7EC4"/>
      </bottom>
    </border>
    <border>
      <left/>
      <right/>
      <top/>
      <bottom style="medium">
        <color rgb="FF8A7EC4"/>
      </bottom>
    </border>
    <border>
      <right style="medium">
        <color rgb="FF8A7EC4"/>
      </right>
      <bottom style="medium">
        <color rgb="FF8A7EC4"/>
      </bottom>
    </border>
    <border>
      <left/>
      <right/>
      <bottom/>
    </border>
    <border>
      <left/>
      <right/>
    </border>
    <border>
      <left/>
      <top/>
      <bottom/>
    </border>
    <border>
      <left style="medium">
        <color rgb="FF8A7EC4"/>
      </left>
      <top style="medium">
        <color rgb="FF8A7EC4"/>
      </top>
      <bottom style="medium">
        <color rgb="FF8A7EC4"/>
      </bottom>
    </border>
    <border>
      <left style="medium">
        <color rgb="FF8A7EC4"/>
      </left>
      <top style="medium">
        <color rgb="FF8A7EC4"/>
      </top>
    </border>
    <border>
      <top style="medium">
        <color rgb="FF8A7EC4"/>
      </top>
      <bottom style="medium">
        <color rgb="FF8A7EC4"/>
      </bottom>
    </border>
    <border>
      <right style="medium">
        <color rgb="FF8A7EC4"/>
      </right>
      <top style="medium">
        <color rgb="FF8A7EC4"/>
      </top>
      <bottom style="medium">
        <color rgb="FF8A7EC4"/>
      </bottom>
    </border>
    <border>
      <right/>
      <top/>
      <bottom/>
    </border>
    <border>
      <left style="medium">
        <color rgb="FF8A7EC4"/>
      </left>
      <bottom style="medium">
        <color rgb="FF8A7EC4"/>
      </bottom>
    </border>
    <border>
      <right/>
    </border>
    <border>
      <left/>
      <right/>
      <top/>
    </border>
    <border>
      <left style="medium">
        <color rgb="FF8A7EC4"/>
      </left>
    </border>
    <border>
      <right style="medium">
        <color rgb="FF8A7EC4"/>
      </right>
    </border>
    <border>
      <top/>
      <bottom/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/>
      <top/>
    </border>
    <border>
      <right/>
      <top/>
    </border>
    <border>
      <left/>
    </border>
    <border>
      <left style="medium">
        <color rgb="FF8A7EC4"/>
      </left>
      <right style="medium">
        <color rgb="FF8A7EC4"/>
      </right>
    </border>
    <border>
      <top/>
    </border>
    <border>
      <left/>
      <bottom/>
    </border>
    <border>
      <bottom/>
    </border>
    <border>
      <right/>
      <bottom/>
    </border>
    <border>
      <left style="medium">
        <color rgb="FF8A7EC4"/>
      </left>
      <right/>
      <top style="medium">
        <color rgb="FF8A7EC4"/>
      </top>
      <bottom/>
    </border>
    <border>
      <left style="medium">
        <color rgb="FF8A7EC4"/>
      </left>
      <right/>
      <top/>
      <bottom style="medium">
        <color rgb="FF8A7EC4"/>
      </bottom>
    </border>
    <border>
      <left style="medium">
        <color rgb="FF8A7EC4"/>
      </left>
      <right style="medium">
        <color rgb="FF8A7EC4"/>
      </right>
      <top style="medium">
        <color rgb="FF8A7EC4"/>
      </top>
      <bottom style="medium">
        <color rgb="FF8A7EC4"/>
      </bottom>
    </border>
  </borders>
  <cellStyleXfs count="1">
    <xf borderId="0" fillId="0" fontId="0" numFmtId="0" applyAlignment="1" applyFont="1"/>
  </cellStyleXfs>
  <cellXfs count="2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center"/>
    </xf>
    <xf borderId="0" fillId="2" fontId="2" numFmtId="3" xfId="0" applyAlignment="1" applyFill="1" applyFont="1" applyNumberFormat="1">
      <alignment horizontal="left" readingOrder="0" vertical="center"/>
    </xf>
    <xf borderId="0" fillId="2" fontId="3" numFmtId="0" xfId="0" applyAlignment="1" applyFill="1" applyFont="1">
      <alignment horizontal="left" readingOrder="0" vertical="center"/>
    </xf>
    <xf borderId="0" fillId="2" fontId="4" numFmtId="0" xfId="0" applyAlignment="1" applyFill="1" applyFont="1">
      <alignment horizontal="left" vertical="center"/>
    </xf>
    <xf borderId="0" fillId="3" fontId="4" numFmtId="0" xfId="0" applyAlignment="1" applyFill="1" applyFont="1">
      <alignment horizontal="left" vertical="center"/>
    </xf>
    <xf borderId="1" fillId="4" fontId="5" numFmtId="0" xfId="0" applyBorder="1" applyFill="1" applyFont="1"/>
    <xf borderId="0" fillId="2" fontId="1" numFmtId="0" xfId="0" applyAlignment="1" applyFill="1" applyFont="1">
      <alignment horizontal="center" readingOrder="0" vertical="center"/>
    </xf>
    <xf borderId="2" fillId="4" fontId="5" numFmtId="0" xfId="0" applyBorder="1" applyFill="1" applyFont="1"/>
    <xf borderId="3" fillId="5" fontId="5" numFmtId="0" xfId="0" applyBorder="1" applyFill="1" applyFont="1"/>
    <xf borderId="0" fillId="3" fontId="6" numFmtId="0" xfId="0" applyAlignment="1" applyFill="1" applyFont="1">
      <alignment horizontal="left" readingOrder="0" vertical="center"/>
    </xf>
    <xf borderId="0" fillId="3" fontId="7" numFmtId="0" xfId="0" applyAlignment="1" applyFill="1" applyFont="1">
      <alignment horizontal="left" readingOrder="0" vertical="center"/>
    </xf>
    <xf borderId="0" fillId="2" fontId="5" numFmtId="0" xfId="0" applyAlignment="1" applyFill="1" applyFont="1">
      <alignment horizontal="left" readingOrder="0" vertical="center"/>
    </xf>
    <xf borderId="4" fillId="5" fontId="8" numFmtId="0" xfId="0" applyAlignment="1" applyBorder="1" applyFill="1" applyFont="1">
      <alignment horizontal="left" vertical="center"/>
    </xf>
    <xf borderId="5" fillId="0" fontId="9" numFmtId="0" xfId="0" applyBorder="1" applyFont="1"/>
    <xf borderId="0" fillId="2" fontId="3" numFmtId="0" xfId="0" applyAlignment="1" applyFill="1" applyFont="1">
      <alignment horizontal="center" readingOrder="0" vertical="center"/>
    </xf>
    <xf borderId="6" fillId="0" fontId="9" numFmtId="0" xfId="0" applyBorder="1" applyFont="1"/>
    <xf borderId="7" fillId="5" fontId="5" numFmtId="0" xfId="0" applyBorder="1" applyFill="1" applyFont="1"/>
    <xf borderId="4" fillId="5" fontId="10" numFmtId="0" xfId="0" applyAlignment="1" applyBorder="1" applyFill="1" applyFont="1">
      <alignment horizontal="right" vertical="center"/>
    </xf>
    <xf borderId="0" fillId="2" fontId="5" numFmtId="0" xfId="0" applyAlignment="1" applyFill="1" applyFont="1">
      <alignment horizontal="left" readingOrder="0" vertical="center"/>
    </xf>
    <xf borderId="0" fillId="3" fontId="11" numFmtId="0" xfId="0" applyAlignment="1" applyFill="1" applyFont="1">
      <alignment horizontal="right" vertical="center"/>
    </xf>
    <xf borderId="8" fillId="0" fontId="9" numFmtId="0" xfId="0" applyBorder="1" applyFont="1"/>
    <xf borderId="0" fillId="2" fontId="5" numFmtId="0" xfId="0" applyAlignment="1" applyFill="1" applyFont="1">
      <alignment horizontal="center" readingOrder="0" vertical="center"/>
    </xf>
    <xf borderId="9" fillId="5" fontId="5" numFmtId="0" xfId="0" applyBorder="1" applyFill="1" applyFont="1"/>
    <xf borderId="0" fillId="3" fontId="3" numFmtId="0" xfId="0" applyAlignment="1" applyFill="1" applyFont="1">
      <alignment horizontal="left" readingOrder="0" vertical="center"/>
    </xf>
    <xf borderId="10" fillId="0" fontId="9" numFmtId="0" xfId="0" applyBorder="1" applyFont="1"/>
    <xf borderId="11" fillId="0" fontId="9" numFmtId="0" xfId="0" applyBorder="1" applyFont="1"/>
    <xf borderId="0" fillId="3" fontId="12" numFmtId="0" xfId="0" applyAlignment="1" applyFill="1" applyFont="1">
      <alignment horizontal="right" vertical="center"/>
    </xf>
    <xf borderId="12" fillId="0" fontId="9" numFmtId="0" xfId="0" applyBorder="1" applyFont="1"/>
    <xf borderId="13" fillId="5" fontId="5" numFmtId="0" xfId="0" applyBorder="1" applyFill="1" applyFont="1"/>
    <xf borderId="0" fillId="4" fontId="4" numFmtId="0" xfId="0" applyAlignment="1" applyFill="1" applyFont="1">
      <alignment horizontal="left" vertical="center"/>
    </xf>
    <xf borderId="14" fillId="0" fontId="9" numFmtId="0" xfId="0" applyBorder="1" applyFont="1"/>
    <xf borderId="15" fillId="2" fontId="5" numFmtId="0" xfId="0" applyBorder="1" applyFill="1" applyFont="1"/>
    <xf borderId="16" fillId="2" fontId="5" numFmtId="0" xfId="0" applyBorder="1" applyFill="1" applyFont="1"/>
    <xf borderId="0" fillId="4" fontId="4" numFmtId="0" xfId="0" applyAlignment="1" applyFill="1" applyFont="1">
      <alignment horizontal="center" vertical="center"/>
    </xf>
    <xf borderId="17" fillId="2" fontId="5" numFmtId="0" xfId="0" applyBorder="1" applyFill="1" applyFont="1"/>
    <xf borderId="18" fillId="5" fontId="1" numFmtId="0" xfId="0" applyAlignment="1" applyBorder="1" applyFill="1" applyFont="1">
      <alignment horizontal="center" readingOrder="0" vertical="center"/>
    </xf>
    <xf borderId="19" fillId="6" fontId="13" numFmtId="0" xfId="0" applyAlignment="1" applyBorder="1" applyFill="1" applyFont="1">
      <alignment horizontal="center" vertical="center"/>
    </xf>
    <xf borderId="20" fillId="0" fontId="9" numFmtId="0" xfId="0" applyBorder="1" applyFont="1"/>
    <xf borderId="21" fillId="0" fontId="9" numFmtId="0" xfId="0" applyBorder="1" applyFont="1"/>
    <xf borderId="18" fillId="5" fontId="14" numFmtId="0" xfId="0" applyAlignment="1" applyBorder="1" applyFill="1" applyFont="1">
      <alignment horizontal="left" vertical="center"/>
    </xf>
    <xf borderId="22" fillId="2" fontId="5" numFmtId="0" xfId="0" applyBorder="1" applyFill="1" applyFont="1"/>
    <xf borderId="1" fillId="2" fontId="5" numFmtId="0" xfId="0" applyBorder="1" applyFill="1" applyFont="1"/>
    <xf borderId="23" fillId="0" fontId="9" numFmtId="0" xfId="0" applyBorder="1" applyFont="1"/>
    <xf borderId="19" fillId="7" fontId="15" numFmtId="0" xfId="0" applyAlignment="1" applyBorder="1" applyFill="1" applyFont="1">
      <alignment horizontal="center" vertical="center"/>
    </xf>
    <xf borderId="24" fillId="2" fontId="5" numFmtId="0" xfId="0" applyBorder="1" applyFill="1" applyFont="1"/>
    <xf borderId="25" fillId="2" fontId="5" numFmtId="0" xfId="0" applyBorder="1" applyFill="1" applyFont="1"/>
    <xf borderId="26" fillId="0" fontId="9" numFmtId="0" xfId="0" applyBorder="1" applyFont="1"/>
    <xf borderId="18" fillId="5" fontId="16" numFmtId="0" xfId="0" applyAlignment="1" applyBorder="1" applyFill="1" applyFont="1">
      <alignment horizontal="center" vertical="center"/>
    </xf>
    <xf borderId="27" fillId="0" fontId="9" numFmtId="0" xfId="0" applyBorder="1" applyFont="1"/>
    <xf borderId="28" fillId="2" fontId="5" numFmtId="0" xfId="0" applyBorder="1" applyFill="1" applyFont="1"/>
    <xf borderId="19" fillId="5" fontId="16" numFmtId="0" xfId="0" applyAlignment="1" applyBorder="1" applyFill="1" applyFont="1">
      <alignment horizontal="center" vertical="center"/>
    </xf>
    <xf borderId="0" fillId="4" fontId="17" numFmtId="0" xfId="0" applyAlignment="1" applyFill="1" applyFont="1">
      <alignment horizontal="left" readingOrder="0" vertical="center"/>
    </xf>
    <xf borderId="0" fillId="4" fontId="18" numFmtId="0" xfId="0" applyAlignment="1" applyFill="1" applyFont="1">
      <alignment horizontal="right" readingOrder="0" vertical="center"/>
    </xf>
    <xf borderId="0" fillId="4" fontId="19" numFmtId="0" xfId="0" applyAlignment="1" applyFill="1" applyFont="1">
      <alignment horizontal="left" vertical="center"/>
    </xf>
    <xf borderId="26" fillId="7" fontId="13" numFmtId="0" xfId="0" applyAlignment="1" applyBorder="1" applyFill="1" applyFont="1">
      <alignment horizontal="center" vertical="center"/>
    </xf>
    <xf borderId="19" fillId="7" fontId="13" numFmtId="0" xfId="0" applyAlignment="1" applyBorder="1" applyFill="1" applyFont="1">
      <alignment horizontal="center" vertical="center"/>
    </xf>
    <xf borderId="18" fillId="5" fontId="18" numFmtId="0" xfId="0" applyAlignment="1" applyBorder="1" applyFill="1" applyFont="1">
      <alignment horizontal="center" readingOrder="0" vertical="center"/>
    </xf>
    <xf borderId="27" fillId="4" fontId="4" numFmtId="0" xfId="0" applyAlignment="1" applyBorder="1" applyFill="1" applyFont="1">
      <alignment horizontal="left" vertical="center"/>
    </xf>
    <xf borderId="0" fillId="4" fontId="20" numFmtId="0" xfId="0" applyAlignment="1" applyFill="1" applyFont="1">
      <alignment horizontal="right" vertical="center"/>
    </xf>
    <xf borderId="20" fillId="5" fontId="18" numFmtId="0" xfId="0" applyAlignment="1" applyBorder="1" applyFill="1" applyFont="1">
      <alignment horizontal="center" readingOrder="0" vertical="center"/>
    </xf>
    <xf borderId="29" fillId="5" fontId="18" numFmtId="0" xfId="0" applyAlignment="1" applyBorder="1" applyFill="1" applyFont="1">
      <alignment horizontal="center" readingOrder="0" vertical="center"/>
    </xf>
    <xf borderId="30" fillId="0" fontId="9" numFmtId="0" xfId="0" applyBorder="1" applyFont="1"/>
    <xf borderId="0" fillId="4" fontId="21" numFmtId="0" xfId="0" applyAlignment="1" applyFill="1" applyFont="1">
      <alignment horizontal="left" readingOrder="0" vertical="center"/>
    </xf>
    <xf borderId="31" fillId="0" fontId="9" numFmtId="0" xfId="0" applyBorder="1" applyFont="1"/>
    <xf borderId="26" fillId="7" fontId="22" numFmtId="0" xfId="0" applyAlignment="1" applyBorder="1" applyFill="1" applyFont="1">
      <alignment horizontal="center" vertical="center"/>
    </xf>
    <xf borderId="32" fillId="4" fontId="23" numFmtId="0" xfId="0" applyAlignment="1" applyBorder="1" applyFill="1" applyFont="1">
      <alignment horizontal="center" textRotation="90" vertical="center"/>
    </xf>
    <xf borderId="33" fillId="0" fontId="9" numFmtId="0" xfId="0" applyBorder="1" applyFont="1"/>
    <xf borderId="34" fillId="0" fontId="9" numFmtId="0" xfId="0" applyBorder="1" applyFont="1"/>
    <xf borderId="24" fillId="0" fontId="9" numFmtId="0" xfId="0" applyBorder="1" applyFont="1"/>
    <xf borderId="5" fillId="7" fontId="15" numFmtId="0" xfId="0" applyAlignment="1" applyBorder="1" applyFill="1" applyFont="1">
      <alignment horizontal="center" vertical="center"/>
    </xf>
    <xf borderId="0" fillId="4" fontId="23" numFmtId="0" xfId="0" applyAlignment="1" applyFill="1" applyFont="1">
      <alignment horizontal="center" readingOrder="0" textRotation="90" vertical="center"/>
    </xf>
    <xf borderId="19" fillId="6" fontId="13" numFmtId="0" xfId="0" applyAlignment="1" applyBorder="1" applyFill="1" applyFont="1">
      <alignment horizontal="center" readingOrder="0" shrinkToFit="0" vertical="center" wrapText="1"/>
    </xf>
    <xf borderId="19" fillId="5" fontId="14" numFmtId="0" xfId="0" applyAlignment="1" applyBorder="1" applyFill="1" applyFont="1">
      <alignment horizontal="left" readingOrder="0" vertical="center"/>
    </xf>
    <xf borderId="5" fillId="4" fontId="4" numFmtId="0" xfId="0" applyAlignment="1" applyBorder="1" applyFill="1" applyFont="1">
      <alignment horizontal="left" vertical="center"/>
    </xf>
    <xf borderId="0" fillId="2" fontId="24" numFmtId="0" xfId="0" applyAlignment="1" applyFill="1" applyFont="1">
      <alignment horizontal="left" vertical="center"/>
    </xf>
    <xf borderId="5" fillId="2" fontId="24" numFmtId="0" xfId="0" applyAlignment="1" applyBorder="1" applyFill="1" applyFont="1">
      <alignment horizontal="left" vertical="center"/>
    </xf>
    <xf borderId="11" fillId="4" fontId="4" numFmtId="0" xfId="0" applyAlignment="1" applyBorder="1" applyFill="1" applyFont="1">
      <alignment horizontal="left" vertical="center"/>
    </xf>
    <xf borderId="20" fillId="2" fontId="24" numFmtId="0" xfId="0" applyAlignment="1" applyBorder="1" applyFill="1" applyFont="1">
      <alignment horizontal="left" vertical="center"/>
    </xf>
    <xf borderId="18" fillId="7" fontId="22" numFmtId="0" xfId="0" applyAlignment="1" applyBorder="1" applyFill="1" applyFont="1">
      <alignment horizontal="center" vertical="center"/>
    </xf>
    <xf borderId="11" fillId="2" fontId="24" numFmtId="0" xfId="0" applyAlignment="1" applyBorder="1" applyFill="1" applyFont="1">
      <alignment horizontal="left" vertical="center"/>
    </xf>
    <xf borderId="23" fillId="7" fontId="22" numFmtId="0" xfId="0" applyAlignment="1" applyBorder="1" applyFill="1" applyFont="1">
      <alignment horizontal="center" vertical="center"/>
    </xf>
    <xf borderId="23" fillId="5" fontId="18" numFmtId="0" xfId="0" applyAlignment="1" applyBorder="1" applyFill="1" applyFont="1">
      <alignment horizontal="center" readingOrder="0" vertical="center"/>
    </xf>
    <xf borderId="18" fillId="5" fontId="16" numFmtId="0" xfId="0" applyAlignment="1" applyBorder="1" applyFill="1" applyFont="1">
      <alignment horizontal="center" readingOrder="0" vertical="center"/>
    </xf>
    <xf borderId="11" fillId="5" fontId="18" numFmtId="0" xfId="0" applyAlignment="1" applyBorder="1" applyFill="1" applyFont="1">
      <alignment horizontal="center" readingOrder="0" vertical="center"/>
    </xf>
    <xf borderId="35" fillId="2" fontId="24" numFmtId="0" xfId="0" applyAlignment="1" applyBorder="1" applyFill="1" applyFont="1">
      <alignment horizontal="left" vertical="center"/>
    </xf>
    <xf borderId="23" fillId="5" fontId="16" numFmtId="0" xfId="0" applyAlignment="1" applyBorder="1" applyFill="1" applyFont="1">
      <alignment horizontal="center" readingOrder="0" vertical="center"/>
    </xf>
    <xf borderId="32" fillId="2" fontId="3" numFmtId="0" xfId="0" applyAlignment="1" applyBorder="1" applyFill="1" applyFont="1">
      <alignment horizontal="left" vertical="center"/>
    </xf>
    <xf borderId="27" fillId="2" fontId="24" numFmtId="0" xfId="0" applyAlignment="1" applyBorder="1" applyFill="1" applyFont="1">
      <alignment horizontal="left" vertical="center"/>
    </xf>
    <xf borderId="18" fillId="7" fontId="15" numFmtId="0" xfId="0" applyAlignment="1" applyBorder="1" applyFill="1" applyFont="1">
      <alignment horizontal="center" vertical="center"/>
    </xf>
    <xf borderId="36" fillId="0" fontId="9" numFmtId="0" xfId="0" applyBorder="1" applyFont="1"/>
    <xf borderId="11" fillId="5" fontId="16" numFmtId="0" xfId="0" applyAlignment="1" applyBorder="1" applyFill="1" applyFont="1">
      <alignment horizontal="center" readingOrder="0" vertical="center"/>
    </xf>
    <xf borderId="20" fillId="7" fontId="4" numFmtId="0" xfId="0" applyAlignment="1" applyBorder="1" applyFill="1" applyFont="1">
      <alignment horizontal="center" vertical="center"/>
    </xf>
    <xf borderId="18" fillId="7" fontId="4" numFmtId="0" xfId="0" applyAlignment="1" applyBorder="1" applyFill="1" applyFont="1">
      <alignment horizontal="center" vertical="center"/>
    </xf>
    <xf borderId="37" fillId="0" fontId="9" numFmtId="0" xfId="0" applyBorder="1" applyFont="1"/>
    <xf borderId="38" fillId="0" fontId="9" numFmtId="0" xfId="0" applyBorder="1" applyFont="1"/>
    <xf borderId="39" fillId="0" fontId="9" numFmtId="0" xfId="0" applyBorder="1" applyFont="1"/>
    <xf borderId="19" fillId="7" fontId="24" numFmtId="0" xfId="0" applyAlignment="1" applyBorder="1" applyFill="1" applyFont="1">
      <alignment horizontal="center" readingOrder="0" vertical="center"/>
    </xf>
    <xf borderId="5" fillId="7" fontId="24" numFmtId="0" xfId="0" applyAlignment="1" applyBorder="1" applyFill="1" applyFont="1">
      <alignment horizontal="center" readingOrder="0" vertical="center"/>
    </xf>
    <xf borderId="5" fillId="7" fontId="25" numFmtId="0" xfId="0" applyAlignment="1" applyBorder="1" applyFill="1" applyFont="1">
      <alignment horizontal="center" readingOrder="0" vertical="center"/>
    </xf>
    <xf borderId="5" fillId="7" fontId="26" numFmtId="0" xfId="0" applyAlignment="1" applyBorder="1" applyFill="1" applyFont="1">
      <alignment horizontal="center" readingOrder="0" vertical="center"/>
    </xf>
    <xf borderId="5" fillId="2" fontId="24" numFmtId="0" xfId="0" applyAlignment="1" applyBorder="1" applyFill="1" applyFont="1">
      <alignment horizontal="center" vertical="center"/>
    </xf>
    <xf borderId="26" fillId="4" fontId="4" numFmtId="0" xfId="0" applyAlignment="1" applyBorder="1" applyFill="1" applyFont="1">
      <alignment horizontal="left" vertical="center"/>
    </xf>
    <xf borderId="19" fillId="6" fontId="13" numFmtId="0" xfId="0" applyAlignment="1" applyBorder="1" applyFill="1" applyFont="1">
      <alignment horizontal="center" readingOrder="0" vertical="center"/>
    </xf>
    <xf borderId="19" fillId="7" fontId="4" numFmtId="0" xfId="0" applyAlignment="1" applyBorder="1" applyFill="1" applyFont="1">
      <alignment horizontal="center" vertical="center"/>
    </xf>
    <xf borderId="26" fillId="2" fontId="24" numFmtId="0" xfId="0" applyAlignment="1" applyBorder="1" applyFill="1" applyFont="1">
      <alignment horizontal="left" vertical="center"/>
    </xf>
    <xf borderId="18" fillId="7" fontId="27" numFmtId="0" xfId="0" applyAlignment="1" applyBorder="1" applyFill="1" applyFont="1">
      <alignment horizontal="center" vertical="center"/>
    </xf>
    <xf borderId="0" fillId="2" fontId="24" numFmtId="0" xfId="0" applyAlignment="1" applyFill="1" applyFont="1">
      <alignment horizontal="center" vertical="center"/>
    </xf>
    <xf borderId="18" fillId="7" fontId="22" numFmtId="0" xfId="0" applyAlignment="1" applyBorder="1" applyFill="1" applyFont="1">
      <alignment horizontal="center" readingOrder="0" vertical="center"/>
    </xf>
    <xf borderId="19" fillId="7" fontId="28" numFmtId="0" xfId="0" applyAlignment="1" applyBorder="1" applyFill="1" applyFont="1">
      <alignment horizontal="center" readingOrder="0" vertical="center"/>
    </xf>
    <xf borderId="5" fillId="7" fontId="28" numFmtId="0" xfId="0" applyAlignment="1" applyBorder="1" applyFill="1" applyFont="1">
      <alignment horizontal="center" readingOrder="0" vertical="center"/>
    </xf>
    <xf borderId="18" fillId="5" fontId="29" numFmtId="0" xfId="0" applyAlignment="1" applyBorder="1" applyFill="1" applyFont="1">
      <alignment horizontal="center" readingOrder="0" vertical="center"/>
    </xf>
    <xf borderId="17" fillId="2" fontId="30" numFmtId="0" xfId="0" applyAlignment="1" applyBorder="1" applyFill="1" applyFont="1">
      <alignment horizontal="left" vertical="center"/>
    </xf>
    <xf borderId="28" fillId="0" fontId="9" numFmtId="0" xfId="0" applyBorder="1" applyFont="1"/>
    <xf borderId="20" fillId="5" fontId="29" numFmtId="0" xfId="0" applyAlignment="1" applyBorder="1" applyFill="1" applyFont="1">
      <alignment horizontal="center" readingOrder="0" vertical="center"/>
    </xf>
    <xf borderId="22" fillId="0" fontId="9" numFmtId="0" xfId="0" applyBorder="1" applyFont="1"/>
    <xf borderId="0" fillId="4" fontId="3" numFmtId="0" xfId="0" applyAlignment="1" applyFill="1" applyFont="1">
      <alignment horizontal="left" readingOrder="0" vertical="center"/>
    </xf>
    <xf borderId="18" fillId="7" fontId="31" numFmtId="0" xfId="0" applyAlignment="1" applyBorder="1" applyFill="1" applyFont="1">
      <alignment horizontal="center" readingOrder="0" vertical="center"/>
    </xf>
    <xf borderId="32" fillId="2" fontId="32" numFmtId="0" xfId="0" applyAlignment="1" applyBorder="1" applyFill="1" applyFont="1">
      <alignment horizontal="left" vertical="center"/>
    </xf>
    <xf borderId="0" fillId="4" fontId="33" numFmtId="0" xfId="0" applyAlignment="1" applyFill="1" applyFont="1">
      <alignment horizontal="right" vertical="center"/>
    </xf>
    <xf borderId="20" fillId="5" fontId="16" numFmtId="0" xfId="0" applyAlignment="1" applyBorder="1" applyFill="1" applyFont="1">
      <alignment horizontal="center" readingOrder="0" shrinkToFit="0" vertical="center" wrapText="1"/>
    </xf>
    <xf borderId="19" fillId="7" fontId="13" numFmtId="0" xfId="0" applyAlignment="1" applyBorder="1" applyFill="1" applyFont="1">
      <alignment horizontal="center" readingOrder="0" vertical="center"/>
    </xf>
    <xf borderId="19" fillId="7" fontId="34" numFmtId="0" xfId="0" applyAlignment="1" applyBorder="1" applyFill="1" applyFont="1">
      <alignment horizontal="center" vertical="center"/>
    </xf>
    <xf borderId="19" fillId="7" fontId="35" numFmtId="0" xfId="0" applyAlignment="1" applyBorder="1" applyFill="1" applyFont="1">
      <alignment horizontal="left" vertical="center"/>
    </xf>
    <xf borderId="23" fillId="7" fontId="36" numFmtId="0" xfId="0" applyAlignment="1" applyBorder="1" applyFill="1" applyFont="1">
      <alignment horizontal="center" readingOrder="0" vertical="center"/>
    </xf>
    <xf borderId="18" fillId="7" fontId="24" numFmtId="0" xfId="0" applyAlignment="1" applyBorder="1" applyFill="1" applyFont="1">
      <alignment horizontal="center" readingOrder="0" vertical="center"/>
    </xf>
    <xf borderId="19" fillId="7" fontId="28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horizontal="left" vertical="center"/>
    </xf>
    <xf borderId="40" fillId="5" fontId="5" numFmtId="0" xfId="0" applyBorder="1" applyFill="1" applyFont="1"/>
    <xf borderId="18" fillId="5" fontId="29" numFmtId="0" xfId="0" applyAlignment="1" applyBorder="1" applyFill="1" applyFont="1">
      <alignment horizontal="center" vertical="center"/>
    </xf>
    <xf borderId="19" fillId="7" fontId="37" numFmtId="0" xfId="0" applyAlignment="1" applyBorder="1" applyFill="1" applyFont="1">
      <alignment horizontal="left" vertical="center"/>
    </xf>
    <xf borderId="4" fillId="5" fontId="22" numFmtId="0" xfId="0" applyAlignment="1" applyBorder="1" applyFill="1" applyFont="1">
      <alignment horizontal="left" vertical="center"/>
    </xf>
    <xf borderId="0" fillId="0" fontId="38" numFmtId="0" xfId="0" applyAlignment="1" applyFont="1">
      <alignment readingOrder="0"/>
    </xf>
    <xf borderId="1" fillId="2" fontId="5" numFmtId="0" xfId="0" applyAlignment="1" applyBorder="1" applyFill="1" applyFont="1">
      <alignment horizontal="left" vertical="center"/>
    </xf>
    <xf borderId="1" fillId="2" fontId="3" numFmtId="0" xfId="0" applyAlignment="1" applyBorder="1" applyFill="1" applyFont="1">
      <alignment horizontal="left" vertical="center"/>
    </xf>
    <xf borderId="0" fillId="5" fontId="10" numFmtId="0" xfId="0" applyAlignment="1" applyFill="1" applyFont="1">
      <alignment horizontal="right" vertical="center"/>
    </xf>
    <xf borderId="41" fillId="5" fontId="5" numFmtId="0" xfId="0" applyBorder="1" applyFill="1" applyFont="1"/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left" readingOrder="0" vertical="center"/>
    </xf>
    <xf borderId="18" fillId="7" fontId="14" numFmtId="0" xfId="0" applyAlignment="1" applyBorder="1" applyFill="1" applyFont="1">
      <alignment horizontal="center" vertical="center"/>
    </xf>
    <xf borderId="0" fillId="0" fontId="5" numFmtId="0" xfId="0" applyAlignment="1" applyFont="1">
      <alignment horizontal="left" vertical="center"/>
    </xf>
    <xf borderId="0" fillId="0" fontId="5" numFmtId="0" xfId="0" applyAlignment="1" applyFont="1">
      <alignment horizontal="left" readingOrder="0" vertical="center"/>
    </xf>
    <xf borderId="0" fillId="2" fontId="5" numFmtId="0" xfId="0" applyFill="1" applyFont="1"/>
    <xf borderId="18" fillId="6" fontId="14" numFmtId="0" xfId="0" applyAlignment="1" applyBorder="1" applyFill="1" applyFont="1">
      <alignment horizontal="left" vertical="center"/>
    </xf>
    <xf borderId="5" fillId="7" fontId="34" numFmtId="0" xfId="0" applyAlignment="1" applyBorder="1" applyFill="1" applyFont="1">
      <alignment horizontal="center" vertical="center"/>
    </xf>
    <xf borderId="18" fillId="6" fontId="3" numFmtId="0" xfId="0" applyAlignment="1" applyBorder="1" applyFill="1" applyFont="1">
      <alignment horizontal="left" vertical="center"/>
    </xf>
    <xf borderId="0" fillId="6" fontId="3" numFmtId="0" xfId="0" applyAlignment="1" applyFill="1" applyFont="1">
      <alignment horizontal="left" vertical="center"/>
    </xf>
    <xf borderId="0" fillId="7" fontId="24" numFmtId="0" xfId="0" applyAlignment="1" applyFill="1" applyFont="1">
      <alignment horizontal="center" readingOrder="0" vertical="center"/>
    </xf>
    <xf borderId="18" fillId="7" fontId="39" numFmtId="0" xfId="0" applyAlignment="1" applyBorder="1" applyFill="1" applyFont="1">
      <alignment horizontal="center" vertical="center"/>
    </xf>
    <xf borderId="18" fillId="5" fontId="16" numFmtId="0" xfId="0" applyAlignment="1" applyBorder="1" applyFill="1" applyFont="1">
      <alignment horizontal="left" vertical="center"/>
    </xf>
    <xf borderId="0" fillId="5" fontId="16" numFmtId="0" xfId="0" applyAlignment="1" applyFill="1" applyFont="1">
      <alignment horizontal="left" vertical="center"/>
    </xf>
    <xf borderId="18" fillId="7" fontId="40" numFmtId="0" xfId="0" applyAlignment="1" applyBorder="1" applyFill="1" applyFont="1">
      <alignment horizontal="center" vertical="center"/>
    </xf>
    <xf borderId="18" fillId="7" fontId="41" numFmtId="0" xfId="0" applyAlignment="1" applyBorder="1" applyFill="1" applyFont="1">
      <alignment horizontal="left" vertical="center"/>
    </xf>
    <xf borderId="18" fillId="7" fontId="32" numFmtId="0" xfId="0" applyAlignment="1" applyBorder="1" applyFill="1" applyFont="1">
      <alignment horizontal="left" vertical="center"/>
    </xf>
    <xf borderId="0" fillId="7" fontId="32" numFmtId="0" xfId="0" applyAlignment="1" applyFill="1" applyFont="1">
      <alignment horizontal="left" vertical="center"/>
    </xf>
    <xf borderId="18" fillId="5" fontId="40" numFmtId="0" xfId="0" applyAlignment="1" applyBorder="1" applyFill="1" applyFont="1">
      <alignment horizontal="center" vertical="center"/>
    </xf>
    <xf borderId="18" fillId="5" fontId="42" numFmtId="0" xfId="0" applyAlignment="1" applyBorder="1" applyFill="1" applyFont="1">
      <alignment horizontal="center" shrinkToFit="0" vertical="center" wrapText="1"/>
    </xf>
    <xf borderId="18" fillId="5" fontId="41" numFmtId="0" xfId="0" applyAlignment="1" applyBorder="1" applyFill="1" applyFont="1">
      <alignment horizontal="left" vertical="center"/>
    </xf>
    <xf borderId="18" fillId="5" fontId="32" numFmtId="0" xfId="0" applyAlignment="1" applyBorder="1" applyFill="1" applyFont="1">
      <alignment horizontal="left" vertical="center"/>
    </xf>
    <xf borderId="0" fillId="5" fontId="32" numFmtId="0" xfId="0" applyAlignment="1" applyFill="1" applyFont="1">
      <alignment horizontal="left" vertical="center"/>
    </xf>
    <xf borderId="18" fillId="5" fontId="16" numFmtId="0" xfId="0" applyAlignment="1" applyBorder="1" applyFill="1" applyFont="1">
      <alignment horizontal="center"/>
    </xf>
    <xf borderId="18" fillId="5" fontId="14" numFmtId="0" xfId="0" applyAlignment="1" applyBorder="1" applyFill="1" applyFont="1">
      <alignment horizontal="left" readingOrder="0" vertical="center"/>
    </xf>
    <xf borderId="18" fillId="7" fontId="24" numFmtId="0" xfId="0" applyAlignment="1" applyBorder="1" applyFill="1" applyFont="1">
      <alignment horizontal="center" vertical="center"/>
    </xf>
    <xf borderId="18" fillId="7" fontId="22" numFmtId="0" xfId="0" applyAlignment="1" applyBorder="1" applyFill="1" applyFont="1">
      <alignment horizontal="center" vertical="center"/>
    </xf>
    <xf borderId="18" fillId="7" fontId="31" numFmtId="0" xfId="0" applyAlignment="1" applyBorder="1" applyFill="1" applyFont="1">
      <alignment horizontal="center" vertical="center"/>
    </xf>
    <xf borderId="32" fillId="2" fontId="30" numFmtId="0" xfId="0" applyAlignment="1" applyBorder="1" applyFill="1" applyFont="1">
      <alignment horizontal="left" vertical="center"/>
    </xf>
    <xf borderId="42" fillId="5" fontId="43" numFmtId="0" xfId="0" applyAlignment="1" applyBorder="1" applyFill="1" applyFont="1">
      <alignment horizontal="center" vertical="center"/>
    </xf>
    <xf borderId="18" fillId="5" fontId="16" numFmtId="0" xfId="0" applyAlignment="1" applyBorder="1" applyFill="1" applyFont="1">
      <alignment horizontal="right" vertical="center"/>
    </xf>
    <xf borderId="37" fillId="2" fontId="5" numFmtId="0" xfId="0" applyBorder="1" applyFill="1" applyFont="1"/>
    <xf borderId="42" fillId="7" fontId="44" numFmtId="0" xfId="0" applyAlignment="1" applyBorder="1" applyFill="1" applyFont="1">
      <alignment horizontal="center" vertical="center"/>
    </xf>
    <xf borderId="18" fillId="7" fontId="18" numFmtId="0" xfId="0" applyAlignment="1" applyBorder="1" applyFill="1" applyFont="1">
      <alignment horizontal="center" vertical="center"/>
    </xf>
    <xf borderId="18" fillId="7" fontId="44" numFmtId="0" xfId="0" applyAlignment="1" applyBorder="1" applyFill="1" applyFont="1">
      <alignment horizontal="right" vertical="center"/>
    </xf>
    <xf borderId="39" fillId="2" fontId="5" numFmtId="0" xfId="0" applyBorder="1" applyFill="1" applyFont="1"/>
    <xf borderId="23" fillId="7" fontId="44" numFmtId="0" xfId="0" applyAlignment="1" applyBorder="1" applyFill="1" applyFont="1">
      <alignment horizontal="right" vertical="center"/>
    </xf>
    <xf borderId="42" fillId="5" fontId="44" numFmtId="0" xfId="0" applyAlignment="1" applyBorder="1" applyFill="1" applyFont="1">
      <alignment horizontal="center" vertical="center"/>
    </xf>
    <xf borderId="18" fillId="5" fontId="18" numFmtId="0" xfId="0" applyAlignment="1" applyBorder="1" applyFill="1" applyFont="1">
      <alignment horizontal="center" vertical="center"/>
    </xf>
    <xf borderId="18" fillId="5" fontId="44" numFmtId="0" xfId="0" applyAlignment="1" applyBorder="1" applyFill="1" applyFont="1">
      <alignment horizontal="right" vertical="center"/>
    </xf>
    <xf borderId="19" fillId="7" fontId="22" numFmtId="0" xfId="0" applyAlignment="1" applyBorder="1" applyFill="1" applyFont="1">
      <alignment horizontal="center" vertical="center"/>
    </xf>
    <xf borderId="18" fillId="7" fontId="5" numFmtId="0" xfId="0" applyAlignment="1" applyBorder="1" applyFill="1" applyFont="1">
      <alignment horizontal="left" vertical="center"/>
    </xf>
    <xf borderId="42" fillId="5" fontId="43" numFmtId="0" xfId="0" applyAlignment="1" applyBorder="1" applyFill="1" applyFont="1">
      <alignment horizontal="center" readingOrder="0" shrinkToFit="0" vertical="center" wrapText="1"/>
    </xf>
    <xf borderId="0" fillId="2" fontId="45" numFmtId="0" xfId="0" applyFill="1" applyFont="1"/>
    <xf borderId="42" fillId="7" fontId="24" numFmtId="0" xfId="0" applyAlignment="1" applyBorder="1" applyFill="1" applyFont="1">
      <alignment readingOrder="0"/>
    </xf>
    <xf borderId="18" fillId="7" fontId="46" numFmtId="0" xfId="0" applyBorder="1" applyFill="1" applyFont="1"/>
    <xf borderId="18" fillId="7" fontId="16" numFmtId="0" xfId="0" applyAlignment="1" applyBorder="1" applyFill="1" applyFont="1">
      <alignment horizontal="center"/>
    </xf>
    <xf borderId="18" fillId="5" fontId="47" numFmtId="0" xfId="0" applyAlignment="1" applyBorder="1" applyFill="1" applyFont="1">
      <alignment horizontal="left" vertical="center"/>
    </xf>
    <xf borderId="1" fillId="2" fontId="45" numFmtId="0" xfId="0" applyAlignment="1" applyBorder="1" applyFill="1" applyFont="1">
      <alignment vertical="bottom"/>
    </xf>
    <xf borderId="18" fillId="7" fontId="48" numFmtId="0" xfId="0" applyAlignment="1" applyBorder="1" applyFill="1" applyFont="1">
      <alignment horizontal="center"/>
    </xf>
    <xf borderId="21" fillId="7" fontId="41" numFmtId="0" xfId="0" applyAlignment="1" applyBorder="1" applyFill="1" applyFont="1">
      <alignment horizontal="center" readingOrder="0" shrinkToFit="0" vertical="center" wrapText="1"/>
    </xf>
    <xf borderId="19" fillId="7" fontId="32" numFmtId="0" xfId="0" applyAlignment="1" applyBorder="1" applyFill="1" applyFont="1">
      <alignment horizontal="left" vertical="center"/>
    </xf>
    <xf borderId="34" fillId="2" fontId="3" numFmtId="0" xfId="0" applyAlignment="1" applyBorder="1" applyFill="1" applyFont="1">
      <alignment horizontal="left" vertical="center"/>
    </xf>
    <xf borderId="42" fillId="7" fontId="24" numFmtId="0" xfId="0" applyBorder="1" applyFill="1" applyFont="1"/>
    <xf borderId="19" fillId="7" fontId="22" numFmtId="0" xfId="0" applyAlignment="1" applyBorder="1" applyFill="1" applyFont="1">
      <alignment horizontal="center" vertical="center"/>
    </xf>
    <xf borderId="0" fillId="5" fontId="47" numFmtId="0" xfId="0" applyAlignment="1" applyFill="1" applyFont="1">
      <alignment horizontal="left" vertical="center"/>
    </xf>
    <xf borderId="18" fillId="5" fontId="16" numFmtId="0" xfId="0" applyAlignment="1" applyBorder="1" applyFill="1" applyFont="1">
      <alignment horizontal="left" readingOrder="0" vertical="center"/>
    </xf>
    <xf borderId="20" fillId="5" fontId="18" numFmtId="0" xfId="0" applyAlignment="1" applyBorder="1" applyFill="1" applyFont="1">
      <alignment horizontal="left" readingOrder="0" vertical="center"/>
    </xf>
    <xf borderId="20" fillId="5" fontId="18" numFmtId="0" xfId="0" applyAlignment="1" applyBorder="1" applyFill="1" applyFont="1">
      <alignment horizontal="right" readingOrder="0" vertical="center"/>
    </xf>
    <xf borderId="18" fillId="7" fontId="3" numFmtId="0" xfId="0" applyAlignment="1" applyBorder="1" applyFill="1" applyFont="1">
      <alignment horizontal="left" vertical="center"/>
    </xf>
    <xf borderId="0" fillId="7" fontId="3" numFmtId="0" xfId="0" applyAlignment="1" applyFill="1" applyFont="1">
      <alignment horizontal="left" vertical="center"/>
    </xf>
    <xf borderId="18" fillId="5" fontId="3" numFmtId="0" xfId="0" applyAlignment="1" applyBorder="1" applyFill="1" applyFont="1">
      <alignment horizontal="left" vertical="center"/>
    </xf>
    <xf borderId="20" fillId="7" fontId="49" numFmtId="0" xfId="0" applyAlignment="1" applyBorder="1" applyFill="1" applyFont="1">
      <alignment horizontal="center" readingOrder="0" vertical="center"/>
    </xf>
    <xf borderId="0" fillId="5" fontId="3" numFmtId="0" xfId="0" applyAlignment="1" applyFill="1" applyFont="1">
      <alignment horizontal="left" vertical="center"/>
    </xf>
    <xf borderId="18" fillId="7" fontId="40" numFmtId="0" xfId="0" applyAlignment="1" applyBorder="1" applyFill="1" applyFont="1">
      <alignment horizontal="right" vertical="center"/>
    </xf>
    <xf borderId="20" fillId="5" fontId="49" numFmtId="0" xfId="0" applyAlignment="1" applyBorder="1" applyFill="1" applyFont="1">
      <alignment horizontal="center" readingOrder="0" vertical="center"/>
    </xf>
    <xf borderId="18" fillId="5" fontId="40" numFmtId="0" xfId="0" applyAlignment="1" applyBorder="1" applyFill="1" applyFont="1">
      <alignment horizontal="right" vertical="center"/>
    </xf>
    <xf borderId="0" fillId="2" fontId="45" numFmtId="0" xfId="0" applyFill="1" applyFont="1"/>
    <xf borderId="42" fillId="7" fontId="24" numFmtId="0" xfId="0" applyAlignment="1" applyBorder="1" applyFill="1" applyFont="1">
      <alignment horizontal="center" readingOrder="0" vertical="center"/>
    </xf>
    <xf borderId="18" fillId="7" fontId="41" numFmtId="0" xfId="0" applyAlignment="1" applyBorder="1" applyFill="1" applyFont="1">
      <alignment horizontal="left" readingOrder="0" vertical="center"/>
    </xf>
    <xf borderId="33" fillId="2" fontId="5" numFmtId="0" xfId="0" applyBorder="1" applyFill="1" applyFont="1"/>
    <xf borderId="18" fillId="7" fontId="16" numFmtId="0" xfId="0" applyAlignment="1" applyBorder="1" applyFill="1" applyFont="1">
      <alignment horizontal="left" readingOrder="0" vertical="center"/>
    </xf>
    <xf borderId="18" fillId="7" fontId="46" numFmtId="0" xfId="0" applyAlignment="1" applyBorder="1" applyFill="1" applyFont="1">
      <alignment horizontal="center"/>
    </xf>
    <xf borderId="42" fillId="7" fontId="41" numFmtId="0" xfId="0" applyAlignment="1" applyBorder="1" applyFill="1" applyFont="1">
      <alignment horizontal="center" readingOrder="0" shrinkToFit="0" vertical="center" wrapText="1"/>
    </xf>
    <xf borderId="18" fillId="7" fontId="50" numFmtId="0" xfId="0" applyAlignment="1" applyBorder="1" applyFill="1" applyFont="1">
      <alignment vertical="center"/>
    </xf>
    <xf borderId="42" fillId="7" fontId="46" numFmtId="0" xfId="0" applyAlignment="1" applyBorder="1" applyFill="1" applyFont="1">
      <alignment horizontal="center"/>
    </xf>
    <xf borderId="0" fillId="2" fontId="45" numFmtId="0" xfId="0" applyAlignment="1" applyFill="1" applyFont="1">
      <alignment horizontal="left"/>
    </xf>
    <xf borderId="23" fillId="5" fontId="16" numFmtId="0" xfId="0" applyAlignment="1" applyBorder="1" applyFill="1" applyFont="1">
      <alignment horizontal="center" vertical="center"/>
    </xf>
    <xf borderId="38" fillId="2" fontId="5" numFmtId="0" xfId="0" applyBorder="1" applyFill="1" applyFont="1"/>
    <xf borderId="18" fillId="7" fontId="51" numFmtId="0" xfId="0" applyAlignment="1" applyBorder="1" applyFill="1" applyFont="1">
      <alignment horizontal="left" readingOrder="0" vertical="center"/>
    </xf>
    <xf borderId="18" fillId="7" fontId="44" numFmtId="0" xfId="0" applyAlignment="1" applyBorder="1" applyFill="1" applyFont="1">
      <alignment horizontal="center" vertical="center"/>
    </xf>
    <xf borderId="42" fillId="7" fontId="24" numFmtId="0" xfId="0" applyAlignment="1" applyBorder="1" applyFill="1" applyFont="1">
      <alignment horizontal="center" vertical="center"/>
    </xf>
    <xf borderId="0" fillId="2" fontId="45" numFmtId="0" xfId="0" applyAlignment="1" applyFill="1" applyFont="1">
      <alignment horizontal="left"/>
    </xf>
    <xf borderId="18" fillId="7" fontId="52" numFmtId="0" xfId="0" applyAlignment="1" applyBorder="1" applyFill="1" applyFont="1">
      <alignment horizontal="center" vertical="center"/>
    </xf>
    <xf borderId="18" fillId="7" fontId="46" numFmtId="0" xfId="0" applyAlignment="1" applyBorder="1" applyFill="1" applyFont="1">
      <alignment horizontal="left" readingOrder="0"/>
    </xf>
    <xf borderId="19" fillId="7" fontId="24" numFmtId="0" xfId="0" applyAlignment="1" applyBorder="1" applyFill="1" applyFont="1">
      <alignment horizontal="center" vertical="center"/>
    </xf>
    <xf borderId="18" fillId="5" fontId="53" numFmtId="0" xfId="0" applyAlignment="1" applyBorder="1" applyFill="1" applyFont="1">
      <alignment horizontal="center" readingOrder="0" vertical="center"/>
    </xf>
    <xf borderId="18" fillId="7" fontId="18" numFmtId="0" xfId="0" applyAlignment="1" applyBorder="1" applyFill="1" applyFont="1">
      <alignment horizontal="left" vertical="center"/>
    </xf>
    <xf borderId="18" fillId="7" fontId="54" numFmtId="0" xfId="0" applyAlignment="1" applyBorder="1" applyFill="1" applyFont="1">
      <alignment horizontal="left" vertical="center"/>
    </xf>
    <xf borderId="18" fillId="5" fontId="18" numFmtId="0" xfId="0" applyAlignment="1" applyBorder="1" applyFill="1" applyFont="1">
      <alignment horizontal="left" vertical="center"/>
    </xf>
    <xf borderId="19" fillId="7" fontId="4" numFmtId="0" xfId="0" applyAlignment="1" applyBorder="1" applyFill="1" applyFont="1">
      <alignment horizontal="left" vertical="center"/>
    </xf>
    <xf borderId="18" fillId="5" fontId="54" numFmtId="0" xfId="0" applyAlignment="1" applyBorder="1" applyFill="1" applyFont="1">
      <alignment horizontal="left" vertical="center"/>
    </xf>
    <xf borderId="20" fillId="5" fontId="14" numFmtId="0" xfId="0" applyAlignment="1" applyBorder="1" applyFill="1" applyFont="1">
      <alignment horizontal="left" vertical="center"/>
    </xf>
    <xf borderId="19" fillId="7" fontId="55" numFmtId="0" xfId="0" applyAlignment="1" applyBorder="1" applyFill="1" applyFont="1">
      <alignment horizontal="left" readingOrder="0" vertical="center"/>
    </xf>
    <xf borderId="0" fillId="2" fontId="4" numFmtId="0" xfId="0" applyAlignment="1" applyFill="1" applyFont="1">
      <alignment horizontal="center" vertical="center"/>
    </xf>
    <xf borderId="18" fillId="7" fontId="16" numFmtId="0" xfId="0" applyAlignment="1" applyBorder="1" applyFill="1" applyFont="1">
      <alignment horizontal="center" readingOrder="0" vertical="center"/>
    </xf>
  </cellXfs>
  <cellStyles count="1">
    <cellStyle xfId="0" name="Normal" builtinId="0"/>
  </cellStyles>
  <dxfs count="3">
    <dxf>
      <font>
        <color rgb="FFC2334D"/>
      </font>
      <fill>
        <patternFill patternType="none"/>
      </fill>
      <border/>
    </dxf>
    <dxf>
      <font>
        <color rgb="FFD89B3A"/>
      </font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4.png"/><Relationship Id="rId4" Type="http://schemas.openxmlformats.org/officeDocument/2006/relationships/image" Target="../media/image6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</xdr:row>
      <xdr:rowOff>0</xdr:rowOff>
    </xdr:from>
    <xdr:ext cx="11811000" cy="1333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1809750" cy="23050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14</xdr:row>
      <xdr:rowOff>0</xdr:rowOff>
    </xdr:from>
    <xdr:ext cx="5334000" cy="104775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0</xdr:colOff>
      <xdr:row>25</xdr:row>
      <xdr:rowOff>0</xdr:rowOff>
    </xdr:from>
    <xdr:ext cx="1000125" cy="1000125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5</xdr:row>
      <xdr:rowOff>0</xdr:rowOff>
    </xdr:from>
    <xdr:ext cx="11239500" cy="1143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40</xdr:col>
      <xdr:colOff>276225</xdr:colOff>
      <xdr:row>84</xdr:row>
      <xdr:rowOff>142875</xdr:rowOff>
    </xdr:from>
    <xdr:ext cx="857250" cy="857250"/>
    <xdr:pic>
      <xdr:nvPicPr>
        <xdr:cNvPr id="0" name="image5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46" width="3.63"/>
  </cols>
  <sheetData>
    <row r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</row>
    <row r="2" ht="27.0" customHeight="1">
      <c r="A2" s="5"/>
      <c r="B2" s="5"/>
      <c r="C2" s="10" t="s">
        <v>12</v>
      </c>
      <c r="K2" s="5"/>
      <c r="L2" s="11" t="s">
        <v>17</v>
      </c>
      <c r="AE2" s="5"/>
      <c r="AF2" s="5"/>
      <c r="AG2" s="5"/>
      <c r="AH2" s="20" t="str">
        <f>"Nº M-"&amp;SUBSTITUTE(DADOS!$B$1,".","")&amp;"-"&amp;IF(FICHA!D3="","····",UPPER(LEFT(FICHA!D3,4)))</f>
        <v>Nº M-104-ERA </v>
      </c>
    </row>
    <row r="3">
      <c r="A3" s="5"/>
      <c r="B3" s="5"/>
      <c r="K3" s="5"/>
      <c r="L3" s="24" t="s">
        <v>63</v>
      </c>
      <c r="AE3" s="5"/>
      <c r="AF3" s="5"/>
      <c r="AG3" s="5"/>
      <c r="AH3" s="27" t="str">
        <f>"Emitida "&amp;TEXT(TODAY(),"dd.mm.yyyy")</f>
        <v>Emitida 09.09.2026</v>
      </c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</row>
    <row r="5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</row>
    <row r="6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4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</row>
    <row r="7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</row>
    <row r="8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6" t="s">
        <v>121</v>
      </c>
      <c r="P8" s="38"/>
      <c r="Q8" s="38"/>
      <c r="R8" s="38"/>
      <c r="S8" s="38"/>
      <c r="T8" s="38"/>
      <c r="U8" s="38"/>
      <c r="V8" s="38"/>
      <c r="W8" s="38"/>
      <c r="X8" s="38"/>
      <c r="Y8" s="39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</row>
    <row r="9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44" t="str">
        <f>IF(FICHA!D2="","—",FICHA!D2)</f>
        <v>ERA DA REVOLUÇÃO</v>
      </c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21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</row>
    <row r="10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47"/>
      <c r="AH10" s="49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</row>
    <row r="11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47"/>
      <c r="AH11" s="49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</row>
    <row r="12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43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31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</row>
    <row r="13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</row>
    <row r="14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</row>
    <row r="15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</row>
    <row r="16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</row>
    <row r="17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57" t="s">
        <v>204</v>
      </c>
      <c r="P17" s="38"/>
      <c r="Q17" s="38"/>
      <c r="R17" s="38"/>
      <c r="S17" s="38"/>
      <c r="T17" s="38"/>
      <c r="U17" s="38"/>
      <c r="V17" s="38"/>
      <c r="W17" s="38"/>
      <c r="X17" s="39"/>
      <c r="Y17" s="58"/>
      <c r="Z17" s="60" t="s">
        <v>210</v>
      </c>
      <c r="AA17" s="38"/>
      <c r="AB17" s="38"/>
      <c r="AC17" s="38"/>
      <c r="AD17" s="38"/>
      <c r="AE17" s="38"/>
      <c r="AF17" s="38"/>
      <c r="AG17" s="38"/>
      <c r="AH17" s="38"/>
      <c r="AI17" s="39"/>
      <c r="AJ17" s="30"/>
      <c r="AK17" s="61" t="s">
        <v>216</v>
      </c>
      <c r="AL17" s="62"/>
      <c r="AM17" s="62"/>
      <c r="AN17" s="62"/>
      <c r="AO17" s="62"/>
      <c r="AP17" s="62"/>
      <c r="AQ17" s="62"/>
      <c r="AR17" s="62"/>
      <c r="AS17" s="62"/>
      <c r="AT17" s="64"/>
    </row>
    <row r="18" ht="20.25" customHeight="1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44" t="str">
        <f>IF(FICHA!D11="","—",FICHA!D11)</f>
        <v>Bastião</v>
      </c>
      <c r="P18" s="14"/>
      <c r="Q18" s="14"/>
      <c r="R18" s="14"/>
      <c r="S18" s="14"/>
      <c r="T18" s="14"/>
      <c r="U18" s="14"/>
      <c r="V18" s="14"/>
      <c r="W18" s="14"/>
      <c r="X18" s="21"/>
      <c r="Y18" s="58"/>
      <c r="Z18" s="70" t="str">
        <f>IF(FICHA!N11="","—",FICHA!N11)</f>
        <v>Muro</v>
      </c>
      <c r="AA18" s="14"/>
      <c r="AB18" s="14"/>
      <c r="AC18" s="14"/>
      <c r="AD18" s="14"/>
      <c r="AE18" s="14"/>
      <c r="AF18" s="14"/>
      <c r="AG18" s="14"/>
      <c r="AH18" s="14"/>
      <c r="AI18" s="21"/>
      <c r="AJ18" s="30"/>
      <c r="AK18" s="44" t="str">
        <f>IF(FICHA!X11="","—",FICHA!X11)</f>
        <v>Latente</v>
      </c>
      <c r="AL18" s="14"/>
      <c r="AM18" s="14"/>
      <c r="AN18" s="14"/>
      <c r="AO18" s="14"/>
      <c r="AP18" s="14"/>
      <c r="AQ18" s="14"/>
      <c r="AR18" s="14"/>
      <c r="AS18" s="14"/>
      <c r="AT18" s="21"/>
    </row>
    <row r="19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30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30"/>
      <c r="AK19" s="74"/>
      <c r="AL19" s="74"/>
      <c r="AM19" s="74"/>
      <c r="AN19" s="74"/>
      <c r="AO19" s="74"/>
      <c r="AP19" s="74"/>
      <c r="AQ19" s="74"/>
      <c r="AR19" s="74"/>
      <c r="AS19" s="74"/>
      <c r="AT19" s="74"/>
    </row>
    <row r="20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30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30"/>
      <c r="AK20" s="77"/>
      <c r="AL20" s="77"/>
      <c r="AM20" s="77"/>
      <c r="AN20" s="77"/>
      <c r="AO20" s="77"/>
      <c r="AP20" s="77"/>
      <c r="AQ20" s="77"/>
      <c r="AR20" s="77"/>
      <c r="AS20" s="77"/>
      <c r="AT20" s="77"/>
    </row>
    <row r="2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82" t="s">
        <v>251</v>
      </c>
      <c r="P21" s="26"/>
      <c r="Q21" s="26"/>
      <c r="R21" s="26"/>
      <c r="S21" s="26"/>
      <c r="T21" s="26"/>
      <c r="U21" s="26"/>
      <c r="V21" s="26"/>
      <c r="W21" s="26"/>
      <c r="X21" s="31"/>
      <c r="Y21" s="58"/>
      <c r="Z21" s="84" t="s">
        <v>254</v>
      </c>
      <c r="AA21" s="26"/>
      <c r="AB21" s="26"/>
      <c r="AC21" s="26"/>
      <c r="AD21" s="26"/>
      <c r="AE21" s="26"/>
      <c r="AF21" s="26"/>
      <c r="AG21" s="26"/>
      <c r="AH21" s="26"/>
      <c r="AI21" s="31"/>
      <c r="AJ21" s="30"/>
      <c r="AK21" s="82" t="s">
        <v>257</v>
      </c>
      <c r="AL21" s="26"/>
      <c r="AM21" s="26"/>
      <c r="AN21" s="26"/>
      <c r="AO21" s="26"/>
      <c r="AP21" s="26"/>
      <c r="AQ21" s="26"/>
      <c r="AR21" s="26"/>
      <c r="AS21" s="26"/>
      <c r="AT21" s="31"/>
    </row>
    <row r="22" ht="20.25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89">
        <f>IF(FICHA!AH11="","—",FICHA!AH11)</f>
        <v>2</v>
      </c>
      <c r="P22" s="38"/>
      <c r="Q22" s="38"/>
      <c r="R22" s="38"/>
      <c r="S22" s="38"/>
      <c r="T22" s="38"/>
      <c r="U22" s="38"/>
      <c r="V22" s="38"/>
      <c r="W22" s="38"/>
      <c r="X22" s="39"/>
      <c r="Y22" s="58"/>
      <c r="Z22" s="92"/>
      <c r="AA22" s="38"/>
      <c r="AB22" s="38"/>
      <c r="AC22" s="38"/>
      <c r="AD22" s="38"/>
      <c r="AE22" s="38"/>
      <c r="AF22" s="38"/>
      <c r="AG22" s="38"/>
      <c r="AH22" s="38"/>
      <c r="AI22" s="39"/>
      <c r="AJ22" s="30"/>
      <c r="AK22" s="93"/>
      <c r="AL22" s="38"/>
      <c r="AM22" s="38"/>
      <c r="AN22" s="38"/>
      <c r="AO22" s="38"/>
      <c r="AP22" s="38"/>
      <c r="AQ22" s="38"/>
      <c r="AR22" s="38"/>
      <c r="AS22" s="38"/>
      <c r="AT22" s="39"/>
    </row>
    <row r="23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</row>
    <row r="24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</row>
    <row r="25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</row>
    <row r="26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6" t="s">
        <v>284</v>
      </c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9"/>
      <c r="AG26" s="102"/>
      <c r="AH26" s="77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</row>
    <row r="27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10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21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</row>
    <row r="28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43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31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</row>
    <row r="29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</row>
    <row r="30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</row>
    <row r="3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</row>
    <row r="32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63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</row>
    <row r="33">
      <c r="A33" s="30"/>
      <c r="B33" s="30"/>
      <c r="C33" s="30"/>
      <c r="D33" s="63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</row>
    <row r="34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53" t="s">
        <v>325</v>
      </c>
    </row>
    <row r="3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</row>
    <row r="36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</row>
    <row r="37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</row>
    <row r="38">
      <c r="A38" s="30"/>
      <c r="B38" s="30"/>
      <c r="C38" s="116"/>
      <c r="AE38" s="30"/>
      <c r="AF38" s="30"/>
      <c r="AG38" s="30"/>
      <c r="AH38" s="119" t="str">
        <f>IF(FICHA!D11="","—",UPPER(LEFT(FICHA!D11,3))&amp;"-"&amp;TEXT(FICHA!AH11,"00"))</f>
        <v>BAS-02</v>
      </c>
    </row>
    <row r="39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</row>
    <row r="40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</row>
    <row r="4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</row>
    <row r="42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</row>
    <row r="43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</row>
    <row r="44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</row>
  </sheetData>
  <mergeCells count="28">
    <mergeCell ref="C2:J3"/>
    <mergeCell ref="L2:AD2"/>
    <mergeCell ref="AH2:AT2"/>
    <mergeCell ref="L3:AD3"/>
    <mergeCell ref="AH3:AT3"/>
    <mergeCell ref="O8:Y8"/>
    <mergeCell ref="O9:AH12"/>
    <mergeCell ref="O13:Y13"/>
    <mergeCell ref="O17:X17"/>
    <mergeCell ref="Z17:AI17"/>
    <mergeCell ref="AK17:AT17"/>
    <mergeCell ref="O18:X18"/>
    <mergeCell ref="Z18:AI18"/>
    <mergeCell ref="AK18:AT18"/>
    <mergeCell ref="O27:AH28"/>
    <mergeCell ref="O30:AH31"/>
    <mergeCell ref="O32:AH32"/>
    <mergeCell ref="D33:M33"/>
    <mergeCell ref="AK34:AT34"/>
    <mergeCell ref="C38:AD38"/>
    <mergeCell ref="AH38:AT38"/>
    <mergeCell ref="O21:X21"/>
    <mergeCell ref="Z21:AI21"/>
    <mergeCell ref="AK21:AT21"/>
    <mergeCell ref="O22:X22"/>
    <mergeCell ref="Z22:AI22"/>
    <mergeCell ref="AK22:AT22"/>
    <mergeCell ref="O26:AF2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47" width="3.63"/>
  </cols>
  <sheetData>
    <row r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</row>
    <row r="2">
      <c r="A2" s="30"/>
      <c r="B2" s="30"/>
      <c r="C2" s="30"/>
      <c r="D2" s="52" t="s">
        <v>17</v>
      </c>
      <c r="Y2" s="30"/>
      <c r="Z2" s="30"/>
      <c r="AA2" s="30"/>
      <c r="AB2" s="30"/>
      <c r="AC2" s="30"/>
      <c r="AD2" s="30"/>
      <c r="AE2" s="30"/>
      <c r="AF2" s="30"/>
      <c r="AG2" s="30"/>
      <c r="AH2" s="53" t="s">
        <v>184</v>
      </c>
      <c r="AU2" s="53"/>
    </row>
    <row r="3" ht="30.75" customHeight="1">
      <c r="A3" s="30"/>
      <c r="B3" s="30"/>
      <c r="C3" s="30"/>
      <c r="D3" s="54" t="str">
        <f>IF(CARTEIRA!O9="","",CARTEIRA!O9)</f>
        <v>ERA DA REVOLUÇÃO</v>
      </c>
      <c r="AA3" s="30"/>
      <c r="AB3" s="30"/>
      <c r="AC3" s="30"/>
      <c r="AD3" s="30"/>
      <c r="AE3" s="30"/>
      <c r="AF3" s="30"/>
      <c r="AG3" s="30"/>
      <c r="AH3" s="59" t="str">
        <f>IF(DADOS!$B$1=DADOS!$D$1,"v"&amp;DADOS!$B$1&amp;" · em dia","⚠ v"&amp;DADOS!$B$1&amp;" · a atual é a v"&amp;DADOS!$D$1)</f>
        <v>v104 · em dia</v>
      </c>
      <c r="AU3" s="59"/>
    </row>
    <row r="4">
      <c r="A4" s="30"/>
      <c r="B4" s="30"/>
      <c r="C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</row>
    <row r="5">
      <c r="A5" s="30"/>
      <c r="B5" s="30"/>
      <c r="C5" s="30"/>
      <c r="D5" s="63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</row>
    <row r="6">
      <c r="A6" s="30"/>
      <c r="B6" s="30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</row>
    <row r="7">
      <c r="A7" s="30"/>
      <c r="B7" s="30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</row>
    <row r="8" ht="27.0" customHeight="1">
      <c r="A8" s="71" t="s">
        <v>231</v>
      </c>
      <c r="C8" s="4"/>
      <c r="D8" s="72">
        <v>1.0</v>
      </c>
      <c r="E8" s="14"/>
      <c r="F8" s="21"/>
      <c r="G8" s="73" t="s">
        <v>237</v>
      </c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21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/>
      <c r="AN8" s="75"/>
      <c r="AO8" s="75"/>
      <c r="AP8" s="75"/>
      <c r="AQ8" s="75"/>
      <c r="AR8" s="75"/>
      <c r="AS8" s="75"/>
      <c r="AT8" s="75"/>
    </row>
    <row r="9">
      <c r="C9" s="4"/>
      <c r="D9" s="43"/>
      <c r="E9" s="26"/>
      <c r="F9" s="31"/>
      <c r="G9" s="76"/>
      <c r="H9" s="76"/>
      <c r="I9" s="76"/>
      <c r="J9" s="76"/>
      <c r="K9" s="76"/>
      <c r="L9" s="76"/>
      <c r="M9" s="76"/>
      <c r="N9" s="78"/>
      <c r="O9" s="78"/>
      <c r="P9" s="78"/>
      <c r="Q9" s="78"/>
      <c r="R9" s="78"/>
      <c r="S9" s="78"/>
      <c r="T9" s="78"/>
      <c r="U9" s="78"/>
      <c r="V9" s="78"/>
      <c r="W9" s="76"/>
      <c r="X9" s="78"/>
      <c r="Y9" s="75"/>
      <c r="Z9" s="75"/>
      <c r="AA9" s="75"/>
      <c r="AB9" s="75"/>
      <c r="AC9" s="75"/>
      <c r="AD9" s="75"/>
      <c r="AE9" s="75"/>
      <c r="AF9" s="75"/>
      <c r="AG9" s="75"/>
      <c r="AH9" s="80"/>
      <c r="AI9" s="80"/>
      <c r="AJ9" s="80"/>
      <c r="AK9" s="80"/>
      <c r="AL9" s="80"/>
      <c r="AM9" s="75"/>
      <c r="AN9" s="80"/>
      <c r="AO9" s="80"/>
      <c r="AP9" s="80"/>
      <c r="AQ9" s="80"/>
      <c r="AR9" s="80"/>
      <c r="AS9" s="80"/>
      <c r="AT9" s="80"/>
    </row>
    <row r="10">
      <c r="C10" s="4"/>
      <c r="D10" s="83" t="s">
        <v>204</v>
      </c>
      <c r="E10" s="38"/>
      <c r="F10" s="38"/>
      <c r="G10" s="38"/>
      <c r="H10" s="38"/>
      <c r="I10" s="38"/>
      <c r="J10" s="38"/>
      <c r="K10" s="38"/>
      <c r="L10" s="39"/>
      <c r="M10" s="85"/>
      <c r="N10" s="86" t="s">
        <v>210</v>
      </c>
      <c r="O10" s="26"/>
      <c r="P10" s="26"/>
      <c r="Q10" s="26"/>
      <c r="R10" s="26"/>
      <c r="S10" s="26"/>
      <c r="T10" s="26"/>
      <c r="U10" s="26"/>
      <c r="V10" s="31"/>
      <c r="W10" s="85"/>
      <c r="X10" s="83" t="s">
        <v>216</v>
      </c>
      <c r="Y10" s="38"/>
      <c r="Z10" s="38"/>
      <c r="AA10" s="38"/>
      <c r="AB10" s="38"/>
      <c r="AC10" s="38"/>
      <c r="AD10" s="38"/>
      <c r="AE10" s="38"/>
      <c r="AF10" s="39"/>
      <c r="AG10" s="85"/>
      <c r="AH10" s="86" t="s">
        <v>251</v>
      </c>
      <c r="AI10" s="26"/>
      <c r="AJ10" s="26"/>
      <c r="AK10" s="26"/>
      <c r="AL10" s="31"/>
      <c r="AM10" s="88"/>
      <c r="AN10" s="91" t="s">
        <v>264</v>
      </c>
      <c r="AO10" s="26"/>
      <c r="AP10" s="26"/>
      <c r="AQ10" s="26"/>
      <c r="AR10" s="26"/>
      <c r="AS10" s="26"/>
      <c r="AT10" s="31"/>
    </row>
    <row r="11" ht="24.75" customHeight="1">
      <c r="C11" s="4"/>
      <c r="D11" s="97" t="s">
        <v>19</v>
      </c>
      <c r="E11" s="14"/>
      <c r="F11" s="14"/>
      <c r="G11" s="14"/>
      <c r="H11" s="14"/>
      <c r="I11" s="14"/>
      <c r="J11" s="14"/>
      <c r="K11" s="14"/>
      <c r="L11" s="21"/>
      <c r="M11" s="88"/>
      <c r="N11" s="98" t="s">
        <v>30</v>
      </c>
      <c r="O11" s="14"/>
      <c r="P11" s="14"/>
      <c r="Q11" s="14"/>
      <c r="R11" s="14"/>
      <c r="S11" s="14"/>
      <c r="T11" s="14"/>
      <c r="U11" s="14"/>
      <c r="V11" s="21"/>
      <c r="W11" s="88"/>
      <c r="X11" s="98" t="s">
        <v>27</v>
      </c>
      <c r="Y11" s="14"/>
      <c r="Z11" s="14"/>
      <c r="AA11" s="14"/>
      <c r="AB11" s="14"/>
      <c r="AC11" s="14"/>
      <c r="AD11" s="14"/>
      <c r="AE11" s="14"/>
      <c r="AF11" s="21"/>
      <c r="AG11" s="88"/>
      <c r="AH11" s="99">
        <v>2.0</v>
      </c>
      <c r="AI11" s="14"/>
      <c r="AJ11" s="14"/>
      <c r="AK11" s="14"/>
      <c r="AL11" s="21"/>
      <c r="AM11" s="88"/>
      <c r="AN11" s="100">
        <v>0.0</v>
      </c>
      <c r="AO11" s="14"/>
      <c r="AP11" s="14"/>
      <c r="AQ11" s="14"/>
      <c r="AR11" s="14"/>
      <c r="AS11" s="14"/>
      <c r="AT11" s="21"/>
    </row>
    <row r="12">
      <c r="C12" s="4"/>
      <c r="D12" s="76"/>
      <c r="E12" s="76"/>
      <c r="F12" s="76"/>
      <c r="G12" s="76"/>
      <c r="H12" s="76"/>
      <c r="I12" s="76"/>
      <c r="J12" s="76"/>
      <c r="K12" s="76"/>
      <c r="L12" s="76"/>
      <c r="M12" s="75"/>
      <c r="N12" s="76"/>
      <c r="O12" s="76"/>
      <c r="P12" s="76"/>
      <c r="Q12" s="76"/>
      <c r="R12" s="101"/>
      <c r="S12" s="76"/>
      <c r="T12" s="76"/>
      <c r="U12" s="76"/>
      <c r="V12" s="76"/>
      <c r="W12" s="75"/>
      <c r="X12" s="76"/>
      <c r="Y12" s="76"/>
      <c r="Z12" s="76"/>
      <c r="AA12" s="76"/>
      <c r="AB12" s="76"/>
      <c r="AC12" s="76"/>
      <c r="AD12" s="76"/>
      <c r="AE12" s="76"/>
      <c r="AF12" s="76"/>
      <c r="AG12" s="75"/>
      <c r="AH12" s="76"/>
      <c r="AI12" s="76"/>
      <c r="AJ12" s="76"/>
      <c r="AK12" s="76"/>
      <c r="AL12" s="76"/>
      <c r="AM12" s="75"/>
      <c r="AN12" s="76"/>
      <c r="AO12" s="76"/>
      <c r="AP12" s="76"/>
      <c r="AQ12" s="76"/>
      <c r="AR12" s="76"/>
      <c r="AS12" s="76"/>
      <c r="AT12" s="76"/>
    </row>
    <row r="13">
      <c r="C13" s="4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75"/>
      <c r="AP13" s="75"/>
      <c r="AQ13" s="75"/>
      <c r="AR13" s="75"/>
      <c r="AS13" s="75"/>
      <c r="AT13" s="75"/>
    </row>
    <row r="14" ht="27.0" customHeight="1">
      <c r="C14" s="4"/>
      <c r="D14" s="103">
        <v>2.0</v>
      </c>
      <c r="E14" s="14"/>
      <c r="F14" s="21"/>
      <c r="G14" s="73" t="s">
        <v>299</v>
      </c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21"/>
      <c r="Y14" s="10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5"/>
      <c r="AQ14" s="75"/>
      <c r="AR14" s="75"/>
      <c r="AS14" s="75"/>
      <c r="AT14" s="75"/>
    </row>
    <row r="15">
      <c r="C15" s="4"/>
      <c r="D15" s="43"/>
      <c r="E15" s="26"/>
      <c r="F15" s="31"/>
      <c r="G15" s="76"/>
      <c r="H15" s="76"/>
      <c r="I15" s="76"/>
      <c r="J15" s="76"/>
      <c r="K15" s="76"/>
      <c r="L15" s="78"/>
      <c r="M15" s="78"/>
      <c r="N15" s="78"/>
      <c r="O15" s="78"/>
      <c r="P15" s="78"/>
      <c r="Q15" s="78"/>
      <c r="R15" s="78"/>
      <c r="S15" s="76"/>
      <c r="T15" s="78"/>
      <c r="U15" s="78"/>
      <c r="V15" s="78"/>
      <c r="W15" s="78"/>
      <c r="X15" s="78"/>
      <c r="Y15" s="80"/>
      <c r="Z15" s="80"/>
      <c r="AA15" s="75"/>
      <c r="AB15" s="80"/>
      <c r="AC15" s="80"/>
      <c r="AD15" s="80"/>
      <c r="AE15" s="80"/>
      <c r="AF15" s="80"/>
      <c r="AG15" s="80"/>
      <c r="AH15" s="80"/>
      <c r="AI15" s="75"/>
      <c r="AJ15" s="80"/>
      <c r="AK15" s="80"/>
      <c r="AL15" s="80"/>
      <c r="AM15" s="80"/>
      <c r="AN15" s="80"/>
      <c r="AO15" s="80"/>
      <c r="AP15" s="80"/>
      <c r="AQ15" s="75"/>
      <c r="AR15" s="75"/>
      <c r="AS15" s="75"/>
      <c r="AT15" s="75"/>
    </row>
    <row r="16">
      <c r="C16" s="4"/>
      <c r="D16" s="83" t="s">
        <v>307</v>
      </c>
      <c r="E16" s="38"/>
      <c r="F16" s="38"/>
      <c r="G16" s="38"/>
      <c r="H16" s="38"/>
      <c r="I16" s="38"/>
      <c r="J16" s="39"/>
      <c r="K16" s="85"/>
      <c r="L16" s="86" t="s">
        <v>309</v>
      </c>
      <c r="M16" s="26"/>
      <c r="N16" s="26"/>
      <c r="O16" s="26"/>
      <c r="P16" s="26"/>
      <c r="Q16" s="26"/>
      <c r="R16" s="31"/>
      <c r="S16" s="88"/>
      <c r="T16" s="91" t="s">
        <v>311</v>
      </c>
      <c r="U16" s="26"/>
      <c r="V16" s="26"/>
      <c r="W16" s="26"/>
      <c r="X16" s="26"/>
      <c r="Y16" s="26"/>
      <c r="Z16" s="31"/>
      <c r="AA16" s="88"/>
      <c r="AB16" s="91" t="s">
        <v>312</v>
      </c>
      <c r="AC16" s="26"/>
      <c r="AD16" s="26"/>
      <c r="AE16" s="26"/>
      <c r="AF16" s="26"/>
      <c r="AG16" s="26"/>
      <c r="AH16" s="31"/>
      <c r="AI16" s="88"/>
      <c r="AJ16" s="91" t="s">
        <v>314</v>
      </c>
      <c r="AK16" s="26"/>
      <c r="AL16" s="26"/>
      <c r="AM16" s="26"/>
      <c r="AN16" s="26"/>
      <c r="AO16" s="26"/>
      <c r="AP16" s="31"/>
      <c r="AQ16" s="75"/>
      <c r="AR16" s="107"/>
      <c r="AS16" s="75"/>
      <c r="AT16" s="75"/>
    </row>
    <row r="17" ht="29.25" customHeight="1">
      <c r="C17" s="4"/>
      <c r="D17" s="109">
        <v>0.0</v>
      </c>
      <c r="E17" s="14"/>
      <c r="F17" s="14"/>
      <c r="G17" s="14"/>
      <c r="H17" s="14"/>
      <c r="I17" s="14"/>
      <c r="J17" s="21"/>
      <c r="K17" s="88"/>
      <c r="L17" s="110">
        <v>0.0</v>
      </c>
      <c r="M17" s="14"/>
      <c r="N17" s="14"/>
      <c r="O17" s="14"/>
      <c r="P17" s="14"/>
      <c r="Q17" s="14"/>
      <c r="R17" s="21"/>
      <c r="S17" s="88"/>
      <c r="T17" s="110">
        <v>0.0</v>
      </c>
      <c r="U17" s="14"/>
      <c r="V17" s="14"/>
      <c r="W17" s="14"/>
      <c r="X17" s="14"/>
      <c r="Y17" s="14"/>
      <c r="Z17" s="21"/>
      <c r="AA17" s="88"/>
      <c r="AB17" s="110">
        <v>0.0</v>
      </c>
      <c r="AC17" s="14"/>
      <c r="AD17" s="14"/>
      <c r="AE17" s="14"/>
      <c r="AF17" s="14"/>
      <c r="AG17" s="14"/>
      <c r="AH17" s="21"/>
      <c r="AI17" s="88"/>
      <c r="AJ17" s="110">
        <v>0.0</v>
      </c>
      <c r="AK17" s="14"/>
      <c r="AL17" s="14"/>
      <c r="AM17" s="14"/>
      <c r="AN17" s="14"/>
      <c r="AO17" s="14"/>
      <c r="AP17" s="21"/>
      <c r="AQ17" s="75"/>
      <c r="AR17" s="75"/>
      <c r="AS17" s="75"/>
      <c r="AT17" s="75"/>
    </row>
    <row r="18">
      <c r="C18" s="4"/>
      <c r="D18" s="43"/>
      <c r="E18" s="26"/>
      <c r="F18" s="26"/>
      <c r="G18" s="26"/>
      <c r="H18" s="26"/>
      <c r="I18" s="26"/>
      <c r="J18" s="31"/>
      <c r="K18" s="88"/>
      <c r="L18" s="26"/>
      <c r="M18" s="26"/>
      <c r="N18" s="26"/>
      <c r="O18" s="26"/>
      <c r="P18" s="26"/>
      <c r="Q18" s="26"/>
      <c r="R18" s="31"/>
      <c r="S18" s="88"/>
      <c r="T18" s="26"/>
      <c r="U18" s="26"/>
      <c r="V18" s="26"/>
      <c r="W18" s="26"/>
      <c r="X18" s="26"/>
      <c r="Y18" s="26"/>
      <c r="Z18" s="31"/>
      <c r="AA18" s="88"/>
      <c r="AB18" s="26"/>
      <c r="AC18" s="26"/>
      <c r="AD18" s="26"/>
      <c r="AE18" s="26"/>
      <c r="AF18" s="26"/>
      <c r="AG18" s="26"/>
      <c r="AH18" s="31"/>
      <c r="AI18" s="88"/>
      <c r="AJ18" s="26"/>
      <c r="AK18" s="26"/>
      <c r="AL18" s="26"/>
      <c r="AM18" s="26"/>
      <c r="AN18" s="26"/>
      <c r="AO18" s="26"/>
      <c r="AP18" s="31"/>
      <c r="AQ18" s="75"/>
      <c r="AR18" s="75"/>
      <c r="AS18" s="75"/>
      <c r="AT18" s="75"/>
    </row>
    <row r="19">
      <c r="C19" s="4"/>
      <c r="D19" s="111" t="s">
        <v>62</v>
      </c>
      <c r="E19" s="38"/>
      <c r="F19" s="38"/>
      <c r="G19" s="38"/>
      <c r="H19" s="38"/>
      <c r="I19" s="38"/>
      <c r="J19" s="39"/>
      <c r="K19" s="88"/>
      <c r="L19" s="114" t="s">
        <v>80</v>
      </c>
      <c r="M19" s="38"/>
      <c r="N19" s="38"/>
      <c r="O19" s="38"/>
      <c r="P19" s="38"/>
      <c r="Q19" s="38"/>
      <c r="R19" s="39"/>
      <c r="S19" s="88"/>
      <c r="T19" s="114" t="s">
        <v>326</v>
      </c>
      <c r="U19" s="38"/>
      <c r="V19" s="38"/>
      <c r="W19" s="38"/>
      <c r="X19" s="38"/>
      <c r="Y19" s="38"/>
      <c r="Z19" s="39"/>
      <c r="AA19" s="88"/>
      <c r="AB19" s="114" t="s">
        <v>138</v>
      </c>
      <c r="AC19" s="38"/>
      <c r="AD19" s="38"/>
      <c r="AE19" s="38"/>
      <c r="AF19" s="38"/>
      <c r="AG19" s="38"/>
      <c r="AH19" s="39"/>
      <c r="AI19" s="88"/>
      <c r="AJ19" s="114" t="s">
        <v>222</v>
      </c>
      <c r="AK19" s="38"/>
      <c r="AL19" s="38"/>
      <c r="AM19" s="38"/>
      <c r="AN19" s="38"/>
      <c r="AO19" s="38"/>
      <c r="AP19" s="39"/>
      <c r="AQ19" s="75"/>
      <c r="AR19" s="75"/>
      <c r="AS19" s="75"/>
      <c r="AT19" s="75"/>
    </row>
    <row r="20">
      <c r="C20" s="4"/>
      <c r="D20" s="75"/>
      <c r="E20" s="75"/>
      <c r="F20" s="76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75"/>
      <c r="AQ20" s="75"/>
      <c r="AR20" s="75"/>
      <c r="AS20" s="75"/>
      <c r="AT20" s="75"/>
    </row>
    <row r="21">
      <c r="C21" s="4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5"/>
      <c r="AQ21" s="75"/>
      <c r="AR21" s="75"/>
      <c r="AS21" s="75"/>
      <c r="AT21" s="75"/>
    </row>
    <row r="22">
      <c r="C22" s="4"/>
      <c r="D22" s="83" t="s">
        <v>333</v>
      </c>
      <c r="E22" s="38"/>
      <c r="F22" s="38"/>
      <c r="G22" s="38"/>
      <c r="H22" s="38"/>
      <c r="I22" s="38"/>
      <c r="J22" s="38"/>
      <c r="K22" s="38"/>
      <c r="L22" s="38"/>
      <c r="M22" s="38"/>
      <c r="N22" s="39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83" t="s">
        <v>336</v>
      </c>
      <c r="AG22" s="38"/>
      <c r="AH22" s="38"/>
      <c r="AI22" s="38"/>
      <c r="AJ22" s="38"/>
      <c r="AK22" s="39"/>
      <c r="AL22" s="88"/>
      <c r="AM22" s="120" t="s">
        <v>337</v>
      </c>
      <c r="AN22" s="38"/>
      <c r="AO22" s="38"/>
      <c r="AP22" s="38"/>
      <c r="AQ22" s="38"/>
      <c r="AR22" s="39"/>
      <c r="AS22" s="75"/>
      <c r="AT22" s="75"/>
    </row>
    <row r="23" ht="27.0" customHeight="1">
      <c r="C23" s="4"/>
      <c r="D23" s="121">
        <f>J23</f>
        <v>19</v>
      </c>
      <c r="E23" s="14"/>
      <c r="F23" s="14"/>
      <c r="G23" s="14"/>
      <c r="H23" s="21"/>
      <c r="I23" s="75"/>
      <c r="J23" s="122">
        <f>IF($D$11="","",(VLOOKUP($D$11,DADOS!$N$5:$U$9,3,FALSE)+$T$17)+(VLOOKUP($D$11,DADOS!$N$5:$U$9,4,FALSE)+$T$17)*($AH$11-1))</f>
        <v>19</v>
      </c>
      <c r="K23" s="14"/>
      <c r="L23" s="14"/>
      <c r="M23" s="14"/>
      <c r="N23" s="21"/>
      <c r="O23" s="75"/>
      <c r="P23" s="123" t="str">
        <f>IFERROR(__xludf.DUMMYFUNCTION("IFERROR(SPARKLINE($D$23,{""charttype"",""bar"";""max"",$J$23;""color1"",IF(N($J$23)=0,""#E8DCD4"",IF($D$23/$J$23&lt;=0.25,""#C2334D"",IF($D$23/$J$23&lt;=0.5,""#D89B3A"",""#E8DCD4"")))}),"""")
"),"")</f>
        <v/>
      </c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21"/>
      <c r="AE23" s="75"/>
      <c r="AF23" s="124">
        <v>0.0</v>
      </c>
      <c r="AG23" s="26"/>
      <c r="AH23" s="26"/>
      <c r="AI23" s="26"/>
      <c r="AJ23" s="26"/>
      <c r="AK23" s="31"/>
      <c r="AL23" s="75"/>
      <c r="AM23" s="125">
        <v>0.0</v>
      </c>
      <c r="AN23" s="38"/>
      <c r="AO23" s="38"/>
      <c r="AP23" s="38"/>
      <c r="AQ23" s="38"/>
      <c r="AR23" s="39"/>
      <c r="AS23" s="75"/>
      <c r="AT23" s="75"/>
    </row>
    <row r="24">
      <c r="C24" s="4"/>
      <c r="D24" s="43"/>
      <c r="E24" s="26"/>
      <c r="F24" s="26"/>
      <c r="G24" s="26"/>
      <c r="H24" s="31"/>
      <c r="I24" s="75"/>
      <c r="J24" s="43"/>
      <c r="K24" s="26"/>
      <c r="L24" s="26"/>
      <c r="M24" s="26"/>
      <c r="N24" s="31"/>
      <c r="O24" s="75"/>
      <c r="P24" s="43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31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5"/>
      <c r="AQ24" s="75"/>
      <c r="AR24" s="76"/>
      <c r="AS24" s="75"/>
      <c r="AT24" s="75"/>
    </row>
    <row r="25">
      <c r="C25" s="4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80"/>
      <c r="AS25" s="75"/>
      <c r="AT25" s="75"/>
    </row>
    <row r="26">
      <c r="C26" s="4"/>
      <c r="D26" s="86" t="s">
        <v>347</v>
      </c>
      <c r="E26" s="26"/>
      <c r="F26" s="26"/>
      <c r="G26" s="26"/>
      <c r="H26" s="26"/>
      <c r="I26" s="26"/>
      <c r="J26" s="26"/>
      <c r="K26" s="26"/>
      <c r="L26" s="26"/>
      <c r="M26" s="26"/>
      <c r="N26" s="31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83" t="s">
        <v>336</v>
      </c>
      <c r="AG26" s="38"/>
      <c r="AH26" s="38"/>
      <c r="AI26" s="38"/>
      <c r="AJ26" s="38"/>
      <c r="AK26" s="39"/>
      <c r="AL26" s="88"/>
      <c r="AM26" s="120" t="s">
        <v>337</v>
      </c>
      <c r="AN26" s="38"/>
      <c r="AO26" s="38"/>
      <c r="AP26" s="38"/>
      <c r="AQ26" s="38"/>
      <c r="AR26" s="39"/>
      <c r="AS26" s="75"/>
      <c r="AT26" s="75"/>
    </row>
    <row r="27" ht="27.0" customHeight="1">
      <c r="A27" s="30"/>
      <c r="B27" s="30"/>
      <c r="C27" s="4"/>
      <c r="D27" s="121">
        <f>J27</f>
        <v>8</v>
      </c>
      <c r="E27" s="14"/>
      <c r="F27" s="14"/>
      <c r="G27" s="14"/>
      <c r="H27" s="21"/>
      <c r="I27" s="75"/>
      <c r="J27" s="122">
        <f>IF($D$11="","",VLOOKUP($D$11,DADOS!$N$5:$U$9,5,FALSE)*$AH$11)</f>
        <v>8</v>
      </c>
      <c r="K27" s="14"/>
      <c r="L27" s="14"/>
      <c r="M27" s="14"/>
      <c r="N27" s="21"/>
      <c r="O27" s="75"/>
      <c r="P27" s="130" t="str">
        <f>IFERROR(__xludf.DUMMYFUNCTION("IFERROR(SPARKLINE($D$27,{""charttype"",""bar"";""max"",$J$27;""color1"",IF(N($J$27)=0,""#E8DCD4"",IF($D$27/$J$27&lt;=0.25,""#C2334D"",IF($D$27/$J$27&lt;=0.5,""#D89B3A"",""#E8DCD4"")))}),"""")
"),"")</f>
        <v/>
      </c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21"/>
      <c r="AE27" s="75"/>
      <c r="AF27" s="124">
        <v>0.0</v>
      </c>
      <c r="AG27" s="26"/>
      <c r="AH27" s="26"/>
      <c r="AI27" s="26"/>
      <c r="AJ27" s="26"/>
      <c r="AK27" s="31"/>
      <c r="AL27" s="75"/>
      <c r="AM27" s="125">
        <v>0.0</v>
      </c>
      <c r="AN27" s="38"/>
      <c r="AO27" s="38"/>
      <c r="AP27" s="38"/>
      <c r="AQ27" s="38"/>
      <c r="AR27" s="39"/>
      <c r="AS27" s="75"/>
      <c r="AT27" s="75"/>
    </row>
    <row r="28">
      <c r="A28" s="30"/>
      <c r="B28" s="30"/>
      <c r="C28" s="4"/>
      <c r="D28" s="43"/>
      <c r="E28" s="26"/>
      <c r="F28" s="26"/>
      <c r="G28" s="26"/>
      <c r="H28" s="31"/>
      <c r="I28" s="75"/>
      <c r="J28" s="43"/>
      <c r="K28" s="26"/>
      <c r="L28" s="26"/>
      <c r="M28" s="26"/>
      <c r="N28" s="31"/>
      <c r="O28" s="75"/>
      <c r="P28" s="43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31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6"/>
      <c r="AS28" s="75"/>
      <c r="AT28" s="75"/>
    </row>
    <row r="29">
      <c r="A29" s="30"/>
      <c r="B29" s="30"/>
      <c r="C29" s="4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5"/>
      <c r="AQ29" s="75"/>
      <c r="AR29" s="80"/>
      <c r="AS29" s="75"/>
      <c r="AT29" s="75"/>
    </row>
    <row r="30">
      <c r="A30" s="71" t="s">
        <v>388</v>
      </c>
      <c r="C30" s="4"/>
      <c r="D30" s="86" t="s">
        <v>389</v>
      </c>
      <c r="E30" s="26"/>
      <c r="F30" s="26"/>
      <c r="G30" s="26"/>
      <c r="H30" s="26"/>
      <c r="I30" s="26"/>
      <c r="J30" s="26"/>
      <c r="K30" s="26"/>
      <c r="L30" s="26"/>
      <c r="M30" s="26"/>
      <c r="N30" s="31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83" t="s">
        <v>336</v>
      </c>
      <c r="AG30" s="38"/>
      <c r="AH30" s="38"/>
      <c r="AI30" s="38"/>
      <c r="AJ30" s="38"/>
      <c r="AK30" s="39"/>
      <c r="AL30" s="88"/>
      <c r="AM30" s="120" t="s">
        <v>337</v>
      </c>
      <c r="AN30" s="38"/>
      <c r="AO30" s="38"/>
      <c r="AP30" s="38"/>
      <c r="AQ30" s="38"/>
      <c r="AR30" s="39"/>
      <c r="AS30" s="75"/>
      <c r="AT30" s="75"/>
    </row>
    <row r="31" ht="27.0" customHeight="1">
      <c r="C31" s="4"/>
      <c r="D31" s="121">
        <f>J31</f>
        <v>25</v>
      </c>
      <c r="E31" s="14"/>
      <c r="F31" s="14"/>
      <c r="G31" s="14"/>
      <c r="H31" s="21"/>
      <c r="I31" s="85"/>
      <c r="J31" s="144">
        <f>20+(AJ17+5)*($AH$11-1)</f>
        <v>25</v>
      </c>
      <c r="K31" s="14"/>
      <c r="L31" s="14"/>
      <c r="M31" s="14"/>
      <c r="N31" s="21"/>
      <c r="O31" s="75"/>
      <c r="P31" s="130" t="str">
        <f>IFERROR(__xludf.DUMMYFUNCTION("IFERROR(SPARKLINE($D$31,{""charttype"",""bar"";""max"",$J$31;""color1"",IF(N($J$31)=0,""#E8DCD4"",IF($D$31/$J$31&lt;=0.25,""#C2334D"",IF($D$31/$J$31&lt;=0.5,""#D89B3A"",""#E8DCD4"")))}),"""")
"),"")</f>
        <v/>
      </c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21"/>
      <c r="AE31" s="88"/>
      <c r="AF31" s="124">
        <v>0.0</v>
      </c>
      <c r="AG31" s="26"/>
      <c r="AH31" s="26"/>
      <c r="AI31" s="26"/>
      <c r="AJ31" s="26"/>
      <c r="AK31" s="31"/>
      <c r="AL31" s="85"/>
      <c r="AM31" s="147">
        <v>0.0</v>
      </c>
      <c r="AR31" s="49"/>
      <c r="AS31" s="75"/>
      <c r="AT31" s="75"/>
    </row>
    <row r="32">
      <c r="C32" s="4"/>
      <c r="D32" s="43"/>
      <c r="E32" s="26"/>
      <c r="F32" s="26"/>
      <c r="G32" s="26"/>
      <c r="H32" s="31"/>
      <c r="I32" s="85"/>
      <c r="J32" s="26"/>
      <c r="K32" s="26"/>
      <c r="L32" s="26"/>
      <c r="M32" s="26"/>
      <c r="N32" s="31"/>
      <c r="O32" s="75"/>
      <c r="P32" s="43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31"/>
      <c r="AE32" s="75"/>
      <c r="AF32" s="76"/>
      <c r="AG32" s="76"/>
      <c r="AH32" s="76"/>
      <c r="AI32" s="76"/>
      <c r="AJ32" s="76"/>
      <c r="AK32" s="76"/>
      <c r="AL32" s="75"/>
      <c r="AM32" s="76"/>
      <c r="AN32" s="76"/>
      <c r="AO32" s="76"/>
      <c r="AP32" s="76"/>
      <c r="AQ32" s="76"/>
      <c r="AR32" s="76"/>
      <c r="AS32" s="75"/>
      <c r="AT32" s="75"/>
    </row>
    <row r="33">
      <c r="C33" s="4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5"/>
      <c r="AQ33" s="75"/>
      <c r="AR33" s="75"/>
      <c r="AS33" s="75"/>
      <c r="AT33" s="75"/>
    </row>
    <row r="34">
      <c r="C34" s="4"/>
      <c r="D34" s="156" t="str">
        <f>IF($D$31=""," ",IF($D$31&lt;=0,"Estágio 4 · Você não é mais você mesmo",IF($D$31&lt;=$J$31/4,"Estágio 3 · Desvantagem em ataques e TRs",IF($D$31&lt;=$J$31/2,"Estágio 2 · Metade do deslocamento, +1 PE por Classe",IF($D$31&lt;=$J$31*3/4,"Estágio 1 · Desvantagem em perícias","Alma Inteira")))))</f>
        <v>Alma Inteira</v>
      </c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9"/>
    </row>
    <row r="35">
      <c r="C35" s="4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5"/>
      <c r="AQ35" s="75"/>
      <c r="AR35" s="75"/>
      <c r="AS35" s="75"/>
      <c r="AT35" s="75"/>
    </row>
    <row r="36">
      <c r="C36" s="4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160" t="s">
        <v>451</v>
      </c>
      <c r="AA36" s="38"/>
      <c r="AB36" s="38"/>
      <c r="AC36" s="38"/>
      <c r="AD36" s="38"/>
      <c r="AE36" s="38"/>
      <c r="AF36" s="38"/>
      <c r="AG36" s="38"/>
      <c r="AH36" s="38"/>
      <c r="AI36" s="39"/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</row>
    <row r="37" ht="27.0" customHeight="1">
      <c r="C37" s="4"/>
      <c r="D37" s="103">
        <v>3.0</v>
      </c>
      <c r="E37" s="14"/>
      <c r="F37" s="21"/>
      <c r="G37" s="161" t="s">
        <v>458</v>
      </c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9"/>
      <c r="Y37" s="75"/>
      <c r="Z37" s="162" t="str">
        <f>"2d10 + " &amp; D40-11</f>
        <v>2d10 + 0</v>
      </c>
      <c r="AA37" s="38"/>
      <c r="AB37" s="38"/>
      <c r="AC37" s="38"/>
      <c r="AD37" s="38"/>
      <c r="AE37" s="38"/>
      <c r="AF37" s="38"/>
      <c r="AG37" s="38"/>
      <c r="AH37" s="38"/>
      <c r="AI37" s="39"/>
      <c r="AJ37" s="107"/>
      <c r="AK37" s="75"/>
      <c r="AL37" s="75"/>
      <c r="AM37" s="75"/>
      <c r="AN37" s="75"/>
      <c r="AO37" s="75"/>
      <c r="AP37" s="75"/>
      <c r="AQ37" s="75"/>
      <c r="AR37" s="75"/>
      <c r="AS37" s="75"/>
      <c r="AT37" s="75"/>
    </row>
    <row r="38">
      <c r="C38" s="4"/>
      <c r="D38" s="43"/>
      <c r="E38" s="26"/>
      <c r="F38" s="31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5"/>
      <c r="AE38" s="75"/>
      <c r="AF38" s="75"/>
      <c r="AG38" s="75"/>
      <c r="AH38" s="75"/>
      <c r="AI38" s="75"/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</row>
    <row r="39">
      <c r="C39" s="4"/>
      <c r="D39" s="83" t="s">
        <v>449</v>
      </c>
      <c r="E39" s="38"/>
      <c r="F39" s="38"/>
      <c r="G39" s="38"/>
      <c r="H39" s="38"/>
      <c r="I39" s="38"/>
      <c r="J39" s="38"/>
      <c r="K39" s="38"/>
      <c r="L39" s="38"/>
      <c r="M39" s="39"/>
      <c r="N39" s="75"/>
      <c r="O39" s="83" t="s">
        <v>467</v>
      </c>
      <c r="P39" s="38"/>
      <c r="Q39" s="38"/>
      <c r="R39" s="38"/>
      <c r="S39" s="38"/>
      <c r="T39" s="38"/>
      <c r="U39" s="38"/>
      <c r="V39" s="38"/>
      <c r="W39" s="38"/>
      <c r="X39" s="39"/>
      <c r="Y39" s="75"/>
      <c r="Z39" s="83" t="s">
        <v>472</v>
      </c>
      <c r="AA39" s="38"/>
      <c r="AB39" s="38"/>
      <c r="AC39" s="38"/>
      <c r="AD39" s="38"/>
      <c r="AE39" s="38"/>
      <c r="AF39" s="38"/>
      <c r="AG39" s="38"/>
      <c r="AH39" s="38"/>
      <c r="AI39" s="39"/>
      <c r="AJ39" s="75"/>
      <c r="AK39" s="83" t="s">
        <v>475</v>
      </c>
      <c r="AL39" s="38"/>
      <c r="AM39" s="38"/>
      <c r="AN39" s="38"/>
      <c r="AO39" s="38"/>
      <c r="AP39" s="38"/>
      <c r="AQ39" s="38"/>
      <c r="AR39" s="38"/>
      <c r="AS39" s="38"/>
      <c r="AT39" s="39"/>
    </row>
    <row r="40" ht="21.0" customHeight="1">
      <c r="C40" s="4"/>
      <c r="D40" s="163">
        <f>10+$L$17+$O$40</f>
        <v>11</v>
      </c>
      <c r="E40" s="38"/>
      <c r="F40" s="38"/>
      <c r="G40" s="38"/>
      <c r="H40" s="38"/>
      <c r="I40" s="38"/>
      <c r="J40" s="38"/>
      <c r="K40" s="38"/>
      <c r="L40" s="38"/>
      <c r="M40" s="39"/>
      <c r="N40" s="75"/>
      <c r="O40" s="163">
        <f>IF($Z$40="",FLOOR((1+COUNTIF(DADOS!$W$5:$W$11,"&lt;="&amp;$AH$11))/3,1)+1,$Z$40)</f>
        <v>1</v>
      </c>
      <c r="P40" s="38"/>
      <c r="Q40" s="38"/>
      <c r="R40" s="38"/>
      <c r="S40" s="38"/>
      <c r="T40" s="38"/>
      <c r="U40" s="38"/>
      <c r="V40" s="38"/>
      <c r="W40" s="38"/>
      <c r="X40" s="39"/>
      <c r="Y40" s="75"/>
      <c r="Z40" s="125">
        <v>1.0</v>
      </c>
      <c r="AA40" s="38"/>
      <c r="AB40" s="38"/>
      <c r="AC40" s="38"/>
      <c r="AD40" s="38"/>
      <c r="AE40" s="38"/>
      <c r="AF40" s="38"/>
      <c r="AG40" s="38"/>
      <c r="AH40" s="38"/>
      <c r="AI40" s="39"/>
      <c r="AJ40" s="75"/>
      <c r="AK40" s="163" t="str">
        <f>"d20 + "&amp;$L$17</f>
        <v>d20 + 0</v>
      </c>
      <c r="AL40" s="38"/>
      <c r="AM40" s="38"/>
      <c r="AN40" s="38"/>
      <c r="AO40" s="38"/>
      <c r="AP40" s="38"/>
      <c r="AQ40" s="38"/>
      <c r="AR40" s="38"/>
      <c r="AS40" s="38"/>
      <c r="AT40" s="39"/>
    </row>
    <row r="41">
      <c r="C41" s="4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/>
      <c r="AN41" s="75"/>
      <c r="AO41" s="75"/>
      <c r="AP41" s="75"/>
      <c r="AQ41" s="75"/>
      <c r="AR41" s="75"/>
      <c r="AS41" s="75"/>
      <c r="AT41" s="75"/>
    </row>
    <row r="42">
      <c r="C42" s="4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5"/>
      <c r="AO42" s="75"/>
      <c r="AP42" s="75"/>
      <c r="AQ42" s="75"/>
      <c r="AR42" s="75"/>
      <c r="AS42" s="75"/>
      <c r="AT42" s="75"/>
    </row>
    <row r="43">
      <c r="C43" s="4"/>
      <c r="D43" s="83" t="s">
        <v>499</v>
      </c>
      <c r="E43" s="38"/>
      <c r="F43" s="38"/>
      <c r="G43" s="38"/>
      <c r="H43" s="38"/>
      <c r="I43" s="38"/>
      <c r="J43" s="38"/>
      <c r="K43" s="38"/>
      <c r="L43" s="38"/>
      <c r="M43" s="39"/>
      <c r="N43" s="75"/>
      <c r="O43" s="83" t="s">
        <v>504</v>
      </c>
      <c r="P43" s="38"/>
      <c r="Q43" s="38"/>
      <c r="R43" s="38"/>
      <c r="S43" s="38"/>
      <c r="T43" s="38"/>
      <c r="U43" s="38"/>
      <c r="V43" s="38"/>
      <c r="W43" s="38"/>
      <c r="X43" s="39"/>
      <c r="Y43" s="75"/>
      <c r="Z43" s="83" t="s">
        <v>509</v>
      </c>
      <c r="AA43" s="38"/>
      <c r="AB43" s="38"/>
      <c r="AC43" s="38"/>
      <c r="AD43" s="38"/>
      <c r="AE43" s="38"/>
      <c r="AF43" s="38"/>
      <c r="AG43" s="38"/>
      <c r="AH43" s="38"/>
      <c r="AI43" s="39"/>
      <c r="AJ43" s="75"/>
      <c r="AK43" s="83" t="s">
        <v>514</v>
      </c>
      <c r="AL43" s="38"/>
      <c r="AM43" s="38"/>
      <c r="AN43" s="38"/>
      <c r="AO43" s="38"/>
      <c r="AP43" s="38"/>
      <c r="AQ43" s="38"/>
      <c r="AR43" s="38"/>
      <c r="AS43" s="38"/>
      <c r="AT43" s="39"/>
    </row>
    <row r="44" ht="21.0" customHeight="1">
      <c r="C44" s="4"/>
      <c r="D44" s="163">
        <f>8+D48+IFS(Z48="FORÇA",$D$17, Z48="DESTREZA",$L$17, Z48="CONSTITUIÇÃO",$T$17, Z48="INTELIGÊNCIA",$AB$17, Z48="ESSÊNCIA",$AJ$17)</f>
        <v>9</v>
      </c>
      <c r="E44" s="38"/>
      <c r="F44" s="38"/>
      <c r="G44" s="38"/>
      <c r="H44" s="38"/>
      <c r="I44" s="38"/>
      <c r="J44" s="38"/>
      <c r="K44" s="38"/>
      <c r="L44" s="38"/>
      <c r="M44" s="39"/>
      <c r="N44" s="75"/>
      <c r="O44" s="163" t="str">
        <f>"d20 + "&amp;+D48+IFS(Z48="FORÇA",$D$17, Z48="DESTREZA",$L$17, Z48="CONSTITUIÇÃO",$T$17, Z48="INTELIGÊNCIA",$AB$17, Z48="ESSÊNCIA",$AJ$17)</f>
        <v>d20 + 1</v>
      </c>
      <c r="P44" s="38"/>
      <c r="Q44" s="38"/>
      <c r="R44" s="38"/>
      <c r="S44" s="38"/>
      <c r="T44" s="38"/>
      <c r="U44" s="38"/>
      <c r="V44" s="38"/>
      <c r="W44" s="38"/>
      <c r="X44" s="39"/>
      <c r="Y44" s="75"/>
      <c r="Z44" s="163" t="str">
        <f>"d20 + "&amp;+D48+IFS(AK48="FORÇA",$D$17, AK48="DESTREZA",$L$17, AK48="CONSTITUIÇÃO",$T$17, AK48="INTELIGÊNCIA",$AB$17, AK48="ESSÊNCIA",$AJ$17)</f>
        <v>d20 + 1</v>
      </c>
      <c r="AA44" s="38"/>
      <c r="AB44" s="38"/>
      <c r="AC44" s="38"/>
      <c r="AD44" s="38"/>
      <c r="AE44" s="38"/>
      <c r="AF44" s="38"/>
      <c r="AG44" s="38"/>
      <c r="AH44" s="38"/>
      <c r="AI44" s="39"/>
      <c r="AJ44" s="75"/>
      <c r="AK44" s="163" t="str">
        <f>"d20 + "&amp;+D48+IFS(AE51="FORÇA",$D$17, AE51="DESTREZA",$L$17, AE51="CONSTITUIÇÃO",$T$17, AE51="INTELIGÊNCIA",$AB$17, AE51="ESSÊNCIA",$AJ$17)</f>
        <v>d20 + 1</v>
      </c>
      <c r="AL44" s="38"/>
      <c r="AM44" s="38"/>
      <c r="AN44" s="38"/>
      <c r="AO44" s="38"/>
      <c r="AP44" s="38"/>
      <c r="AQ44" s="38"/>
      <c r="AR44" s="38"/>
      <c r="AS44" s="38"/>
      <c r="AT44" s="39"/>
    </row>
    <row r="45">
      <c r="C45" s="4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  <c r="AA45" s="75"/>
      <c r="AB45" s="75"/>
      <c r="AC45" s="75"/>
      <c r="AD45" s="75"/>
      <c r="AE45" s="75"/>
      <c r="AF45" s="75"/>
      <c r="AG45" s="75"/>
      <c r="AH45" s="75"/>
      <c r="AI45" s="75"/>
      <c r="AJ45" s="75"/>
      <c r="AK45" s="75"/>
      <c r="AL45" s="75"/>
      <c r="AM45" s="75"/>
      <c r="AN45" s="75"/>
      <c r="AO45" s="75"/>
      <c r="AP45" s="75"/>
      <c r="AQ45" s="75"/>
      <c r="AR45" s="75"/>
      <c r="AS45" s="75"/>
      <c r="AT45" s="75"/>
    </row>
    <row r="46">
      <c r="C46" s="4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/>
      <c r="AN46" s="75"/>
      <c r="AO46" s="75"/>
      <c r="AP46" s="75"/>
      <c r="AQ46" s="75"/>
      <c r="AR46" s="75"/>
      <c r="AS46" s="75"/>
      <c r="AT46" s="75"/>
    </row>
    <row r="47">
      <c r="C47" s="4"/>
      <c r="D47" s="83" t="s">
        <v>177</v>
      </c>
      <c r="E47" s="38"/>
      <c r="F47" s="38"/>
      <c r="G47" s="38"/>
      <c r="H47" s="38"/>
      <c r="I47" s="38"/>
      <c r="J47" s="38"/>
      <c r="K47" s="38"/>
      <c r="L47" s="38"/>
      <c r="M47" s="39"/>
      <c r="N47" s="75"/>
      <c r="O47" s="83" t="s">
        <v>603</v>
      </c>
      <c r="P47" s="38"/>
      <c r="Q47" s="38"/>
      <c r="R47" s="38"/>
      <c r="S47" s="38"/>
      <c r="T47" s="38"/>
      <c r="U47" s="38"/>
      <c r="V47" s="38"/>
      <c r="W47" s="38"/>
      <c r="X47" s="39"/>
      <c r="Y47" s="75"/>
      <c r="Z47" s="83" t="s">
        <v>604</v>
      </c>
      <c r="AA47" s="38"/>
      <c r="AB47" s="38"/>
      <c r="AC47" s="38"/>
      <c r="AD47" s="38"/>
      <c r="AE47" s="38"/>
      <c r="AF47" s="38"/>
      <c r="AG47" s="38"/>
      <c r="AH47" s="38"/>
      <c r="AI47" s="39"/>
      <c r="AJ47" s="75"/>
      <c r="AK47" s="83" t="s">
        <v>605</v>
      </c>
      <c r="AL47" s="38"/>
      <c r="AM47" s="38"/>
      <c r="AN47" s="38"/>
      <c r="AO47" s="38"/>
      <c r="AP47" s="38"/>
      <c r="AQ47" s="38"/>
      <c r="AR47" s="38"/>
      <c r="AS47" s="38"/>
      <c r="AT47" s="39"/>
    </row>
    <row r="48" ht="21.0" customHeight="1">
      <c r="C48" s="4"/>
      <c r="D48" s="108">
        <f>(1+COUNTIF(DADOS!$X$5:$X$7,"&lt;="&amp;$AH$11))</f>
        <v>1</v>
      </c>
      <c r="E48" s="38"/>
      <c r="F48" s="38"/>
      <c r="G48" s="38"/>
      <c r="H48" s="38"/>
      <c r="I48" s="38"/>
      <c r="J48" s="38"/>
      <c r="K48" s="38"/>
      <c r="L48" s="38"/>
      <c r="M48" s="39"/>
      <c r="N48" s="75"/>
      <c r="O48" s="108" t="s">
        <v>608</v>
      </c>
      <c r="P48" s="38"/>
      <c r="Q48" s="38"/>
      <c r="R48" s="38"/>
      <c r="S48" s="38"/>
      <c r="T48" s="38"/>
      <c r="U48" s="38"/>
      <c r="V48" s="38"/>
      <c r="W48" s="38"/>
      <c r="X48" s="39"/>
      <c r="Y48" s="4"/>
      <c r="Z48" s="108" t="s">
        <v>610</v>
      </c>
      <c r="AA48" s="38"/>
      <c r="AB48" s="38"/>
      <c r="AC48" s="38"/>
      <c r="AD48" s="38"/>
      <c r="AE48" s="38"/>
      <c r="AF48" s="38"/>
      <c r="AG48" s="38"/>
      <c r="AH48" s="38"/>
      <c r="AI48" s="39"/>
      <c r="AJ48" s="75"/>
      <c r="AK48" s="108" t="s">
        <v>613</v>
      </c>
      <c r="AL48" s="38"/>
      <c r="AM48" s="38"/>
      <c r="AN48" s="38"/>
      <c r="AO48" s="38"/>
      <c r="AP48" s="38"/>
      <c r="AQ48" s="38"/>
      <c r="AR48" s="38"/>
      <c r="AS48" s="38"/>
      <c r="AT48" s="39"/>
    </row>
    <row r="49">
      <c r="A49" s="30"/>
      <c r="B49" s="30"/>
      <c r="C49" s="4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4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/>
      <c r="AN49" s="75"/>
      <c r="AO49" s="75"/>
      <c r="AP49" s="75"/>
      <c r="AQ49" s="75"/>
      <c r="AR49" s="75"/>
      <c r="AS49" s="75"/>
      <c r="AT49" s="75"/>
    </row>
    <row r="50">
      <c r="A50" s="30"/>
      <c r="B50" s="30"/>
      <c r="C50" s="4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4"/>
      <c r="Z50" s="75"/>
      <c r="AA50" s="75"/>
      <c r="AB50" s="75"/>
      <c r="AC50" s="75"/>
      <c r="AD50" s="75"/>
      <c r="AE50" s="83" t="s">
        <v>618</v>
      </c>
      <c r="AF50" s="38"/>
      <c r="AG50" s="38"/>
      <c r="AH50" s="38"/>
      <c r="AI50" s="38"/>
      <c r="AJ50" s="38"/>
      <c r="AK50" s="38"/>
      <c r="AL50" s="38"/>
      <c r="AM50" s="38"/>
      <c r="AN50" s="38"/>
      <c r="AO50" s="39"/>
      <c r="AP50" s="75"/>
      <c r="AQ50" s="75"/>
      <c r="AR50" s="75"/>
      <c r="AS50" s="75"/>
      <c r="AT50" s="75"/>
    </row>
    <row r="51" ht="27.0" customHeight="1">
      <c r="A51" s="30"/>
      <c r="B51" s="30"/>
      <c r="C51" s="4"/>
      <c r="D51" s="103">
        <v>4.0</v>
      </c>
      <c r="E51" s="14"/>
      <c r="F51" s="21"/>
      <c r="G51" s="161" t="s">
        <v>619</v>
      </c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9"/>
      <c r="Y51" s="4"/>
      <c r="Z51" s="75"/>
      <c r="AA51" s="75"/>
      <c r="AB51" s="75"/>
      <c r="AC51" s="75"/>
      <c r="AD51" s="75"/>
      <c r="AE51" s="108" t="s">
        <v>621</v>
      </c>
      <c r="AF51" s="38"/>
      <c r="AG51" s="38"/>
      <c r="AH51" s="38"/>
      <c r="AI51" s="38"/>
      <c r="AJ51" s="38"/>
      <c r="AK51" s="38"/>
      <c r="AL51" s="38"/>
      <c r="AM51" s="38"/>
      <c r="AN51" s="38"/>
      <c r="AO51" s="39"/>
      <c r="AP51" s="75"/>
      <c r="AQ51" s="75"/>
      <c r="AR51" s="75"/>
      <c r="AS51" s="75"/>
      <c r="AT51" s="75"/>
    </row>
    <row r="52">
      <c r="A52" s="30"/>
      <c r="B52" s="30"/>
      <c r="C52" s="4"/>
      <c r="D52" s="43"/>
      <c r="E52" s="26"/>
      <c r="F52" s="31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4"/>
      <c r="Z52" s="75"/>
      <c r="AA52" s="75"/>
      <c r="AB52" s="75"/>
      <c r="AC52" s="75"/>
      <c r="AD52" s="75"/>
      <c r="AE52" s="75"/>
      <c r="AF52" s="75"/>
      <c r="AG52" s="75"/>
      <c r="AH52" s="75"/>
      <c r="AI52" s="75"/>
      <c r="AJ52" s="75"/>
      <c r="AK52" s="75"/>
      <c r="AL52" s="75"/>
      <c r="AM52" s="75"/>
      <c r="AN52" s="75"/>
      <c r="AO52" s="75"/>
      <c r="AP52" s="75"/>
      <c r="AQ52" s="75"/>
      <c r="AR52" s="75"/>
      <c r="AS52" s="75"/>
      <c r="AT52" s="75"/>
    </row>
    <row r="53">
      <c r="A53" s="30"/>
      <c r="B53" s="30"/>
      <c r="C53" s="4"/>
      <c r="D53" s="83" t="s">
        <v>623</v>
      </c>
      <c r="E53" s="38"/>
      <c r="F53" s="38"/>
      <c r="G53" s="38"/>
      <c r="H53" s="38"/>
      <c r="I53" s="38"/>
      <c r="J53" s="38"/>
      <c r="K53" s="38"/>
      <c r="L53" s="38"/>
      <c r="M53" s="39"/>
      <c r="N53" s="75"/>
      <c r="O53" s="83" t="s">
        <v>624</v>
      </c>
      <c r="P53" s="38"/>
      <c r="Q53" s="38"/>
      <c r="R53" s="38"/>
      <c r="S53" s="38"/>
      <c r="T53" s="38"/>
      <c r="U53" s="38"/>
      <c r="V53" s="38"/>
      <c r="W53" s="38"/>
      <c r="X53" s="39"/>
      <c r="Y53" s="4"/>
      <c r="Z53" s="83" t="s">
        <v>625</v>
      </c>
      <c r="AA53" s="38"/>
      <c r="AB53" s="38"/>
      <c r="AC53" s="38"/>
      <c r="AD53" s="38"/>
      <c r="AE53" s="38"/>
      <c r="AF53" s="38"/>
      <c r="AG53" s="38"/>
      <c r="AH53" s="38"/>
      <c r="AI53" s="39"/>
      <c r="AJ53" s="75"/>
      <c r="AK53" s="83" t="s">
        <v>627</v>
      </c>
      <c r="AL53" s="38"/>
      <c r="AM53" s="38"/>
      <c r="AN53" s="38"/>
      <c r="AO53" s="38"/>
      <c r="AP53" s="38"/>
      <c r="AQ53" s="38"/>
      <c r="AR53" s="38"/>
      <c r="AS53" s="38"/>
      <c r="AT53" s="39"/>
    </row>
    <row r="54" ht="21.0" customHeight="1">
      <c r="A54" s="30"/>
      <c r="B54" s="30"/>
      <c r="C54" s="4"/>
      <c r="D54" s="163">
        <f>2+INT($AH$11/2)+COUNTIF(DADOS!$W$5:$W$11,"&lt;="&amp;$AH$11)</f>
        <v>3</v>
      </c>
      <c r="E54" s="38"/>
      <c r="F54" s="38"/>
      <c r="G54" s="38"/>
      <c r="H54" s="38"/>
      <c r="I54" s="38"/>
      <c r="J54" s="38"/>
      <c r="K54" s="38"/>
      <c r="L54" s="38"/>
      <c r="M54" s="39"/>
      <c r="N54" s="4"/>
      <c r="O54" s="163">
        <f>(1+COUNTIF(DADOS!$W$5:$W$11,"&lt;="&amp;$AH$11))</f>
        <v>1</v>
      </c>
      <c r="P54" s="38"/>
      <c r="Q54" s="38"/>
      <c r="R54" s="38"/>
      <c r="S54" s="38"/>
      <c r="T54" s="38"/>
      <c r="U54" s="38"/>
      <c r="V54" s="38"/>
      <c r="W54" s="38"/>
      <c r="X54" s="39"/>
      <c r="Y54" s="4"/>
      <c r="Z54" s="163">
        <f>COUNTIF(DADOS!$Y$5:$Y$11,"&lt;="&amp;$AH$11)</f>
        <v>1</v>
      </c>
      <c r="AA54" s="38"/>
      <c r="AB54" s="38"/>
      <c r="AC54" s="38"/>
      <c r="AD54" s="38"/>
      <c r="AE54" s="38"/>
      <c r="AF54" s="38"/>
      <c r="AG54" s="38"/>
      <c r="AH54" s="38"/>
      <c r="AI54" s="39"/>
      <c r="AJ54" s="75"/>
      <c r="AK54" s="163">
        <f>2+COUNTIF(DADOS!$Z$5:$Z$7,"&lt;="&amp;$AH$11)</f>
        <v>2</v>
      </c>
      <c r="AL54" s="38"/>
      <c r="AM54" s="38"/>
      <c r="AN54" s="38"/>
      <c r="AO54" s="38"/>
      <c r="AP54" s="38"/>
      <c r="AQ54" s="38"/>
      <c r="AR54" s="38"/>
      <c r="AS54" s="38"/>
      <c r="AT54" s="39"/>
    </row>
    <row r="55">
      <c r="A55" s="30"/>
      <c r="B55" s="30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75"/>
      <c r="AA55" s="75"/>
      <c r="AB55" s="75"/>
      <c r="AC55" s="75"/>
      <c r="AD55" s="75"/>
      <c r="AE55" s="75"/>
      <c r="AF55" s="75"/>
      <c r="AG55" s="75"/>
      <c r="AH55" s="75"/>
      <c r="AI55" s="75"/>
      <c r="AJ55" s="75"/>
      <c r="AK55" s="75"/>
      <c r="AL55" s="75"/>
      <c r="AM55" s="75"/>
      <c r="AN55" s="75"/>
      <c r="AO55" s="75"/>
      <c r="AP55" s="75"/>
      <c r="AQ55" s="75"/>
      <c r="AR55" s="75"/>
      <c r="AS55" s="75"/>
      <c r="AT55" s="75"/>
    </row>
    <row r="56">
      <c r="A56" s="30"/>
      <c r="B56" s="30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</row>
    <row r="57" ht="27.0" customHeight="1">
      <c r="A57" s="30"/>
      <c r="B57" s="30"/>
      <c r="C57" s="4"/>
      <c r="D57" s="103">
        <v>5.0</v>
      </c>
      <c r="E57" s="14"/>
      <c r="F57" s="21"/>
      <c r="G57" s="161" t="s">
        <v>637</v>
      </c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9"/>
      <c r="AE57" s="75"/>
      <c r="AF57" s="75"/>
      <c r="AG57" s="75"/>
      <c r="AH57" s="75"/>
      <c r="AI57" s="75"/>
      <c r="AJ57" s="75"/>
      <c r="AK57" s="75"/>
      <c r="AL57" s="75"/>
      <c r="AM57" s="75"/>
      <c r="AN57" s="75"/>
      <c r="AO57" s="75"/>
      <c r="AP57" s="75"/>
      <c r="AQ57" s="75"/>
      <c r="AR57" s="75"/>
      <c r="AS57" s="75"/>
      <c r="AT57" s="75"/>
    </row>
    <row r="58">
      <c r="A58" s="30"/>
      <c r="B58" s="30"/>
      <c r="C58" s="4"/>
      <c r="D58" s="43"/>
      <c r="E58" s="26"/>
      <c r="F58" s="31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179" t="s">
        <v>639</v>
      </c>
      <c r="U58" s="179" t="s">
        <v>640</v>
      </c>
      <c r="V58" s="75"/>
      <c r="W58" s="75"/>
      <c r="X58" s="75"/>
      <c r="Y58" s="75"/>
      <c r="Z58" s="75"/>
      <c r="AA58" s="75"/>
      <c r="AB58" s="75"/>
      <c r="AC58" s="75"/>
      <c r="AD58" s="75"/>
      <c r="AE58" s="75"/>
      <c r="AF58" s="180"/>
      <c r="AG58" s="75"/>
      <c r="AH58" s="179" t="s">
        <v>500</v>
      </c>
      <c r="AI58" s="75"/>
      <c r="AJ58" s="75"/>
      <c r="AK58" s="75"/>
      <c r="AL58" s="75"/>
      <c r="AM58" s="75"/>
      <c r="AN58" s="75"/>
      <c r="AO58" s="75"/>
      <c r="AP58" s="75"/>
      <c r="AQ58" s="75"/>
      <c r="AR58" s="75"/>
      <c r="AS58" s="75"/>
      <c r="AT58" s="75"/>
    </row>
    <row r="59">
      <c r="A59" s="30"/>
      <c r="B59" s="30"/>
      <c r="C59" s="4"/>
      <c r="D59" s="179" t="s">
        <v>639</v>
      </c>
      <c r="E59" s="179" t="s">
        <v>640</v>
      </c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179" t="s">
        <v>500</v>
      </c>
      <c r="S59" s="75"/>
      <c r="T59" s="181" t="b">
        <v>0</v>
      </c>
      <c r="U59" s="181" t="b">
        <v>0</v>
      </c>
      <c r="V59" s="182" t="s">
        <v>187</v>
      </c>
      <c r="W59" s="38"/>
      <c r="X59" s="38"/>
      <c r="Y59" s="38"/>
      <c r="Z59" s="38"/>
      <c r="AA59" s="38"/>
      <c r="AB59" s="38"/>
      <c r="AC59" s="39"/>
      <c r="AD59" s="183" t="s">
        <v>573</v>
      </c>
      <c r="AE59" s="39"/>
      <c r="AF59" s="186">
        <f t="shared" ref="AF59:AF63" si="1">$AB$17 + IF(U59, $D$48 + INT($D$48 / 2), IF(T59, $D$48, 0)) + AH59</f>
        <v>0</v>
      </c>
      <c r="AG59" s="39"/>
      <c r="AH59" s="187"/>
      <c r="AI59" s="75"/>
      <c r="AJ59" s="75"/>
      <c r="AK59" s="83" t="s">
        <v>646</v>
      </c>
      <c r="AL59" s="38"/>
      <c r="AM59" s="38"/>
      <c r="AN59" s="38"/>
      <c r="AO59" s="38"/>
      <c r="AP59" s="38"/>
      <c r="AQ59" s="38"/>
      <c r="AR59" s="38"/>
      <c r="AS59" s="38"/>
      <c r="AT59" s="39"/>
    </row>
    <row r="60">
      <c r="A60" s="30"/>
      <c r="B60" s="30"/>
      <c r="C60" s="4"/>
      <c r="D60" s="181" t="b">
        <v>0</v>
      </c>
      <c r="E60" s="181" t="b">
        <v>0</v>
      </c>
      <c r="F60" s="182" t="s">
        <v>20</v>
      </c>
      <c r="G60" s="38"/>
      <c r="H60" s="38"/>
      <c r="I60" s="38"/>
      <c r="J60" s="38"/>
      <c r="K60" s="38"/>
      <c r="L60" s="38"/>
      <c r="M60" s="39"/>
      <c r="N60" s="183" t="s">
        <v>648</v>
      </c>
      <c r="O60" s="39"/>
      <c r="P60" s="186">
        <f>$D$17 + IF(E60, $D$48 + INT($D$48 / 2), IF(D60, $D$48, 0)) + R60</f>
        <v>0</v>
      </c>
      <c r="Q60" s="39"/>
      <c r="R60" s="187"/>
      <c r="S60" s="75"/>
      <c r="T60" s="190" t="b">
        <v>0</v>
      </c>
      <c r="U60" s="190" t="b">
        <v>0</v>
      </c>
      <c r="V60" s="182" t="s">
        <v>194</v>
      </c>
      <c r="W60" s="38"/>
      <c r="X60" s="38"/>
      <c r="Y60" s="38"/>
      <c r="Z60" s="38"/>
      <c r="AA60" s="38"/>
      <c r="AB60" s="38"/>
      <c r="AC60" s="39"/>
      <c r="AD60" s="183" t="s">
        <v>573</v>
      </c>
      <c r="AE60" s="39"/>
      <c r="AF60" s="186">
        <f t="shared" si="1"/>
        <v>0</v>
      </c>
      <c r="AG60" s="39"/>
      <c r="AH60" s="187"/>
      <c r="AI60" s="75"/>
      <c r="AJ60" s="75"/>
      <c r="AK60" s="191"/>
      <c r="AL60" s="14"/>
      <c r="AM60" s="14"/>
      <c r="AN60" s="14"/>
      <c r="AO60" s="14"/>
      <c r="AP60" s="14"/>
      <c r="AQ60" s="14"/>
      <c r="AR60" s="14"/>
      <c r="AS60" s="14"/>
      <c r="AT60" s="21"/>
    </row>
    <row r="61">
      <c r="A61" s="30"/>
      <c r="B61" s="30"/>
      <c r="C61" s="4"/>
      <c r="D61" s="181" t="b">
        <v>0</v>
      </c>
      <c r="E61" s="181" t="b">
        <v>0</v>
      </c>
      <c r="F61" s="182" t="s">
        <v>48</v>
      </c>
      <c r="G61" s="38"/>
      <c r="H61" s="38"/>
      <c r="I61" s="38"/>
      <c r="J61" s="38"/>
      <c r="K61" s="38"/>
      <c r="L61" s="38"/>
      <c r="M61" s="39"/>
      <c r="N61" s="183" t="s">
        <v>655</v>
      </c>
      <c r="O61" s="39"/>
      <c r="P61" s="186">
        <f t="shared" ref="P61:P64" si="2">$L$17 + IF(E61, $D$48 + INT($D$48 / 2), IF(D61, $D$48, 0)) + R61</f>
        <v>0</v>
      </c>
      <c r="Q61" s="39"/>
      <c r="R61" s="187"/>
      <c r="S61" s="75"/>
      <c r="T61" s="190" t="b">
        <v>0</v>
      </c>
      <c r="U61" s="190" t="b">
        <v>0</v>
      </c>
      <c r="V61" s="182" t="s">
        <v>111</v>
      </c>
      <c r="W61" s="38"/>
      <c r="X61" s="38"/>
      <c r="Y61" s="38"/>
      <c r="Z61" s="38"/>
      <c r="AA61" s="38"/>
      <c r="AB61" s="38"/>
      <c r="AC61" s="39"/>
      <c r="AD61" s="183" t="s">
        <v>573</v>
      </c>
      <c r="AE61" s="39"/>
      <c r="AF61" s="186">
        <f t="shared" si="1"/>
        <v>0</v>
      </c>
      <c r="AG61" s="39"/>
      <c r="AH61" s="187"/>
      <c r="AI61" s="75"/>
      <c r="AJ61" s="75"/>
      <c r="AK61" s="43"/>
      <c r="AL61" s="26"/>
      <c r="AM61" s="26"/>
      <c r="AN61" s="26"/>
      <c r="AO61" s="26"/>
      <c r="AP61" s="26"/>
      <c r="AQ61" s="26"/>
      <c r="AR61" s="26"/>
      <c r="AS61" s="26"/>
      <c r="AT61" s="31"/>
    </row>
    <row r="62">
      <c r="A62" s="30"/>
      <c r="B62" s="30"/>
      <c r="C62" s="4"/>
      <c r="D62" s="181" t="b">
        <v>0</v>
      </c>
      <c r="E62" s="181" t="b">
        <v>0</v>
      </c>
      <c r="F62" s="182" t="s">
        <v>67</v>
      </c>
      <c r="G62" s="38"/>
      <c r="H62" s="38"/>
      <c r="I62" s="38"/>
      <c r="J62" s="38"/>
      <c r="K62" s="38"/>
      <c r="L62" s="38"/>
      <c r="M62" s="39"/>
      <c r="N62" s="183" t="s">
        <v>655</v>
      </c>
      <c r="O62" s="39"/>
      <c r="P62" s="186">
        <f t="shared" si="2"/>
        <v>0</v>
      </c>
      <c r="Q62" s="39"/>
      <c r="R62" s="187"/>
      <c r="S62" s="75"/>
      <c r="T62" s="190" t="b">
        <v>0</v>
      </c>
      <c r="U62" s="190" t="b">
        <v>0</v>
      </c>
      <c r="V62" s="182" t="s">
        <v>207</v>
      </c>
      <c r="W62" s="38"/>
      <c r="X62" s="38"/>
      <c r="Y62" s="38"/>
      <c r="Z62" s="38"/>
      <c r="AA62" s="38"/>
      <c r="AB62" s="38"/>
      <c r="AC62" s="39"/>
      <c r="AD62" s="183" t="s">
        <v>573</v>
      </c>
      <c r="AE62" s="39"/>
      <c r="AF62" s="186">
        <f t="shared" si="1"/>
        <v>0</v>
      </c>
      <c r="AG62" s="39"/>
      <c r="AH62" s="187"/>
      <c r="AI62" s="75"/>
      <c r="AJ62" s="75"/>
      <c r="AK62" s="191"/>
      <c r="AL62" s="14"/>
      <c r="AM62" s="14"/>
      <c r="AN62" s="14"/>
      <c r="AO62" s="14"/>
      <c r="AP62" s="14"/>
      <c r="AQ62" s="14"/>
      <c r="AR62" s="14"/>
      <c r="AS62" s="14"/>
      <c r="AT62" s="21"/>
    </row>
    <row r="63">
      <c r="A63" s="30"/>
      <c r="B63" s="30"/>
      <c r="C63" s="4"/>
      <c r="D63" s="190" t="b">
        <v>0</v>
      </c>
      <c r="E63" s="190" t="b">
        <v>0</v>
      </c>
      <c r="F63" s="182" t="s">
        <v>84</v>
      </c>
      <c r="G63" s="38"/>
      <c r="H63" s="38"/>
      <c r="I63" s="38"/>
      <c r="J63" s="38"/>
      <c r="K63" s="38"/>
      <c r="L63" s="38"/>
      <c r="M63" s="39"/>
      <c r="N63" s="183" t="s">
        <v>655</v>
      </c>
      <c r="O63" s="39"/>
      <c r="P63" s="186">
        <f t="shared" si="2"/>
        <v>0</v>
      </c>
      <c r="Q63" s="39"/>
      <c r="R63" s="187"/>
      <c r="S63" s="75"/>
      <c r="T63" s="181" t="b">
        <v>0</v>
      </c>
      <c r="U63" s="181" t="b">
        <v>0</v>
      </c>
      <c r="V63" s="182" t="s">
        <v>95</v>
      </c>
      <c r="W63" s="38"/>
      <c r="X63" s="38"/>
      <c r="Y63" s="38"/>
      <c r="Z63" s="38"/>
      <c r="AA63" s="38"/>
      <c r="AB63" s="38"/>
      <c r="AC63" s="39"/>
      <c r="AD63" s="183" t="s">
        <v>573</v>
      </c>
      <c r="AE63" s="39"/>
      <c r="AF63" s="186">
        <f t="shared" si="1"/>
        <v>0</v>
      </c>
      <c r="AG63" s="39"/>
      <c r="AH63" s="187"/>
      <c r="AI63" s="75"/>
      <c r="AJ63" s="75"/>
      <c r="AK63" s="43"/>
      <c r="AL63" s="26"/>
      <c r="AM63" s="26"/>
      <c r="AN63" s="26"/>
      <c r="AO63" s="26"/>
      <c r="AP63" s="26"/>
      <c r="AQ63" s="26"/>
      <c r="AR63" s="26"/>
      <c r="AS63" s="26"/>
      <c r="AT63" s="31"/>
    </row>
    <row r="64">
      <c r="A64" s="30"/>
      <c r="B64" s="30"/>
      <c r="C64" s="4"/>
      <c r="D64" s="190" t="b">
        <v>0</v>
      </c>
      <c r="E64" s="181" t="b">
        <v>0</v>
      </c>
      <c r="F64" s="182" t="s">
        <v>99</v>
      </c>
      <c r="G64" s="38"/>
      <c r="H64" s="38"/>
      <c r="I64" s="38"/>
      <c r="J64" s="38"/>
      <c r="K64" s="38"/>
      <c r="L64" s="38"/>
      <c r="M64" s="39"/>
      <c r="N64" s="183" t="s">
        <v>655</v>
      </c>
      <c r="O64" s="39"/>
      <c r="P64" s="186">
        <f t="shared" si="2"/>
        <v>0</v>
      </c>
      <c r="Q64" s="39"/>
      <c r="R64" s="187"/>
      <c r="S64" s="75"/>
      <c r="T64" s="190" t="b">
        <v>0</v>
      </c>
      <c r="U64" s="190" t="b">
        <v>0</v>
      </c>
      <c r="V64" s="182" t="s">
        <v>213</v>
      </c>
      <c r="W64" s="38"/>
      <c r="X64" s="38"/>
      <c r="Y64" s="38"/>
      <c r="Z64" s="38"/>
      <c r="AA64" s="38"/>
      <c r="AB64" s="38"/>
      <c r="AC64" s="39"/>
      <c r="AD64" s="183" t="s">
        <v>595</v>
      </c>
      <c r="AE64" s="39"/>
      <c r="AF64" s="186">
        <f t="shared" ref="AF64:AF70" si="3">$AJ$17 + IF(U64, $D$48 + INT($D$48 / 2), IF(T64, $D$48, 0)) + AH64</f>
        <v>0</v>
      </c>
      <c r="AG64" s="39"/>
      <c r="AH64" s="187"/>
      <c r="AI64" s="75"/>
      <c r="AJ64" s="75"/>
      <c r="AK64" s="191"/>
      <c r="AL64" s="14"/>
      <c r="AM64" s="14"/>
      <c r="AN64" s="14"/>
      <c r="AO64" s="14"/>
      <c r="AP64" s="14"/>
      <c r="AQ64" s="14"/>
      <c r="AR64" s="14"/>
      <c r="AS64" s="14"/>
      <c r="AT64" s="21"/>
    </row>
    <row r="65">
      <c r="A65" s="30"/>
      <c r="B65" s="30"/>
      <c r="C65" s="4"/>
      <c r="D65" s="190" t="b">
        <v>0</v>
      </c>
      <c r="E65" s="190" t="b">
        <v>0</v>
      </c>
      <c r="F65" s="182" t="s">
        <v>115</v>
      </c>
      <c r="G65" s="38"/>
      <c r="H65" s="38"/>
      <c r="I65" s="38"/>
      <c r="J65" s="38"/>
      <c r="K65" s="38"/>
      <c r="L65" s="38"/>
      <c r="M65" s="39"/>
      <c r="N65" s="183" t="s">
        <v>573</v>
      </c>
      <c r="O65" s="39"/>
      <c r="P65" s="186">
        <f t="shared" ref="P65:P70" si="4">$AB$17 + IF(E65, $D$48 + INT($D$48 / 2), IF(D65, $D$48, 0)) + R65</f>
        <v>0</v>
      </c>
      <c r="Q65" s="39"/>
      <c r="R65" s="187"/>
      <c r="S65" s="75"/>
      <c r="T65" s="190" t="b">
        <v>0</v>
      </c>
      <c r="U65" s="190" t="b">
        <v>0</v>
      </c>
      <c r="V65" s="182" t="s">
        <v>79</v>
      </c>
      <c r="W65" s="38"/>
      <c r="X65" s="38"/>
      <c r="Y65" s="38"/>
      <c r="Z65" s="38"/>
      <c r="AA65" s="38"/>
      <c r="AB65" s="38"/>
      <c r="AC65" s="39"/>
      <c r="AD65" s="183" t="s">
        <v>595</v>
      </c>
      <c r="AE65" s="39"/>
      <c r="AF65" s="186">
        <f t="shared" si="3"/>
        <v>0</v>
      </c>
      <c r="AG65" s="39"/>
      <c r="AH65" s="187"/>
      <c r="AI65" s="75"/>
      <c r="AJ65" s="75"/>
      <c r="AK65" s="43"/>
      <c r="AL65" s="26"/>
      <c r="AM65" s="26"/>
      <c r="AN65" s="26"/>
      <c r="AO65" s="26"/>
      <c r="AP65" s="26"/>
      <c r="AQ65" s="26"/>
      <c r="AR65" s="26"/>
      <c r="AS65" s="26"/>
      <c r="AT65" s="31"/>
    </row>
    <row r="66">
      <c r="A66" s="30"/>
      <c r="B66" s="30"/>
      <c r="C66" s="4"/>
      <c r="D66" s="190" t="b">
        <v>0</v>
      </c>
      <c r="E66" s="190" t="b">
        <v>0</v>
      </c>
      <c r="F66" s="182" t="s">
        <v>129</v>
      </c>
      <c r="G66" s="38"/>
      <c r="H66" s="38"/>
      <c r="I66" s="38"/>
      <c r="J66" s="38"/>
      <c r="K66" s="38"/>
      <c r="L66" s="38"/>
      <c r="M66" s="39"/>
      <c r="N66" s="183" t="s">
        <v>573</v>
      </c>
      <c r="O66" s="39"/>
      <c r="P66" s="186">
        <f t="shared" si="4"/>
        <v>0</v>
      </c>
      <c r="Q66" s="39"/>
      <c r="R66" s="187"/>
      <c r="S66" s="75"/>
      <c r="T66" s="190" t="b">
        <v>0</v>
      </c>
      <c r="U66" s="190" t="b">
        <v>0</v>
      </c>
      <c r="V66" s="182" t="s">
        <v>94</v>
      </c>
      <c r="W66" s="38"/>
      <c r="X66" s="38"/>
      <c r="Y66" s="38"/>
      <c r="Z66" s="38"/>
      <c r="AA66" s="38"/>
      <c r="AB66" s="38"/>
      <c r="AC66" s="39"/>
      <c r="AD66" s="183" t="s">
        <v>595</v>
      </c>
      <c r="AE66" s="39"/>
      <c r="AF66" s="186">
        <f t="shared" si="3"/>
        <v>0</v>
      </c>
      <c r="AG66" s="39"/>
      <c r="AH66" s="187"/>
      <c r="AI66" s="75"/>
      <c r="AJ66" s="75"/>
      <c r="AK66" s="191"/>
      <c r="AL66" s="14"/>
      <c r="AM66" s="14"/>
      <c r="AN66" s="14"/>
      <c r="AO66" s="14"/>
      <c r="AP66" s="14"/>
      <c r="AQ66" s="14"/>
      <c r="AR66" s="14"/>
      <c r="AS66" s="14"/>
      <c r="AT66" s="21"/>
    </row>
    <row r="67">
      <c r="A67" s="30"/>
      <c r="B67" s="30"/>
      <c r="C67" s="4"/>
      <c r="D67" s="190" t="b">
        <v>0</v>
      </c>
      <c r="E67" s="190" t="b">
        <v>0</v>
      </c>
      <c r="F67" s="182" t="s">
        <v>125</v>
      </c>
      <c r="G67" s="38"/>
      <c r="H67" s="38"/>
      <c r="I67" s="38"/>
      <c r="J67" s="38"/>
      <c r="K67" s="38"/>
      <c r="L67" s="38"/>
      <c r="M67" s="39"/>
      <c r="N67" s="183" t="s">
        <v>573</v>
      </c>
      <c r="O67" s="39"/>
      <c r="P67" s="186">
        <f t="shared" si="4"/>
        <v>0</v>
      </c>
      <c r="Q67" s="39"/>
      <c r="R67" s="187"/>
      <c r="S67" s="75"/>
      <c r="T67" s="181" t="b">
        <v>0</v>
      </c>
      <c r="U67" s="181" t="b">
        <v>0</v>
      </c>
      <c r="V67" s="182" t="s">
        <v>229</v>
      </c>
      <c r="W67" s="38"/>
      <c r="X67" s="38"/>
      <c r="Y67" s="38"/>
      <c r="Z67" s="38"/>
      <c r="AA67" s="38"/>
      <c r="AB67" s="38"/>
      <c r="AC67" s="39"/>
      <c r="AD67" s="183" t="s">
        <v>595</v>
      </c>
      <c r="AE67" s="39"/>
      <c r="AF67" s="186">
        <f t="shared" si="3"/>
        <v>0</v>
      </c>
      <c r="AG67" s="39"/>
      <c r="AH67" s="187"/>
      <c r="AI67" s="75"/>
      <c r="AJ67" s="75"/>
      <c r="AK67" s="43"/>
      <c r="AL67" s="26"/>
      <c r="AM67" s="26"/>
      <c r="AN67" s="26"/>
      <c r="AO67" s="26"/>
      <c r="AP67" s="26"/>
      <c r="AQ67" s="26"/>
      <c r="AR67" s="26"/>
      <c r="AS67" s="26"/>
      <c r="AT67" s="31"/>
    </row>
    <row r="68">
      <c r="A68" s="30"/>
      <c r="B68" s="30"/>
      <c r="C68" s="4"/>
      <c r="D68" s="190" t="b">
        <v>0</v>
      </c>
      <c r="E68" s="190" t="b">
        <v>0</v>
      </c>
      <c r="F68" s="182" t="s">
        <v>110</v>
      </c>
      <c r="G68" s="38"/>
      <c r="H68" s="38"/>
      <c r="I68" s="38"/>
      <c r="J68" s="38"/>
      <c r="K68" s="38"/>
      <c r="L68" s="38"/>
      <c r="M68" s="39"/>
      <c r="N68" s="183" t="s">
        <v>573</v>
      </c>
      <c r="O68" s="39"/>
      <c r="P68" s="186">
        <f t="shared" si="4"/>
        <v>0</v>
      </c>
      <c r="Q68" s="39"/>
      <c r="R68" s="187"/>
      <c r="S68" s="75"/>
      <c r="T68" s="190" t="b">
        <v>0</v>
      </c>
      <c r="U68" s="190" t="b">
        <v>0</v>
      </c>
      <c r="V68" s="182" t="s">
        <v>60</v>
      </c>
      <c r="W68" s="38"/>
      <c r="X68" s="38"/>
      <c r="Y68" s="38"/>
      <c r="Z68" s="38"/>
      <c r="AA68" s="38"/>
      <c r="AB68" s="38"/>
      <c r="AC68" s="39"/>
      <c r="AD68" s="183" t="s">
        <v>595</v>
      </c>
      <c r="AE68" s="39"/>
      <c r="AF68" s="186">
        <f t="shared" si="3"/>
        <v>0</v>
      </c>
      <c r="AG68" s="39"/>
      <c r="AH68" s="187"/>
      <c r="AI68" s="75"/>
      <c r="AJ68" s="75"/>
      <c r="AK68" s="75"/>
      <c r="AL68" s="75"/>
      <c r="AM68" s="75"/>
      <c r="AN68" s="75"/>
      <c r="AO68" s="75"/>
      <c r="AP68" s="75"/>
      <c r="AQ68" s="75"/>
      <c r="AR68" s="75"/>
      <c r="AS68" s="75"/>
      <c r="AT68" s="75"/>
    </row>
    <row r="69">
      <c r="A69" s="30"/>
      <c r="B69" s="30"/>
      <c r="C69" s="4"/>
      <c r="D69" s="190" t="b">
        <v>0</v>
      </c>
      <c r="E69" s="190" t="b">
        <v>0</v>
      </c>
      <c r="F69" s="182" t="s">
        <v>159</v>
      </c>
      <c r="G69" s="38"/>
      <c r="H69" s="38"/>
      <c r="I69" s="38"/>
      <c r="J69" s="38"/>
      <c r="K69" s="38"/>
      <c r="L69" s="38"/>
      <c r="M69" s="39"/>
      <c r="N69" s="183" t="s">
        <v>573</v>
      </c>
      <c r="O69" s="39"/>
      <c r="P69" s="186">
        <f t="shared" si="4"/>
        <v>0</v>
      </c>
      <c r="Q69" s="39"/>
      <c r="R69" s="187"/>
      <c r="S69" s="75"/>
      <c r="T69" s="190" t="b">
        <v>0</v>
      </c>
      <c r="U69" s="190" t="b">
        <v>0</v>
      </c>
      <c r="V69" s="182" t="s">
        <v>240</v>
      </c>
      <c r="W69" s="38"/>
      <c r="X69" s="38"/>
      <c r="Y69" s="38"/>
      <c r="Z69" s="38"/>
      <c r="AA69" s="38"/>
      <c r="AB69" s="38"/>
      <c r="AC69" s="39"/>
      <c r="AD69" s="183" t="s">
        <v>595</v>
      </c>
      <c r="AE69" s="39"/>
      <c r="AF69" s="186">
        <f t="shared" si="3"/>
        <v>0</v>
      </c>
      <c r="AG69" s="39"/>
      <c r="AH69" s="187"/>
      <c r="AI69" s="75"/>
      <c r="AJ69" s="75"/>
      <c r="AK69" s="75"/>
      <c r="AL69" s="75"/>
      <c r="AM69" s="75"/>
      <c r="AN69" s="75"/>
      <c r="AO69" s="75"/>
      <c r="AP69" s="75"/>
      <c r="AQ69" s="75"/>
      <c r="AR69" s="75"/>
      <c r="AS69" s="75"/>
      <c r="AT69" s="75"/>
    </row>
    <row r="70">
      <c r="A70" s="30"/>
      <c r="B70" s="30"/>
      <c r="C70" s="4"/>
      <c r="D70" s="190" t="b">
        <v>0</v>
      </c>
      <c r="E70" s="190" t="b">
        <v>0</v>
      </c>
      <c r="F70" s="182" t="s">
        <v>170</v>
      </c>
      <c r="G70" s="38"/>
      <c r="H70" s="38"/>
      <c r="I70" s="38"/>
      <c r="J70" s="38"/>
      <c r="K70" s="38"/>
      <c r="L70" s="38"/>
      <c r="M70" s="39"/>
      <c r="N70" s="183" t="s">
        <v>573</v>
      </c>
      <c r="O70" s="39"/>
      <c r="P70" s="186">
        <f t="shared" si="4"/>
        <v>0</v>
      </c>
      <c r="Q70" s="39"/>
      <c r="R70" s="187"/>
      <c r="S70" s="180"/>
      <c r="T70" s="190" t="b">
        <v>0</v>
      </c>
      <c r="U70" s="181" t="b">
        <v>0</v>
      </c>
      <c r="V70" s="182" t="s">
        <v>244</v>
      </c>
      <c r="W70" s="38"/>
      <c r="X70" s="38"/>
      <c r="Y70" s="38"/>
      <c r="Z70" s="38"/>
      <c r="AA70" s="38"/>
      <c r="AB70" s="38"/>
      <c r="AC70" s="39"/>
      <c r="AD70" s="183" t="s">
        <v>595</v>
      </c>
      <c r="AE70" s="39"/>
      <c r="AF70" s="186">
        <f t="shared" si="3"/>
        <v>0</v>
      </c>
      <c r="AG70" s="39"/>
      <c r="AH70" s="187"/>
      <c r="AI70" s="75"/>
      <c r="AJ70" s="75"/>
      <c r="AK70" s="75"/>
      <c r="AL70" s="75"/>
      <c r="AM70" s="75"/>
      <c r="AN70" s="75"/>
      <c r="AO70" s="75"/>
      <c r="AP70" s="75"/>
      <c r="AQ70" s="75"/>
      <c r="AR70" s="75"/>
      <c r="AS70" s="75"/>
      <c r="AT70" s="75"/>
    </row>
    <row r="71">
      <c r="A71" s="30"/>
      <c r="B71" s="30"/>
      <c r="C71" s="4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  <c r="AA71" s="75"/>
      <c r="AB71" s="75"/>
      <c r="AC71" s="75"/>
      <c r="AD71" s="75"/>
      <c r="AE71" s="75"/>
      <c r="AF71" s="75"/>
      <c r="AG71" s="75"/>
      <c r="AH71" s="75"/>
      <c r="AI71" s="75"/>
      <c r="AJ71" s="75"/>
      <c r="AK71" s="75"/>
      <c r="AL71" s="75"/>
      <c r="AM71" s="75"/>
      <c r="AN71" s="75"/>
      <c r="AO71" s="75"/>
      <c r="AP71" s="75"/>
      <c r="AQ71" s="75"/>
      <c r="AR71" s="75"/>
      <c r="AS71" s="75"/>
      <c r="AT71" s="75"/>
    </row>
    <row r="72" ht="27.0" customHeight="1">
      <c r="A72" s="30"/>
      <c r="B72" s="30"/>
      <c r="C72" s="4"/>
      <c r="D72" s="103">
        <v>6.0</v>
      </c>
      <c r="E72" s="14"/>
      <c r="F72" s="21"/>
      <c r="G72" s="161" t="s">
        <v>667</v>
      </c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9"/>
      <c r="AI72" s="75"/>
      <c r="AJ72" s="75"/>
      <c r="AK72" s="75"/>
      <c r="AL72" s="75"/>
      <c r="AM72" s="75"/>
      <c r="AN72" s="75"/>
      <c r="AO72" s="75"/>
      <c r="AP72" s="75"/>
      <c r="AQ72" s="75"/>
      <c r="AR72" s="75"/>
      <c r="AS72" s="75"/>
      <c r="AT72" s="75"/>
    </row>
    <row r="73">
      <c r="A73" s="30"/>
      <c r="B73" s="30"/>
      <c r="C73" s="4"/>
      <c r="D73" s="43"/>
      <c r="E73" s="26"/>
      <c r="F73" s="31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  <c r="AA73" s="75"/>
      <c r="AB73" s="75"/>
      <c r="AC73" s="75"/>
      <c r="AD73" s="75"/>
      <c r="AE73" s="75"/>
      <c r="AF73" s="75"/>
      <c r="AG73" s="75"/>
      <c r="AH73" s="75"/>
      <c r="AI73" s="75"/>
      <c r="AJ73" s="75"/>
      <c r="AK73" s="75"/>
      <c r="AL73" s="75"/>
      <c r="AM73" s="75"/>
      <c r="AN73" s="75"/>
      <c r="AO73" s="75"/>
      <c r="AP73" s="75"/>
      <c r="AQ73" s="75"/>
      <c r="AR73" s="75"/>
      <c r="AS73" s="75"/>
      <c r="AT73" s="75"/>
    </row>
    <row r="74">
      <c r="A74" s="30"/>
      <c r="B74" s="30"/>
      <c r="C74" s="4"/>
      <c r="D74" s="179" t="s">
        <v>639</v>
      </c>
      <c r="E74" s="179" t="s">
        <v>640</v>
      </c>
      <c r="F74" s="75"/>
      <c r="G74" s="75"/>
      <c r="H74" s="75"/>
      <c r="I74" s="75"/>
      <c r="J74" s="75"/>
      <c r="K74" s="75"/>
      <c r="L74" s="75"/>
      <c r="M74" s="75"/>
      <c r="N74" s="75"/>
      <c r="O74" s="179" t="s">
        <v>500</v>
      </c>
      <c r="P74" s="75"/>
      <c r="Q74" s="179" t="s">
        <v>639</v>
      </c>
      <c r="R74" s="179" t="s">
        <v>640</v>
      </c>
      <c r="S74" s="75"/>
      <c r="T74" s="75"/>
      <c r="U74" s="75"/>
      <c r="V74" s="75"/>
      <c r="W74" s="75"/>
      <c r="X74" s="75"/>
      <c r="Y74" s="75"/>
      <c r="Z74" s="75"/>
      <c r="AA74" s="75"/>
      <c r="AB74" s="179" t="s">
        <v>500</v>
      </c>
      <c r="AC74" s="75"/>
      <c r="AD74" s="75"/>
      <c r="AE74" s="204"/>
      <c r="AF74" s="179" t="s">
        <v>639</v>
      </c>
      <c r="AG74" s="75"/>
      <c r="AH74" s="75"/>
      <c r="AI74" s="75"/>
      <c r="AJ74" s="179" t="s">
        <v>500</v>
      </c>
      <c r="AK74" s="75"/>
      <c r="AL74" s="75"/>
      <c r="AM74" s="75"/>
      <c r="AN74" s="75"/>
      <c r="AO74" s="75"/>
      <c r="AP74" s="75"/>
      <c r="AQ74" s="75"/>
      <c r="AR74" s="75"/>
      <c r="AS74" s="75"/>
      <c r="AT74" s="75"/>
    </row>
    <row r="75">
      <c r="A75" s="30"/>
      <c r="B75" s="30"/>
      <c r="C75" s="4"/>
      <c r="D75" s="205" t="b">
        <v>0</v>
      </c>
      <c r="E75" s="205" t="b">
        <v>0</v>
      </c>
      <c r="F75" s="206" t="s">
        <v>21</v>
      </c>
      <c r="G75" s="38"/>
      <c r="H75" s="38"/>
      <c r="I75" s="38"/>
      <c r="J75" s="39"/>
      <c r="K75" s="208" t="s">
        <v>668</v>
      </c>
      <c r="L75" s="38"/>
      <c r="M75" s="39"/>
      <c r="N75" s="209">
        <f t="shared" ref="N75:N80" si="5">+IFS(K75="FORÇA",$D$17, K75="DESTREZA",$L$17, K75="CONSTITUIÇÃO",$T$17, K75="INTELIGÊNCIA",$AB$17, K75="ESSÊNCIA",$AJ$17) + IF(E75, $D$48 + INT($D$48 / 2), IF(D75, $D$48, 0)) + O75</f>
        <v>0</v>
      </c>
      <c r="O75" s="210"/>
      <c r="P75" s="75"/>
      <c r="Q75" s="205" t="b">
        <v>0</v>
      </c>
      <c r="R75" s="205" t="b">
        <v>0</v>
      </c>
      <c r="S75" s="206" t="s">
        <v>112</v>
      </c>
      <c r="T75" s="38"/>
      <c r="U75" s="38"/>
      <c r="V75" s="38"/>
      <c r="W75" s="39"/>
      <c r="X75" s="208" t="s">
        <v>668</v>
      </c>
      <c r="Y75" s="38"/>
      <c r="Z75" s="39"/>
      <c r="AA75" s="212">
        <f t="shared" ref="AA75:AA79" si="6">+IFS(X75="FORÇA",$D$17, X75="DESTREZA",$L$17, X75="CONSTITUIÇÃO",$T$17, X75="INTELIGÊNCIA",$AB$17, X75="ESSÊNCIA",$AJ$17) + IF(R75, $D$48 + INT($D$48 / 2), IF(Q75, $D$48, 0)) + AB75</f>
        <v>0</v>
      </c>
      <c r="AB75" s="187"/>
      <c r="AC75" s="75"/>
      <c r="AD75" s="75"/>
      <c r="AE75" s="213"/>
      <c r="AF75" s="205" t="b">
        <v>0</v>
      </c>
      <c r="AG75" s="206" t="s">
        <v>28</v>
      </c>
      <c r="AH75" s="38"/>
      <c r="AI75" s="38"/>
      <c r="AJ75" s="210"/>
      <c r="AK75" s="216" t="s">
        <v>613</v>
      </c>
      <c r="AL75" s="38"/>
      <c r="AM75" s="38"/>
      <c r="AN75" s="38"/>
      <c r="AO75" s="39"/>
      <c r="AP75" s="217">
        <f>+IFS(AK75="FORÇA",$D$17, AK75="DESTREZA",$L$17)+IF($AF$75=TRUE,2,0)+AJ75</f>
        <v>0</v>
      </c>
      <c r="AQ75" s="38"/>
      <c r="AR75" s="38"/>
      <c r="AS75" s="38"/>
      <c r="AT75" s="39"/>
    </row>
    <row r="76">
      <c r="A76" s="30"/>
      <c r="B76" s="30"/>
      <c r="C76" s="4"/>
      <c r="D76" s="205" t="b">
        <v>0</v>
      </c>
      <c r="E76" s="205" t="b">
        <v>0</v>
      </c>
      <c r="F76" s="206" t="s">
        <v>49</v>
      </c>
      <c r="G76" s="38"/>
      <c r="H76" s="38"/>
      <c r="I76" s="38"/>
      <c r="J76" s="39"/>
      <c r="K76" s="208" t="s">
        <v>668</v>
      </c>
      <c r="L76" s="38"/>
      <c r="M76" s="39"/>
      <c r="N76" s="212">
        <f t="shared" si="5"/>
        <v>0</v>
      </c>
      <c r="O76" s="187"/>
      <c r="P76" s="75"/>
      <c r="Q76" s="218" t="b">
        <v>0</v>
      </c>
      <c r="R76" s="218" t="b">
        <v>0</v>
      </c>
      <c r="S76" s="206" t="s">
        <v>671</v>
      </c>
      <c r="T76" s="38"/>
      <c r="U76" s="38"/>
      <c r="V76" s="38"/>
      <c r="W76" s="39"/>
      <c r="X76" s="208" t="s">
        <v>668</v>
      </c>
      <c r="Y76" s="38"/>
      <c r="Z76" s="39"/>
      <c r="AA76" s="212">
        <f t="shared" si="6"/>
        <v>0</v>
      </c>
      <c r="AB76" s="187"/>
      <c r="AC76" s="75"/>
      <c r="AD76" s="75"/>
      <c r="AE76" s="219"/>
      <c r="AF76" s="205" t="b">
        <v>0</v>
      </c>
      <c r="AG76" s="206" t="s">
        <v>56</v>
      </c>
      <c r="AH76" s="38"/>
      <c r="AI76" s="38"/>
      <c r="AJ76" s="210"/>
      <c r="AK76" s="208" t="s">
        <v>672</v>
      </c>
      <c r="AL76" s="38"/>
      <c r="AM76" s="38"/>
      <c r="AN76" s="38"/>
      <c r="AO76" s="39"/>
      <c r="AP76" s="217">
        <f>$T$17+IF($AF$76=TRUE,2,0)+AJ76</f>
        <v>0</v>
      </c>
      <c r="AQ76" s="38"/>
      <c r="AR76" s="38"/>
      <c r="AS76" s="38"/>
      <c r="AT76" s="39"/>
    </row>
    <row r="77">
      <c r="A77" s="30"/>
      <c r="B77" s="30"/>
      <c r="C77" s="4"/>
      <c r="D77" s="205" t="b">
        <v>0</v>
      </c>
      <c r="E77" s="205" t="b">
        <v>0</v>
      </c>
      <c r="F77" s="206" t="s">
        <v>68</v>
      </c>
      <c r="G77" s="38"/>
      <c r="H77" s="38"/>
      <c r="I77" s="38"/>
      <c r="J77" s="39"/>
      <c r="K77" s="208" t="s">
        <v>668</v>
      </c>
      <c r="L77" s="38"/>
      <c r="M77" s="39"/>
      <c r="N77" s="212">
        <f t="shared" si="5"/>
        <v>0</v>
      </c>
      <c r="O77" s="187"/>
      <c r="P77" s="75"/>
      <c r="Q77" s="205" t="b">
        <v>0</v>
      </c>
      <c r="R77" s="205" t="b">
        <v>0</v>
      </c>
      <c r="S77" s="221" t="s">
        <v>150</v>
      </c>
      <c r="T77" s="38"/>
      <c r="U77" s="38"/>
      <c r="V77" s="38"/>
      <c r="W77" s="39"/>
      <c r="X77" s="208" t="s">
        <v>668</v>
      </c>
      <c r="Y77" s="38"/>
      <c r="Z77" s="39"/>
      <c r="AA77" s="212">
        <f t="shared" si="6"/>
        <v>0</v>
      </c>
      <c r="AB77" s="187"/>
      <c r="AC77" s="75"/>
      <c r="AD77" s="75"/>
      <c r="AE77" s="219"/>
      <c r="AF77" s="218" t="b">
        <v>0</v>
      </c>
      <c r="AG77" s="206" t="s">
        <v>75</v>
      </c>
      <c r="AH77" s="38"/>
      <c r="AI77" s="38"/>
      <c r="AJ77" s="210"/>
      <c r="AK77" s="208" t="s">
        <v>668</v>
      </c>
      <c r="AL77" s="38"/>
      <c r="AM77" s="38"/>
      <c r="AN77" s="38"/>
      <c r="AO77" s="39"/>
      <c r="AP77" s="217">
        <f>$AB$17+IF($AF$77=TRUE,2,0)+AJ77</f>
        <v>0</v>
      </c>
      <c r="AQ77" s="38"/>
      <c r="AR77" s="38"/>
      <c r="AS77" s="38"/>
      <c r="AT77" s="39"/>
    </row>
    <row r="78">
      <c r="A78" s="30"/>
      <c r="B78" s="30"/>
      <c r="C78" s="4"/>
      <c r="D78" s="205" t="b">
        <v>0</v>
      </c>
      <c r="E78" s="205" t="b">
        <v>0</v>
      </c>
      <c r="F78" s="206" t="s">
        <v>61</v>
      </c>
      <c r="G78" s="38"/>
      <c r="H78" s="38"/>
      <c r="I78" s="38"/>
      <c r="J78" s="39"/>
      <c r="K78" s="208" t="s">
        <v>668</v>
      </c>
      <c r="L78" s="38"/>
      <c r="M78" s="39"/>
      <c r="N78" s="212">
        <f t="shared" si="5"/>
        <v>0</v>
      </c>
      <c r="O78" s="187"/>
      <c r="P78" s="75"/>
      <c r="Q78" s="205" t="b">
        <v>0</v>
      </c>
      <c r="R78" s="205" t="b">
        <v>0</v>
      </c>
      <c r="S78" s="206" t="s">
        <v>171</v>
      </c>
      <c r="T78" s="38"/>
      <c r="U78" s="38"/>
      <c r="V78" s="38"/>
      <c r="W78" s="39"/>
      <c r="X78" s="208" t="s">
        <v>668</v>
      </c>
      <c r="Y78" s="38"/>
      <c r="Z78" s="39"/>
      <c r="AA78" s="212">
        <f t="shared" si="6"/>
        <v>0</v>
      </c>
      <c r="AB78" s="187"/>
      <c r="AC78" s="75"/>
      <c r="AD78" s="75"/>
      <c r="AE78" s="75"/>
      <c r="AF78" s="218" t="b">
        <v>0</v>
      </c>
      <c r="AG78" s="206" t="s">
        <v>91</v>
      </c>
      <c r="AH78" s="38"/>
      <c r="AI78" s="38"/>
      <c r="AJ78" s="210"/>
      <c r="AK78" s="208" t="s">
        <v>610</v>
      </c>
      <c r="AL78" s="38"/>
      <c r="AM78" s="38"/>
      <c r="AN78" s="38"/>
      <c r="AO78" s="39"/>
      <c r="AP78" s="217">
        <f>$AJ$17+IF($AF$78=TRUE,2,0)+AJ78</f>
        <v>0</v>
      </c>
      <c r="AQ78" s="38"/>
      <c r="AR78" s="38"/>
      <c r="AS78" s="38"/>
      <c r="AT78" s="39"/>
    </row>
    <row r="79">
      <c r="A79" s="30"/>
      <c r="B79" s="30"/>
      <c r="C79" s="4"/>
      <c r="D79" s="205" t="b">
        <v>0</v>
      </c>
      <c r="E79" s="205" t="b">
        <v>0</v>
      </c>
      <c r="F79" s="206" t="s">
        <v>100</v>
      </c>
      <c r="G79" s="38"/>
      <c r="H79" s="38"/>
      <c r="I79" s="38"/>
      <c r="J79" s="39"/>
      <c r="K79" s="208" t="s">
        <v>668</v>
      </c>
      <c r="L79" s="38"/>
      <c r="M79" s="39"/>
      <c r="N79" s="212">
        <f t="shared" si="5"/>
        <v>0</v>
      </c>
      <c r="O79" s="187"/>
      <c r="P79" s="75"/>
      <c r="Q79" s="205" t="b">
        <v>0</v>
      </c>
      <c r="R79" s="205" t="b">
        <v>0</v>
      </c>
      <c r="S79" s="206" t="s">
        <v>161</v>
      </c>
      <c r="T79" s="38"/>
      <c r="U79" s="38"/>
      <c r="V79" s="38"/>
      <c r="W79" s="39"/>
      <c r="X79" s="208" t="s">
        <v>668</v>
      </c>
      <c r="Y79" s="38"/>
      <c r="Z79" s="39"/>
      <c r="AA79" s="212">
        <f t="shared" si="6"/>
        <v>0</v>
      </c>
      <c r="AB79" s="187"/>
      <c r="AC79" s="75"/>
      <c r="AD79" s="75"/>
      <c r="AE79" s="75"/>
      <c r="AF79" s="75"/>
      <c r="AG79" s="75"/>
      <c r="AH79" s="75"/>
      <c r="AI79" s="75"/>
      <c r="AJ79" s="75"/>
      <c r="AK79" s="75"/>
      <c r="AL79" s="75"/>
      <c r="AM79" s="75"/>
      <c r="AN79" s="75"/>
      <c r="AO79" s="75"/>
      <c r="AP79" s="75"/>
      <c r="AQ79" s="75"/>
      <c r="AR79" s="75"/>
      <c r="AS79" s="75"/>
      <c r="AT79" s="75"/>
    </row>
    <row r="80">
      <c r="A80" s="30"/>
      <c r="B80" s="30"/>
      <c r="C80" s="4"/>
      <c r="D80" s="205" t="b">
        <v>0</v>
      </c>
      <c r="E80" s="205" t="b">
        <v>0</v>
      </c>
      <c r="F80" s="206" t="s">
        <v>116</v>
      </c>
      <c r="G80" s="38"/>
      <c r="H80" s="38"/>
      <c r="I80" s="38"/>
      <c r="J80" s="39"/>
      <c r="K80" s="208" t="s">
        <v>668</v>
      </c>
      <c r="L80" s="38"/>
      <c r="M80" s="39"/>
      <c r="N80" s="212">
        <f t="shared" si="5"/>
        <v>0</v>
      </c>
      <c r="O80" s="187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  <c r="AA80" s="75"/>
      <c r="AB80" s="75"/>
      <c r="AC80" s="75"/>
      <c r="AD80" s="75"/>
      <c r="AE80" s="75"/>
      <c r="AF80" s="75"/>
      <c r="AG80" s="75"/>
      <c r="AH80" s="75"/>
      <c r="AI80" s="75"/>
      <c r="AJ80" s="75"/>
      <c r="AK80" s="75"/>
      <c r="AL80" s="75"/>
      <c r="AM80" s="75"/>
      <c r="AN80" s="75"/>
      <c r="AO80" s="75"/>
      <c r="AP80" s="75"/>
      <c r="AQ80" s="75"/>
      <c r="AR80" s="75"/>
      <c r="AS80" s="75"/>
      <c r="AT80" s="75"/>
    </row>
    <row r="81">
      <c r="A81" s="30"/>
      <c r="B81" s="30"/>
      <c r="C81" s="4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  <c r="AA81" s="75"/>
      <c r="AB81" s="75"/>
      <c r="AC81" s="75"/>
      <c r="AD81" s="75"/>
      <c r="AE81" s="75"/>
      <c r="AF81" s="75"/>
      <c r="AG81" s="75"/>
      <c r="AH81" s="75"/>
      <c r="AI81" s="75"/>
      <c r="AJ81" s="75"/>
      <c r="AK81" s="75"/>
      <c r="AL81" s="75"/>
      <c r="AM81" s="75"/>
      <c r="AN81" s="75"/>
      <c r="AO81" s="75"/>
      <c r="AP81" s="75"/>
      <c r="AQ81" s="75"/>
      <c r="AR81" s="75"/>
      <c r="AS81" s="75"/>
      <c r="AT81" s="75"/>
    </row>
    <row r="82" ht="27.0" customHeight="1">
      <c r="A82" s="30"/>
      <c r="B82" s="30"/>
      <c r="C82" s="4"/>
      <c r="D82" s="103">
        <v>7.0</v>
      </c>
      <c r="E82" s="14"/>
      <c r="F82" s="21"/>
      <c r="G82" s="161" t="s">
        <v>678</v>
      </c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9"/>
      <c r="AI82" s="75"/>
      <c r="AJ82" s="75"/>
      <c r="AK82" s="75"/>
      <c r="AL82" s="75"/>
      <c r="AM82" s="75"/>
      <c r="AN82" s="75"/>
      <c r="AO82" s="75"/>
      <c r="AP82" s="75"/>
      <c r="AQ82" s="75"/>
      <c r="AR82" s="75"/>
      <c r="AS82" s="75"/>
      <c r="AT82" s="75"/>
    </row>
    <row r="83">
      <c r="A83" s="30"/>
      <c r="B83" s="30"/>
      <c r="C83" s="4"/>
      <c r="D83" s="43"/>
      <c r="E83" s="26"/>
      <c r="F83" s="31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</row>
    <row r="84" ht="5.25" customHeight="1">
      <c r="A84" s="30"/>
      <c r="B84" s="30"/>
      <c r="C84" s="4"/>
      <c r="D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</row>
    <row r="85">
      <c r="A85" s="30"/>
      <c r="B85" s="30"/>
      <c r="C85" s="4"/>
      <c r="D85" s="223" t="s">
        <v>681</v>
      </c>
      <c r="E85" s="38"/>
      <c r="F85" s="38"/>
      <c r="G85" s="38"/>
      <c r="H85" s="38"/>
      <c r="I85" s="38"/>
      <c r="J85" s="38"/>
      <c r="K85" s="38"/>
      <c r="L85" s="38"/>
      <c r="M85" s="38"/>
      <c r="N85" s="39"/>
      <c r="O85" s="4"/>
      <c r="P85" s="223" t="s">
        <v>683</v>
      </c>
      <c r="Q85" s="38"/>
      <c r="R85" s="38"/>
      <c r="S85" s="38"/>
      <c r="T85" s="38"/>
      <c r="U85" s="38"/>
      <c r="V85" s="38"/>
      <c r="W85" s="38"/>
      <c r="X85" s="38"/>
      <c r="Y85" s="38"/>
      <c r="Z85" s="39"/>
      <c r="AA85" s="4"/>
      <c r="AB85" s="223" t="s">
        <v>684</v>
      </c>
      <c r="AC85" s="38"/>
      <c r="AD85" s="38"/>
      <c r="AE85" s="38"/>
      <c r="AF85" s="38"/>
      <c r="AG85" s="38"/>
      <c r="AH85" s="38"/>
      <c r="AI85" s="38"/>
      <c r="AJ85" s="38"/>
      <c r="AK85" s="38"/>
      <c r="AL85" s="39"/>
      <c r="AM85" s="4"/>
      <c r="AN85" s="4"/>
      <c r="AO85" s="4"/>
      <c r="AP85" s="4"/>
      <c r="AQ85" s="4"/>
      <c r="AR85" s="4"/>
      <c r="AS85" s="4"/>
      <c r="AT85" s="4"/>
    </row>
    <row r="86" ht="5.25" customHeight="1">
      <c r="A86" s="30"/>
      <c r="B86" s="30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</row>
    <row r="87">
      <c r="A87" s="30"/>
      <c r="B87" s="30"/>
      <c r="C87" s="4"/>
      <c r="D87" s="227"/>
      <c r="E87" s="14"/>
      <c r="F87" s="14"/>
      <c r="G87" s="14"/>
      <c r="H87" s="14"/>
      <c r="I87" s="14"/>
      <c r="J87" s="14"/>
      <c r="K87" s="14"/>
      <c r="L87" s="14"/>
      <c r="M87" s="14"/>
      <c r="N87" s="21"/>
      <c r="O87" s="4"/>
      <c r="P87" s="227"/>
      <c r="Q87" s="14"/>
      <c r="R87" s="14"/>
      <c r="S87" s="14"/>
      <c r="T87" s="14"/>
      <c r="U87" s="14"/>
      <c r="V87" s="14"/>
      <c r="W87" s="14"/>
      <c r="X87" s="14"/>
      <c r="Y87" s="14"/>
      <c r="Z87" s="21"/>
      <c r="AA87" s="4"/>
      <c r="AB87" s="227"/>
      <c r="AC87" s="14"/>
      <c r="AD87" s="14"/>
      <c r="AE87" s="14"/>
      <c r="AF87" s="14"/>
      <c r="AG87" s="14"/>
      <c r="AH87" s="14"/>
      <c r="AI87" s="14"/>
      <c r="AJ87" s="14"/>
      <c r="AK87" s="14"/>
      <c r="AL87" s="21"/>
      <c r="AM87" s="4"/>
      <c r="AN87" s="4"/>
      <c r="AO87" s="4"/>
      <c r="AP87" s="4"/>
      <c r="AQ87" s="4"/>
      <c r="AR87" s="4"/>
      <c r="AS87" s="4"/>
      <c r="AT87" s="4"/>
    </row>
    <row r="88">
      <c r="A88" s="30"/>
      <c r="B88" s="30"/>
      <c r="C88" s="4"/>
      <c r="D88" s="47"/>
      <c r="N88" s="49"/>
      <c r="O88" s="4"/>
      <c r="P88" s="47"/>
      <c r="Z88" s="49"/>
      <c r="AA88" s="4"/>
      <c r="AB88" s="47"/>
      <c r="AL88" s="49"/>
      <c r="AM88" s="4"/>
      <c r="AN88" s="4"/>
      <c r="AO88" s="4"/>
      <c r="AP88" s="4"/>
      <c r="AQ88" s="4"/>
      <c r="AR88" s="4"/>
      <c r="AS88" s="4"/>
      <c r="AT88" s="4"/>
    </row>
    <row r="89">
      <c r="A89" s="30"/>
      <c r="B89" s="30"/>
      <c r="C89" s="4"/>
      <c r="D89" s="47"/>
      <c r="N89" s="49"/>
      <c r="O89" s="4"/>
      <c r="P89" s="47"/>
      <c r="Z89" s="49"/>
      <c r="AA89" s="4"/>
      <c r="AB89" s="47"/>
      <c r="AL89" s="49"/>
      <c r="AM89" s="4"/>
      <c r="AN89" s="4"/>
      <c r="AO89" s="4"/>
      <c r="AP89" s="4"/>
      <c r="AQ89" s="4"/>
      <c r="AR89" s="4"/>
      <c r="AS89" s="4"/>
      <c r="AT89" s="4"/>
    </row>
    <row r="90">
      <c r="A90" s="30"/>
      <c r="B90" s="30"/>
      <c r="C90" s="4"/>
      <c r="D90" s="43"/>
      <c r="E90" s="26"/>
      <c r="F90" s="26"/>
      <c r="G90" s="26"/>
      <c r="H90" s="26"/>
      <c r="I90" s="26"/>
      <c r="J90" s="26"/>
      <c r="K90" s="26"/>
      <c r="L90" s="26"/>
      <c r="M90" s="26"/>
      <c r="N90" s="31"/>
      <c r="O90" s="4"/>
      <c r="P90" s="43"/>
      <c r="Q90" s="26"/>
      <c r="R90" s="26"/>
      <c r="S90" s="26"/>
      <c r="T90" s="26"/>
      <c r="U90" s="26"/>
      <c r="V90" s="26"/>
      <c r="W90" s="26"/>
      <c r="X90" s="26"/>
      <c r="Y90" s="26"/>
      <c r="Z90" s="31"/>
      <c r="AA90" s="4"/>
      <c r="AB90" s="43"/>
      <c r="AC90" s="26"/>
      <c r="AD90" s="26"/>
      <c r="AE90" s="26"/>
      <c r="AF90" s="26"/>
      <c r="AG90" s="26"/>
      <c r="AH90" s="26"/>
      <c r="AI90" s="26"/>
      <c r="AJ90" s="26"/>
      <c r="AK90" s="26"/>
      <c r="AL90" s="31"/>
      <c r="AM90" s="4"/>
      <c r="AN90" s="4"/>
      <c r="AO90" s="4"/>
      <c r="AP90" s="4"/>
      <c r="AQ90" s="4"/>
      <c r="AR90" s="4"/>
      <c r="AS90" s="4"/>
      <c r="AT90" s="4"/>
    </row>
    <row r="91" ht="5.25" customHeight="1">
      <c r="A91" s="30"/>
      <c r="B91" s="30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</row>
    <row r="92">
      <c r="A92" s="30"/>
      <c r="B92" s="30"/>
      <c r="C92" s="4"/>
      <c r="D92" s="223" t="s">
        <v>687</v>
      </c>
      <c r="E92" s="38"/>
      <c r="F92" s="38"/>
      <c r="G92" s="38"/>
      <c r="H92" s="38"/>
      <c r="I92" s="38"/>
      <c r="J92" s="38"/>
      <c r="K92" s="38"/>
      <c r="L92" s="38"/>
      <c r="M92" s="38"/>
      <c r="N92" s="39"/>
      <c r="O92" s="4"/>
      <c r="P92" s="223" t="s">
        <v>688</v>
      </c>
      <c r="Q92" s="38"/>
      <c r="R92" s="38"/>
      <c r="S92" s="38"/>
      <c r="T92" s="38"/>
      <c r="U92" s="38"/>
      <c r="V92" s="38"/>
      <c r="W92" s="38"/>
      <c r="X92" s="38"/>
      <c r="Y92" s="38"/>
      <c r="Z92" s="39"/>
      <c r="AA92" s="4"/>
      <c r="AB92" s="223" t="s">
        <v>684</v>
      </c>
      <c r="AC92" s="38"/>
      <c r="AD92" s="38"/>
      <c r="AE92" s="38"/>
      <c r="AF92" s="38"/>
      <c r="AG92" s="38"/>
      <c r="AH92" s="38"/>
      <c r="AI92" s="38"/>
      <c r="AJ92" s="38"/>
      <c r="AK92" s="38"/>
      <c r="AL92" s="39"/>
      <c r="AM92" s="4"/>
      <c r="AN92" s="4"/>
      <c r="AO92" s="4"/>
      <c r="AP92" s="4"/>
      <c r="AQ92" s="4"/>
      <c r="AR92" s="4"/>
      <c r="AS92" s="4"/>
      <c r="AT92" s="4"/>
    </row>
    <row r="93" ht="5.25" customHeight="1">
      <c r="A93" s="30"/>
      <c r="B93" s="30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</row>
    <row r="94">
      <c r="A94" s="30"/>
      <c r="B94" s="30"/>
      <c r="C94" s="4"/>
      <c r="D94" s="227"/>
      <c r="E94" s="14"/>
      <c r="F94" s="14"/>
      <c r="G94" s="14"/>
      <c r="H94" s="14"/>
      <c r="I94" s="14"/>
      <c r="J94" s="14"/>
      <c r="K94" s="14"/>
      <c r="L94" s="14"/>
      <c r="M94" s="14"/>
      <c r="N94" s="21"/>
      <c r="O94" s="4"/>
      <c r="P94" s="227"/>
      <c r="Q94" s="14"/>
      <c r="R94" s="14"/>
      <c r="S94" s="14"/>
      <c r="T94" s="14"/>
      <c r="U94" s="14"/>
      <c r="V94" s="14"/>
      <c r="W94" s="14"/>
      <c r="X94" s="14"/>
      <c r="Y94" s="14"/>
      <c r="Z94" s="21"/>
      <c r="AA94" s="4"/>
      <c r="AB94" s="227"/>
      <c r="AC94" s="14"/>
      <c r="AD94" s="14"/>
      <c r="AE94" s="14"/>
      <c r="AF94" s="14"/>
      <c r="AG94" s="14"/>
      <c r="AH94" s="14"/>
      <c r="AI94" s="14"/>
      <c r="AJ94" s="14"/>
      <c r="AK94" s="14"/>
      <c r="AL94" s="21"/>
      <c r="AM94" s="4"/>
      <c r="AN94" s="4"/>
      <c r="AO94" s="4"/>
      <c r="AP94" s="4"/>
      <c r="AQ94" s="4"/>
      <c r="AR94" s="4"/>
      <c r="AS94" s="4"/>
      <c r="AT94" s="4"/>
    </row>
    <row r="95">
      <c r="A95" s="30"/>
      <c r="B95" s="30"/>
      <c r="C95" s="4"/>
      <c r="D95" s="47"/>
      <c r="N95" s="49"/>
      <c r="O95" s="4"/>
      <c r="P95" s="47"/>
      <c r="Z95" s="49"/>
      <c r="AA95" s="4"/>
      <c r="AB95" s="47"/>
      <c r="AL95" s="49"/>
      <c r="AM95" s="4"/>
      <c r="AN95" s="4"/>
      <c r="AO95" s="4"/>
      <c r="AP95" s="4"/>
      <c r="AQ95" s="4"/>
      <c r="AR95" s="4"/>
      <c r="AS95" s="4"/>
      <c r="AT95" s="4"/>
    </row>
    <row r="96">
      <c r="A96" s="30"/>
      <c r="B96" s="30"/>
      <c r="C96" s="4"/>
      <c r="D96" s="47"/>
      <c r="N96" s="49"/>
      <c r="O96" s="4"/>
      <c r="P96" s="47"/>
      <c r="Z96" s="49"/>
      <c r="AA96" s="4"/>
      <c r="AB96" s="47"/>
      <c r="AL96" s="49"/>
      <c r="AM96" s="4"/>
      <c r="AN96" s="4"/>
      <c r="AO96" s="4"/>
      <c r="AP96" s="4"/>
      <c r="AQ96" s="4"/>
      <c r="AR96" s="4"/>
      <c r="AS96" s="4"/>
      <c r="AT96" s="4"/>
    </row>
    <row r="97">
      <c r="A97" s="30"/>
      <c r="B97" s="30"/>
      <c r="C97" s="4"/>
      <c r="D97" s="43"/>
      <c r="E97" s="26"/>
      <c r="F97" s="26"/>
      <c r="G97" s="26"/>
      <c r="H97" s="26"/>
      <c r="I97" s="26"/>
      <c r="J97" s="26"/>
      <c r="K97" s="26"/>
      <c r="L97" s="26"/>
      <c r="M97" s="26"/>
      <c r="N97" s="31"/>
      <c r="O97" s="4"/>
      <c r="P97" s="43"/>
      <c r="Q97" s="26"/>
      <c r="R97" s="26"/>
      <c r="S97" s="26"/>
      <c r="T97" s="26"/>
      <c r="U97" s="26"/>
      <c r="V97" s="26"/>
      <c r="W97" s="26"/>
      <c r="X97" s="26"/>
      <c r="Y97" s="26"/>
      <c r="Z97" s="31"/>
      <c r="AA97" s="4"/>
      <c r="AB97" s="43"/>
      <c r="AC97" s="26"/>
      <c r="AD97" s="26"/>
      <c r="AE97" s="26"/>
      <c r="AF97" s="26"/>
      <c r="AG97" s="26"/>
      <c r="AH97" s="26"/>
      <c r="AI97" s="26"/>
      <c r="AJ97" s="26"/>
      <c r="AK97" s="26"/>
      <c r="AL97" s="31"/>
      <c r="AM97" s="4"/>
      <c r="AN97" s="4"/>
      <c r="AO97" s="4"/>
      <c r="AP97" s="4"/>
      <c r="AQ97" s="4"/>
      <c r="AR97" s="4"/>
      <c r="AS97" s="4"/>
      <c r="AT97" s="4"/>
    </row>
    <row r="98" ht="5.25" customHeight="1">
      <c r="A98" s="30"/>
      <c r="B98" s="30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</row>
    <row r="99">
      <c r="A99" s="30"/>
      <c r="B99" s="30"/>
      <c r="C99" s="4"/>
      <c r="D99" s="223" t="s">
        <v>693</v>
      </c>
      <c r="E99" s="38"/>
      <c r="F99" s="38"/>
      <c r="G99" s="38"/>
      <c r="H99" s="38"/>
      <c r="I99" s="38"/>
      <c r="J99" s="38"/>
      <c r="K99" s="38"/>
      <c r="L99" s="38"/>
      <c r="M99" s="38"/>
      <c r="N99" s="39"/>
      <c r="O99" s="4"/>
      <c r="P99" s="223" t="s">
        <v>694</v>
      </c>
      <c r="Q99" s="38"/>
      <c r="R99" s="38"/>
      <c r="S99" s="38"/>
      <c r="T99" s="38"/>
      <c r="U99" s="38"/>
      <c r="V99" s="38"/>
      <c r="W99" s="38"/>
      <c r="X99" s="38"/>
      <c r="Y99" s="38"/>
      <c r="Z99" s="39"/>
      <c r="AA99" s="4"/>
      <c r="AB99" s="223" t="s">
        <v>684</v>
      </c>
      <c r="AC99" s="38"/>
      <c r="AD99" s="38"/>
      <c r="AE99" s="38"/>
      <c r="AF99" s="38"/>
      <c r="AG99" s="38"/>
      <c r="AH99" s="38"/>
      <c r="AI99" s="38"/>
      <c r="AJ99" s="38"/>
      <c r="AK99" s="38"/>
      <c r="AL99" s="39"/>
      <c r="AM99" s="4"/>
      <c r="AN99" s="4"/>
      <c r="AO99" s="4"/>
      <c r="AP99" s="4"/>
      <c r="AQ99" s="4"/>
      <c r="AR99" s="4"/>
      <c r="AS99" s="4"/>
      <c r="AT99" s="4"/>
    </row>
    <row r="100" ht="5.25" customHeight="1">
      <c r="A100" s="30"/>
      <c r="B100" s="30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</row>
    <row r="101">
      <c r="A101" s="30"/>
      <c r="B101" s="30"/>
      <c r="C101" s="4"/>
      <c r="D101" s="227"/>
      <c r="E101" s="14"/>
      <c r="F101" s="14"/>
      <c r="G101" s="14"/>
      <c r="H101" s="14"/>
      <c r="I101" s="14"/>
      <c r="J101" s="14"/>
      <c r="K101" s="14"/>
      <c r="L101" s="14"/>
      <c r="M101" s="14"/>
      <c r="N101" s="21"/>
      <c r="O101" s="4"/>
      <c r="P101" s="227"/>
      <c r="Q101" s="14"/>
      <c r="R101" s="14"/>
      <c r="S101" s="14"/>
      <c r="T101" s="14"/>
      <c r="U101" s="14"/>
      <c r="V101" s="14"/>
      <c r="W101" s="14"/>
      <c r="X101" s="14"/>
      <c r="Y101" s="14"/>
      <c r="Z101" s="21"/>
      <c r="AA101" s="4"/>
      <c r="AB101" s="227"/>
      <c r="AC101" s="14"/>
      <c r="AD101" s="14"/>
      <c r="AE101" s="14"/>
      <c r="AF101" s="14"/>
      <c r="AG101" s="14"/>
      <c r="AH101" s="14"/>
      <c r="AI101" s="14"/>
      <c r="AJ101" s="14"/>
      <c r="AK101" s="14"/>
      <c r="AL101" s="21"/>
      <c r="AM101" s="4"/>
      <c r="AN101" s="4"/>
      <c r="AO101" s="4"/>
      <c r="AP101" s="4"/>
      <c r="AQ101" s="4"/>
      <c r="AR101" s="4"/>
      <c r="AS101" s="4"/>
      <c r="AT101" s="4"/>
    </row>
    <row r="102">
      <c r="A102" s="30"/>
      <c r="B102" s="30"/>
      <c r="C102" s="4"/>
      <c r="D102" s="47"/>
      <c r="N102" s="49"/>
      <c r="O102" s="4"/>
      <c r="P102" s="47"/>
      <c r="Z102" s="49"/>
      <c r="AA102" s="4"/>
      <c r="AB102" s="47"/>
      <c r="AL102" s="49"/>
      <c r="AM102" s="4"/>
      <c r="AN102" s="4"/>
      <c r="AO102" s="4"/>
      <c r="AP102" s="4"/>
      <c r="AQ102" s="4"/>
      <c r="AR102" s="4"/>
      <c r="AS102" s="4"/>
      <c r="AT102" s="4"/>
    </row>
    <row r="103">
      <c r="A103" s="30"/>
      <c r="B103" s="30"/>
      <c r="C103" s="4"/>
      <c r="D103" s="47"/>
      <c r="N103" s="49"/>
      <c r="O103" s="4"/>
      <c r="P103" s="47"/>
      <c r="Z103" s="49"/>
      <c r="AA103" s="4"/>
      <c r="AB103" s="47"/>
      <c r="AL103" s="49"/>
      <c r="AM103" s="4"/>
      <c r="AN103" s="4"/>
      <c r="AO103" s="4"/>
      <c r="AP103" s="4"/>
      <c r="AQ103" s="4"/>
      <c r="AR103" s="4"/>
      <c r="AS103" s="4"/>
      <c r="AT103" s="4"/>
    </row>
    <row r="104">
      <c r="A104" s="30"/>
      <c r="B104" s="30"/>
      <c r="C104" s="4"/>
      <c r="D104" s="43"/>
      <c r="E104" s="26"/>
      <c r="F104" s="26"/>
      <c r="G104" s="26"/>
      <c r="H104" s="26"/>
      <c r="I104" s="26"/>
      <c r="J104" s="26"/>
      <c r="K104" s="26"/>
      <c r="L104" s="26"/>
      <c r="M104" s="26"/>
      <c r="N104" s="31"/>
      <c r="O104" s="4"/>
      <c r="P104" s="43"/>
      <c r="Q104" s="26"/>
      <c r="R104" s="26"/>
      <c r="S104" s="26"/>
      <c r="T104" s="26"/>
      <c r="U104" s="26"/>
      <c r="V104" s="26"/>
      <c r="W104" s="26"/>
      <c r="X104" s="26"/>
      <c r="Y104" s="26"/>
      <c r="Z104" s="31"/>
      <c r="AA104" s="4"/>
      <c r="AB104" s="43"/>
      <c r="AC104" s="26"/>
      <c r="AD104" s="26"/>
      <c r="AE104" s="26"/>
      <c r="AF104" s="26"/>
      <c r="AG104" s="26"/>
      <c r="AH104" s="26"/>
      <c r="AI104" s="26"/>
      <c r="AJ104" s="26"/>
      <c r="AK104" s="26"/>
      <c r="AL104" s="31"/>
      <c r="AM104" s="4"/>
      <c r="AN104" s="4"/>
      <c r="AO104" s="4"/>
      <c r="AP104" s="4"/>
      <c r="AQ104" s="4"/>
      <c r="AR104" s="4"/>
      <c r="AS104" s="4"/>
      <c r="AT104" s="4"/>
    </row>
    <row r="105" ht="5.25" customHeight="1">
      <c r="A105" s="30"/>
      <c r="B105" s="30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</row>
    <row r="106">
      <c r="A106" s="30"/>
      <c r="B106" s="30"/>
      <c r="C106" s="4"/>
      <c r="D106" s="223" t="s">
        <v>693</v>
      </c>
      <c r="E106" s="38"/>
      <c r="F106" s="38"/>
      <c r="G106" s="38"/>
      <c r="H106" s="38"/>
      <c r="I106" s="38"/>
      <c r="J106" s="38"/>
      <c r="K106" s="38"/>
      <c r="L106" s="38"/>
      <c r="M106" s="38"/>
      <c r="N106" s="39"/>
      <c r="O106" s="4"/>
      <c r="P106" s="223" t="s">
        <v>694</v>
      </c>
      <c r="Q106" s="38"/>
      <c r="R106" s="38"/>
      <c r="S106" s="38"/>
      <c r="T106" s="38"/>
      <c r="U106" s="38"/>
      <c r="V106" s="38"/>
      <c r="W106" s="38"/>
      <c r="X106" s="38"/>
      <c r="Y106" s="38"/>
      <c r="Z106" s="39"/>
      <c r="AA106" s="4"/>
      <c r="AB106" s="223" t="s">
        <v>684</v>
      </c>
      <c r="AC106" s="38"/>
      <c r="AD106" s="38"/>
      <c r="AE106" s="38"/>
      <c r="AF106" s="38"/>
      <c r="AG106" s="38"/>
      <c r="AH106" s="38"/>
      <c r="AI106" s="38"/>
      <c r="AJ106" s="38"/>
      <c r="AK106" s="38"/>
      <c r="AL106" s="39"/>
      <c r="AM106" s="4"/>
      <c r="AN106" s="4"/>
      <c r="AO106" s="4"/>
      <c r="AP106" s="4"/>
      <c r="AQ106" s="4"/>
      <c r="AR106" s="4"/>
      <c r="AS106" s="4"/>
      <c r="AT106" s="4"/>
    </row>
    <row r="107" ht="5.25" customHeight="1">
      <c r="A107" s="30"/>
      <c r="B107" s="30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</row>
    <row r="108">
      <c r="A108" s="30"/>
      <c r="B108" s="30"/>
      <c r="C108" s="4"/>
      <c r="D108" s="227"/>
      <c r="E108" s="14"/>
      <c r="F108" s="14"/>
      <c r="G108" s="14"/>
      <c r="H108" s="14"/>
      <c r="I108" s="14"/>
      <c r="J108" s="14"/>
      <c r="K108" s="14"/>
      <c r="L108" s="14"/>
      <c r="M108" s="14"/>
      <c r="N108" s="21"/>
      <c r="O108" s="4"/>
      <c r="P108" s="227"/>
      <c r="Q108" s="14"/>
      <c r="R108" s="14"/>
      <c r="S108" s="14"/>
      <c r="T108" s="14"/>
      <c r="U108" s="14"/>
      <c r="V108" s="14"/>
      <c r="W108" s="14"/>
      <c r="X108" s="14"/>
      <c r="Y108" s="14"/>
      <c r="Z108" s="21"/>
      <c r="AA108" s="4"/>
      <c r="AB108" s="227"/>
      <c r="AC108" s="14"/>
      <c r="AD108" s="14"/>
      <c r="AE108" s="14"/>
      <c r="AF108" s="14"/>
      <c r="AG108" s="14"/>
      <c r="AH108" s="14"/>
      <c r="AI108" s="14"/>
      <c r="AJ108" s="14"/>
      <c r="AK108" s="14"/>
      <c r="AL108" s="21"/>
      <c r="AM108" s="4"/>
      <c r="AN108" s="4"/>
      <c r="AO108" s="4"/>
      <c r="AP108" s="4"/>
      <c r="AQ108" s="4"/>
      <c r="AR108" s="4"/>
      <c r="AS108" s="4"/>
      <c r="AT108" s="4"/>
    </row>
    <row r="109">
      <c r="A109" s="30"/>
      <c r="B109" s="30"/>
      <c r="C109" s="4"/>
      <c r="D109" s="47"/>
      <c r="N109" s="49"/>
      <c r="O109" s="4"/>
      <c r="P109" s="47"/>
      <c r="Z109" s="49"/>
      <c r="AA109" s="4"/>
      <c r="AB109" s="47"/>
      <c r="AL109" s="49"/>
      <c r="AM109" s="4"/>
      <c r="AN109" s="4"/>
      <c r="AO109" s="4"/>
      <c r="AP109" s="4"/>
      <c r="AQ109" s="4"/>
      <c r="AR109" s="4"/>
      <c r="AS109" s="4"/>
      <c r="AT109" s="4"/>
    </row>
    <row r="110">
      <c r="A110" s="30"/>
      <c r="B110" s="30"/>
      <c r="C110" s="4"/>
      <c r="D110" s="47"/>
      <c r="N110" s="49"/>
      <c r="O110" s="4"/>
      <c r="P110" s="47"/>
      <c r="Z110" s="49"/>
      <c r="AA110" s="4"/>
      <c r="AB110" s="47"/>
      <c r="AL110" s="49"/>
      <c r="AM110" s="4"/>
      <c r="AN110" s="4"/>
      <c r="AO110" s="4"/>
      <c r="AP110" s="4"/>
      <c r="AQ110" s="4"/>
      <c r="AR110" s="4"/>
      <c r="AS110" s="4"/>
      <c r="AT110" s="4"/>
    </row>
    <row r="111">
      <c r="A111" s="30"/>
      <c r="B111" s="30"/>
      <c r="C111" s="4"/>
      <c r="D111" s="43"/>
      <c r="E111" s="26"/>
      <c r="F111" s="26"/>
      <c r="G111" s="26"/>
      <c r="H111" s="26"/>
      <c r="I111" s="26"/>
      <c r="J111" s="26"/>
      <c r="K111" s="26"/>
      <c r="L111" s="26"/>
      <c r="M111" s="26"/>
      <c r="N111" s="31"/>
      <c r="O111" s="4"/>
      <c r="P111" s="43"/>
      <c r="Q111" s="26"/>
      <c r="R111" s="26"/>
      <c r="S111" s="26"/>
      <c r="T111" s="26"/>
      <c r="U111" s="26"/>
      <c r="V111" s="26"/>
      <c r="W111" s="26"/>
      <c r="X111" s="26"/>
      <c r="Y111" s="26"/>
      <c r="Z111" s="31"/>
      <c r="AA111" s="4"/>
      <c r="AB111" s="43"/>
      <c r="AC111" s="26"/>
      <c r="AD111" s="26"/>
      <c r="AE111" s="26"/>
      <c r="AF111" s="26"/>
      <c r="AG111" s="26"/>
      <c r="AH111" s="26"/>
      <c r="AI111" s="26"/>
      <c r="AJ111" s="26"/>
      <c r="AK111" s="26"/>
      <c r="AL111" s="31"/>
      <c r="AM111" s="4"/>
      <c r="AN111" s="4"/>
      <c r="AO111" s="4"/>
      <c r="AP111" s="4"/>
      <c r="AQ111" s="4"/>
      <c r="AR111" s="4"/>
      <c r="AS111" s="4"/>
      <c r="AT111" s="4"/>
    </row>
    <row r="112">
      <c r="A112" s="30"/>
      <c r="B112" s="30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</row>
    <row r="113" ht="27.0" customHeight="1">
      <c r="A113" s="30"/>
      <c r="B113" s="30"/>
      <c r="C113" s="4"/>
      <c r="D113" s="103">
        <v>8.0</v>
      </c>
      <c r="E113" s="14"/>
      <c r="F113" s="21"/>
      <c r="G113" s="161" t="s">
        <v>695</v>
      </c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9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</row>
    <row r="114">
      <c r="A114" s="30"/>
      <c r="B114" s="30"/>
      <c r="C114" s="4"/>
      <c r="D114" s="43"/>
      <c r="E114" s="26"/>
      <c r="F114" s="31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</row>
    <row r="115" ht="4.5" customHeight="1">
      <c r="A115" s="30"/>
      <c r="B115" s="30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</row>
    <row r="116">
      <c r="A116" s="30"/>
      <c r="B116" s="30"/>
      <c r="C116" s="4"/>
      <c r="D116" s="223" t="s">
        <v>696</v>
      </c>
      <c r="E116" s="39"/>
      <c r="F116" s="223" t="str">
        <f>"Feitiços - Disponível: " &amp; (D54 - COUNTIF(D118:D136,"&gt;0") - SUM(V133:W136,AD133:AE136)) &amp; " - Conhecidos (Total): " &amp; D54 &amp; " - Classe 0: " &amp; (AK54 - COUNTIFS(D118:D136,0,F118:F136,"&lt;&gt;")) &amp; "/" &amp; AK54</f>
        <v>Feitiços - Disponível: 3 - Conhecidos (Total): 3 - Classe 0: 2/2</v>
      </c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9"/>
      <c r="U116" s="231"/>
      <c r="V116" s="223" t="str">
        <f>if(X11 = "Restrição Celestial","Refino ou Lapidação Atual: " &amp; O54+0 &amp; "/10","Refino Atual: " &amp; O54+0 &amp; "/10")</f>
        <v>Refino Atual: 1/10</v>
      </c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9"/>
      <c r="AM116" s="4"/>
      <c r="AN116" s="4"/>
      <c r="AO116" s="4"/>
      <c r="AP116" s="4"/>
      <c r="AQ116" s="4"/>
      <c r="AR116" s="4"/>
      <c r="AS116" s="4"/>
      <c r="AT116" s="4"/>
    </row>
    <row r="117" ht="5.25" customHeight="1">
      <c r="A117" s="30"/>
      <c r="B117" s="30"/>
      <c r="C117" s="4"/>
      <c r="D117" s="231"/>
      <c r="E117" s="231"/>
      <c r="F117" s="231"/>
      <c r="G117" s="231"/>
      <c r="H117" s="231"/>
      <c r="I117" s="231"/>
      <c r="J117" s="231"/>
      <c r="K117" s="231"/>
      <c r="L117" s="231"/>
      <c r="M117" s="231"/>
      <c r="N117" s="231"/>
      <c r="O117" s="231"/>
      <c r="P117" s="231"/>
      <c r="Q117" s="231"/>
      <c r="R117" s="231"/>
      <c r="S117" s="231"/>
      <c r="T117" s="231"/>
      <c r="U117" s="231"/>
      <c r="V117" s="231"/>
      <c r="W117" s="231"/>
      <c r="X117" s="231"/>
      <c r="Y117" s="231"/>
      <c r="Z117" s="231"/>
      <c r="AA117" s="231"/>
      <c r="AB117" s="231"/>
      <c r="AC117" s="231"/>
      <c r="AD117" s="231"/>
      <c r="AE117" s="231"/>
      <c r="AF117" s="231"/>
      <c r="AG117" s="231"/>
      <c r="AH117" s="231"/>
      <c r="AI117" s="231"/>
      <c r="AJ117" s="231"/>
      <c r="AK117" s="231"/>
      <c r="AL117" s="231"/>
      <c r="AM117" s="4"/>
      <c r="AN117" s="4"/>
      <c r="AO117" s="4"/>
      <c r="AP117" s="4"/>
      <c r="AQ117" s="4"/>
      <c r="AR117" s="4"/>
      <c r="AS117" s="4"/>
      <c r="AT117" s="4"/>
    </row>
    <row r="118">
      <c r="A118" s="30"/>
      <c r="B118" s="30"/>
      <c r="C118" s="4"/>
      <c r="D118" s="232">
        <v>0.0</v>
      </c>
      <c r="E118" s="39"/>
      <c r="F118" s="93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9"/>
      <c r="U118" s="231"/>
      <c r="V118" s="93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9"/>
      <c r="AM118" s="4"/>
      <c r="AN118" s="4"/>
      <c r="AO118" s="4"/>
      <c r="AP118" s="4"/>
      <c r="AQ118" s="4"/>
      <c r="AR118" s="4"/>
      <c r="AS118" s="4"/>
      <c r="AT118" s="4"/>
    </row>
    <row r="119">
      <c r="A119" s="30"/>
      <c r="B119" s="30"/>
      <c r="C119" s="4"/>
      <c r="D119" s="232">
        <v>0.0</v>
      </c>
      <c r="E119" s="39"/>
      <c r="F119" s="93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9"/>
      <c r="U119" s="231"/>
      <c r="V119" s="93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9"/>
      <c r="AM119" s="4"/>
      <c r="AN119" s="4"/>
      <c r="AO119" s="4"/>
      <c r="AP119" s="4"/>
      <c r="AQ119" s="4"/>
      <c r="AR119" s="4"/>
      <c r="AS119" s="4"/>
      <c r="AT119" s="4"/>
    </row>
    <row r="120">
      <c r="A120" s="30"/>
      <c r="B120" s="30"/>
      <c r="C120" s="4"/>
      <c r="D120" s="232">
        <v>0.0</v>
      </c>
      <c r="E120" s="39"/>
      <c r="F120" s="93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9"/>
      <c r="U120" s="231"/>
      <c r="V120" s="93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9"/>
      <c r="AM120" s="4"/>
      <c r="AN120" s="4"/>
      <c r="AO120" s="4"/>
      <c r="AP120" s="4"/>
      <c r="AQ120" s="4"/>
      <c r="AR120" s="4"/>
      <c r="AS120" s="4"/>
      <c r="AT120" s="4"/>
    </row>
    <row r="121">
      <c r="A121" s="30"/>
      <c r="B121" s="30"/>
      <c r="C121" s="4"/>
      <c r="D121" s="232">
        <v>0.0</v>
      </c>
      <c r="E121" s="39"/>
      <c r="F121" s="93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9"/>
      <c r="U121" s="231"/>
      <c r="V121" s="93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9"/>
      <c r="AM121" s="4"/>
      <c r="AN121" s="4"/>
      <c r="AO121" s="4"/>
      <c r="AP121" s="4"/>
      <c r="AQ121" s="4"/>
      <c r="AR121" s="4"/>
      <c r="AS121" s="4"/>
      <c r="AT121" s="4"/>
    </row>
    <row r="122">
      <c r="A122" s="30"/>
      <c r="B122" s="30"/>
      <c r="C122" s="4"/>
      <c r="D122" s="232">
        <v>0.0</v>
      </c>
      <c r="E122" s="39"/>
      <c r="F122" s="93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9"/>
      <c r="U122" s="231"/>
      <c r="V122" s="93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38"/>
      <c r="AI122" s="38"/>
      <c r="AJ122" s="38"/>
      <c r="AK122" s="38"/>
      <c r="AL122" s="39"/>
      <c r="AM122" s="4"/>
      <c r="AN122" s="4"/>
      <c r="AO122" s="4"/>
      <c r="AP122" s="4"/>
      <c r="AQ122" s="4"/>
      <c r="AR122" s="4"/>
      <c r="AS122" s="4"/>
      <c r="AT122" s="4"/>
    </row>
    <row r="123">
      <c r="A123" s="30"/>
      <c r="B123" s="30"/>
      <c r="C123" s="4"/>
      <c r="D123" s="232">
        <v>0.0</v>
      </c>
      <c r="E123" s="39"/>
      <c r="F123" s="93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9"/>
      <c r="U123" s="231"/>
      <c r="V123" s="93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9"/>
      <c r="AM123" s="4"/>
      <c r="AN123" s="4"/>
      <c r="AO123" s="4"/>
      <c r="AP123" s="4"/>
      <c r="AQ123" s="4"/>
      <c r="AR123" s="4"/>
      <c r="AS123" s="4"/>
      <c r="AT123" s="4"/>
    </row>
    <row r="124">
      <c r="A124" s="30"/>
      <c r="B124" s="30"/>
      <c r="C124" s="4"/>
      <c r="D124" s="232">
        <v>0.0</v>
      </c>
      <c r="E124" s="39"/>
      <c r="F124" s="93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9"/>
      <c r="U124" s="231"/>
      <c r="V124" s="93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38"/>
      <c r="AI124" s="38"/>
      <c r="AJ124" s="38"/>
      <c r="AK124" s="38"/>
      <c r="AL124" s="39"/>
      <c r="AM124" s="4"/>
      <c r="AN124" s="4"/>
      <c r="AO124" s="4"/>
      <c r="AP124" s="4"/>
      <c r="AQ124" s="4"/>
      <c r="AR124" s="4"/>
      <c r="AS124" s="4"/>
      <c r="AT124" s="4"/>
    </row>
    <row r="125">
      <c r="A125" s="30"/>
      <c r="B125" s="30"/>
      <c r="C125" s="4"/>
      <c r="D125" s="232">
        <v>0.0</v>
      </c>
      <c r="E125" s="39"/>
      <c r="F125" s="93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9"/>
      <c r="U125" s="231"/>
      <c r="V125" s="93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9"/>
      <c r="AM125" s="4"/>
      <c r="AN125" s="4"/>
      <c r="AO125" s="4"/>
      <c r="AP125" s="4"/>
      <c r="AQ125" s="4"/>
      <c r="AR125" s="4"/>
      <c r="AS125" s="4"/>
      <c r="AT125" s="4"/>
    </row>
    <row r="126">
      <c r="A126" s="30"/>
      <c r="B126" s="30"/>
      <c r="C126" s="4"/>
      <c r="D126" s="232">
        <v>0.0</v>
      </c>
      <c r="E126" s="39"/>
      <c r="F126" s="93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9"/>
      <c r="U126" s="231"/>
      <c r="V126" s="93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38"/>
      <c r="AI126" s="38"/>
      <c r="AJ126" s="38"/>
      <c r="AK126" s="38"/>
      <c r="AL126" s="39"/>
      <c r="AM126" s="4"/>
      <c r="AN126" s="4"/>
      <c r="AO126" s="4"/>
      <c r="AP126" s="4"/>
      <c r="AQ126" s="4"/>
      <c r="AR126" s="4"/>
      <c r="AS126" s="4"/>
      <c r="AT126" s="4"/>
    </row>
    <row r="127">
      <c r="A127" s="30"/>
      <c r="B127" s="30"/>
      <c r="C127" s="4"/>
      <c r="D127" s="232">
        <v>0.0</v>
      </c>
      <c r="E127" s="39"/>
      <c r="F127" s="93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9"/>
      <c r="U127" s="231"/>
      <c r="V127" s="93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9"/>
      <c r="AM127" s="4"/>
      <c r="AN127" s="4"/>
      <c r="AO127" s="4"/>
      <c r="AP127" s="4"/>
      <c r="AQ127" s="4"/>
      <c r="AR127" s="4"/>
      <c r="AS127" s="4"/>
      <c r="AT127" s="4"/>
    </row>
    <row r="128">
      <c r="A128" s="30"/>
      <c r="B128" s="30"/>
      <c r="C128" s="4"/>
      <c r="D128" s="232">
        <v>0.0</v>
      </c>
      <c r="E128" s="39"/>
      <c r="F128" s="93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9"/>
      <c r="U128" s="231"/>
      <c r="V128" s="93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  <c r="AL128" s="39"/>
      <c r="AM128" s="4"/>
      <c r="AN128" s="4"/>
      <c r="AO128" s="4"/>
      <c r="AP128" s="4"/>
      <c r="AQ128" s="4"/>
      <c r="AR128" s="4"/>
      <c r="AS128" s="4"/>
      <c r="AT128" s="4"/>
    </row>
    <row r="129">
      <c r="A129" s="30"/>
      <c r="B129" s="30"/>
      <c r="C129" s="4"/>
      <c r="D129" s="232">
        <v>0.0</v>
      </c>
      <c r="E129" s="39"/>
      <c r="F129" s="93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9"/>
      <c r="U129" s="231"/>
      <c r="V129" s="93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  <c r="AL129" s="39"/>
      <c r="AM129" s="4"/>
      <c r="AN129" s="4"/>
      <c r="AO129" s="4"/>
      <c r="AP129" s="4"/>
      <c r="AQ129" s="4"/>
      <c r="AR129" s="4"/>
      <c r="AS129" s="4"/>
      <c r="AT129" s="4"/>
    </row>
    <row r="130">
      <c r="A130" s="30"/>
      <c r="B130" s="30"/>
      <c r="C130" s="4"/>
      <c r="D130" s="232">
        <v>0.0</v>
      </c>
      <c r="E130" s="39"/>
      <c r="F130" s="93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9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</row>
    <row r="131">
      <c r="A131" s="30"/>
      <c r="B131" s="30"/>
      <c r="C131" s="4"/>
      <c r="D131" s="232">
        <v>0.0</v>
      </c>
      <c r="E131" s="39"/>
      <c r="F131" s="93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9"/>
      <c r="U131" s="4"/>
      <c r="V131" s="223" t="s">
        <v>696</v>
      </c>
      <c r="W131" s="39"/>
      <c r="X131" s="223" t="str">
        <f>"Passivas - Regras"</f>
        <v>Passivas - Regras</v>
      </c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  <c r="AI131" s="38"/>
      <c r="AJ131" s="38"/>
      <c r="AK131" s="38"/>
      <c r="AL131" s="39"/>
      <c r="AM131" s="4"/>
      <c r="AN131" s="4"/>
      <c r="AO131" s="4"/>
      <c r="AP131" s="4"/>
      <c r="AQ131" s="4"/>
      <c r="AR131" s="4"/>
      <c r="AS131" s="4"/>
      <c r="AT131" s="4"/>
    </row>
    <row r="132">
      <c r="A132" s="30"/>
      <c r="B132" s="30"/>
      <c r="C132" s="4"/>
      <c r="D132" s="232">
        <v>0.0</v>
      </c>
      <c r="E132" s="39"/>
      <c r="F132" s="93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9"/>
      <c r="U132" s="4"/>
      <c r="V132" s="231"/>
      <c r="W132" s="231"/>
      <c r="X132" s="231"/>
      <c r="Y132" s="231"/>
      <c r="Z132" s="231"/>
      <c r="AA132" s="231"/>
      <c r="AB132" s="231"/>
      <c r="AC132" s="231"/>
      <c r="AD132" s="231"/>
      <c r="AE132" s="231"/>
      <c r="AF132" s="231"/>
      <c r="AG132" s="231"/>
      <c r="AH132" s="231"/>
      <c r="AI132" s="231"/>
      <c r="AJ132" s="231"/>
      <c r="AK132" s="231"/>
      <c r="AL132" s="231"/>
      <c r="AM132" s="4"/>
      <c r="AN132" s="4"/>
      <c r="AO132" s="4"/>
      <c r="AP132" s="4"/>
      <c r="AQ132" s="4"/>
      <c r="AR132" s="4"/>
      <c r="AS132" s="4"/>
      <c r="AT132" s="4"/>
    </row>
    <row r="133">
      <c r="A133" s="30"/>
      <c r="B133" s="30"/>
      <c r="C133" s="4"/>
      <c r="D133" s="232">
        <v>0.0</v>
      </c>
      <c r="E133" s="39"/>
      <c r="F133" s="93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9"/>
      <c r="U133" s="4"/>
      <c r="V133" s="232">
        <v>0.0</v>
      </c>
      <c r="W133" s="39"/>
      <c r="X133" s="93"/>
      <c r="Y133" s="38"/>
      <c r="Z133" s="38"/>
      <c r="AA133" s="38"/>
      <c r="AB133" s="38"/>
      <c r="AC133" s="39"/>
      <c r="AD133" s="232">
        <v>0.0</v>
      </c>
      <c r="AE133" s="39"/>
      <c r="AF133" s="93"/>
      <c r="AG133" s="38"/>
      <c r="AH133" s="38"/>
      <c r="AI133" s="38"/>
      <c r="AJ133" s="38"/>
      <c r="AK133" s="38"/>
      <c r="AL133" s="39"/>
      <c r="AM133" s="4"/>
      <c r="AN133" s="4"/>
      <c r="AO133" s="4"/>
      <c r="AP133" s="4"/>
      <c r="AQ133" s="4"/>
      <c r="AR133" s="4"/>
      <c r="AS133" s="4"/>
      <c r="AT133" s="4"/>
    </row>
    <row r="134">
      <c r="A134" s="30"/>
      <c r="B134" s="30"/>
      <c r="C134" s="4"/>
      <c r="D134" s="232">
        <v>0.0</v>
      </c>
      <c r="E134" s="39"/>
      <c r="F134" s="93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9"/>
      <c r="U134" s="4"/>
      <c r="V134" s="232">
        <v>0.0</v>
      </c>
      <c r="W134" s="39"/>
      <c r="X134" s="93"/>
      <c r="Y134" s="38"/>
      <c r="Z134" s="38"/>
      <c r="AA134" s="38"/>
      <c r="AB134" s="38"/>
      <c r="AC134" s="39"/>
      <c r="AD134" s="232">
        <v>0.0</v>
      </c>
      <c r="AE134" s="39"/>
      <c r="AF134" s="93"/>
      <c r="AG134" s="38"/>
      <c r="AH134" s="38"/>
      <c r="AI134" s="38"/>
      <c r="AJ134" s="38"/>
      <c r="AK134" s="38"/>
      <c r="AL134" s="39"/>
      <c r="AM134" s="4"/>
      <c r="AN134" s="4"/>
      <c r="AO134" s="4"/>
      <c r="AP134" s="4"/>
      <c r="AQ134" s="4"/>
      <c r="AR134" s="4"/>
      <c r="AS134" s="4"/>
      <c r="AT134" s="4"/>
    </row>
    <row r="135">
      <c r="A135" s="30"/>
      <c r="B135" s="30"/>
      <c r="C135" s="4"/>
      <c r="D135" s="232">
        <v>0.0</v>
      </c>
      <c r="E135" s="39"/>
      <c r="F135" s="93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9"/>
      <c r="U135" s="4"/>
      <c r="V135" s="232">
        <v>0.0</v>
      </c>
      <c r="W135" s="39"/>
      <c r="X135" s="93"/>
      <c r="Y135" s="38"/>
      <c r="Z135" s="38"/>
      <c r="AA135" s="38"/>
      <c r="AB135" s="38"/>
      <c r="AC135" s="39"/>
      <c r="AD135" s="232">
        <v>0.0</v>
      </c>
      <c r="AE135" s="39"/>
      <c r="AF135" s="93"/>
      <c r="AG135" s="38"/>
      <c r="AH135" s="38"/>
      <c r="AI135" s="38"/>
      <c r="AJ135" s="38"/>
      <c r="AK135" s="38"/>
      <c r="AL135" s="39"/>
      <c r="AM135" s="4"/>
      <c r="AN135" s="4"/>
      <c r="AO135" s="4"/>
      <c r="AP135" s="4"/>
      <c r="AQ135" s="4"/>
      <c r="AR135" s="4"/>
      <c r="AS135" s="4"/>
      <c r="AT135" s="4"/>
    </row>
    <row r="136">
      <c r="A136" s="30"/>
      <c r="B136" s="30"/>
      <c r="C136" s="4"/>
      <c r="D136" s="232">
        <v>0.0</v>
      </c>
      <c r="E136" s="39"/>
      <c r="F136" s="93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9"/>
      <c r="U136" s="4"/>
      <c r="V136" s="232">
        <v>0.0</v>
      </c>
      <c r="W136" s="39"/>
      <c r="X136" s="93"/>
      <c r="Y136" s="38"/>
      <c r="Z136" s="38"/>
      <c r="AA136" s="38"/>
      <c r="AB136" s="38"/>
      <c r="AC136" s="39"/>
      <c r="AD136" s="232">
        <v>0.0</v>
      </c>
      <c r="AE136" s="39"/>
      <c r="AF136" s="93"/>
      <c r="AG136" s="38"/>
      <c r="AH136" s="38"/>
      <c r="AI136" s="38"/>
      <c r="AJ136" s="38"/>
      <c r="AK136" s="38"/>
      <c r="AL136" s="39"/>
      <c r="AM136" s="4"/>
      <c r="AN136" s="4"/>
      <c r="AO136" s="4"/>
      <c r="AP136" s="4"/>
      <c r="AQ136" s="4"/>
      <c r="AR136" s="4"/>
      <c r="AS136" s="4"/>
      <c r="AT136" s="4"/>
    </row>
    <row r="137">
      <c r="A137" s="30"/>
      <c r="B137" s="30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</row>
    <row r="138">
      <c r="A138" s="30"/>
      <c r="B138" s="30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</row>
  </sheetData>
  <mergeCells count="314">
    <mergeCell ref="D8:F9"/>
    <mergeCell ref="G8:X8"/>
    <mergeCell ref="D10:L10"/>
    <mergeCell ref="N10:V10"/>
    <mergeCell ref="X10:AF10"/>
    <mergeCell ref="AH10:AL10"/>
    <mergeCell ref="AN10:AT10"/>
    <mergeCell ref="D11:L11"/>
    <mergeCell ref="N11:V11"/>
    <mergeCell ref="X11:AF11"/>
    <mergeCell ref="AH11:AL11"/>
    <mergeCell ref="AN11:AT11"/>
    <mergeCell ref="D14:F15"/>
    <mergeCell ref="G14:X14"/>
    <mergeCell ref="D16:J16"/>
    <mergeCell ref="L16:R16"/>
    <mergeCell ref="T16:Z16"/>
    <mergeCell ref="AB16:AH16"/>
    <mergeCell ref="AJ16:AP16"/>
    <mergeCell ref="D17:J18"/>
    <mergeCell ref="L17:R18"/>
    <mergeCell ref="T17:Z18"/>
    <mergeCell ref="AB17:AH18"/>
    <mergeCell ref="AJ17:AP18"/>
    <mergeCell ref="D19:J19"/>
    <mergeCell ref="L19:R19"/>
    <mergeCell ref="T19:Z19"/>
    <mergeCell ref="AB19:AH19"/>
    <mergeCell ref="A8:B26"/>
    <mergeCell ref="D23:H24"/>
    <mergeCell ref="J23:N24"/>
    <mergeCell ref="P23:AD24"/>
    <mergeCell ref="AM22:AR22"/>
    <mergeCell ref="AM23:AR23"/>
    <mergeCell ref="AF23:AK23"/>
    <mergeCell ref="AF26:AK26"/>
    <mergeCell ref="D37:F38"/>
    <mergeCell ref="D39:M39"/>
    <mergeCell ref="D40:M40"/>
    <mergeCell ref="D43:M43"/>
    <mergeCell ref="D44:M44"/>
    <mergeCell ref="D47:M47"/>
    <mergeCell ref="D26:N26"/>
    <mergeCell ref="D27:H28"/>
    <mergeCell ref="J27:N28"/>
    <mergeCell ref="A30:B48"/>
    <mergeCell ref="D30:N30"/>
    <mergeCell ref="D31:H32"/>
    <mergeCell ref="J31:N32"/>
    <mergeCell ref="D48:M48"/>
    <mergeCell ref="AJ19:AP19"/>
    <mergeCell ref="D22:N22"/>
    <mergeCell ref="AF22:AK22"/>
    <mergeCell ref="P27:AD28"/>
    <mergeCell ref="AF27:AK27"/>
    <mergeCell ref="AM27:AR27"/>
    <mergeCell ref="AF30:AK30"/>
    <mergeCell ref="AM30:AR30"/>
    <mergeCell ref="P31:AD32"/>
    <mergeCell ref="AF31:AK31"/>
    <mergeCell ref="Z36:AI36"/>
    <mergeCell ref="G37:X37"/>
    <mergeCell ref="Z37:AI37"/>
    <mergeCell ref="O39:X39"/>
    <mergeCell ref="Z39:AI39"/>
    <mergeCell ref="AK39:AT39"/>
    <mergeCell ref="O40:X40"/>
    <mergeCell ref="Z40:AI40"/>
    <mergeCell ref="AK40:AT40"/>
    <mergeCell ref="O43:X43"/>
    <mergeCell ref="Z43:AI43"/>
    <mergeCell ref="AK43:AT43"/>
    <mergeCell ref="O44:X44"/>
    <mergeCell ref="Z44:AI44"/>
    <mergeCell ref="AK44:AT44"/>
    <mergeCell ref="O47:X47"/>
    <mergeCell ref="Z47:AI47"/>
    <mergeCell ref="AK47:AT47"/>
    <mergeCell ref="O48:X48"/>
    <mergeCell ref="Z48:AI48"/>
    <mergeCell ref="AK48:AT48"/>
    <mergeCell ref="AE50:AO50"/>
    <mergeCell ref="D51:F52"/>
    <mergeCell ref="G51:X51"/>
    <mergeCell ref="AE51:AO51"/>
    <mergeCell ref="D53:M53"/>
    <mergeCell ref="O53:X53"/>
    <mergeCell ref="Z53:AI53"/>
    <mergeCell ref="AK53:AT53"/>
    <mergeCell ref="D54:M54"/>
    <mergeCell ref="O54:X54"/>
    <mergeCell ref="Z54:AI54"/>
    <mergeCell ref="AK54:AT54"/>
    <mergeCell ref="D57:F58"/>
    <mergeCell ref="G57:AD57"/>
    <mergeCell ref="V59:AC59"/>
    <mergeCell ref="AD59:AE59"/>
    <mergeCell ref="AF59:AG59"/>
    <mergeCell ref="AK59:AT59"/>
    <mergeCell ref="F60:M60"/>
    <mergeCell ref="N60:O60"/>
    <mergeCell ref="P60:Q60"/>
    <mergeCell ref="V60:AC60"/>
    <mergeCell ref="AD60:AE60"/>
    <mergeCell ref="AF60:AG60"/>
    <mergeCell ref="AK60:AT61"/>
    <mergeCell ref="F61:M61"/>
    <mergeCell ref="N61:O61"/>
    <mergeCell ref="P61:Q61"/>
    <mergeCell ref="V61:AC61"/>
    <mergeCell ref="AD61:AE61"/>
    <mergeCell ref="AF61:AG61"/>
    <mergeCell ref="F62:M62"/>
    <mergeCell ref="N62:O62"/>
    <mergeCell ref="P62:Q62"/>
    <mergeCell ref="V62:AC62"/>
    <mergeCell ref="AD62:AE62"/>
    <mergeCell ref="AF62:AG62"/>
    <mergeCell ref="AK62:AT63"/>
    <mergeCell ref="F63:M63"/>
    <mergeCell ref="F124:T124"/>
    <mergeCell ref="V124:AL124"/>
    <mergeCell ref="D125:E125"/>
    <mergeCell ref="F125:T125"/>
    <mergeCell ref="V125:AL125"/>
    <mergeCell ref="D126:E126"/>
    <mergeCell ref="F126:T126"/>
    <mergeCell ref="V126:AL126"/>
    <mergeCell ref="D127:E127"/>
    <mergeCell ref="F127:T127"/>
    <mergeCell ref="V127:AL127"/>
    <mergeCell ref="D128:E128"/>
    <mergeCell ref="F128:T128"/>
    <mergeCell ref="V128:AL128"/>
    <mergeCell ref="D129:E129"/>
    <mergeCell ref="F129:T129"/>
    <mergeCell ref="V129:AL129"/>
    <mergeCell ref="D130:E130"/>
    <mergeCell ref="F130:T130"/>
    <mergeCell ref="D131:E131"/>
    <mergeCell ref="F131:T131"/>
    <mergeCell ref="V131:W131"/>
    <mergeCell ref="X131:AL131"/>
    <mergeCell ref="D132:E132"/>
    <mergeCell ref="F132:T132"/>
    <mergeCell ref="D133:E133"/>
    <mergeCell ref="F133:T133"/>
    <mergeCell ref="V133:W133"/>
    <mergeCell ref="X133:AC133"/>
    <mergeCell ref="AD133:AE133"/>
    <mergeCell ref="AF133:AL133"/>
    <mergeCell ref="D134:E134"/>
    <mergeCell ref="F134:T134"/>
    <mergeCell ref="AB108:AL111"/>
    <mergeCell ref="D113:F114"/>
    <mergeCell ref="G113:AH113"/>
    <mergeCell ref="AD136:AE136"/>
    <mergeCell ref="AF136:AL136"/>
    <mergeCell ref="D2:X2"/>
    <mergeCell ref="AH2:AT2"/>
    <mergeCell ref="D3:Z4"/>
    <mergeCell ref="AH3:AT3"/>
    <mergeCell ref="D5:Z5"/>
    <mergeCell ref="AU6:AU136"/>
    <mergeCell ref="AM26:AR26"/>
    <mergeCell ref="V134:W134"/>
    <mergeCell ref="X134:AC134"/>
    <mergeCell ref="AD134:AE134"/>
    <mergeCell ref="AF134:AL134"/>
    <mergeCell ref="D135:E135"/>
    <mergeCell ref="F135:T135"/>
    <mergeCell ref="V135:W135"/>
    <mergeCell ref="X135:AC135"/>
    <mergeCell ref="AD135:AE135"/>
    <mergeCell ref="AF135:AL135"/>
    <mergeCell ref="D136:E136"/>
    <mergeCell ref="F136:T136"/>
    <mergeCell ref="V136:W136"/>
    <mergeCell ref="X136:AC136"/>
    <mergeCell ref="N63:O63"/>
    <mergeCell ref="P63:Q63"/>
    <mergeCell ref="V63:AC63"/>
    <mergeCell ref="AD63:AE63"/>
    <mergeCell ref="AF63:AG63"/>
    <mergeCell ref="F64:M64"/>
    <mergeCell ref="N64:O64"/>
    <mergeCell ref="P64:Q64"/>
    <mergeCell ref="V64:AC64"/>
    <mergeCell ref="AD64:AE64"/>
    <mergeCell ref="AF64:AG64"/>
    <mergeCell ref="AK64:AT65"/>
    <mergeCell ref="F65:M65"/>
    <mergeCell ref="N65:O65"/>
    <mergeCell ref="P65:Q65"/>
    <mergeCell ref="V65:AC65"/>
    <mergeCell ref="AD65:AE65"/>
    <mergeCell ref="AF65:AG65"/>
    <mergeCell ref="F66:M66"/>
    <mergeCell ref="N66:O66"/>
    <mergeCell ref="P66:Q66"/>
    <mergeCell ref="V66:AC66"/>
    <mergeCell ref="AD66:AE66"/>
    <mergeCell ref="AF66:AG66"/>
    <mergeCell ref="AK66:AT67"/>
    <mergeCell ref="F67:M67"/>
    <mergeCell ref="N67:O67"/>
    <mergeCell ref="P67:Q67"/>
    <mergeCell ref="V67:AC67"/>
    <mergeCell ref="AD67:AE67"/>
    <mergeCell ref="AF67:AG67"/>
    <mergeCell ref="F68:M68"/>
    <mergeCell ref="N68:O68"/>
    <mergeCell ref="P68:Q68"/>
    <mergeCell ref="V68:AC68"/>
    <mergeCell ref="AD68:AE68"/>
    <mergeCell ref="AF68:AG68"/>
    <mergeCell ref="F69:M69"/>
    <mergeCell ref="N69:O69"/>
    <mergeCell ref="P69:Q69"/>
    <mergeCell ref="V69:AC69"/>
    <mergeCell ref="AD69:AE69"/>
    <mergeCell ref="AF69:AG69"/>
    <mergeCell ref="F70:M70"/>
    <mergeCell ref="N70:O70"/>
    <mergeCell ref="P70:Q70"/>
    <mergeCell ref="V70:AC70"/>
    <mergeCell ref="AD70:AE70"/>
    <mergeCell ref="AF70:AG70"/>
    <mergeCell ref="D72:F73"/>
    <mergeCell ref="G72:AH72"/>
    <mergeCell ref="F75:J75"/>
    <mergeCell ref="K75:M75"/>
    <mergeCell ref="S75:W75"/>
    <mergeCell ref="X75:Z75"/>
    <mergeCell ref="AG75:AI75"/>
    <mergeCell ref="AK75:AO75"/>
    <mergeCell ref="AP75:AT75"/>
    <mergeCell ref="F76:J76"/>
    <mergeCell ref="K76:M76"/>
    <mergeCell ref="S76:W76"/>
    <mergeCell ref="X76:Z76"/>
    <mergeCell ref="AG76:AI76"/>
    <mergeCell ref="AK76:AO76"/>
    <mergeCell ref="AP76:AT76"/>
    <mergeCell ref="F77:J77"/>
    <mergeCell ref="K77:M77"/>
    <mergeCell ref="S77:W77"/>
    <mergeCell ref="X77:Z77"/>
    <mergeCell ref="AG77:AI77"/>
    <mergeCell ref="AK77:AO77"/>
    <mergeCell ref="AP77:AT77"/>
    <mergeCell ref="F78:J78"/>
    <mergeCell ref="K78:M78"/>
    <mergeCell ref="S78:W78"/>
    <mergeCell ref="X78:Z78"/>
    <mergeCell ref="AG78:AI78"/>
    <mergeCell ref="AK78:AO78"/>
    <mergeCell ref="AP78:AT78"/>
    <mergeCell ref="F79:J79"/>
    <mergeCell ref="K79:M79"/>
    <mergeCell ref="S79:W79"/>
    <mergeCell ref="X79:Z79"/>
    <mergeCell ref="AM31:AR31"/>
    <mergeCell ref="D34:AT34"/>
    <mergeCell ref="F80:J80"/>
    <mergeCell ref="K80:M80"/>
    <mergeCell ref="D82:F83"/>
    <mergeCell ref="G82:AH82"/>
    <mergeCell ref="D84:M84"/>
    <mergeCell ref="D85:N85"/>
    <mergeCell ref="P85:Z85"/>
    <mergeCell ref="AB85:AL85"/>
    <mergeCell ref="D87:N90"/>
    <mergeCell ref="P87:Z90"/>
    <mergeCell ref="D94:N97"/>
    <mergeCell ref="P94:Z97"/>
    <mergeCell ref="AB87:AL90"/>
    <mergeCell ref="D92:N92"/>
    <mergeCell ref="P92:Z92"/>
    <mergeCell ref="AB92:AL92"/>
    <mergeCell ref="AB94:AL97"/>
    <mergeCell ref="D99:N99"/>
    <mergeCell ref="P99:Z99"/>
    <mergeCell ref="AB99:AL99"/>
    <mergeCell ref="D101:N104"/>
    <mergeCell ref="P101:Z104"/>
    <mergeCell ref="AB101:AL104"/>
    <mergeCell ref="D106:N106"/>
    <mergeCell ref="P106:Z106"/>
    <mergeCell ref="AB106:AL106"/>
    <mergeCell ref="D108:N111"/>
    <mergeCell ref="P108:Z111"/>
    <mergeCell ref="D116:E116"/>
    <mergeCell ref="F116:T116"/>
    <mergeCell ref="V116:AL116"/>
    <mergeCell ref="D118:E118"/>
    <mergeCell ref="F118:T118"/>
    <mergeCell ref="V118:AL118"/>
    <mergeCell ref="D119:E119"/>
    <mergeCell ref="F119:T119"/>
    <mergeCell ref="V119:AL119"/>
    <mergeCell ref="D120:E120"/>
    <mergeCell ref="F120:T120"/>
    <mergeCell ref="V120:AL120"/>
    <mergeCell ref="D121:E121"/>
    <mergeCell ref="F121:T121"/>
    <mergeCell ref="V121:AL121"/>
    <mergeCell ref="D122:E122"/>
    <mergeCell ref="F122:T122"/>
    <mergeCell ref="V122:AL122"/>
    <mergeCell ref="D123:E123"/>
    <mergeCell ref="F123:T123"/>
    <mergeCell ref="V123:AL123"/>
    <mergeCell ref="D124:E124"/>
  </mergeCells>
  <conditionalFormatting sqref="D23">
    <cfRule type="expression" dxfId="0" priority="1" stopIfTrue="1">
      <formula>"=AND(N(J23)&gt;0,D23/J23&lt;=0.25)"</formula>
    </cfRule>
  </conditionalFormatting>
  <conditionalFormatting sqref="D23">
    <cfRule type="expression" dxfId="1" priority="2" stopIfTrue="1">
      <formula>"=AND(N(J23)&gt;0,D23/J23&lt;=0.5)"</formula>
    </cfRule>
  </conditionalFormatting>
  <conditionalFormatting sqref="D27">
    <cfRule type="expression" dxfId="0" priority="3" stopIfTrue="1">
      <formula>"=AND(N(J27)&gt;0,D27/J27&lt;=0.25)"</formula>
    </cfRule>
  </conditionalFormatting>
  <conditionalFormatting sqref="D27">
    <cfRule type="expression" dxfId="1" priority="4" stopIfTrue="1">
      <formula>"=AND(N(J27)&gt;0,D27/J27&lt;=0.5)"</formula>
    </cfRule>
  </conditionalFormatting>
  <conditionalFormatting sqref="D31">
    <cfRule type="expression" dxfId="0" priority="5" stopIfTrue="1">
      <formula>"=AND(N(J31)&gt;0,D31/J31&lt;=0.25)"</formula>
    </cfRule>
  </conditionalFormatting>
  <conditionalFormatting sqref="D31">
    <cfRule type="expression" dxfId="1" priority="6" stopIfTrue="1">
      <formula>"=AND(N(J31)&gt;0,D31/J31&lt;=0.5)"</formula>
    </cfRule>
  </conditionalFormatting>
  <conditionalFormatting sqref="D115">
    <cfRule type="notContainsBlanks" dxfId="2" priority="7">
      <formula>LEN(TRIM(D115))&gt;0</formula>
    </cfRule>
  </conditionalFormatting>
  <dataValidations>
    <dataValidation type="list" allowBlank="1" sqref="D118:D136">
      <formula1>"0,1,2,3,4,5,6,7,Lib. Max.,Téc. Max."</formula1>
    </dataValidation>
    <dataValidation type="list" allowBlank="1" sqref="V133:V136 AD133:AD136">
      <formula1>"0,1,2,3"</formula1>
    </dataValidation>
    <dataValidation type="list" allowBlank="1" sqref="Z48 AK48 AE51 X75:X79 K75:K80">
      <formula1>"FORÇA,DESTREZA,CONSTITUIÇÃO,INTELIGÊNCIA,ESSÊNCIA"</formula1>
    </dataValidation>
    <dataValidation type="list" allowBlank="1" sqref="D11">
      <formula1>DADOS!$A$4:$A$8</formula1>
    </dataValidation>
    <dataValidation type="list" allowBlank="1" sqref="AK75">
      <formula1>"FORÇA,DESTREZA"</formula1>
    </dataValidation>
    <dataValidation type="list" allowBlank="1" sqref="N11">
      <formula1>DADOS!$L$4:$L$18</formula1>
    </dataValidation>
    <dataValidation type="list" allowBlank="1" sqref="X11">
      <formula1>DADOS!$I$4:$I$10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54" width="19.38"/>
  </cols>
  <sheetData>
    <row r="1" ht="17.25" customHeight="1">
      <c r="A1" s="1" t="s">
        <v>0</v>
      </c>
      <c r="B1" s="2">
        <v>104.0</v>
      </c>
      <c r="C1" s="3" t="s">
        <v>1</v>
      </c>
      <c r="D1" s="2">
        <v>104.0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</row>
    <row r="2">
      <c r="A2" s="3" t="s">
        <v>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</row>
    <row r="3">
      <c r="A3" s="7" t="s">
        <v>3</v>
      </c>
      <c r="B3" s="7" t="s">
        <v>4</v>
      </c>
      <c r="C3" s="7" t="s">
        <v>5</v>
      </c>
      <c r="D3" s="7" t="s">
        <v>6</v>
      </c>
      <c r="E3" s="7" t="s">
        <v>7</v>
      </c>
      <c r="F3" s="7" t="s">
        <v>8</v>
      </c>
      <c r="G3" s="7" t="s">
        <v>9</v>
      </c>
      <c r="H3" s="7" t="s">
        <v>10</v>
      </c>
      <c r="I3" s="7" t="s">
        <v>11</v>
      </c>
      <c r="J3" s="7" t="s">
        <v>13</v>
      </c>
      <c r="K3" s="7" t="s">
        <v>14</v>
      </c>
      <c r="L3" s="7" t="s">
        <v>15</v>
      </c>
      <c r="M3" s="4"/>
      <c r="N3" s="7" t="s">
        <v>16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</row>
    <row r="4" ht="17.25" customHeight="1">
      <c r="A4" s="12" t="s">
        <v>19</v>
      </c>
      <c r="B4" s="12" t="s">
        <v>20</v>
      </c>
      <c r="C4" s="12" t="s">
        <v>21</v>
      </c>
      <c r="D4" s="12" t="s">
        <v>22</v>
      </c>
      <c r="E4" s="12" t="s">
        <v>23</v>
      </c>
      <c r="F4" s="12" t="s">
        <v>24</v>
      </c>
      <c r="G4" s="12" t="s">
        <v>25</v>
      </c>
      <c r="H4" s="12" t="s">
        <v>26</v>
      </c>
      <c r="I4" s="12" t="s">
        <v>27</v>
      </c>
      <c r="J4" s="12" t="s">
        <v>28</v>
      </c>
      <c r="K4" s="12" t="s">
        <v>29</v>
      </c>
      <c r="L4" s="12" t="s">
        <v>30</v>
      </c>
      <c r="M4" s="4"/>
      <c r="N4" s="15" t="s">
        <v>31</v>
      </c>
      <c r="O4" s="15" t="s">
        <v>32</v>
      </c>
      <c r="P4" s="15" t="s">
        <v>33</v>
      </c>
      <c r="Q4" s="15" t="s">
        <v>34</v>
      </c>
      <c r="R4" s="15" t="s">
        <v>35</v>
      </c>
      <c r="S4" s="15" t="s">
        <v>36</v>
      </c>
      <c r="T4" s="15" t="s">
        <v>37</v>
      </c>
      <c r="U4" s="15" t="s">
        <v>38</v>
      </c>
      <c r="V4" s="4"/>
      <c r="W4" s="15" t="s">
        <v>39</v>
      </c>
      <c r="X4" s="15" t="s">
        <v>40</v>
      </c>
      <c r="Y4" s="15" t="s">
        <v>41</v>
      </c>
      <c r="Z4" s="15" t="s">
        <v>42</v>
      </c>
      <c r="AA4" s="4"/>
      <c r="AB4" s="15" t="s">
        <v>43</v>
      </c>
      <c r="AC4" s="15" t="s">
        <v>44</v>
      </c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15" t="s">
        <v>45</v>
      </c>
      <c r="BB4" s="15" t="s">
        <v>46</v>
      </c>
    </row>
    <row r="5" ht="17.25" customHeight="1">
      <c r="A5" s="12" t="s">
        <v>47</v>
      </c>
      <c r="B5" s="12" t="s">
        <v>48</v>
      </c>
      <c r="C5" s="12" t="s">
        <v>49</v>
      </c>
      <c r="D5" s="12" t="s">
        <v>51</v>
      </c>
      <c r="E5" s="12" t="s">
        <v>52</v>
      </c>
      <c r="F5" s="12" t="s">
        <v>53</v>
      </c>
      <c r="G5" s="12" t="s">
        <v>26</v>
      </c>
      <c r="H5" s="12" t="s">
        <v>54</v>
      </c>
      <c r="I5" s="12" t="s">
        <v>55</v>
      </c>
      <c r="J5" s="12" t="s">
        <v>56</v>
      </c>
      <c r="K5" s="12" t="s">
        <v>57</v>
      </c>
      <c r="L5" s="12" t="s">
        <v>58</v>
      </c>
      <c r="M5" s="4"/>
      <c r="N5" s="12" t="s">
        <v>19</v>
      </c>
      <c r="O5" s="12" t="s">
        <v>59</v>
      </c>
      <c r="P5" s="19">
        <v>12.0</v>
      </c>
      <c r="Q5" s="19">
        <v>7.0</v>
      </c>
      <c r="R5" s="19">
        <v>4.0</v>
      </c>
      <c r="S5" s="12" t="s">
        <v>20</v>
      </c>
      <c r="T5" s="12" t="s">
        <v>60</v>
      </c>
      <c r="U5" s="12" t="s">
        <v>61</v>
      </c>
      <c r="V5" s="4"/>
      <c r="W5" s="22">
        <v>6.0</v>
      </c>
      <c r="X5" s="22">
        <v>10.0</v>
      </c>
      <c r="Y5" s="22">
        <v>1.0</v>
      </c>
      <c r="Z5" s="22">
        <v>5.0</v>
      </c>
      <c r="AA5" s="4"/>
      <c r="AB5" s="12" t="s">
        <v>20</v>
      </c>
      <c r="AC5" s="12" t="s">
        <v>62</v>
      </c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12" t="s">
        <v>64</v>
      </c>
      <c r="BB5" s="12" t="s">
        <v>65</v>
      </c>
    </row>
    <row r="6" ht="17.25" customHeight="1">
      <c r="A6" s="12" t="s">
        <v>66</v>
      </c>
      <c r="B6" s="12" t="s">
        <v>67</v>
      </c>
      <c r="C6" s="12" t="s">
        <v>68</v>
      </c>
      <c r="D6" s="12" t="s">
        <v>69</v>
      </c>
      <c r="E6" s="12" t="s">
        <v>70</v>
      </c>
      <c r="F6" s="12" t="s">
        <v>71</v>
      </c>
      <c r="G6" s="12" t="s">
        <v>72</v>
      </c>
      <c r="H6" s="12" t="s">
        <v>73</v>
      </c>
      <c r="I6" s="12" t="s">
        <v>74</v>
      </c>
      <c r="J6" s="12" t="s">
        <v>75</v>
      </c>
      <c r="K6" s="12" t="s">
        <v>76</v>
      </c>
      <c r="L6" s="12" t="s">
        <v>77</v>
      </c>
      <c r="M6" s="4"/>
      <c r="N6" s="12" t="s">
        <v>47</v>
      </c>
      <c r="O6" s="12" t="s">
        <v>78</v>
      </c>
      <c r="P6" s="19">
        <v>8.0</v>
      </c>
      <c r="Q6" s="19">
        <v>5.0</v>
      </c>
      <c r="R6" s="19">
        <v>5.0</v>
      </c>
      <c r="S6" s="12" t="s">
        <v>48</v>
      </c>
      <c r="T6" s="12" t="s">
        <v>79</v>
      </c>
      <c r="U6" s="12" t="s">
        <v>49</v>
      </c>
      <c r="V6" s="4"/>
      <c r="W6" s="22">
        <v>10.0</v>
      </c>
      <c r="X6" s="22">
        <v>18.0</v>
      </c>
      <c r="Y6" s="22">
        <v>5.0</v>
      </c>
      <c r="Z6" s="22">
        <v>11.0</v>
      </c>
      <c r="AA6" s="4"/>
      <c r="AB6" s="12" t="s">
        <v>48</v>
      </c>
      <c r="AC6" s="12" t="s">
        <v>80</v>
      </c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12" t="s">
        <v>81</v>
      </c>
      <c r="BB6" s="12" t="s">
        <v>82</v>
      </c>
    </row>
    <row r="7" ht="17.25" customHeight="1">
      <c r="A7" s="12" t="s">
        <v>83</v>
      </c>
      <c r="B7" s="12" t="s">
        <v>84</v>
      </c>
      <c r="C7" s="12" t="s">
        <v>61</v>
      </c>
      <c r="D7" s="12" t="s">
        <v>85</v>
      </c>
      <c r="E7" s="12" t="s">
        <v>86</v>
      </c>
      <c r="F7" s="12" t="s">
        <v>87</v>
      </c>
      <c r="G7" s="12" t="s">
        <v>88</v>
      </c>
      <c r="H7" s="12" t="s">
        <v>89</v>
      </c>
      <c r="I7" s="12" t="s">
        <v>90</v>
      </c>
      <c r="J7" s="12" t="s">
        <v>91</v>
      </c>
      <c r="K7" s="12" t="s">
        <v>92</v>
      </c>
      <c r="L7" s="12" t="s">
        <v>93</v>
      </c>
      <c r="M7" s="4"/>
      <c r="N7" s="12" t="s">
        <v>66</v>
      </c>
      <c r="O7" s="12" t="s">
        <v>78</v>
      </c>
      <c r="P7" s="19">
        <v>8.0</v>
      </c>
      <c r="Q7" s="19">
        <v>5.0</v>
      </c>
      <c r="R7" s="19">
        <v>5.0</v>
      </c>
      <c r="S7" s="12" t="s">
        <v>94</v>
      </c>
      <c r="T7" s="12" t="s">
        <v>95</v>
      </c>
      <c r="U7" s="12" t="s">
        <v>68</v>
      </c>
      <c r="V7" s="4"/>
      <c r="W7" s="22">
        <v>14.0</v>
      </c>
      <c r="X7" s="22">
        <v>26.0</v>
      </c>
      <c r="Y7" s="22">
        <v>9.0</v>
      </c>
      <c r="Z7" s="22">
        <v>17.0</v>
      </c>
      <c r="AA7" s="4"/>
      <c r="AB7" s="12" t="s">
        <v>67</v>
      </c>
      <c r="AC7" s="12" t="s">
        <v>80</v>
      </c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12" t="s">
        <v>96</v>
      </c>
      <c r="BB7" s="12" t="s">
        <v>97</v>
      </c>
    </row>
    <row r="8" ht="17.25" customHeight="1">
      <c r="A8" s="12" t="s">
        <v>98</v>
      </c>
      <c r="B8" s="12" t="s">
        <v>99</v>
      </c>
      <c r="C8" s="12" t="s">
        <v>100</v>
      </c>
      <c r="D8" s="12" t="s">
        <v>101</v>
      </c>
      <c r="E8" s="12" t="s">
        <v>102</v>
      </c>
      <c r="F8" s="12" t="s">
        <v>103</v>
      </c>
      <c r="G8" s="12" t="s">
        <v>104</v>
      </c>
      <c r="H8" s="12" t="s">
        <v>105</v>
      </c>
      <c r="I8" s="12" t="s">
        <v>106</v>
      </c>
      <c r="J8" s="4"/>
      <c r="K8" s="12" t="s">
        <v>107</v>
      </c>
      <c r="L8" s="12" t="s">
        <v>108</v>
      </c>
      <c r="M8" s="4"/>
      <c r="N8" s="12" t="s">
        <v>98</v>
      </c>
      <c r="O8" s="12" t="s">
        <v>109</v>
      </c>
      <c r="P8" s="19">
        <v>6.0</v>
      </c>
      <c r="Q8" s="19">
        <v>4.0</v>
      </c>
      <c r="R8" s="19">
        <v>6.0</v>
      </c>
      <c r="S8" s="12" t="s">
        <v>110</v>
      </c>
      <c r="T8" s="12" t="s">
        <v>111</v>
      </c>
      <c r="U8" s="12" t="s">
        <v>112</v>
      </c>
      <c r="V8" s="4"/>
      <c r="W8" s="22">
        <v>18.0</v>
      </c>
      <c r="X8" s="4"/>
      <c r="Y8" s="22">
        <v>13.0</v>
      </c>
      <c r="Z8" s="4"/>
      <c r="AA8" s="4"/>
      <c r="AB8" s="12" t="s">
        <v>84</v>
      </c>
      <c r="AC8" s="12" t="s">
        <v>80</v>
      </c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12" t="s">
        <v>113</v>
      </c>
      <c r="BB8" s="12" t="s">
        <v>114</v>
      </c>
    </row>
    <row r="9" ht="17.25" customHeight="1">
      <c r="A9" s="4"/>
      <c r="B9" s="12" t="s">
        <v>115</v>
      </c>
      <c r="C9" s="12" t="s">
        <v>116</v>
      </c>
      <c r="D9" s="12" t="s">
        <v>117</v>
      </c>
      <c r="E9" s="12" t="s">
        <v>118</v>
      </c>
      <c r="F9" s="12" t="s">
        <v>119</v>
      </c>
      <c r="G9" s="12" t="s">
        <v>120</v>
      </c>
      <c r="H9" s="12" t="s">
        <v>122</v>
      </c>
      <c r="I9" s="12" t="s">
        <v>123</v>
      </c>
      <c r="J9" s="4"/>
      <c r="K9" s="4"/>
      <c r="L9" s="12" t="s">
        <v>124</v>
      </c>
      <c r="M9" s="4"/>
      <c r="N9" s="12" t="s">
        <v>83</v>
      </c>
      <c r="O9" s="12" t="s">
        <v>109</v>
      </c>
      <c r="P9" s="19">
        <v>6.0</v>
      </c>
      <c r="Q9" s="19">
        <v>4.0</v>
      </c>
      <c r="R9" s="19">
        <v>6.0</v>
      </c>
      <c r="S9" s="12" t="s">
        <v>125</v>
      </c>
      <c r="T9" s="12" t="s">
        <v>115</v>
      </c>
      <c r="U9" s="12" t="s">
        <v>100</v>
      </c>
      <c r="V9" s="4"/>
      <c r="W9" s="22">
        <v>22.0</v>
      </c>
      <c r="X9" s="4"/>
      <c r="Y9" s="22">
        <v>17.0</v>
      </c>
      <c r="Z9" s="4"/>
      <c r="AA9" s="4"/>
      <c r="AB9" s="12" t="s">
        <v>99</v>
      </c>
      <c r="AC9" s="12" t="s">
        <v>80</v>
      </c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12" t="s">
        <v>127</v>
      </c>
      <c r="BB9" s="12" t="s">
        <v>128</v>
      </c>
    </row>
    <row r="10" ht="17.25" customHeight="1">
      <c r="A10" s="4"/>
      <c r="B10" s="12" t="s">
        <v>129</v>
      </c>
      <c r="C10" s="12" t="s">
        <v>112</v>
      </c>
      <c r="D10" s="12" t="s">
        <v>131</v>
      </c>
      <c r="E10" s="12" t="s">
        <v>132</v>
      </c>
      <c r="F10" s="12" t="s">
        <v>133</v>
      </c>
      <c r="G10" s="12" t="s">
        <v>134</v>
      </c>
      <c r="H10" s="12" t="s">
        <v>135</v>
      </c>
      <c r="I10" s="12" t="s">
        <v>136</v>
      </c>
      <c r="J10" s="4"/>
      <c r="K10" s="4"/>
      <c r="L10" s="12" t="s">
        <v>137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22">
        <v>26.0</v>
      </c>
      <c r="X10" s="4"/>
      <c r="Y10" s="22">
        <v>21.0</v>
      </c>
      <c r="Z10" s="4"/>
      <c r="AA10" s="4"/>
      <c r="AB10" s="12" t="s">
        <v>115</v>
      </c>
      <c r="AC10" s="12" t="s">
        <v>138</v>
      </c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12" t="s">
        <v>139</v>
      </c>
      <c r="BB10" s="12" t="s">
        <v>140</v>
      </c>
    </row>
    <row r="11" ht="17.25" customHeight="1">
      <c r="A11" s="4"/>
      <c r="B11" s="12" t="s">
        <v>125</v>
      </c>
      <c r="C11" s="12" t="s">
        <v>141</v>
      </c>
      <c r="D11" s="12" t="s">
        <v>142</v>
      </c>
      <c r="E11" s="12" t="s">
        <v>143</v>
      </c>
      <c r="F11" s="12" t="s">
        <v>144</v>
      </c>
      <c r="G11" s="12" t="s">
        <v>145</v>
      </c>
      <c r="H11" s="12" t="s">
        <v>146</v>
      </c>
      <c r="I11" s="4"/>
      <c r="J11" s="4"/>
      <c r="K11" s="4"/>
      <c r="L11" s="12" t="s">
        <v>147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22">
        <v>30.0</v>
      </c>
      <c r="X11" s="4"/>
      <c r="Y11" s="22">
        <v>26.0</v>
      </c>
      <c r="Z11" s="4"/>
      <c r="AA11" s="4"/>
      <c r="AB11" s="12" t="s">
        <v>129</v>
      </c>
      <c r="AC11" s="12" t="s">
        <v>138</v>
      </c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12" t="s">
        <v>148</v>
      </c>
      <c r="BB11" s="12" t="s">
        <v>149</v>
      </c>
    </row>
    <row r="12" ht="17.25" customHeight="1">
      <c r="A12" s="4"/>
      <c r="B12" s="12" t="s">
        <v>110</v>
      </c>
      <c r="C12" s="12" t="s">
        <v>150</v>
      </c>
      <c r="D12" s="12" t="s">
        <v>151</v>
      </c>
      <c r="E12" s="12" t="s">
        <v>152</v>
      </c>
      <c r="F12" s="12" t="s">
        <v>153</v>
      </c>
      <c r="G12" s="12" t="s">
        <v>154</v>
      </c>
      <c r="H12" s="12" t="s">
        <v>155</v>
      </c>
      <c r="I12" s="4"/>
      <c r="J12" s="4"/>
      <c r="K12" s="4"/>
      <c r="L12" s="12" t="s">
        <v>156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12" t="s">
        <v>125</v>
      </c>
      <c r="AC12" s="12" t="s">
        <v>138</v>
      </c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12" t="s">
        <v>157</v>
      </c>
      <c r="BB12" s="12" t="s">
        <v>158</v>
      </c>
    </row>
    <row r="13" ht="17.25" customHeight="1">
      <c r="A13" s="4"/>
      <c r="B13" s="12" t="s">
        <v>159</v>
      </c>
      <c r="C13" s="12" t="s">
        <v>161</v>
      </c>
      <c r="D13" s="4"/>
      <c r="E13" s="12" t="s">
        <v>162</v>
      </c>
      <c r="F13" s="12" t="s">
        <v>163</v>
      </c>
      <c r="G13" s="12" t="s">
        <v>164</v>
      </c>
      <c r="H13" s="12" t="s">
        <v>165</v>
      </c>
      <c r="I13" s="4"/>
      <c r="J13" s="4"/>
      <c r="K13" s="4"/>
      <c r="L13" s="12" t="s">
        <v>166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12" t="s">
        <v>110</v>
      </c>
      <c r="AC13" s="12" t="s">
        <v>138</v>
      </c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12" t="s">
        <v>167</v>
      </c>
      <c r="BB13" s="12" t="s">
        <v>168</v>
      </c>
    </row>
    <row r="14" ht="17.25" customHeight="1">
      <c r="A14" s="4"/>
      <c r="B14" s="12" t="s">
        <v>170</v>
      </c>
      <c r="C14" s="12" t="s">
        <v>171</v>
      </c>
      <c r="D14" s="4"/>
      <c r="E14" s="4"/>
      <c r="F14" s="12" t="s">
        <v>172</v>
      </c>
      <c r="G14" s="12" t="s">
        <v>173</v>
      </c>
      <c r="H14" s="12" t="s">
        <v>174</v>
      </c>
      <c r="I14" s="4"/>
      <c r="J14" s="4"/>
      <c r="K14" s="4"/>
      <c r="L14" s="12" t="s">
        <v>175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12" t="s">
        <v>159</v>
      </c>
      <c r="AC14" s="12" t="s">
        <v>138</v>
      </c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12" t="s">
        <v>178</v>
      </c>
      <c r="BB14" s="12" t="s">
        <v>179</v>
      </c>
    </row>
    <row r="15" ht="17.25" customHeight="1">
      <c r="A15" s="4"/>
      <c r="B15" s="12" t="s">
        <v>95</v>
      </c>
      <c r="C15" s="4"/>
      <c r="D15" s="4"/>
      <c r="E15" s="4"/>
      <c r="F15" s="12" t="s">
        <v>180</v>
      </c>
      <c r="G15" s="12" t="s">
        <v>181</v>
      </c>
      <c r="H15" s="12" t="s">
        <v>182</v>
      </c>
      <c r="I15" s="4"/>
      <c r="J15" s="4"/>
      <c r="K15" s="4"/>
      <c r="L15" s="12" t="s">
        <v>183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12" t="s">
        <v>170</v>
      </c>
      <c r="AC15" s="12" t="s">
        <v>138</v>
      </c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12" t="s">
        <v>185</v>
      </c>
      <c r="BB15" s="12" t="s">
        <v>186</v>
      </c>
    </row>
    <row r="16" ht="17.25" customHeight="1">
      <c r="A16" s="4"/>
      <c r="B16" s="12" t="s">
        <v>187</v>
      </c>
      <c r="C16" s="4"/>
      <c r="D16" s="4"/>
      <c r="E16" s="4"/>
      <c r="F16" s="12" t="s">
        <v>188</v>
      </c>
      <c r="G16" s="12" t="s">
        <v>189</v>
      </c>
      <c r="H16" s="12" t="s">
        <v>190</v>
      </c>
      <c r="I16" s="4"/>
      <c r="J16" s="4"/>
      <c r="K16" s="4"/>
      <c r="L16" s="12" t="s">
        <v>191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12" t="s">
        <v>95</v>
      </c>
      <c r="AC16" s="12" t="s">
        <v>138</v>
      </c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12" t="s">
        <v>192</v>
      </c>
      <c r="BB16" s="12" t="s">
        <v>193</v>
      </c>
    </row>
    <row r="17" ht="17.25" customHeight="1">
      <c r="A17" s="4"/>
      <c r="B17" s="12" t="s">
        <v>194</v>
      </c>
      <c r="C17" s="4"/>
      <c r="D17" s="4"/>
      <c r="E17" s="4"/>
      <c r="F17" s="12" t="s">
        <v>195</v>
      </c>
      <c r="G17" s="12" t="s">
        <v>196</v>
      </c>
      <c r="H17" s="12" t="s">
        <v>197</v>
      </c>
      <c r="I17" s="4"/>
      <c r="J17" s="4"/>
      <c r="K17" s="4"/>
      <c r="L17" s="12" t="s">
        <v>198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12" t="s">
        <v>187</v>
      </c>
      <c r="AC17" s="12" t="s">
        <v>138</v>
      </c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12" t="s">
        <v>199</v>
      </c>
      <c r="BB17" s="12" t="s">
        <v>200</v>
      </c>
    </row>
    <row r="18" ht="17.25" customHeight="1">
      <c r="A18" s="4"/>
      <c r="B18" s="12" t="s">
        <v>111</v>
      </c>
      <c r="C18" s="4"/>
      <c r="D18" s="4"/>
      <c r="E18" s="4"/>
      <c r="F18" s="12" t="s">
        <v>201</v>
      </c>
      <c r="G18" s="12" t="s">
        <v>202</v>
      </c>
      <c r="H18" s="4"/>
      <c r="I18" s="4"/>
      <c r="J18" s="4"/>
      <c r="K18" s="4"/>
      <c r="L18" s="12" t="s">
        <v>203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12" t="s">
        <v>194</v>
      </c>
      <c r="AC18" s="12" t="s">
        <v>138</v>
      </c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12" t="s">
        <v>205</v>
      </c>
      <c r="BB18" s="12" t="s">
        <v>206</v>
      </c>
    </row>
    <row r="19" ht="17.25" customHeight="1">
      <c r="A19" s="4"/>
      <c r="B19" s="12" t="s">
        <v>207</v>
      </c>
      <c r="C19" s="4"/>
      <c r="D19" s="4"/>
      <c r="E19" s="4"/>
      <c r="F19" s="12" t="s">
        <v>208</v>
      </c>
      <c r="G19" s="12" t="s">
        <v>209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12" t="s">
        <v>111</v>
      </c>
      <c r="AC19" s="12" t="s">
        <v>138</v>
      </c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12" t="s">
        <v>211</v>
      </c>
      <c r="BB19" s="12" t="s">
        <v>212</v>
      </c>
    </row>
    <row r="20" ht="17.25" customHeight="1">
      <c r="A20" s="4"/>
      <c r="B20" s="12" t="s">
        <v>213</v>
      </c>
      <c r="C20" s="4"/>
      <c r="D20" s="4"/>
      <c r="E20" s="4"/>
      <c r="F20" s="12" t="s">
        <v>214</v>
      </c>
      <c r="G20" s="12" t="s">
        <v>215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12" t="s">
        <v>207</v>
      </c>
      <c r="AC20" s="12" t="s">
        <v>138</v>
      </c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12" t="s">
        <v>217</v>
      </c>
      <c r="BB20" s="12" t="s">
        <v>218</v>
      </c>
    </row>
    <row r="21" ht="17.25" customHeight="1">
      <c r="A21" s="4"/>
      <c r="B21" s="12" t="s">
        <v>79</v>
      </c>
      <c r="C21" s="4"/>
      <c r="D21" s="4"/>
      <c r="E21" s="4"/>
      <c r="F21" s="12" t="s">
        <v>219</v>
      </c>
      <c r="G21" s="12" t="s">
        <v>220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12" t="s">
        <v>213</v>
      </c>
      <c r="AC21" s="12" t="s">
        <v>222</v>
      </c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12" t="s">
        <v>223</v>
      </c>
      <c r="BB21" s="12" t="s">
        <v>224</v>
      </c>
    </row>
    <row r="22" ht="17.25" customHeight="1">
      <c r="A22" s="4"/>
      <c r="B22" s="12" t="s">
        <v>94</v>
      </c>
      <c r="C22" s="4"/>
      <c r="D22" s="4"/>
      <c r="E22" s="4"/>
      <c r="F22" s="12" t="s">
        <v>225</v>
      </c>
      <c r="G22" s="12" t="s">
        <v>226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12" t="s">
        <v>79</v>
      </c>
      <c r="AC22" s="12" t="s">
        <v>222</v>
      </c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12" t="s">
        <v>227</v>
      </c>
      <c r="BB22" s="12" t="s">
        <v>228</v>
      </c>
    </row>
    <row r="23" ht="17.25" customHeight="1">
      <c r="A23" s="4"/>
      <c r="B23" s="12" t="s">
        <v>229</v>
      </c>
      <c r="C23" s="4"/>
      <c r="D23" s="4"/>
      <c r="E23" s="4"/>
      <c r="F23" s="12" t="s">
        <v>230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12" t="s">
        <v>94</v>
      </c>
      <c r="AC23" s="12" t="s">
        <v>222</v>
      </c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12" t="s">
        <v>232</v>
      </c>
      <c r="BB23" s="12" t="s">
        <v>233</v>
      </c>
    </row>
    <row r="24" ht="17.25" customHeight="1">
      <c r="A24" s="4"/>
      <c r="B24" s="12" t="s">
        <v>60</v>
      </c>
      <c r="C24" s="4"/>
      <c r="D24" s="4"/>
      <c r="E24" s="4"/>
      <c r="F24" s="12" t="s">
        <v>234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12" t="s">
        <v>229</v>
      </c>
      <c r="AC24" s="12" t="s">
        <v>222</v>
      </c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12" t="s">
        <v>238</v>
      </c>
      <c r="BB24" s="12" t="s">
        <v>239</v>
      </c>
    </row>
    <row r="25" ht="17.25" customHeight="1">
      <c r="A25" s="4"/>
      <c r="B25" s="12" t="s">
        <v>240</v>
      </c>
      <c r="C25" s="4"/>
      <c r="D25" s="4"/>
      <c r="E25" s="4"/>
      <c r="F25" s="12" t="s">
        <v>241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12" t="s">
        <v>60</v>
      </c>
      <c r="AC25" s="12" t="s">
        <v>222</v>
      </c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12" t="s">
        <v>242</v>
      </c>
      <c r="BB25" s="12" t="s">
        <v>243</v>
      </c>
    </row>
    <row r="26" ht="17.25" customHeight="1">
      <c r="A26" s="4"/>
      <c r="B26" s="12" t="s">
        <v>244</v>
      </c>
      <c r="C26" s="4"/>
      <c r="D26" s="4"/>
      <c r="E26" s="4"/>
      <c r="F26" s="12" t="s">
        <v>245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12" t="s">
        <v>240</v>
      </c>
      <c r="AC26" s="12" t="s">
        <v>222</v>
      </c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12" t="s">
        <v>246</v>
      </c>
      <c r="BB26" s="12" t="s">
        <v>247</v>
      </c>
    </row>
    <row r="27" ht="17.25" customHeight="1">
      <c r="A27" s="4"/>
      <c r="B27" s="4"/>
      <c r="C27" s="4"/>
      <c r="D27" s="4"/>
      <c r="E27" s="4"/>
      <c r="F27" s="12" t="s">
        <v>248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12" t="s">
        <v>244</v>
      </c>
      <c r="AC27" s="12" t="s">
        <v>222</v>
      </c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12" t="s">
        <v>249</v>
      </c>
      <c r="BB27" s="12" t="s">
        <v>250</v>
      </c>
    </row>
    <row r="28" ht="17.25" customHeight="1">
      <c r="A28" s="4"/>
      <c r="B28" s="4"/>
      <c r="C28" s="4"/>
      <c r="D28" s="4"/>
      <c r="E28" s="4"/>
      <c r="F28" s="12" t="s">
        <v>252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12" t="s">
        <v>253</v>
      </c>
      <c r="BB28" s="12" t="s">
        <v>255</v>
      </c>
    </row>
    <row r="29" ht="17.25" customHeight="1">
      <c r="A29" s="4"/>
      <c r="B29" s="4"/>
      <c r="C29" s="4"/>
      <c r="D29" s="4"/>
      <c r="E29" s="4"/>
      <c r="F29" s="12" t="s">
        <v>256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12" t="s">
        <v>258</v>
      </c>
      <c r="BB29" s="12" t="s">
        <v>259</v>
      </c>
    </row>
    <row r="30" ht="17.25" customHeight="1">
      <c r="A30" s="4"/>
      <c r="B30" s="4"/>
      <c r="C30" s="4"/>
      <c r="D30" s="4"/>
      <c r="E30" s="4"/>
      <c r="F30" s="12" t="s">
        <v>260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12" t="s">
        <v>261</v>
      </c>
      <c r="BB30" s="12" t="s">
        <v>262</v>
      </c>
    </row>
    <row r="31" ht="17.25" customHeight="1">
      <c r="A31" s="4"/>
      <c r="B31" s="4"/>
      <c r="C31" s="4"/>
      <c r="D31" s="4"/>
      <c r="E31" s="4"/>
      <c r="F31" s="12" t="s">
        <v>263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12" t="s">
        <v>265</v>
      </c>
      <c r="BB31" s="12" t="s">
        <v>266</v>
      </c>
    </row>
    <row r="32" ht="17.25" customHeight="1">
      <c r="A32" s="4"/>
      <c r="B32" s="4"/>
      <c r="C32" s="4"/>
      <c r="D32" s="4"/>
      <c r="E32" s="4"/>
      <c r="F32" s="12" t="s">
        <v>267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12" t="s">
        <v>268</v>
      </c>
      <c r="BB32" s="12" t="s">
        <v>269</v>
      </c>
    </row>
    <row r="33" ht="17.25" customHeight="1">
      <c r="A33" s="4"/>
      <c r="B33" s="4"/>
      <c r="C33" s="4"/>
      <c r="D33" s="4"/>
      <c r="E33" s="4"/>
      <c r="F33" s="12" t="s">
        <v>270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12" t="s">
        <v>271</v>
      </c>
      <c r="BB33" s="12" t="s">
        <v>272</v>
      </c>
    </row>
    <row r="34" ht="17.25" customHeight="1">
      <c r="A34" s="4"/>
      <c r="B34" s="4"/>
      <c r="C34" s="4"/>
      <c r="D34" s="4"/>
      <c r="E34" s="4"/>
      <c r="F34" s="12" t="s">
        <v>273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12" t="s">
        <v>274</v>
      </c>
      <c r="BB34" s="12" t="s">
        <v>275</v>
      </c>
    </row>
    <row r="35" ht="17.25" customHeight="1">
      <c r="A35" s="4"/>
      <c r="B35" s="4"/>
      <c r="C35" s="4"/>
      <c r="D35" s="4"/>
      <c r="E35" s="4"/>
      <c r="F35" s="12" t="s">
        <v>276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12" t="s">
        <v>279</v>
      </c>
      <c r="BB35" s="12" t="s">
        <v>280</v>
      </c>
    </row>
    <row r="36" ht="17.25" customHeight="1">
      <c r="A36" s="4"/>
      <c r="B36" s="4"/>
      <c r="C36" s="4"/>
      <c r="D36" s="4"/>
      <c r="E36" s="4"/>
      <c r="F36" s="12" t="s">
        <v>281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12" t="s">
        <v>282</v>
      </c>
      <c r="BB36" s="12" t="s">
        <v>283</v>
      </c>
    </row>
    <row r="37" ht="17.25" customHeight="1">
      <c r="A37" s="4"/>
      <c r="B37" s="4"/>
      <c r="C37" s="4"/>
      <c r="D37" s="4"/>
      <c r="E37" s="4"/>
      <c r="F37" s="12" t="s">
        <v>285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12" t="s">
        <v>40</v>
      </c>
      <c r="BB37" s="12" t="s">
        <v>286</v>
      </c>
    </row>
    <row r="38" ht="17.25" customHeight="1">
      <c r="A38" s="4"/>
      <c r="B38" s="4"/>
      <c r="C38" s="4"/>
      <c r="D38" s="4"/>
      <c r="E38" s="4"/>
      <c r="F38" s="12" t="s">
        <v>287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12" t="s">
        <v>289</v>
      </c>
      <c r="BB38" s="12" t="s">
        <v>290</v>
      </c>
    </row>
    <row r="39" ht="17.25" customHeight="1">
      <c r="A39" s="4"/>
      <c r="B39" s="4"/>
      <c r="C39" s="4"/>
      <c r="D39" s="4"/>
      <c r="E39" s="4"/>
      <c r="F39" s="12" t="s">
        <v>291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12" t="s">
        <v>292</v>
      </c>
      <c r="BB39" s="12" t="s">
        <v>293</v>
      </c>
    </row>
    <row r="40" ht="17.25" customHeight="1">
      <c r="A40" s="4"/>
      <c r="B40" s="4"/>
      <c r="C40" s="4"/>
      <c r="D40" s="4"/>
      <c r="E40" s="4"/>
      <c r="F40" s="12" t="s">
        <v>294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12" t="s">
        <v>296</v>
      </c>
      <c r="BB40" s="12" t="s">
        <v>297</v>
      </c>
    </row>
    <row r="41" ht="17.25" customHeight="1">
      <c r="A41" s="4"/>
      <c r="B41" s="4"/>
      <c r="C41" s="4"/>
      <c r="D41" s="4"/>
      <c r="E41" s="4"/>
      <c r="F41" s="12" t="s">
        <v>298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12" t="s">
        <v>300</v>
      </c>
      <c r="BB41" s="12" t="s">
        <v>301</v>
      </c>
    </row>
    <row r="42" ht="17.25" customHeight="1">
      <c r="A42" s="4"/>
      <c r="B42" s="4"/>
      <c r="C42" s="4"/>
      <c r="D42" s="4"/>
      <c r="E42" s="4"/>
      <c r="F42" s="12" t="s">
        <v>302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12" t="s">
        <v>303</v>
      </c>
      <c r="BB42" s="12" t="s">
        <v>304</v>
      </c>
    </row>
    <row r="43" ht="17.25" customHeight="1">
      <c r="A43" s="4"/>
      <c r="B43" s="4"/>
      <c r="C43" s="4"/>
      <c r="D43" s="4"/>
      <c r="E43" s="4"/>
      <c r="F43" s="12" t="s">
        <v>305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</row>
    <row r="44" ht="17.25" customHeight="1">
      <c r="A44" s="4"/>
      <c r="B44" s="4"/>
      <c r="C44" s="4"/>
      <c r="D44" s="4"/>
      <c r="E44" s="4"/>
      <c r="F44" s="12" t="s">
        <v>306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</row>
    <row r="45" ht="17.25" customHeight="1">
      <c r="A45" s="4"/>
      <c r="B45" s="4"/>
      <c r="C45" s="4"/>
      <c r="D45" s="4"/>
      <c r="E45" s="4"/>
      <c r="F45" s="12" t="s">
        <v>308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</row>
    <row r="46" ht="17.25" customHeight="1">
      <c r="A46" s="4"/>
      <c r="B46" s="4"/>
      <c r="C46" s="4"/>
      <c r="D46" s="4"/>
      <c r="E46" s="4"/>
      <c r="F46" s="12" t="s">
        <v>310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</row>
    <row r="47" ht="17.25" customHeight="1">
      <c r="A47" s="4"/>
      <c r="B47" s="4"/>
      <c r="C47" s="4"/>
      <c r="D47" s="4"/>
      <c r="E47" s="4"/>
      <c r="F47" s="12" t="s">
        <v>313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</row>
    <row r="48" ht="17.25" customHeight="1">
      <c r="A48" s="4"/>
      <c r="B48" s="4"/>
      <c r="C48" s="4"/>
      <c r="D48" s="4"/>
      <c r="E48" s="4"/>
      <c r="F48" s="12" t="s">
        <v>315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</row>
    <row r="49" ht="17.25" customHeight="1">
      <c r="A49" s="4"/>
      <c r="B49" s="4"/>
      <c r="C49" s="4"/>
      <c r="D49" s="4"/>
      <c r="E49" s="4"/>
      <c r="F49" s="12" t="s">
        <v>317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</row>
    <row r="50" ht="17.25" customHeight="1">
      <c r="A50" s="4"/>
      <c r="B50" s="4"/>
      <c r="C50" s="4"/>
      <c r="D50" s="4"/>
      <c r="E50" s="4"/>
      <c r="F50" s="12" t="s">
        <v>318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</row>
    <row r="51" ht="17.25" customHeight="1">
      <c r="A51" s="4"/>
      <c r="B51" s="4"/>
      <c r="C51" s="4"/>
      <c r="D51" s="4"/>
      <c r="E51" s="4"/>
      <c r="F51" s="12" t="s">
        <v>319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</row>
    <row r="52" ht="17.25" customHeight="1">
      <c r="A52" s="4"/>
      <c r="B52" s="4"/>
      <c r="C52" s="4"/>
      <c r="D52" s="4"/>
      <c r="E52" s="4"/>
      <c r="F52" s="12" t="s">
        <v>320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</row>
    <row r="53" ht="17.25" customHeight="1">
      <c r="A53" s="4"/>
      <c r="B53" s="4"/>
      <c r="C53" s="4"/>
      <c r="D53" s="4"/>
      <c r="E53" s="4"/>
      <c r="F53" s="12" t="s">
        <v>321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</row>
    <row r="54" ht="17.25" customHeight="1">
      <c r="A54" s="4"/>
      <c r="B54" s="4"/>
      <c r="C54" s="4"/>
      <c r="D54" s="4"/>
      <c r="E54" s="4"/>
      <c r="F54" s="12" t="s">
        <v>323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</row>
    <row r="55" ht="17.25" customHeight="1">
      <c r="A55" s="4"/>
      <c r="B55" s="4"/>
      <c r="C55" s="4"/>
      <c r="D55" s="4"/>
      <c r="E55" s="4"/>
      <c r="F55" s="12" t="s">
        <v>324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</row>
    <row r="56" ht="17.25" customHeight="1">
      <c r="A56" s="4"/>
      <c r="B56" s="4"/>
      <c r="C56" s="4"/>
      <c r="D56" s="4"/>
      <c r="E56" s="4"/>
      <c r="F56" s="12" t="s">
        <v>142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</row>
    <row r="57" ht="17.25" customHeight="1">
      <c r="A57" s="4"/>
      <c r="B57" s="4"/>
      <c r="C57" s="4"/>
      <c r="D57" s="4"/>
      <c r="E57" s="4"/>
      <c r="F57" s="12" t="s">
        <v>327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</row>
    <row r="58" ht="17.25" customHeight="1">
      <c r="A58" s="4"/>
      <c r="B58" s="4"/>
      <c r="C58" s="4"/>
      <c r="D58" s="4"/>
      <c r="E58" s="4"/>
      <c r="F58" s="12" t="s">
        <v>328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</row>
    <row r="59" ht="17.25" customHeight="1">
      <c r="A59" s="4"/>
      <c r="B59" s="4"/>
      <c r="C59" s="4"/>
      <c r="D59" s="4"/>
      <c r="E59" s="4"/>
      <c r="F59" s="12" t="s">
        <v>329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</row>
    <row r="60" ht="17.25" customHeight="1">
      <c r="A60" s="4"/>
      <c r="B60" s="4"/>
      <c r="C60" s="4"/>
      <c r="D60" s="4"/>
      <c r="E60" s="4"/>
      <c r="F60" s="12" t="s">
        <v>331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</row>
    <row r="61" ht="17.25" customHeight="1">
      <c r="A61" s="4"/>
      <c r="B61" s="4"/>
      <c r="C61" s="4"/>
      <c r="D61" s="4"/>
      <c r="E61" s="4"/>
      <c r="F61" s="12" t="s">
        <v>332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</row>
    <row r="62" ht="17.25" customHeight="1">
      <c r="A62" s="4"/>
      <c r="B62" s="4"/>
      <c r="C62" s="4"/>
      <c r="D62" s="4"/>
      <c r="E62" s="4"/>
      <c r="F62" s="12" t="s">
        <v>334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</row>
    <row r="63" ht="17.25" customHeight="1">
      <c r="A63" s="4"/>
      <c r="B63" s="4"/>
      <c r="C63" s="4"/>
      <c r="D63" s="4"/>
      <c r="E63" s="4"/>
      <c r="F63" s="12" t="s">
        <v>335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</row>
    <row r="64" ht="17.25" customHeight="1">
      <c r="A64" s="4"/>
      <c r="B64" s="4"/>
      <c r="C64" s="4"/>
      <c r="D64" s="4"/>
      <c r="E64" s="4"/>
      <c r="F64" s="12" t="s">
        <v>338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</row>
    <row r="65" ht="17.25" customHeight="1">
      <c r="A65" s="4"/>
      <c r="B65" s="4"/>
      <c r="C65" s="4"/>
      <c r="D65" s="4"/>
      <c r="E65" s="4"/>
      <c r="F65" s="12" t="s">
        <v>339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</row>
    <row r="66" ht="17.25" customHeight="1">
      <c r="A66" s="4"/>
      <c r="B66" s="4"/>
      <c r="C66" s="4"/>
      <c r="D66" s="4"/>
      <c r="E66" s="4"/>
      <c r="F66" s="12" t="s">
        <v>340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</row>
    <row r="67" ht="17.25" customHeight="1">
      <c r="A67" s="4"/>
      <c r="B67" s="4"/>
      <c r="C67" s="4"/>
      <c r="D67" s="4"/>
      <c r="E67" s="4"/>
      <c r="F67" s="12" t="s">
        <v>341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</row>
    <row r="68" ht="17.25" customHeight="1">
      <c r="A68" s="4"/>
      <c r="B68" s="4"/>
      <c r="C68" s="4"/>
      <c r="D68" s="4"/>
      <c r="E68" s="4"/>
      <c r="F68" s="12" t="s">
        <v>342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</row>
    <row r="69" ht="17.25" customHeight="1">
      <c r="A69" s="4"/>
      <c r="B69" s="4"/>
      <c r="C69" s="4"/>
      <c r="D69" s="4"/>
      <c r="E69" s="4"/>
      <c r="F69" s="12" t="s">
        <v>343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46" width="5.0"/>
  </cols>
  <sheetData>
    <row r="1" ht="15.0" customHeight="1">
      <c r="A1" s="6"/>
      <c r="B1" s="8"/>
      <c r="C1" s="9"/>
      <c r="D1" s="13" t="s">
        <v>18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6"/>
      <c r="AE1" s="17"/>
      <c r="AF1" s="18" t="s">
        <v>50</v>
      </c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21"/>
    </row>
    <row r="2" ht="15.0" customHeight="1">
      <c r="A2" s="6"/>
      <c r="B2" s="8"/>
      <c r="C2" s="23"/>
      <c r="D2" s="25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8"/>
      <c r="AE2" s="29"/>
      <c r="AF2" s="25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31"/>
    </row>
    <row r="3" ht="15.0" customHeight="1">
      <c r="A3" s="6"/>
      <c r="B3" s="6"/>
      <c r="C3" s="32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</row>
    <row r="4" ht="15.0" customHeight="1">
      <c r="A4" s="6"/>
      <c r="B4" s="6"/>
      <c r="C4" s="35"/>
      <c r="D4" s="37" t="s">
        <v>126</v>
      </c>
      <c r="E4" s="14"/>
      <c r="F4" s="21"/>
      <c r="G4" s="40" t="s">
        <v>130</v>
      </c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9"/>
      <c r="AC4" s="41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</row>
    <row r="5" ht="15.0" customHeight="1">
      <c r="A5" s="6"/>
      <c r="B5" s="6"/>
      <c r="C5" s="35"/>
      <c r="D5" s="43"/>
      <c r="E5" s="26"/>
      <c r="F5" s="31"/>
      <c r="G5" s="45"/>
      <c r="H5" s="33"/>
      <c r="I5" s="33"/>
      <c r="J5" s="33"/>
      <c r="K5" s="33"/>
      <c r="L5" s="33"/>
      <c r="M5" s="33"/>
      <c r="N5" s="32"/>
      <c r="O5" s="33"/>
      <c r="P5" s="33"/>
      <c r="Q5" s="33"/>
      <c r="R5" s="33"/>
      <c r="S5" s="33"/>
      <c r="T5" s="33"/>
      <c r="U5" s="33"/>
      <c r="V5" s="33"/>
      <c r="W5" s="33"/>
      <c r="X5" s="33"/>
      <c r="Y5" s="32"/>
      <c r="Z5" s="33"/>
      <c r="AA5" s="33"/>
      <c r="AB5" s="33"/>
      <c r="AC5" s="46"/>
      <c r="AD5" s="46"/>
      <c r="AE5" s="46"/>
      <c r="AF5" s="46"/>
      <c r="AG5" s="46"/>
      <c r="AH5" s="46"/>
      <c r="AI5" s="46"/>
      <c r="AJ5" s="42"/>
      <c r="AK5" s="46"/>
      <c r="AL5" s="46"/>
      <c r="AM5" s="46"/>
      <c r="AN5" s="46"/>
      <c r="AO5" s="46"/>
      <c r="AP5" s="46"/>
      <c r="AQ5" s="46"/>
      <c r="AR5" s="46"/>
      <c r="AS5" s="46"/>
      <c r="AT5" s="46"/>
    </row>
    <row r="6" ht="15.0" customHeight="1">
      <c r="A6" s="6"/>
      <c r="B6" s="6"/>
      <c r="C6" s="35"/>
      <c r="D6" s="48" t="s">
        <v>160</v>
      </c>
      <c r="E6" s="38"/>
      <c r="F6" s="38"/>
      <c r="G6" s="38"/>
      <c r="H6" s="38"/>
      <c r="I6" s="38"/>
      <c r="J6" s="38"/>
      <c r="K6" s="38"/>
      <c r="L6" s="38"/>
      <c r="M6" s="39"/>
      <c r="N6" s="50"/>
      <c r="O6" s="51" t="s">
        <v>169</v>
      </c>
      <c r="P6" s="14"/>
      <c r="Q6" s="14"/>
      <c r="R6" s="14"/>
      <c r="S6" s="14"/>
      <c r="T6" s="14"/>
      <c r="U6" s="14"/>
      <c r="V6" s="14"/>
      <c r="W6" s="14"/>
      <c r="X6" s="21"/>
      <c r="Y6" s="50"/>
      <c r="Z6" s="48" t="s">
        <v>176</v>
      </c>
      <c r="AA6" s="38"/>
      <c r="AB6" s="38"/>
      <c r="AC6" s="38"/>
      <c r="AD6" s="38"/>
      <c r="AE6" s="38"/>
      <c r="AF6" s="38"/>
      <c r="AG6" s="38"/>
      <c r="AH6" s="38"/>
      <c r="AI6" s="39"/>
      <c r="AJ6" s="50"/>
      <c r="AK6" s="48" t="s">
        <v>177</v>
      </c>
      <c r="AL6" s="38"/>
      <c r="AM6" s="38"/>
      <c r="AN6" s="38"/>
      <c r="AO6" s="38"/>
      <c r="AP6" s="38"/>
      <c r="AQ6" s="38"/>
      <c r="AR6" s="38"/>
      <c r="AS6" s="38"/>
      <c r="AT6" s="39"/>
    </row>
    <row r="7" ht="15.0" customHeight="1">
      <c r="A7" s="6"/>
      <c r="B7" s="6"/>
      <c r="C7" s="35"/>
      <c r="D7" s="55">
        <f>FICHA!AH11</f>
        <v>2</v>
      </c>
      <c r="M7" s="49"/>
      <c r="N7" s="50"/>
      <c r="O7" s="56">
        <f>FICHA!AJ17</f>
        <v>0</v>
      </c>
      <c r="P7" s="14"/>
      <c r="Q7" s="14"/>
      <c r="R7" s="14"/>
      <c r="S7" s="14"/>
      <c r="T7" s="14"/>
      <c r="U7" s="14"/>
      <c r="V7" s="14"/>
      <c r="W7" s="14"/>
      <c r="X7" s="21"/>
      <c r="Y7" s="50"/>
      <c r="Z7" s="55">
        <f>FICHA!AB17</f>
        <v>0</v>
      </c>
      <c r="AI7" s="49"/>
      <c r="AJ7" s="50"/>
      <c r="AK7" s="65">
        <f>(1+COUNTIF(DADOS_INV!$AH$3:$AH$5,"&lt;="&amp;$D$7))</f>
        <v>1</v>
      </c>
      <c r="AT7" s="49"/>
    </row>
    <row r="8" ht="15.0" customHeight="1">
      <c r="A8" s="66" t="s">
        <v>221</v>
      </c>
      <c r="B8" s="67"/>
      <c r="C8" s="35"/>
      <c r="D8" s="43"/>
      <c r="E8" s="26"/>
      <c r="F8" s="26"/>
      <c r="G8" s="26"/>
      <c r="H8" s="26"/>
      <c r="I8" s="26"/>
      <c r="J8" s="26"/>
      <c r="K8" s="26"/>
      <c r="L8" s="26"/>
      <c r="M8" s="31"/>
      <c r="N8" s="50"/>
      <c r="O8" s="43"/>
      <c r="P8" s="26"/>
      <c r="Q8" s="26"/>
      <c r="R8" s="26"/>
      <c r="S8" s="26"/>
      <c r="T8" s="26"/>
      <c r="U8" s="26"/>
      <c r="V8" s="26"/>
      <c r="W8" s="26"/>
      <c r="X8" s="31"/>
      <c r="Y8" s="50"/>
      <c r="Z8" s="43"/>
      <c r="AA8" s="26"/>
      <c r="AB8" s="26"/>
      <c r="AC8" s="26"/>
      <c r="AD8" s="26"/>
      <c r="AE8" s="26"/>
      <c r="AF8" s="26"/>
      <c r="AG8" s="26"/>
      <c r="AH8" s="26"/>
      <c r="AI8" s="31"/>
      <c r="AJ8" s="50"/>
      <c r="AK8" s="43"/>
      <c r="AL8" s="26"/>
      <c r="AM8" s="26"/>
      <c r="AN8" s="26"/>
      <c r="AO8" s="26"/>
      <c r="AP8" s="26"/>
      <c r="AQ8" s="26"/>
      <c r="AR8" s="26"/>
      <c r="AS8" s="26"/>
      <c r="AT8" s="31"/>
    </row>
    <row r="9" ht="15.0" customHeight="1">
      <c r="A9" s="68"/>
      <c r="B9" s="69"/>
      <c r="C9" s="42"/>
      <c r="D9" s="33"/>
      <c r="E9" s="33"/>
      <c r="F9" s="33"/>
      <c r="G9" s="33"/>
      <c r="H9" s="33"/>
      <c r="I9" s="33"/>
      <c r="J9" s="33"/>
      <c r="K9" s="33"/>
      <c r="L9" s="33"/>
      <c r="M9" s="33"/>
      <c r="N9" s="42"/>
      <c r="O9" s="33"/>
      <c r="P9" s="33"/>
      <c r="Q9" s="33"/>
      <c r="R9" s="33"/>
      <c r="S9" s="33"/>
      <c r="T9" s="33"/>
      <c r="U9" s="33"/>
      <c r="V9" s="33"/>
      <c r="W9" s="33"/>
      <c r="X9" s="33"/>
      <c r="Y9" s="4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42"/>
      <c r="AK9" s="32"/>
      <c r="AL9" s="32"/>
      <c r="AM9" s="32"/>
      <c r="AN9" s="32"/>
      <c r="AO9" s="32"/>
      <c r="AP9" s="32"/>
      <c r="AQ9" s="32"/>
      <c r="AR9" s="32"/>
      <c r="AS9" s="32"/>
      <c r="AT9" s="32"/>
    </row>
    <row r="10" ht="15.0" customHeight="1">
      <c r="A10" s="68"/>
      <c r="B10" s="69"/>
      <c r="C10" s="35"/>
      <c r="D10" s="51" t="s">
        <v>235</v>
      </c>
      <c r="E10" s="14"/>
      <c r="F10" s="14"/>
      <c r="G10" s="14"/>
      <c r="H10" s="14"/>
      <c r="I10" s="14"/>
      <c r="J10" s="14"/>
      <c r="K10" s="14"/>
      <c r="L10" s="14"/>
      <c r="M10" s="21"/>
      <c r="N10" s="50"/>
      <c r="O10" s="48" t="s">
        <v>236</v>
      </c>
      <c r="P10" s="38"/>
      <c r="Q10" s="38"/>
      <c r="R10" s="38"/>
      <c r="S10" s="38"/>
      <c r="T10" s="38"/>
      <c r="U10" s="38"/>
      <c r="V10" s="38"/>
      <c r="W10" s="38"/>
      <c r="X10" s="39"/>
      <c r="Y10" s="41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</row>
    <row r="11" ht="26.25" customHeight="1">
      <c r="A11" s="68"/>
      <c r="B11" s="69"/>
      <c r="C11" s="35"/>
      <c r="D11" s="79">
        <f>COUNTIF(DADOS_INV!$AG$3:$AG$9,"&lt;="&amp;$D$7)</f>
        <v>0</v>
      </c>
      <c r="E11" s="38"/>
      <c r="F11" s="38"/>
      <c r="G11" s="38"/>
      <c r="H11" s="38"/>
      <c r="I11" s="38"/>
      <c r="J11" s="38"/>
      <c r="K11" s="38"/>
      <c r="L11" s="38"/>
      <c r="M11" s="39"/>
      <c r="N11" s="50"/>
      <c r="O11" s="81">
        <f>COUNTIF(DADOS_INV!$AI$3:$AI$9,"&lt;="&amp;$D$7)</f>
        <v>1</v>
      </c>
      <c r="P11" s="26"/>
      <c r="Q11" s="26"/>
      <c r="R11" s="26"/>
      <c r="S11" s="26"/>
      <c r="T11" s="26"/>
      <c r="U11" s="26"/>
      <c r="V11" s="26"/>
      <c r="W11" s="26"/>
      <c r="X11" s="31"/>
      <c r="Y11" s="41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</row>
    <row r="12" ht="15.0" customHeight="1">
      <c r="A12" s="68"/>
      <c r="B12" s="69"/>
      <c r="C12" s="4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4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</row>
    <row r="13" ht="15.0" customHeight="1">
      <c r="A13" s="68"/>
      <c r="B13" s="69"/>
      <c r="C13" s="42"/>
      <c r="D13" s="87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0"/>
      <c r="AQ13" s="90"/>
      <c r="AR13" s="90"/>
      <c r="AS13" s="90"/>
      <c r="AT13" s="67"/>
    </row>
    <row r="14" ht="15.0" customHeight="1">
      <c r="A14" s="68"/>
      <c r="B14" s="69"/>
      <c r="C14" s="42"/>
      <c r="D14" s="94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5"/>
      <c r="AE14" s="95"/>
      <c r="AF14" s="95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6"/>
    </row>
    <row r="15" ht="15.0" customHeight="1">
      <c r="A15" s="68"/>
      <c r="B15" s="69"/>
      <c r="C15" s="42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</row>
    <row r="16" ht="15.0" customHeight="1">
      <c r="A16" s="68"/>
      <c r="B16" s="69"/>
      <c r="C16" s="35"/>
      <c r="D16" s="37" t="s">
        <v>277</v>
      </c>
      <c r="E16" s="14"/>
      <c r="F16" s="21"/>
      <c r="G16" s="40" t="s">
        <v>278</v>
      </c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9"/>
      <c r="Y16" s="41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</row>
    <row r="17" ht="15.0" customHeight="1">
      <c r="A17" s="68"/>
      <c r="B17" s="69"/>
      <c r="C17" s="35"/>
      <c r="D17" s="43"/>
      <c r="E17" s="26"/>
      <c r="F17" s="31"/>
      <c r="G17" s="45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42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2"/>
      <c r="AK17" s="46"/>
      <c r="AL17" s="46"/>
      <c r="AM17" s="46"/>
      <c r="AN17" s="46"/>
      <c r="AO17" s="46"/>
      <c r="AP17" s="46"/>
      <c r="AQ17" s="46"/>
      <c r="AR17" s="46"/>
      <c r="AS17" s="46"/>
      <c r="AT17" s="46"/>
    </row>
    <row r="18" ht="15.0" customHeight="1">
      <c r="A18" s="68"/>
      <c r="B18" s="69"/>
      <c r="C18" s="35"/>
      <c r="D18" s="48" t="s">
        <v>288</v>
      </c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9"/>
      <c r="Y18" s="50"/>
      <c r="Z18" s="48" t="s">
        <v>295</v>
      </c>
      <c r="AA18" s="38"/>
      <c r="AB18" s="38"/>
      <c r="AC18" s="38"/>
      <c r="AD18" s="38"/>
      <c r="AE18" s="38"/>
      <c r="AF18" s="38"/>
      <c r="AG18" s="38"/>
      <c r="AH18" s="38"/>
      <c r="AI18" s="39"/>
      <c r="AJ18" s="50"/>
      <c r="AK18" s="48" t="s">
        <v>210</v>
      </c>
      <c r="AL18" s="38"/>
      <c r="AM18" s="38"/>
      <c r="AN18" s="38"/>
      <c r="AO18" s="38"/>
      <c r="AP18" s="38"/>
      <c r="AQ18" s="38"/>
      <c r="AR18" s="38"/>
      <c r="AS18" s="38"/>
      <c r="AT18" s="39"/>
    </row>
    <row r="19" ht="33.75" customHeight="1">
      <c r="A19" s="68"/>
      <c r="B19" s="69"/>
      <c r="C19" s="35"/>
      <c r="D19" s="106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9"/>
      <c r="Y19" s="50"/>
      <c r="Z19" s="108" t="s">
        <v>316</v>
      </c>
      <c r="AA19" s="38"/>
      <c r="AB19" s="38"/>
      <c r="AC19" s="38"/>
      <c r="AD19" s="38"/>
      <c r="AE19" s="38"/>
      <c r="AF19" s="38"/>
      <c r="AG19" s="38"/>
      <c r="AH19" s="38"/>
      <c r="AI19" s="39"/>
      <c r="AJ19" s="50"/>
      <c r="AK19" s="108" t="s">
        <v>191</v>
      </c>
      <c r="AL19" s="38"/>
      <c r="AM19" s="38"/>
      <c r="AN19" s="38"/>
      <c r="AO19" s="38"/>
      <c r="AP19" s="38"/>
      <c r="AQ19" s="38"/>
      <c r="AR19" s="38"/>
      <c r="AS19" s="38"/>
      <c r="AT19" s="39"/>
    </row>
    <row r="20" ht="15.0" customHeight="1">
      <c r="A20" s="68"/>
      <c r="B20" s="69"/>
      <c r="C20" s="42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4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42"/>
      <c r="AK20" s="32"/>
      <c r="AL20" s="32"/>
      <c r="AM20" s="32"/>
      <c r="AN20" s="32"/>
      <c r="AO20" s="32"/>
      <c r="AP20" s="32"/>
      <c r="AQ20" s="32"/>
      <c r="AR20" s="32"/>
      <c r="AS20" s="32"/>
      <c r="AT20" s="32"/>
    </row>
    <row r="21" ht="15.0" customHeight="1">
      <c r="A21" s="68"/>
      <c r="B21" s="69"/>
      <c r="C21" s="35"/>
      <c r="D21" s="48" t="s">
        <v>322</v>
      </c>
      <c r="E21" s="38"/>
      <c r="F21" s="38"/>
      <c r="G21" s="38"/>
      <c r="H21" s="38"/>
      <c r="I21" s="38"/>
      <c r="J21" s="38"/>
      <c r="K21" s="38"/>
      <c r="L21" s="38"/>
      <c r="M21" s="39"/>
      <c r="N21" s="41"/>
      <c r="O21" s="112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3"/>
      <c r="AB21" s="113"/>
      <c r="AC21" s="113"/>
      <c r="AD21" s="113"/>
      <c r="AE21" s="113"/>
      <c r="AF21" s="113"/>
      <c r="AG21" s="113"/>
      <c r="AH21" s="113"/>
      <c r="AI21" s="113"/>
      <c r="AJ21" s="113"/>
      <c r="AK21" s="113"/>
      <c r="AL21" s="113"/>
      <c r="AM21" s="113"/>
      <c r="AN21" s="113"/>
      <c r="AO21" s="113"/>
      <c r="AP21" s="113"/>
      <c r="AQ21" s="113"/>
      <c r="AR21" s="113"/>
      <c r="AS21" s="113"/>
      <c r="AT21" s="115"/>
    </row>
    <row r="22" ht="27.0" customHeight="1">
      <c r="A22" s="68"/>
      <c r="B22" s="69"/>
      <c r="C22" s="35"/>
      <c r="D22" s="117" t="s">
        <v>330</v>
      </c>
      <c r="E22" s="38"/>
      <c r="F22" s="38"/>
      <c r="G22" s="38"/>
      <c r="H22" s="38"/>
      <c r="I22" s="38"/>
      <c r="J22" s="38"/>
      <c r="K22" s="38"/>
      <c r="L22" s="38"/>
      <c r="M22" s="39"/>
      <c r="N22" s="41"/>
      <c r="O22" s="118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0"/>
      <c r="AQ22" s="90"/>
      <c r="AR22" s="90"/>
      <c r="AS22" s="90"/>
      <c r="AT22" s="67"/>
    </row>
    <row r="23" ht="15.0" customHeight="1">
      <c r="A23" s="68"/>
      <c r="B23" s="69"/>
      <c r="C23" s="4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42"/>
      <c r="O23" s="94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  <c r="AA23" s="95"/>
      <c r="AB23" s="95"/>
      <c r="AC23" s="95"/>
      <c r="AD23" s="95"/>
      <c r="AE23" s="95"/>
      <c r="AF23" s="95"/>
      <c r="AG23" s="95"/>
      <c r="AH23" s="95"/>
      <c r="AI23" s="95"/>
      <c r="AJ23" s="95"/>
      <c r="AK23" s="95"/>
      <c r="AL23" s="95"/>
      <c r="AM23" s="95"/>
      <c r="AN23" s="95"/>
      <c r="AO23" s="95"/>
      <c r="AP23" s="95"/>
      <c r="AQ23" s="95"/>
      <c r="AR23" s="95"/>
      <c r="AS23" s="95"/>
      <c r="AT23" s="96"/>
    </row>
    <row r="24" ht="15.0" customHeight="1">
      <c r="A24" s="68"/>
      <c r="B24" s="69"/>
      <c r="C24" s="42"/>
      <c r="D24" s="87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0"/>
      <c r="AQ24" s="90"/>
      <c r="AR24" s="90"/>
      <c r="AS24" s="90"/>
      <c r="AT24" s="67"/>
    </row>
    <row r="25" ht="15.0" customHeight="1">
      <c r="A25" s="68"/>
      <c r="B25" s="69"/>
      <c r="C25" s="42"/>
      <c r="D25" s="94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6"/>
    </row>
    <row r="26" ht="15.0" customHeight="1">
      <c r="A26" s="94"/>
      <c r="B26" s="96"/>
      <c r="C26" s="42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</row>
    <row r="27" ht="15.0" customHeight="1">
      <c r="A27" s="6"/>
      <c r="B27" s="6"/>
      <c r="C27" s="35"/>
      <c r="D27" s="37" t="s">
        <v>344</v>
      </c>
      <c r="E27" s="14"/>
      <c r="F27" s="21"/>
      <c r="G27" s="40" t="s">
        <v>345</v>
      </c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9"/>
      <c r="AG27" s="41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</row>
    <row r="28" ht="15.0" customHeight="1">
      <c r="A28" s="6"/>
      <c r="B28" s="6"/>
      <c r="C28" s="35"/>
      <c r="D28" s="43"/>
      <c r="E28" s="26"/>
      <c r="F28" s="31"/>
      <c r="G28" s="45"/>
      <c r="H28" s="33"/>
      <c r="I28" s="33"/>
      <c r="J28" s="33"/>
      <c r="K28" s="32"/>
      <c r="L28" s="33"/>
      <c r="M28" s="33"/>
      <c r="N28" s="33"/>
      <c r="O28" s="33"/>
      <c r="P28" s="33"/>
      <c r="Q28" s="33"/>
      <c r="R28" s="33"/>
      <c r="S28" s="32"/>
      <c r="T28" s="33"/>
      <c r="U28" s="33"/>
      <c r="V28" s="33"/>
      <c r="W28" s="33"/>
      <c r="X28" s="33"/>
      <c r="Y28" s="33"/>
      <c r="Z28" s="33"/>
      <c r="AA28" s="32"/>
      <c r="AB28" s="33"/>
      <c r="AC28" s="33"/>
      <c r="AD28" s="33"/>
      <c r="AE28" s="33"/>
      <c r="AF28" s="33"/>
      <c r="AG28" s="46"/>
      <c r="AH28" s="46"/>
      <c r="AI28" s="42"/>
      <c r="AJ28" s="46"/>
      <c r="AK28" s="46"/>
      <c r="AL28" s="46"/>
      <c r="AM28" s="46"/>
      <c r="AN28" s="46"/>
      <c r="AO28" s="46"/>
      <c r="AP28" s="46"/>
      <c r="AQ28" s="42"/>
      <c r="AR28" s="42"/>
      <c r="AS28" s="42"/>
      <c r="AT28" s="42"/>
    </row>
    <row r="29" ht="15.0" customHeight="1">
      <c r="A29" s="6"/>
      <c r="B29" s="6"/>
      <c r="C29" s="35"/>
      <c r="D29" s="48" t="s">
        <v>307</v>
      </c>
      <c r="E29" s="38"/>
      <c r="F29" s="38"/>
      <c r="G29" s="38"/>
      <c r="H29" s="38"/>
      <c r="I29" s="38"/>
      <c r="J29" s="39"/>
      <c r="K29" s="50"/>
      <c r="L29" s="48" t="s">
        <v>309</v>
      </c>
      <c r="M29" s="38"/>
      <c r="N29" s="38"/>
      <c r="O29" s="38"/>
      <c r="P29" s="38"/>
      <c r="Q29" s="38"/>
      <c r="R29" s="39"/>
      <c r="S29" s="50"/>
      <c r="T29" s="48" t="s">
        <v>311</v>
      </c>
      <c r="U29" s="38"/>
      <c r="V29" s="38"/>
      <c r="W29" s="38"/>
      <c r="X29" s="38"/>
      <c r="Y29" s="38"/>
      <c r="Z29" s="39"/>
      <c r="AA29" s="50"/>
      <c r="AB29" s="48" t="s">
        <v>312</v>
      </c>
      <c r="AC29" s="38"/>
      <c r="AD29" s="38"/>
      <c r="AE29" s="38"/>
      <c r="AF29" s="38"/>
      <c r="AG29" s="38"/>
      <c r="AH29" s="39"/>
      <c r="AI29" s="50"/>
      <c r="AJ29" s="48" t="s">
        <v>314</v>
      </c>
      <c r="AK29" s="38"/>
      <c r="AL29" s="38"/>
      <c r="AM29" s="38"/>
      <c r="AN29" s="38"/>
      <c r="AO29" s="38"/>
      <c r="AP29" s="39"/>
      <c r="AQ29" s="41"/>
      <c r="AR29" s="42"/>
      <c r="AS29" s="42"/>
      <c r="AT29" s="42"/>
    </row>
    <row r="30" ht="15.0" customHeight="1">
      <c r="A30" s="66" t="s">
        <v>346</v>
      </c>
      <c r="B30" s="67"/>
      <c r="C30" s="35"/>
      <c r="D30" s="126">
        <v>0.0</v>
      </c>
      <c r="E30" s="14"/>
      <c r="F30" s="14"/>
      <c r="G30" s="14"/>
      <c r="H30" s="14"/>
      <c r="I30" s="14"/>
      <c r="J30" s="21"/>
      <c r="K30" s="50"/>
      <c r="L30" s="126">
        <v>0.0</v>
      </c>
      <c r="M30" s="14"/>
      <c r="N30" s="14"/>
      <c r="O30" s="14"/>
      <c r="P30" s="14"/>
      <c r="Q30" s="14"/>
      <c r="R30" s="21"/>
      <c r="S30" s="50"/>
      <c r="T30" s="126">
        <v>0.0</v>
      </c>
      <c r="U30" s="14"/>
      <c r="V30" s="14"/>
      <c r="W30" s="14"/>
      <c r="X30" s="14"/>
      <c r="Y30" s="14"/>
      <c r="Z30" s="21"/>
      <c r="AA30" s="50"/>
      <c r="AB30" s="126">
        <v>0.0</v>
      </c>
      <c r="AC30" s="14"/>
      <c r="AD30" s="14"/>
      <c r="AE30" s="14"/>
      <c r="AF30" s="14"/>
      <c r="AG30" s="14"/>
      <c r="AH30" s="21"/>
      <c r="AI30" s="50"/>
      <c r="AJ30" s="126">
        <v>0.0</v>
      </c>
      <c r="AK30" s="14"/>
      <c r="AL30" s="14"/>
      <c r="AM30" s="14"/>
      <c r="AN30" s="14"/>
      <c r="AO30" s="14"/>
      <c r="AP30" s="21"/>
      <c r="AQ30" s="41"/>
      <c r="AR30" s="42"/>
      <c r="AS30" s="42"/>
      <c r="AT30" s="42"/>
    </row>
    <row r="31" ht="15.0" customHeight="1">
      <c r="A31" s="68"/>
      <c r="B31" s="69"/>
      <c r="C31" s="35"/>
      <c r="D31" s="43"/>
      <c r="E31" s="26"/>
      <c r="F31" s="26"/>
      <c r="G31" s="26"/>
      <c r="H31" s="26"/>
      <c r="I31" s="26"/>
      <c r="J31" s="31"/>
      <c r="K31" s="50"/>
      <c r="L31" s="43"/>
      <c r="M31" s="26"/>
      <c r="N31" s="26"/>
      <c r="O31" s="26"/>
      <c r="P31" s="26"/>
      <c r="Q31" s="26"/>
      <c r="R31" s="31"/>
      <c r="S31" s="50"/>
      <c r="T31" s="43"/>
      <c r="U31" s="26"/>
      <c r="V31" s="26"/>
      <c r="W31" s="26"/>
      <c r="X31" s="26"/>
      <c r="Y31" s="26"/>
      <c r="Z31" s="31"/>
      <c r="AA31" s="50"/>
      <c r="AB31" s="43"/>
      <c r="AC31" s="26"/>
      <c r="AD31" s="26"/>
      <c r="AE31" s="26"/>
      <c r="AF31" s="26"/>
      <c r="AG31" s="26"/>
      <c r="AH31" s="31"/>
      <c r="AI31" s="50"/>
      <c r="AJ31" s="43"/>
      <c r="AK31" s="26"/>
      <c r="AL31" s="26"/>
      <c r="AM31" s="26"/>
      <c r="AN31" s="26"/>
      <c r="AO31" s="26"/>
      <c r="AP31" s="31"/>
      <c r="AQ31" s="41"/>
      <c r="AR31" s="42"/>
      <c r="AS31" s="42"/>
      <c r="AT31" s="42"/>
    </row>
    <row r="32" ht="15.0" customHeight="1">
      <c r="A32" s="68"/>
      <c r="B32" s="69"/>
      <c r="C32" s="35"/>
      <c r="D32" s="129" t="s">
        <v>62</v>
      </c>
      <c r="E32" s="38"/>
      <c r="F32" s="38"/>
      <c r="G32" s="38"/>
      <c r="H32" s="38"/>
      <c r="I32" s="38"/>
      <c r="J32" s="39"/>
      <c r="K32" s="50"/>
      <c r="L32" s="129" t="s">
        <v>80</v>
      </c>
      <c r="M32" s="38"/>
      <c r="N32" s="38"/>
      <c r="O32" s="38"/>
      <c r="P32" s="38"/>
      <c r="Q32" s="38"/>
      <c r="R32" s="39"/>
      <c r="S32" s="50"/>
      <c r="T32" s="129" t="s">
        <v>326</v>
      </c>
      <c r="U32" s="38"/>
      <c r="V32" s="38"/>
      <c r="W32" s="38"/>
      <c r="X32" s="38"/>
      <c r="Y32" s="38"/>
      <c r="Z32" s="39"/>
      <c r="AA32" s="50"/>
      <c r="AB32" s="129" t="s">
        <v>138</v>
      </c>
      <c r="AC32" s="38"/>
      <c r="AD32" s="38"/>
      <c r="AE32" s="38"/>
      <c r="AF32" s="38"/>
      <c r="AG32" s="38"/>
      <c r="AH32" s="39"/>
      <c r="AI32" s="50"/>
      <c r="AJ32" s="129" t="s">
        <v>222</v>
      </c>
      <c r="AK32" s="38"/>
      <c r="AL32" s="38"/>
      <c r="AM32" s="38"/>
      <c r="AN32" s="38"/>
      <c r="AO32" s="38"/>
      <c r="AP32" s="39"/>
      <c r="AQ32" s="41"/>
      <c r="AR32" s="42"/>
      <c r="AS32" s="42"/>
      <c r="AT32" s="42"/>
    </row>
    <row r="33" ht="15.0" customHeight="1">
      <c r="A33" s="68"/>
      <c r="B33" s="69"/>
      <c r="C33" s="42"/>
      <c r="D33" s="33"/>
      <c r="E33" s="33"/>
      <c r="F33" s="33"/>
      <c r="G33" s="33"/>
      <c r="H33" s="33"/>
      <c r="I33" s="33"/>
      <c r="J33" s="33"/>
      <c r="K33" s="46"/>
      <c r="L33" s="33"/>
      <c r="M33" s="33"/>
      <c r="N33" s="32"/>
      <c r="O33" s="33"/>
      <c r="P33" s="33"/>
      <c r="Q33" s="33"/>
      <c r="R33" s="33"/>
      <c r="S33" s="46"/>
      <c r="T33" s="33"/>
      <c r="U33" s="33"/>
      <c r="V33" s="33"/>
      <c r="W33" s="33"/>
      <c r="X33" s="33"/>
      <c r="Y33" s="32"/>
      <c r="Z33" s="33"/>
      <c r="AA33" s="46"/>
      <c r="AB33" s="33"/>
      <c r="AC33" s="33"/>
      <c r="AD33" s="33"/>
      <c r="AE33" s="33"/>
      <c r="AF33" s="33"/>
      <c r="AG33" s="33"/>
      <c r="AH33" s="33"/>
      <c r="AI33" s="46"/>
      <c r="AJ33" s="33"/>
      <c r="AK33" s="33"/>
      <c r="AL33" s="33"/>
      <c r="AM33" s="33"/>
      <c r="AN33" s="33"/>
      <c r="AO33" s="33"/>
      <c r="AP33" s="33"/>
      <c r="AQ33" s="46"/>
      <c r="AR33" s="46"/>
      <c r="AS33" s="46"/>
      <c r="AT33" s="46"/>
    </row>
    <row r="34" ht="15.0" customHeight="1">
      <c r="A34" s="68"/>
      <c r="B34" s="69"/>
      <c r="C34" s="35"/>
      <c r="D34" s="48" t="s">
        <v>371</v>
      </c>
      <c r="E34" s="38"/>
      <c r="F34" s="38"/>
      <c r="G34" s="38"/>
      <c r="H34" s="38"/>
      <c r="I34" s="38"/>
      <c r="J34" s="38"/>
      <c r="K34" s="38"/>
      <c r="L34" s="38"/>
      <c r="M34" s="39"/>
      <c r="N34" s="50"/>
      <c r="O34" s="48" t="s">
        <v>382</v>
      </c>
      <c r="P34" s="38"/>
      <c r="Q34" s="38"/>
      <c r="R34" s="38"/>
      <c r="S34" s="38"/>
      <c r="T34" s="38"/>
      <c r="U34" s="38"/>
      <c r="V34" s="38"/>
      <c r="W34" s="38"/>
      <c r="X34" s="39"/>
      <c r="Y34" s="50"/>
      <c r="Z34" s="48" t="s">
        <v>385</v>
      </c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9"/>
    </row>
    <row r="35" ht="21.75" customHeight="1">
      <c r="A35" s="68"/>
      <c r="B35" s="69"/>
      <c r="C35" s="35"/>
      <c r="D35" s="139">
        <f>$D$30+$L$30+$T$30+$AB$30+$AJ$30</f>
        <v>0</v>
      </c>
      <c r="E35" s="38"/>
      <c r="F35" s="38"/>
      <c r="G35" s="38"/>
      <c r="H35" s="38"/>
      <c r="I35" s="38"/>
      <c r="J35" s="38"/>
      <c r="K35" s="38"/>
      <c r="L35" s="38"/>
      <c r="M35" s="39"/>
      <c r="N35" s="50"/>
      <c r="O35" s="139">
        <f>(9+$D$11)</f>
        <v>9</v>
      </c>
      <c r="P35" s="38"/>
      <c r="Q35" s="38"/>
      <c r="R35" s="38"/>
      <c r="S35" s="38"/>
      <c r="T35" s="38"/>
      <c r="U35" s="38"/>
      <c r="V35" s="38"/>
      <c r="W35" s="38"/>
      <c r="X35" s="39"/>
      <c r="Y35" s="50"/>
      <c r="Z35" s="148" t="str">
        <f>IF($D$30+$L$30+$T$30+$AB$30+$AJ$30&gt;(9+$D$11),"estourou o total",IF(MAX($D$30,$L$30,$T$30,$AB$30,$AJ$30)&gt;6,"estourou o teto de 6",IF($D$30+$L$30+$T$30+$AB$30+$AJ$30&lt;(9+$D$11),"sobrou ponto","ok")))</f>
        <v>sobrou ponto</v>
      </c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9"/>
    </row>
    <row r="36" ht="15.0" customHeight="1">
      <c r="A36" s="68"/>
      <c r="B36" s="69"/>
      <c r="C36" s="4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4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4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</row>
    <row r="37" ht="15.0" customHeight="1">
      <c r="A37" s="68"/>
      <c r="B37" s="69"/>
      <c r="C37" s="42"/>
      <c r="D37" s="87" t="s">
        <v>422</v>
      </c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  <c r="AE37" s="90"/>
      <c r="AF37" s="90"/>
      <c r="AG37" s="90"/>
      <c r="AH37" s="90"/>
      <c r="AI37" s="90"/>
      <c r="AJ37" s="90"/>
      <c r="AK37" s="90"/>
      <c r="AL37" s="90"/>
      <c r="AM37" s="90"/>
      <c r="AN37" s="90"/>
      <c r="AO37" s="90"/>
      <c r="AP37" s="90"/>
      <c r="AQ37" s="90"/>
      <c r="AR37" s="90"/>
      <c r="AS37" s="90"/>
      <c r="AT37" s="67"/>
    </row>
    <row r="38" ht="15.0" customHeight="1">
      <c r="A38" s="68"/>
      <c r="B38" s="69"/>
      <c r="C38" s="42"/>
      <c r="D38" s="94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6"/>
    </row>
    <row r="39" ht="15.0" customHeight="1">
      <c r="A39" s="68"/>
      <c r="B39" s="69"/>
      <c r="C39" s="42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</row>
    <row r="40" ht="15.0" customHeight="1">
      <c r="A40" s="68"/>
      <c r="B40" s="69"/>
      <c r="C40" s="35"/>
      <c r="D40" s="37" t="s">
        <v>433</v>
      </c>
      <c r="E40" s="14"/>
      <c r="F40" s="21"/>
      <c r="G40" s="40" t="s">
        <v>435</v>
      </c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9"/>
      <c r="AI40" s="41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</row>
    <row r="41" ht="15.0" customHeight="1">
      <c r="A41" s="68"/>
      <c r="B41" s="69"/>
      <c r="C41" s="35"/>
      <c r="D41" s="43"/>
      <c r="E41" s="26"/>
      <c r="F41" s="31"/>
      <c r="G41" s="45"/>
      <c r="H41" s="33"/>
      <c r="I41" s="33"/>
      <c r="J41" s="33"/>
      <c r="K41" s="33"/>
      <c r="L41" s="33"/>
      <c r="M41" s="33"/>
      <c r="N41" s="32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2"/>
      <c r="Z41" s="33"/>
      <c r="AA41" s="33"/>
      <c r="AB41" s="33"/>
      <c r="AC41" s="33"/>
      <c r="AD41" s="33"/>
      <c r="AE41" s="33"/>
      <c r="AF41" s="33"/>
      <c r="AG41" s="33"/>
      <c r="AH41" s="33"/>
      <c r="AI41" s="46"/>
      <c r="AJ41" s="42"/>
      <c r="AK41" s="46"/>
      <c r="AL41" s="46"/>
      <c r="AM41" s="46"/>
      <c r="AN41" s="46"/>
      <c r="AO41" s="46"/>
      <c r="AP41" s="46"/>
      <c r="AQ41" s="46"/>
      <c r="AR41" s="46"/>
      <c r="AS41" s="46"/>
      <c r="AT41" s="46"/>
    </row>
    <row r="42" ht="15.0" customHeight="1">
      <c r="A42" s="68"/>
      <c r="B42" s="69"/>
      <c r="C42" s="35"/>
      <c r="D42" s="48" t="s">
        <v>442</v>
      </c>
      <c r="E42" s="38"/>
      <c r="F42" s="38"/>
      <c r="G42" s="38"/>
      <c r="H42" s="38"/>
      <c r="I42" s="38"/>
      <c r="J42" s="38"/>
      <c r="K42" s="38"/>
      <c r="L42" s="38"/>
      <c r="M42" s="39"/>
      <c r="N42" s="50"/>
      <c r="O42" s="48" t="s">
        <v>443</v>
      </c>
      <c r="P42" s="38"/>
      <c r="Q42" s="38"/>
      <c r="R42" s="38"/>
      <c r="S42" s="38"/>
      <c r="T42" s="38"/>
      <c r="U42" s="38"/>
      <c r="V42" s="38"/>
      <c r="W42" s="38"/>
      <c r="X42" s="39"/>
      <c r="Y42" s="50"/>
      <c r="Z42" s="48" t="s">
        <v>446</v>
      </c>
      <c r="AA42" s="38"/>
      <c r="AB42" s="38"/>
      <c r="AC42" s="38"/>
      <c r="AD42" s="38"/>
      <c r="AE42" s="38"/>
      <c r="AF42" s="38"/>
      <c r="AG42" s="38"/>
      <c r="AH42" s="38"/>
      <c r="AI42" s="39"/>
      <c r="AJ42" s="50"/>
      <c r="AK42" s="48" t="s">
        <v>449</v>
      </c>
      <c r="AL42" s="38"/>
      <c r="AM42" s="38"/>
      <c r="AN42" s="38"/>
      <c r="AO42" s="38"/>
      <c r="AP42" s="38"/>
      <c r="AQ42" s="38"/>
      <c r="AR42" s="38"/>
      <c r="AS42" s="38"/>
      <c r="AT42" s="39"/>
    </row>
    <row r="43" ht="25.5" customHeight="1">
      <c r="A43" s="68"/>
      <c r="B43" s="69"/>
      <c r="C43" s="35"/>
      <c r="D43" s="108" t="s">
        <v>62</v>
      </c>
      <c r="E43" s="38"/>
      <c r="F43" s="38"/>
      <c r="G43" s="38"/>
      <c r="H43" s="38"/>
      <c r="I43" s="38"/>
      <c r="J43" s="38"/>
      <c r="K43" s="38"/>
      <c r="L43" s="38"/>
      <c r="M43" s="39"/>
      <c r="N43" s="50"/>
      <c r="O43" s="79">
        <f t="array" ref="O43">IF($D$43="","",INDEX(DADOS_INV!$AK$3:$AK$7,MATCH($D$43,DADOS_INV!$C$2:$C$6,0))+$AK$7)</f>
        <v>1</v>
      </c>
      <c r="P43" s="38"/>
      <c r="Q43" s="38"/>
      <c r="R43" s="38"/>
      <c r="S43" s="38"/>
      <c r="T43" s="38"/>
      <c r="U43" s="38"/>
      <c r="V43" s="38"/>
      <c r="W43" s="38"/>
      <c r="X43" s="39"/>
      <c r="Y43" s="50"/>
      <c r="Z43" s="108" t="s">
        <v>138</v>
      </c>
      <c r="AA43" s="38"/>
      <c r="AB43" s="38"/>
      <c r="AC43" s="38"/>
      <c r="AD43" s="38"/>
      <c r="AE43" s="38"/>
      <c r="AF43" s="38"/>
      <c r="AG43" s="38"/>
      <c r="AH43" s="38"/>
      <c r="AI43" s="39"/>
      <c r="AJ43" s="50"/>
      <c r="AK43" s="79">
        <f>10+$L$30+FLOOR(IF($Z$43="Essência",$O$7,$Z$7)/2,1)</f>
        <v>10</v>
      </c>
      <c r="AL43" s="38"/>
      <c r="AM43" s="38"/>
      <c r="AN43" s="38"/>
      <c r="AO43" s="38"/>
      <c r="AP43" s="38"/>
      <c r="AQ43" s="38"/>
      <c r="AR43" s="38"/>
      <c r="AS43" s="38"/>
      <c r="AT43" s="39"/>
    </row>
    <row r="44" ht="15.0" customHeight="1">
      <c r="A44" s="68"/>
      <c r="B44" s="69"/>
      <c r="C44" s="42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42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42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42"/>
      <c r="AK44" s="32"/>
      <c r="AL44" s="32"/>
      <c r="AM44" s="32"/>
      <c r="AN44" s="32"/>
      <c r="AO44" s="32"/>
      <c r="AP44" s="32"/>
      <c r="AQ44" s="32"/>
      <c r="AR44" s="32"/>
      <c r="AS44" s="32"/>
      <c r="AT44" s="32"/>
    </row>
    <row r="45" ht="15.0" customHeight="1">
      <c r="A45" s="68"/>
      <c r="B45" s="69"/>
      <c r="C45" s="35"/>
      <c r="D45" s="48" t="s">
        <v>468</v>
      </c>
      <c r="E45" s="38"/>
      <c r="F45" s="38"/>
      <c r="G45" s="38"/>
      <c r="H45" s="38"/>
      <c r="I45" s="38"/>
      <c r="J45" s="38"/>
      <c r="K45" s="38"/>
      <c r="L45" s="38"/>
      <c r="M45" s="39"/>
      <c r="N45" s="50"/>
      <c r="O45" s="48" t="s">
        <v>473</v>
      </c>
      <c r="P45" s="38"/>
      <c r="Q45" s="38"/>
      <c r="R45" s="38"/>
      <c r="S45" s="38"/>
      <c r="T45" s="38"/>
      <c r="U45" s="38"/>
      <c r="V45" s="38"/>
      <c r="W45" s="38"/>
      <c r="X45" s="39"/>
      <c r="Y45" s="50"/>
      <c r="Z45" s="48" t="s">
        <v>474</v>
      </c>
      <c r="AA45" s="38"/>
      <c r="AB45" s="38"/>
      <c r="AC45" s="38"/>
      <c r="AD45" s="38"/>
      <c r="AE45" s="38"/>
      <c r="AF45" s="38"/>
      <c r="AG45" s="38"/>
      <c r="AH45" s="38"/>
      <c r="AI45" s="39"/>
      <c r="AJ45" s="41"/>
      <c r="AK45" s="42"/>
      <c r="AL45" s="42"/>
      <c r="AM45" s="42"/>
      <c r="AN45" s="42"/>
      <c r="AO45" s="42"/>
      <c r="AP45" s="42"/>
      <c r="AQ45" s="42"/>
      <c r="AR45" s="42"/>
      <c r="AS45" s="42"/>
      <c r="AT45" s="42"/>
    </row>
    <row r="46" ht="25.5" customHeight="1">
      <c r="A46" s="68"/>
      <c r="B46" s="69"/>
      <c r="C46" s="35"/>
      <c r="D46" s="164" t="str">
        <f>IF($D$22="Presa","19 ou 20","20")</f>
        <v>19 ou 20</v>
      </c>
      <c r="E46" s="38"/>
      <c r="F46" s="38"/>
      <c r="G46" s="38"/>
      <c r="H46" s="38"/>
      <c r="I46" s="38"/>
      <c r="J46" s="38"/>
      <c r="K46" s="38"/>
      <c r="L46" s="38"/>
      <c r="M46" s="39"/>
      <c r="N46" s="50"/>
      <c r="O46" s="108" t="s">
        <v>28</v>
      </c>
      <c r="P46" s="38"/>
      <c r="Q46" s="38"/>
      <c r="R46" s="38"/>
      <c r="S46" s="38"/>
      <c r="T46" s="38"/>
      <c r="U46" s="38"/>
      <c r="V46" s="38"/>
      <c r="W46" s="38"/>
      <c r="X46" s="39"/>
      <c r="Y46" s="50"/>
      <c r="Z46" s="108" t="s">
        <v>62</v>
      </c>
      <c r="AA46" s="38"/>
      <c r="AB46" s="38"/>
      <c r="AC46" s="38"/>
      <c r="AD46" s="38"/>
      <c r="AE46" s="38"/>
      <c r="AF46" s="38"/>
      <c r="AG46" s="38"/>
      <c r="AH46" s="38"/>
      <c r="AI46" s="39"/>
      <c r="AJ46" s="41"/>
      <c r="AK46" s="42"/>
      <c r="AL46" s="42"/>
      <c r="AM46" s="42"/>
      <c r="AN46" s="42"/>
      <c r="AO46" s="42"/>
      <c r="AP46" s="42"/>
      <c r="AQ46" s="42"/>
      <c r="AR46" s="42"/>
      <c r="AS46" s="42"/>
      <c r="AT46" s="42"/>
    </row>
    <row r="47" ht="15.0" customHeight="1">
      <c r="A47" s="68"/>
      <c r="B47" s="69"/>
      <c r="C47" s="4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4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4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42"/>
      <c r="AK47" s="42"/>
      <c r="AL47" s="42"/>
      <c r="AM47" s="42"/>
      <c r="AN47" s="42"/>
      <c r="AO47" s="42"/>
      <c r="AP47" s="42"/>
      <c r="AQ47" s="42"/>
      <c r="AR47" s="42"/>
      <c r="AS47" s="42"/>
      <c r="AT47" s="42"/>
    </row>
    <row r="48" ht="15.0" customHeight="1">
      <c r="A48" s="94"/>
      <c r="B48" s="96"/>
      <c r="C48" s="42"/>
      <c r="D48" s="165" t="s">
        <v>492</v>
      </c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  <c r="AA48" s="90"/>
      <c r="AB48" s="90"/>
      <c r="AC48" s="90"/>
      <c r="AD48" s="90"/>
      <c r="AE48" s="90"/>
      <c r="AF48" s="90"/>
      <c r="AG48" s="90"/>
      <c r="AH48" s="90"/>
      <c r="AI48" s="90"/>
      <c r="AJ48" s="90"/>
      <c r="AK48" s="90"/>
      <c r="AL48" s="90"/>
      <c r="AM48" s="90"/>
      <c r="AN48" s="90"/>
      <c r="AO48" s="90"/>
      <c r="AP48" s="90"/>
      <c r="AQ48" s="90"/>
      <c r="AR48" s="90"/>
      <c r="AS48" s="90"/>
      <c r="AT48" s="67"/>
    </row>
    <row r="49" ht="15.0" customHeight="1">
      <c r="A49" s="6"/>
      <c r="B49" s="6"/>
      <c r="C49" s="35"/>
      <c r="D49" s="149" t="s">
        <v>497</v>
      </c>
      <c r="E49" s="38"/>
      <c r="F49" s="38"/>
      <c r="G49" s="38"/>
      <c r="H49" s="38"/>
      <c r="I49" s="38"/>
      <c r="J49" s="39"/>
      <c r="K49" s="166" t="s">
        <v>500</v>
      </c>
      <c r="L49" s="48" t="s">
        <v>502</v>
      </c>
      <c r="M49" s="38"/>
      <c r="N49" s="38"/>
      <c r="O49" s="38"/>
      <c r="P49" s="39"/>
      <c r="Q49" s="167" t="s">
        <v>506</v>
      </c>
      <c r="R49" s="38"/>
      <c r="S49" s="38"/>
      <c r="T49" s="38"/>
      <c r="U49" s="38"/>
      <c r="V49" s="38"/>
      <c r="W49" s="38"/>
      <c r="X49" s="39"/>
      <c r="Y49" s="168"/>
      <c r="Z49" s="149" t="s">
        <v>497</v>
      </c>
      <c r="AA49" s="38"/>
      <c r="AB49" s="38"/>
      <c r="AC49" s="38"/>
      <c r="AD49" s="38"/>
      <c r="AE49" s="38"/>
      <c r="AF49" s="39"/>
      <c r="AG49" s="166" t="s">
        <v>500</v>
      </c>
      <c r="AH49" s="48" t="s">
        <v>502</v>
      </c>
      <c r="AI49" s="38"/>
      <c r="AJ49" s="38"/>
      <c r="AK49" s="38"/>
      <c r="AL49" s="39"/>
      <c r="AM49" s="167" t="s">
        <v>506</v>
      </c>
      <c r="AN49" s="38"/>
      <c r="AO49" s="38"/>
      <c r="AP49" s="38"/>
      <c r="AQ49" s="38"/>
      <c r="AR49" s="38"/>
      <c r="AS49" s="38"/>
      <c r="AT49" s="39"/>
    </row>
    <row r="50" ht="15.0" customHeight="1">
      <c r="A50" s="6"/>
      <c r="B50" s="6"/>
      <c r="C50" s="35"/>
      <c r="D50" s="152" t="s">
        <v>28</v>
      </c>
      <c r="E50" s="38"/>
      <c r="F50" s="38"/>
      <c r="G50" s="38"/>
      <c r="H50" s="38"/>
      <c r="I50" s="38"/>
      <c r="J50" s="39"/>
      <c r="K50" s="169"/>
      <c r="L50" s="170" t="s">
        <v>525</v>
      </c>
      <c r="M50" s="38"/>
      <c r="N50" s="38"/>
      <c r="O50" s="38"/>
      <c r="P50" s="39"/>
      <c r="Q50" s="171">
        <f t="array" ref="Q50">IFERROR(INDEX(DADOS_INV!$AK$3:$AK$7,MATCH($Z$46,DADOS_INV!$C$2:$C$6,0))+IF($O$46="Físico",$AK$7,0)+N($K$50),"")</f>
        <v>1</v>
      </c>
      <c r="R50" s="38"/>
      <c r="S50" s="38"/>
      <c r="T50" s="38"/>
      <c r="U50" s="39"/>
      <c r="V50" s="172"/>
      <c r="W50" s="32"/>
      <c r="X50" s="32"/>
      <c r="Y50" s="168"/>
      <c r="Z50" s="152" t="s">
        <v>56</v>
      </c>
      <c r="AA50" s="38"/>
      <c r="AB50" s="38"/>
      <c r="AC50" s="38"/>
      <c r="AD50" s="38"/>
      <c r="AE50" s="38"/>
      <c r="AF50" s="39"/>
      <c r="AG50" s="169"/>
      <c r="AH50" s="170" t="s">
        <v>547</v>
      </c>
      <c r="AI50" s="38"/>
      <c r="AJ50" s="38"/>
      <c r="AK50" s="38"/>
      <c r="AL50" s="39"/>
      <c r="AM50" s="173">
        <f t="array" ref="AM50">IFERROR(INDEX(DADOS_INV!$AK$3:$AK$7,MATCH("Constituição",DADOS_INV!$C$2:$C$6,0))+IF($O$46="Vigor",$AK$7,0)+N($AG$50),"")</f>
        <v>0</v>
      </c>
      <c r="AN50" s="26"/>
      <c r="AO50" s="26"/>
      <c r="AP50" s="26"/>
      <c r="AQ50" s="31"/>
      <c r="AR50" s="172"/>
      <c r="AS50" s="32"/>
      <c r="AT50" s="32"/>
    </row>
    <row r="51" ht="15.0" customHeight="1">
      <c r="A51" s="6"/>
      <c r="B51" s="6"/>
      <c r="C51" s="35"/>
      <c r="D51" s="157" t="s">
        <v>75</v>
      </c>
      <c r="E51" s="38"/>
      <c r="F51" s="38"/>
      <c r="G51" s="38"/>
      <c r="H51" s="38"/>
      <c r="I51" s="38"/>
      <c r="J51" s="39"/>
      <c r="K51" s="174"/>
      <c r="L51" s="175" t="s">
        <v>573</v>
      </c>
      <c r="M51" s="38"/>
      <c r="N51" s="38"/>
      <c r="O51" s="38"/>
      <c r="P51" s="39"/>
      <c r="Q51" s="176">
        <f t="array" ref="Q51">IFERROR(INDEX(DADOS_INV!$AK$3:$AK$7,MATCH("Inteligência",DADOS_INV!$C$2:$C$6,0))+IF($O$46="Intelecto",$AK$7,0)+N($K$51),"")</f>
        <v>0</v>
      </c>
      <c r="R51" s="38"/>
      <c r="S51" s="38"/>
      <c r="T51" s="38"/>
      <c r="U51" s="39"/>
      <c r="V51" s="41"/>
      <c r="W51" s="42"/>
      <c r="X51" s="42"/>
      <c r="Y51" s="35"/>
      <c r="Z51" s="157" t="s">
        <v>91</v>
      </c>
      <c r="AA51" s="38"/>
      <c r="AB51" s="38"/>
      <c r="AC51" s="38"/>
      <c r="AD51" s="38"/>
      <c r="AE51" s="38"/>
      <c r="AF51" s="39"/>
      <c r="AG51" s="174"/>
      <c r="AH51" s="175" t="s">
        <v>595</v>
      </c>
      <c r="AI51" s="38"/>
      <c r="AJ51" s="38"/>
      <c r="AK51" s="38"/>
      <c r="AL51" s="39"/>
      <c r="AM51" s="176">
        <f t="array" ref="AM51">IFERROR(INDEX(DADOS_INV!$AK$3:$AK$7,MATCH("Essência",DADOS_INV!$C$2:$C$6,0))+IF($O$46="Espírito",$AK$7,0)+N($AG$51),"")</f>
        <v>0</v>
      </c>
      <c r="AN51" s="38"/>
      <c r="AO51" s="38"/>
      <c r="AP51" s="38"/>
      <c r="AQ51" s="39"/>
      <c r="AR51" s="41"/>
      <c r="AS51" s="42"/>
      <c r="AT51" s="42"/>
    </row>
    <row r="52" ht="15.0" customHeight="1">
      <c r="A52" s="6"/>
      <c r="B52" s="6"/>
      <c r="C52" s="4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42"/>
      <c r="W52" s="42"/>
      <c r="X52" s="42"/>
      <c r="Y52" s="4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42"/>
      <c r="AS52" s="42"/>
      <c r="AT52" s="42"/>
    </row>
    <row r="53" ht="15.0" customHeight="1">
      <c r="A53" s="6"/>
      <c r="B53" s="6"/>
      <c r="C53" s="42"/>
      <c r="D53" s="87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  <c r="AA53" s="90"/>
      <c r="AB53" s="90"/>
      <c r="AC53" s="90"/>
      <c r="AD53" s="90"/>
      <c r="AE53" s="90"/>
      <c r="AF53" s="90"/>
      <c r="AG53" s="90"/>
      <c r="AH53" s="90"/>
      <c r="AI53" s="90"/>
      <c r="AJ53" s="90"/>
      <c r="AK53" s="90"/>
      <c r="AL53" s="90"/>
      <c r="AM53" s="90"/>
      <c r="AN53" s="90"/>
      <c r="AO53" s="90"/>
      <c r="AP53" s="90"/>
      <c r="AQ53" s="90"/>
      <c r="AR53" s="90"/>
      <c r="AS53" s="90"/>
      <c r="AT53" s="67"/>
    </row>
    <row r="54" ht="15.0" customHeight="1">
      <c r="A54" s="6"/>
      <c r="B54" s="6"/>
      <c r="C54" s="42"/>
      <c r="D54" s="94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  <c r="AM54" s="95"/>
      <c r="AN54" s="95"/>
      <c r="AO54" s="95"/>
      <c r="AP54" s="95"/>
      <c r="AQ54" s="95"/>
      <c r="AR54" s="95"/>
      <c r="AS54" s="95"/>
      <c r="AT54" s="96"/>
    </row>
    <row r="55" ht="15.0" customHeight="1">
      <c r="A55" s="6"/>
      <c r="B55" s="6"/>
      <c r="C55" s="42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  <c r="AQ55" s="42"/>
      <c r="AR55" s="42"/>
      <c r="AS55" s="42"/>
      <c r="AT55" s="42"/>
    </row>
    <row r="56" ht="15.0" customHeight="1">
      <c r="A56" s="6"/>
      <c r="B56" s="6"/>
      <c r="C56" s="35"/>
      <c r="D56" s="37" t="s">
        <v>607</v>
      </c>
      <c r="E56" s="14"/>
      <c r="F56" s="21"/>
      <c r="G56" s="40" t="s">
        <v>609</v>
      </c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9"/>
      <c r="U56" s="41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2"/>
      <c r="AQ56" s="42"/>
      <c r="AR56" s="42"/>
      <c r="AS56" s="42"/>
      <c r="AT56" s="42"/>
    </row>
    <row r="57" ht="15.0" customHeight="1">
      <c r="A57" s="6"/>
      <c r="B57" s="6"/>
      <c r="C57" s="35"/>
      <c r="D57" s="43"/>
      <c r="E57" s="26"/>
      <c r="F57" s="31"/>
      <c r="G57" s="45"/>
      <c r="H57" s="33"/>
      <c r="I57" s="33"/>
      <c r="J57" s="33"/>
      <c r="K57" s="33"/>
      <c r="L57" s="33"/>
      <c r="M57" s="33"/>
      <c r="N57" s="32"/>
      <c r="O57" s="33"/>
      <c r="P57" s="33"/>
      <c r="Q57" s="33"/>
      <c r="R57" s="33"/>
      <c r="S57" s="33"/>
      <c r="T57" s="33"/>
      <c r="U57" s="46"/>
      <c r="V57" s="46"/>
      <c r="W57" s="46"/>
      <c r="X57" s="46"/>
      <c r="Y57" s="42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2"/>
      <c r="AK57" s="46"/>
      <c r="AL57" s="46"/>
      <c r="AM57" s="46"/>
      <c r="AN57" s="46"/>
      <c r="AO57" s="46"/>
      <c r="AP57" s="46"/>
      <c r="AQ57" s="46"/>
      <c r="AR57" s="46"/>
      <c r="AS57" s="46"/>
      <c r="AT57" s="46"/>
    </row>
    <row r="58" ht="15.0" customHeight="1">
      <c r="A58" s="6"/>
      <c r="B58" s="6"/>
      <c r="C58" s="35"/>
      <c r="D58" s="48" t="s">
        <v>612</v>
      </c>
      <c r="E58" s="38"/>
      <c r="F58" s="38"/>
      <c r="G58" s="38"/>
      <c r="H58" s="38"/>
      <c r="I58" s="38"/>
      <c r="J58" s="38"/>
      <c r="K58" s="38"/>
      <c r="L58" s="38"/>
      <c r="M58" s="39"/>
      <c r="N58" s="50"/>
      <c r="O58" s="48" t="s">
        <v>614</v>
      </c>
      <c r="P58" s="38"/>
      <c r="Q58" s="38"/>
      <c r="R58" s="38"/>
      <c r="S58" s="38"/>
      <c r="T58" s="38"/>
      <c r="U58" s="38"/>
      <c r="V58" s="38"/>
      <c r="W58" s="38"/>
      <c r="X58" s="39"/>
      <c r="Y58" s="50"/>
      <c r="Z58" s="48" t="s">
        <v>615</v>
      </c>
      <c r="AA58" s="38"/>
      <c r="AB58" s="38"/>
      <c r="AC58" s="38"/>
      <c r="AD58" s="38"/>
      <c r="AE58" s="38"/>
      <c r="AF58" s="38"/>
      <c r="AG58" s="38"/>
      <c r="AH58" s="38"/>
      <c r="AI58" s="39"/>
      <c r="AJ58" s="50"/>
      <c r="AK58" s="48" t="s">
        <v>616</v>
      </c>
      <c r="AL58" s="38"/>
      <c r="AM58" s="38"/>
      <c r="AN58" s="38"/>
      <c r="AO58" s="38"/>
      <c r="AP58" s="38"/>
      <c r="AQ58" s="38"/>
      <c r="AR58" s="38"/>
      <c r="AS58" s="38"/>
      <c r="AT58" s="39"/>
    </row>
    <row r="59" ht="15.0" customHeight="1">
      <c r="A59" s="6"/>
      <c r="B59" s="6"/>
      <c r="C59" s="35"/>
      <c r="D59" s="56">
        <f>IF($Z$19="","",IF(IFERROR(VLOOKUP($AK$19,DADOS_INV!$N$3:$R$5,4,FALSE),"cru")="forte",FLOOR(2.5*(IFERROR(VLOOKUP($Z$19,DADOS_INV!$K$3:$L$6,2,FALSE),0)+2*$D$7)+$T$30*$D$7,1),(IFERROR(VLOOKUP($Z$19,DADOS_INV!$K$3:$L$6,2,FALSE),0)+(2+$T$30)*$D$7))+IF($D$22="Parrudo",5*$AK$7,0))</f>
        <v>15</v>
      </c>
      <c r="E59" s="14"/>
      <c r="F59" s="14"/>
      <c r="G59" s="14"/>
      <c r="H59" s="14"/>
      <c r="I59" s="14"/>
      <c r="J59" s="14"/>
      <c r="K59" s="14"/>
      <c r="L59" s="14"/>
      <c r="M59" s="21"/>
      <c r="N59" s="50"/>
      <c r="O59" s="56">
        <f>D59</f>
        <v>15</v>
      </c>
      <c r="P59" s="14"/>
      <c r="Q59" s="14"/>
      <c r="R59" s="14"/>
      <c r="S59" s="14"/>
      <c r="T59" s="14"/>
      <c r="U59" s="14"/>
      <c r="V59" s="14"/>
      <c r="W59" s="14"/>
      <c r="X59" s="21"/>
      <c r="Y59" s="50"/>
      <c r="Z59" s="177">
        <f>IFERROR(VLOOKUP($AK$19,DADOS_INV!$N$3:$R$5,2,FALSE),"")</f>
        <v>1</v>
      </c>
      <c r="AA59" s="14"/>
      <c r="AB59" s="14"/>
      <c r="AC59" s="14"/>
      <c r="AD59" s="14"/>
      <c r="AE59" s="14"/>
      <c r="AF59" s="14"/>
      <c r="AG59" s="14"/>
      <c r="AH59" s="14"/>
      <c r="AI59" s="21"/>
      <c r="AJ59" s="50"/>
      <c r="AK59" s="177">
        <f>IFERROR(VLOOKUP($AK$19,DADOS_INV!$N$3:$R$5,5,FALSE),"")</f>
        <v>1</v>
      </c>
      <c r="AL59" s="14"/>
      <c r="AM59" s="14"/>
      <c r="AN59" s="14"/>
      <c r="AO59" s="14"/>
      <c r="AP59" s="14"/>
      <c r="AQ59" s="14"/>
      <c r="AR59" s="14"/>
      <c r="AS59" s="14"/>
      <c r="AT59" s="21"/>
    </row>
    <row r="60" ht="15.0" customHeight="1">
      <c r="A60" s="6"/>
      <c r="B60" s="6"/>
      <c r="C60" s="35"/>
      <c r="D60" s="43"/>
      <c r="E60" s="26"/>
      <c r="F60" s="26"/>
      <c r="G60" s="26"/>
      <c r="H60" s="26"/>
      <c r="I60" s="26"/>
      <c r="J60" s="26"/>
      <c r="K60" s="26"/>
      <c r="L60" s="26"/>
      <c r="M60" s="31"/>
      <c r="N60" s="50"/>
      <c r="O60" s="43"/>
      <c r="P60" s="26"/>
      <c r="Q60" s="26"/>
      <c r="R60" s="26"/>
      <c r="S60" s="26"/>
      <c r="T60" s="26"/>
      <c r="U60" s="26"/>
      <c r="V60" s="26"/>
      <c r="W60" s="26"/>
      <c r="X60" s="31"/>
      <c r="Y60" s="50"/>
      <c r="Z60" s="43"/>
      <c r="AA60" s="26"/>
      <c r="AB60" s="26"/>
      <c r="AC60" s="26"/>
      <c r="AD60" s="26"/>
      <c r="AE60" s="26"/>
      <c r="AF60" s="26"/>
      <c r="AG60" s="26"/>
      <c r="AH60" s="26"/>
      <c r="AI60" s="31"/>
      <c r="AJ60" s="50"/>
      <c r="AK60" s="43"/>
      <c r="AL60" s="26"/>
      <c r="AM60" s="26"/>
      <c r="AN60" s="26"/>
      <c r="AO60" s="26"/>
      <c r="AP60" s="26"/>
      <c r="AQ60" s="26"/>
      <c r="AR60" s="26"/>
      <c r="AS60" s="26"/>
      <c r="AT60" s="31"/>
    </row>
    <row r="61" ht="15.0" customHeight="1">
      <c r="A61" s="6"/>
      <c r="B61" s="6"/>
      <c r="C61" s="42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46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46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46"/>
      <c r="AK61" s="33"/>
      <c r="AL61" s="33"/>
      <c r="AM61" s="33"/>
      <c r="AN61" s="33"/>
      <c r="AO61" s="33"/>
      <c r="AP61" s="33"/>
      <c r="AQ61" s="33"/>
      <c r="AR61" s="33"/>
      <c r="AS61" s="33"/>
      <c r="AT61" s="33"/>
    </row>
    <row r="62" ht="15.0" customHeight="1">
      <c r="A62" s="6"/>
      <c r="B62" s="6"/>
      <c r="C62" s="35"/>
      <c r="D62" s="149" t="s">
        <v>629</v>
      </c>
      <c r="E62" s="38"/>
      <c r="F62" s="38"/>
      <c r="G62" s="38"/>
      <c r="H62" s="38"/>
      <c r="I62" s="38"/>
      <c r="J62" s="38"/>
      <c r="K62" s="38"/>
      <c r="L62" s="38"/>
      <c r="M62" s="38"/>
      <c r="N62" s="39"/>
      <c r="O62" s="178" t="str">
        <f>IFERROR(__xludf.DUMMYFUNCTION("IFERROR(SPARKLINE({MAX(0,MIN(N($O$59),N($D$59))),MAX(0,N($D$59)-MAX(0,N($O$59)))},{""charttype"",""bar"";""color1"",IF(IFERROR(N($O$59)/N($D$59),0)&lt;=0.25,""#C2334D"",IF(IFERROR(N($O$59)/N($D$59),0)&lt;=0.5,""#D89B3A"",""#E8DCD4""));""color2"",""#998ba2""}),"&amp;""""")"),"")</f>
        <v/>
      </c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9"/>
    </row>
    <row r="63" ht="15.0" customHeight="1">
      <c r="A63" s="6"/>
      <c r="B63" s="6"/>
      <c r="C63" s="42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2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2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</row>
    <row r="64" ht="15.0" customHeight="1">
      <c r="A64" s="6"/>
      <c r="B64" s="6"/>
      <c r="C64" s="35"/>
      <c r="D64" s="51" t="s">
        <v>633</v>
      </c>
      <c r="E64" s="14"/>
      <c r="F64" s="14"/>
      <c r="G64" s="14"/>
      <c r="H64" s="14"/>
      <c r="I64" s="14"/>
      <c r="J64" s="14"/>
      <c r="K64" s="14"/>
      <c r="L64" s="14"/>
      <c r="M64" s="21"/>
      <c r="N64" s="50"/>
      <c r="O64" s="48" t="s">
        <v>634</v>
      </c>
      <c r="P64" s="38"/>
      <c r="Q64" s="38"/>
      <c r="R64" s="38"/>
      <c r="S64" s="38"/>
      <c r="T64" s="38"/>
      <c r="U64" s="38"/>
      <c r="V64" s="38"/>
      <c r="W64" s="38"/>
      <c r="X64" s="39"/>
      <c r="Y64" s="50"/>
      <c r="Z64" s="51" t="s">
        <v>636</v>
      </c>
      <c r="AA64" s="14"/>
      <c r="AB64" s="14"/>
      <c r="AC64" s="14"/>
      <c r="AD64" s="14"/>
      <c r="AE64" s="14"/>
      <c r="AF64" s="14"/>
      <c r="AG64" s="14"/>
      <c r="AH64" s="14"/>
      <c r="AI64" s="21"/>
      <c r="AJ64" s="41"/>
      <c r="AK64" s="42"/>
      <c r="AL64" s="42"/>
      <c r="AM64" s="42"/>
      <c r="AN64" s="42"/>
      <c r="AO64" s="42"/>
      <c r="AP64" s="42"/>
      <c r="AQ64" s="42"/>
      <c r="AR64" s="42"/>
      <c r="AS64" s="42"/>
      <c r="AT64" s="42"/>
    </row>
    <row r="65" ht="26.25" customHeight="1">
      <c r="A65" s="6"/>
      <c r="B65" s="6"/>
      <c r="C65" s="35"/>
      <c r="D65" s="79">
        <f>IF($Z$19="","",5*(IFERROR(VLOOKUP($Z$19,DADOS_INV!$K$3:$L$6,2,FALSE),0)+(2+$T$30)*$D$7))</f>
        <v>30</v>
      </c>
      <c r="E65" s="38"/>
      <c r="F65" s="38"/>
      <c r="G65" s="38"/>
      <c r="H65" s="38"/>
      <c r="I65" s="38"/>
      <c r="J65" s="38"/>
      <c r="K65" s="38"/>
      <c r="L65" s="38"/>
      <c r="M65" s="39"/>
      <c r="N65" s="50"/>
      <c r="O65" s="81">
        <f>IF($Z$19="","",5*(IFERROR(VLOOKUP($Z$19,DADOS_INV!$K$3:$L$6,2,FALSE),0)+(2+$T$30)*$D$7)/2)</f>
        <v>15</v>
      </c>
      <c r="P65" s="26"/>
      <c r="Q65" s="26"/>
      <c r="R65" s="26"/>
      <c r="S65" s="26"/>
      <c r="T65" s="26"/>
      <c r="U65" s="26"/>
      <c r="V65" s="26"/>
      <c r="W65" s="26"/>
      <c r="X65" s="31"/>
      <c r="Y65" s="50"/>
      <c r="Z65" s="79">
        <f>IF($Z$19="","",FLOOR($D$59/2,1))</f>
        <v>7</v>
      </c>
      <c r="AA65" s="38"/>
      <c r="AB65" s="38"/>
      <c r="AC65" s="38"/>
      <c r="AD65" s="38"/>
      <c r="AE65" s="38"/>
      <c r="AF65" s="38"/>
      <c r="AG65" s="38"/>
      <c r="AH65" s="38"/>
      <c r="AI65" s="39"/>
      <c r="AJ65" s="41"/>
      <c r="AK65" s="42"/>
      <c r="AL65" s="42"/>
      <c r="AM65" s="42"/>
      <c r="AN65" s="42"/>
      <c r="AO65" s="42"/>
      <c r="AP65" s="42"/>
      <c r="AQ65" s="42"/>
      <c r="AR65" s="42"/>
      <c r="AS65" s="42"/>
      <c r="AT65" s="42"/>
    </row>
    <row r="66" ht="15.0" customHeight="1">
      <c r="A66" s="6"/>
      <c r="B66" s="6"/>
      <c r="C66" s="42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46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46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46"/>
      <c r="AK66" s="46"/>
      <c r="AL66" s="46"/>
      <c r="AM66" s="46"/>
      <c r="AN66" s="46"/>
      <c r="AO66" s="46"/>
      <c r="AP66" s="46"/>
      <c r="AQ66" s="46"/>
      <c r="AR66" s="46"/>
      <c r="AS66" s="46"/>
      <c r="AT66" s="46"/>
    </row>
    <row r="67" ht="15.0" customHeight="1">
      <c r="A67" s="6"/>
      <c r="B67" s="6"/>
      <c r="C67" s="35"/>
      <c r="D67" s="184" t="s">
        <v>643</v>
      </c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9"/>
    </row>
    <row r="68" ht="15.0" customHeight="1">
      <c r="A68" s="6"/>
      <c r="B68" s="6"/>
      <c r="C68" s="35"/>
      <c r="D68" s="188" t="s">
        <v>645</v>
      </c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21"/>
    </row>
    <row r="69" ht="15.0" customHeight="1">
      <c r="A69" s="6"/>
      <c r="B69" s="6"/>
      <c r="C69" s="35"/>
      <c r="D69" s="43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31"/>
    </row>
    <row r="70" ht="15.0" customHeight="1">
      <c r="A70" s="6"/>
      <c r="B70" s="6"/>
      <c r="C70" s="42"/>
      <c r="D70" s="189" t="s">
        <v>649</v>
      </c>
      <c r="AT70" s="69"/>
    </row>
    <row r="71" ht="15.0" customHeight="1">
      <c r="A71" s="6"/>
      <c r="B71" s="6"/>
      <c r="C71" s="42"/>
      <c r="D71" s="94"/>
      <c r="E71" s="95"/>
      <c r="F71" s="95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  <c r="AM71" s="95"/>
      <c r="AN71" s="95"/>
      <c r="AO71" s="95"/>
      <c r="AP71" s="95"/>
      <c r="AQ71" s="95"/>
      <c r="AR71" s="95"/>
      <c r="AS71" s="95"/>
      <c r="AT71" s="96"/>
    </row>
    <row r="72" ht="15.0" customHeight="1">
      <c r="A72" s="6"/>
      <c r="B72" s="6"/>
      <c r="C72" s="42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2"/>
      <c r="AH72" s="42"/>
      <c r="AI72" s="42"/>
      <c r="AJ72" s="42"/>
      <c r="AK72" s="42"/>
      <c r="AL72" s="42"/>
      <c r="AM72" s="42"/>
      <c r="AN72" s="42"/>
      <c r="AO72" s="42"/>
      <c r="AP72" s="42"/>
      <c r="AQ72" s="42"/>
      <c r="AR72" s="42"/>
      <c r="AS72" s="42"/>
      <c r="AT72" s="42"/>
    </row>
    <row r="73" ht="15.0" customHeight="1">
      <c r="A73" s="6"/>
      <c r="B73" s="6"/>
      <c r="C73" s="35"/>
      <c r="D73" s="37" t="s">
        <v>651</v>
      </c>
      <c r="E73" s="14"/>
      <c r="F73" s="21"/>
      <c r="G73" s="40" t="s">
        <v>652</v>
      </c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9"/>
      <c r="AG73" s="41"/>
      <c r="AH73" s="42"/>
      <c r="AI73" s="42"/>
      <c r="AJ73" s="42"/>
      <c r="AK73" s="42"/>
      <c r="AL73" s="42"/>
      <c r="AM73" s="42"/>
      <c r="AN73" s="42"/>
      <c r="AO73" s="42"/>
      <c r="AP73" s="42"/>
      <c r="AQ73" s="42"/>
      <c r="AR73" s="42"/>
      <c r="AS73" s="42"/>
      <c r="AT73" s="42"/>
    </row>
    <row r="74" ht="15.0" customHeight="1">
      <c r="A74" s="6"/>
      <c r="B74" s="6"/>
      <c r="C74" s="35"/>
      <c r="D74" s="43"/>
      <c r="E74" s="26"/>
      <c r="F74" s="31"/>
      <c r="G74" s="45"/>
      <c r="H74" s="33"/>
      <c r="I74" s="33"/>
      <c r="J74" s="33"/>
      <c r="K74" s="33"/>
      <c r="L74" s="33"/>
      <c r="M74" s="33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42"/>
      <c r="AH74" s="42"/>
      <c r="AI74" s="42"/>
      <c r="AJ74" s="42"/>
      <c r="AK74" s="42"/>
      <c r="AL74" s="42"/>
      <c r="AM74" s="42"/>
      <c r="AN74" s="42"/>
      <c r="AO74" s="42"/>
      <c r="AP74" s="42"/>
      <c r="AQ74" s="42"/>
      <c r="AR74" s="42"/>
      <c r="AS74" s="42"/>
      <c r="AT74" s="42"/>
    </row>
    <row r="75" ht="15.0" customHeight="1">
      <c r="A75" s="6"/>
      <c r="B75" s="6"/>
      <c r="C75" s="35"/>
      <c r="D75" s="48" t="s">
        <v>654</v>
      </c>
      <c r="E75" s="38"/>
      <c r="F75" s="38"/>
      <c r="G75" s="38"/>
      <c r="H75" s="38"/>
      <c r="I75" s="38"/>
      <c r="J75" s="38"/>
      <c r="K75" s="38"/>
      <c r="L75" s="38"/>
      <c r="M75" s="39"/>
      <c r="N75" s="41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42"/>
      <c r="AQ75" s="42"/>
      <c r="AR75" s="42"/>
      <c r="AS75" s="42"/>
      <c r="AT75" s="42"/>
    </row>
    <row r="76" ht="15.0" customHeight="1">
      <c r="A76" s="6"/>
      <c r="B76" s="6"/>
      <c r="C76" s="35"/>
      <c r="D76" s="56">
        <f>FLOOR((8+4*$D$11)*IFERROR(VLOOKUP($AK$19,DADOS_INV!$N$3:$R$5,3,FALSE),1),1)</f>
        <v>12</v>
      </c>
      <c r="E76" s="14"/>
      <c r="F76" s="14"/>
      <c r="G76" s="14"/>
      <c r="H76" s="14"/>
      <c r="I76" s="14"/>
      <c r="J76" s="14"/>
      <c r="K76" s="14"/>
      <c r="L76" s="14"/>
      <c r="M76" s="21"/>
      <c r="N76" s="41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42"/>
      <c r="AQ76" s="42"/>
      <c r="AR76" s="42"/>
      <c r="AS76" s="42"/>
      <c r="AT76" s="42"/>
    </row>
    <row r="77" ht="15.0" customHeight="1">
      <c r="A77" s="6"/>
      <c r="B77" s="6"/>
      <c r="C77" s="35"/>
      <c r="D77" s="43"/>
      <c r="E77" s="26"/>
      <c r="F77" s="26"/>
      <c r="G77" s="26"/>
      <c r="H77" s="26"/>
      <c r="I77" s="26"/>
      <c r="J77" s="26"/>
      <c r="K77" s="26"/>
      <c r="L77" s="26"/>
      <c r="M77" s="31"/>
      <c r="N77" s="41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42"/>
      <c r="AQ77" s="42"/>
      <c r="AR77" s="42"/>
      <c r="AS77" s="42"/>
      <c r="AT77" s="42"/>
    </row>
    <row r="78" ht="15.0" customHeight="1">
      <c r="A78" s="6"/>
      <c r="B78" s="6"/>
      <c r="C78" s="42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2"/>
      <c r="Y78" s="42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2"/>
    </row>
    <row r="79" ht="15.0" customHeight="1">
      <c r="A79" s="6"/>
      <c r="B79" s="6"/>
      <c r="C79" s="35"/>
      <c r="D79" s="193" t="s">
        <v>657</v>
      </c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194" t="s">
        <v>659</v>
      </c>
      <c r="P79" s="38"/>
      <c r="Q79" s="38"/>
      <c r="R79" s="38"/>
      <c r="S79" s="195" t="s">
        <v>413</v>
      </c>
      <c r="T79" s="38"/>
      <c r="U79" s="38"/>
      <c r="V79" s="38"/>
      <c r="W79" s="39"/>
      <c r="X79" s="41"/>
      <c r="Y79" s="35"/>
      <c r="Z79" s="193" t="s">
        <v>661</v>
      </c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194" t="s">
        <v>659</v>
      </c>
      <c r="AL79" s="38"/>
      <c r="AM79" s="38"/>
      <c r="AN79" s="38"/>
      <c r="AO79" s="195" t="s">
        <v>413</v>
      </c>
      <c r="AP79" s="38"/>
      <c r="AQ79" s="38"/>
      <c r="AR79" s="38"/>
      <c r="AS79" s="39"/>
      <c r="AT79" s="41"/>
    </row>
    <row r="80" ht="15.0" customHeight="1">
      <c r="A80" s="6"/>
      <c r="B80" s="6"/>
      <c r="C80" s="35"/>
      <c r="D80" s="152" t="s">
        <v>368</v>
      </c>
      <c r="E80" s="38"/>
      <c r="F80" s="38"/>
      <c r="G80" s="38"/>
      <c r="H80" s="38"/>
      <c r="I80" s="38"/>
      <c r="J80" s="38"/>
      <c r="K80" s="38"/>
      <c r="L80" s="38"/>
      <c r="M80" s="38"/>
      <c r="N80" s="39"/>
      <c r="O80" s="199" t="s">
        <v>368</v>
      </c>
      <c r="P80" s="38"/>
      <c r="Q80" s="38"/>
      <c r="R80" s="39"/>
      <c r="S80" s="201">
        <f>IFERROR(VLOOKUP($D80,DADOS_INV!$T$3:$U$16,2,FALSE),N($O80))</f>
        <v>0</v>
      </c>
      <c r="T80" s="38"/>
      <c r="U80" s="38"/>
      <c r="V80" s="38"/>
      <c r="W80" s="39"/>
      <c r="X80" s="41"/>
      <c r="Y80" s="35"/>
      <c r="Z80" s="152" t="s">
        <v>368</v>
      </c>
      <c r="AA80" s="38"/>
      <c r="AB80" s="38"/>
      <c r="AC80" s="38"/>
      <c r="AD80" s="38"/>
      <c r="AE80" s="38"/>
      <c r="AF80" s="38"/>
      <c r="AG80" s="38"/>
      <c r="AH80" s="38"/>
      <c r="AI80" s="38"/>
      <c r="AJ80" s="39"/>
      <c r="AK80" s="199" t="s">
        <v>368</v>
      </c>
      <c r="AL80" s="38"/>
      <c r="AM80" s="38"/>
      <c r="AN80" s="39"/>
      <c r="AO80" s="201">
        <f>IFERROR(VLOOKUP($Z$80,DADOS_INV!$W$3:$X$10,2,FALSE),N($AK80))</f>
        <v>0</v>
      </c>
      <c r="AP80" s="38"/>
      <c r="AQ80" s="38"/>
      <c r="AR80" s="38"/>
      <c r="AS80" s="39"/>
      <c r="AT80" s="41"/>
    </row>
    <row r="81" ht="15.0" customHeight="1">
      <c r="A81" s="6"/>
      <c r="B81" s="6"/>
      <c r="C81" s="35"/>
      <c r="D81" s="157" t="s">
        <v>368</v>
      </c>
      <c r="E81" s="38"/>
      <c r="F81" s="38"/>
      <c r="G81" s="38"/>
      <c r="H81" s="38"/>
      <c r="I81" s="38"/>
      <c r="J81" s="38"/>
      <c r="K81" s="38"/>
      <c r="L81" s="38"/>
      <c r="M81" s="38"/>
      <c r="N81" s="39"/>
      <c r="O81" s="202" t="s">
        <v>368</v>
      </c>
      <c r="P81" s="38"/>
      <c r="Q81" s="38"/>
      <c r="R81" s="39"/>
      <c r="S81" s="203">
        <f>IFERROR(VLOOKUP($D81,DADOS_INV!$T$3:$U$16,2,FALSE),N($O81))</f>
        <v>0</v>
      </c>
      <c r="T81" s="38"/>
      <c r="U81" s="38"/>
      <c r="V81" s="38"/>
      <c r="W81" s="39"/>
      <c r="X81" s="41"/>
      <c r="Y81" s="35"/>
      <c r="Z81" s="157" t="s">
        <v>368</v>
      </c>
      <c r="AA81" s="38"/>
      <c r="AB81" s="38"/>
      <c r="AC81" s="38"/>
      <c r="AD81" s="38"/>
      <c r="AE81" s="38"/>
      <c r="AF81" s="38"/>
      <c r="AG81" s="38"/>
      <c r="AH81" s="38"/>
      <c r="AI81" s="38"/>
      <c r="AJ81" s="39"/>
      <c r="AK81" s="202" t="s">
        <v>368</v>
      </c>
      <c r="AL81" s="38"/>
      <c r="AM81" s="38"/>
      <c r="AN81" s="39"/>
      <c r="AO81" s="203">
        <f>IFERROR(VLOOKUP($Z$81,DADOS_INV!$W$3:$X$10,2,FALSE),N($AK81))</f>
        <v>0</v>
      </c>
      <c r="AP81" s="38"/>
      <c r="AQ81" s="38"/>
      <c r="AR81" s="38"/>
      <c r="AS81" s="39"/>
      <c r="AT81" s="41"/>
    </row>
    <row r="82" ht="15.0" customHeight="1">
      <c r="A82" s="6"/>
      <c r="B82" s="6"/>
      <c r="C82" s="35"/>
      <c r="D82" s="152" t="s">
        <v>368</v>
      </c>
      <c r="E82" s="38"/>
      <c r="F82" s="38"/>
      <c r="G82" s="38"/>
      <c r="H82" s="38"/>
      <c r="I82" s="38"/>
      <c r="J82" s="38"/>
      <c r="K82" s="38"/>
      <c r="L82" s="38"/>
      <c r="M82" s="38"/>
      <c r="N82" s="39"/>
      <c r="O82" s="199" t="s">
        <v>368</v>
      </c>
      <c r="P82" s="38"/>
      <c r="Q82" s="38"/>
      <c r="R82" s="39"/>
      <c r="S82" s="201">
        <f>IFERROR(VLOOKUP($D82,DADOS_INV!$T$3:$U$16,2,FALSE),N($O82))</f>
        <v>0</v>
      </c>
      <c r="T82" s="38"/>
      <c r="U82" s="38"/>
      <c r="V82" s="38"/>
      <c r="W82" s="39"/>
      <c r="X82" s="41"/>
      <c r="Y82" s="35"/>
      <c r="Z82" s="152" t="s">
        <v>368</v>
      </c>
      <c r="AA82" s="38"/>
      <c r="AB82" s="38"/>
      <c r="AC82" s="38"/>
      <c r="AD82" s="38"/>
      <c r="AE82" s="38"/>
      <c r="AF82" s="38"/>
      <c r="AG82" s="38"/>
      <c r="AH82" s="38"/>
      <c r="AI82" s="38"/>
      <c r="AJ82" s="39"/>
      <c r="AK82" s="199" t="s">
        <v>368</v>
      </c>
      <c r="AL82" s="38"/>
      <c r="AM82" s="38"/>
      <c r="AN82" s="39"/>
      <c r="AO82" s="201">
        <f>IFERROR(VLOOKUP($Z$82,DADOS_INV!$W$3:$X$10,2,FALSE),N($AK82))</f>
        <v>0</v>
      </c>
      <c r="AP82" s="38"/>
      <c r="AQ82" s="38"/>
      <c r="AR82" s="38"/>
      <c r="AS82" s="39"/>
      <c r="AT82" s="41"/>
    </row>
    <row r="83" ht="15.0" customHeight="1">
      <c r="A83" s="6"/>
      <c r="B83" s="6"/>
      <c r="C83" s="35"/>
      <c r="D83" s="157" t="s">
        <v>368</v>
      </c>
      <c r="E83" s="38"/>
      <c r="F83" s="38"/>
      <c r="G83" s="38"/>
      <c r="H83" s="38"/>
      <c r="I83" s="38"/>
      <c r="J83" s="38"/>
      <c r="K83" s="38"/>
      <c r="L83" s="38"/>
      <c r="M83" s="38"/>
      <c r="N83" s="39"/>
      <c r="O83" s="202" t="s">
        <v>368</v>
      </c>
      <c r="P83" s="38"/>
      <c r="Q83" s="38"/>
      <c r="R83" s="39"/>
      <c r="S83" s="203">
        <f>IFERROR(VLOOKUP($D83,DADOS_INV!$T$3:$U$16,2,FALSE),N($O83))</f>
        <v>0</v>
      </c>
      <c r="T83" s="38"/>
      <c r="U83" s="38"/>
      <c r="V83" s="38"/>
      <c r="W83" s="39"/>
      <c r="X83" s="41"/>
      <c r="Y83" s="35"/>
      <c r="Z83" s="157" t="s">
        <v>368</v>
      </c>
      <c r="AA83" s="38"/>
      <c r="AB83" s="38"/>
      <c r="AC83" s="38"/>
      <c r="AD83" s="38"/>
      <c r="AE83" s="38"/>
      <c r="AF83" s="38"/>
      <c r="AG83" s="38"/>
      <c r="AH83" s="38"/>
      <c r="AI83" s="38"/>
      <c r="AJ83" s="39"/>
      <c r="AK83" s="202" t="s">
        <v>368</v>
      </c>
      <c r="AL83" s="38"/>
      <c r="AM83" s="38"/>
      <c r="AN83" s="39"/>
      <c r="AO83" s="203">
        <f>IFERROR(VLOOKUP($Z$83,DADOS_INV!$W$3:$X$10,2,FALSE),N($AK83))</f>
        <v>0</v>
      </c>
      <c r="AP83" s="38"/>
      <c r="AQ83" s="38"/>
      <c r="AR83" s="38"/>
      <c r="AS83" s="39"/>
      <c r="AT83" s="41"/>
    </row>
    <row r="84" ht="15.0" customHeight="1">
      <c r="A84" s="6"/>
      <c r="B84" s="6"/>
      <c r="C84" s="35"/>
      <c r="D84" s="152" t="s">
        <v>368</v>
      </c>
      <c r="E84" s="38"/>
      <c r="F84" s="38"/>
      <c r="G84" s="38"/>
      <c r="H84" s="38"/>
      <c r="I84" s="38"/>
      <c r="J84" s="38"/>
      <c r="K84" s="38"/>
      <c r="L84" s="38"/>
      <c r="M84" s="38"/>
      <c r="N84" s="39"/>
      <c r="O84" s="199" t="s">
        <v>368</v>
      </c>
      <c r="P84" s="38"/>
      <c r="Q84" s="38"/>
      <c r="R84" s="39"/>
      <c r="S84" s="201">
        <f>IFERROR(VLOOKUP($D84,DADOS_INV!$T$3:$U$16,2,FALSE),N($O84))</f>
        <v>0</v>
      </c>
      <c r="T84" s="38"/>
      <c r="U84" s="38"/>
      <c r="V84" s="38"/>
      <c r="W84" s="39"/>
      <c r="X84" s="41"/>
      <c r="Y84" s="35"/>
      <c r="Z84" s="152" t="s">
        <v>368</v>
      </c>
      <c r="AA84" s="38"/>
      <c r="AB84" s="38"/>
      <c r="AC84" s="38"/>
      <c r="AD84" s="38"/>
      <c r="AE84" s="38"/>
      <c r="AF84" s="38"/>
      <c r="AG84" s="38"/>
      <c r="AH84" s="38"/>
      <c r="AI84" s="38"/>
      <c r="AJ84" s="39"/>
      <c r="AK84" s="199" t="s">
        <v>368</v>
      </c>
      <c r="AL84" s="38"/>
      <c r="AM84" s="38"/>
      <c r="AN84" s="39"/>
      <c r="AO84" s="201">
        <f>IFERROR(VLOOKUP($Z$84,DADOS_INV!$W$3:$X$10,2,FALSE),N($AK84))</f>
        <v>0</v>
      </c>
      <c r="AP84" s="38"/>
      <c r="AQ84" s="38"/>
      <c r="AR84" s="38"/>
      <c r="AS84" s="39"/>
      <c r="AT84" s="41"/>
    </row>
    <row r="85" ht="15.0" customHeight="1">
      <c r="A85" s="6"/>
      <c r="B85" s="6"/>
      <c r="C85" s="35"/>
      <c r="D85" s="157" t="s">
        <v>368</v>
      </c>
      <c r="E85" s="38"/>
      <c r="F85" s="38"/>
      <c r="G85" s="38"/>
      <c r="H85" s="38"/>
      <c r="I85" s="38"/>
      <c r="J85" s="38"/>
      <c r="K85" s="38"/>
      <c r="L85" s="38"/>
      <c r="M85" s="38"/>
      <c r="N85" s="39"/>
      <c r="O85" s="202" t="s">
        <v>368</v>
      </c>
      <c r="P85" s="38"/>
      <c r="Q85" s="38"/>
      <c r="R85" s="39"/>
      <c r="S85" s="203">
        <f>IFERROR(VLOOKUP($D85,DADOS_INV!$T$3:$U$16,2,FALSE),N($O85))</f>
        <v>0</v>
      </c>
      <c r="T85" s="38"/>
      <c r="U85" s="38"/>
      <c r="V85" s="38"/>
      <c r="W85" s="39"/>
      <c r="X85" s="41"/>
      <c r="Y85" s="35"/>
      <c r="Z85" s="157" t="s">
        <v>368</v>
      </c>
      <c r="AA85" s="38"/>
      <c r="AB85" s="38"/>
      <c r="AC85" s="38"/>
      <c r="AD85" s="38"/>
      <c r="AE85" s="38"/>
      <c r="AF85" s="38"/>
      <c r="AG85" s="38"/>
      <c r="AH85" s="38"/>
      <c r="AI85" s="38"/>
      <c r="AJ85" s="39"/>
      <c r="AK85" s="202" t="s">
        <v>368</v>
      </c>
      <c r="AL85" s="38"/>
      <c r="AM85" s="38"/>
      <c r="AN85" s="39"/>
      <c r="AO85" s="203">
        <f>IFERROR(VLOOKUP($Z$85,DADOS_INV!$W$3:$X$10,2,FALSE),N($AK85))</f>
        <v>0</v>
      </c>
      <c r="AP85" s="38"/>
      <c r="AQ85" s="38"/>
      <c r="AR85" s="38"/>
      <c r="AS85" s="39"/>
      <c r="AT85" s="41"/>
    </row>
    <row r="86" ht="15.0" customHeight="1">
      <c r="A86" s="6"/>
      <c r="B86" s="6"/>
      <c r="C86" s="35"/>
      <c r="D86" s="152" t="s">
        <v>368</v>
      </c>
      <c r="E86" s="38"/>
      <c r="F86" s="38"/>
      <c r="G86" s="38"/>
      <c r="H86" s="38"/>
      <c r="I86" s="38"/>
      <c r="J86" s="38"/>
      <c r="K86" s="38"/>
      <c r="L86" s="38"/>
      <c r="M86" s="38"/>
      <c r="N86" s="39"/>
      <c r="O86" s="199" t="s">
        <v>368</v>
      </c>
      <c r="P86" s="38"/>
      <c r="Q86" s="38"/>
      <c r="R86" s="39"/>
      <c r="S86" s="201">
        <f>IFERROR(VLOOKUP($D86,DADOS_INV!$T$3:$U$16,2,FALSE),N($O86))</f>
        <v>0</v>
      </c>
      <c r="T86" s="38"/>
      <c r="U86" s="38"/>
      <c r="V86" s="38"/>
      <c r="W86" s="39"/>
      <c r="X86" s="41"/>
      <c r="Y86" s="4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42"/>
    </row>
    <row r="87" ht="15.0" customHeight="1">
      <c r="A87" s="6"/>
      <c r="B87" s="6"/>
      <c r="C87" s="35"/>
      <c r="D87" s="157" t="s">
        <v>368</v>
      </c>
      <c r="E87" s="38"/>
      <c r="F87" s="38"/>
      <c r="G87" s="38"/>
      <c r="H87" s="38"/>
      <c r="I87" s="38"/>
      <c r="J87" s="38"/>
      <c r="K87" s="38"/>
      <c r="L87" s="38"/>
      <c r="M87" s="38"/>
      <c r="N87" s="39"/>
      <c r="O87" s="202" t="s">
        <v>368</v>
      </c>
      <c r="P87" s="38"/>
      <c r="Q87" s="38"/>
      <c r="R87" s="39"/>
      <c r="S87" s="203">
        <f>IFERROR(VLOOKUP($D87,DADOS_INV!$T$3:$U$16,2,FALSE),N($O87))</f>
        <v>0</v>
      </c>
      <c r="T87" s="38"/>
      <c r="U87" s="38"/>
      <c r="V87" s="38"/>
      <c r="W87" s="39"/>
      <c r="X87" s="41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2"/>
      <c r="AM87" s="42"/>
      <c r="AN87" s="42"/>
      <c r="AO87" s="42"/>
      <c r="AP87" s="42"/>
      <c r="AQ87" s="42"/>
      <c r="AR87" s="42"/>
      <c r="AS87" s="42"/>
      <c r="AT87" s="42"/>
    </row>
    <row r="88" ht="15.0" customHeight="1">
      <c r="A88" s="6"/>
      <c r="B88" s="6"/>
      <c r="C88" s="35"/>
      <c r="D88" s="152" t="s">
        <v>368</v>
      </c>
      <c r="E88" s="38"/>
      <c r="F88" s="38"/>
      <c r="G88" s="38"/>
      <c r="H88" s="38"/>
      <c r="I88" s="38"/>
      <c r="J88" s="38"/>
      <c r="K88" s="38"/>
      <c r="L88" s="38"/>
      <c r="M88" s="38"/>
      <c r="N88" s="39"/>
      <c r="O88" s="199" t="s">
        <v>368</v>
      </c>
      <c r="P88" s="38"/>
      <c r="Q88" s="38"/>
      <c r="R88" s="39"/>
      <c r="S88" s="201">
        <f>IFERROR(VLOOKUP($D88,DADOS_INV!$T$3:$U$16,2,FALSE),N($O88))</f>
        <v>0</v>
      </c>
      <c r="T88" s="38"/>
      <c r="U88" s="38"/>
      <c r="V88" s="38"/>
      <c r="W88" s="39"/>
      <c r="X88" s="207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  <c r="AM88" s="46"/>
      <c r="AN88" s="46"/>
      <c r="AO88" s="46"/>
      <c r="AP88" s="46"/>
      <c r="AQ88" s="46"/>
      <c r="AR88" s="46"/>
      <c r="AS88" s="46"/>
      <c r="AT88" s="42"/>
    </row>
    <row r="89" ht="15.0" customHeight="1">
      <c r="A89" s="6"/>
      <c r="B89" s="6"/>
      <c r="C89" s="35"/>
      <c r="D89" s="211" t="str">
        <f>IF(SUMPRODUCT((D80:D88&lt;&gt;"")*(D80:D88&lt;&gt;"—")*(COUNTIF(DADOS_INV!$T$3:$T$16,D80:D88)=0)*((O80:O88="—")+(O80:O88="")))+SUMPRODUCT((Z80:Z85&lt;&gt;"")*(Z80:Z85&lt;&gt;"—")*(COUNTIF(DADOS_INV!$W$3:$W$10,Z80:Z85)=0)*((AK80:AK85="—")+(AK80:AK85="")))=0,"","⚠ "&amp;(SUMPRODUCT((D80:D88&lt;&gt;"")*(D80:D88&lt;&gt;"—")*(COUNTIF(DADOS_INV!$T$3:$T$16,D80:D88)=0)*((O80:O88="—")+(O80:O88="")))+SUMPRODUCT((Z80:Z85&lt;&gt;"")*(Z80:Z85&lt;&gt;"—")*(COUNTIF(DADOS_INV!$W$3:$W$10,Z80:Z85)=0)*((AK80:AK85="—")+(AK80:AK85=""))))&amp;" entrada(s) escrita(s) à mão sem DEGRAU escolhido — elas estão custando 0. Ache na régua do CATÁLOGO o degrau em que o efeito cai.")</f>
        <v/>
      </c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9"/>
      <c r="AT89" s="41"/>
    </row>
    <row r="90" ht="15.0" customHeight="1">
      <c r="A90" s="6"/>
      <c r="B90" s="6"/>
      <c r="C90" s="35"/>
      <c r="D90" s="214" t="s">
        <v>669</v>
      </c>
      <c r="E90" s="26"/>
      <c r="F90" s="26"/>
      <c r="G90" s="26"/>
      <c r="H90" s="26"/>
      <c r="I90" s="26"/>
      <c r="J90" s="26"/>
      <c r="K90" s="26"/>
      <c r="L90" s="26"/>
      <c r="M90" s="31"/>
      <c r="N90" s="215"/>
      <c r="O90" s="214" t="s">
        <v>670</v>
      </c>
      <c r="P90" s="26"/>
      <c r="Q90" s="26"/>
      <c r="R90" s="26"/>
      <c r="S90" s="26"/>
      <c r="T90" s="26"/>
      <c r="U90" s="26"/>
      <c r="V90" s="26"/>
      <c r="W90" s="26"/>
      <c r="X90" s="31"/>
      <c r="Y90" s="17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42"/>
    </row>
    <row r="91" ht="26.25" customHeight="1">
      <c r="A91" s="6"/>
      <c r="B91" s="6"/>
      <c r="C91" s="35"/>
      <c r="D91" s="79">
        <f>$S$80+$S$81+$S$82+$S$83+$S$84+$S$85+$S$86+$S$87+$S$88+$AO$80+$AO$81+$AO$82+$AO$83+$AO$84+$AO$85</f>
        <v>0</v>
      </c>
      <c r="E91" s="38"/>
      <c r="F91" s="38"/>
      <c r="G91" s="38"/>
      <c r="H91" s="38"/>
      <c r="I91" s="38"/>
      <c r="J91" s="38"/>
      <c r="K91" s="38"/>
      <c r="L91" s="38"/>
      <c r="M91" s="39"/>
      <c r="N91" s="50"/>
      <c r="O91" s="220">
        <f>IF($D$76-($S$80+$S$81+$S$82+$S$83+$S$84+$S$85+$S$86+$S$87+$S$88+$AO$80+$AO$81+$AO$82+$AO$83+$AO$84+$AO$85)&lt;0,"estourou "&amp;(($S$80+$S$81+$S$82+$S$83+$S$84+$S$85+$S$86+$S$87+$S$88+$AO$80+$AO$81+$AO$82+$AO$83+$AO$84+$AO$85)-$D$76),$D$76-($S$80+$S$81+$S$82+$S$83+$S$84+$S$85+$S$86+$S$87+$S$88+$AO$80+$AO$81+$AO$82+$AO$83+$AO$84+$AO$85))</f>
        <v>12</v>
      </c>
      <c r="P91" s="38"/>
      <c r="Q91" s="38"/>
      <c r="R91" s="38"/>
      <c r="S91" s="38"/>
      <c r="T91" s="38"/>
      <c r="U91" s="38"/>
      <c r="V91" s="38"/>
      <c r="W91" s="38"/>
      <c r="X91" s="39"/>
      <c r="Y91" s="41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2"/>
      <c r="AM91" s="42"/>
      <c r="AN91" s="42"/>
      <c r="AO91" s="42"/>
      <c r="AP91" s="42"/>
      <c r="AQ91" s="42"/>
      <c r="AR91" s="42"/>
      <c r="AS91" s="42"/>
      <c r="AT91" s="42"/>
    </row>
    <row r="92" ht="15.0" customHeight="1">
      <c r="A92" s="6"/>
      <c r="B92" s="6"/>
      <c r="C92" s="4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4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N92" s="42"/>
      <c r="AO92" s="42"/>
      <c r="AP92" s="42"/>
      <c r="AQ92" s="42"/>
      <c r="AR92" s="42"/>
      <c r="AS92" s="42"/>
      <c r="AT92" s="42"/>
    </row>
    <row r="93" ht="15.0" customHeight="1">
      <c r="A93" s="6"/>
      <c r="B93" s="6"/>
      <c r="C93" s="42"/>
      <c r="D93" s="87" t="s">
        <v>673</v>
      </c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0"/>
      <c r="AH93" s="90"/>
      <c r="AI93" s="90"/>
      <c r="AJ93" s="90"/>
      <c r="AK93" s="90"/>
      <c r="AL93" s="90"/>
      <c r="AM93" s="90"/>
      <c r="AN93" s="90"/>
      <c r="AO93" s="90"/>
      <c r="AP93" s="90"/>
      <c r="AQ93" s="90"/>
      <c r="AR93" s="90"/>
      <c r="AS93" s="90"/>
      <c r="AT93" s="67"/>
    </row>
    <row r="94" ht="15.0" customHeight="1">
      <c r="A94" s="6"/>
      <c r="B94" s="6"/>
      <c r="C94" s="42"/>
      <c r="D94" s="94"/>
      <c r="E94" s="95"/>
      <c r="F94" s="95"/>
      <c r="G94" s="95"/>
      <c r="H94" s="95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  <c r="AM94" s="95"/>
      <c r="AN94" s="95"/>
      <c r="AO94" s="95"/>
      <c r="AP94" s="95"/>
      <c r="AQ94" s="95"/>
      <c r="AR94" s="95"/>
      <c r="AS94" s="95"/>
      <c r="AT94" s="96"/>
    </row>
    <row r="95" ht="15.0" customHeight="1">
      <c r="A95" s="6"/>
      <c r="B95" s="6"/>
      <c r="C95" s="42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2"/>
      <c r="AD95" s="42"/>
      <c r="AE95" s="42"/>
      <c r="AF95" s="42"/>
      <c r="AG95" s="42"/>
      <c r="AH95" s="42"/>
      <c r="AI95" s="42"/>
      <c r="AJ95" s="42"/>
      <c r="AK95" s="42"/>
      <c r="AL95" s="42"/>
      <c r="AM95" s="42"/>
      <c r="AN95" s="42"/>
      <c r="AO95" s="42"/>
      <c r="AP95" s="42"/>
      <c r="AQ95" s="42"/>
      <c r="AR95" s="42"/>
      <c r="AS95" s="42"/>
      <c r="AT95" s="42"/>
    </row>
    <row r="96" ht="15.0" customHeight="1">
      <c r="A96" s="6"/>
      <c r="B96" s="6"/>
      <c r="C96" s="35"/>
      <c r="D96" s="37" t="s">
        <v>674</v>
      </c>
      <c r="E96" s="14"/>
      <c r="F96" s="21"/>
      <c r="G96" s="40" t="s">
        <v>675</v>
      </c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9"/>
      <c r="AC96" s="41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N96" s="42"/>
      <c r="AO96" s="42"/>
      <c r="AP96" s="42"/>
      <c r="AQ96" s="42"/>
      <c r="AR96" s="42"/>
      <c r="AS96" s="42"/>
      <c r="AT96" s="42"/>
    </row>
    <row r="97" ht="15.0" customHeight="1">
      <c r="A97" s="6"/>
      <c r="B97" s="6"/>
      <c r="C97" s="35"/>
      <c r="D97" s="43"/>
      <c r="E97" s="26"/>
      <c r="F97" s="31"/>
      <c r="G97" s="45"/>
      <c r="H97" s="33"/>
      <c r="I97" s="33"/>
      <c r="J97" s="33"/>
      <c r="K97" s="33"/>
      <c r="L97" s="33"/>
      <c r="M97" s="33"/>
      <c r="N97" s="32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6"/>
      <c r="AN97" s="46"/>
      <c r="AO97" s="46"/>
      <c r="AP97" s="46"/>
      <c r="AQ97" s="46"/>
      <c r="AR97" s="46"/>
      <c r="AS97" s="46"/>
      <c r="AT97" s="46"/>
    </row>
    <row r="98" ht="15.0" customHeight="1">
      <c r="A98" s="6"/>
      <c r="B98" s="6"/>
      <c r="C98" s="35"/>
      <c r="D98" s="51" t="s">
        <v>676</v>
      </c>
      <c r="E98" s="14"/>
      <c r="F98" s="14"/>
      <c r="G98" s="14"/>
      <c r="H98" s="14"/>
      <c r="I98" s="14"/>
      <c r="J98" s="14"/>
      <c r="K98" s="14"/>
      <c r="L98" s="14"/>
      <c r="M98" s="21"/>
      <c r="N98" s="50"/>
      <c r="O98" s="48" t="s">
        <v>677</v>
      </c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9"/>
    </row>
    <row r="99" ht="15.0" customHeight="1">
      <c r="A99" s="6"/>
      <c r="B99" s="6"/>
      <c r="C99" s="35"/>
      <c r="D99" s="56" t="str">
        <f>IF($D$7="","",VLOOKUP($D$7,DADOS_INV!$Z$3:$AB$9,IF($AK$19="Matilha",3,2),TRUE))</f>
        <v>1d6</v>
      </c>
      <c r="E99" s="14"/>
      <c r="F99" s="14"/>
      <c r="G99" s="14"/>
      <c r="H99" s="14"/>
      <c r="I99" s="14"/>
      <c r="J99" s="14"/>
      <c r="K99" s="14"/>
      <c r="L99" s="14"/>
      <c r="M99" s="21"/>
      <c r="N99" s="50"/>
      <c r="O99" s="222" t="str">
        <f>IF($AK$19="Matilha","cada um dos cinco rola isto",IF($AK$19="","","o corpo em campo rola isto"))</f>
        <v>o corpo em campo rola isto</v>
      </c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21"/>
    </row>
    <row r="100" ht="15.0" customHeight="1">
      <c r="A100" s="6"/>
      <c r="B100" s="6"/>
      <c r="C100" s="35"/>
      <c r="D100" s="43"/>
      <c r="E100" s="26"/>
      <c r="F100" s="26"/>
      <c r="G100" s="26"/>
      <c r="H100" s="26"/>
      <c r="I100" s="26"/>
      <c r="J100" s="26"/>
      <c r="K100" s="26"/>
      <c r="L100" s="26"/>
      <c r="M100" s="31"/>
      <c r="N100" s="50"/>
      <c r="O100" s="43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31"/>
    </row>
    <row r="101" ht="15.0" customHeight="1">
      <c r="A101" s="6"/>
      <c r="B101" s="6"/>
      <c r="C101" s="4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4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</row>
    <row r="102" ht="15.0" customHeight="1">
      <c r="A102" s="6"/>
      <c r="B102" s="6"/>
      <c r="C102" s="42"/>
      <c r="D102" s="87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  <c r="AA102" s="90"/>
      <c r="AB102" s="90"/>
      <c r="AC102" s="90"/>
      <c r="AD102" s="90"/>
      <c r="AE102" s="90"/>
      <c r="AF102" s="90"/>
      <c r="AG102" s="90"/>
      <c r="AH102" s="90"/>
      <c r="AI102" s="90"/>
      <c r="AJ102" s="90"/>
      <c r="AK102" s="90"/>
      <c r="AL102" s="90"/>
      <c r="AM102" s="90"/>
      <c r="AN102" s="90"/>
      <c r="AO102" s="90"/>
      <c r="AP102" s="90"/>
      <c r="AQ102" s="90"/>
      <c r="AR102" s="90"/>
      <c r="AS102" s="90"/>
      <c r="AT102" s="67"/>
    </row>
    <row r="103" ht="15.0" customHeight="1">
      <c r="A103" s="6"/>
      <c r="B103" s="6"/>
      <c r="C103" s="42"/>
      <c r="D103" s="94"/>
      <c r="E103" s="95"/>
      <c r="F103" s="95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  <c r="AM103" s="95"/>
      <c r="AN103" s="95"/>
      <c r="AO103" s="95"/>
      <c r="AP103" s="95"/>
      <c r="AQ103" s="95"/>
      <c r="AR103" s="95"/>
      <c r="AS103" s="95"/>
      <c r="AT103" s="96"/>
    </row>
    <row r="104" ht="15.0" customHeight="1">
      <c r="A104" s="6"/>
      <c r="B104" s="6"/>
      <c r="C104" s="42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/>
      <c r="AN104" s="42"/>
      <c r="AO104" s="42"/>
      <c r="AP104" s="42"/>
      <c r="AQ104" s="42"/>
      <c r="AR104" s="42"/>
      <c r="AS104" s="42"/>
      <c r="AT104" s="42"/>
    </row>
    <row r="105" ht="15.0" customHeight="1">
      <c r="A105" s="6"/>
      <c r="B105" s="6"/>
      <c r="C105" s="35"/>
      <c r="D105" s="37" t="s">
        <v>679</v>
      </c>
      <c r="E105" s="14"/>
      <c r="F105" s="21"/>
      <c r="G105" s="40" t="s">
        <v>680</v>
      </c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9"/>
      <c r="Y105" s="41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  <c r="AJ105" s="42"/>
      <c r="AK105" s="42"/>
      <c r="AL105" s="42"/>
      <c r="AM105" s="42"/>
      <c r="AN105" s="42"/>
      <c r="AO105" s="42"/>
      <c r="AP105" s="42"/>
      <c r="AQ105" s="42"/>
      <c r="AR105" s="42"/>
      <c r="AS105" s="42"/>
      <c r="AT105" s="42"/>
    </row>
    <row r="106" ht="15.0" customHeight="1">
      <c r="A106" s="6"/>
      <c r="B106" s="6"/>
      <c r="C106" s="35"/>
      <c r="D106" s="43"/>
      <c r="E106" s="26"/>
      <c r="F106" s="31"/>
      <c r="G106" s="45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46"/>
      <c r="Z106" s="46"/>
      <c r="AA106" s="46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  <c r="AM106" s="46"/>
      <c r="AN106" s="46"/>
      <c r="AO106" s="46"/>
      <c r="AP106" s="46"/>
      <c r="AQ106" s="46"/>
      <c r="AR106" s="46"/>
      <c r="AS106" s="46"/>
      <c r="AT106" s="46"/>
    </row>
    <row r="107" ht="15.0" customHeight="1">
      <c r="A107" s="6"/>
      <c r="B107" s="6"/>
      <c r="C107" s="35"/>
      <c r="D107" s="224" t="s">
        <v>682</v>
      </c>
      <c r="E107" s="38"/>
      <c r="F107" s="38"/>
      <c r="G107" s="38"/>
      <c r="H107" s="38"/>
      <c r="I107" s="38"/>
      <c r="J107" s="38"/>
      <c r="K107" s="38"/>
      <c r="L107" s="38"/>
      <c r="M107" s="38"/>
      <c r="N107" s="39"/>
      <c r="O107" s="225" t="str">
        <f>("custa "&amp;$O$11&amp;" PE e a Ação Padrão")</f>
        <v>custa 1 PE e a Ação Padrão</v>
      </c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  <c r="AS107" s="38"/>
      <c r="AT107" s="39"/>
    </row>
    <row r="108" ht="15.0" customHeight="1">
      <c r="A108" s="6"/>
      <c r="B108" s="6"/>
      <c r="C108" s="35"/>
      <c r="D108" s="226" t="s">
        <v>685</v>
      </c>
      <c r="E108" s="38"/>
      <c r="F108" s="38"/>
      <c r="G108" s="38"/>
      <c r="H108" s="38"/>
      <c r="I108" s="38"/>
      <c r="J108" s="38"/>
      <c r="K108" s="38"/>
      <c r="L108" s="38"/>
      <c r="M108" s="38"/>
      <c r="N108" s="39"/>
      <c r="O108" s="228" t="str">
        <f>"a Ação Padrão, toda rodada"</f>
        <v>a Ação Padrão, toda rodada</v>
      </c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9"/>
    </row>
    <row r="109" ht="15.0" customHeight="1">
      <c r="A109" s="6"/>
      <c r="B109" s="6"/>
      <c r="C109" s="35"/>
      <c r="D109" s="224" t="s">
        <v>475</v>
      </c>
      <c r="E109" s="38"/>
      <c r="F109" s="38"/>
      <c r="G109" s="38"/>
      <c r="H109" s="38"/>
      <c r="I109" s="38"/>
      <c r="J109" s="38"/>
      <c r="K109" s="38"/>
      <c r="L109" s="38"/>
      <c r="M109" s="38"/>
      <c r="N109" s="39"/>
      <c r="O109" s="225" t="str">
        <f>"a sua, e ela age logo depois de você"</f>
        <v>a sua, e ela age logo depois de você</v>
      </c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9"/>
    </row>
    <row r="110" ht="15.0" customHeight="1">
      <c r="A110" s="6"/>
      <c r="B110" s="6"/>
      <c r="C110" s="35"/>
      <c r="D110" s="226" t="s">
        <v>603</v>
      </c>
      <c r="E110" s="38"/>
      <c r="F110" s="38"/>
      <c r="G110" s="38"/>
      <c r="H110" s="38"/>
      <c r="I110" s="38"/>
      <c r="J110" s="38"/>
      <c r="K110" s="38"/>
      <c r="L110" s="38"/>
      <c r="M110" s="38"/>
      <c r="N110" s="39"/>
      <c r="O110" s="228" t="str">
        <f>(9&amp;" metros")</f>
        <v>9 metros</v>
      </c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9"/>
    </row>
    <row r="111" ht="15.0" customHeight="1">
      <c r="A111" s="6"/>
      <c r="B111" s="6"/>
      <c r="C111" s="35"/>
      <c r="D111" s="224" t="s">
        <v>686</v>
      </c>
      <c r="E111" s="38"/>
      <c r="F111" s="38"/>
      <c r="G111" s="38"/>
      <c r="H111" s="38"/>
      <c r="I111" s="38"/>
      <c r="J111" s="38"/>
      <c r="K111" s="38"/>
      <c r="L111" s="38"/>
      <c r="M111" s="38"/>
      <c r="N111" s="39"/>
      <c r="O111" s="225" t="str">
        <f>(18&amp;" metros — além disso não pode ser comandada, e não some")</f>
        <v>18 metros — além disso não pode ser comandada, e não some</v>
      </c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9"/>
    </row>
    <row r="112" ht="15.0" customHeight="1">
      <c r="A112" s="6"/>
      <c r="B112" s="6"/>
      <c r="C112" s="42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</row>
    <row r="113" ht="15.0" customHeight="1">
      <c r="A113" s="6"/>
      <c r="B113" s="6"/>
      <c r="C113" s="35"/>
      <c r="D113" s="37" t="s">
        <v>689</v>
      </c>
      <c r="E113" s="14"/>
      <c r="F113" s="21"/>
      <c r="G113" s="229" t="s">
        <v>690</v>
      </c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9"/>
      <c r="AG113" s="41"/>
      <c r="AH113" s="42"/>
      <c r="AI113" s="42"/>
      <c r="AJ113" s="42"/>
      <c r="AK113" s="42"/>
      <c r="AL113" s="42"/>
      <c r="AM113" s="42"/>
      <c r="AN113" s="42"/>
      <c r="AO113" s="42"/>
      <c r="AP113" s="42"/>
      <c r="AQ113" s="42"/>
      <c r="AR113" s="42"/>
      <c r="AS113" s="42"/>
      <c r="AT113" s="42"/>
    </row>
    <row r="114" ht="15.0" customHeight="1">
      <c r="A114" s="6"/>
      <c r="B114" s="6"/>
      <c r="C114" s="35"/>
      <c r="D114" s="43"/>
      <c r="E114" s="26"/>
      <c r="F114" s="31"/>
      <c r="G114" s="45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46"/>
      <c r="AH114" s="46"/>
      <c r="AI114" s="46"/>
      <c r="AJ114" s="46"/>
      <c r="AK114" s="46"/>
      <c r="AL114" s="46"/>
      <c r="AM114" s="46"/>
      <c r="AN114" s="46"/>
      <c r="AO114" s="46"/>
      <c r="AP114" s="46"/>
      <c r="AQ114" s="46"/>
      <c r="AR114" s="46"/>
      <c r="AS114" s="46"/>
      <c r="AT114" s="46"/>
    </row>
    <row r="115" ht="15.0" customHeight="1">
      <c r="A115" s="6"/>
      <c r="B115" s="6"/>
      <c r="C115" s="35"/>
      <c r="D115" s="184" t="s">
        <v>691</v>
      </c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9"/>
    </row>
    <row r="116" ht="15.0" customHeight="1">
      <c r="A116" s="6"/>
      <c r="B116" s="6"/>
      <c r="C116" s="35"/>
      <c r="D116" s="230" t="s">
        <v>692</v>
      </c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21"/>
    </row>
    <row r="117" ht="15.0" customHeight="1">
      <c r="A117" s="6"/>
      <c r="B117" s="6"/>
      <c r="C117" s="35"/>
      <c r="D117" s="47"/>
      <c r="AT117" s="49"/>
    </row>
    <row r="118" ht="15.0" customHeight="1">
      <c r="A118" s="6"/>
      <c r="B118" s="6"/>
      <c r="C118" s="35"/>
      <c r="D118" s="43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31"/>
    </row>
    <row r="119" ht="15.0" customHeight="1">
      <c r="A119" s="6"/>
      <c r="B119" s="6"/>
      <c r="C119" s="4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</row>
    <row r="120" ht="15.0" customHeight="1">
      <c r="A120" s="6"/>
      <c r="B120" s="6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  <c r="AC120" s="42"/>
      <c r="AD120" s="42"/>
      <c r="AE120" s="42"/>
      <c r="AF120" s="42"/>
      <c r="AG120" s="42"/>
      <c r="AH120" s="42"/>
      <c r="AI120" s="42"/>
      <c r="AJ120" s="42"/>
      <c r="AK120" s="42"/>
      <c r="AL120" s="42"/>
      <c r="AM120" s="42"/>
      <c r="AN120" s="42"/>
      <c r="AO120" s="42"/>
      <c r="AP120" s="42"/>
      <c r="AQ120" s="42"/>
      <c r="AR120" s="42"/>
      <c r="AS120" s="42"/>
      <c r="AT120" s="42"/>
    </row>
  </sheetData>
  <mergeCells count="197">
    <mergeCell ref="O11:X11"/>
    <mergeCell ref="D13:AT14"/>
    <mergeCell ref="A8:B26"/>
    <mergeCell ref="D27:F28"/>
    <mergeCell ref="A30:B48"/>
    <mergeCell ref="D40:F41"/>
    <mergeCell ref="D56:F57"/>
    <mergeCell ref="D73:F74"/>
    <mergeCell ref="D6:M6"/>
    <mergeCell ref="D7:M8"/>
    <mergeCell ref="O7:X8"/>
    <mergeCell ref="Z7:AI8"/>
    <mergeCell ref="AK7:AT8"/>
    <mergeCell ref="O10:X10"/>
    <mergeCell ref="D24:AT25"/>
    <mergeCell ref="T29:Z29"/>
    <mergeCell ref="T30:Z31"/>
    <mergeCell ref="AJ29:AP29"/>
    <mergeCell ref="AJ30:AP31"/>
    <mergeCell ref="AJ32:AP32"/>
    <mergeCell ref="G27:AF27"/>
    <mergeCell ref="D29:J29"/>
    <mergeCell ref="L29:R29"/>
    <mergeCell ref="AB29:AH29"/>
    <mergeCell ref="D30:J31"/>
    <mergeCell ref="D32:J32"/>
    <mergeCell ref="T32:Z32"/>
    <mergeCell ref="D64:M64"/>
    <mergeCell ref="O64:X64"/>
    <mergeCell ref="Z64:AI64"/>
    <mergeCell ref="D65:M65"/>
    <mergeCell ref="O65:X65"/>
    <mergeCell ref="Z65:AI65"/>
    <mergeCell ref="D67:AT67"/>
    <mergeCell ref="D90:M90"/>
    <mergeCell ref="O90:X90"/>
    <mergeCell ref="D91:M91"/>
    <mergeCell ref="O91:X91"/>
    <mergeCell ref="D96:F97"/>
    <mergeCell ref="G96:AB96"/>
    <mergeCell ref="D98:M98"/>
    <mergeCell ref="D99:M100"/>
    <mergeCell ref="D86:N86"/>
    <mergeCell ref="O86:R86"/>
    <mergeCell ref="S86:W86"/>
    <mergeCell ref="D87:N87"/>
    <mergeCell ref="O87:R87"/>
    <mergeCell ref="S87:W87"/>
    <mergeCell ref="D88:N88"/>
    <mergeCell ref="D109:N109"/>
    <mergeCell ref="D110:N110"/>
    <mergeCell ref="D111:N111"/>
    <mergeCell ref="D113:F114"/>
    <mergeCell ref="O110:AT110"/>
    <mergeCell ref="O111:AT111"/>
    <mergeCell ref="G113:AF113"/>
    <mergeCell ref="D115:AT115"/>
    <mergeCell ref="D116:AT118"/>
    <mergeCell ref="D105:F106"/>
    <mergeCell ref="G105:X105"/>
    <mergeCell ref="D107:N107"/>
    <mergeCell ref="O107:AT107"/>
    <mergeCell ref="D108:N108"/>
    <mergeCell ref="O108:AT108"/>
    <mergeCell ref="O109:AT109"/>
    <mergeCell ref="S79:W79"/>
    <mergeCell ref="Z79:AJ79"/>
    <mergeCell ref="AK79:AN79"/>
    <mergeCell ref="AO79:AS79"/>
    <mergeCell ref="D68:AT69"/>
    <mergeCell ref="D70:AT71"/>
    <mergeCell ref="G73:AF73"/>
    <mergeCell ref="D75:M75"/>
    <mergeCell ref="D76:M77"/>
    <mergeCell ref="D79:N79"/>
    <mergeCell ref="O79:R79"/>
    <mergeCell ref="D80:N80"/>
    <mergeCell ref="O80:R80"/>
    <mergeCell ref="S80:W80"/>
    <mergeCell ref="Z80:AJ80"/>
    <mergeCell ref="AK80:AN80"/>
    <mergeCell ref="AO80:AS80"/>
    <mergeCell ref="D81:N81"/>
    <mergeCell ref="AO81:AS81"/>
    <mergeCell ref="Z83:AJ83"/>
    <mergeCell ref="Z84:AJ84"/>
    <mergeCell ref="AK84:AN84"/>
    <mergeCell ref="AO84:AS84"/>
    <mergeCell ref="Z85:AJ85"/>
    <mergeCell ref="AK85:AN85"/>
    <mergeCell ref="AO85:AS85"/>
    <mergeCell ref="Z81:AJ81"/>
    <mergeCell ref="AK81:AN81"/>
    <mergeCell ref="Z82:AJ82"/>
    <mergeCell ref="AK82:AN82"/>
    <mergeCell ref="AO82:AS82"/>
    <mergeCell ref="AK83:AN83"/>
    <mergeCell ref="AO83:AS83"/>
    <mergeCell ref="O88:R88"/>
    <mergeCell ref="S88:W88"/>
    <mergeCell ref="D89:AS89"/>
    <mergeCell ref="D93:AT94"/>
    <mergeCell ref="O98:AT98"/>
    <mergeCell ref="O99:AT100"/>
    <mergeCell ref="D102:AT103"/>
    <mergeCell ref="D1:AD2"/>
    <mergeCell ref="AF1:AT2"/>
    <mergeCell ref="D4:F5"/>
    <mergeCell ref="G4:AB4"/>
    <mergeCell ref="O6:X6"/>
    <mergeCell ref="Z6:AI6"/>
    <mergeCell ref="AK6:AT6"/>
    <mergeCell ref="D10:M10"/>
    <mergeCell ref="D11:M11"/>
    <mergeCell ref="D16:F17"/>
    <mergeCell ref="G16:X16"/>
    <mergeCell ref="D18:X18"/>
    <mergeCell ref="Z18:AI18"/>
    <mergeCell ref="AK18:AT18"/>
    <mergeCell ref="D19:X19"/>
    <mergeCell ref="Z19:AI19"/>
    <mergeCell ref="AK19:AT19"/>
    <mergeCell ref="D21:M21"/>
    <mergeCell ref="O21:AT21"/>
    <mergeCell ref="D22:M22"/>
    <mergeCell ref="O22:AT23"/>
    <mergeCell ref="L30:R31"/>
    <mergeCell ref="L32:R32"/>
    <mergeCell ref="D34:M34"/>
    <mergeCell ref="O34:X34"/>
    <mergeCell ref="D35:M35"/>
    <mergeCell ref="O35:X35"/>
    <mergeCell ref="AB30:AH31"/>
    <mergeCell ref="AB32:AH32"/>
    <mergeCell ref="Z34:AT34"/>
    <mergeCell ref="Z35:AT35"/>
    <mergeCell ref="D37:AT38"/>
    <mergeCell ref="G40:AH40"/>
    <mergeCell ref="D42:M42"/>
    <mergeCell ref="AK42:AT42"/>
    <mergeCell ref="O45:X45"/>
    <mergeCell ref="Z45:AI45"/>
    <mergeCell ref="O42:X42"/>
    <mergeCell ref="Z42:AI42"/>
    <mergeCell ref="D43:M43"/>
    <mergeCell ref="O43:X43"/>
    <mergeCell ref="Z43:AI43"/>
    <mergeCell ref="AK43:AT43"/>
    <mergeCell ref="D45:M45"/>
    <mergeCell ref="Z49:AF49"/>
    <mergeCell ref="AH49:AL49"/>
    <mergeCell ref="D46:M46"/>
    <mergeCell ref="O46:X46"/>
    <mergeCell ref="Z46:AI46"/>
    <mergeCell ref="D48:AT48"/>
    <mergeCell ref="L49:P49"/>
    <mergeCell ref="Q49:X49"/>
    <mergeCell ref="AM49:AT49"/>
    <mergeCell ref="Z50:AF50"/>
    <mergeCell ref="Z51:AF51"/>
    <mergeCell ref="AH51:AL51"/>
    <mergeCell ref="AM51:AQ51"/>
    <mergeCell ref="D49:J49"/>
    <mergeCell ref="D50:J50"/>
    <mergeCell ref="Q50:U50"/>
    <mergeCell ref="AH50:AL50"/>
    <mergeCell ref="AM50:AQ50"/>
    <mergeCell ref="D51:J51"/>
    <mergeCell ref="Q51:U51"/>
    <mergeCell ref="L50:P50"/>
    <mergeCell ref="L51:P51"/>
    <mergeCell ref="D53:AT54"/>
    <mergeCell ref="G56:T56"/>
    <mergeCell ref="O58:X58"/>
    <mergeCell ref="Z58:AI58"/>
    <mergeCell ref="AK58:AT58"/>
    <mergeCell ref="D58:M58"/>
    <mergeCell ref="D59:M60"/>
    <mergeCell ref="O59:X60"/>
    <mergeCell ref="Z59:AI60"/>
    <mergeCell ref="AK59:AT60"/>
    <mergeCell ref="D62:N62"/>
    <mergeCell ref="O62:AT62"/>
    <mergeCell ref="O81:R81"/>
    <mergeCell ref="S81:W81"/>
    <mergeCell ref="D82:N82"/>
    <mergeCell ref="O82:R82"/>
    <mergeCell ref="S82:W82"/>
    <mergeCell ref="O83:R83"/>
    <mergeCell ref="S83:W83"/>
    <mergeCell ref="D83:N83"/>
    <mergeCell ref="D84:N84"/>
    <mergeCell ref="O84:R84"/>
    <mergeCell ref="S84:W84"/>
    <mergeCell ref="D85:N85"/>
    <mergeCell ref="O85:R85"/>
    <mergeCell ref="S85:W85"/>
  </mergeCells>
  <dataValidations>
    <dataValidation type="list" allowBlank="1" showErrorMessage="1" sqref="O46">
      <formula1>DADOS_INV!$D$2:$D$5</formula1>
    </dataValidation>
    <dataValidation type="list" allowBlank="1" showErrorMessage="1" sqref="Z46">
      <formula1>DADOS_INV!$G$2:$G$3</formula1>
    </dataValidation>
    <dataValidation type="list" allowBlank="1" showErrorMessage="1" sqref="D43">
      <formula1>DADOS_INV!$C$2:$C$6</formula1>
    </dataValidation>
    <dataValidation type="list" allowBlank="1" showErrorMessage="1" sqref="D22">
      <formula1>DADOS_INV!$E$2:$E$5</formula1>
    </dataValidation>
    <dataValidation type="list" allowBlank="1" showErrorMessage="1" sqref="Z43">
      <formula1>DADOS_INV!$F$2:$F$3</formula1>
    </dataValidation>
    <dataValidation type="list" allowBlank="1" showInputMessage="1" showErrorMessage="1" prompt="O degrau da régua em que o efeito cai. Só para entrada sua." sqref="O80:O88">
      <formula1>DADOS_INV!$AP$2:$AP$7</formula1>
    </dataValidation>
    <dataValidation type="list" allowBlank="1" showInputMessage="1" showErrorMessage="1" prompt="O degrau da régua em que o efeito cai. Só para entrada sua." sqref="AK80:AK85">
      <formula1>DADOS_INV!$AS$2:$AS$5</formula1>
    </dataValidation>
    <dataValidation type="list" allowBlank="1" showErrorMessage="1" sqref="AK19">
      <formula1>DADOS_INV!$B$2:$B$4</formula1>
    </dataValidation>
    <dataValidation type="list" allowBlank="1" showErrorMessage="1" sqref="Z19">
      <formula1>DADOS_INV!$A$2:$A$5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51" width="5.0"/>
  </cols>
  <sheetData>
    <row r="1" ht="15.0" customHeight="1">
      <c r="A1" s="42"/>
      <c r="B1" s="35"/>
      <c r="C1" s="128"/>
      <c r="D1" s="131" t="s">
        <v>361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6"/>
      <c r="AE1" s="17"/>
      <c r="AF1" s="18" t="s">
        <v>367</v>
      </c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21"/>
      <c r="AU1" s="135"/>
      <c r="AV1" s="135"/>
      <c r="AW1" s="135"/>
      <c r="AX1" s="135"/>
      <c r="AY1" s="135"/>
    </row>
    <row r="2" ht="15.0" customHeight="1">
      <c r="A2" s="42"/>
      <c r="B2" s="35"/>
      <c r="C2" s="136"/>
      <c r="D2" s="25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8"/>
      <c r="AE2" s="29"/>
      <c r="AF2" s="25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31"/>
      <c r="AU2" s="135"/>
      <c r="AV2" s="135"/>
      <c r="AW2" s="135"/>
      <c r="AX2" s="135"/>
      <c r="AY2" s="135"/>
    </row>
    <row r="3" ht="15.0" customHeight="1">
      <c r="A3" s="42"/>
      <c r="B3" s="42"/>
      <c r="C3" s="32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142"/>
      <c r="AV3" s="142"/>
      <c r="AW3" s="142"/>
      <c r="AX3" s="142"/>
      <c r="AY3" s="142"/>
    </row>
    <row r="4" ht="15.0" customHeight="1">
      <c r="A4" s="42"/>
      <c r="B4" s="42"/>
      <c r="C4" s="35"/>
      <c r="D4" s="143" t="s">
        <v>399</v>
      </c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9"/>
      <c r="U4" s="145" t="s">
        <v>403</v>
      </c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9"/>
      <c r="AU4" s="146"/>
      <c r="AV4" s="146"/>
      <c r="AW4" s="146"/>
      <c r="AX4" s="146"/>
      <c r="AY4" s="146"/>
    </row>
    <row r="5" ht="15.0" customHeight="1">
      <c r="A5" s="42"/>
      <c r="B5" s="42"/>
      <c r="C5" s="35"/>
      <c r="D5" s="48" t="s">
        <v>413</v>
      </c>
      <c r="E5" s="38"/>
      <c r="F5" s="38"/>
      <c r="G5" s="39"/>
      <c r="H5" s="149" t="s">
        <v>288</v>
      </c>
      <c r="I5" s="38"/>
      <c r="J5" s="38"/>
      <c r="K5" s="38"/>
      <c r="L5" s="38"/>
      <c r="M5" s="38"/>
      <c r="N5" s="38"/>
      <c r="O5" s="39"/>
      <c r="P5" s="149" t="s">
        <v>418</v>
      </c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9"/>
      <c r="AU5" s="150"/>
      <c r="AV5" s="150"/>
      <c r="AW5" s="150"/>
      <c r="AX5" s="150"/>
      <c r="AY5" s="150"/>
    </row>
    <row r="6" ht="15.0" customHeight="1">
      <c r="A6" s="42"/>
      <c r="B6" s="42"/>
      <c r="C6" s="35"/>
      <c r="D6" s="151">
        <v>2.0</v>
      </c>
      <c r="E6" s="38"/>
      <c r="F6" s="38"/>
      <c r="G6" s="39"/>
      <c r="H6" s="152" t="s">
        <v>391</v>
      </c>
      <c r="I6" s="38"/>
      <c r="J6" s="38"/>
      <c r="K6" s="38"/>
      <c r="L6" s="38"/>
      <c r="M6" s="38"/>
      <c r="N6" s="38"/>
      <c r="O6" s="39"/>
      <c r="P6" s="153" t="s">
        <v>426</v>
      </c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9"/>
      <c r="AU6" s="154"/>
      <c r="AV6" s="154"/>
      <c r="AW6" s="154"/>
      <c r="AX6" s="154"/>
      <c r="AY6" s="154"/>
    </row>
    <row r="7" ht="15.0" customHeight="1">
      <c r="A7" s="42"/>
      <c r="B7" s="42"/>
      <c r="C7" s="35"/>
      <c r="D7" s="155">
        <v>2.0</v>
      </c>
      <c r="E7" s="38"/>
      <c r="F7" s="38"/>
      <c r="G7" s="39"/>
      <c r="H7" s="157" t="s">
        <v>397</v>
      </c>
      <c r="I7" s="38"/>
      <c r="J7" s="38"/>
      <c r="K7" s="38"/>
      <c r="L7" s="38"/>
      <c r="M7" s="38"/>
      <c r="N7" s="38"/>
      <c r="O7" s="39"/>
      <c r="P7" s="158" t="s">
        <v>439</v>
      </c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9"/>
      <c r="AU7" s="159"/>
      <c r="AV7" s="159"/>
      <c r="AW7" s="159"/>
      <c r="AX7" s="159"/>
      <c r="AY7" s="159"/>
    </row>
    <row r="8" ht="15.0" customHeight="1">
      <c r="A8" s="42"/>
      <c r="B8" s="42"/>
      <c r="C8" s="35"/>
      <c r="D8" s="151">
        <v>3.0</v>
      </c>
      <c r="E8" s="38"/>
      <c r="F8" s="38"/>
      <c r="G8" s="39"/>
      <c r="H8" s="152" t="s">
        <v>406</v>
      </c>
      <c r="I8" s="38"/>
      <c r="J8" s="38"/>
      <c r="K8" s="38"/>
      <c r="L8" s="38"/>
      <c r="M8" s="38"/>
      <c r="N8" s="38"/>
      <c r="O8" s="39"/>
      <c r="P8" s="153" t="s">
        <v>452</v>
      </c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9"/>
      <c r="AU8" s="154"/>
      <c r="AV8" s="154"/>
      <c r="AW8" s="154"/>
      <c r="AX8" s="154"/>
      <c r="AY8" s="154"/>
    </row>
    <row r="9" ht="15.0" customHeight="1">
      <c r="A9" s="42"/>
      <c r="B9" s="42"/>
      <c r="C9" s="35"/>
      <c r="D9" s="155">
        <v>5.0</v>
      </c>
      <c r="E9" s="38"/>
      <c r="F9" s="38"/>
      <c r="G9" s="39"/>
      <c r="H9" s="157" t="s">
        <v>414</v>
      </c>
      <c r="I9" s="38"/>
      <c r="J9" s="38"/>
      <c r="K9" s="38"/>
      <c r="L9" s="38"/>
      <c r="M9" s="38"/>
      <c r="N9" s="38"/>
      <c r="O9" s="39"/>
      <c r="P9" s="158" t="s">
        <v>461</v>
      </c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9"/>
      <c r="AU9" s="159"/>
      <c r="AV9" s="159"/>
      <c r="AW9" s="159"/>
      <c r="AX9" s="159"/>
      <c r="AY9" s="159"/>
    </row>
    <row r="10" ht="15.0" customHeight="1">
      <c r="A10" s="42"/>
      <c r="B10" s="42"/>
      <c r="C10" s="35"/>
      <c r="D10" s="151">
        <v>5.0</v>
      </c>
      <c r="E10" s="38"/>
      <c r="F10" s="38"/>
      <c r="G10" s="39"/>
      <c r="H10" s="152" t="s">
        <v>420</v>
      </c>
      <c r="I10" s="38"/>
      <c r="J10" s="38"/>
      <c r="K10" s="38"/>
      <c r="L10" s="38"/>
      <c r="M10" s="38"/>
      <c r="N10" s="38"/>
      <c r="O10" s="39"/>
      <c r="P10" s="153" t="s">
        <v>464</v>
      </c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9"/>
      <c r="AU10" s="154"/>
      <c r="AV10" s="154"/>
      <c r="AW10" s="154"/>
      <c r="AX10" s="154"/>
      <c r="AY10" s="154"/>
    </row>
    <row r="11" ht="15.0" customHeight="1">
      <c r="A11" s="42"/>
      <c r="B11" s="42"/>
      <c r="C11" s="35"/>
      <c r="D11" s="155">
        <v>7.0</v>
      </c>
      <c r="E11" s="38"/>
      <c r="F11" s="38"/>
      <c r="G11" s="39"/>
      <c r="H11" s="157" t="s">
        <v>424</v>
      </c>
      <c r="I11" s="38"/>
      <c r="J11" s="38"/>
      <c r="K11" s="38"/>
      <c r="L11" s="38"/>
      <c r="M11" s="38"/>
      <c r="N11" s="38"/>
      <c r="O11" s="39"/>
      <c r="P11" s="158" t="s">
        <v>469</v>
      </c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9"/>
      <c r="AU11" s="159"/>
      <c r="AV11" s="159"/>
      <c r="AW11" s="159"/>
      <c r="AX11" s="159"/>
      <c r="AY11" s="159"/>
    </row>
    <row r="12" ht="15.0" customHeight="1">
      <c r="A12" s="42"/>
      <c r="B12" s="42"/>
      <c r="C12" s="35"/>
      <c r="D12" s="151">
        <v>8.0</v>
      </c>
      <c r="E12" s="38"/>
      <c r="F12" s="38"/>
      <c r="G12" s="39"/>
      <c r="H12" s="152" t="s">
        <v>430</v>
      </c>
      <c r="I12" s="38"/>
      <c r="J12" s="38"/>
      <c r="K12" s="38"/>
      <c r="L12" s="38"/>
      <c r="M12" s="38"/>
      <c r="N12" s="38"/>
      <c r="O12" s="39"/>
      <c r="P12" s="153" t="s">
        <v>479</v>
      </c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9"/>
      <c r="AU12" s="154"/>
      <c r="AV12" s="154"/>
      <c r="AW12" s="154"/>
      <c r="AX12" s="154"/>
      <c r="AY12" s="154"/>
    </row>
    <row r="13" ht="15.0" customHeight="1">
      <c r="A13" s="42"/>
      <c r="B13" s="42"/>
      <c r="C13" s="35"/>
      <c r="D13" s="155">
        <v>8.0</v>
      </c>
      <c r="E13" s="38"/>
      <c r="F13" s="38"/>
      <c r="G13" s="39"/>
      <c r="H13" s="157" t="s">
        <v>436</v>
      </c>
      <c r="I13" s="38"/>
      <c r="J13" s="38"/>
      <c r="K13" s="38"/>
      <c r="L13" s="38"/>
      <c r="M13" s="38"/>
      <c r="N13" s="38"/>
      <c r="O13" s="39"/>
      <c r="P13" s="158" t="s">
        <v>484</v>
      </c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9"/>
      <c r="AU13" s="159"/>
      <c r="AV13" s="159"/>
      <c r="AW13" s="159"/>
      <c r="AX13" s="159"/>
      <c r="AY13" s="159"/>
    </row>
    <row r="14" ht="15.0" customHeight="1">
      <c r="A14" s="42"/>
      <c r="B14" s="42"/>
      <c r="C14" s="35"/>
      <c r="D14" s="151">
        <v>8.0</v>
      </c>
      <c r="E14" s="38"/>
      <c r="F14" s="38"/>
      <c r="G14" s="39"/>
      <c r="H14" s="152" t="s">
        <v>438</v>
      </c>
      <c r="I14" s="38"/>
      <c r="J14" s="38"/>
      <c r="K14" s="38"/>
      <c r="L14" s="38"/>
      <c r="M14" s="38"/>
      <c r="N14" s="38"/>
      <c r="O14" s="39"/>
      <c r="P14" s="153" t="s">
        <v>489</v>
      </c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9"/>
      <c r="AU14" s="154"/>
      <c r="AV14" s="154"/>
      <c r="AW14" s="154"/>
      <c r="AX14" s="154"/>
      <c r="AY14" s="154"/>
    </row>
    <row r="15" ht="15.0" customHeight="1">
      <c r="A15" s="42"/>
      <c r="B15" s="42"/>
      <c r="C15" s="35"/>
      <c r="D15" s="155">
        <v>8.0</v>
      </c>
      <c r="E15" s="38"/>
      <c r="F15" s="38"/>
      <c r="G15" s="39"/>
      <c r="H15" s="157" t="s">
        <v>441</v>
      </c>
      <c r="I15" s="38"/>
      <c r="J15" s="38"/>
      <c r="K15" s="38"/>
      <c r="L15" s="38"/>
      <c r="M15" s="38"/>
      <c r="N15" s="38"/>
      <c r="O15" s="39"/>
      <c r="P15" s="158" t="s">
        <v>498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9"/>
      <c r="AU15" s="159"/>
      <c r="AV15" s="159"/>
      <c r="AW15" s="159"/>
      <c r="AX15" s="159"/>
      <c r="AY15" s="159"/>
    </row>
    <row r="16" ht="15.0" customHeight="1">
      <c r="A16" s="42"/>
      <c r="B16" s="42"/>
      <c r="C16" s="35"/>
      <c r="D16" s="151">
        <v>8.0</v>
      </c>
      <c r="E16" s="38"/>
      <c r="F16" s="38"/>
      <c r="G16" s="39"/>
      <c r="H16" s="152" t="s">
        <v>445</v>
      </c>
      <c r="I16" s="38"/>
      <c r="J16" s="38"/>
      <c r="K16" s="38"/>
      <c r="L16" s="38"/>
      <c r="M16" s="38"/>
      <c r="N16" s="38"/>
      <c r="O16" s="39"/>
      <c r="P16" s="153" t="s">
        <v>513</v>
      </c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9"/>
      <c r="AU16" s="154"/>
      <c r="AV16" s="154"/>
      <c r="AW16" s="154"/>
      <c r="AX16" s="154"/>
      <c r="AY16" s="154"/>
    </row>
    <row r="17" ht="15.0" customHeight="1">
      <c r="A17" s="42"/>
      <c r="B17" s="42"/>
      <c r="C17" s="35"/>
      <c r="D17" s="155">
        <v>8.0</v>
      </c>
      <c r="E17" s="38"/>
      <c r="F17" s="38"/>
      <c r="G17" s="39"/>
      <c r="H17" s="157" t="s">
        <v>450</v>
      </c>
      <c r="I17" s="38"/>
      <c r="J17" s="38"/>
      <c r="K17" s="38"/>
      <c r="L17" s="38"/>
      <c r="M17" s="38"/>
      <c r="N17" s="38"/>
      <c r="O17" s="39"/>
      <c r="P17" s="158" t="s">
        <v>530</v>
      </c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9"/>
      <c r="AU17" s="159"/>
      <c r="AV17" s="159"/>
      <c r="AW17" s="159"/>
      <c r="AX17" s="159"/>
      <c r="AY17" s="159"/>
    </row>
    <row r="18" ht="15.0" customHeight="1">
      <c r="A18" s="42"/>
      <c r="B18" s="42"/>
      <c r="C18" s="35"/>
      <c r="D18" s="151">
        <v>8.0</v>
      </c>
      <c r="E18" s="38"/>
      <c r="F18" s="38"/>
      <c r="G18" s="39"/>
      <c r="H18" s="152" t="s">
        <v>455</v>
      </c>
      <c r="I18" s="38"/>
      <c r="J18" s="38"/>
      <c r="K18" s="38"/>
      <c r="L18" s="38"/>
      <c r="M18" s="38"/>
      <c r="N18" s="38"/>
      <c r="O18" s="39"/>
      <c r="P18" s="153" t="s">
        <v>540</v>
      </c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9"/>
      <c r="AU18" s="154"/>
      <c r="AV18" s="154"/>
      <c r="AW18" s="154"/>
      <c r="AX18" s="154"/>
      <c r="AY18" s="154"/>
    </row>
    <row r="19" ht="15.0" customHeight="1">
      <c r="A19" s="42"/>
      <c r="B19" s="42"/>
      <c r="C19" s="4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142"/>
      <c r="AV19" s="142"/>
      <c r="AW19" s="142"/>
      <c r="AX19" s="142"/>
      <c r="AY19" s="142"/>
    </row>
    <row r="20" ht="15.0" customHeight="1">
      <c r="A20" s="42"/>
      <c r="B20" s="42"/>
      <c r="C20" s="42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142"/>
      <c r="AV20" s="142"/>
      <c r="AW20" s="142"/>
      <c r="AX20" s="142"/>
      <c r="AY20" s="142"/>
    </row>
    <row r="21" ht="15.0" customHeight="1">
      <c r="A21" s="42"/>
      <c r="B21" s="42"/>
      <c r="C21" s="35"/>
      <c r="D21" s="143" t="s">
        <v>570</v>
      </c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9"/>
      <c r="U21" s="145" t="s">
        <v>576</v>
      </c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9"/>
      <c r="AU21" s="146"/>
      <c r="AV21" s="146"/>
      <c r="AW21" s="146"/>
      <c r="AX21" s="146"/>
      <c r="AY21" s="146"/>
    </row>
    <row r="22" ht="15.0" customHeight="1">
      <c r="A22" s="42"/>
      <c r="B22" s="42"/>
      <c r="C22" s="35"/>
      <c r="D22" s="48" t="s">
        <v>413</v>
      </c>
      <c r="E22" s="38"/>
      <c r="F22" s="38"/>
      <c r="G22" s="39"/>
      <c r="H22" s="149" t="s">
        <v>288</v>
      </c>
      <c r="I22" s="38"/>
      <c r="J22" s="38"/>
      <c r="K22" s="38"/>
      <c r="L22" s="38"/>
      <c r="M22" s="38"/>
      <c r="N22" s="38"/>
      <c r="O22" s="39"/>
      <c r="P22" s="149" t="s">
        <v>418</v>
      </c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9"/>
      <c r="AU22" s="150"/>
      <c r="AV22" s="150"/>
      <c r="AW22" s="150"/>
      <c r="AX22" s="150"/>
      <c r="AY22" s="150"/>
    </row>
    <row r="23" ht="15.0" customHeight="1">
      <c r="A23" s="42"/>
      <c r="B23" s="42"/>
      <c r="C23" s="35"/>
      <c r="D23" s="151">
        <v>0.0</v>
      </c>
      <c r="E23" s="38"/>
      <c r="F23" s="38"/>
      <c r="G23" s="39"/>
      <c r="H23" s="152" t="s">
        <v>392</v>
      </c>
      <c r="I23" s="38"/>
      <c r="J23" s="38"/>
      <c r="K23" s="38"/>
      <c r="L23" s="38"/>
      <c r="M23" s="38"/>
      <c r="N23" s="38"/>
      <c r="O23" s="39"/>
      <c r="P23" s="153" t="s">
        <v>602</v>
      </c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9"/>
      <c r="AU23" s="154"/>
      <c r="AV23" s="154"/>
      <c r="AW23" s="154"/>
      <c r="AX23" s="154"/>
      <c r="AY23" s="154"/>
    </row>
    <row r="24" ht="15.0" customHeight="1">
      <c r="A24" s="42"/>
      <c r="B24" s="42"/>
      <c r="C24" s="35"/>
      <c r="D24" s="155">
        <v>4.0</v>
      </c>
      <c r="E24" s="38"/>
      <c r="F24" s="38"/>
      <c r="G24" s="39"/>
      <c r="H24" s="157" t="s">
        <v>398</v>
      </c>
      <c r="I24" s="38"/>
      <c r="J24" s="38"/>
      <c r="K24" s="38"/>
      <c r="L24" s="38"/>
      <c r="M24" s="38"/>
      <c r="N24" s="38"/>
      <c r="O24" s="39"/>
      <c r="P24" s="158" t="s">
        <v>606</v>
      </c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9"/>
      <c r="AU24" s="159"/>
      <c r="AV24" s="159"/>
      <c r="AW24" s="159"/>
      <c r="AX24" s="159"/>
      <c r="AY24" s="159"/>
    </row>
    <row r="25" ht="15.0" customHeight="1">
      <c r="A25" s="42"/>
      <c r="B25" s="42"/>
      <c r="C25" s="35"/>
      <c r="D25" s="151">
        <v>4.0</v>
      </c>
      <c r="E25" s="38"/>
      <c r="F25" s="38"/>
      <c r="G25" s="39"/>
      <c r="H25" s="152" t="s">
        <v>407</v>
      </c>
      <c r="I25" s="38"/>
      <c r="J25" s="38"/>
      <c r="K25" s="38"/>
      <c r="L25" s="38"/>
      <c r="M25" s="38"/>
      <c r="N25" s="38"/>
      <c r="O25" s="39"/>
      <c r="P25" s="153" t="s">
        <v>611</v>
      </c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9"/>
      <c r="AU25" s="154"/>
      <c r="AV25" s="154"/>
      <c r="AW25" s="154"/>
      <c r="AX25" s="154"/>
      <c r="AY25" s="154"/>
    </row>
    <row r="26" ht="15.0" customHeight="1">
      <c r="A26" s="42"/>
      <c r="B26" s="42"/>
      <c r="C26" s="35"/>
      <c r="D26" s="155">
        <v>4.0</v>
      </c>
      <c r="E26" s="38"/>
      <c r="F26" s="38"/>
      <c r="G26" s="39"/>
      <c r="H26" s="157" t="s">
        <v>415</v>
      </c>
      <c r="I26" s="38"/>
      <c r="J26" s="38"/>
      <c r="K26" s="38"/>
      <c r="L26" s="38"/>
      <c r="M26" s="38"/>
      <c r="N26" s="38"/>
      <c r="O26" s="39"/>
      <c r="P26" s="158" t="s">
        <v>617</v>
      </c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9"/>
      <c r="AU26" s="159"/>
      <c r="AV26" s="159"/>
      <c r="AW26" s="159"/>
      <c r="AX26" s="159"/>
      <c r="AY26" s="159"/>
    </row>
    <row r="27" ht="15.0" customHeight="1">
      <c r="A27" s="42"/>
      <c r="B27" s="42"/>
      <c r="C27" s="35"/>
      <c r="D27" s="151">
        <v>4.0</v>
      </c>
      <c r="E27" s="38"/>
      <c r="F27" s="38"/>
      <c r="G27" s="39"/>
      <c r="H27" s="152" t="s">
        <v>421</v>
      </c>
      <c r="I27" s="38"/>
      <c r="J27" s="38"/>
      <c r="K27" s="38"/>
      <c r="L27" s="38"/>
      <c r="M27" s="38"/>
      <c r="N27" s="38"/>
      <c r="O27" s="39"/>
      <c r="P27" s="153" t="s">
        <v>620</v>
      </c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9"/>
      <c r="AU27" s="154"/>
      <c r="AV27" s="154"/>
      <c r="AW27" s="154"/>
      <c r="AX27" s="154"/>
      <c r="AY27" s="154"/>
    </row>
    <row r="28" ht="15.0" customHeight="1">
      <c r="A28" s="42"/>
      <c r="B28" s="42"/>
      <c r="C28" s="35"/>
      <c r="D28" s="155">
        <v>8.0</v>
      </c>
      <c r="E28" s="38"/>
      <c r="F28" s="38"/>
      <c r="G28" s="39"/>
      <c r="H28" s="157" t="s">
        <v>425</v>
      </c>
      <c r="I28" s="38"/>
      <c r="J28" s="38"/>
      <c r="K28" s="38"/>
      <c r="L28" s="38"/>
      <c r="M28" s="38"/>
      <c r="N28" s="38"/>
      <c r="O28" s="39"/>
      <c r="P28" s="158" t="s">
        <v>622</v>
      </c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9"/>
      <c r="AU28" s="159"/>
      <c r="AV28" s="159"/>
      <c r="AW28" s="159"/>
      <c r="AX28" s="159"/>
      <c r="AY28" s="159"/>
    </row>
    <row r="29" ht="15.0" customHeight="1">
      <c r="A29" s="42"/>
      <c r="B29" s="42"/>
      <c r="C29" s="35"/>
      <c r="D29" s="151">
        <v>8.0</v>
      </c>
      <c r="E29" s="38"/>
      <c r="F29" s="38"/>
      <c r="G29" s="39"/>
      <c r="H29" s="152" t="s">
        <v>431</v>
      </c>
      <c r="I29" s="38"/>
      <c r="J29" s="38"/>
      <c r="K29" s="38"/>
      <c r="L29" s="38"/>
      <c r="M29" s="38"/>
      <c r="N29" s="38"/>
      <c r="O29" s="39"/>
      <c r="P29" s="153" t="s">
        <v>626</v>
      </c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9"/>
      <c r="AU29" s="154"/>
      <c r="AV29" s="154"/>
      <c r="AW29" s="154"/>
      <c r="AX29" s="154"/>
      <c r="AY29" s="154"/>
    </row>
    <row r="30" ht="15.0" customHeight="1">
      <c r="A30" s="42"/>
      <c r="B30" s="42"/>
      <c r="C30" s="4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142"/>
      <c r="AV30" s="142"/>
      <c r="AW30" s="142"/>
      <c r="AX30" s="142"/>
      <c r="AY30" s="142"/>
    </row>
    <row r="31" ht="15.0" customHeight="1">
      <c r="A31" s="42"/>
      <c r="B31" s="42"/>
      <c r="C31" s="42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142"/>
      <c r="AV31" s="142"/>
      <c r="AW31" s="142"/>
      <c r="AX31" s="142"/>
      <c r="AY31" s="142"/>
    </row>
    <row r="32" ht="15.0" customHeight="1">
      <c r="A32" s="42"/>
      <c r="B32" s="42"/>
      <c r="C32" s="35"/>
      <c r="D32" s="143" t="s">
        <v>628</v>
      </c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9"/>
      <c r="U32" s="145" t="s">
        <v>630</v>
      </c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9"/>
      <c r="AU32" s="146"/>
      <c r="AV32" s="146"/>
      <c r="AW32" s="146"/>
      <c r="AX32" s="146"/>
      <c r="AY32" s="146"/>
    </row>
    <row r="33" ht="15.0" customHeight="1">
      <c r="A33" s="42"/>
      <c r="B33" s="42"/>
      <c r="C33" s="35"/>
      <c r="D33" s="149" t="s">
        <v>631</v>
      </c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9"/>
      <c r="AU33" s="150"/>
      <c r="AV33" s="150"/>
      <c r="AW33" s="150"/>
      <c r="AX33" s="150"/>
      <c r="AY33" s="150"/>
    </row>
    <row r="34" ht="15.0" customHeight="1">
      <c r="A34" s="42"/>
      <c r="B34" s="42"/>
      <c r="C34" s="35"/>
      <c r="D34" s="151">
        <v>2.0</v>
      </c>
      <c r="E34" s="38"/>
      <c r="F34" s="38"/>
      <c r="G34" s="39"/>
      <c r="H34" s="153" t="s">
        <v>632</v>
      </c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9"/>
      <c r="AU34" s="154"/>
      <c r="AV34" s="154"/>
      <c r="AW34" s="154"/>
      <c r="AX34" s="154"/>
      <c r="AY34" s="154"/>
    </row>
    <row r="35" ht="15.0" customHeight="1">
      <c r="A35" s="42"/>
      <c r="B35" s="42"/>
      <c r="C35" s="35"/>
      <c r="D35" s="155">
        <v>3.0</v>
      </c>
      <c r="E35" s="38"/>
      <c r="F35" s="38"/>
      <c r="G35" s="39"/>
      <c r="H35" s="158" t="s">
        <v>635</v>
      </c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9"/>
      <c r="AU35" s="159"/>
      <c r="AV35" s="159"/>
      <c r="AW35" s="159"/>
      <c r="AX35" s="159"/>
      <c r="AY35" s="159"/>
    </row>
    <row r="36" ht="15.0" customHeight="1">
      <c r="A36" s="42"/>
      <c r="B36" s="42"/>
      <c r="C36" s="35"/>
      <c r="D36" s="151">
        <v>5.0</v>
      </c>
      <c r="E36" s="38"/>
      <c r="F36" s="38"/>
      <c r="G36" s="39"/>
      <c r="H36" s="153" t="s">
        <v>638</v>
      </c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9"/>
      <c r="AU36" s="154"/>
      <c r="AV36" s="154"/>
      <c r="AW36" s="154"/>
      <c r="AX36" s="154"/>
      <c r="AY36" s="154"/>
    </row>
    <row r="37" ht="15.0" customHeight="1">
      <c r="A37" s="42"/>
      <c r="B37" s="42"/>
      <c r="C37" s="35"/>
      <c r="D37" s="155">
        <v>7.0</v>
      </c>
      <c r="E37" s="38"/>
      <c r="F37" s="38"/>
      <c r="G37" s="39"/>
      <c r="H37" s="158" t="s">
        <v>641</v>
      </c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9"/>
      <c r="AU37" s="159"/>
      <c r="AV37" s="159"/>
      <c r="AW37" s="159"/>
      <c r="AX37" s="159"/>
      <c r="AY37" s="159"/>
    </row>
    <row r="38" ht="15.0" customHeight="1">
      <c r="A38" s="42"/>
      <c r="B38" s="42"/>
      <c r="C38" s="35"/>
      <c r="D38" s="151">
        <v>8.0</v>
      </c>
      <c r="E38" s="38"/>
      <c r="F38" s="38"/>
      <c r="G38" s="39"/>
      <c r="H38" s="153" t="s">
        <v>642</v>
      </c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9"/>
      <c r="AU38" s="154"/>
      <c r="AV38" s="154"/>
      <c r="AW38" s="154"/>
      <c r="AX38" s="154"/>
      <c r="AY38" s="154"/>
    </row>
    <row r="39" ht="15.0" customHeight="1">
      <c r="A39" s="42"/>
      <c r="B39" s="42"/>
      <c r="C39" s="35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185"/>
      <c r="AK39" s="185"/>
      <c r="AL39" s="185"/>
      <c r="AM39" s="185"/>
      <c r="AN39" s="185"/>
      <c r="AO39" s="185"/>
      <c r="AP39" s="185"/>
      <c r="AQ39" s="185"/>
      <c r="AR39" s="185"/>
      <c r="AS39" s="185"/>
      <c r="AT39" s="185"/>
      <c r="AU39" s="185"/>
      <c r="AV39" s="185"/>
      <c r="AW39" s="185"/>
      <c r="AX39" s="185"/>
      <c r="AY39" s="185"/>
    </row>
    <row r="40" ht="15.0" customHeight="1">
      <c r="A40" s="42"/>
      <c r="B40" s="42"/>
      <c r="C40" s="35"/>
      <c r="D40" s="149" t="s">
        <v>644</v>
      </c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9"/>
      <c r="AU40" s="150"/>
      <c r="AV40" s="150"/>
      <c r="AW40" s="150"/>
      <c r="AX40" s="150"/>
      <c r="AY40" s="150"/>
    </row>
    <row r="41" ht="15.0" customHeight="1">
      <c r="A41" s="42"/>
      <c r="B41" s="42"/>
      <c r="C41" s="35"/>
      <c r="D41" s="151">
        <v>0.0</v>
      </c>
      <c r="E41" s="38"/>
      <c r="F41" s="38"/>
      <c r="G41" s="39"/>
      <c r="H41" s="153" t="s">
        <v>647</v>
      </c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9"/>
      <c r="AU41" s="154"/>
      <c r="AV41" s="154"/>
      <c r="AW41" s="154"/>
      <c r="AX41" s="154"/>
      <c r="AY41" s="154"/>
    </row>
    <row r="42" ht="15.0" customHeight="1">
      <c r="A42" s="42"/>
      <c r="B42" s="42"/>
      <c r="C42" s="35"/>
      <c r="D42" s="155">
        <v>4.0</v>
      </c>
      <c r="E42" s="38"/>
      <c r="F42" s="38"/>
      <c r="G42" s="39"/>
      <c r="H42" s="158" t="s">
        <v>650</v>
      </c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9"/>
      <c r="AU42" s="159"/>
      <c r="AV42" s="159"/>
      <c r="AW42" s="159"/>
      <c r="AX42" s="159"/>
      <c r="AY42" s="159"/>
    </row>
    <row r="43" ht="15.0" customHeight="1">
      <c r="A43" s="42"/>
      <c r="B43" s="42"/>
      <c r="C43" s="35"/>
      <c r="D43" s="151">
        <v>8.0</v>
      </c>
      <c r="E43" s="38"/>
      <c r="F43" s="38"/>
      <c r="G43" s="39"/>
      <c r="H43" s="153" t="s">
        <v>653</v>
      </c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9"/>
      <c r="AU43" s="154"/>
      <c r="AV43" s="154"/>
      <c r="AW43" s="154"/>
      <c r="AX43" s="154"/>
      <c r="AY43" s="154"/>
    </row>
    <row r="44" ht="15.0" customHeight="1">
      <c r="A44" s="42"/>
      <c r="B44" s="42"/>
      <c r="C44" s="42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142"/>
      <c r="AV44" s="142"/>
      <c r="AW44" s="142"/>
      <c r="AX44" s="142"/>
      <c r="AY44" s="142"/>
    </row>
    <row r="45" ht="15.0" customHeight="1">
      <c r="A45" s="42"/>
      <c r="B45" s="42"/>
      <c r="C45" s="35"/>
      <c r="D45" s="184" t="s">
        <v>656</v>
      </c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9"/>
      <c r="AU45" s="192"/>
      <c r="AV45" s="192"/>
      <c r="AW45" s="192"/>
      <c r="AX45" s="192"/>
      <c r="AY45" s="192"/>
    </row>
    <row r="46" ht="15.0" customHeight="1">
      <c r="A46" s="42"/>
      <c r="B46" s="42"/>
      <c r="C46" s="35"/>
      <c r="D46" s="152" t="s">
        <v>658</v>
      </c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9"/>
      <c r="R46" s="196" t="s">
        <v>660</v>
      </c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9"/>
      <c r="AU46" s="197"/>
      <c r="AV46" s="197"/>
      <c r="AW46" s="197"/>
      <c r="AX46" s="197"/>
      <c r="AY46" s="197"/>
    </row>
    <row r="47" ht="15.0" customHeight="1">
      <c r="A47" s="42"/>
      <c r="B47" s="42"/>
      <c r="C47" s="35"/>
      <c r="D47" s="157" t="s">
        <v>662</v>
      </c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9"/>
      <c r="R47" s="198" t="s">
        <v>663</v>
      </c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9"/>
      <c r="AU47" s="200"/>
      <c r="AV47" s="200"/>
      <c r="AW47" s="200"/>
      <c r="AX47" s="200"/>
      <c r="AY47" s="200"/>
    </row>
    <row r="48" ht="15.0" customHeight="1">
      <c r="A48" s="42"/>
      <c r="B48" s="42"/>
      <c r="C48" s="35"/>
      <c r="D48" s="152" t="s">
        <v>44</v>
      </c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9"/>
      <c r="R48" s="196" t="s">
        <v>664</v>
      </c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9"/>
      <c r="AU48" s="197"/>
      <c r="AV48" s="197"/>
      <c r="AW48" s="197"/>
      <c r="AX48" s="197"/>
      <c r="AY48" s="197"/>
    </row>
    <row r="49" ht="15.0" customHeight="1">
      <c r="A49" s="42"/>
      <c r="B49" s="42"/>
      <c r="C49" s="35"/>
      <c r="D49" s="157" t="s">
        <v>665</v>
      </c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9"/>
      <c r="R49" s="198" t="s">
        <v>666</v>
      </c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9"/>
      <c r="AU49" s="200"/>
      <c r="AV49" s="200"/>
      <c r="AW49" s="200"/>
      <c r="AX49" s="200"/>
      <c r="AY49" s="200"/>
    </row>
    <row r="50" ht="15.0" customHeight="1">
      <c r="A50" s="42"/>
      <c r="B50" s="42"/>
      <c r="C50" s="4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142"/>
      <c r="AV50" s="142"/>
      <c r="AW50" s="142"/>
      <c r="AX50" s="142"/>
      <c r="AY50" s="142"/>
    </row>
    <row r="51" ht="15.0" customHeight="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42"/>
      <c r="AS51" s="42"/>
      <c r="AT51" s="42"/>
      <c r="AU51" s="142"/>
      <c r="AV51" s="142"/>
      <c r="AW51" s="142"/>
      <c r="AX51" s="142"/>
      <c r="AY51" s="142"/>
    </row>
    <row r="52" ht="15.0" customHeight="1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42"/>
      <c r="AS52" s="42"/>
      <c r="AT52" s="42"/>
      <c r="AU52" s="142"/>
      <c r="AV52" s="142"/>
      <c r="AW52" s="142"/>
      <c r="AX52" s="142"/>
      <c r="AY52" s="142"/>
    </row>
    <row r="53" ht="15.0" customHeight="1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  <c r="AQ53" s="42"/>
      <c r="AR53" s="42"/>
      <c r="AS53" s="42"/>
      <c r="AT53" s="42"/>
      <c r="AU53" s="142"/>
      <c r="AV53" s="142"/>
      <c r="AW53" s="142"/>
      <c r="AX53" s="142"/>
      <c r="AY53" s="142"/>
    </row>
    <row r="54" ht="15.0" customHeight="1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2"/>
      <c r="AQ54" s="42"/>
      <c r="AR54" s="42"/>
      <c r="AS54" s="42"/>
      <c r="AT54" s="42"/>
      <c r="AU54" s="142"/>
      <c r="AV54" s="142"/>
      <c r="AW54" s="142"/>
      <c r="AX54" s="142"/>
      <c r="AY54" s="142"/>
    </row>
    <row r="55" ht="15.0" customHeight="1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  <c r="AQ55" s="42"/>
      <c r="AR55" s="42"/>
      <c r="AS55" s="42"/>
      <c r="AT55" s="42"/>
      <c r="AU55" s="142"/>
      <c r="AV55" s="142"/>
      <c r="AW55" s="142"/>
      <c r="AX55" s="142"/>
      <c r="AY55" s="142"/>
    </row>
    <row r="56" ht="15.0" customHeight="1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2"/>
      <c r="AQ56" s="42"/>
      <c r="AR56" s="42"/>
      <c r="AS56" s="42"/>
      <c r="AT56" s="42"/>
      <c r="AU56" s="142"/>
      <c r="AV56" s="142"/>
      <c r="AW56" s="142"/>
      <c r="AX56" s="142"/>
      <c r="AY56" s="142"/>
    </row>
    <row r="57" ht="15.0" customHeight="1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42"/>
      <c r="AQ57" s="42"/>
      <c r="AR57" s="42"/>
      <c r="AS57" s="42"/>
      <c r="AT57" s="42"/>
      <c r="AU57" s="142"/>
      <c r="AV57" s="142"/>
      <c r="AW57" s="142"/>
      <c r="AX57" s="142"/>
      <c r="AY57" s="142"/>
    </row>
    <row r="58" ht="15.0" customHeight="1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s="142"/>
      <c r="AV58" s="142"/>
      <c r="AW58" s="142"/>
      <c r="AX58" s="142"/>
      <c r="AY58" s="142"/>
    </row>
    <row r="59" ht="15.0" customHeight="1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42"/>
      <c r="AQ59" s="42"/>
      <c r="AR59" s="42"/>
      <c r="AS59" s="42"/>
      <c r="AT59" s="42"/>
      <c r="AU59" s="142"/>
      <c r="AV59" s="142"/>
      <c r="AW59" s="142"/>
      <c r="AX59" s="142"/>
      <c r="AY59" s="142"/>
    </row>
    <row r="60" ht="15.0" customHeight="1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42"/>
      <c r="AQ60" s="42"/>
      <c r="AR60" s="42"/>
      <c r="AS60" s="42"/>
      <c r="AT60" s="42"/>
      <c r="AU60" s="142"/>
      <c r="AV60" s="142"/>
      <c r="AW60" s="142"/>
      <c r="AX60" s="142"/>
      <c r="AY60" s="142"/>
    </row>
    <row r="61" ht="15.0" customHeight="1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42"/>
      <c r="AQ61" s="42"/>
      <c r="AR61" s="42"/>
      <c r="AS61" s="42"/>
      <c r="AT61" s="42"/>
      <c r="AU61" s="142"/>
      <c r="AV61" s="142"/>
      <c r="AW61" s="142"/>
      <c r="AX61" s="142"/>
      <c r="AY61" s="142"/>
    </row>
    <row r="62" ht="15.0" customHeight="1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42"/>
      <c r="AQ62" s="42"/>
      <c r="AR62" s="42"/>
      <c r="AS62" s="42"/>
      <c r="AT62" s="42"/>
      <c r="AU62" s="142"/>
      <c r="AV62" s="142"/>
      <c r="AW62" s="142"/>
      <c r="AX62" s="142"/>
      <c r="AY62" s="142"/>
    </row>
    <row r="63" ht="15.0" customHeight="1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42"/>
      <c r="AQ63" s="42"/>
      <c r="AR63" s="42"/>
      <c r="AS63" s="42"/>
      <c r="AT63" s="42"/>
      <c r="AU63" s="142"/>
      <c r="AV63" s="142"/>
      <c r="AW63" s="142"/>
      <c r="AX63" s="142"/>
      <c r="AY63" s="142"/>
    </row>
    <row r="64" ht="15.0" customHeight="1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2"/>
      <c r="AL64" s="42"/>
      <c r="AM64" s="42"/>
      <c r="AN64" s="42"/>
      <c r="AO64" s="42"/>
      <c r="AP64" s="42"/>
      <c r="AQ64" s="42"/>
      <c r="AR64" s="42"/>
      <c r="AS64" s="42"/>
      <c r="AT64" s="42"/>
      <c r="AU64" s="142"/>
      <c r="AV64" s="142"/>
      <c r="AW64" s="142"/>
      <c r="AX64" s="142"/>
      <c r="AY64" s="142"/>
    </row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01">
    <mergeCell ref="D1:AD2"/>
    <mergeCell ref="AF1:AT2"/>
    <mergeCell ref="D4:T4"/>
    <mergeCell ref="U4:AT4"/>
    <mergeCell ref="D5:G5"/>
    <mergeCell ref="H5:O5"/>
    <mergeCell ref="P5:AT5"/>
    <mergeCell ref="H8:O8"/>
    <mergeCell ref="P8:AT8"/>
    <mergeCell ref="D6:G6"/>
    <mergeCell ref="H6:O6"/>
    <mergeCell ref="P6:AT6"/>
    <mergeCell ref="D7:G7"/>
    <mergeCell ref="H7:O7"/>
    <mergeCell ref="P7:AT7"/>
    <mergeCell ref="D8:G8"/>
    <mergeCell ref="H11:O11"/>
    <mergeCell ref="P11:AT11"/>
    <mergeCell ref="D9:G9"/>
    <mergeCell ref="H9:O9"/>
    <mergeCell ref="P9:AT9"/>
    <mergeCell ref="D10:G10"/>
    <mergeCell ref="H10:O10"/>
    <mergeCell ref="P10:AT10"/>
    <mergeCell ref="D11:G11"/>
    <mergeCell ref="H14:O14"/>
    <mergeCell ref="P14:AT14"/>
    <mergeCell ref="D12:G12"/>
    <mergeCell ref="H12:O12"/>
    <mergeCell ref="P12:AT12"/>
    <mergeCell ref="D13:G13"/>
    <mergeCell ref="H13:O13"/>
    <mergeCell ref="P13:AT13"/>
    <mergeCell ref="D14:G14"/>
    <mergeCell ref="D28:G28"/>
    <mergeCell ref="H28:O28"/>
    <mergeCell ref="P28:AT28"/>
    <mergeCell ref="D29:G29"/>
    <mergeCell ref="H29:O29"/>
    <mergeCell ref="P29:AT29"/>
    <mergeCell ref="D32:T32"/>
    <mergeCell ref="D36:G36"/>
    <mergeCell ref="D37:G37"/>
    <mergeCell ref="D38:G38"/>
    <mergeCell ref="D41:G41"/>
    <mergeCell ref="D42:G42"/>
    <mergeCell ref="D43:G43"/>
    <mergeCell ref="U32:AT32"/>
    <mergeCell ref="D33:AT33"/>
    <mergeCell ref="D34:G34"/>
    <mergeCell ref="H34:AT34"/>
    <mergeCell ref="D35:G35"/>
    <mergeCell ref="H35:AT35"/>
    <mergeCell ref="H36:AT36"/>
    <mergeCell ref="D46:Q46"/>
    <mergeCell ref="R46:AT46"/>
    <mergeCell ref="D47:Q47"/>
    <mergeCell ref="R47:AT47"/>
    <mergeCell ref="D48:Q48"/>
    <mergeCell ref="R48:AT48"/>
    <mergeCell ref="D49:Q49"/>
    <mergeCell ref="R49:AT49"/>
    <mergeCell ref="H37:AT37"/>
    <mergeCell ref="H38:AT38"/>
    <mergeCell ref="D40:AT40"/>
    <mergeCell ref="H41:AT41"/>
    <mergeCell ref="H42:AT42"/>
    <mergeCell ref="H43:AT43"/>
    <mergeCell ref="D45:AT45"/>
    <mergeCell ref="H17:O17"/>
    <mergeCell ref="P17:AT17"/>
    <mergeCell ref="D15:G15"/>
    <mergeCell ref="H15:O15"/>
    <mergeCell ref="P15:AT15"/>
    <mergeCell ref="D16:G16"/>
    <mergeCell ref="H16:O16"/>
    <mergeCell ref="P16:AT16"/>
    <mergeCell ref="D17:G17"/>
    <mergeCell ref="P23:AT23"/>
    <mergeCell ref="P24:AT24"/>
    <mergeCell ref="P25:AT25"/>
    <mergeCell ref="D18:G18"/>
    <mergeCell ref="H18:O18"/>
    <mergeCell ref="P18:AT18"/>
    <mergeCell ref="D21:T21"/>
    <mergeCell ref="U21:AT21"/>
    <mergeCell ref="H22:O22"/>
    <mergeCell ref="P22:AT22"/>
    <mergeCell ref="D26:G26"/>
    <mergeCell ref="H26:O26"/>
    <mergeCell ref="P26:AT26"/>
    <mergeCell ref="D27:G27"/>
    <mergeCell ref="H27:O27"/>
    <mergeCell ref="P27:AT27"/>
    <mergeCell ref="D22:G22"/>
    <mergeCell ref="D23:G23"/>
    <mergeCell ref="H23:O23"/>
    <mergeCell ref="D24:G24"/>
    <mergeCell ref="H24:O24"/>
    <mergeCell ref="D25:G25"/>
    <mergeCell ref="H25:O25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9" width="27.5"/>
    <col customWidth="1" min="10" max="10" width="10.63"/>
    <col customWidth="1" min="11" max="12" width="20.0"/>
    <col customWidth="1" min="13" max="13" width="10.63"/>
    <col customWidth="1" min="14" max="18" width="20.0"/>
    <col customWidth="1" min="19" max="19" width="10.63"/>
    <col customWidth="1" min="20" max="21" width="20.0"/>
    <col customWidth="1" min="22" max="22" width="10.63"/>
    <col customWidth="1" min="23" max="24" width="20.0"/>
    <col customWidth="1" min="25" max="25" width="10.63"/>
    <col customWidth="1" min="26" max="28" width="20.0"/>
    <col customWidth="1" min="29" max="29" width="10.63"/>
    <col customWidth="1" min="30" max="31" width="20.0"/>
    <col customWidth="1" min="32" max="32" width="10.63"/>
    <col customWidth="1" min="33" max="35" width="12.5"/>
    <col customWidth="1" min="36" max="36" width="10.63"/>
    <col customWidth="1" min="37" max="37" width="12.5"/>
    <col customWidth="1" min="38" max="38" width="10.63"/>
    <col customWidth="1" min="39" max="39" width="27.5"/>
    <col customWidth="1" min="40" max="50" width="15.0"/>
  </cols>
  <sheetData>
    <row r="1">
      <c r="A1" s="127" t="s">
        <v>348</v>
      </c>
      <c r="B1" s="127" t="s">
        <v>349</v>
      </c>
      <c r="C1" s="127" t="s">
        <v>350</v>
      </c>
      <c r="D1" s="127" t="s">
        <v>351</v>
      </c>
      <c r="E1" s="127" t="s">
        <v>352</v>
      </c>
      <c r="F1" s="127" t="s">
        <v>353</v>
      </c>
      <c r="G1" s="127" t="s">
        <v>354</v>
      </c>
      <c r="H1" s="127" t="s">
        <v>355</v>
      </c>
      <c r="I1" s="127" t="s">
        <v>356</v>
      </c>
      <c r="J1" s="42"/>
      <c r="K1" s="127" t="s">
        <v>357</v>
      </c>
      <c r="L1" s="42"/>
      <c r="M1" s="42"/>
      <c r="N1" s="127" t="s">
        <v>358</v>
      </c>
      <c r="O1" s="42"/>
      <c r="P1" s="42"/>
      <c r="Q1" s="42"/>
      <c r="R1" s="42"/>
      <c r="S1" s="42"/>
      <c r="T1" s="127" t="s">
        <v>359</v>
      </c>
      <c r="U1" s="42"/>
      <c r="V1" s="42"/>
      <c r="W1" s="127" t="s">
        <v>360</v>
      </c>
      <c r="X1" s="42"/>
      <c r="Y1" s="42"/>
      <c r="Z1" s="127" t="s">
        <v>362</v>
      </c>
      <c r="AA1" s="42"/>
      <c r="AB1" s="42"/>
      <c r="AC1" s="42"/>
      <c r="AD1" s="127" t="s">
        <v>363</v>
      </c>
      <c r="AE1" s="42"/>
      <c r="AF1" s="42"/>
      <c r="AG1" s="42"/>
      <c r="AH1" s="42"/>
      <c r="AI1" s="42"/>
      <c r="AJ1" s="42"/>
      <c r="AK1" s="42"/>
      <c r="AL1" s="42"/>
      <c r="AM1" s="42"/>
      <c r="AP1" s="132" t="s">
        <v>364</v>
      </c>
      <c r="AQ1" s="132"/>
      <c r="AR1" s="132"/>
      <c r="AS1" s="132" t="s">
        <v>365</v>
      </c>
      <c r="AT1" s="132"/>
      <c r="AU1" s="132" t="s">
        <v>364</v>
      </c>
      <c r="AV1" s="132"/>
      <c r="AW1" s="132"/>
      <c r="AX1" s="132" t="s">
        <v>365</v>
      </c>
    </row>
    <row r="2">
      <c r="A2" s="133" t="s">
        <v>366</v>
      </c>
      <c r="B2" s="133" t="s">
        <v>191</v>
      </c>
      <c r="C2" s="133" t="s">
        <v>62</v>
      </c>
      <c r="D2" s="133" t="s">
        <v>28</v>
      </c>
      <c r="E2" s="133" t="s">
        <v>368</v>
      </c>
      <c r="F2" s="133" t="s">
        <v>222</v>
      </c>
      <c r="G2" s="133" t="s">
        <v>62</v>
      </c>
      <c r="H2" s="133" t="s">
        <v>368</v>
      </c>
      <c r="I2" s="133" t="s">
        <v>368</v>
      </c>
      <c r="J2" s="42"/>
      <c r="K2" s="134" t="s">
        <v>369</v>
      </c>
      <c r="L2" s="134" t="s">
        <v>370</v>
      </c>
      <c r="M2" s="42"/>
      <c r="N2" s="134" t="s">
        <v>96</v>
      </c>
      <c r="O2" s="134" t="s">
        <v>372</v>
      </c>
      <c r="P2" s="134" t="s">
        <v>373</v>
      </c>
      <c r="Q2" s="134" t="s">
        <v>374</v>
      </c>
      <c r="R2" s="134" t="s">
        <v>375</v>
      </c>
      <c r="S2" s="42"/>
      <c r="T2" s="134" t="s">
        <v>376</v>
      </c>
      <c r="U2" s="134" t="s">
        <v>377</v>
      </c>
      <c r="V2" s="42"/>
      <c r="W2" s="134" t="s">
        <v>356</v>
      </c>
      <c r="X2" s="134" t="s">
        <v>377</v>
      </c>
      <c r="Y2" s="42"/>
      <c r="Z2" s="134" t="s">
        <v>378</v>
      </c>
      <c r="AA2" s="134" t="s">
        <v>379</v>
      </c>
      <c r="AB2" s="134" t="s">
        <v>380</v>
      </c>
      <c r="AC2" s="42"/>
      <c r="AD2" s="134" t="s">
        <v>381</v>
      </c>
      <c r="AE2" s="134" t="s">
        <v>44</v>
      </c>
      <c r="AF2" s="42"/>
      <c r="AG2" s="134" t="s">
        <v>383</v>
      </c>
      <c r="AH2" s="134" t="s">
        <v>384</v>
      </c>
      <c r="AI2" s="134" t="s">
        <v>386</v>
      </c>
      <c r="AJ2" s="42"/>
      <c r="AK2" s="134" t="s">
        <v>387</v>
      </c>
      <c r="AL2" s="42"/>
      <c r="AM2" s="134" t="s">
        <v>45</v>
      </c>
      <c r="AN2" s="137" t="s">
        <v>46</v>
      </c>
      <c r="AO2" s="137"/>
      <c r="AP2" s="138" t="s">
        <v>368</v>
      </c>
      <c r="AQ2" s="138"/>
      <c r="AR2" s="138"/>
      <c r="AS2" s="138" t="s">
        <v>368</v>
      </c>
      <c r="AT2" s="138"/>
      <c r="AU2" s="138" t="s">
        <v>368</v>
      </c>
      <c r="AV2" s="138"/>
      <c r="AW2" s="138"/>
      <c r="AX2" s="138" t="s">
        <v>368</v>
      </c>
    </row>
    <row r="3">
      <c r="A3" s="133" t="s">
        <v>390</v>
      </c>
      <c r="B3" s="133" t="s">
        <v>198</v>
      </c>
      <c r="C3" s="133" t="s">
        <v>80</v>
      </c>
      <c r="D3" s="133" t="s">
        <v>56</v>
      </c>
      <c r="E3" s="133" t="s">
        <v>330</v>
      </c>
      <c r="F3" s="133" t="s">
        <v>138</v>
      </c>
      <c r="G3" s="133" t="s">
        <v>80</v>
      </c>
      <c r="H3" s="133" t="s">
        <v>391</v>
      </c>
      <c r="I3" s="133" t="s">
        <v>392</v>
      </c>
      <c r="J3" s="42"/>
      <c r="K3" s="133" t="s">
        <v>366</v>
      </c>
      <c r="L3" s="133">
        <v>1.0</v>
      </c>
      <c r="M3" s="42"/>
      <c r="N3" s="133" t="s">
        <v>191</v>
      </c>
      <c r="O3" s="133">
        <v>1.0</v>
      </c>
      <c r="P3" s="133">
        <v>1.5</v>
      </c>
      <c r="Q3" s="133" t="s">
        <v>393</v>
      </c>
      <c r="R3" s="133">
        <v>1.0</v>
      </c>
      <c r="S3" s="42"/>
      <c r="T3" s="133" t="s">
        <v>368</v>
      </c>
      <c r="U3" s="133">
        <v>0.0</v>
      </c>
      <c r="V3" s="42"/>
      <c r="W3" s="133" t="s">
        <v>368</v>
      </c>
      <c r="X3" s="133">
        <v>0.0</v>
      </c>
      <c r="Y3" s="42"/>
      <c r="Z3" s="133">
        <v>2.0</v>
      </c>
      <c r="AA3" s="133" t="s">
        <v>394</v>
      </c>
      <c r="AB3" s="133" t="s">
        <v>277</v>
      </c>
      <c r="AC3" s="42"/>
      <c r="AD3" s="133" t="s">
        <v>28</v>
      </c>
      <c r="AE3" s="133" t="s">
        <v>62</v>
      </c>
      <c r="AF3" s="42"/>
      <c r="AG3" s="133">
        <v>6.0</v>
      </c>
      <c r="AH3" s="133">
        <v>10.0</v>
      </c>
      <c r="AI3" s="133">
        <v>1.0</v>
      </c>
      <c r="AJ3" s="42"/>
      <c r="AK3" s="133">
        <f>'INVOCAÇÃO'!$D$30</f>
        <v>0</v>
      </c>
      <c r="AL3" s="42"/>
      <c r="AM3" s="133" t="s">
        <v>127</v>
      </c>
      <c r="AN3" s="140" t="s">
        <v>395</v>
      </c>
      <c r="AO3" s="140"/>
      <c r="AP3" s="141">
        <v>2.0</v>
      </c>
      <c r="AQ3" s="141"/>
      <c r="AR3" s="141"/>
      <c r="AS3" s="141">
        <v>0.0</v>
      </c>
      <c r="AT3" s="141"/>
      <c r="AU3" s="141">
        <v>2.0</v>
      </c>
      <c r="AV3" s="141"/>
      <c r="AW3" s="141"/>
      <c r="AX3" s="141">
        <v>0.0</v>
      </c>
    </row>
    <row r="4">
      <c r="A4" s="133" t="s">
        <v>316</v>
      </c>
      <c r="B4" s="133" t="s">
        <v>203</v>
      </c>
      <c r="C4" s="133" t="s">
        <v>326</v>
      </c>
      <c r="D4" s="133" t="s">
        <v>75</v>
      </c>
      <c r="E4" s="133" t="s">
        <v>396</v>
      </c>
      <c r="F4" s="42"/>
      <c r="G4" s="42"/>
      <c r="H4" s="133" t="s">
        <v>397</v>
      </c>
      <c r="I4" s="133" t="s">
        <v>398</v>
      </c>
      <c r="J4" s="42"/>
      <c r="K4" s="133" t="s">
        <v>390</v>
      </c>
      <c r="L4" s="133">
        <v>1.0</v>
      </c>
      <c r="M4" s="42"/>
      <c r="N4" s="133" t="s">
        <v>198</v>
      </c>
      <c r="O4" s="133">
        <v>5.0</v>
      </c>
      <c r="P4" s="133">
        <v>1.0</v>
      </c>
      <c r="Q4" s="133" t="s">
        <v>393</v>
      </c>
      <c r="R4" s="133">
        <v>1.5</v>
      </c>
      <c r="S4" s="42"/>
      <c r="T4" s="133" t="s">
        <v>391</v>
      </c>
      <c r="U4" s="133">
        <v>2.0</v>
      </c>
      <c r="V4" s="42"/>
      <c r="W4" s="133" t="s">
        <v>392</v>
      </c>
      <c r="X4" s="133">
        <v>0.0</v>
      </c>
      <c r="Y4" s="42"/>
      <c r="Z4" s="133">
        <v>5.0</v>
      </c>
      <c r="AA4" s="133" t="s">
        <v>400</v>
      </c>
      <c r="AB4" s="133" t="s">
        <v>394</v>
      </c>
      <c r="AC4" s="42"/>
      <c r="AD4" s="133" t="s">
        <v>56</v>
      </c>
      <c r="AE4" s="133" t="s">
        <v>326</v>
      </c>
      <c r="AF4" s="42"/>
      <c r="AG4" s="133">
        <v>10.0</v>
      </c>
      <c r="AH4" s="133">
        <v>18.0</v>
      </c>
      <c r="AI4" s="133">
        <v>5.0</v>
      </c>
      <c r="AJ4" s="42"/>
      <c r="AK4" s="133">
        <f>'INVOCAÇÃO'!$L$30</f>
        <v>0</v>
      </c>
      <c r="AL4" s="42"/>
      <c r="AM4" s="133" t="s">
        <v>401</v>
      </c>
      <c r="AN4" s="140" t="s">
        <v>402</v>
      </c>
      <c r="AO4" s="140"/>
      <c r="AP4" s="141">
        <v>3.0</v>
      </c>
      <c r="AQ4" s="141"/>
      <c r="AR4" s="141"/>
      <c r="AS4" s="141">
        <v>4.0</v>
      </c>
      <c r="AT4" s="141"/>
      <c r="AU4" s="141">
        <v>3.0</v>
      </c>
      <c r="AV4" s="141"/>
      <c r="AW4" s="141"/>
      <c r="AX4" s="141">
        <v>4.0</v>
      </c>
    </row>
    <row r="5">
      <c r="A5" s="133" t="s">
        <v>404</v>
      </c>
      <c r="B5" s="42"/>
      <c r="C5" s="133" t="s">
        <v>138</v>
      </c>
      <c r="D5" s="133" t="s">
        <v>91</v>
      </c>
      <c r="E5" s="133" t="s">
        <v>405</v>
      </c>
      <c r="F5" s="42"/>
      <c r="G5" s="42"/>
      <c r="H5" s="133" t="s">
        <v>406</v>
      </c>
      <c r="I5" s="133" t="s">
        <v>407</v>
      </c>
      <c r="J5" s="42"/>
      <c r="K5" s="133" t="s">
        <v>316</v>
      </c>
      <c r="L5" s="133">
        <v>2.0</v>
      </c>
      <c r="M5" s="42"/>
      <c r="N5" s="133" t="s">
        <v>203</v>
      </c>
      <c r="O5" s="133">
        <v>1.0</v>
      </c>
      <c r="P5" s="133">
        <v>1.0</v>
      </c>
      <c r="Q5" s="133" t="s">
        <v>408</v>
      </c>
      <c r="R5" s="133">
        <v>1.0</v>
      </c>
      <c r="S5" s="42"/>
      <c r="T5" s="133" t="s">
        <v>397</v>
      </c>
      <c r="U5" s="133">
        <v>2.0</v>
      </c>
      <c r="V5" s="42"/>
      <c r="W5" s="133" t="s">
        <v>398</v>
      </c>
      <c r="X5" s="133">
        <v>4.0</v>
      </c>
      <c r="Y5" s="42"/>
      <c r="Z5" s="133">
        <v>9.0</v>
      </c>
      <c r="AA5" s="133" t="s">
        <v>409</v>
      </c>
      <c r="AB5" s="133" t="s">
        <v>410</v>
      </c>
      <c r="AC5" s="42"/>
      <c r="AD5" s="133" t="s">
        <v>75</v>
      </c>
      <c r="AE5" s="133" t="s">
        <v>138</v>
      </c>
      <c r="AF5" s="42"/>
      <c r="AG5" s="133">
        <v>14.0</v>
      </c>
      <c r="AH5" s="133">
        <v>26.0</v>
      </c>
      <c r="AI5" s="133">
        <v>9.0</v>
      </c>
      <c r="AJ5" s="42"/>
      <c r="AK5" s="133">
        <f>'INVOCAÇÃO'!$T$30</f>
        <v>0</v>
      </c>
      <c r="AL5" s="42"/>
      <c r="AM5" s="133" t="s">
        <v>411</v>
      </c>
      <c r="AN5" s="140" t="s">
        <v>412</v>
      </c>
      <c r="AO5" s="140"/>
      <c r="AP5" s="141">
        <v>5.0</v>
      </c>
      <c r="AQ5" s="141"/>
      <c r="AR5" s="141"/>
      <c r="AS5" s="141">
        <v>8.0</v>
      </c>
      <c r="AT5" s="141"/>
      <c r="AU5" s="141">
        <v>5.0</v>
      </c>
      <c r="AV5" s="141"/>
      <c r="AW5" s="141"/>
      <c r="AX5" s="141">
        <v>8.0</v>
      </c>
    </row>
    <row r="6">
      <c r="A6" s="42"/>
      <c r="B6" s="42"/>
      <c r="C6" s="133" t="s">
        <v>222</v>
      </c>
      <c r="D6" s="42"/>
      <c r="E6" s="42"/>
      <c r="F6" s="42"/>
      <c r="G6" s="42"/>
      <c r="H6" s="133" t="s">
        <v>414</v>
      </c>
      <c r="I6" s="133" t="s">
        <v>415</v>
      </c>
      <c r="J6" s="42"/>
      <c r="K6" s="133" t="s">
        <v>404</v>
      </c>
      <c r="L6" s="133">
        <v>3.0</v>
      </c>
      <c r="M6" s="42"/>
      <c r="N6" s="42"/>
      <c r="O6" s="42"/>
      <c r="P6" s="42"/>
      <c r="Q6" s="42"/>
      <c r="R6" s="42"/>
      <c r="S6" s="42"/>
      <c r="T6" s="133" t="s">
        <v>406</v>
      </c>
      <c r="U6" s="133">
        <v>3.0</v>
      </c>
      <c r="V6" s="42"/>
      <c r="W6" s="133" t="s">
        <v>407</v>
      </c>
      <c r="X6" s="133">
        <v>4.0</v>
      </c>
      <c r="Y6" s="42"/>
      <c r="Z6" s="133">
        <v>13.0</v>
      </c>
      <c r="AA6" s="133" t="s">
        <v>416</v>
      </c>
      <c r="AB6" s="133" t="s">
        <v>417</v>
      </c>
      <c r="AC6" s="42"/>
      <c r="AD6" s="133" t="s">
        <v>91</v>
      </c>
      <c r="AE6" s="133" t="s">
        <v>222</v>
      </c>
      <c r="AF6" s="42"/>
      <c r="AG6" s="133">
        <v>18.0</v>
      </c>
      <c r="AH6" s="42"/>
      <c r="AI6" s="133">
        <v>13.0</v>
      </c>
      <c r="AJ6" s="42"/>
      <c r="AK6" s="133">
        <f>'INVOCAÇÃO'!$AB$30</f>
        <v>0</v>
      </c>
      <c r="AL6" s="42"/>
      <c r="AM6" s="133" t="s">
        <v>40</v>
      </c>
      <c r="AN6" s="140" t="s">
        <v>419</v>
      </c>
      <c r="AO6" s="140"/>
      <c r="AP6" s="141">
        <v>7.0</v>
      </c>
      <c r="AQ6" s="141"/>
      <c r="AR6" s="141"/>
      <c r="AS6" s="141"/>
      <c r="AT6" s="141"/>
      <c r="AU6" s="141">
        <v>7.0</v>
      </c>
      <c r="AV6" s="141"/>
      <c r="AW6" s="141"/>
      <c r="AX6" s="141"/>
    </row>
    <row r="7">
      <c r="A7" s="42"/>
      <c r="B7" s="42"/>
      <c r="C7" s="42"/>
      <c r="D7" s="42"/>
      <c r="E7" s="42"/>
      <c r="F7" s="42"/>
      <c r="G7" s="42"/>
      <c r="H7" s="133" t="s">
        <v>420</v>
      </c>
      <c r="I7" s="133" t="s">
        <v>421</v>
      </c>
      <c r="J7" s="42"/>
      <c r="K7" s="42"/>
      <c r="L7" s="42"/>
      <c r="M7" s="42"/>
      <c r="N7" s="42"/>
      <c r="O7" s="42"/>
      <c r="P7" s="42"/>
      <c r="Q7" s="42"/>
      <c r="R7" s="42"/>
      <c r="S7" s="42"/>
      <c r="T7" s="133" t="s">
        <v>414</v>
      </c>
      <c r="U7" s="133">
        <v>5.0</v>
      </c>
      <c r="V7" s="42"/>
      <c r="W7" s="133" t="s">
        <v>415</v>
      </c>
      <c r="X7" s="133">
        <v>4.0</v>
      </c>
      <c r="Y7" s="42"/>
      <c r="Z7" s="133">
        <v>17.0</v>
      </c>
      <c r="AA7" s="133" t="s">
        <v>423</v>
      </c>
      <c r="AB7" s="133" t="s">
        <v>400</v>
      </c>
      <c r="AC7" s="42"/>
      <c r="AD7" s="42"/>
      <c r="AE7" s="42"/>
      <c r="AF7" s="42"/>
      <c r="AG7" s="133">
        <v>22.0</v>
      </c>
      <c r="AH7" s="42"/>
      <c r="AI7" s="133">
        <v>17.0</v>
      </c>
      <c r="AJ7" s="42"/>
      <c r="AK7" s="133">
        <f>'INVOCAÇÃO'!$AJ$30</f>
        <v>0</v>
      </c>
      <c r="AL7" s="42"/>
      <c r="AM7" s="133" t="s">
        <v>39</v>
      </c>
      <c r="AN7" s="140" t="s">
        <v>82</v>
      </c>
      <c r="AO7" s="140"/>
      <c r="AP7" s="141">
        <v>8.0</v>
      </c>
      <c r="AQ7" s="141"/>
      <c r="AR7" s="141"/>
      <c r="AS7" s="141"/>
      <c r="AT7" s="141"/>
      <c r="AU7" s="141">
        <v>8.0</v>
      </c>
      <c r="AV7" s="141"/>
      <c r="AW7" s="141"/>
      <c r="AX7" s="141"/>
    </row>
    <row r="8">
      <c r="A8" s="42"/>
      <c r="B8" s="42"/>
      <c r="C8" s="42"/>
      <c r="D8" s="42"/>
      <c r="E8" s="42"/>
      <c r="F8" s="42"/>
      <c r="G8" s="42"/>
      <c r="H8" s="133" t="s">
        <v>424</v>
      </c>
      <c r="I8" s="133" t="s">
        <v>425</v>
      </c>
      <c r="J8" s="42"/>
      <c r="K8" s="42"/>
      <c r="L8" s="42"/>
      <c r="M8" s="42"/>
      <c r="N8" s="42"/>
      <c r="O8" s="42"/>
      <c r="P8" s="42"/>
      <c r="Q8" s="42"/>
      <c r="R8" s="42"/>
      <c r="S8" s="42"/>
      <c r="T8" s="133" t="s">
        <v>420</v>
      </c>
      <c r="U8" s="133">
        <v>5.0</v>
      </c>
      <c r="V8" s="42"/>
      <c r="W8" s="133" t="s">
        <v>421</v>
      </c>
      <c r="X8" s="133">
        <v>4.0</v>
      </c>
      <c r="Y8" s="42"/>
      <c r="Z8" s="133">
        <v>21.0</v>
      </c>
      <c r="AA8" s="133" t="s">
        <v>427</v>
      </c>
      <c r="AB8" s="133" t="s">
        <v>428</v>
      </c>
      <c r="AC8" s="42"/>
      <c r="AD8" s="42"/>
      <c r="AE8" s="42"/>
      <c r="AF8" s="42"/>
      <c r="AG8" s="133">
        <v>26.0</v>
      </c>
      <c r="AH8" s="42"/>
      <c r="AI8" s="133">
        <v>21.0</v>
      </c>
      <c r="AJ8" s="42"/>
      <c r="AK8" s="42"/>
      <c r="AL8" s="42"/>
      <c r="AM8" s="133" t="s">
        <v>41</v>
      </c>
      <c r="AN8" s="140" t="s">
        <v>429</v>
      </c>
      <c r="AO8" s="140"/>
      <c r="AP8" s="140"/>
      <c r="AQ8" s="140"/>
      <c r="AR8" s="140"/>
      <c r="AS8" s="140"/>
      <c r="AT8" s="140"/>
      <c r="AU8" s="140"/>
      <c r="AV8" s="140"/>
      <c r="AW8" s="140"/>
      <c r="AX8" s="140"/>
    </row>
    <row r="9">
      <c r="A9" s="42"/>
      <c r="B9" s="42"/>
      <c r="C9" s="42"/>
      <c r="D9" s="42"/>
      <c r="E9" s="42"/>
      <c r="F9" s="42"/>
      <c r="G9" s="42"/>
      <c r="H9" s="133" t="s">
        <v>430</v>
      </c>
      <c r="I9" s="133" t="s">
        <v>431</v>
      </c>
      <c r="J9" s="42"/>
      <c r="K9" s="42"/>
      <c r="L9" s="42"/>
      <c r="M9" s="42"/>
      <c r="N9" s="42"/>
      <c r="O9" s="42"/>
      <c r="P9" s="42"/>
      <c r="Q9" s="42"/>
      <c r="R9" s="42"/>
      <c r="S9" s="42"/>
      <c r="T9" s="133" t="s">
        <v>424</v>
      </c>
      <c r="U9" s="133">
        <v>7.0</v>
      </c>
      <c r="V9" s="42"/>
      <c r="W9" s="133" t="s">
        <v>425</v>
      </c>
      <c r="X9" s="133">
        <v>8.0</v>
      </c>
      <c r="Y9" s="42"/>
      <c r="Z9" s="133">
        <v>26.0</v>
      </c>
      <c r="AA9" s="133" t="s">
        <v>432</v>
      </c>
      <c r="AB9" s="133" t="s">
        <v>409</v>
      </c>
      <c r="AC9" s="42"/>
      <c r="AD9" s="42"/>
      <c r="AE9" s="42"/>
      <c r="AF9" s="42"/>
      <c r="AG9" s="133">
        <v>30.0</v>
      </c>
      <c r="AH9" s="42"/>
      <c r="AI9" s="133">
        <v>26.0</v>
      </c>
      <c r="AJ9" s="42"/>
      <c r="AK9" s="42"/>
      <c r="AL9" s="42"/>
      <c r="AM9" s="133" t="s">
        <v>64</v>
      </c>
      <c r="AN9" s="140" t="s">
        <v>434</v>
      </c>
      <c r="AO9" s="140"/>
      <c r="AP9" s="140"/>
      <c r="AQ9" s="140"/>
      <c r="AR9" s="140"/>
      <c r="AS9" s="140"/>
      <c r="AT9" s="140"/>
      <c r="AU9" s="140"/>
      <c r="AV9" s="140"/>
      <c r="AW9" s="140"/>
      <c r="AX9" s="140"/>
    </row>
    <row r="10">
      <c r="A10" s="42"/>
      <c r="B10" s="42"/>
      <c r="C10" s="42"/>
      <c r="D10" s="42"/>
      <c r="E10" s="42"/>
      <c r="F10" s="42"/>
      <c r="G10" s="42"/>
      <c r="H10" s="133" t="s">
        <v>436</v>
      </c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133" t="s">
        <v>430</v>
      </c>
      <c r="U10" s="133">
        <v>8.0</v>
      </c>
      <c r="V10" s="42"/>
      <c r="W10" s="133" t="s">
        <v>431</v>
      </c>
      <c r="X10" s="133">
        <v>8.0</v>
      </c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133" t="s">
        <v>369</v>
      </c>
      <c r="AN10" s="140" t="s">
        <v>437</v>
      </c>
      <c r="AO10" s="140"/>
      <c r="AP10" s="140"/>
      <c r="AQ10" s="140"/>
      <c r="AR10" s="140"/>
      <c r="AS10" s="140"/>
      <c r="AT10" s="140"/>
      <c r="AU10" s="140"/>
      <c r="AV10" s="140"/>
      <c r="AW10" s="140"/>
      <c r="AX10" s="140"/>
    </row>
    <row r="11">
      <c r="A11" s="42"/>
      <c r="B11" s="42"/>
      <c r="C11" s="42"/>
      <c r="D11" s="42"/>
      <c r="E11" s="42"/>
      <c r="F11" s="42"/>
      <c r="G11" s="42"/>
      <c r="H11" s="133" t="s">
        <v>438</v>
      </c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133" t="s">
        <v>436</v>
      </c>
      <c r="U11" s="133">
        <v>8.0</v>
      </c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133" t="s">
        <v>96</v>
      </c>
      <c r="AN11" s="140" t="s">
        <v>440</v>
      </c>
      <c r="AO11" s="140"/>
      <c r="AP11" s="140"/>
      <c r="AQ11" s="140"/>
      <c r="AR11" s="140"/>
      <c r="AS11" s="140"/>
      <c r="AT11" s="140"/>
      <c r="AU11" s="140"/>
      <c r="AV11" s="140"/>
      <c r="AW11" s="140"/>
      <c r="AX11" s="140"/>
    </row>
    <row r="12">
      <c r="A12" s="42"/>
      <c r="B12" s="42"/>
      <c r="C12" s="42"/>
      <c r="D12" s="42"/>
      <c r="E12" s="42"/>
      <c r="F12" s="42"/>
      <c r="G12" s="42"/>
      <c r="H12" s="133" t="s">
        <v>441</v>
      </c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133" t="s">
        <v>438</v>
      </c>
      <c r="U12" s="133">
        <v>8.0</v>
      </c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133" t="s">
        <v>352</v>
      </c>
      <c r="AN12" s="140" t="s">
        <v>444</v>
      </c>
      <c r="AO12" s="140"/>
      <c r="AP12" s="140"/>
      <c r="AQ12" s="140"/>
      <c r="AR12" s="140"/>
      <c r="AS12" s="140"/>
      <c r="AT12" s="140"/>
      <c r="AU12" s="140"/>
      <c r="AV12" s="140"/>
      <c r="AW12" s="140"/>
      <c r="AX12" s="140"/>
    </row>
    <row r="13">
      <c r="A13" s="42"/>
      <c r="B13" s="42"/>
      <c r="C13" s="42"/>
      <c r="D13" s="42"/>
      <c r="E13" s="42"/>
      <c r="F13" s="42"/>
      <c r="G13" s="42"/>
      <c r="H13" s="133" t="s">
        <v>445</v>
      </c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133" t="s">
        <v>441</v>
      </c>
      <c r="U13" s="133">
        <v>8.0</v>
      </c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133" t="s">
        <v>447</v>
      </c>
      <c r="AN13" s="140" t="s">
        <v>448</v>
      </c>
      <c r="AO13" s="140"/>
      <c r="AP13" s="140"/>
      <c r="AQ13" s="140"/>
      <c r="AR13" s="140"/>
      <c r="AS13" s="140"/>
      <c r="AT13" s="140"/>
      <c r="AU13" s="140"/>
      <c r="AV13" s="140"/>
      <c r="AW13" s="140"/>
      <c r="AX13" s="140"/>
    </row>
    <row r="14">
      <c r="A14" s="42"/>
      <c r="B14" s="42"/>
      <c r="C14" s="42"/>
      <c r="D14" s="42"/>
      <c r="E14" s="42"/>
      <c r="F14" s="42"/>
      <c r="G14" s="42"/>
      <c r="H14" s="133" t="s">
        <v>450</v>
      </c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133" t="s">
        <v>445</v>
      </c>
      <c r="U14" s="133">
        <v>8.0</v>
      </c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133" t="s">
        <v>453</v>
      </c>
      <c r="AN14" s="140" t="s">
        <v>454</v>
      </c>
      <c r="AO14" s="140"/>
      <c r="AP14" s="140"/>
      <c r="AQ14" s="140"/>
      <c r="AR14" s="140"/>
      <c r="AS14" s="140"/>
      <c r="AT14" s="140"/>
      <c r="AU14" s="140"/>
      <c r="AV14" s="140"/>
      <c r="AW14" s="140"/>
      <c r="AX14" s="140"/>
    </row>
    <row r="15">
      <c r="A15" s="42"/>
      <c r="B15" s="42"/>
      <c r="C15" s="42"/>
      <c r="D15" s="42"/>
      <c r="E15" s="42"/>
      <c r="F15" s="42"/>
      <c r="G15" s="42"/>
      <c r="H15" s="133" t="s">
        <v>455</v>
      </c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133" t="s">
        <v>450</v>
      </c>
      <c r="U15" s="133">
        <v>8.0</v>
      </c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133" t="s">
        <v>456</v>
      </c>
      <c r="AN15" s="140" t="s">
        <v>457</v>
      </c>
      <c r="AO15" s="140"/>
      <c r="AP15" s="140"/>
      <c r="AQ15" s="140"/>
      <c r="AR15" s="140"/>
      <c r="AS15" s="140"/>
      <c r="AT15" s="140"/>
      <c r="AU15" s="140"/>
      <c r="AV15" s="140"/>
      <c r="AW15" s="140"/>
      <c r="AX15" s="140"/>
    </row>
    <row r="16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133" t="s">
        <v>455</v>
      </c>
      <c r="U16" s="133">
        <v>8.0</v>
      </c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133" t="s">
        <v>459</v>
      </c>
      <c r="AN16" s="140" t="s">
        <v>460</v>
      </c>
      <c r="AO16" s="140"/>
      <c r="AP16" s="140"/>
      <c r="AQ16" s="140"/>
      <c r="AR16" s="140"/>
      <c r="AS16" s="140"/>
      <c r="AT16" s="140"/>
      <c r="AU16" s="140"/>
      <c r="AV16" s="140"/>
      <c r="AW16" s="140"/>
      <c r="AX16" s="140"/>
    </row>
    <row r="17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133" t="s">
        <v>462</v>
      </c>
      <c r="AN17" s="140" t="s">
        <v>463</v>
      </c>
      <c r="AO17" s="140"/>
      <c r="AP17" s="140"/>
      <c r="AQ17" s="140"/>
      <c r="AR17" s="140"/>
      <c r="AS17" s="140"/>
      <c r="AT17" s="140"/>
      <c r="AU17" s="140"/>
      <c r="AV17" s="140"/>
      <c r="AW17" s="140"/>
      <c r="AX17" s="140"/>
    </row>
    <row r="18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133" t="s">
        <v>353</v>
      </c>
      <c r="AN18" s="140" t="s">
        <v>465</v>
      </c>
      <c r="AO18" s="140"/>
      <c r="AP18" s="140"/>
      <c r="AQ18" s="140"/>
      <c r="AR18" s="140"/>
      <c r="AS18" s="140"/>
      <c r="AT18" s="140"/>
      <c r="AU18" s="140"/>
      <c r="AV18" s="140"/>
      <c r="AW18" s="140"/>
      <c r="AX18" s="140"/>
    </row>
    <row r="19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133" t="s">
        <v>258</v>
      </c>
      <c r="AN19" s="140" t="s">
        <v>466</v>
      </c>
      <c r="AO19" s="140"/>
      <c r="AP19" s="140"/>
      <c r="AQ19" s="140"/>
      <c r="AR19" s="140"/>
      <c r="AS19" s="140"/>
      <c r="AT19" s="140"/>
      <c r="AU19" s="140"/>
      <c r="AV19" s="140"/>
      <c r="AW19" s="140"/>
      <c r="AX19" s="140"/>
    </row>
    <row r="20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133" t="s">
        <v>470</v>
      </c>
      <c r="AN20" s="140" t="s">
        <v>471</v>
      </c>
      <c r="AO20" s="140"/>
      <c r="AP20" s="140"/>
      <c r="AQ20" s="140"/>
      <c r="AR20" s="140"/>
      <c r="AS20" s="140"/>
      <c r="AT20" s="140"/>
      <c r="AU20" s="140"/>
      <c r="AV20" s="140"/>
      <c r="AW20" s="140"/>
      <c r="AX20" s="140"/>
    </row>
    <row r="2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133" t="s">
        <v>476</v>
      </c>
      <c r="AN21" s="140" t="s">
        <v>477</v>
      </c>
      <c r="AO21" s="140"/>
      <c r="AP21" s="140"/>
      <c r="AQ21" s="140"/>
      <c r="AR21" s="140"/>
      <c r="AS21" s="140"/>
      <c r="AT21" s="140"/>
      <c r="AU21" s="140"/>
      <c r="AV21" s="140"/>
      <c r="AW21" s="140"/>
      <c r="AX21" s="140"/>
    </row>
    <row r="22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133" t="s">
        <v>354</v>
      </c>
      <c r="AN22" s="140" t="s">
        <v>478</v>
      </c>
      <c r="AO22" s="140"/>
      <c r="AP22" s="140"/>
      <c r="AQ22" s="140"/>
      <c r="AR22" s="140"/>
      <c r="AS22" s="140"/>
      <c r="AT22" s="140"/>
      <c r="AU22" s="140"/>
      <c r="AV22" s="140"/>
      <c r="AW22" s="140"/>
      <c r="AX22" s="140"/>
    </row>
    <row r="23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133" t="s">
        <v>480</v>
      </c>
      <c r="AN23" s="140" t="s">
        <v>481</v>
      </c>
      <c r="AO23" s="140"/>
      <c r="AP23" s="140"/>
      <c r="AQ23" s="140"/>
      <c r="AR23" s="140"/>
      <c r="AS23" s="140"/>
      <c r="AT23" s="140"/>
      <c r="AU23" s="140"/>
      <c r="AV23" s="140"/>
      <c r="AW23" s="140"/>
      <c r="AX23" s="140"/>
    </row>
    <row r="24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133" t="s">
        <v>482</v>
      </c>
      <c r="AN24" s="140" t="s">
        <v>483</v>
      </c>
      <c r="AO24" s="140"/>
      <c r="AP24" s="140"/>
      <c r="AQ24" s="140"/>
      <c r="AR24" s="140"/>
      <c r="AS24" s="140"/>
      <c r="AT24" s="140"/>
      <c r="AU24" s="140"/>
      <c r="AV24" s="140"/>
      <c r="AW24" s="140"/>
      <c r="AX24" s="140"/>
    </row>
    <row r="25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133" t="s">
        <v>485</v>
      </c>
      <c r="AN25" s="140" t="s">
        <v>486</v>
      </c>
      <c r="AO25" s="140"/>
      <c r="AP25" s="140"/>
      <c r="AQ25" s="140"/>
      <c r="AR25" s="140"/>
      <c r="AS25" s="140"/>
      <c r="AT25" s="140"/>
      <c r="AU25" s="140"/>
      <c r="AV25" s="140"/>
      <c r="AW25" s="140"/>
      <c r="AX25" s="140"/>
    </row>
    <row r="26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133" t="s">
        <v>487</v>
      </c>
      <c r="AN26" s="140" t="s">
        <v>488</v>
      </c>
      <c r="AO26" s="140"/>
      <c r="AP26" s="140"/>
      <c r="AQ26" s="140"/>
      <c r="AR26" s="140"/>
      <c r="AS26" s="140"/>
      <c r="AT26" s="140"/>
      <c r="AU26" s="140"/>
      <c r="AV26" s="140"/>
      <c r="AW26" s="140"/>
      <c r="AX26" s="140"/>
    </row>
    <row r="27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133" t="s">
        <v>490</v>
      </c>
      <c r="AN27" s="140" t="s">
        <v>491</v>
      </c>
      <c r="AO27" s="140"/>
      <c r="AP27" s="140"/>
      <c r="AQ27" s="140"/>
      <c r="AR27" s="140"/>
      <c r="AS27" s="140"/>
      <c r="AT27" s="140"/>
      <c r="AU27" s="140"/>
      <c r="AV27" s="140"/>
      <c r="AW27" s="140"/>
      <c r="AX27" s="140"/>
    </row>
    <row r="28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133" t="s">
        <v>493</v>
      </c>
      <c r="AN28" s="140" t="s">
        <v>494</v>
      </c>
      <c r="AO28" s="140"/>
      <c r="AP28" s="140"/>
      <c r="AQ28" s="140"/>
      <c r="AR28" s="140"/>
      <c r="AS28" s="140"/>
      <c r="AT28" s="140"/>
      <c r="AU28" s="140"/>
      <c r="AV28" s="140"/>
      <c r="AW28" s="140"/>
      <c r="AX28" s="140"/>
    </row>
    <row r="29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133" t="s">
        <v>495</v>
      </c>
      <c r="AN29" s="140" t="s">
        <v>496</v>
      </c>
      <c r="AO29" s="140"/>
      <c r="AP29" s="140"/>
      <c r="AQ29" s="140"/>
      <c r="AR29" s="140"/>
      <c r="AS29" s="140"/>
      <c r="AT29" s="140"/>
      <c r="AU29" s="140"/>
      <c r="AV29" s="140"/>
      <c r="AW29" s="140"/>
      <c r="AX29" s="140"/>
    </row>
    <row r="30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133" t="s">
        <v>501</v>
      </c>
      <c r="AN30" s="140" t="s">
        <v>503</v>
      </c>
      <c r="AO30" s="140"/>
      <c r="AP30" s="140"/>
      <c r="AQ30" s="140"/>
      <c r="AR30" s="140"/>
      <c r="AS30" s="140"/>
      <c r="AT30" s="140"/>
      <c r="AU30" s="140"/>
      <c r="AV30" s="140"/>
      <c r="AW30" s="140"/>
      <c r="AX30" s="140"/>
    </row>
    <row r="31">
      <c r="AM31" s="140" t="s">
        <v>199</v>
      </c>
      <c r="AN31" s="140" t="s">
        <v>505</v>
      </c>
      <c r="AO31" s="140"/>
      <c r="AP31" s="140"/>
      <c r="AQ31" s="140"/>
      <c r="AR31" s="140"/>
      <c r="AS31" s="140"/>
      <c r="AT31" s="140"/>
      <c r="AU31" s="140"/>
      <c r="AV31" s="140"/>
      <c r="AW31" s="140"/>
      <c r="AX31" s="140"/>
    </row>
    <row r="32">
      <c r="AM32" s="140" t="s">
        <v>192</v>
      </c>
      <c r="AN32" s="140" t="s">
        <v>507</v>
      </c>
      <c r="AO32" s="140"/>
      <c r="AP32" s="140"/>
      <c r="AQ32" s="140"/>
      <c r="AR32" s="140"/>
      <c r="AS32" s="140"/>
      <c r="AT32" s="140"/>
      <c r="AU32" s="140"/>
      <c r="AV32" s="140"/>
      <c r="AW32" s="140"/>
      <c r="AX32" s="140"/>
    </row>
    <row r="33">
      <c r="AM33" s="140" t="s">
        <v>372</v>
      </c>
      <c r="AN33" s="140" t="s">
        <v>508</v>
      </c>
      <c r="AO33" s="140"/>
      <c r="AP33" s="140"/>
      <c r="AQ33" s="140"/>
      <c r="AR33" s="140"/>
      <c r="AS33" s="140"/>
      <c r="AT33" s="140"/>
      <c r="AU33" s="140"/>
      <c r="AV33" s="140"/>
      <c r="AW33" s="140"/>
      <c r="AX33" s="140"/>
    </row>
    <row r="34">
      <c r="AM34" s="140" t="s">
        <v>375</v>
      </c>
      <c r="AN34" s="140" t="s">
        <v>510</v>
      </c>
      <c r="AO34" s="140"/>
      <c r="AP34" s="140"/>
      <c r="AQ34" s="140"/>
      <c r="AR34" s="140"/>
      <c r="AS34" s="140"/>
      <c r="AT34" s="140"/>
      <c r="AU34" s="140"/>
      <c r="AV34" s="140"/>
      <c r="AW34" s="140"/>
      <c r="AX34" s="140"/>
    </row>
    <row r="35">
      <c r="AM35" s="140" t="s">
        <v>511</v>
      </c>
      <c r="AN35" s="140" t="s">
        <v>512</v>
      </c>
      <c r="AO35" s="140"/>
      <c r="AP35" s="140"/>
      <c r="AQ35" s="140"/>
      <c r="AR35" s="140"/>
      <c r="AS35" s="140"/>
      <c r="AT35" s="140"/>
      <c r="AU35" s="140"/>
      <c r="AV35" s="140"/>
      <c r="AW35" s="140"/>
      <c r="AX35" s="140"/>
    </row>
    <row r="36">
      <c r="AM36" s="140" t="s">
        <v>515</v>
      </c>
      <c r="AN36" s="140" t="s">
        <v>516</v>
      </c>
      <c r="AO36" s="140"/>
      <c r="AP36" s="140"/>
      <c r="AQ36" s="140"/>
      <c r="AR36" s="140"/>
      <c r="AS36" s="140"/>
      <c r="AT36" s="140"/>
      <c r="AU36" s="140"/>
      <c r="AV36" s="140"/>
      <c r="AW36" s="140"/>
      <c r="AX36" s="140"/>
    </row>
    <row r="37">
      <c r="AM37" s="140" t="s">
        <v>517</v>
      </c>
      <c r="AN37" s="140" t="s">
        <v>518</v>
      </c>
      <c r="AO37" s="140"/>
      <c r="AP37" s="140"/>
      <c r="AQ37" s="140"/>
      <c r="AR37" s="140"/>
      <c r="AS37" s="140"/>
      <c r="AT37" s="140"/>
      <c r="AU37" s="140"/>
      <c r="AV37" s="140"/>
      <c r="AW37" s="140"/>
      <c r="AX37" s="140"/>
    </row>
    <row r="38">
      <c r="AM38" s="140" t="s">
        <v>519</v>
      </c>
      <c r="AN38" s="140" t="s">
        <v>520</v>
      </c>
      <c r="AO38" s="140"/>
      <c r="AP38" s="140"/>
      <c r="AQ38" s="140"/>
      <c r="AR38" s="140"/>
      <c r="AS38" s="140"/>
      <c r="AT38" s="140"/>
      <c r="AU38" s="140"/>
      <c r="AV38" s="140"/>
      <c r="AW38" s="140"/>
      <c r="AX38" s="140"/>
    </row>
    <row r="39">
      <c r="AM39" s="140" t="s">
        <v>521</v>
      </c>
      <c r="AN39" s="140" t="s">
        <v>522</v>
      </c>
      <c r="AO39" s="140"/>
      <c r="AP39" s="140"/>
      <c r="AQ39" s="140"/>
      <c r="AR39" s="140"/>
      <c r="AS39" s="140"/>
      <c r="AT39" s="140"/>
      <c r="AU39" s="140"/>
      <c r="AV39" s="140"/>
      <c r="AW39" s="140"/>
      <c r="AX39" s="140"/>
    </row>
    <row r="40">
      <c r="AM40" s="140" t="s">
        <v>523</v>
      </c>
      <c r="AN40" s="140" t="s">
        <v>524</v>
      </c>
      <c r="AO40" s="140"/>
      <c r="AP40" s="140"/>
      <c r="AQ40" s="140"/>
      <c r="AR40" s="140"/>
      <c r="AS40" s="140"/>
      <c r="AT40" s="140"/>
      <c r="AU40" s="140"/>
      <c r="AV40" s="140"/>
      <c r="AW40" s="140"/>
      <c r="AX40" s="140"/>
    </row>
    <row r="41">
      <c r="AM41" s="140" t="s">
        <v>526</v>
      </c>
      <c r="AN41" s="140" t="s">
        <v>527</v>
      </c>
      <c r="AO41" s="140"/>
      <c r="AP41" s="140"/>
      <c r="AQ41" s="140"/>
      <c r="AR41" s="140"/>
      <c r="AS41" s="140"/>
      <c r="AT41" s="140"/>
      <c r="AU41" s="140"/>
      <c r="AV41" s="140"/>
      <c r="AW41" s="140"/>
      <c r="AX41" s="140"/>
    </row>
    <row r="42">
      <c r="AM42" s="140" t="s">
        <v>528</v>
      </c>
      <c r="AN42" s="140" t="s">
        <v>529</v>
      </c>
      <c r="AO42" s="140"/>
      <c r="AP42" s="140"/>
      <c r="AQ42" s="140"/>
      <c r="AR42" s="140"/>
      <c r="AS42" s="140"/>
      <c r="AT42" s="140"/>
      <c r="AU42" s="140"/>
      <c r="AV42" s="140"/>
      <c r="AW42" s="140"/>
      <c r="AX42" s="140"/>
    </row>
    <row r="43">
      <c r="AM43" s="140" t="s">
        <v>148</v>
      </c>
      <c r="AN43" s="140" t="s">
        <v>531</v>
      </c>
      <c r="AO43" s="140"/>
      <c r="AP43" s="140"/>
      <c r="AQ43" s="140"/>
      <c r="AR43" s="140"/>
      <c r="AS43" s="140"/>
      <c r="AT43" s="140"/>
      <c r="AU43" s="140"/>
      <c r="AV43" s="140"/>
      <c r="AW43" s="140"/>
      <c r="AX43" s="140"/>
    </row>
    <row r="44">
      <c r="AM44" s="140" t="s">
        <v>157</v>
      </c>
      <c r="AN44" s="140" t="s">
        <v>532</v>
      </c>
      <c r="AO44" s="140"/>
      <c r="AP44" s="140"/>
      <c r="AQ44" s="140"/>
      <c r="AR44" s="140"/>
      <c r="AS44" s="140"/>
      <c r="AT44" s="140"/>
      <c r="AU44" s="140"/>
      <c r="AV44" s="140"/>
      <c r="AW44" s="140"/>
      <c r="AX44" s="140"/>
    </row>
    <row r="45">
      <c r="AM45" s="140" t="s">
        <v>167</v>
      </c>
      <c r="AN45" s="140" t="s">
        <v>533</v>
      </c>
      <c r="AO45" s="140"/>
      <c r="AP45" s="140"/>
      <c r="AQ45" s="140"/>
      <c r="AR45" s="140"/>
      <c r="AS45" s="140"/>
      <c r="AT45" s="140"/>
      <c r="AU45" s="140"/>
      <c r="AV45" s="140"/>
      <c r="AW45" s="140"/>
      <c r="AX45" s="140"/>
    </row>
    <row r="46">
      <c r="AM46" s="140" t="s">
        <v>178</v>
      </c>
      <c r="AN46" s="140" t="s">
        <v>534</v>
      </c>
      <c r="AO46" s="140"/>
      <c r="AP46" s="140"/>
      <c r="AQ46" s="140"/>
      <c r="AR46" s="140"/>
      <c r="AS46" s="140"/>
      <c r="AT46" s="140"/>
      <c r="AU46" s="140"/>
      <c r="AV46" s="140"/>
      <c r="AW46" s="140"/>
      <c r="AX46" s="140"/>
    </row>
    <row r="47">
      <c r="AM47" s="140" t="s">
        <v>185</v>
      </c>
      <c r="AN47" s="140" t="s">
        <v>535</v>
      </c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</row>
    <row r="48">
      <c r="AM48" s="140" t="s">
        <v>536</v>
      </c>
      <c r="AN48" s="140" t="s">
        <v>537</v>
      </c>
      <c r="AO48" s="140"/>
      <c r="AP48" s="140"/>
      <c r="AQ48" s="140"/>
      <c r="AR48" s="140"/>
      <c r="AS48" s="140"/>
      <c r="AT48" s="140"/>
      <c r="AU48" s="140"/>
      <c r="AV48" s="140"/>
      <c r="AW48" s="140"/>
      <c r="AX48" s="140"/>
    </row>
    <row r="49">
      <c r="AM49" s="140" t="s">
        <v>538</v>
      </c>
      <c r="AN49" s="140" t="s">
        <v>539</v>
      </c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</row>
    <row r="50">
      <c r="AM50" s="140" t="s">
        <v>541</v>
      </c>
      <c r="AN50" s="140" t="s">
        <v>542</v>
      </c>
      <c r="AO50" s="140"/>
      <c r="AP50" s="140"/>
      <c r="AQ50" s="140"/>
      <c r="AR50" s="140"/>
      <c r="AS50" s="140"/>
      <c r="AT50" s="140"/>
      <c r="AU50" s="140"/>
      <c r="AV50" s="140"/>
      <c r="AW50" s="140"/>
      <c r="AX50" s="140"/>
    </row>
    <row r="51">
      <c r="AM51" s="140" t="s">
        <v>543</v>
      </c>
      <c r="AN51" s="140" t="s">
        <v>544</v>
      </c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</row>
    <row r="52">
      <c r="AM52" s="140" t="s">
        <v>545</v>
      </c>
      <c r="AN52" s="140" t="s">
        <v>546</v>
      </c>
      <c r="AO52" s="140"/>
      <c r="AP52" s="140"/>
      <c r="AQ52" s="140"/>
      <c r="AR52" s="140"/>
      <c r="AS52" s="140"/>
      <c r="AT52" s="140"/>
      <c r="AU52" s="140"/>
      <c r="AV52" s="140"/>
      <c r="AW52" s="140"/>
      <c r="AX52" s="140"/>
    </row>
    <row r="53">
      <c r="AM53" s="140" t="s">
        <v>548</v>
      </c>
      <c r="AN53" s="140" t="s">
        <v>549</v>
      </c>
      <c r="AO53" s="140"/>
      <c r="AP53" s="140"/>
      <c r="AQ53" s="140"/>
      <c r="AR53" s="140"/>
      <c r="AS53" s="140"/>
      <c r="AT53" s="140"/>
      <c r="AU53" s="140"/>
      <c r="AV53" s="140"/>
      <c r="AW53" s="140"/>
      <c r="AX53" s="140"/>
    </row>
    <row r="54">
      <c r="AM54" s="140" t="s">
        <v>550</v>
      </c>
      <c r="AN54" s="140" t="s">
        <v>551</v>
      </c>
      <c r="AO54" s="140"/>
      <c r="AP54" s="140"/>
      <c r="AQ54" s="140"/>
      <c r="AR54" s="140"/>
      <c r="AS54" s="140"/>
      <c r="AT54" s="140"/>
      <c r="AU54" s="140"/>
      <c r="AV54" s="140"/>
      <c r="AW54" s="140"/>
      <c r="AX54" s="140"/>
    </row>
    <row r="55">
      <c r="AM55" s="140" t="s">
        <v>552</v>
      </c>
      <c r="AN55" s="140" t="s">
        <v>553</v>
      </c>
      <c r="AO55" s="140"/>
      <c r="AP55" s="140"/>
      <c r="AQ55" s="140"/>
      <c r="AR55" s="140"/>
      <c r="AS55" s="140"/>
      <c r="AT55" s="140"/>
      <c r="AU55" s="140"/>
      <c r="AV55" s="140"/>
      <c r="AW55" s="140"/>
      <c r="AX55" s="140"/>
    </row>
    <row r="56">
      <c r="AM56" s="140" t="s">
        <v>554</v>
      </c>
      <c r="AN56" s="140" t="s">
        <v>555</v>
      </c>
      <c r="AO56" s="140"/>
      <c r="AP56" s="140"/>
      <c r="AQ56" s="140"/>
      <c r="AR56" s="140"/>
      <c r="AS56" s="140"/>
      <c r="AT56" s="140"/>
      <c r="AU56" s="140"/>
      <c r="AV56" s="140"/>
      <c r="AW56" s="140"/>
      <c r="AX56" s="140"/>
    </row>
    <row r="57">
      <c r="AM57" s="140" t="s">
        <v>556</v>
      </c>
      <c r="AN57" s="140" t="s">
        <v>557</v>
      </c>
      <c r="AO57" s="140"/>
      <c r="AP57" s="140"/>
      <c r="AQ57" s="140"/>
      <c r="AR57" s="140"/>
      <c r="AS57" s="140"/>
      <c r="AT57" s="140"/>
      <c r="AU57" s="140"/>
      <c r="AV57" s="140"/>
      <c r="AW57" s="140"/>
      <c r="AX57" s="140"/>
    </row>
    <row r="58">
      <c r="AM58" s="140" t="s">
        <v>558</v>
      </c>
      <c r="AN58" s="140" t="s">
        <v>559</v>
      </c>
      <c r="AO58" s="140"/>
      <c r="AP58" s="140"/>
      <c r="AQ58" s="140"/>
      <c r="AR58" s="140"/>
      <c r="AS58" s="140"/>
      <c r="AT58" s="140"/>
      <c r="AU58" s="140"/>
      <c r="AV58" s="140"/>
      <c r="AW58" s="140"/>
      <c r="AX58" s="140"/>
    </row>
    <row r="59">
      <c r="AM59" s="140" t="s">
        <v>560</v>
      </c>
      <c r="AN59" s="140" t="s">
        <v>561</v>
      </c>
      <c r="AO59" s="140"/>
      <c r="AP59" s="140"/>
      <c r="AQ59" s="140"/>
      <c r="AR59" s="140"/>
      <c r="AS59" s="140"/>
      <c r="AT59" s="140"/>
      <c r="AU59" s="140"/>
      <c r="AV59" s="140"/>
      <c r="AW59" s="140"/>
      <c r="AX59" s="140"/>
    </row>
    <row r="60">
      <c r="AM60" s="140" t="s">
        <v>562</v>
      </c>
      <c r="AN60" s="140" t="s">
        <v>563</v>
      </c>
      <c r="AO60" s="140"/>
      <c r="AP60" s="140"/>
      <c r="AQ60" s="140"/>
      <c r="AR60" s="140"/>
      <c r="AS60" s="140"/>
      <c r="AT60" s="140"/>
      <c r="AU60" s="140"/>
      <c r="AV60" s="140"/>
      <c r="AW60" s="140"/>
      <c r="AX60" s="140"/>
    </row>
    <row r="61">
      <c r="AM61" s="140" t="s">
        <v>564</v>
      </c>
      <c r="AN61" s="140" t="s">
        <v>565</v>
      </c>
      <c r="AO61" s="140"/>
      <c r="AP61" s="140"/>
      <c r="AQ61" s="140"/>
      <c r="AR61" s="140"/>
      <c r="AS61" s="140"/>
      <c r="AT61" s="140"/>
      <c r="AU61" s="140"/>
      <c r="AV61" s="140"/>
      <c r="AW61" s="140"/>
      <c r="AX61" s="140"/>
    </row>
    <row r="62">
      <c r="AM62" s="140" t="s">
        <v>566</v>
      </c>
      <c r="AN62" s="140" t="s">
        <v>567</v>
      </c>
      <c r="AO62" s="140"/>
      <c r="AP62" s="140"/>
      <c r="AQ62" s="140"/>
      <c r="AR62" s="140"/>
      <c r="AS62" s="140"/>
      <c r="AT62" s="140"/>
      <c r="AU62" s="140"/>
      <c r="AV62" s="140"/>
      <c r="AW62" s="140"/>
      <c r="AX62" s="140"/>
    </row>
    <row r="63">
      <c r="AM63" s="140" t="s">
        <v>568</v>
      </c>
      <c r="AN63" s="140" t="s">
        <v>569</v>
      </c>
      <c r="AO63" s="140"/>
      <c r="AP63" s="140"/>
      <c r="AQ63" s="140"/>
      <c r="AR63" s="140"/>
      <c r="AS63" s="140"/>
      <c r="AT63" s="140"/>
      <c r="AU63" s="140"/>
      <c r="AV63" s="140"/>
      <c r="AW63" s="140"/>
      <c r="AX63" s="140"/>
    </row>
    <row r="64">
      <c r="AM64" s="140" t="s">
        <v>571</v>
      </c>
      <c r="AN64" s="140" t="s">
        <v>572</v>
      </c>
      <c r="AO64" s="140"/>
      <c r="AP64" s="140"/>
      <c r="AQ64" s="140"/>
      <c r="AR64" s="140"/>
      <c r="AS64" s="140"/>
      <c r="AT64" s="140"/>
      <c r="AU64" s="140"/>
      <c r="AV64" s="140"/>
      <c r="AW64" s="140"/>
      <c r="AX64" s="140"/>
    </row>
    <row r="65">
      <c r="AM65" s="140" t="s">
        <v>574</v>
      </c>
      <c r="AN65" s="140" t="s">
        <v>575</v>
      </c>
      <c r="AO65" s="140"/>
      <c r="AP65" s="140"/>
      <c r="AQ65" s="140"/>
      <c r="AR65" s="140"/>
      <c r="AS65" s="140"/>
      <c r="AT65" s="140"/>
      <c r="AU65" s="140"/>
      <c r="AV65" s="140"/>
      <c r="AW65" s="140"/>
      <c r="AX65" s="140"/>
    </row>
    <row r="66">
      <c r="AM66" s="140" t="s">
        <v>577</v>
      </c>
      <c r="AN66" s="140" t="s">
        <v>578</v>
      </c>
      <c r="AO66" s="140"/>
      <c r="AP66" s="140"/>
      <c r="AQ66" s="140"/>
      <c r="AR66" s="140"/>
      <c r="AS66" s="140"/>
      <c r="AT66" s="140"/>
      <c r="AU66" s="140"/>
      <c r="AV66" s="140"/>
      <c r="AW66" s="140"/>
      <c r="AX66" s="140"/>
    </row>
    <row r="67">
      <c r="AM67" s="140" t="s">
        <v>579</v>
      </c>
      <c r="AN67" s="140" t="s">
        <v>580</v>
      </c>
      <c r="AO67" s="140"/>
      <c r="AP67" s="140"/>
      <c r="AQ67" s="140"/>
      <c r="AR67" s="140"/>
      <c r="AS67" s="140"/>
      <c r="AT67" s="140"/>
      <c r="AU67" s="140"/>
      <c r="AV67" s="140"/>
      <c r="AW67" s="140"/>
      <c r="AX67" s="140"/>
    </row>
    <row r="68">
      <c r="AM68" s="140" t="s">
        <v>581</v>
      </c>
      <c r="AN68" s="140" t="s">
        <v>582</v>
      </c>
      <c r="AO68" s="140"/>
      <c r="AP68" s="140"/>
      <c r="AQ68" s="140"/>
      <c r="AR68" s="140"/>
      <c r="AS68" s="140"/>
      <c r="AT68" s="140"/>
      <c r="AU68" s="140"/>
      <c r="AV68" s="140"/>
      <c r="AW68" s="140"/>
      <c r="AX68" s="140"/>
    </row>
    <row r="69">
      <c r="AM69" s="140" t="s">
        <v>583</v>
      </c>
      <c r="AN69" s="140" t="s">
        <v>584</v>
      </c>
      <c r="AO69" s="140"/>
      <c r="AP69" s="140"/>
      <c r="AQ69" s="140"/>
      <c r="AR69" s="140"/>
      <c r="AS69" s="140"/>
      <c r="AT69" s="140"/>
      <c r="AU69" s="140"/>
      <c r="AV69" s="140"/>
      <c r="AW69" s="140"/>
      <c r="AX69" s="140"/>
    </row>
    <row r="70">
      <c r="AM70" s="140" t="s">
        <v>585</v>
      </c>
      <c r="AN70" s="140" t="s">
        <v>586</v>
      </c>
      <c r="AO70" s="140"/>
      <c r="AP70" s="140"/>
      <c r="AQ70" s="140"/>
      <c r="AR70" s="140"/>
      <c r="AS70" s="140"/>
      <c r="AT70" s="140"/>
      <c r="AU70" s="140"/>
      <c r="AV70" s="140"/>
      <c r="AW70" s="140"/>
      <c r="AX70" s="140"/>
    </row>
    <row r="71">
      <c r="AM71" s="140" t="s">
        <v>587</v>
      </c>
      <c r="AN71" s="140" t="s">
        <v>588</v>
      </c>
      <c r="AO71" s="140"/>
      <c r="AP71" s="140"/>
      <c r="AQ71" s="140"/>
      <c r="AR71" s="140"/>
      <c r="AS71" s="140"/>
      <c r="AT71" s="140"/>
      <c r="AU71" s="140"/>
      <c r="AV71" s="140"/>
      <c r="AW71" s="140"/>
      <c r="AX71" s="140"/>
    </row>
    <row r="72">
      <c r="AM72" s="140" t="s">
        <v>589</v>
      </c>
      <c r="AN72" s="140" t="s">
        <v>590</v>
      </c>
      <c r="AO72" s="140"/>
      <c r="AP72" s="140"/>
      <c r="AQ72" s="140"/>
      <c r="AR72" s="140"/>
      <c r="AS72" s="140"/>
      <c r="AT72" s="140"/>
      <c r="AU72" s="140"/>
      <c r="AV72" s="140"/>
      <c r="AW72" s="140"/>
      <c r="AX72" s="140"/>
    </row>
    <row r="73">
      <c r="AM73" s="140" t="s">
        <v>591</v>
      </c>
      <c r="AN73" s="140" t="s">
        <v>592</v>
      </c>
      <c r="AO73" s="140"/>
      <c r="AP73" s="140"/>
      <c r="AQ73" s="140"/>
      <c r="AR73" s="140"/>
      <c r="AS73" s="140"/>
      <c r="AT73" s="140"/>
      <c r="AU73" s="140"/>
      <c r="AV73" s="140"/>
      <c r="AW73" s="140"/>
      <c r="AX73" s="140"/>
    </row>
    <row r="74">
      <c r="AM74" s="140" t="s">
        <v>593</v>
      </c>
      <c r="AN74" s="140" t="s">
        <v>594</v>
      </c>
      <c r="AO74" s="140"/>
      <c r="AP74" s="140"/>
      <c r="AQ74" s="140"/>
      <c r="AR74" s="140"/>
      <c r="AS74" s="140"/>
      <c r="AT74" s="140"/>
      <c r="AU74" s="140"/>
      <c r="AV74" s="140"/>
      <c r="AW74" s="140"/>
      <c r="AX74" s="140"/>
    </row>
    <row r="75">
      <c r="AM75" s="140" t="s">
        <v>596</v>
      </c>
      <c r="AN75" s="140" t="s">
        <v>597</v>
      </c>
      <c r="AO75" s="140"/>
      <c r="AP75" s="140"/>
      <c r="AQ75" s="140"/>
      <c r="AR75" s="140"/>
      <c r="AS75" s="140"/>
      <c r="AT75" s="140"/>
      <c r="AU75" s="140"/>
      <c r="AV75" s="140"/>
      <c r="AW75" s="140"/>
      <c r="AX75" s="140"/>
    </row>
    <row r="76">
      <c r="AM76" s="140" t="s">
        <v>598</v>
      </c>
      <c r="AN76" s="140" t="s">
        <v>599</v>
      </c>
      <c r="AO76" s="140"/>
      <c r="AP76" s="140"/>
      <c r="AQ76" s="140"/>
      <c r="AR76" s="140"/>
      <c r="AS76" s="140"/>
      <c r="AT76" s="140"/>
      <c r="AU76" s="140"/>
      <c r="AV76" s="140"/>
      <c r="AW76" s="140"/>
      <c r="AX76" s="140"/>
    </row>
    <row r="77">
      <c r="AM77" s="140" t="s">
        <v>600</v>
      </c>
      <c r="AN77" s="140" t="s">
        <v>601</v>
      </c>
      <c r="AO77" s="140"/>
      <c r="AP77" s="140"/>
      <c r="AQ77" s="140"/>
      <c r="AR77" s="140"/>
      <c r="AS77" s="140"/>
      <c r="AT77" s="140"/>
      <c r="AU77" s="140"/>
      <c r="AV77" s="140"/>
      <c r="AW77" s="140"/>
      <c r="AX77" s="140"/>
    </row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orientation="landscape"/>
  <drawing r:id="rId1"/>
</worksheet>
</file>
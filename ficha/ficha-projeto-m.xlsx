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CHA" sheetId="1" state="visible" r:id="rId1"/>
    <sheet xmlns:r="http://schemas.openxmlformats.org/officeDocument/2006/relationships" name="DADOS" sheetId="2" state="hidden" r:id="rId2"/>
    <sheet xmlns:r="http://schemas.openxmlformats.org/officeDocument/2006/relationships" name="TÉCNICA" sheetId="3" state="visible" r:id="rId3"/>
    <sheet xmlns:r="http://schemas.openxmlformats.org/officeDocument/2006/relationships" name="MESA" sheetId="4" state="visible" r:id="rId4"/>
    <sheet xmlns:r="http://schemas.openxmlformats.org/officeDocument/2006/relationships" name="QUEM É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Roboto"/>
      <color rgb="00F4F1F7"/>
      <sz val="11"/>
    </font>
    <font>
      <name val="Oswald"/>
      <color rgb="00998BA9"/>
      <sz val="9"/>
    </font>
    <font>
      <name val="Roboto"/>
      <b val="1"/>
      <color rgb="00F4F1F7"/>
      <sz val="11"/>
    </font>
    <font>
      <name val="Roboto"/>
      <color rgb="00998BA9"/>
      <sz val="9"/>
    </font>
    <font>
      <name val="Roboto"/>
      <color rgb="00F4F1F7"/>
      <sz val="11"/>
    </font>
    <font>
      <name val="Oswald"/>
      <color rgb="00E8DCD4"/>
      <sz val="20"/>
    </font>
    <font>
      <name val="Oswald"/>
      <color rgb="00F4F1F7"/>
      <sz val="18"/>
    </font>
    <font>
      <name val="Noto Sans JP"/>
      <color rgb="00493F54"/>
      <sz val="9"/>
    </font>
    <font>
      <name val="Oswald"/>
      <color rgb="00756588"/>
      <sz val="12"/>
    </font>
    <font>
      <name val="Oswald"/>
      <color rgb="00E8DCD4"/>
      <sz val="16"/>
    </font>
    <font>
      <name val="Roboto"/>
      <color rgb="00998BA9"/>
      <sz val="11"/>
    </font>
    <font>
      <name val="Oswald"/>
      <color rgb="00E8DCD4"/>
      <sz val="28"/>
    </font>
    <font>
      <name val="Roboto"/>
      <color rgb="00E8DCD4"/>
      <sz val="11"/>
    </font>
    <font>
      <name val="Oswald"/>
      <color rgb="00E8DCD4"/>
      <sz val="14"/>
    </font>
    <font>
      <name val="Oswald"/>
      <color rgb="00F4F1F7"/>
      <sz val="14"/>
    </font>
    <font>
      <name val="Roboto"/>
      <color rgb="00F4F1F7"/>
      <sz val="9"/>
    </font>
    <font>
      <name val="Roboto"/>
      <color rgb="00E8DCD4"/>
      <sz val="9"/>
    </font>
    <font>
      <name val="Roboto"/>
      <color rgb="00E8DCD4"/>
      <sz val="14"/>
    </font>
    <font>
      <name val="Roboto"/>
      <color rgb="00E8DCD4"/>
      <sz val="28"/>
    </font>
    <font>
      <name val="Roboto"/>
      <color rgb="00756588"/>
      <sz val="12"/>
    </font>
  </fonts>
  <fills count="5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30294D"/>
        <bgColor rgb="0030294D"/>
      </patternFill>
    </fill>
    <fill>
      <patternFill patternType="solid">
        <fgColor rgb="00211C35"/>
        <bgColor rgb="00211C35"/>
      </patternFill>
    </fill>
  </fills>
  <borders count="9">
    <border>
      <left/>
      <right/>
      <top/>
      <bottom/>
      <diagonal/>
    </border>
    <border>
      <left style="thin">
        <color rgb="00493F54"/>
      </left>
      <right/>
      <top style="thin">
        <color rgb="00493F54"/>
      </top>
      <bottom/>
    </border>
    <border>
      <left/>
      <right/>
      <top style="thin">
        <color rgb="00493F54"/>
      </top>
      <bottom/>
    </border>
    <border>
      <left/>
      <right style="thin">
        <color rgb="00493F54"/>
      </right>
      <top style="thin">
        <color rgb="00493F54"/>
      </top>
      <bottom/>
    </border>
    <border>
      <left style="thin">
        <color rgb="00493F54"/>
      </left>
      <right/>
      <top/>
      <bottom/>
    </border>
    <border>
      <left/>
      <right style="thin">
        <color rgb="00493F54"/>
      </right>
      <top/>
      <bottom/>
    </border>
    <border>
      <left style="thin">
        <color rgb="00493F54"/>
      </left>
      <right/>
      <top/>
      <bottom style="thin">
        <color rgb="00493F54"/>
      </bottom>
    </border>
    <border>
      <left/>
      <right/>
      <top/>
      <bottom style="thin">
        <color rgb="00493F54"/>
      </bottom>
    </border>
    <border>
      <left/>
      <right style="thin">
        <color rgb="00493F54"/>
      </right>
      <top/>
      <bottom style="thin">
        <color rgb="00493F54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6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 indent="1"/>
    </xf>
    <xf numFmtId="0" fontId="1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2" borderId="0" applyAlignment="1" pivotButton="0" quotePrefix="0" xfId="0">
      <alignment horizontal="left" vertical="center" indent="1"/>
    </xf>
    <xf numFmtId="0" fontId="1" fillId="4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4" borderId="4" applyAlignment="1" pivotButton="0" quotePrefix="0" xfId="0">
      <alignment horizontal="center" vertical="center"/>
    </xf>
    <xf numFmtId="0" fontId="0" fillId="0" borderId="5" pivotButton="0" quotePrefix="0" xfId="0"/>
    <xf numFmtId="0" fontId="9" fillId="4" borderId="4" applyAlignment="1" pivotButton="0" quotePrefix="0" xfId="0">
      <alignment horizontal="center" vertical="center"/>
    </xf>
    <xf numFmtId="0" fontId="10" fillId="4" borderId="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1" fillId="4" borderId="4" applyAlignment="1" pivotButton="0" quotePrefix="0" xfId="0">
      <alignment horizontal="center" vertical="center"/>
    </xf>
    <xf numFmtId="0" fontId="0" fillId="0" borderId="4" pivotButton="0" quotePrefix="0" xfId="0"/>
    <xf numFmtId="0" fontId="3" fillId="4" borderId="6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3" borderId="1" applyAlignment="1" pivotButton="0" quotePrefix="0" xfId="0">
      <alignment horizontal="center" vertical="center"/>
    </xf>
    <xf numFmtId="0" fontId="10" fillId="3" borderId="6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 indent="1"/>
    </xf>
    <xf numFmtId="0" fontId="13" fillId="4" borderId="4" applyAlignment="1" pivotButton="0" quotePrefix="0" xfId="0">
      <alignment horizontal="center" vertical="center"/>
    </xf>
    <xf numFmtId="0" fontId="14" fillId="4" borderId="4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 indent="1"/>
    </xf>
    <xf numFmtId="0" fontId="16" fillId="4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 indent="1"/>
    </xf>
    <xf numFmtId="0" fontId="16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6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16" fillId="4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17" fillId="3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5" fillId="4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1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inlineStr">
        <is>
          <t>PROJETO M</t>
        </is>
      </c>
      <c r="M1" s="2" t="n"/>
      <c r="N1" s="3" t="n"/>
      <c r="AI1" s="2" t="n"/>
      <c r="AJ1" s="4">
        <f>IF(DADOS!$B$1=DADOS!$D$1,"catálogo v"&amp;DADOS!$B$1&amp;" · em dia","⚠ ficha na v"&amp;DADOS!$B$1&amp;" · a atual é a v"&amp;DADOS!$D$1)</f>
        <v/>
      </c>
    </row>
    <row r="2" ht="15" customHeight="1">
      <c r="M2" s="2" t="n"/>
      <c r="AI2" s="2" t="n"/>
    </row>
    <row r="3" ht="15" customHeight="1">
      <c r="A3" s="5" t="inlineStr">
        <is>
          <t>ficha de personagem</t>
        </is>
      </c>
      <c r="M3" s="2" t="n"/>
      <c r="N3" s="6" t="inlineStr">
        <is>
          <t>NOME DO PERSONAGEM</t>
        </is>
      </c>
      <c r="AI3" s="2" t="n"/>
      <c r="AJ3" s="7" t="inlineStr">
        <is>
          <t>呪術廻戦</t>
        </is>
      </c>
    </row>
    <row r="4" ht="15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</row>
    <row r="5" ht="15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</row>
    <row r="6" ht="15" customHeight="1">
      <c r="A6" s="9" t="inlineStr">
        <is>
          <t>QUEM É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</row>
    <row r="7" ht="15" customHeight="1">
      <c r="A7" s="10" t="inlineStr">
        <is>
          <t>CAMINHO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2" t="n"/>
      <c r="K7" s="8" t="n"/>
      <c r="L7" s="10" t="inlineStr">
        <is>
          <t>TRILHA</t>
        </is>
      </c>
      <c r="M7" s="11" t="n"/>
      <c r="N7" s="11" t="n"/>
      <c r="O7" s="11" t="n"/>
      <c r="P7" s="11" t="n"/>
      <c r="Q7" s="11" t="n"/>
      <c r="R7" s="11" t="n"/>
      <c r="S7" s="11" t="n"/>
      <c r="T7" s="11" t="n"/>
      <c r="U7" s="12" t="n"/>
      <c r="V7" s="8" t="n"/>
      <c r="W7" s="10" t="inlineStr">
        <is>
          <t>ORIGEM</t>
        </is>
      </c>
      <c r="X7" s="11" t="n"/>
      <c r="Y7" s="11" t="n"/>
      <c r="Z7" s="11" t="n"/>
      <c r="AA7" s="11" t="n"/>
      <c r="AB7" s="11" t="n"/>
      <c r="AC7" s="11" t="n"/>
      <c r="AD7" s="11" t="n"/>
      <c r="AE7" s="11" t="n"/>
      <c r="AF7" s="12" t="n"/>
      <c r="AG7" s="8" t="n"/>
      <c r="AH7" s="10" t="inlineStr">
        <is>
          <t>NÍVEL</t>
        </is>
      </c>
      <c r="AI7" s="11" t="n"/>
      <c r="AJ7" s="11" t="n"/>
      <c r="AK7" s="11" t="n"/>
      <c r="AL7" s="11" t="n"/>
      <c r="AM7" s="12" t="n"/>
      <c r="AN7" s="8" t="n"/>
      <c r="AO7" s="10" t="inlineStr">
        <is>
          <t>XP (NA MÃO)</t>
        </is>
      </c>
      <c r="AP7" s="11" t="n"/>
      <c r="AQ7" s="11" t="n"/>
      <c r="AR7" s="11" t="n"/>
      <c r="AS7" s="11" t="n"/>
      <c r="AT7" s="12" t="n"/>
    </row>
    <row r="8" ht="15" customHeight="1">
      <c r="A8" s="13" t="n"/>
      <c r="J8" s="14" t="n"/>
      <c r="K8" s="8" t="n"/>
      <c r="L8" s="13" t="n"/>
      <c r="U8" s="14" t="n"/>
      <c r="V8" s="8" t="n"/>
      <c r="W8" s="13" t="n"/>
      <c r="AF8" s="14" t="n"/>
      <c r="AG8" s="8" t="n"/>
      <c r="AH8" s="15" t="n">
        <v>2</v>
      </c>
      <c r="AM8" s="14" t="n"/>
      <c r="AN8" s="8" t="n"/>
      <c r="AO8" s="16" t="n">
        <v>0</v>
      </c>
      <c r="AT8" s="14" t="n"/>
    </row>
    <row r="9" ht="15" customHeight="1">
      <c r="A9" s="17" t="n"/>
      <c r="B9" s="18" t="n"/>
      <c r="C9" s="18" t="n"/>
      <c r="D9" s="18" t="n"/>
      <c r="E9" s="18" t="n"/>
      <c r="F9" s="18" t="n"/>
      <c r="G9" s="18" t="n"/>
      <c r="H9" s="18" t="n"/>
      <c r="I9" s="18" t="n"/>
      <c r="J9" s="19" t="n"/>
      <c r="K9" s="8" t="n"/>
      <c r="L9" s="17" t="n"/>
      <c r="M9" s="18" t="n"/>
      <c r="N9" s="18" t="n"/>
      <c r="O9" s="18" t="n"/>
      <c r="P9" s="18" t="n"/>
      <c r="Q9" s="18" t="n"/>
      <c r="R9" s="18" t="n"/>
      <c r="S9" s="18" t="n"/>
      <c r="T9" s="18" t="n"/>
      <c r="U9" s="19" t="n"/>
      <c r="V9" s="8" t="n"/>
      <c r="W9" s="17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9" t="n"/>
      <c r="AG9" s="8" t="n"/>
      <c r="AH9" s="17" t="n"/>
      <c r="AI9" s="18" t="n"/>
      <c r="AJ9" s="18" t="n"/>
      <c r="AK9" s="18" t="n"/>
      <c r="AL9" s="18" t="n"/>
      <c r="AM9" s="19" t="n"/>
      <c r="AN9" s="8" t="n"/>
      <c r="AO9" s="17" t="n"/>
      <c r="AP9" s="18" t="n"/>
      <c r="AQ9" s="18" t="n"/>
      <c r="AR9" s="18" t="n"/>
      <c r="AS9" s="18" t="n"/>
      <c r="AT9" s="19" t="n"/>
    </row>
    <row r="10" ht="15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</row>
    <row r="11" ht="15" customHeight="1">
      <c r="A11" s="9" t="inlineStr">
        <is>
          <t>ATRIBUTOS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</row>
    <row r="12" ht="15" customHeight="1">
      <c r="A12" s="10" t="inlineStr">
        <is>
          <t>FOR</t>
        </is>
      </c>
      <c r="B12" s="11" t="n"/>
      <c r="C12" s="11" t="n"/>
      <c r="D12" s="11" t="n"/>
      <c r="E12" s="11" t="n"/>
      <c r="F12" s="11" t="n"/>
      <c r="G12" s="11" t="n"/>
      <c r="H12" s="12" t="n"/>
      <c r="I12" s="8" t="n"/>
      <c r="J12" s="10" t="inlineStr">
        <is>
          <t>DES</t>
        </is>
      </c>
      <c r="K12" s="11" t="n"/>
      <c r="L12" s="11" t="n"/>
      <c r="M12" s="11" t="n"/>
      <c r="N12" s="11" t="n"/>
      <c r="O12" s="11" t="n"/>
      <c r="P12" s="11" t="n"/>
      <c r="Q12" s="12" t="n"/>
      <c r="R12" s="8" t="n"/>
      <c r="S12" s="10" t="inlineStr">
        <is>
          <t>CON</t>
        </is>
      </c>
      <c r="T12" s="11" t="n"/>
      <c r="U12" s="11" t="n"/>
      <c r="V12" s="11" t="n"/>
      <c r="W12" s="11" t="n"/>
      <c r="X12" s="11" t="n"/>
      <c r="Y12" s="11" t="n"/>
      <c r="Z12" s="12" t="n"/>
      <c r="AA12" s="8" t="n"/>
      <c r="AB12" s="10" t="inlineStr">
        <is>
          <t>INT</t>
        </is>
      </c>
      <c r="AC12" s="11" t="n"/>
      <c r="AD12" s="11" t="n"/>
      <c r="AE12" s="11" t="n"/>
      <c r="AF12" s="11" t="n"/>
      <c r="AG12" s="11" t="n"/>
      <c r="AH12" s="11" t="n"/>
      <c r="AI12" s="12" t="n"/>
      <c r="AJ12" s="8" t="n"/>
      <c r="AK12" s="10" t="inlineStr">
        <is>
          <t>ESS</t>
        </is>
      </c>
      <c r="AL12" s="11" t="n"/>
      <c r="AM12" s="11" t="n"/>
      <c r="AN12" s="11" t="n"/>
      <c r="AO12" s="11" t="n"/>
      <c r="AP12" s="11" t="n"/>
      <c r="AQ12" s="11" t="n"/>
      <c r="AR12" s="12" t="n"/>
      <c r="AS12" s="8" t="n"/>
      <c r="AT12" s="8" t="n"/>
    </row>
    <row r="13" ht="15" customHeight="1">
      <c r="A13" s="20" t="n">
        <v>0</v>
      </c>
      <c r="H13" s="14" t="n"/>
      <c r="I13" s="8" t="n"/>
      <c r="J13" s="20" t="n">
        <v>0</v>
      </c>
      <c r="Q13" s="14" t="n"/>
      <c r="R13" s="8" t="n"/>
      <c r="S13" s="20" t="n">
        <v>0</v>
      </c>
      <c r="Z13" s="14" t="n"/>
      <c r="AA13" s="8" t="n"/>
      <c r="AB13" s="20" t="n">
        <v>0</v>
      </c>
      <c r="AI13" s="14" t="n"/>
      <c r="AJ13" s="8" t="n"/>
      <c r="AK13" s="20" t="n">
        <v>0</v>
      </c>
      <c r="AR13" s="14" t="n"/>
      <c r="AS13" s="8" t="n"/>
      <c r="AT13" s="8" t="n"/>
    </row>
    <row r="14" ht="15" customHeight="1">
      <c r="A14" s="21" t="n"/>
      <c r="H14" s="14" t="n"/>
      <c r="I14" s="8" t="n"/>
      <c r="J14" s="21" t="n"/>
      <c r="Q14" s="14" t="n"/>
      <c r="R14" s="8" t="n"/>
      <c r="S14" s="21" t="n"/>
      <c r="Z14" s="14" t="n"/>
      <c r="AA14" s="8" t="n"/>
      <c r="AB14" s="21" t="n"/>
      <c r="AI14" s="14" t="n"/>
      <c r="AJ14" s="8" t="n"/>
      <c r="AK14" s="21" t="n"/>
      <c r="AR14" s="14" t="n"/>
      <c r="AS14" s="8" t="n"/>
      <c r="AT14" s="8" t="n"/>
    </row>
    <row r="15" ht="15" customHeight="1">
      <c r="A15" s="21" t="n"/>
      <c r="H15" s="14" t="n"/>
      <c r="I15" s="8" t="n"/>
      <c r="J15" s="21" t="n"/>
      <c r="Q15" s="14" t="n"/>
      <c r="R15" s="8" t="n"/>
      <c r="S15" s="21" t="n"/>
      <c r="Z15" s="14" t="n"/>
      <c r="AA15" s="8" t="n"/>
      <c r="AB15" s="21" t="n"/>
      <c r="AI15" s="14" t="n"/>
      <c r="AJ15" s="8" t="n"/>
      <c r="AK15" s="21" t="n"/>
      <c r="AR15" s="14" t="n"/>
      <c r="AS15" s="8" t="n"/>
      <c r="AT15" s="8" t="n"/>
    </row>
    <row r="16" ht="15" customHeight="1">
      <c r="A16" s="21" t="n"/>
      <c r="H16" s="14" t="n"/>
      <c r="I16" s="8" t="n"/>
      <c r="J16" s="21" t="n"/>
      <c r="Q16" s="14" t="n"/>
      <c r="R16" s="8" t="n"/>
      <c r="S16" s="21" t="n"/>
      <c r="Z16" s="14" t="n"/>
      <c r="AA16" s="8" t="n"/>
      <c r="AB16" s="21" t="n"/>
      <c r="AI16" s="14" t="n"/>
      <c r="AJ16" s="8" t="n"/>
      <c r="AK16" s="21" t="n"/>
      <c r="AR16" s="14" t="n"/>
      <c r="AS16" s="8" t="n"/>
      <c r="AT16" s="8" t="n"/>
    </row>
    <row r="17" ht="15" customHeight="1">
      <c r="A17" s="22" t="inlineStr">
        <is>
          <t>Força</t>
        </is>
      </c>
      <c r="B17" s="18" t="n"/>
      <c r="C17" s="18" t="n"/>
      <c r="D17" s="18" t="n"/>
      <c r="E17" s="18" t="n"/>
      <c r="F17" s="18" t="n"/>
      <c r="G17" s="18" t="n"/>
      <c r="H17" s="19" t="n"/>
      <c r="I17" s="8" t="n"/>
      <c r="J17" s="22" t="inlineStr">
        <is>
          <t>Destreza</t>
        </is>
      </c>
      <c r="K17" s="18" t="n"/>
      <c r="L17" s="18" t="n"/>
      <c r="M17" s="18" t="n"/>
      <c r="N17" s="18" t="n"/>
      <c r="O17" s="18" t="n"/>
      <c r="P17" s="18" t="n"/>
      <c r="Q17" s="19" t="n"/>
      <c r="R17" s="8" t="n"/>
      <c r="S17" s="22" t="inlineStr">
        <is>
          <t>Constituição</t>
        </is>
      </c>
      <c r="T17" s="18" t="n"/>
      <c r="U17" s="18" t="n"/>
      <c r="V17" s="18" t="n"/>
      <c r="W17" s="18" t="n"/>
      <c r="X17" s="18" t="n"/>
      <c r="Y17" s="18" t="n"/>
      <c r="Z17" s="19" t="n"/>
      <c r="AA17" s="8" t="n"/>
      <c r="AB17" s="22" t="inlineStr">
        <is>
          <t>Inteligência</t>
        </is>
      </c>
      <c r="AC17" s="18" t="n"/>
      <c r="AD17" s="18" t="n"/>
      <c r="AE17" s="18" t="n"/>
      <c r="AF17" s="18" t="n"/>
      <c r="AG17" s="18" t="n"/>
      <c r="AH17" s="18" t="n"/>
      <c r="AI17" s="19" t="n"/>
      <c r="AJ17" s="8" t="n"/>
      <c r="AK17" s="22" t="inlineStr">
        <is>
          <t>Essência</t>
        </is>
      </c>
      <c r="AL17" s="18" t="n"/>
      <c r="AM17" s="18" t="n"/>
      <c r="AN17" s="18" t="n"/>
      <c r="AO17" s="18" t="n"/>
      <c r="AP17" s="18" t="n"/>
      <c r="AQ17" s="18" t="n"/>
      <c r="AR17" s="19" t="n"/>
      <c r="AS17" s="8" t="n"/>
      <c r="AT17" s="8" t="n"/>
    </row>
    <row r="18" ht="15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</row>
    <row r="19" ht="15" customHeight="1">
      <c r="A19" s="9" t="inlineStr">
        <is>
          <t>AS TRÊS RESERVAS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</row>
    <row r="20" ht="15" customHeight="1">
      <c r="A20" s="23" t="inlineStr">
        <is>
          <t>VIDA</t>
        </is>
      </c>
      <c r="P20" s="8" t="n"/>
      <c r="Q20" s="23" t="inlineStr">
        <is>
          <t>ENERGIA</t>
        </is>
      </c>
      <c r="AF20" s="8" t="n"/>
      <c r="AG20" s="23" t="inlineStr">
        <is>
          <t>INTEGRIDADE</t>
        </is>
      </c>
    </row>
    <row r="21" ht="15" customHeight="1">
      <c r="A21" s="24" t="n">
        <v>0</v>
      </c>
      <c r="I21" s="25" t="n"/>
      <c r="J21" s="26" t="inlineStr">
        <is>
          <t>MÁXIMO</t>
        </is>
      </c>
      <c r="K21" s="11" t="n"/>
      <c r="L21" s="11" t="n"/>
      <c r="M21" s="11" t="n"/>
      <c r="N21" s="11" t="n"/>
      <c r="O21" s="12" t="n"/>
      <c r="P21" s="8" t="n"/>
      <c r="Q21" s="24" t="n">
        <v>0</v>
      </c>
      <c r="Y21" s="25" t="n"/>
      <c r="Z21" s="26" t="inlineStr">
        <is>
          <t>MÁXIMO</t>
        </is>
      </c>
      <c r="AA21" s="11" t="n"/>
      <c r="AB21" s="11" t="n"/>
      <c r="AC21" s="11" t="n"/>
      <c r="AD21" s="11" t="n"/>
      <c r="AE21" s="12" t="n"/>
      <c r="AF21" s="8" t="n"/>
      <c r="AG21" s="24" t="n">
        <v>0</v>
      </c>
      <c r="AO21" s="25" t="n"/>
      <c r="AP21" s="26" t="inlineStr">
        <is>
          <t>MÁXIMO</t>
        </is>
      </c>
      <c r="AQ21" s="11" t="n"/>
      <c r="AR21" s="11" t="n"/>
      <c r="AS21" s="11" t="n"/>
      <c r="AT21" s="11" t="n"/>
      <c r="AU21" s="12" t="n"/>
    </row>
    <row r="22" ht="15" customHeight="1">
      <c r="I22" s="25" t="n"/>
      <c r="J22" s="27">
        <f>IF($A$8="","",(VLOOKUP($A$8,DADOS!$N$5:$U$9,3,FALSE)+$S$13)+(VLOOKUP($A$8,DADOS!$N$5:$U$9,4,FALSE)+$S$13)*($AH$8-1))</f>
        <v/>
      </c>
      <c r="K22" s="18" t="n"/>
      <c r="L22" s="18" t="n"/>
      <c r="M22" s="18" t="n"/>
      <c r="N22" s="18" t="n"/>
      <c r="O22" s="19" t="n"/>
      <c r="P22" s="8" t="n"/>
      <c r="Y22" s="25" t="n"/>
      <c r="Z22" s="27">
        <f>IF($A$8="","",VLOOKUP($A$8,DADOS!$N$5:$U$9,5,FALSE)*$AH$8)</f>
        <v/>
      </c>
      <c r="AA22" s="18" t="n"/>
      <c r="AB22" s="18" t="n"/>
      <c r="AC22" s="18" t="n"/>
      <c r="AD22" s="18" t="n"/>
      <c r="AE22" s="19" t="n"/>
      <c r="AF22" s="8" t="n"/>
      <c r="AO22" s="25" t="n"/>
      <c r="AP22" s="27">
        <f>20+8*($AH$8-1)</f>
        <v/>
      </c>
      <c r="AQ22" s="18" t="n"/>
      <c r="AR22" s="18" t="n"/>
      <c r="AS22" s="18" t="n"/>
      <c r="AT22" s="18" t="n"/>
      <c r="AU22" s="19" t="n"/>
    </row>
    <row r="23" ht="15" customHeight="1">
      <c r="I23" s="25" t="n"/>
      <c r="J23" s="26" t="inlineStr">
        <is>
          <t>TEMP</t>
        </is>
      </c>
      <c r="K23" s="11" t="n"/>
      <c r="L23" s="11" t="n"/>
      <c r="M23" s="11" t="n"/>
      <c r="N23" s="11" t="n"/>
      <c r="O23" s="12" t="n"/>
      <c r="P23" s="8" t="n"/>
      <c r="Y23" s="25" t="n"/>
      <c r="Z23" s="26" t="inlineStr">
        <is>
          <t>TEMP</t>
        </is>
      </c>
      <c r="AA23" s="11" t="n"/>
      <c r="AB23" s="11" t="n"/>
      <c r="AC23" s="11" t="n"/>
      <c r="AD23" s="11" t="n"/>
      <c r="AE23" s="12" t="n"/>
      <c r="AF23" s="8" t="n"/>
      <c r="AO23" s="25" t="n"/>
      <c r="AP23" s="26" t="inlineStr">
        <is>
          <t>TEMP</t>
        </is>
      </c>
      <c r="AQ23" s="11" t="n"/>
      <c r="AR23" s="11" t="n"/>
      <c r="AS23" s="11" t="n"/>
      <c r="AT23" s="11" t="n"/>
      <c r="AU23" s="12" t="n"/>
    </row>
    <row r="24" ht="15" customHeight="1">
      <c r="I24" s="25" t="n"/>
      <c r="J24" s="27" t="n">
        <v>0</v>
      </c>
      <c r="K24" s="18" t="n"/>
      <c r="L24" s="18" t="n"/>
      <c r="M24" s="18" t="n"/>
      <c r="N24" s="18" t="n"/>
      <c r="O24" s="19" t="n"/>
      <c r="P24" s="8" t="n"/>
      <c r="Y24" s="25" t="n"/>
      <c r="Z24" s="27" t="n">
        <v>0</v>
      </c>
      <c r="AA24" s="18" t="n"/>
      <c r="AB24" s="18" t="n"/>
      <c r="AC24" s="18" t="n"/>
      <c r="AD24" s="18" t="n"/>
      <c r="AE24" s="19" t="n"/>
      <c r="AF24" s="8" t="n"/>
      <c r="AO24" s="25" t="n"/>
      <c r="AP24" s="27" t="n">
        <v>0</v>
      </c>
      <c r="AQ24" s="18" t="n"/>
      <c r="AR24" s="18" t="n"/>
      <c r="AS24" s="18" t="n"/>
      <c r="AT24" s="18" t="n"/>
      <c r="AU24" s="19" t="n"/>
    </row>
    <row r="25" ht="15" customHeight="1">
      <c r="I25" s="25" t="n"/>
      <c r="J25" s="26" t="inlineStr">
        <is>
          <t>±</t>
        </is>
      </c>
      <c r="K25" s="11" t="n"/>
      <c r="L25" s="11" t="n"/>
      <c r="M25" s="11" t="n"/>
      <c r="N25" s="11" t="n"/>
      <c r="O25" s="12" t="n"/>
      <c r="P25" s="8" t="n"/>
      <c r="Y25" s="25" t="n"/>
      <c r="Z25" s="26" t="inlineStr">
        <is>
          <t>±</t>
        </is>
      </c>
      <c r="AA25" s="11" t="n"/>
      <c r="AB25" s="11" t="n"/>
      <c r="AC25" s="11" t="n"/>
      <c r="AD25" s="11" t="n"/>
      <c r="AE25" s="12" t="n"/>
      <c r="AF25" s="8" t="n"/>
      <c r="AO25" s="25" t="n"/>
      <c r="AP25" s="26" t="inlineStr">
        <is>
          <t>±</t>
        </is>
      </c>
      <c r="AQ25" s="11" t="n"/>
      <c r="AR25" s="11" t="n"/>
      <c r="AS25" s="11" t="n"/>
      <c r="AT25" s="11" t="n"/>
      <c r="AU25" s="12" t="n"/>
    </row>
    <row r="26" ht="15" customHeight="1">
      <c r="A26" s="28" t="inlineStr">
        <is>
          <t>atual</t>
        </is>
      </c>
      <c r="I26" s="25" t="n"/>
      <c r="J26" s="29" t="n"/>
      <c r="K26" s="18" t="n"/>
      <c r="L26" s="18" t="n"/>
      <c r="M26" s="18" t="n"/>
      <c r="N26" s="18" t="n"/>
      <c r="O26" s="19" t="n"/>
      <c r="P26" s="8" t="n"/>
      <c r="Q26" s="28" t="inlineStr">
        <is>
          <t>atual</t>
        </is>
      </c>
      <c r="Y26" s="25" t="n"/>
      <c r="Z26" s="29" t="n"/>
      <c r="AA26" s="18" t="n"/>
      <c r="AB26" s="18" t="n"/>
      <c r="AC26" s="18" t="n"/>
      <c r="AD26" s="18" t="n"/>
      <c r="AE26" s="19" t="n"/>
      <c r="AF26" s="8" t="n"/>
      <c r="AG26" s="28" t="inlineStr">
        <is>
          <t>atual</t>
        </is>
      </c>
      <c r="AO26" s="25" t="n"/>
      <c r="AP26" s="29" t="n"/>
      <c r="AQ26" s="18" t="n"/>
      <c r="AR26" s="18" t="n"/>
      <c r="AS26" s="18" t="n"/>
      <c r="AT26" s="18" t="n"/>
      <c r="AU26" s="19" t="n"/>
    </row>
    <row r="27" ht="15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30">
        <f>IF($AG$21=""," ",IF($AG$21&lt;=0,"estágio 4 · você não é mais você",IF($AG$21&lt;=$AP$22/4,"estágio 3 · desvantagem em ataques e TRs",IF($AG$21&lt;=$AP$22/2,"estágio 2 · metade do deslocamento, +1 PE por Classe",IF($AG$21&lt;=$AP$22*3/4,"estágio 1 · desvantagem em perícias","alma inteira")))))</f>
        <v/>
      </c>
    </row>
    <row r="28" ht="15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</row>
    <row r="29" ht="15" customHeight="1">
      <c r="A29" s="9" t="inlineStr">
        <is>
          <t>OS NÚMEROS QUE CAEM SOZINHOS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</row>
    <row r="30" ht="15" customHeight="1">
      <c r="A30" s="10" t="inlineStr">
        <is>
          <t>DEFESA</t>
        </is>
      </c>
      <c r="B30" s="11" t="n"/>
      <c r="C30" s="11" t="n"/>
      <c r="D30" s="11" t="n"/>
      <c r="E30" s="11" t="n"/>
      <c r="F30" s="11" t="n"/>
      <c r="G30" s="11" t="n"/>
      <c r="H30" s="12" t="n"/>
      <c r="I30" s="8" t="n"/>
      <c r="J30" s="10" t="inlineStr">
        <is>
          <t>PROTEÇÃO</t>
        </is>
      </c>
      <c r="K30" s="11" t="n"/>
      <c r="L30" s="11" t="n"/>
      <c r="M30" s="11" t="n"/>
      <c r="N30" s="11" t="n"/>
      <c r="O30" s="11" t="n"/>
      <c r="P30" s="11" t="n"/>
      <c r="Q30" s="12" t="n"/>
      <c r="R30" s="8" t="n"/>
      <c r="S30" s="10" t="inlineStr">
        <is>
          <t>EQUIPAMENTO</t>
        </is>
      </c>
      <c r="T30" s="11" t="n"/>
      <c r="U30" s="11" t="n"/>
      <c r="V30" s="11" t="n"/>
      <c r="W30" s="11" t="n"/>
      <c r="X30" s="11" t="n"/>
      <c r="Y30" s="11" t="n"/>
      <c r="Z30" s="12" t="n"/>
      <c r="AA30" s="8" t="n"/>
      <c r="AB30" s="10" t="inlineStr">
        <is>
          <t>INICIATIVA</t>
        </is>
      </c>
      <c r="AC30" s="11" t="n"/>
      <c r="AD30" s="11" t="n"/>
      <c r="AE30" s="11" t="n"/>
      <c r="AF30" s="11" t="n"/>
      <c r="AG30" s="11" t="n"/>
      <c r="AH30" s="11" t="n"/>
      <c r="AI30" s="12" t="n"/>
      <c r="AJ30" s="8" t="n"/>
      <c r="AK30" s="10" t="inlineStr">
        <is>
          <t>DESLOCAMENTO</t>
        </is>
      </c>
      <c r="AL30" s="11" t="n"/>
      <c r="AM30" s="11" t="n"/>
      <c r="AN30" s="11" t="n"/>
      <c r="AO30" s="11" t="n"/>
      <c r="AP30" s="11" t="n"/>
      <c r="AQ30" s="11" t="n"/>
      <c r="AR30" s="12" t="n"/>
      <c r="AS30" s="8" t="n"/>
      <c r="AT30" s="8" t="n"/>
    </row>
    <row r="31" ht="15" customHeight="1">
      <c r="A31" s="31">
        <f>10+$J$13+$J$31</f>
        <v/>
      </c>
      <c r="H31" s="14" t="n"/>
      <c r="I31" s="8" t="n"/>
      <c r="J31" s="31">
        <f>IF($S$31="",FLOOR((1+COUNTIF(DADOS!$W$5:$W$11,"&lt;="&amp;$AH$8))/3,1)+1,$S$31)</f>
        <v/>
      </c>
      <c r="Q31" s="14" t="n"/>
      <c r="R31" s="8" t="n"/>
      <c r="S31" s="32" t="n"/>
      <c r="Z31" s="14" t="n"/>
      <c r="AA31" s="8" t="n"/>
      <c r="AB31" s="31">
        <f>"d20 + "&amp;$J$13</f>
        <v/>
      </c>
      <c r="AI31" s="14" t="n"/>
      <c r="AJ31" s="8" t="n"/>
      <c r="AK31" s="31" t="inlineStr">
        <is>
          <t>9 m</t>
        </is>
      </c>
      <c r="AR31" s="14" t="n"/>
      <c r="AS31" s="8" t="n"/>
      <c r="AT31" s="8" t="n"/>
    </row>
    <row r="32" ht="15" customHeight="1">
      <c r="A32" s="17" t="n"/>
      <c r="B32" s="18" t="n"/>
      <c r="C32" s="18" t="n"/>
      <c r="D32" s="18" t="n"/>
      <c r="E32" s="18" t="n"/>
      <c r="F32" s="18" t="n"/>
      <c r="G32" s="18" t="n"/>
      <c r="H32" s="19" t="n"/>
      <c r="I32" s="8" t="n"/>
      <c r="J32" s="17" t="n"/>
      <c r="K32" s="18" t="n"/>
      <c r="L32" s="18" t="n"/>
      <c r="M32" s="18" t="n"/>
      <c r="N32" s="18" t="n"/>
      <c r="O32" s="18" t="n"/>
      <c r="P32" s="18" t="n"/>
      <c r="Q32" s="19" t="n"/>
      <c r="R32" s="8" t="n"/>
      <c r="S32" s="17" t="n"/>
      <c r="T32" s="18" t="n"/>
      <c r="U32" s="18" t="n"/>
      <c r="V32" s="18" t="n"/>
      <c r="W32" s="18" t="n"/>
      <c r="X32" s="18" t="n"/>
      <c r="Y32" s="18" t="n"/>
      <c r="Z32" s="19" t="n"/>
      <c r="AA32" s="8" t="n"/>
      <c r="AB32" s="17" t="n"/>
      <c r="AC32" s="18" t="n"/>
      <c r="AD32" s="18" t="n"/>
      <c r="AE32" s="18" t="n"/>
      <c r="AF32" s="18" t="n"/>
      <c r="AG32" s="18" t="n"/>
      <c r="AH32" s="18" t="n"/>
      <c r="AI32" s="19" t="n"/>
      <c r="AJ32" s="8" t="n"/>
      <c r="AK32" s="17" t="n"/>
      <c r="AL32" s="18" t="n"/>
      <c r="AM32" s="18" t="n"/>
      <c r="AN32" s="18" t="n"/>
      <c r="AO32" s="18" t="n"/>
      <c r="AP32" s="18" t="n"/>
      <c r="AQ32" s="18" t="n"/>
      <c r="AR32" s="19" t="n"/>
      <c r="AS32" s="8" t="n"/>
      <c r="AT32" s="8" t="n"/>
    </row>
    <row r="33" ht="15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</row>
    <row r="34" ht="15" customHeight="1">
      <c r="A34" s="10" t="inlineStr">
        <is>
          <t>MAESTRIA</t>
        </is>
      </c>
      <c r="B34" s="11" t="n"/>
      <c r="C34" s="11" t="n"/>
      <c r="D34" s="11" t="n"/>
      <c r="E34" s="11" t="n"/>
      <c r="F34" s="11" t="n"/>
      <c r="G34" s="11" t="n"/>
      <c r="H34" s="12" t="n"/>
      <c r="I34" s="8" t="n"/>
      <c r="J34" s="10" t="inlineStr">
        <is>
          <t>CD DE FEITIÇO</t>
        </is>
      </c>
      <c r="K34" s="11" t="n"/>
      <c r="L34" s="11" t="n"/>
      <c r="M34" s="11" t="n"/>
      <c r="N34" s="11" t="n"/>
      <c r="O34" s="11" t="n"/>
      <c r="P34" s="11" t="n"/>
      <c r="Q34" s="12" t="n"/>
      <c r="R34" s="8" t="n"/>
      <c r="S34" s="10" t="inlineStr">
        <is>
          <t>CONJURAÇÃO</t>
        </is>
      </c>
      <c r="T34" s="11" t="n"/>
      <c r="U34" s="11" t="n"/>
      <c r="V34" s="11" t="n"/>
      <c r="W34" s="11" t="n"/>
      <c r="X34" s="11" t="n"/>
      <c r="Y34" s="11" t="n"/>
      <c r="Z34" s="12" t="n"/>
      <c r="AA34" s="8" t="n"/>
      <c r="AB34" s="10" t="inlineStr">
        <is>
          <t>CORPO A CORPO</t>
        </is>
      </c>
      <c r="AC34" s="11" t="n"/>
      <c r="AD34" s="11" t="n"/>
      <c r="AE34" s="11" t="n"/>
      <c r="AF34" s="11" t="n"/>
      <c r="AG34" s="11" t="n"/>
      <c r="AH34" s="11" t="n"/>
      <c r="AI34" s="12" t="n"/>
      <c r="AJ34" s="8" t="n"/>
      <c r="AK34" s="10" t="inlineStr">
        <is>
          <t>À DISTÂNCIA</t>
        </is>
      </c>
      <c r="AL34" s="11" t="n"/>
      <c r="AM34" s="11" t="n"/>
      <c r="AN34" s="11" t="n"/>
      <c r="AO34" s="11" t="n"/>
      <c r="AP34" s="11" t="n"/>
      <c r="AQ34" s="11" t="n"/>
      <c r="AR34" s="12" t="n"/>
      <c r="AS34" s="8" t="n"/>
      <c r="AT34" s="8" t="n"/>
    </row>
    <row r="35" ht="15" customHeight="1">
      <c r="A35" s="31">
        <f>(1+COUNTIF(DADOS!$X$5:$X$7,"&lt;="&amp;$AH$8))</f>
        <v/>
      </c>
      <c r="H35" s="14" t="n"/>
      <c r="I35" s="8" t="n"/>
      <c r="J35" s="31">
        <f>10+2+(1+COUNTIF(DADOS!$X$5:$X$7,"&lt;="&amp;$AH$8))</f>
        <v/>
      </c>
      <c r="Q35" s="14" t="n"/>
      <c r="R35" s="8" t="n"/>
      <c r="S35" s="31">
        <f>"d20 + "&amp;(2+(1+COUNTIF(DADOS!$X$5:$X$7,"&lt;="&amp;$AH$8)))</f>
        <v/>
      </c>
      <c r="Z35" s="14" t="n"/>
      <c r="AA35" s="8" t="n"/>
      <c r="AB35" s="31">
        <f>"d20 + "&amp;$A$13</f>
        <v/>
      </c>
      <c r="AI35" s="14" t="n"/>
      <c r="AJ35" s="8" t="n"/>
      <c r="AK35" s="31">
        <f>"d20 + "&amp;$J$13</f>
        <v/>
      </c>
      <c r="AR35" s="14" t="n"/>
      <c r="AS35" s="8" t="n"/>
      <c r="AT35" s="8" t="n"/>
    </row>
    <row r="36" ht="15" customHeight="1">
      <c r="A36" s="17" t="n"/>
      <c r="B36" s="18" t="n"/>
      <c r="C36" s="18" t="n"/>
      <c r="D36" s="18" t="n"/>
      <c r="E36" s="18" t="n"/>
      <c r="F36" s="18" t="n"/>
      <c r="G36" s="18" t="n"/>
      <c r="H36" s="19" t="n"/>
      <c r="I36" s="8" t="n"/>
      <c r="J36" s="17" t="n"/>
      <c r="K36" s="18" t="n"/>
      <c r="L36" s="18" t="n"/>
      <c r="M36" s="18" t="n"/>
      <c r="N36" s="18" t="n"/>
      <c r="O36" s="18" t="n"/>
      <c r="P36" s="18" t="n"/>
      <c r="Q36" s="19" t="n"/>
      <c r="R36" s="8" t="n"/>
      <c r="S36" s="17" t="n"/>
      <c r="T36" s="18" t="n"/>
      <c r="U36" s="18" t="n"/>
      <c r="V36" s="18" t="n"/>
      <c r="W36" s="18" t="n"/>
      <c r="X36" s="18" t="n"/>
      <c r="Y36" s="18" t="n"/>
      <c r="Z36" s="19" t="n"/>
      <c r="AA36" s="8" t="n"/>
      <c r="AB36" s="17" t="n"/>
      <c r="AC36" s="18" t="n"/>
      <c r="AD36" s="18" t="n"/>
      <c r="AE36" s="18" t="n"/>
      <c r="AF36" s="18" t="n"/>
      <c r="AG36" s="18" t="n"/>
      <c r="AH36" s="18" t="n"/>
      <c r="AI36" s="19" t="n"/>
      <c r="AJ36" s="8" t="n"/>
      <c r="AK36" s="17" t="n"/>
      <c r="AL36" s="18" t="n"/>
      <c r="AM36" s="18" t="n"/>
      <c r="AN36" s="18" t="n"/>
      <c r="AO36" s="18" t="n"/>
      <c r="AP36" s="18" t="n"/>
      <c r="AQ36" s="18" t="n"/>
      <c r="AR36" s="19" t="n"/>
      <c r="AS36" s="8" t="n"/>
      <c r="AT36" s="8" t="n"/>
    </row>
    <row r="37" ht="15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</row>
    <row r="38" ht="15" customHeight="1">
      <c r="A38" s="9" t="inlineStr">
        <is>
          <t>PROGRESSÃO · a ficha calcula, você só digita o nível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</row>
    <row r="39" ht="15" customHeight="1">
      <c r="A39" s="10" t="inlineStr">
        <is>
          <t>ESPAÇOS DE FEITIÇO</t>
        </is>
      </c>
      <c r="B39" s="11" t="n"/>
      <c r="C39" s="11" t="n"/>
      <c r="D39" s="11" t="n"/>
      <c r="E39" s="11" t="n"/>
      <c r="F39" s="11" t="n"/>
      <c r="G39" s="11" t="n"/>
      <c r="H39" s="12" t="n"/>
      <c r="I39" s="8" t="n"/>
      <c r="J39" s="10" t="inlineStr">
        <is>
          <t>REFINO DE GRAÇA</t>
        </is>
      </c>
      <c r="K39" s="11" t="n"/>
      <c r="L39" s="11" t="n"/>
      <c r="M39" s="11" t="n"/>
      <c r="N39" s="11" t="n"/>
      <c r="O39" s="11" t="n"/>
      <c r="P39" s="11" t="n"/>
      <c r="Q39" s="12" t="n"/>
      <c r="R39" s="8" t="n"/>
      <c r="S39" s="10" t="inlineStr">
        <is>
          <t>CLASSE MÁXIMA</t>
        </is>
      </c>
      <c r="T39" s="11" t="n"/>
      <c r="U39" s="11" t="n"/>
      <c r="V39" s="11" t="n"/>
      <c r="W39" s="11" t="n"/>
      <c r="X39" s="11" t="n"/>
      <c r="Y39" s="11" t="n"/>
      <c r="Z39" s="12" t="n"/>
      <c r="AA39" s="8" t="n"/>
      <c r="AB39" s="10" t="inlineStr">
        <is>
          <t>CLASSE 0 GRÁTIS</t>
        </is>
      </c>
      <c r="AC39" s="11" t="n"/>
      <c r="AD39" s="11" t="n"/>
      <c r="AE39" s="11" t="n"/>
      <c r="AF39" s="11" t="n"/>
      <c r="AG39" s="11" t="n"/>
      <c r="AH39" s="11" t="n"/>
      <c r="AI39" s="12" t="n"/>
      <c r="AJ39" s="8" t="n"/>
      <c r="AK39" s="10" t="inlineStr">
        <is>
          <t>PERÍCIAS TREINADAS</t>
        </is>
      </c>
      <c r="AL39" s="11" t="n"/>
      <c r="AM39" s="11" t="n"/>
      <c r="AN39" s="11" t="n"/>
      <c r="AO39" s="11" t="n"/>
      <c r="AP39" s="11" t="n"/>
      <c r="AQ39" s="11" t="n"/>
      <c r="AR39" s="12" t="n"/>
      <c r="AS39" s="8" t="n"/>
      <c r="AT39" s="8" t="n"/>
    </row>
    <row r="40" ht="15" customHeight="1">
      <c r="A40" s="31">
        <f>2+INT($AH$8/2)+COUNTIF(DADOS!$W$5:$W$11,"&lt;="&amp;$AH$8)</f>
        <v/>
      </c>
      <c r="H40" s="14" t="n"/>
      <c r="I40" s="8" t="n"/>
      <c r="J40" s="31">
        <f>(1+COUNTIF(DADOS!$W$5:$W$11,"&lt;="&amp;$AH$8))</f>
        <v/>
      </c>
      <c r="Q40" s="14" t="n"/>
      <c r="R40" s="8" t="n"/>
      <c r="S40" s="31">
        <f>COUNTIF(DADOS!$Y$5:$Y$11,"&lt;="&amp;$AH$8)</f>
        <v/>
      </c>
      <c r="Z40" s="14" t="n"/>
      <c r="AA40" s="8" t="n"/>
      <c r="AB40" s="31">
        <f>2+COUNTIF(DADOS!$Z$5:$Z$7,"&lt;="&amp;$AH$8)</f>
        <v/>
      </c>
      <c r="AI40" s="14" t="n"/>
      <c r="AJ40" s="8" t="n"/>
      <c r="AK40" s="31">
        <f>COUNTIF($A$43:$A$66,"x")</f>
        <v/>
      </c>
      <c r="AR40" s="14" t="n"/>
      <c r="AS40" s="8" t="n"/>
      <c r="AT40" s="8" t="n"/>
    </row>
    <row r="41" ht="15" customHeight="1">
      <c r="A41" s="17" t="n"/>
      <c r="B41" s="18" t="n"/>
      <c r="C41" s="18" t="n"/>
      <c r="D41" s="18" t="n"/>
      <c r="E41" s="18" t="n"/>
      <c r="F41" s="18" t="n"/>
      <c r="G41" s="18" t="n"/>
      <c r="H41" s="19" t="n"/>
      <c r="I41" s="8" t="n"/>
      <c r="J41" s="17" t="n"/>
      <c r="K41" s="18" t="n"/>
      <c r="L41" s="18" t="n"/>
      <c r="M41" s="18" t="n"/>
      <c r="N41" s="18" t="n"/>
      <c r="O41" s="18" t="n"/>
      <c r="P41" s="18" t="n"/>
      <c r="Q41" s="19" t="n"/>
      <c r="R41" s="8" t="n"/>
      <c r="S41" s="17" t="n"/>
      <c r="T41" s="18" t="n"/>
      <c r="U41" s="18" t="n"/>
      <c r="V41" s="18" t="n"/>
      <c r="W41" s="18" t="n"/>
      <c r="X41" s="18" t="n"/>
      <c r="Y41" s="18" t="n"/>
      <c r="Z41" s="19" t="n"/>
      <c r="AA41" s="8" t="n"/>
      <c r="AB41" s="17" t="n"/>
      <c r="AC41" s="18" t="n"/>
      <c r="AD41" s="18" t="n"/>
      <c r="AE41" s="18" t="n"/>
      <c r="AF41" s="18" t="n"/>
      <c r="AG41" s="18" t="n"/>
      <c r="AH41" s="18" t="n"/>
      <c r="AI41" s="19" t="n"/>
      <c r="AJ41" s="8" t="n"/>
      <c r="AK41" s="17" t="n"/>
      <c r="AL41" s="18" t="n"/>
      <c r="AM41" s="18" t="n"/>
      <c r="AN41" s="18" t="n"/>
      <c r="AO41" s="18" t="n"/>
      <c r="AP41" s="18" t="n"/>
      <c r="AQ41" s="18" t="n"/>
      <c r="AR41" s="19" t="n"/>
      <c r="AS41" s="8" t="n"/>
      <c r="AT41" s="8" t="n"/>
    </row>
    <row r="42" ht="15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</row>
    <row r="43" ht="15" customHeight="1">
      <c r="A43" s="9" t="inlineStr">
        <is>
          <t>PERÍCIAS · marque com x as 8 (ou 9) treinadas</t>
        </is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</row>
    <row r="44" ht="15" customHeight="1">
      <c r="A44" s="33" t="n"/>
      <c r="B44" s="34" t="inlineStr">
        <is>
          <t>Atletismo</t>
        </is>
      </c>
      <c r="K44" s="28" t="inlineStr">
        <is>
          <t>For</t>
        </is>
      </c>
      <c r="N44" s="35">
        <f>$A$13+IF($A$44="",0,(1+COUNTIF(DADOS!$X$5:$X$7,"&lt;="&amp;$AH$8)))</f>
        <v/>
      </c>
      <c r="P44" s="8" t="n"/>
      <c r="Q44" s="33" t="n"/>
      <c r="R44" s="34" t="inlineStr">
        <is>
          <t>Sobrevivência</t>
        </is>
      </c>
      <c r="AA44" s="28" t="inlineStr">
        <is>
          <t>Int</t>
        </is>
      </c>
      <c r="AD44" s="35">
        <f>$AB$13+IF($Q$44="",0,(1+COUNTIF(DADOS!$X$5:$X$7,"&lt;="&amp;$AH$8)))</f>
        <v/>
      </c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</row>
    <row r="45" ht="15" customHeight="1">
      <c r="A45" s="36" t="n"/>
      <c r="B45" s="37" t="inlineStr">
        <is>
          <t>Acrobacia</t>
        </is>
      </c>
      <c r="K45" s="4" t="inlineStr">
        <is>
          <t>Des</t>
        </is>
      </c>
      <c r="N45" s="38">
        <f>$J$13+IF($A$45="",0,(1+COUNTIF(DADOS!$X$5:$X$7,"&lt;="&amp;$AH$8)))</f>
        <v/>
      </c>
      <c r="P45" s="8" t="n"/>
      <c r="Q45" s="36" t="n"/>
      <c r="R45" s="37" t="inlineStr">
        <is>
          <t>Natureza</t>
        </is>
      </c>
      <c r="AA45" s="4" t="inlineStr">
        <is>
          <t>Int</t>
        </is>
      </c>
      <c r="AD45" s="38">
        <f>$AB$13+IF($Q$45="",0,(1+COUNTIF(DADOS!$X$5:$X$7,"&lt;="&amp;$AH$8)))</f>
        <v/>
      </c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</row>
    <row r="46" ht="15" customHeight="1">
      <c r="A46" s="33" t="n"/>
      <c r="B46" s="34" t="inlineStr">
        <is>
          <t>Furtividade</t>
        </is>
      </c>
      <c r="K46" s="28" t="inlineStr">
        <is>
          <t>Des</t>
        </is>
      </c>
      <c r="N46" s="35">
        <f>$J$13+IF($A$46="",0,(1+COUNTIF(DADOS!$X$5:$X$7,"&lt;="&amp;$AH$8)))</f>
        <v/>
      </c>
      <c r="P46" s="8" t="n"/>
      <c r="Q46" s="33" t="n"/>
      <c r="R46" s="34" t="inlineStr">
        <is>
          <t>Lidar com Animais</t>
        </is>
      </c>
      <c r="AA46" s="28" t="inlineStr">
        <is>
          <t>Int</t>
        </is>
      </c>
      <c r="AD46" s="35">
        <f>$AB$13+IF($Q$46="",0,(1+COUNTIF(DADOS!$X$5:$X$7,"&lt;="&amp;$AH$8)))</f>
        <v/>
      </c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</row>
    <row r="47" ht="15" customHeight="1">
      <c r="A47" s="36" t="n"/>
      <c r="B47" s="37" t="inlineStr">
        <is>
          <t>Pontaria</t>
        </is>
      </c>
      <c r="K47" s="4" t="inlineStr">
        <is>
          <t>Des</t>
        </is>
      </c>
      <c r="N47" s="38">
        <f>$J$13+IF($A$47="",0,(1+COUNTIF(DADOS!$X$5:$X$7,"&lt;="&amp;$AH$8)))</f>
        <v/>
      </c>
      <c r="P47" s="8" t="n"/>
      <c r="Q47" s="36" t="n"/>
      <c r="R47" s="37" t="inlineStr">
        <is>
          <t>Tecnologia</t>
        </is>
      </c>
      <c r="AA47" s="4" t="inlineStr">
        <is>
          <t>Int</t>
        </is>
      </c>
      <c r="AD47" s="38">
        <f>$AB$13+IF($Q$47="",0,(1+COUNTIF(DADOS!$X$5:$X$7,"&lt;="&amp;$AH$8)))</f>
        <v/>
      </c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</row>
    <row r="48" ht="15" customHeight="1">
      <c r="A48" s="33" t="n"/>
      <c r="B48" s="34" t="inlineStr">
        <is>
          <t>Prestidigitação</t>
        </is>
      </c>
      <c r="K48" s="28" t="inlineStr">
        <is>
          <t>Des</t>
        </is>
      </c>
      <c r="N48" s="35">
        <f>$J$13+IF($A$48="",0,(1+COUNTIF(DADOS!$X$5:$X$7,"&lt;="&amp;$AH$8)))</f>
        <v/>
      </c>
      <c r="P48" s="8" t="n"/>
      <c r="Q48" s="33" t="n"/>
      <c r="R48" s="34" t="inlineStr">
        <is>
          <t>Sentir Energia</t>
        </is>
      </c>
      <c r="AA48" s="28" t="inlineStr">
        <is>
          <t>Ess</t>
        </is>
      </c>
      <c r="AD48" s="35">
        <f>$AK$13+IF($Q$48="",0,(1+COUNTIF(DADOS!$X$5:$X$7,"&lt;="&amp;$AH$8)))</f>
        <v/>
      </c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</row>
    <row r="49" ht="15" customHeight="1">
      <c r="A49" s="36" t="n"/>
      <c r="B49" s="37" t="inlineStr">
        <is>
          <t>Investigação</t>
        </is>
      </c>
      <c r="K49" s="4" t="inlineStr">
        <is>
          <t>Int</t>
        </is>
      </c>
      <c r="N49" s="38">
        <f>$AB$13+IF($A$49="",0,(1+COUNTIF(DADOS!$X$5:$X$7,"&lt;="&amp;$AH$8)))</f>
        <v/>
      </c>
      <c r="P49" s="8" t="n"/>
      <c r="Q49" s="36" t="n"/>
      <c r="R49" s="37" t="inlineStr">
        <is>
          <t>Percepção</t>
        </is>
      </c>
      <c r="AA49" s="4" t="inlineStr">
        <is>
          <t>Ess</t>
        </is>
      </c>
      <c r="AD49" s="38">
        <f>$AK$13+IF($Q$49="",0,(1+COUNTIF(DADOS!$X$5:$X$7,"&lt;="&amp;$AH$8)))</f>
        <v/>
      </c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</row>
    <row r="50" ht="15" customHeight="1">
      <c r="A50" s="33" t="n"/>
      <c r="B50" s="34" t="inlineStr">
        <is>
          <t>Intuição</t>
        </is>
      </c>
      <c r="K50" s="28" t="inlineStr">
        <is>
          <t>Int</t>
        </is>
      </c>
      <c r="N50" s="35">
        <f>$AB$13+IF($A$50="",0,(1+COUNTIF(DADOS!$X$5:$X$7,"&lt;="&amp;$AH$8)))</f>
        <v/>
      </c>
      <c r="P50" s="8" t="n"/>
      <c r="Q50" s="33" t="n"/>
      <c r="R50" s="34" t="inlineStr">
        <is>
          <t>Persuasão</t>
        </is>
      </c>
      <c r="AA50" s="28" t="inlineStr">
        <is>
          <t>Ess</t>
        </is>
      </c>
      <c r="AD50" s="35">
        <f>$AK$13+IF($Q$50="",0,(1+COUNTIF(DADOS!$X$5:$X$7,"&lt;="&amp;$AH$8)))</f>
        <v/>
      </c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</row>
    <row r="51" ht="15" customHeight="1">
      <c r="A51" s="36" t="n"/>
      <c r="B51" s="37" t="inlineStr">
        <is>
          <t>Ocultismo</t>
        </is>
      </c>
      <c r="K51" s="4" t="inlineStr">
        <is>
          <t>Int</t>
        </is>
      </c>
      <c r="N51" s="38">
        <f>$AB$13+IF($A$51="",0,(1+COUNTIF(DADOS!$X$5:$X$7,"&lt;="&amp;$AH$8)))</f>
        <v/>
      </c>
      <c r="P51" s="8" t="n"/>
      <c r="Q51" s="36" t="n"/>
      <c r="R51" s="37" t="inlineStr">
        <is>
          <t>Enganação</t>
        </is>
      </c>
      <c r="AA51" s="4" t="inlineStr">
        <is>
          <t>Ess</t>
        </is>
      </c>
      <c r="AD51" s="38">
        <f>$AK$13+IF($Q$51="",0,(1+COUNTIF(DADOS!$X$5:$X$7,"&lt;="&amp;$AH$8)))</f>
        <v/>
      </c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</row>
    <row r="52" ht="15" customHeight="1">
      <c r="A52" s="33" t="n"/>
      <c r="B52" s="34" t="inlineStr">
        <is>
          <t>Religião</t>
        </is>
      </c>
      <c r="K52" s="28" t="inlineStr">
        <is>
          <t>Int</t>
        </is>
      </c>
      <c r="N52" s="35">
        <f>$AB$13+IF($A$52="",0,(1+COUNTIF(DADOS!$X$5:$X$7,"&lt;="&amp;$AH$8)))</f>
        <v/>
      </c>
      <c r="P52" s="8" t="n"/>
      <c r="Q52" s="33" t="n"/>
      <c r="R52" s="34" t="inlineStr">
        <is>
          <t>Intimidação</t>
        </is>
      </c>
      <c r="AA52" s="28" t="inlineStr">
        <is>
          <t>Ess</t>
        </is>
      </c>
      <c r="AD52" s="35">
        <f>$AK$13+IF($Q$52="",0,(1+COUNTIF(DADOS!$X$5:$X$7,"&lt;="&amp;$AH$8)))</f>
        <v/>
      </c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</row>
    <row r="53" ht="15" customHeight="1">
      <c r="A53" s="36" t="n"/>
      <c r="B53" s="37" t="inlineStr">
        <is>
          <t>História</t>
        </is>
      </c>
      <c r="K53" s="4" t="inlineStr">
        <is>
          <t>Int</t>
        </is>
      </c>
      <c r="N53" s="38">
        <f>$AB$13+IF($A$53="",0,(1+COUNTIF(DADOS!$X$5:$X$7,"&lt;="&amp;$AH$8)))</f>
        <v/>
      </c>
      <c r="P53" s="8" t="n"/>
      <c r="Q53" s="36" t="n"/>
      <c r="R53" s="37" t="inlineStr">
        <is>
          <t>Atuação</t>
        </is>
      </c>
      <c r="AA53" s="4" t="inlineStr">
        <is>
          <t>Ess</t>
        </is>
      </c>
      <c r="AD53" s="38">
        <f>$AK$13+IF($Q$53="",0,(1+COUNTIF(DADOS!$X$5:$X$7,"&lt;="&amp;$AH$8)))</f>
        <v/>
      </c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</row>
    <row r="54" ht="15" customHeight="1">
      <c r="A54" s="33" t="n"/>
      <c r="B54" s="34" t="inlineStr">
        <is>
          <t>Hierarquia</t>
        </is>
      </c>
      <c r="K54" s="28" t="inlineStr">
        <is>
          <t>Int</t>
        </is>
      </c>
      <c r="N54" s="35">
        <f>$AB$13+IF($A$54="",0,(1+COUNTIF(DADOS!$X$5:$X$7,"&lt;="&amp;$AH$8)))</f>
        <v/>
      </c>
      <c r="P54" s="8" t="n"/>
      <c r="Q54" s="33" t="n"/>
      <c r="R54" s="34" t="inlineStr">
        <is>
          <t>Provocar</t>
        </is>
      </c>
      <c r="AA54" s="28" t="inlineStr">
        <is>
          <t>Ess</t>
        </is>
      </c>
      <c r="AD54" s="35">
        <f>$AK$13+IF($Q$54="",0,(1+COUNTIF(DADOS!$X$5:$X$7,"&lt;="&amp;$AH$8)))</f>
        <v/>
      </c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</row>
    <row r="55" ht="15" customHeight="1">
      <c r="A55" s="36" t="n"/>
      <c r="B55" s="37" t="inlineStr">
        <is>
          <t>Medicina</t>
        </is>
      </c>
      <c r="K55" s="4" t="inlineStr">
        <is>
          <t>Int</t>
        </is>
      </c>
      <c r="N55" s="38">
        <f>$AB$13+IF($A$55="",0,(1+COUNTIF(DADOS!$X$5:$X$7,"&lt;="&amp;$AH$8)))</f>
        <v/>
      </c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</row>
    <row r="56" ht="15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</row>
    <row r="57" ht="15" customHeight="1">
      <c r="A57" s="9" t="inlineStr">
        <is>
          <t>OFÍCIOS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9" t="inlineStr">
        <is>
          <t>TESTES DE RESISTÊNCIA</t>
        </is>
      </c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</row>
    <row r="58" ht="15" customHeight="1">
      <c r="A58" s="33" t="n"/>
      <c r="B58" s="34" t="inlineStr">
        <is>
          <t>Condução</t>
        </is>
      </c>
      <c r="L58" s="8" t="n"/>
      <c r="M58" s="33" t="n"/>
      <c r="N58" s="34" t="inlineStr">
        <is>
          <t>Entalhador</t>
        </is>
      </c>
      <c r="X58" s="8" t="n"/>
      <c r="Y58" s="33" t="n"/>
      <c r="Z58" s="34" t="inlineStr">
        <is>
          <t>Físico</t>
        </is>
      </c>
      <c r="AI58" s="28" t="inlineStr">
        <is>
          <t>For ou Des</t>
        </is>
      </c>
      <c r="AP58" s="35">
        <f>$A$13+IF($Y$58="",0,2)</f>
        <v/>
      </c>
    </row>
    <row r="59" ht="15" customHeight="1">
      <c r="A59" s="36" t="n"/>
      <c r="B59" s="37" t="inlineStr">
        <is>
          <t>Arrombamento</t>
        </is>
      </c>
      <c r="L59" s="8" t="n"/>
      <c r="M59" s="36" t="n"/>
      <c r="N59" s="37" t="inlineStr">
        <is>
          <t>Alfaiate</t>
        </is>
      </c>
      <c r="X59" s="8" t="n"/>
      <c r="Y59" s="36" t="n"/>
      <c r="Z59" s="37" t="inlineStr">
        <is>
          <t>Vigor</t>
        </is>
      </c>
      <c r="AI59" s="4" t="inlineStr">
        <is>
          <t>Con</t>
        </is>
      </c>
      <c r="AP59" s="38">
        <f>$S$13+IF($Y$59="",0,2)</f>
        <v/>
      </c>
    </row>
    <row r="60" ht="15" customHeight="1">
      <c r="A60" s="33" t="n"/>
      <c r="B60" s="34" t="inlineStr">
        <is>
          <t>Herbalismo</t>
        </is>
      </c>
      <c r="L60" s="8" t="n"/>
      <c r="M60" s="33" t="n"/>
      <c r="N60" s="34" t="inlineStr">
        <is>
          <t>Culinária</t>
        </is>
      </c>
      <c r="X60" s="8" t="n"/>
      <c r="Y60" s="33" t="n"/>
      <c r="Z60" s="34" t="inlineStr">
        <is>
          <t>Intelecto</t>
        </is>
      </c>
      <c r="AI60" s="28" t="inlineStr">
        <is>
          <t>Int</t>
        </is>
      </c>
      <c r="AP60" s="35">
        <f>$AB$13+IF($Y$60="",0,2)</f>
        <v/>
      </c>
    </row>
    <row r="61" ht="15" customHeight="1">
      <c r="A61" s="36" t="n"/>
      <c r="B61" s="37" t="inlineStr">
        <is>
          <t>Forja</t>
        </is>
      </c>
      <c r="L61" s="8" t="n"/>
      <c r="M61" s="36" t="n"/>
      <c r="N61" s="37" t="inlineStr">
        <is>
          <t>Instrumento</t>
        </is>
      </c>
      <c r="X61" s="8" t="n"/>
      <c r="Y61" s="36" t="n"/>
      <c r="Z61" s="37" t="inlineStr">
        <is>
          <t>Espírito</t>
        </is>
      </c>
      <c r="AI61" s="4" t="inlineStr">
        <is>
          <t>Ess</t>
        </is>
      </c>
      <c r="AP61" s="38">
        <f>$AK$13+IF($Y$61="",0,2)</f>
        <v/>
      </c>
    </row>
    <row r="62" ht="15" customHeight="1">
      <c r="A62" s="33" t="n"/>
      <c r="B62" s="34" t="inlineStr">
        <is>
          <t>Caligrafia</t>
        </is>
      </c>
      <c r="L62" s="8" t="n"/>
      <c r="M62" s="33" t="n"/>
      <c r="N62" s="34" t="inlineStr">
        <is>
          <t>Jogatina</t>
        </is>
      </c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</row>
    <row r="63" ht="15" customHeight="1">
      <c r="A63" s="36" t="n"/>
      <c r="B63" s="37" t="inlineStr">
        <is>
          <t>Burocracia</t>
        </is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</row>
    <row r="64" ht="15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</row>
    <row r="65" ht="15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</row>
    <row r="66" ht="15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</row>
    <row r="67" ht="15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</row>
    <row r="68" ht="15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</row>
    <row r="69" ht="15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</row>
    <row r="70" ht="15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</row>
    <row r="71" ht="15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</row>
    <row r="72" ht="15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</row>
    <row r="73" ht="15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</row>
    <row r="74" ht="15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</row>
    <row r="75" ht="15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</row>
    <row r="76" ht="15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</row>
    <row r="77" ht="15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</row>
    <row r="78" ht="15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</row>
    <row r="79" ht="15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</row>
    <row r="80" ht="15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</row>
    <row r="81" ht="15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</row>
    <row r="82" ht="15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</row>
    <row r="83" ht="15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</row>
    <row r="84" ht="15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</row>
    <row r="85" ht="15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</row>
    <row r="86" ht="15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</row>
    <row r="87" ht="15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</row>
    <row r="88" ht="15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</row>
    <row r="89" ht="15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</row>
    <row r="90" ht="15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</row>
    <row r="91" ht="15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</row>
    <row r="92" ht="15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</row>
    <row r="93" ht="15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</row>
    <row r="94" ht="15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</row>
    <row r="95" ht="15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</row>
    <row r="96" ht="15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</row>
    <row r="97" ht="15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</row>
    <row r="98" ht="15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</row>
    <row r="99" ht="15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</row>
    <row r="100" ht="15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</row>
    <row r="101" ht="15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</row>
    <row r="102" ht="15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</row>
    <row r="103" ht="15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</row>
    <row r="104" ht="15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</row>
    <row r="105" ht="15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</row>
    <row r="106" ht="15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</row>
    <row r="107" ht="15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</row>
    <row r="108" ht="15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</row>
    <row r="109" ht="15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</row>
    <row r="110" ht="15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</row>
    <row r="111" ht="15" customHeight="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</row>
    <row r="112" ht="15" customHeight="1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</row>
    <row r="113" ht="15" customHeight="1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</row>
    <row r="114" ht="15" customHeight="1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</row>
    <row r="115" ht="15" customHeight="1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</row>
    <row r="116" ht="15" customHeight="1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</row>
    <row r="117" ht="15" customHeight="1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</row>
    <row r="118" ht="15" customHeight="1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</row>
    <row r="119" ht="15" customHeight="1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</row>
  </sheetData>
  <mergeCells count="181">
    <mergeCell ref="J39:Q39"/>
    <mergeCell ref="AG26:AN26"/>
    <mergeCell ref="AK17:AR17"/>
    <mergeCell ref="K46:M46"/>
    <mergeCell ref="N60:W60"/>
    <mergeCell ref="S40:Z41"/>
    <mergeCell ref="N53:O53"/>
    <mergeCell ref="AK35:AR36"/>
    <mergeCell ref="R51:Z51"/>
    <mergeCell ref="S17:Z17"/>
    <mergeCell ref="AA46:AC46"/>
    <mergeCell ref="AK12:AR12"/>
    <mergeCell ref="N46:O46"/>
    <mergeCell ref="R54:Z54"/>
    <mergeCell ref="AI61:AO61"/>
    <mergeCell ref="A1:L2"/>
    <mergeCell ref="J31:Q32"/>
    <mergeCell ref="B49:J49"/>
    <mergeCell ref="AH8:AM9"/>
    <mergeCell ref="AD46:AE46"/>
    <mergeCell ref="A35:H36"/>
    <mergeCell ref="B55:J55"/>
    <mergeCell ref="S35:Z36"/>
    <mergeCell ref="N48:O48"/>
    <mergeCell ref="AH7:AM7"/>
    <mergeCell ref="AP60:AT60"/>
    <mergeCell ref="B51:J51"/>
    <mergeCell ref="AP25:AU25"/>
    <mergeCell ref="AB17:AI17"/>
    <mergeCell ref="AA52:AC52"/>
    <mergeCell ref="N58:W58"/>
    <mergeCell ref="AK13:AR16"/>
    <mergeCell ref="K45:M45"/>
    <mergeCell ref="AB34:AI34"/>
    <mergeCell ref="N1:AH2"/>
    <mergeCell ref="J17:Q17"/>
    <mergeCell ref="K47:M47"/>
    <mergeCell ref="AA49:AC49"/>
    <mergeCell ref="S13:Z16"/>
    <mergeCell ref="K44:M44"/>
    <mergeCell ref="AB30:AI30"/>
    <mergeCell ref="N59:W59"/>
    <mergeCell ref="AD51:AE51"/>
    <mergeCell ref="AA45:AC45"/>
    <mergeCell ref="N50:O50"/>
    <mergeCell ref="AI58:AO58"/>
    <mergeCell ref="R45:Z45"/>
    <mergeCell ref="Z21:AE21"/>
    <mergeCell ref="J35:Q36"/>
    <mergeCell ref="N51:O51"/>
    <mergeCell ref="A3:L3"/>
    <mergeCell ref="B53:J53"/>
    <mergeCell ref="AO8:AT9"/>
    <mergeCell ref="AD44:AE44"/>
    <mergeCell ref="AK40:AR41"/>
    <mergeCell ref="R47:Z47"/>
    <mergeCell ref="Z23:AE23"/>
    <mergeCell ref="Q21:X25"/>
    <mergeCell ref="J30:Q30"/>
    <mergeCell ref="B62:K62"/>
    <mergeCell ref="Z60:AH60"/>
    <mergeCell ref="N52:O52"/>
    <mergeCell ref="B59:K59"/>
    <mergeCell ref="AA51:AC51"/>
    <mergeCell ref="AB13:AI16"/>
    <mergeCell ref="AD45:AE45"/>
    <mergeCell ref="A20:O20"/>
    <mergeCell ref="N44:O44"/>
    <mergeCell ref="AB39:AI39"/>
    <mergeCell ref="A8:J9"/>
    <mergeCell ref="AJ3:AT3"/>
    <mergeCell ref="Z24:AE24"/>
    <mergeCell ref="Z59:AH59"/>
    <mergeCell ref="S34:Z34"/>
    <mergeCell ref="AI60:AO60"/>
    <mergeCell ref="AK34:AR34"/>
    <mergeCell ref="A7:J7"/>
    <mergeCell ref="K49:M49"/>
    <mergeCell ref="B54:J54"/>
    <mergeCell ref="J13:Q16"/>
    <mergeCell ref="N62:W62"/>
    <mergeCell ref="S30:Z30"/>
    <mergeCell ref="R49:Z49"/>
    <mergeCell ref="J40:Q41"/>
    <mergeCell ref="AD47:AE47"/>
    <mergeCell ref="B52:J52"/>
    <mergeCell ref="AB40:AI41"/>
    <mergeCell ref="N55:O55"/>
    <mergeCell ref="AD48:AE48"/>
    <mergeCell ref="A30:H30"/>
    <mergeCell ref="Z22:AE22"/>
    <mergeCell ref="N54:O54"/>
    <mergeCell ref="S12:Z12"/>
    <mergeCell ref="AA53:AC53"/>
    <mergeCell ref="Z58:AH58"/>
    <mergeCell ref="AP22:AU22"/>
    <mergeCell ref="B44:J44"/>
    <mergeCell ref="B63:K63"/>
    <mergeCell ref="J34:Q34"/>
    <mergeCell ref="J22:O22"/>
    <mergeCell ref="AJ1:AT2"/>
    <mergeCell ref="K48:M48"/>
    <mergeCell ref="R53:Z53"/>
    <mergeCell ref="AA50:AC50"/>
    <mergeCell ref="A13:H16"/>
    <mergeCell ref="J21:O21"/>
    <mergeCell ref="Q26:X26"/>
    <mergeCell ref="A26:H26"/>
    <mergeCell ref="AB12:AI12"/>
    <mergeCell ref="R46:Z46"/>
    <mergeCell ref="B45:J45"/>
    <mergeCell ref="AA47:AC47"/>
    <mergeCell ref="AD49:AE49"/>
    <mergeCell ref="AG21:AN25"/>
    <mergeCell ref="AI59:AO59"/>
    <mergeCell ref="A31:H32"/>
    <mergeCell ref="R52:Z52"/>
    <mergeCell ref="A40:H41"/>
    <mergeCell ref="J23:O23"/>
    <mergeCell ref="W8:AF9"/>
    <mergeCell ref="R48:Z48"/>
    <mergeCell ref="B47:J47"/>
    <mergeCell ref="A17:H17"/>
    <mergeCell ref="A21:H25"/>
    <mergeCell ref="B61:K61"/>
    <mergeCell ref="AG20:AU20"/>
    <mergeCell ref="AD53:AE53"/>
    <mergeCell ref="J12:Q12"/>
    <mergeCell ref="B46:J46"/>
    <mergeCell ref="AP24:AU24"/>
    <mergeCell ref="AA44:AC44"/>
    <mergeCell ref="AD50:AE50"/>
    <mergeCell ref="N61:W61"/>
    <mergeCell ref="Z26:AE26"/>
    <mergeCell ref="Z61:AH61"/>
    <mergeCell ref="K51:M51"/>
    <mergeCell ref="N45:O45"/>
    <mergeCell ref="B48:J48"/>
    <mergeCell ref="A34:H34"/>
    <mergeCell ref="J24:O24"/>
    <mergeCell ref="AP26:AU26"/>
    <mergeCell ref="Z25:AE25"/>
    <mergeCell ref="AB31:AI32"/>
    <mergeCell ref="AD52:AE52"/>
    <mergeCell ref="A39:H39"/>
    <mergeCell ref="N3:AH3"/>
    <mergeCell ref="Q20:AE20"/>
    <mergeCell ref="K50:M50"/>
    <mergeCell ref="N47:O47"/>
    <mergeCell ref="J26:O26"/>
    <mergeCell ref="K52:M52"/>
    <mergeCell ref="AP58:AT58"/>
    <mergeCell ref="AA54:AC54"/>
    <mergeCell ref="J25:O25"/>
    <mergeCell ref="S39:Z39"/>
    <mergeCell ref="AK30:AR30"/>
    <mergeCell ref="AK39:AR39"/>
    <mergeCell ref="R50:Z50"/>
    <mergeCell ref="L8:U9"/>
    <mergeCell ref="L7:U7"/>
    <mergeCell ref="AK31:AR32"/>
    <mergeCell ref="K53:M53"/>
    <mergeCell ref="AG27:AT27"/>
    <mergeCell ref="A12:H12"/>
    <mergeCell ref="B58:K58"/>
    <mergeCell ref="AP59:AT59"/>
    <mergeCell ref="B50:J50"/>
    <mergeCell ref="AD54:AE54"/>
    <mergeCell ref="S31:Z32"/>
    <mergeCell ref="B60:K60"/>
    <mergeCell ref="AP61:AT61"/>
    <mergeCell ref="AP21:AU21"/>
    <mergeCell ref="R44:Z44"/>
    <mergeCell ref="AO7:AT7"/>
    <mergeCell ref="AB35:AI36"/>
    <mergeCell ref="K54:M54"/>
    <mergeCell ref="K55:M55"/>
    <mergeCell ref="W7:AF7"/>
    <mergeCell ref="AP23:AU23"/>
    <mergeCell ref="N49:O49"/>
    <mergeCell ref="AA48:AC48"/>
  </mergeCells>
  <dataValidations count="3">
    <dataValidation sqref="A8:J8" showDropDown="0" showInputMessage="0" showErrorMessage="0" allowBlank="1" type="list">
      <formula1>DADOS!$A$4:$A$7</formula1>
    </dataValidation>
    <dataValidation sqref="L8:U8" showDropDown="0" showInputMessage="0" showErrorMessage="0" allowBlank="1" type="list">
      <formula1>DADOS!$L$4:$L$18</formula1>
    </dataValidation>
    <dataValidation sqref="W8:AF8" showDropDown="0" showInputMessage="0" showErrorMessage="0" allowBlank="1" type="list">
      <formula1>DADOS!$I$4:$I$10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7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0" customWidth="1" min="23" max="23"/>
    <col width="10" customWidth="1" min="24" max="24"/>
    <col width="10" customWidth="1" min="25" max="25"/>
    <col width="10" customWidth="1" min="26" max="26"/>
    <col width="22" customWidth="1" min="28" max="28"/>
    <col width="16" customWidth="1" min="29" max="29"/>
    <col width="22" customWidth="1" min="53" max="53"/>
    <col width="14" customWidth="1" min="54" max="54"/>
  </cols>
  <sheetData>
    <row r="1" ht="15" customHeight="1">
      <c r="A1" s="39" t="inlineStr">
        <is>
          <t>VERSÃO DO CATÁLOGO</t>
        </is>
      </c>
      <c r="B1" s="40" t="inlineStr">
        <is>
          <t>0.104</t>
        </is>
      </c>
      <c r="C1" s="30" t="inlineStr">
        <is>
          <t>versão corrente (puxada da central)</t>
        </is>
      </c>
      <c r="D1" s="40" t="inlineStr">
        <is>
          <t>0.104</t>
        </is>
      </c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</row>
    <row r="2" ht="15" customHeight="1">
      <c r="A2" s="30" t="inlineStr">
        <is>
          <t>cole aqui o IMPORTRANGE da central em D1 quando ela existir; enquanto não existir, D1 fica igual a B1 e o aviso some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</row>
    <row r="3" ht="15" customHeight="1">
      <c r="A3" s="41" t="inlineStr">
        <is>
          <t>Caminhos</t>
        </is>
      </c>
      <c r="B3" s="41" t="inlineStr">
        <is>
          <t>Perícias</t>
        </is>
      </c>
      <c r="C3" s="41" t="inlineStr">
        <is>
          <t>Ofícios</t>
        </is>
      </c>
      <c r="D3" s="41" t="inlineStr">
        <is>
          <t>Famílias</t>
        </is>
      </c>
      <c r="E3" s="41" t="inlineStr">
        <is>
          <t>Formas</t>
        </is>
      </c>
      <c r="F3" s="41" t="inlineStr">
        <is>
          <t>Melhorias</t>
        </is>
      </c>
      <c r="G3" s="41" t="inlineStr">
        <is>
          <t>Restrições</t>
        </is>
      </c>
      <c r="H3" s="41" t="inlineStr">
        <is>
          <t>Condições</t>
        </is>
      </c>
      <c r="I3" s="41" t="inlineStr">
        <is>
          <t>Origens</t>
        </is>
      </c>
      <c r="J3" s="41" t="inlineStr">
        <is>
          <t>Testes</t>
        </is>
      </c>
      <c r="K3" s="41" t="inlineStr">
        <is>
          <t>Atributos</t>
        </is>
      </c>
      <c r="L3" s="41" t="inlineStr">
        <is>
          <t>Trilhas</t>
        </is>
      </c>
      <c r="M3" s="8" t="n"/>
      <c r="N3" s="41" t="inlineStr">
        <is>
          <t>tabela dos Caminhos</t>
        </is>
      </c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</row>
    <row r="4" ht="15" customHeight="1">
      <c r="A4" s="42" t="inlineStr">
        <is>
          <t>Bastião</t>
        </is>
      </c>
      <c r="B4" s="42" t="inlineStr">
        <is>
          <t>Atletismo</t>
        </is>
      </c>
      <c r="C4" s="42" t="inlineStr">
        <is>
          <t>Condução</t>
        </is>
      </c>
      <c r="D4" s="42" t="inlineStr">
        <is>
          <t>Alcance</t>
        </is>
      </c>
      <c r="E4" s="42" t="inlineStr">
        <is>
          <t>Projétil</t>
        </is>
      </c>
      <c r="F4" s="42" t="inlineStr">
        <is>
          <t>Longe</t>
        </is>
      </c>
      <c r="G4" s="42" t="inlineStr">
        <is>
          <t>Corpo a Corpo</t>
        </is>
      </c>
      <c r="H4" s="42" t="inlineStr">
        <is>
          <t>Lento</t>
        </is>
      </c>
      <c r="I4" s="42" t="inlineStr">
        <is>
          <t>Latente</t>
        </is>
      </c>
      <c r="J4" s="42" t="inlineStr">
        <is>
          <t>Físico</t>
        </is>
      </c>
      <c r="K4" s="42" t="inlineStr">
        <is>
          <t>lista</t>
        </is>
      </c>
      <c r="L4" s="42" t="inlineStr">
        <is>
          <t>Muro</t>
        </is>
      </c>
      <c r="M4" s="8" t="n"/>
      <c r="N4" s="43" t="inlineStr">
        <is>
          <t>Caminho</t>
        </is>
      </c>
      <c r="O4" s="43" t="inlineStr">
        <is>
          <t>dado</t>
        </is>
      </c>
      <c r="P4" s="43" t="inlineStr">
        <is>
          <t>vida inicial</t>
        </is>
      </c>
      <c r="Q4" s="43" t="inlineStr">
        <is>
          <t>vida por nível</t>
        </is>
      </c>
      <c r="R4" s="43" t="inlineStr">
        <is>
          <t>PE por nível</t>
        </is>
      </c>
      <c r="S4" s="43" t="inlineStr">
        <is>
          <t>perícia fixa 1</t>
        </is>
      </c>
      <c r="T4" s="43" t="inlineStr">
        <is>
          <t>perícia fixa 2</t>
        </is>
      </c>
      <c r="U4" s="43" t="inlineStr">
        <is>
          <t>ofício fixo</t>
        </is>
      </c>
      <c r="V4" s="8" t="n"/>
      <c r="W4" s="43" t="inlineStr">
        <is>
          <t>marcos</t>
        </is>
      </c>
      <c r="X4" s="43" t="inlineStr">
        <is>
          <t>maestria</t>
        </is>
      </c>
      <c r="Y4" s="43" t="inlineStr">
        <is>
          <t>classe</t>
        </is>
      </c>
      <c r="Z4" s="43" t="inlineStr">
        <is>
          <t>classe 0</t>
        </is>
      </c>
      <c r="AA4" s="8" t="n"/>
      <c r="AB4" s="43" t="inlineStr">
        <is>
          <t>perícia</t>
        </is>
      </c>
      <c r="AC4" s="43" t="inlineStr">
        <is>
          <t>atributo</t>
        </is>
      </c>
      <c r="AD4" s="8" t="n"/>
      <c r="BA4" s="44" t="inlineStr">
        <is>
          <t>campo</t>
        </is>
      </c>
      <c r="BB4" s="44" t="inlineStr">
        <is>
          <t>célula</t>
        </is>
      </c>
    </row>
    <row r="5" ht="15" customHeight="1">
      <c r="A5" s="42" t="inlineStr">
        <is>
          <t>Vanguarda</t>
        </is>
      </c>
      <c r="B5" s="42" t="inlineStr">
        <is>
          <t>Acrobacia</t>
        </is>
      </c>
      <c r="C5" s="42" t="inlineStr">
        <is>
          <t>Arrombamento</t>
        </is>
      </c>
      <c r="D5" s="42" t="inlineStr">
        <is>
          <t>Área</t>
        </is>
      </c>
      <c r="E5" s="42" t="inlineStr">
        <is>
          <t>Toque</t>
        </is>
      </c>
      <c r="F5" s="42" t="inlineStr">
        <is>
          <t>Muito Longe</t>
        </is>
      </c>
      <c r="G5" s="42" t="inlineStr">
        <is>
          <t>Lento</t>
        </is>
      </c>
      <c r="H5" s="42" t="inlineStr">
        <is>
          <t>Incapacitado</t>
        </is>
      </c>
      <c r="I5" s="42" t="inlineStr">
        <is>
          <t>Receptáculo</t>
        </is>
      </c>
      <c r="J5" s="42" t="inlineStr">
        <is>
          <t>Vigor</t>
        </is>
      </c>
      <c r="K5" s="42" t="inlineStr">
        <is>
          <t>escala</t>
        </is>
      </c>
      <c r="L5" s="42" t="inlineStr">
        <is>
          <t>Punho</t>
        </is>
      </c>
      <c r="M5" s="8" t="n"/>
      <c r="N5" s="42" t="inlineStr">
        <is>
          <t>Bastião</t>
        </is>
      </c>
      <c r="O5" s="42" t="inlineStr">
        <is>
          <t>d12</t>
        </is>
      </c>
      <c r="P5" s="42" t="n">
        <v>12</v>
      </c>
      <c r="Q5" s="42" t="n">
        <v>7</v>
      </c>
      <c r="R5" s="42" t="n">
        <v>4</v>
      </c>
      <c r="S5" s="42" t="inlineStr">
        <is>
          <t>Atletismo</t>
        </is>
      </c>
      <c r="T5" s="42" t="inlineStr">
        <is>
          <t>Intimidação</t>
        </is>
      </c>
      <c r="U5" s="42" t="inlineStr">
        <is>
          <t>Forja</t>
        </is>
      </c>
      <c r="V5" s="8" t="n"/>
      <c r="W5" s="45" t="n">
        <v>6</v>
      </c>
      <c r="X5" s="45" t="n">
        <v>10</v>
      </c>
      <c r="Y5" s="45" t="n">
        <v>1</v>
      </c>
      <c r="Z5" s="45" t="n">
        <v>5</v>
      </c>
      <c r="AA5" s="8" t="n"/>
      <c r="AB5" s="42" t="inlineStr">
        <is>
          <t>Atletismo</t>
        </is>
      </c>
      <c r="AC5" s="42" t="inlineStr">
        <is>
          <t>Força</t>
        </is>
      </c>
      <c r="AD5" s="8" t="n"/>
      <c r="BA5" s="46" t="inlineStr">
        <is>
          <t>nome</t>
        </is>
      </c>
      <c r="BB5" s="46" t="inlineStr">
        <is>
          <t>N1</t>
        </is>
      </c>
    </row>
    <row r="6" ht="15" customHeight="1">
      <c r="A6" s="42" t="inlineStr">
        <is>
          <t>Guia</t>
        </is>
      </c>
      <c r="B6" s="42" t="inlineStr">
        <is>
          <t>Furtividade</t>
        </is>
      </c>
      <c r="C6" s="42" t="inlineStr">
        <is>
          <t>Herbalismo</t>
        </is>
      </c>
      <c r="D6" s="42" t="inlineStr">
        <is>
          <t>Mira</t>
        </is>
      </c>
      <c r="E6" s="42" t="inlineStr">
        <is>
          <t>Explosão</t>
        </is>
      </c>
      <c r="F6" s="42" t="inlineStr">
        <is>
          <t>Sem Ver</t>
        </is>
      </c>
      <c r="G6" s="42" t="inlineStr">
        <is>
          <t>Parado</t>
        </is>
      </c>
      <c r="H6" s="42" t="inlineStr">
        <is>
          <t>Derrubado</t>
        </is>
      </c>
      <c r="I6" s="42" t="inlineStr">
        <is>
          <t>Descendente</t>
        </is>
      </c>
      <c r="J6" s="42" t="inlineStr">
        <is>
          <t>Intelecto</t>
        </is>
      </c>
      <c r="K6" s="42" t="inlineStr">
        <is>
          <t>criacao</t>
        </is>
      </c>
      <c r="L6" s="42" t="inlineStr">
        <is>
          <t>Brasa</t>
        </is>
      </c>
      <c r="M6" s="8" t="n"/>
      <c r="N6" s="42" t="inlineStr">
        <is>
          <t>Vanguarda</t>
        </is>
      </c>
      <c r="O6" s="42" t="inlineStr">
        <is>
          <t>d8</t>
        </is>
      </c>
      <c r="P6" s="42" t="n">
        <v>8</v>
      </c>
      <c r="Q6" s="42" t="n">
        <v>5</v>
      </c>
      <c r="R6" s="42" t="n">
        <v>5</v>
      </c>
      <c r="S6" s="42" t="inlineStr">
        <is>
          <t>Acrobacia</t>
        </is>
      </c>
      <c r="T6" s="42" t="inlineStr">
        <is>
          <t>Percepção</t>
        </is>
      </c>
      <c r="U6" s="42" t="inlineStr">
        <is>
          <t>Arrombamento</t>
        </is>
      </c>
      <c r="V6" s="8" t="n"/>
      <c r="W6" s="45" t="n">
        <v>10</v>
      </c>
      <c r="X6" s="45" t="n">
        <v>18</v>
      </c>
      <c r="Y6" s="45" t="n">
        <v>5</v>
      </c>
      <c r="Z6" s="45" t="n">
        <v>11</v>
      </c>
      <c r="AA6" s="8" t="n"/>
      <c r="AB6" s="42" t="inlineStr">
        <is>
          <t>Acrobacia</t>
        </is>
      </c>
      <c r="AC6" s="42" t="inlineStr">
        <is>
          <t>Destreza</t>
        </is>
      </c>
      <c r="AD6" s="8" t="n"/>
      <c r="BA6" s="46" t="inlineStr">
        <is>
          <t>caminho</t>
        </is>
      </c>
      <c r="BB6" s="46" t="inlineStr">
        <is>
          <t>A8</t>
        </is>
      </c>
    </row>
    <row r="7" ht="15" customHeight="1">
      <c r="A7" s="42" t="inlineStr">
        <is>
          <t>Emanador</t>
        </is>
      </c>
      <c r="B7" s="42" t="inlineStr">
        <is>
          <t>Pontaria</t>
        </is>
      </c>
      <c r="C7" s="42" t="inlineStr">
        <is>
          <t>Forja</t>
        </is>
      </c>
      <c r="D7" s="42" t="inlineStr">
        <is>
          <t>Controle</t>
        </is>
      </c>
      <c r="E7" s="42" t="inlineStr">
        <is>
          <t>Aura</t>
        </is>
      </c>
      <c r="F7" s="42" t="inlineStr">
        <is>
          <t>Passo</t>
        </is>
      </c>
      <c r="G7" s="42" t="inlineStr">
        <is>
          <t>Gesto</t>
        </is>
      </c>
      <c r="H7" s="42" t="inlineStr">
        <is>
          <t>Agarrado</t>
        </is>
      </c>
      <c r="I7" s="42" t="inlineStr">
        <is>
          <t>Reencarnado</t>
        </is>
      </c>
      <c r="J7" s="42" t="inlineStr">
        <is>
          <t>Espírito</t>
        </is>
      </c>
      <c r="K7" s="42" t="inlineStr">
        <is>
          <t>nota</t>
        </is>
      </c>
      <c r="L7" s="42" t="inlineStr">
        <is>
          <t>Estocada</t>
        </is>
      </c>
      <c r="M7" s="8" t="n"/>
      <c r="N7" s="42" t="inlineStr">
        <is>
          <t>Guia</t>
        </is>
      </c>
      <c r="O7" s="42" t="inlineStr">
        <is>
          <t>d8</t>
        </is>
      </c>
      <c r="P7" s="42" t="n">
        <v>8</v>
      </c>
      <c r="Q7" s="42" t="n">
        <v>5</v>
      </c>
      <c r="R7" s="42" t="n">
        <v>5</v>
      </c>
      <c r="S7" s="42" t="inlineStr">
        <is>
          <t>Persuasão</t>
        </is>
      </c>
      <c r="T7" s="42" t="inlineStr">
        <is>
          <t>Medicina</t>
        </is>
      </c>
      <c r="U7" s="42" t="inlineStr">
        <is>
          <t>Herbalismo</t>
        </is>
      </c>
      <c r="V7" s="8" t="n"/>
      <c r="W7" s="45" t="n">
        <v>14</v>
      </c>
      <c r="X7" s="45" t="n">
        <v>26</v>
      </c>
      <c r="Y7" s="45" t="n">
        <v>9</v>
      </c>
      <c r="Z7" s="45" t="n">
        <v>17</v>
      </c>
      <c r="AA7" s="8" t="n"/>
      <c r="AB7" s="42" t="inlineStr">
        <is>
          <t>Furtividade</t>
        </is>
      </c>
      <c r="AC7" s="42" t="inlineStr">
        <is>
          <t>Destreza</t>
        </is>
      </c>
      <c r="AD7" s="8" t="n"/>
      <c r="BA7" s="46" t="inlineStr">
        <is>
          <t>trilha</t>
        </is>
      </c>
      <c r="BB7" s="46" t="inlineStr">
        <is>
          <t>L8</t>
        </is>
      </c>
    </row>
    <row r="8" ht="15" customHeight="1">
      <c r="A8" s="8" t="n"/>
      <c r="B8" s="42" t="inlineStr">
        <is>
          <t>Prestidigitação</t>
        </is>
      </c>
      <c r="C8" s="42" t="inlineStr">
        <is>
          <t>Caligrafia</t>
        </is>
      </c>
      <c r="D8" s="42" t="inlineStr">
        <is>
          <t>Auxiliares</t>
        </is>
      </c>
      <c r="E8" s="42" t="inlineStr">
        <is>
          <t>Cone</t>
        </is>
      </c>
      <c r="F8" s="42" t="inlineStr">
        <is>
          <t>Empurrão</t>
        </is>
      </c>
      <c r="G8" s="42" t="inlineStr">
        <is>
          <t>Sangra</t>
        </is>
      </c>
      <c r="H8" s="42" t="inlineStr">
        <is>
          <t>Desarmado</t>
        </is>
      </c>
      <c r="I8" s="42" t="inlineStr">
        <is>
          <t>Feto</t>
        </is>
      </c>
      <c r="J8" s="8" t="n"/>
      <c r="K8" s="42" t="inlineStr">
        <is>
          <t>pagina</t>
        </is>
      </c>
      <c r="L8" s="42" t="inlineStr">
        <is>
          <t>Batedor</t>
        </is>
      </c>
      <c r="M8" s="8" t="n"/>
      <c r="N8" s="42" t="inlineStr">
        <is>
          <t>Evocador</t>
        </is>
      </c>
      <c r="O8" s="42" t="inlineStr">
        <is>
          <t>d6</t>
        </is>
      </c>
      <c r="P8" s="42" t="n">
        <v>6</v>
      </c>
      <c r="Q8" s="42" t="n">
        <v>4</v>
      </c>
      <c r="R8" s="42" t="n">
        <v>6</v>
      </c>
      <c r="S8" s="42" t="inlineStr">
        <is>
          <t>Religião</t>
        </is>
      </c>
      <c r="T8" s="42" t="inlineStr">
        <is>
          <t>Lidar com Animais</t>
        </is>
      </c>
      <c r="U8" s="42" t="inlineStr">
        <is>
          <t>Entalhador</t>
        </is>
      </c>
      <c r="V8" s="8" t="n"/>
      <c r="W8" s="45" t="n">
        <v>18</v>
      </c>
      <c r="X8" s="8" t="n"/>
      <c r="Y8" s="45" t="n">
        <v>13</v>
      </c>
      <c r="Z8" s="8" t="n"/>
      <c r="AA8" s="8" t="n"/>
      <c r="AB8" s="42" t="inlineStr">
        <is>
          <t>Pontaria</t>
        </is>
      </c>
      <c r="AC8" s="42" t="inlineStr">
        <is>
          <t>Destreza</t>
        </is>
      </c>
      <c r="AD8" s="8" t="n"/>
      <c r="BA8" s="46" t="inlineStr">
        <is>
          <t>origem</t>
        </is>
      </c>
      <c r="BB8" s="46" t="inlineStr">
        <is>
          <t>W8</t>
        </is>
      </c>
    </row>
    <row r="9" ht="15" customHeight="1">
      <c r="A9" s="8" t="n"/>
      <c r="B9" s="42" t="inlineStr">
        <is>
          <t>Investigação</t>
        </is>
      </c>
      <c r="C9" s="42" t="inlineStr">
        <is>
          <t>Burocracia</t>
        </is>
      </c>
      <c r="D9" s="42" t="inlineStr">
        <is>
          <t>Castigo</t>
        </is>
      </c>
      <c r="E9" s="42" t="inlineStr">
        <is>
          <t>Linha</t>
        </is>
      </c>
      <c r="F9" s="42" t="inlineStr">
        <is>
          <t>Troca</t>
        </is>
      </c>
      <c r="G9" s="42" t="inlineStr">
        <is>
          <t>Recuo</t>
        </is>
      </c>
      <c r="H9" s="42" t="inlineStr">
        <is>
          <t>Surdo</t>
        </is>
      </c>
      <c r="I9" s="42" t="inlineStr">
        <is>
          <t>Corpo Amaldiçoado</t>
        </is>
      </c>
      <c r="J9" s="8" t="n"/>
      <c r="K9" s="8" t="n"/>
      <c r="L9" s="42" t="inlineStr">
        <is>
          <t>Executor</t>
        </is>
      </c>
      <c r="M9" s="8" t="n"/>
      <c r="N9" s="42" t="inlineStr">
        <is>
          <t>Emanador</t>
        </is>
      </c>
      <c r="O9" s="42" t="inlineStr">
        <is>
          <t>d6</t>
        </is>
      </c>
      <c r="P9" s="42" t="n">
        <v>6</v>
      </c>
      <c r="Q9" s="42" t="n">
        <v>4</v>
      </c>
      <c r="R9" s="42" t="n">
        <v>6</v>
      </c>
      <c r="S9" s="42" t="inlineStr">
        <is>
          <t>Ocultismo</t>
        </is>
      </c>
      <c r="T9" s="42" t="inlineStr">
        <is>
          <t>Investigação</t>
        </is>
      </c>
      <c r="U9" s="42" t="inlineStr">
        <is>
          <t>Caligrafia</t>
        </is>
      </c>
      <c r="V9" s="8" t="n"/>
      <c r="W9" s="45" t="n">
        <v>22</v>
      </c>
      <c r="X9" s="8" t="n"/>
      <c r="Y9" s="45" t="n">
        <v>17</v>
      </c>
      <c r="Z9" s="8" t="n"/>
      <c r="AA9" s="8" t="n"/>
      <c r="AB9" s="42" t="inlineStr">
        <is>
          <t>Prestidigitação</t>
        </is>
      </c>
      <c r="AC9" s="42" t="inlineStr">
        <is>
          <t>Destreza</t>
        </is>
      </c>
      <c r="AD9" s="8" t="n"/>
      <c r="BA9" s="46" t="inlineStr">
        <is>
          <t>nivel</t>
        </is>
      </c>
      <c r="BB9" s="46" t="inlineStr">
        <is>
          <t>AH8</t>
        </is>
      </c>
    </row>
    <row r="10" ht="15" customHeight="1">
      <c r="A10" s="8" t="n"/>
      <c r="B10" s="42" t="inlineStr">
        <is>
          <t>Intuição</t>
        </is>
      </c>
      <c r="C10" s="42" t="inlineStr">
        <is>
          <t>Entalhador</t>
        </is>
      </c>
      <c r="D10" s="42" t="inlineStr">
        <is>
          <t>Tempo</t>
        </is>
      </c>
      <c r="E10" s="42" t="inlineStr">
        <is>
          <t>Cura</t>
        </is>
      </c>
      <c r="F10" s="42" t="inlineStr">
        <is>
          <t>Perseguir</t>
        </is>
      </c>
      <c r="G10" s="42" t="inlineStr">
        <is>
          <t>Carregar</t>
        </is>
      </c>
      <c r="H10" s="42" t="inlineStr">
        <is>
          <t>Calado</t>
        </is>
      </c>
      <c r="I10" s="42" t="inlineStr">
        <is>
          <t>Restrição Celestial</t>
        </is>
      </c>
      <c r="J10" s="8" t="n"/>
      <c r="K10" s="8" t="n"/>
      <c r="L10" s="42" t="inlineStr">
        <is>
          <t>Elo</t>
        </is>
      </c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45" t="n">
        <v>26</v>
      </c>
      <c r="X10" s="8" t="n"/>
      <c r="Y10" s="45" t="n">
        <v>21</v>
      </c>
      <c r="Z10" s="8" t="n"/>
      <c r="AA10" s="8" t="n"/>
      <c r="AB10" s="42" t="inlineStr">
        <is>
          <t>Investigação</t>
        </is>
      </c>
      <c r="AC10" s="42" t="inlineStr">
        <is>
          <t>Inteligência</t>
        </is>
      </c>
      <c r="AD10" s="8" t="n"/>
      <c r="BA10" s="46" t="inlineStr">
        <is>
          <t>xp</t>
        </is>
      </c>
      <c r="BB10" s="46" t="inlineStr">
        <is>
          <t>AO8</t>
        </is>
      </c>
    </row>
    <row r="11" ht="15" customHeight="1">
      <c r="A11" s="8" t="n"/>
      <c r="B11" s="42" t="inlineStr">
        <is>
          <t>Ocultismo</t>
        </is>
      </c>
      <c r="C11" s="42" t="inlineStr">
        <is>
          <t>Alfaiate</t>
        </is>
      </c>
      <c r="D11" s="42" t="inlineStr">
        <is>
          <t>Marca</t>
        </is>
      </c>
      <c r="E11" s="42" t="inlineStr">
        <is>
          <t>Apoio</t>
        </is>
      </c>
      <c r="F11" s="42" t="inlineStr">
        <is>
          <t>Maior</t>
        </is>
      </c>
      <c r="G11" s="42" t="inlineStr">
        <is>
          <t>Tudo ou Nada</t>
        </is>
      </c>
      <c r="H11" s="42" t="inlineStr">
        <is>
          <t>Enfeitiçado</t>
        </is>
      </c>
      <c r="I11" s="8" t="n"/>
      <c r="J11" s="8" t="n"/>
      <c r="K11" s="8" t="n"/>
      <c r="L11" s="42" t="inlineStr">
        <is>
          <t>Sutura</t>
        </is>
      </c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45" t="n">
        <v>30</v>
      </c>
      <c r="X11" s="8" t="n"/>
      <c r="Y11" s="45" t="n">
        <v>26</v>
      </c>
      <c r="Z11" s="8" t="n"/>
      <c r="AA11" s="8" t="n"/>
      <c r="AB11" s="42" t="inlineStr">
        <is>
          <t>Intuição</t>
        </is>
      </c>
      <c r="AC11" s="42" t="inlineStr">
        <is>
          <t>Inteligência</t>
        </is>
      </c>
      <c r="AD11" s="8" t="n"/>
      <c r="BA11" s="46" t="inlineStr">
        <is>
          <t>atr_Força</t>
        </is>
      </c>
      <c r="BB11" s="46" t="inlineStr">
        <is>
          <t>A13</t>
        </is>
      </c>
    </row>
    <row r="12" ht="15" customHeight="1">
      <c r="A12" s="8" t="n"/>
      <c r="B12" s="42" t="inlineStr">
        <is>
          <t>Religião</t>
        </is>
      </c>
      <c r="C12" s="42" t="inlineStr">
        <is>
          <t>Culinária</t>
        </is>
      </c>
      <c r="D12" s="42" t="inlineStr">
        <is>
          <t>Amparo</t>
        </is>
      </c>
      <c r="E12" s="42" t="inlineStr">
        <is>
          <t>Onda</t>
        </is>
      </c>
      <c r="F12" s="42" t="inlineStr">
        <is>
          <t>Muito Maior</t>
        </is>
      </c>
      <c r="G12" s="42" t="inlineStr">
        <is>
          <t>Uma Vez</t>
        </is>
      </c>
      <c r="H12" s="42" t="inlineStr">
        <is>
          <t>Petrificado</t>
        </is>
      </c>
      <c r="I12" s="8" t="n"/>
      <c r="J12" s="8" t="n"/>
      <c r="K12" s="8" t="n"/>
      <c r="L12" s="42" t="inlineStr">
        <is>
          <t>Perímetro</t>
        </is>
      </c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42" t="inlineStr">
        <is>
          <t>Ocultismo</t>
        </is>
      </c>
      <c r="AC12" s="42" t="inlineStr">
        <is>
          <t>Inteligência</t>
        </is>
      </c>
      <c r="AD12" s="8" t="n"/>
      <c r="BA12" s="46" t="inlineStr">
        <is>
          <t>atr_Destreza</t>
        </is>
      </c>
      <c r="BB12" s="46" t="inlineStr">
        <is>
          <t>J13</t>
        </is>
      </c>
    </row>
    <row r="13" ht="15" customHeight="1">
      <c r="A13" s="8" t="n"/>
      <c r="B13" s="42" t="inlineStr">
        <is>
          <t>História</t>
        </is>
      </c>
      <c r="C13" s="42" t="inlineStr">
        <is>
          <t>Instrumento</t>
        </is>
      </c>
      <c r="D13" s="8" t="n"/>
      <c r="E13" s="42" t="inlineStr">
        <is>
          <t>Efeito</t>
        </is>
      </c>
      <c r="F13" s="42" t="inlineStr">
        <is>
          <t>Escolher</t>
        </is>
      </c>
      <c r="G13" s="42" t="inlineStr">
        <is>
          <t>Condicional</t>
        </is>
      </c>
      <c r="H13" s="42" t="inlineStr">
        <is>
          <t>Impedido</t>
        </is>
      </c>
      <c r="I13" s="8" t="n"/>
      <c r="J13" s="8" t="n"/>
      <c r="K13" s="8" t="n"/>
      <c r="L13" s="42" t="inlineStr">
        <is>
          <t>Torrente</t>
        </is>
      </c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42" t="inlineStr">
        <is>
          <t>Religião</t>
        </is>
      </c>
      <c r="AC13" s="42" t="inlineStr">
        <is>
          <t>Inteligência</t>
        </is>
      </c>
      <c r="AD13" s="8" t="n"/>
      <c r="BA13" s="46" t="inlineStr">
        <is>
          <t>atr_Constituição</t>
        </is>
      </c>
      <c r="BB13" s="46" t="inlineStr">
        <is>
          <t>S13</t>
        </is>
      </c>
    </row>
    <row r="14" ht="15" customHeight="1">
      <c r="A14" s="8" t="n"/>
      <c r="B14" s="42" t="inlineStr">
        <is>
          <t>Hierarquia</t>
        </is>
      </c>
      <c r="C14" s="42" t="inlineStr">
        <is>
          <t>Jogatina</t>
        </is>
      </c>
      <c r="D14" s="8" t="n"/>
      <c r="E14" s="8" t="n"/>
      <c r="F14" s="42" t="inlineStr">
        <is>
          <t>Fica</t>
        </is>
      </c>
      <c r="G14" s="42" t="inlineStr">
        <is>
          <t>Fraqueza</t>
        </is>
      </c>
      <c r="H14" s="42" t="inlineStr">
        <is>
          <t>Cego</t>
        </is>
      </c>
      <c r="I14" s="8" t="n"/>
      <c r="J14" s="8" t="n"/>
      <c r="K14" s="8" t="n"/>
      <c r="L14" s="42" t="inlineStr">
        <is>
          <t>Explosivo</t>
        </is>
      </c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42" t="inlineStr">
        <is>
          <t>História</t>
        </is>
      </c>
      <c r="AC14" s="42" t="inlineStr">
        <is>
          <t>Inteligência</t>
        </is>
      </c>
      <c r="AD14" s="8" t="n"/>
      <c r="BA14" s="46" t="inlineStr">
        <is>
          <t>atr_Inteligência</t>
        </is>
      </c>
      <c r="BB14" s="46" t="inlineStr">
        <is>
          <t>AB13</t>
        </is>
      </c>
    </row>
    <row r="15" ht="15" customHeight="1">
      <c r="A15" s="8" t="n"/>
      <c r="B15" s="42" t="inlineStr">
        <is>
          <t>Medicina</t>
        </is>
      </c>
      <c r="C15" s="8" t="n"/>
      <c r="D15" s="8" t="n"/>
      <c r="E15" s="8" t="n"/>
      <c r="F15" s="42" t="inlineStr">
        <is>
          <t>Mais Um</t>
        </is>
      </c>
      <c r="G15" s="42" t="inlineStr">
        <is>
          <t>Frágil</t>
        </is>
      </c>
      <c r="H15" s="42" t="inlineStr">
        <is>
          <t>Amedrontado</t>
        </is>
      </c>
      <c r="I15" s="8" t="n"/>
      <c r="J15" s="8" t="n"/>
      <c r="K15" s="8" t="n"/>
      <c r="L15" s="42" t="inlineStr">
        <is>
          <t>Arremate</t>
        </is>
      </c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42" t="inlineStr">
        <is>
          <t>Hierarquia</t>
        </is>
      </c>
      <c r="AC15" s="42" t="inlineStr">
        <is>
          <t>Inteligência</t>
        </is>
      </c>
      <c r="AD15" s="8" t="n"/>
      <c r="BA15" s="46" t="inlineStr">
        <is>
          <t>atr_Essência</t>
        </is>
      </c>
      <c r="BB15" s="46" t="inlineStr">
        <is>
          <t>AK13</t>
        </is>
      </c>
    </row>
    <row r="16" ht="15" customHeight="1">
      <c r="A16" s="8" t="n"/>
      <c r="B16" s="42" t="inlineStr">
        <is>
          <t>Sobrevivência</t>
        </is>
      </c>
      <c r="C16" s="8" t="n"/>
      <c r="D16" s="8" t="n"/>
      <c r="E16" s="8" t="n"/>
      <c r="F16" s="42" t="inlineStr">
        <is>
          <t>Rajada</t>
        </is>
      </c>
      <c r="G16" s="42" t="inlineStr">
        <is>
          <t>Barulho</t>
        </is>
      </c>
      <c r="H16" s="42" t="inlineStr">
        <is>
          <t>Envenenado</t>
        </is>
      </c>
      <c r="I16" s="8" t="n"/>
      <c r="J16" s="8" t="n"/>
      <c r="K16" s="8" t="n"/>
      <c r="L16" s="42" t="inlineStr">
        <is>
          <t>Servo</t>
        </is>
      </c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42" t="inlineStr">
        <is>
          <t>Medicina</t>
        </is>
      </c>
      <c r="AC16" s="42" t="inlineStr">
        <is>
          <t>Inteligência</t>
        </is>
      </c>
      <c r="AD16" s="8" t="n"/>
      <c r="BA16" s="46" t="inlineStr">
        <is>
          <t>vida</t>
        </is>
      </c>
      <c r="BB16" s="46" t="inlineStr">
        <is>
          <t>A21</t>
        </is>
      </c>
    </row>
    <row r="17" ht="15" customHeight="1">
      <c r="A17" s="8" t="n"/>
      <c r="B17" s="42" t="inlineStr">
        <is>
          <t>Natureza</t>
        </is>
      </c>
      <c r="C17" s="8" t="n"/>
      <c r="D17" s="8" t="n"/>
      <c r="E17" s="8" t="n"/>
      <c r="F17" s="42" t="inlineStr">
        <is>
          <t>Salto</t>
        </is>
      </c>
      <c r="G17" s="42" t="inlineStr">
        <is>
          <t>Assinatura</t>
        </is>
      </c>
      <c r="H17" s="42" t="inlineStr">
        <is>
          <t>Atordoado</t>
        </is>
      </c>
      <c r="I17" s="8" t="n"/>
      <c r="J17" s="8" t="n"/>
      <c r="K17" s="8" t="n"/>
      <c r="L17" s="42" t="inlineStr">
        <is>
          <t>Matilha</t>
        </is>
      </c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42" t="inlineStr">
        <is>
          <t>Sobrevivência</t>
        </is>
      </c>
      <c r="AC17" s="42" t="inlineStr">
        <is>
          <t>Inteligência</t>
        </is>
      </c>
      <c r="AD17" s="8" t="n"/>
      <c r="BA17" s="46" t="inlineStr">
        <is>
          <t>vida_max</t>
        </is>
      </c>
      <c r="BB17" s="46" t="inlineStr">
        <is>
          <t>J22</t>
        </is>
      </c>
    </row>
    <row r="18" ht="15" customHeight="1">
      <c r="A18" s="8" t="n"/>
      <c r="B18" s="42" t="inlineStr">
        <is>
          <t>Lidar com Animais</t>
        </is>
      </c>
      <c r="C18" s="8" t="n"/>
      <c r="D18" s="8" t="n"/>
      <c r="E18" s="8" t="n"/>
      <c r="F18" s="42" t="inlineStr">
        <is>
          <t>Contorno</t>
        </is>
      </c>
      <c r="G18" s="42" t="inlineStr">
        <is>
          <t>Aquecer</t>
        </is>
      </c>
      <c r="H18" s="8" t="n"/>
      <c r="I18" s="8" t="n"/>
      <c r="J18" s="8" t="n"/>
      <c r="K18" s="8" t="n"/>
      <c r="L18" s="42" t="inlineStr">
        <is>
          <t>Coro</t>
        </is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42" t="inlineStr">
        <is>
          <t>Natureza</t>
        </is>
      </c>
      <c r="AC18" s="42" t="inlineStr">
        <is>
          <t>Inteligência</t>
        </is>
      </c>
      <c r="AD18" s="8" t="n"/>
      <c r="BA18" s="46" t="inlineStr">
        <is>
          <t>vida_temp</t>
        </is>
      </c>
      <c r="BB18" s="46" t="inlineStr">
        <is>
          <t>J24</t>
        </is>
      </c>
    </row>
    <row r="19" ht="15" customHeight="1">
      <c r="A19" s="8" t="n"/>
      <c r="B19" s="42" t="inlineStr">
        <is>
          <t>Tecnologia</t>
        </is>
      </c>
      <c r="C19" s="8" t="n"/>
      <c r="D19" s="8" t="n"/>
      <c r="E19" s="8" t="n"/>
      <c r="F19" s="42" t="inlineStr">
        <is>
          <t>Precisão</t>
        </is>
      </c>
      <c r="G19" s="42" t="inlineStr">
        <is>
          <t>Dívida</t>
        </is>
      </c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42" t="inlineStr">
        <is>
          <t>Lidar com Animais</t>
        </is>
      </c>
      <c r="AC19" s="42" t="inlineStr">
        <is>
          <t>Inteligência</t>
        </is>
      </c>
      <c r="AD19" s="8" t="n"/>
      <c r="BA19" s="46" t="inlineStr">
        <is>
          <t>vida_delta</t>
        </is>
      </c>
      <c r="BB19" s="46" t="inlineStr">
        <is>
          <t>J26</t>
        </is>
      </c>
    </row>
    <row r="20" ht="15" customHeight="1">
      <c r="A20" s="8" t="n"/>
      <c r="B20" s="42" t="inlineStr">
        <is>
          <t>Sentir Energia</t>
        </is>
      </c>
      <c r="C20" s="8" t="n"/>
      <c r="D20" s="8" t="n"/>
      <c r="E20" s="8" t="n"/>
      <c r="F20" s="42" t="inlineStr">
        <is>
          <t>Certeiro</t>
        </is>
      </c>
      <c r="G20" s="42" t="inlineStr">
        <is>
          <t>Peso Morto</t>
        </is>
      </c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42" t="inlineStr">
        <is>
          <t>Tecnologia</t>
        </is>
      </c>
      <c r="AC20" s="42" t="inlineStr">
        <is>
          <t>Inteligência</t>
        </is>
      </c>
      <c r="AD20" s="8" t="n"/>
      <c r="BA20" s="46" t="inlineStr">
        <is>
          <t>energia</t>
        </is>
      </c>
      <c r="BB20" s="46" t="inlineStr">
        <is>
          <t>Q21</t>
        </is>
      </c>
    </row>
    <row r="21" ht="15" customHeight="1">
      <c r="A21" s="8" t="n"/>
      <c r="B21" s="42" t="inlineStr">
        <is>
          <t>Percepção</t>
        </is>
      </c>
      <c r="C21" s="8" t="n"/>
      <c r="D21" s="8" t="n"/>
      <c r="E21" s="8" t="n"/>
      <c r="F21" s="42" t="inlineStr">
        <is>
          <t>Inescapável</t>
        </is>
      </c>
      <c r="G21" s="42" t="inlineStr">
        <is>
          <t>Sem Volta</t>
        </is>
      </c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42" t="inlineStr">
        <is>
          <t>Sentir Energia</t>
        </is>
      </c>
      <c r="AC21" s="42" t="inlineStr">
        <is>
          <t>Essência</t>
        </is>
      </c>
      <c r="AD21" s="8" t="n"/>
      <c r="BA21" s="46" t="inlineStr">
        <is>
          <t>energia_max</t>
        </is>
      </c>
      <c r="BB21" s="46" t="inlineStr">
        <is>
          <t>Z22</t>
        </is>
      </c>
    </row>
    <row r="22" ht="15" customHeight="1">
      <c r="A22" s="8" t="n"/>
      <c r="B22" s="42" t="inlineStr">
        <is>
          <t>Persuasão</t>
        </is>
      </c>
      <c r="C22" s="8" t="n"/>
      <c r="D22" s="8" t="n"/>
      <c r="E22" s="8" t="n"/>
      <c r="F22" s="42" t="inlineStr">
        <is>
          <t>Fura</t>
        </is>
      </c>
      <c r="G22" s="42" t="inlineStr">
        <is>
          <t>Restrição Própria</t>
        </is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42" t="inlineStr">
        <is>
          <t>Percepção</t>
        </is>
      </c>
      <c r="AC22" s="42" t="inlineStr">
        <is>
          <t>Essência</t>
        </is>
      </c>
      <c r="AD22" s="8" t="n"/>
      <c r="BA22" s="46" t="inlineStr">
        <is>
          <t>energia_temp</t>
        </is>
      </c>
      <c r="BB22" s="46" t="inlineStr">
        <is>
          <t>Z24</t>
        </is>
      </c>
    </row>
    <row r="23" ht="15" customHeight="1">
      <c r="A23" s="8" t="n"/>
      <c r="B23" s="42" t="inlineStr">
        <is>
          <t>Enganação</t>
        </is>
      </c>
      <c r="C23" s="8" t="n"/>
      <c r="D23" s="8" t="n"/>
      <c r="E23" s="8" t="n"/>
      <c r="F23" s="42" t="inlineStr">
        <is>
          <t>Corrói</t>
        </is>
      </c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42" t="inlineStr">
        <is>
          <t>Persuasão</t>
        </is>
      </c>
      <c r="AC23" s="42" t="inlineStr">
        <is>
          <t>Essência</t>
        </is>
      </c>
      <c r="AD23" s="8" t="n"/>
      <c r="BA23" s="46" t="inlineStr">
        <is>
          <t>energia_delta</t>
        </is>
      </c>
      <c r="BB23" s="46" t="inlineStr">
        <is>
          <t>Z26</t>
        </is>
      </c>
    </row>
    <row r="24" ht="15" customHeight="1">
      <c r="A24" s="8" t="n"/>
      <c r="B24" s="42" t="inlineStr">
        <is>
          <t>Intimidação</t>
        </is>
      </c>
      <c r="C24" s="8" t="n"/>
      <c r="D24" s="8" t="n"/>
      <c r="E24" s="8" t="n"/>
      <c r="F24" s="42" t="inlineStr">
        <is>
          <t>Sem Cobertura</t>
        </is>
      </c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42" t="inlineStr">
        <is>
          <t>Enganação</t>
        </is>
      </c>
      <c r="AC24" s="42" t="inlineStr">
        <is>
          <t>Essência</t>
        </is>
      </c>
      <c r="AD24" s="8" t="n"/>
      <c r="BA24" s="46" t="inlineStr">
        <is>
          <t>integridade</t>
        </is>
      </c>
      <c r="BB24" s="46" t="inlineStr">
        <is>
          <t>AG21</t>
        </is>
      </c>
    </row>
    <row r="25" ht="15" customHeight="1">
      <c r="A25" s="8" t="n"/>
      <c r="B25" s="42" t="inlineStr">
        <is>
          <t>Atuação</t>
        </is>
      </c>
      <c r="C25" s="8" t="n"/>
      <c r="D25" s="8" t="n"/>
      <c r="E25" s="8" t="n"/>
      <c r="F25" s="42" t="inlineStr">
        <is>
          <t>De Novo</t>
        </is>
      </c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42" t="inlineStr">
        <is>
          <t>Intimidação</t>
        </is>
      </c>
      <c r="AC25" s="42" t="inlineStr">
        <is>
          <t>Essência</t>
        </is>
      </c>
      <c r="AD25" s="8" t="n"/>
      <c r="BA25" s="46" t="inlineStr">
        <is>
          <t>integridade_max</t>
        </is>
      </c>
      <c r="BB25" s="46" t="inlineStr">
        <is>
          <t>AP22</t>
        </is>
      </c>
    </row>
    <row r="26" ht="15" customHeight="1">
      <c r="A26" s="8" t="n"/>
      <c r="B26" s="42" t="inlineStr">
        <is>
          <t>Provocar</t>
        </is>
      </c>
      <c r="C26" s="8" t="n"/>
      <c r="D26" s="8" t="n"/>
      <c r="E26" s="8" t="n"/>
      <c r="F26" s="42" t="inlineStr">
        <is>
          <t>Toca a Alma</t>
        </is>
      </c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42" t="inlineStr">
        <is>
          <t>Atuação</t>
        </is>
      </c>
      <c r="AC26" s="42" t="inlineStr">
        <is>
          <t>Essência</t>
        </is>
      </c>
      <c r="AD26" s="8" t="n"/>
      <c r="BA26" s="46" t="inlineStr">
        <is>
          <t>integridade_temp</t>
        </is>
      </c>
      <c r="BB26" s="46" t="inlineStr">
        <is>
          <t>AP24</t>
        </is>
      </c>
    </row>
    <row r="27" ht="15" customHeight="1">
      <c r="A27" s="8" t="n"/>
      <c r="B27" s="8" t="n"/>
      <c r="C27" s="8" t="n"/>
      <c r="D27" s="8" t="n"/>
      <c r="E27" s="8" t="n"/>
      <c r="F27" s="42" t="inlineStr">
        <is>
          <t>Terreno</t>
        </is>
      </c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42" t="inlineStr">
        <is>
          <t>Provocar</t>
        </is>
      </c>
      <c r="AC27" s="42" t="inlineStr">
        <is>
          <t>Essência</t>
        </is>
      </c>
      <c r="AD27" s="8" t="n"/>
      <c r="BA27" s="46" t="inlineStr">
        <is>
          <t>integridade_delta</t>
        </is>
      </c>
      <c r="BB27" s="46" t="inlineStr">
        <is>
          <t>AP26</t>
        </is>
      </c>
    </row>
    <row r="28" ht="15" customHeight="1">
      <c r="A28" s="8" t="n"/>
      <c r="B28" s="8" t="n"/>
      <c r="C28" s="8" t="n"/>
      <c r="D28" s="8" t="n"/>
      <c r="E28" s="8" t="n"/>
      <c r="F28" s="42" t="inlineStr">
        <is>
          <t>Anteparo</t>
        </is>
      </c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BA28" s="46" t="inlineStr">
        <is>
          <t>estagio_alma</t>
        </is>
      </c>
      <c r="BB28" s="46" t="inlineStr">
        <is>
          <t>AG27</t>
        </is>
      </c>
    </row>
    <row r="29" ht="15" customHeight="1">
      <c r="A29" s="8" t="n"/>
      <c r="B29" s="8" t="n"/>
      <c r="C29" s="8" t="n"/>
      <c r="D29" s="8" t="n"/>
      <c r="E29" s="8" t="n"/>
      <c r="F29" s="42" t="inlineStr">
        <is>
          <t>Prende</t>
        </is>
      </c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BA29" s="46" t="inlineStr">
        <is>
          <t>defesa</t>
        </is>
      </c>
      <c r="BB29" s="46" t="inlineStr">
        <is>
          <t>A31</t>
        </is>
      </c>
    </row>
    <row r="30" ht="15" customHeight="1">
      <c r="A30" s="8" t="n"/>
      <c r="B30" s="8" t="n"/>
      <c r="C30" s="8" t="n"/>
      <c r="D30" s="8" t="n"/>
      <c r="E30" s="8" t="n"/>
      <c r="F30" s="42" t="inlineStr">
        <is>
          <t>Cerca</t>
        </is>
      </c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BA30" s="46" t="inlineStr">
        <is>
          <t>proteção</t>
        </is>
      </c>
      <c r="BB30" s="46" t="inlineStr">
        <is>
          <t>J31</t>
        </is>
      </c>
    </row>
    <row r="31" ht="15" customHeight="1">
      <c r="A31" s="8" t="n"/>
      <c r="B31" s="8" t="n"/>
      <c r="C31" s="8" t="n"/>
      <c r="D31" s="8" t="n"/>
      <c r="E31" s="8" t="n"/>
      <c r="F31" s="42" t="inlineStr">
        <is>
          <t>Puxa</t>
        </is>
      </c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BA31" s="46" t="inlineStr">
        <is>
          <t>equipamento</t>
        </is>
      </c>
      <c r="BB31" s="46" t="inlineStr">
        <is>
          <t>S31</t>
        </is>
      </c>
    </row>
    <row r="32" ht="15" customHeight="1">
      <c r="A32" s="8" t="n"/>
      <c r="B32" s="8" t="n"/>
      <c r="C32" s="8" t="n"/>
      <c r="D32" s="8" t="n"/>
      <c r="E32" s="8" t="n"/>
      <c r="F32" s="42" t="inlineStr">
        <is>
          <t>Desarma o Feitiço</t>
        </is>
      </c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BA32" s="46" t="inlineStr">
        <is>
          <t>iniciativa</t>
        </is>
      </c>
      <c r="BB32" s="46" t="inlineStr">
        <is>
          <t>AB31</t>
        </is>
      </c>
    </row>
    <row r="33" ht="15" customHeight="1">
      <c r="A33" s="8" t="n"/>
      <c r="B33" s="8" t="n"/>
      <c r="C33" s="8" t="n"/>
      <c r="D33" s="8" t="n"/>
      <c r="E33" s="8" t="n"/>
      <c r="F33" s="42" t="inlineStr">
        <is>
          <t>Nível</t>
        </is>
      </c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BA33" s="46" t="inlineStr">
        <is>
          <t>deslocamento</t>
        </is>
      </c>
      <c r="BB33" s="46" t="inlineStr">
        <is>
          <t>AK31</t>
        </is>
      </c>
    </row>
    <row r="34" ht="15" customHeight="1">
      <c r="A34" s="8" t="n"/>
      <c r="B34" s="8" t="n"/>
      <c r="C34" s="8" t="n"/>
      <c r="D34" s="8" t="n"/>
      <c r="E34" s="8" t="n"/>
      <c r="F34" s="42" t="inlineStr">
        <is>
          <t>Impulso</t>
        </is>
      </c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BA34" s="46" t="inlineStr">
        <is>
          <t>maestria</t>
        </is>
      </c>
      <c r="BB34" s="46" t="inlineStr">
        <is>
          <t>A35</t>
        </is>
      </c>
    </row>
    <row r="35" ht="15" customHeight="1">
      <c r="A35" s="8" t="n"/>
      <c r="B35" s="8" t="n"/>
      <c r="C35" s="8" t="n"/>
      <c r="D35" s="8" t="n"/>
      <c r="E35" s="8" t="n"/>
      <c r="F35" s="42" t="inlineStr">
        <is>
          <t>Trava</t>
        </is>
      </c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BA35" s="46" t="inlineStr">
        <is>
          <t>cd de feitiço</t>
        </is>
      </c>
      <c r="BB35" s="46" t="inlineStr">
        <is>
          <t>J35</t>
        </is>
      </c>
    </row>
    <row r="36" ht="15" customHeight="1">
      <c r="A36" s="8" t="n"/>
      <c r="B36" s="8" t="n"/>
      <c r="C36" s="8" t="n"/>
      <c r="D36" s="8" t="n"/>
      <c r="E36" s="8" t="n"/>
      <c r="F36" s="42" t="inlineStr">
        <is>
          <t>Abre Ferida</t>
        </is>
      </c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BA36" s="46" t="inlineStr">
        <is>
          <t>conjuração</t>
        </is>
      </c>
      <c r="BB36" s="46" t="inlineStr">
        <is>
          <t>S35</t>
        </is>
      </c>
    </row>
    <row r="37" ht="15" customHeight="1">
      <c r="A37" s="8" t="n"/>
      <c r="B37" s="8" t="n"/>
      <c r="C37" s="8" t="n"/>
      <c r="D37" s="8" t="n"/>
      <c r="E37" s="8" t="n"/>
      <c r="F37" s="42" t="inlineStr">
        <is>
          <t>Sobrecarga</t>
        </is>
      </c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BA37" s="46" t="inlineStr">
        <is>
          <t>corpo a corpo</t>
        </is>
      </c>
      <c r="BB37" s="46" t="inlineStr">
        <is>
          <t>AB35</t>
        </is>
      </c>
    </row>
    <row r="38" ht="15" customHeight="1">
      <c r="A38" s="8" t="n"/>
      <c r="B38" s="8" t="n"/>
      <c r="C38" s="8" t="n"/>
      <c r="D38" s="8" t="n"/>
      <c r="E38" s="8" t="n"/>
      <c r="F38" s="42" t="inlineStr">
        <is>
          <t>Firmeza</t>
        </is>
      </c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BA38" s="46" t="inlineStr">
        <is>
          <t>à distância</t>
        </is>
      </c>
      <c r="BB38" s="46" t="inlineStr">
        <is>
          <t>AK35</t>
        </is>
      </c>
    </row>
    <row r="39" ht="15" customHeight="1">
      <c r="A39" s="8" t="n"/>
      <c r="B39" s="8" t="n"/>
      <c r="C39" s="8" t="n"/>
      <c r="D39" s="8" t="n"/>
      <c r="E39" s="8" t="n"/>
      <c r="F39" s="42" t="inlineStr">
        <is>
          <t>Guarda</t>
        </is>
      </c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BA39" s="46" t="inlineStr">
        <is>
          <t>espaços de feitiço</t>
        </is>
      </c>
      <c r="BB39" s="46" t="inlineStr">
        <is>
          <t>A40</t>
        </is>
      </c>
    </row>
    <row r="40" ht="15" customHeight="1">
      <c r="A40" s="8" t="n"/>
      <c r="B40" s="8" t="n"/>
      <c r="C40" s="8" t="n"/>
      <c r="D40" s="8" t="n"/>
      <c r="E40" s="8" t="n"/>
      <c r="F40" s="42" t="inlineStr">
        <is>
          <t>Pressa</t>
        </is>
      </c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BA40" s="46" t="inlineStr">
        <is>
          <t>refino de graça</t>
        </is>
      </c>
      <c r="BB40" s="46" t="inlineStr">
        <is>
          <t>J40</t>
        </is>
      </c>
    </row>
    <row r="41" ht="15" customHeight="1">
      <c r="A41" s="8" t="n"/>
      <c r="B41" s="8" t="n"/>
      <c r="C41" s="8" t="n"/>
      <c r="D41" s="8" t="n"/>
      <c r="E41" s="8" t="n"/>
      <c r="F41" s="42" t="inlineStr">
        <is>
          <t>Enfraquece</t>
        </is>
      </c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BA41" s="46" t="inlineStr">
        <is>
          <t>classe máxima</t>
        </is>
      </c>
      <c r="BB41" s="46" t="inlineStr">
        <is>
          <t>S40</t>
        </is>
      </c>
    </row>
    <row r="42" ht="15" customHeight="1">
      <c r="A42" s="8" t="n"/>
      <c r="B42" s="8" t="n"/>
      <c r="C42" s="8" t="n"/>
      <c r="D42" s="8" t="n"/>
      <c r="E42" s="8" t="n"/>
      <c r="F42" s="42" t="inlineStr">
        <is>
          <t>Ecoa</t>
        </is>
      </c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BA42" s="46" t="inlineStr">
        <is>
          <t>classe 0 grátis</t>
        </is>
      </c>
      <c r="BB42" s="46" t="inlineStr">
        <is>
          <t>AB40</t>
        </is>
      </c>
    </row>
    <row r="43" ht="15" customHeight="1">
      <c r="A43" s="8" t="n"/>
      <c r="B43" s="8" t="n"/>
      <c r="C43" s="8" t="n"/>
      <c r="D43" s="8" t="n"/>
      <c r="E43" s="8" t="n"/>
      <c r="F43" s="42" t="inlineStr">
        <is>
          <t>Queima</t>
        </is>
      </c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BA43" s="46" t="inlineStr">
        <is>
          <t>perícias treinadas</t>
        </is>
      </c>
      <c r="BB43" s="46" t="inlineStr">
        <is>
          <t>AK40</t>
        </is>
      </c>
    </row>
    <row r="44" ht="15" customHeight="1">
      <c r="A44" s="8" t="n"/>
      <c r="B44" s="8" t="n"/>
      <c r="C44" s="8" t="n"/>
      <c r="D44" s="8" t="n"/>
      <c r="E44" s="8" t="n"/>
      <c r="F44" s="42" t="inlineStr">
        <is>
          <t>Acúmulo</t>
        </is>
      </c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</row>
    <row r="45" ht="15" customHeight="1">
      <c r="A45" s="8" t="n"/>
      <c r="B45" s="8" t="n"/>
      <c r="C45" s="8" t="n"/>
      <c r="D45" s="8" t="n"/>
      <c r="E45" s="8" t="n"/>
      <c r="F45" s="42" t="inlineStr">
        <is>
          <t>Remate</t>
        </is>
      </c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</row>
    <row r="46" ht="15" customHeight="1">
      <c r="A46" s="8" t="n"/>
      <c r="B46" s="8" t="n"/>
      <c r="C46" s="8" t="n"/>
      <c r="D46" s="8" t="n"/>
      <c r="E46" s="8" t="n"/>
      <c r="F46" s="42" t="inlineStr">
        <is>
          <t>Estilhaço</t>
        </is>
      </c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</row>
    <row r="47" ht="15" customHeight="1">
      <c r="A47" s="8" t="n"/>
      <c r="B47" s="8" t="n"/>
      <c r="C47" s="8" t="n"/>
      <c r="D47" s="8" t="n"/>
      <c r="E47" s="8" t="n"/>
      <c r="F47" s="42" t="inlineStr">
        <is>
          <t>Quebra Coisa</t>
        </is>
      </c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 ht="15" customHeight="1">
      <c r="A48" s="8" t="n"/>
      <c r="B48" s="8" t="n"/>
      <c r="C48" s="8" t="n"/>
      <c r="D48" s="8" t="n"/>
      <c r="E48" s="8" t="n"/>
      <c r="F48" s="42" t="inlineStr">
        <is>
          <t>Rasga Escudo</t>
        </is>
      </c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 ht="15" customHeight="1">
      <c r="A49" s="8" t="n"/>
      <c r="B49" s="8" t="n"/>
      <c r="C49" s="8" t="n"/>
      <c r="D49" s="8" t="n"/>
      <c r="E49" s="8" t="n"/>
      <c r="F49" s="42" t="inlineStr">
        <is>
          <t>Sem Cura</t>
        </is>
      </c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 ht="15" customHeight="1">
      <c r="A50" s="8" t="n"/>
      <c r="B50" s="8" t="n"/>
      <c r="C50" s="8" t="n"/>
      <c r="D50" s="8" t="n"/>
      <c r="E50" s="8" t="n"/>
      <c r="F50" s="42" t="inlineStr">
        <is>
          <t>Rápido</t>
        </is>
      </c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 ht="15" customHeight="1">
      <c r="A51" s="8" t="n"/>
      <c r="B51" s="8" t="n"/>
      <c r="C51" s="8" t="n"/>
      <c r="D51" s="8" t="n"/>
      <c r="E51" s="8" t="n"/>
      <c r="F51" s="42" t="inlineStr">
        <is>
          <t>Reação</t>
        </is>
      </c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 ht="15" customHeight="1">
      <c r="A52" s="8" t="n"/>
      <c r="B52" s="8" t="n"/>
      <c r="C52" s="8" t="n"/>
      <c r="D52" s="8" t="n"/>
      <c r="E52" s="8" t="n"/>
      <c r="F52" s="42" t="inlineStr">
        <is>
          <t>Armado</t>
        </is>
      </c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 ht="15" customHeight="1">
      <c r="A53" s="8" t="n"/>
      <c r="B53" s="8" t="n"/>
      <c r="C53" s="8" t="n"/>
      <c r="D53" s="8" t="n"/>
      <c r="E53" s="8" t="n"/>
      <c r="F53" s="42" t="inlineStr">
        <is>
          <t>Silencioso</t>
        </is>
      </c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 ht="15" customHeight="1">
      <c r="A54" s="8" t="n"/>
      <c r="B54" s="8" t="n"/>
      <c r="C54" s="8" t="n"/>
      <c r="D54" s="8" t="n"/>
      <c r="E54" s="8" t="n"/>
      <c r="F54" s="42" t="inlineStr">
        <is>
          <t>Adianta</t>
        </is>
      </c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 ht="15" customHeight="1">
      <c r="A55" s="8" t="n"/>
      <c r="B55" s="8" t="n"/>
      <c r="C55" s="8" t="n"/>
      <c r="D55" s="8" t="n"/>
      <c r="E55" s="8" t="n"/>
      <c r="F55" s="42" t="inlineStr">
        <is>
          <t>Segura</t>
        </is>
      </c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 ht="15" customHeight="1">
      <c r="A56" s="8" t="n"/>
      <c r="B56" s="8" t="n"/>
      <c r="C56" s="8" t="n"/>
      <c r="D56" s="8" t="n"/>
      <c r="E56" s="8" t="n"/>
      <c r="F56" s="42" t="inlineStr">
        <is>
          <t>Marca</t>
        </is>
      </c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 ht="15" customHeight="1">
      <c r="A57" s="8" t="n"/>
      <c r="B57" s="8" t="n"/>
      <c r="C57" s="8" t="n"/>
      <c r="D57" s="8" t="n"/>
      <c r="E57" s="8" t="n"/>
      <c r="F57" s="42" t="inlineStr">
        <is>
          <t>Rastro</t>
        </is>
      </c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 ht="15" customHeight="1">
      <c r="A58" s="8" t="n"/>
      <c r="B58" s="8" t="n"/>
      <c r="C58" s="8" t="n"/>
      <c r="D58" s="8" t="n"/>
      <c r="E58" s="8" t="n"/>
      <c r="F58" s="42" t="inlineStr">
        <is>
          <t>Sugar</t>
        </is>
      </c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 ht="15" customHeight="1">
      <c r="A59" s="8" t="n"/>
      <c r="B59" s="8" t="n"/>
      <c r="C59" s="8" t="n"/>
      <c r="D59" s="8" t="n"/>
      <c r="E59" s="8" t="n"/>
      <c r="F59" s="42" t="inlineStr">
        <is>
          <t>Isca</t>
        </is>
      </c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 ht="15" customHeight="1">
      <c r="A60" s="8" t="n"/>
      <c r="B60" s="8" t="n"/>
      <c r="C60" s="8" t="n"/>
      <c r="D60" s="8" t="n"/>
      <c r="E60" s="8" t="n"/>
      <c r="F60" s="42" t="inlineStr">
        <is>
          <t>Cobrança</t>
        </is>
      </c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 ht="15" customHeight="1">
      <c r="A61" s="8" t="n"/>
      <c r="B61" s="8" t="n"/>
      <c r="C61" s="8" t="n"/>
      <c r="D61" s="8" t="n"/>
      <c r="E61" s="8" t="n"/>
      <c r="F61" s="42" t="inlineStr">
        <is>
          <t>Aviso</t>
        </is>
      </c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 ht="15" customHeight="1">
      <c r="A62" s="8" t="n"/>
      <c r="B62" s="8" t="n"/>
      <c r="C62" s="8" t="n"/>
      <c r="D62" s="8" t="n"/>
      <c r="E62" s="8" t="n"/>
      <c r="F62" s="42" t="inlineStr">
        <is>
          <t>Limpa</t>
        </is>
      </c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 ht="15" customHeight="1">
      <c r="A63" s="8" t="n"/>
      <c r="B63" s="8" t="n"/>
      <c r="C63" s="8" t="n"/>
      <c r="D63" s="8" t="n"/>
      <c r="E63" s="8" t="n"/>
      <c r="F63" s="42" t="inlineStr">
        <is>
          <t>Limpa Fundo</t>
        </is>
      </c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 ht="15" customHeight="1">
      <c r="A64" s="8" t="n"/>
      <c r="B64" s="8" t="n"/>
      <c r="C64" s="8" t="n"/>
      <c r="D64" s="8" t="n"/>
      <c r="E64" s="8" t="n"/>
      <c r="F64" s="42" t="inlineStr">
        <is>
          <t>Levanta</t>
        </is>
      </c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 ht="15" customHeight="1">
      <c r="A65" s="8" t="n"/>
      <c r="B65" s="8" t="n"/>
      <c r="C65" s="8" t="n"/>
      <c r="D65" s="8" t="n"/>
      <c r="E65" s="8" t="n"/>
      <c r="F65" s="42" t="inlineStr">
        <is>
          <t>Divide</t>
        </is>
      </c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 ht="15" customHeight="1">
      <c r="A66" s="8" t="n"/>
      <c r="B66" s="8" t="n"/>
      <c r="C66" s="8" t="n"/>
      <c r="D66" s="8" t="n"/>
      <c r="E66" s="8" t="n"/>
      <c r="F66" s="42" t="inlineStr">
        <is>
          <t>Junto</t>
        </is>
      </c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 ht="15" customHeight="1">
      <c r="A67" s="8" t="n"/>
      <c r="B67" s="8" t="n"/>
      <c r="C67" s="8" t="n"/>
      <c r="D67" s="8" t="n"/>
      <c r="E67" s="8" t="n"/>
      <c r="F67" s="42" t="inlineStr">
        <is>
          <t>Reserva</t>
        </is>
      </c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 ht="15" customHeight="1">
      <c r="A68" s="8" t="n"/>
      <c r="B68" s="8" t="n"/>
      <c r="C68" s="8" t="n"/>
      <c r="D68" s="8" t="n"/>
      <c r="E68" s="8" t="n"/>
      <c r="F68" s="42" t="inlineStr">
        <is>
          <t>Remenda</t>
        </is>
      </c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 ht="15" customHeight="1">
      <c r="A69" s="8" t="n"/>
      <c r="B69" s="8" t="n"/>
      <c r="C69" s="8" t="n"/>
      <c r="D69" s="8" t="n"/>
      <c r="E69" s="8" t="n"/>
      <c r="F69" s="42" t="inlineStr">
        <is>
          <t>Condicao</t>
        </is>
      </c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 ht="15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 ht="15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47" t="inlineStr">
        <is>
          <t>TÉCNICA · o Fundamento e os feitiços</t>
        </is>
      </c>
    </row>
    <row r="2" ht="15" customHeight="1"/>
    <row r="3" ht="1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</row>
    <row r="4" ht="15" customHeight="1">
      <c r="A4" s="9" t="inlineStr">
        <is>
          <t>FAMÍLIAS · 2 Livres, 3 Fechadas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</row>
    <row r="5" ht="15" customHeight="1">
      <c r="A5" s="23" t="inlineStr">
        <is>
          <t>LIVRE</t>
        </is>
      </c>
      <c r="I5" s="8" t="n"/>
      <c r="J5" s="23" t="inlineStr">
        <is>
          <t>LIVRE</t>
        </is>
      </c>
      <c r="R5" s="8" t="n"/>
      <c r="S5" s="23" t="inlineStr">
        <is>
          <t>FECHADA</t>
        </is>
      </c>
      <c r="AA5" s="8" t="n"/>
      <c r="AB5" s="23" t="inlineStr">
        <is>
          <t>FECHADA</t>
        </is>
      </c>
      <c r="AJ5" s="8" t="n"/>
      <c r="AK5" s="23" t="inlineStr">
        <is>
          <t>FECHADA</t>
        </is>
      </c>
      <c r="AS5" s="8" t="n"/>
      <c r="AT5" s="8" t="n"/>
    </row>
    <row r="6" ht="15" customHeight="1">
      <c r="A6" s="33" t="n"/>
      <c r="I6" s="8" t="n"/>
      <c r="J6" s="33" t="n"/>
      <c r="R6" s="8" t="n"/>
      <c r="S6" s="33" t="n"/>
      <c r="AA6" s="8" t="n"/>
      <c r="AB6" s="33" t="n"/>
      <c r="AJ6" s="8" t="n"/>
      <c r="AK6" s="33" t="n"/>
      <c r="AS6" s="8" t="n"/>
      <c r="AT6" s="8" t="n"/>
    </row>
    <row r="7" ht="15" customHeight="1">
      <c r="I7" s="8" t="n"/>
      <c r="R7" s="8" t="n"/>
      <c r="AA7" s="8" t="n"/>
      <c r="AJ7" s="8" t="n"/>
      <c r="AS7" s="8" t="n"/>
      <c r="AT7" s="8" t="n"/>
    </row>
    <row r="8" ht="15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</row>
    <row r="9" ht="15" customHeight="1">
      <c r="A9" s="9" t="inlineStr">
        <is>
          <t>FEITIÇOS · seis dos nove campos a ficha calcula sozinha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</row>
    <row r="10" ht="15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</row>
    <row r="11" ht="15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</row>
    <row r="12" ht="15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</row>
    <row r="13" ht="15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</row>
    <row r="14" ht="15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</row>
    <row r="15" ht="15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</row>
    <row r="16" ht="15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</row>
    <row r="17" ht="15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</row>
    <row r="18" ht="15" customHeight="1">
      <c r="A18" s="6" t="inlineStr"/>
      <c r="B18" s="48" t="n"/>
      <c r="I18" s="49" t="inlineStr">
        <is>
          <t>nome</t>
        </is>
      </c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</row>
    <row r="19" ht="15" customHeight="1">
      <c r="A19" s="6" t="inlineStr"/>
      <c r="B19" s="48" t="n"/>
      <c r="I19" s="49" t="inlineStr">
        <is>
          <t>forma</t>
        </is>
      </c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</row>
    <row r="20" ht="15" customHeight="1">
      <c r="A20" s="6" t="inlineStr"/>
      <c r="B20" s="48" t="n"/>
      <c r="I20" s="49" t="inlineStr">
        <is>
          <t>classe</t>
        </is>
      </c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</row>
    <row r="21" ht="15" customHeight="1">
      <c r="A21" s="6" t="inlineStr"/>
      <c r="B21" s="48" t="n"/>
      <c r="I21" s="49" t="inlineStr">
        <is>
          <t>melhoria 1</t>
        </is>
      </c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</row>
    <row r="22" ht="15" customHeight="1">
      <c r="A22" s="6" t="inlineStr"/>
      <c r="B22" s="48" t="n"/>
      <c r="I22" s="49" t="inlineStr">
        <is>
          <t>melhoria 2</t>
        </is>
      </c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</row>
    <row r="23" ht="15" customHeight="1">
      <c r="A23" s="6" t="inlineStr"/>
      <c r="B23" s="48" t="n"/>
      <c r="I23" s="49" t="inlineStr">
        <is>
          <t>restrição 1</t>
        </is>
      </c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</row>
    <row r="24" ht="15" customHeight="1">
      <c r="A24" s="6" t="inlineStr"/>
      <c r="B24" s="48" t="n"/>
      <c r="I24" s="49" t="inlineStr">
        <is>
          <t>restrição 2</t>
        </is>
      </c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</row>
    <row r="25" ht="15" customHeight="1">
      <c r="A25" s="6" t="inlineStr"/>
      <c r="B25" s="48" t="n"/>
      <c r="I25" s="49" t="inlineStr">
        <is>
          <t>ação</t>
        </is>
      </c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</row>
    <row r="26" ht="15" customHeight="1">
      <c r="A26" s="6" t="inlineStr"/>
      <c r="B26" s="48" t="n"/>
      <c r="I26" s="49" t="inlineStr">
        <is>
          <t>alcance</t>
        </is>
      </c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</row>
    <row r="27" ht="15" customHeight="1">
      <c r="A27" s="6" t="inlineStr"/>
      <c r="B27" s="48" t="n"/>
      <c r="I27" s="49" t="inlineStr">
        <is>
          <t>alvo</t>
        </is>
      </c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</row>
    <row r="28" ht="15" customHeight="1">
      <c r="A28" s="6" t="inlineStr"/>
      <c r="B28" s="48" t="n"/>
      <c r="I28" s="49" t="inlineStr">
        <is>
          <t>dano</t>
        </is>
      </c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</row>
    <row r="29" ht="15" customHeight="1">
      <c r="A29" s="6" t="inlineStr"/>
      <c r="B29" s="48" t="n"/>
      <c r="I29" s="49" t="inlineStr">
        <is>
          <t>pe</t>
        </is>
      </c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</row>
    <row r="30" ht="15" customHeight="1">
      <c r="A30" s="23" t="inlineStr"/>
      <c r="B30" s="50" t="n"/>
      <c r="I30" s="51" t="inlineStr">
        <is>
          <t>nome</t>
        </is>
      </c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</row>
    <row r="31" ht="15" customHeight="1">
      <c r="A31" s="23" t="inlineStr"/>
      <c r="B31" s="50" t="n"/>
      <c r="I31" s="51" t="inlineStr">
        <is>
          <t>forma</t>
        </is>
      </c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</row>
    <row r="32" ht="15" customHeight="1">
      <c r="A32" s="23" t="inlineStr"/>
      <c r="B32" s="50" t="n"/>
      <c r="I32" s="51" t="inlineStr">
        <is>
          <t>classe</t>
        </is>
      </c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</row>
    <row r="33" ht="15" customHeight="1">
      <c r="A33" s="23" t="inlineStr"/>
      <c r="B33" s="50" t="n"/>
      <c r="I33" s="51" t="inlineStr">
        <is>
          <t>melhoria 1</t>
        </is>
      </c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</row>
    <row r="34" ht="15" customHeight="1">
      <c r="A34" s="23" t="inlineStr"/>
      <c r="B34" s="50" t="n"/>
      <c r="I34" s="51" t="inlineStr">
        <is>
          <t>melhoria 2</t>
        </is>
      </c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</row>
    <row r="35" ht="15" customHeight="1">
      <c r="A35" s="23" t="inlineStr"/>
      <c r="B35" s="50" t="n"/>
      <c r="I35" s="51" t="inlineStr">
        <is>
          <t>restrição 1</t>
        </is>
      </c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</row>
    <row r="36" ht="15" customHeight="1">
      <c r="A36" s="23" t="inlineStr"/>
      <c r="B36" s="50" t="n"/>
      <c r="I36" s="51" t="inlineStr">
        <is>
          <t>restrição 2</t>
        </is>
      </c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</row>
    <row r="37" ht="15" customHeight="1">
      <c r="A37" s="23" t="inlineStr"/>
      <c r="B37" s="50" t="n"/>
      <c r="I37" s="51" t="inlineStr">
        <is>
          <t>ação</t>
        </is>
      </c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</row>
    <row r="38" ht="15" customHeight="1">
      <c r="A38" s="23" t="inlineStr"/>
      <c r="B38" s="50" t="n"/>
      <c r="I38" s="51" t="inlineStr">
        <is>
          <t>alcance</t>
        </is>
      </c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</row>
    <row r="39" ht="15" customHeight="1">
      <c r="A39" s="23" t="inlineStr"/>
      <c r="B39" s="50" t="n"/>
      <c r="I39" s="51" t="inlineStr">
        <is>
          <t>alvo</t>
        </is>
      </c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</row>
    <row r="40" ht="15" customHeight="1">
      <c r="A40" s="23" t="inlineStr"/>
      <c r="B40" s="50" t="n"/>
      <c r="I40" s="51" t="inlineStr">
        <is>
          <t>dano</t>
        </is>
      </c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</row>
    <row r="41" ht="15" customHeight="1">
      <c r="A41" s="23" t="inlineStr"/>
      <c r="B41" s="50" t="n"/>
      <c r="I41" s="51" t="inlineStr">
        <is>
          <t>pe</t>
        </is>
      </c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</row>
    <row r="42" ht="15" customHeight="1">
      <c r="A42" s="6" t="inlineStr"/>
      <c r="B42" s="48" t="n"/>
      <c r="I42" s="49" t="inlineStr">
        <is>
          <t>nome</t>
        </is>
      </c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</row>
    <row r="43" ht="15" customHeight="1">
      <c r="A43" s="6" t="inlineStr"/>
      <c r="B43" s="48" t="n"/>
      <c r="I43" s="49" t="inlineStr">
        <is>
          <t>forma</t>
        </is>
      </c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</row>
    <row r="44" ht="15" customHeight="1">
      <c r="A44" s="6" t="inlineStr"/>
      <c r="B44" s="48" t="n"/>
      <c r="I44" s="49" t="inlineStr">
        <is>
          <t>classe</t>
        </is>
      </c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</row>
    <row r="45" ht="15" customHeight="1">
      <c r="A45" s="6" t="inlineStr"/>
      <c r="B45" s="48" t="n"/>
      <c r="I45" s="49" t="inlineStr">
        <is>
          <t>melhoria 1</t>
        </is>
      </c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</row>
    <row r="46" ht="15" customHeight="1">
      <c r="A46" s="6" t="inlineStr"/>
      <c r="B46" s="48" t="n"/>
      <c r="I46" s="49" t="inlineStr">
        <is>
          <t>melhoria 2</t>
        </is>
      </c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</row>
    <row r="47" ht="15" customHeight="1">
      <c r="A47" s="6" t="inlineStr"/>
      <c r="B47" s="48" t="n"/>
      <c r="I47" s="49" t="inlineStr">
        <is>
          <t>restrição 1</t>
        </is>
      </c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</row>
    <row r="48" ht="15" customHeight="1">
      <c r="A48" s="6" t="inlineStr"/>
      <c r="B48" s="48" t="n"/>
      <c r="I48" s="49" t="inlineStr">
        <is>
          <t>restrição 2</t>
        </is>
      </c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</row>
    <row r="49" ht="15" customHeight="1">
      <c r="A49" s="6" t="inlineStr"/>
      <c r="B49" s="48" t="n"/>
      <c r="I49" s="49" t="inlineStr">
        <is>
          <t>ação</t>
        </is>
      </c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</row>
    <row r="50" ht="15" customHeight="1">
      <c r="A50" s="6" t="inlineStr"/>
      <c r="B50" s="48" t="n"/>
      <c r="I50" s="49" t="inlineStr">
        <is>
          <t>alcance</t>
        </is>
      </c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</row>
    <row r="51" ht="15" customHeight="1">
      <c r="A51" s="6" t="inlineStr"/>
      <c r="B51" s="48" t="n"/>
      <c r="I51" s="49" t="inlineStr">
        <is>
          <t>alvo</t>
        </is>
      </c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</row>
    <row r="52" ht="15" customHeight="1">
      <c r="A52" s="6" t="inlineStr"/>
      <c r="B52" s="48" t="n"/>
      <c r="I52" s="49" t="inlineStr">
        <is>
          <t>dano</t>
        </is>
      </c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</row>
    <row r="53" ht="15" customHeight="1">
      <c r="A53" s="6" t="inlineStr"/>
      <c r="B53" s="48" t="n"/>
      <c r="I53" s="49" t="inlineStr">
        <is>
          <t>pe</t>
        </is>
      </c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</row>
    <row r="54" ht="15" customHeight="1">
      <c r="A54" s="23" t="inlineStr"/>
      <c r="B54" s="50" t="n"/>
      <c r="I54" s="51" t="inlineStr">
        <is>
          <t>nome</t>
        </is>
      </c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</row>
    <row r="55" ht="15" customHeight="1">
      <c r="A55" s="23" t="inlineStr"/>
      <c r="B55" s="50" t="n"/>
      <c r="I55" s="51" t="inlineStr">
        <is>
          <t>forma</t>
        </is>
      </c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</row>
    <row r="56" ht="15" customHeight="1">
      <c r="A56" s="23" t="inlineStr"/>
      <c r="B56" s="50" t="n"/>
      <c r="I56" s="51" t="inlineStr">
        <is>
          <t>classe</t>
        </is>
      </c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</row>
    <row r="57" ht="15" customHeight="1">
      <c r="A57" s="23" t="inlineStr"/>
      <c r="B57" s="50" t="n"/>
      <c r="I57" s="51" t="inlineStr">
        <is>
          <t>melhoria 1</t>
        </is>
      </c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</row>
    <row r="58" ht="15" customHeight="1">
      <c r="A58" s="23" t="inlineStr"/>
      <c r="B58" s="50" t="n"/>
      <c r="I58" s="51" t="inlineStr">
        <is>
          <t>melhoria 2</t>
        </is>
      </c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</row>
    <row r="59" ht="15" customHeight="1">
      <c r="A59" s="23" t="inlineStr"/>
      <c r="B59" s="50" t="n"/>
      <c r="I59" s="51" t="inlineStr">
        <is>
          <t>restrição 1</t>
        </is>
      </c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</row>
    <row r="60" ht="15" customHeight="1">
      <c r="A60" s="23" t="inlineStr"/>
      <c r="B60" s="50" t="n"/>
      <c r="I60" s="51" t="inlineStr">
        <is>
          <t>restrição 2</t>
        </is>
      </c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</row>
    <row r="61" ht="15" customHeight="1">
      <c r="A61" s="23" t="inlineStr"/>
      <c r="B61" s="50" t="n"/>
      <c r="I61" s="51" t="inlineStr">
        <is>
          <t>ação</t>
        </is>
      </c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</row>
    <row r="62" ht="15" customHeight="1">
      <c r="A62" s="23" t="inlineStr"/>
      <c r="B62" s="50" t="n"/>
      <c r="I62" s="51" t="inlineStr">
        <is>
          <t>alcance</t>
        </is>
      </c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</row>
    <row r="63" ht="15" customHeight="1">
      <c r="A63" s="23" t="inlineStr"/>
      <c r="B63" s="50" t="n"/>
      <c r="I63" s="51" t="inlineStr">
        <is>
          <t>alvo</t>
        </is>
      </c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</row>
    <row r="64" ht="15" customHeight="1">
      <c r="A64" s="23" t="inlineStr"/>
      <c r="B64" s="50" t="n"/>
      <c r="I64" s="51" t="inlineStr">
        <is>
          <t>dano</t>
        </is>
      </c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</row>
    <row r="65" ht="15" customHeight="1">
      <c r="A65" s="23" t="inlineStr"/>
      <c r="B65" s="50" t="n"/>
      <c r="I65" s="51" t="inlineStr">
        <is>
          <t>pe</t>
        </is>
      </c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</row>
    <row r="66" ht="15" customHeight="1">
      <c r="A66" s="6" t="inlineStr"/>
      <c r="B66" s="48" t="n"/>
      <c r="I66" s="49" t="inlineStr">
        <is>
          <t>nome</t>
        </is>
      </c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</row>
    <row r="67" ht="15" customHeight="1">
      <c r="A67" s="6" t="inlineStr"/>
      <c r="B67" s="48" t="n"/>
      <c r="I67" s="49" t="inlineStr">
        <is>
          <t>forma</t>
        </is>
      </c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</row>
    <row r="68" ht="15" customHeight="1">
      <c r="A68" s="6" t="inlineStr"/>
      <c r="B68" s="48" t="n"/>
      <c r="I68" s="49" t="inlineStr">
        <is>
          <t>classe</t>
        </is>
      </c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</row>
    <row r="69" ht="15" customHeight="1">
      <c r="A69" s="6" t="inlineStr"/>
      <c r="B69" s="48" t="n"/>
      <c r="I69" s="49" t="inlineStr">
        <is>
          <t>melhoria 1</t>
        </is>
      </c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</row>
    <row r="70" ht="15" customHeight="1">
      <c r="A70" s="6" t="inlineStr"/>
      <c r="B70" s="48" t="n"/>
      <c r="I70" s="49" t="inlineStr">
        <is>
          <t>melhoria 2</t>
        </is>
      </c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</row>
    <row r="71" ht="15" customHeight="1">
      <c r="A71" s="6" t="inlineStr"/>
      <c r="B71" s="48" t="n"/>
      <c r="I71" s="49" t="inlineStr">
        <is>
          <t>restrição 1</t>
        </is>
      </c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</row>
    <row r="72" ht="15" customHeight="1">
      <c r="A72" s="6" t="inlineStr"/>
      <c r="B72" s="48" t="n"/>
      <c r="I72" s="49" t="inlineStr">
        <is>
          <t>restrição 2</t>
        </is>
      </c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</row>
    <row r="73" ht="15" customHeight="1">
      <c r="A73" s="6" t="inlineStr"/>
      <c r="B73" s="48" t="n"/>
      <c r="I73" s="49" t="inlineStr">
        <is>
          <t>ação</t>
        </is>
      </c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</row>
    <row r="74" ht="15" customHeight="1">
      <c r="A74" s="6" t="inlineStr"/>
      <c r="B74" s="48" t="n"/>
      <c r="I74" s="49" t="inlineStr">
        <is>
          <t>alcance</t>
        </is>
      </c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</row>
    <row r="75" ht="15" customHeight="1">
      <c r="A75" s="6" t="inlineStr"/>
      <c r="B75" s="48" t="n"/>
      <c r="I75" s="49" t="inlineStr">
        <is>
          <t>alvo</t>
        </is>
      </c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</row>
    <row r="76" ht="15" customHeight="1">
      <c r="A76" s="6" t="inlineStr"/>
      <c r="B76" s="48" t="n"/>
      <c r="I76" s="49" t="inlineStr">
        <is>
          <t>dano</t>
        </is>
      </c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</row>
    <row r="77" ht="15" customHeight="1">
      <c r="A77" s="6" t="inlineStr"/>
      <c r="B77" s="48" t="n"/>
      <c r="I77" s="49" t="inlineStr">
        <is>
          <t>pe</t>
        </is>
      </c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</row>
    <row r="78" ht="15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</row>
    <row r="79" ht="15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</row>
    <row r="80" ht="15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</row>
    <row r="81" ht="15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</row>
    <row r="82" ht="15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</row>
    <row r="83" ht="15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</row>
    <row r="84" ht="15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</row>
    <row r="85" ht="15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</row>
    <row r="86" ht="15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</row>
    <row r="87" ht="15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</row>
    <row r="88" ht="15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</row>
    <row r="89" ht="15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</row>
  </sheetData>
  <mergeCells count="131">
    <mergeCell ref="I69:V69"/>
    <mergeCell ref="B40:H40"/>
    <mergeCell ref="I30:V30"/>
    <mergeCell ref="B49:H49"/>
    <mergeCell ref="B55:H55"/>
    <mergeCell ref="I77:V77"/>
    <mergeCell ref="B24:H24"/>
    <mergeCell ref="I46:V46"/>
    <mergeCell ref="B64:H64"/>
    <mergeCell ref="B33:H33"/>
    <mergeCell ref="B51:H51"/>
    <mergeCell ref="I61:V61"/>
    <mergeCell ref="B32:H32"/>
    <mergeCell ref="I70:V70"/>
    <mergeCell ref="B26:H26"/>
    <mergeCell ref="B41:H41"/>
    <mergeCell ref="B35:H35"/>
    <mergeCell ref="I57:V57"/>
    <mergeCell ref="I54:V54"/>
    <mergeCell ref="I32:V32"/>
    <mergeCell ref="I72:V72"/>
    <mergeCell ref="B25:H25"/>
    <mergeCell ref="I41:V41"/>
    <mergeCell ref="AK5:AR5"/>
    <mergeCell ref="B66:H66"/>
    <mergeCell ref="I56:V56"/>
    <mergeCell ref="B18:H18"/>
    <mergeCell ref="B27:H27"/>
    <mergeCell ref="B58:H58"/>
    <mergeCell ref="B52:H52"/>
    <mergeCell ref="I43:V43"/>
    <mergeCell ref="I24:V24"/>
    <mergeCell ref="A5:H5"/>
    <mergeCell ref="I33:V33"/>
    <mergeCell ref="B42:H42"/>
    <mergeCell ref="B60:H60"/>
    <mergeCell ref="B44:H44"/>
    <mergeCell ref="I35:V35"/>
    <mergeCell ref="B53:H53"/>
    <mergeCell ref="B29:H29"/>
    <mergeCell ref="I50:V50"/>
    <mergeCell ref="I19:V19"/>
    <mergeCell ref="B37:H37"/>
    <mergeCell ref="I59:V59"/>
    <mergeCell ref="I60:V60"/>
    <mergeCell ref="I74:V74"/>
    <mergeCell ref="J5:Q5"/>
    <mergeCell ref="AB5:AI5"/>
    <mergeCell ref="I45:V45"/>
    <mergeCell ref="A1:AT2"/>
    <mergeCell ref="I47:V47"/>
    <mergeCell ref="B54:H54"/>
    <mergeCell ref="B72:H72"/>
    <mergeCell ref="AB6:AI7"/>
    <mergeCell ref="I37:V37"/>
    <mergeCell ref="B56:H56"/>
    <mergeCell ref="B71:H71"/>
    <mergeCell ref="I21:V21"/>
    <mergeCell ref="B43:H43"/>
    <mergeCell ref="I62:V62"/>
    <mergeCell ref="I23:V23"/>
    <mergeCell ref="B57:H57"/>
    <mergeCell ref="I64:V64"/>
    <mergeCell ref="I73:V73"/>
    <mergeCell ref="I51:V51"/>
    <mergeCell ref="A6:H7"/>
    <mergeCell ref="I63:V63"/>
    <mergeCell ref="B19:H19"/>
    <mergeCell ref="B34:H34"/>
    <mergeCell ref="B28:H28"/>
    <mergeCell ref="B74:H74"/>
    <mergeCell ref="I65:V65"/>
    <mergeCell ref="I34:V34"/>
    <mergeCell ref="B68:H68"/>
    <mergeCell ref="B30:H30"/>
    <mergeCell ref="S6:Z7"/>
    <mergeCell ref="I49:V49"/>
    <mergeCell ref="B20:H20"/>
    <mergeCell ref="I27:V27"/>
    <mergeCell ref="B76:H76"/>
    <mergeCell ref="B45:H45"/>
    <mergeCell ref="I36:V36"/>
    <mergeCell ref="I76:V76"/>
    <mergeCell ref="B75:H75"/>
    <mergeCell ref="B47:H47"/>
    <mergeCell ref="B62:H62"/>
    <mergeCell ref="B59:H59"/>
    <mergeCell ref="I66:V66"/>
    <mergeCell ref="I75:V75"/>
    <mergeCell ref="B31:H31"/>
    <mergeCell ref="I22:V22"/>
    <mergeCell ref="I28:V28"/>
    <mergeCell ref="B46:H46"/>
    <mergeCell ref="I53:V53"/>
    <mergeCell ref="B21:H21"/>
    <mergeCell ref="I68:V68"/>
    <mergeCell ref="B39:H39"/>
    <mergeCell ref="B70:H70"/>
    <mergeCell ref="B48:H48"/>
    <mergeCell ref="I55:V55"/>
    <mergeCell ref="I67:V67"/>
    <mergeCell ref="B23:H23"/>
    <mergeCell ref="I39:V39"/>
    <mergeCell ref="I48:V48"/>
    <mergeCell ref="I29:V29"/>
    <mergeCell ref="J6:Q7"/>
    <mergeCell ref="B73:H73"/>
    <mergeCell ref="I38:V38"/>
    <mergeCell ref="S5:Z5"/>
    <mergeCell ref="I31:V31"/>
    <mergeCell ref="I40:V40"/>
    <mergeCell ref="B65:H65"/>
    <mergeCell ref="AK6:AR7"/>
    <mergeCell ref="B63:H63"/>
    <mergeCell ref="B36:H36"/>
    <mergeCell ref="I26:V26"/>
    <mergeCell ref="B50:H50"/>
    <mergeCell ref="I25:V25"/>
    <mergeCell ref="I71:V71"/>
    <mergeCell ref="B22:H22"/>
    <mergeCell ref="I18:V18"/>
    <mergeCell ref="I58:V58"/>
    <mergeCell ref="B77:H77"/>
    <mergeCell ref="I42:V42"/>
    <mergeCell ref="B67:H67"/>
    <mergeCell ref="B61:H61"/>
    <mergeCell ref="I52:V52"/>
    <mergeCell ref="I44:V44"/>
    <mergeCell ref="I20:V20"/>
    <mergeCell ref="B69:H69"/>
    <mergeCell ref="B38:H38"/>
  </mergeCells>
  <dataValidations count="23">
    <dataValidation sqref="A6:H6" showDropDown="0" showInputMessage="0" showErrorMessage="0" allowBlank="1" type="list">
      <formula1>DADOS!$D$4:$D$12</formula1>
    </dataValidation>
    <dataValidation sqref="J6:Q6" showDropDown="0" showInputMessage="0" showErrorMessage="0" allowBlank="1" type="list">
      <formula1>DADOS!$D$4:$D$12</formula1>
    </dataValidation>
    <dataValidation sqref="S6:Z6" showDropDown="0" showInputMessage="0" showErrorMessage="0" allowBlank="1" type="list">
      <formula1>DADOS!$D$4:$D$12</formula1>
    </dataValidation>
    <dataValidation sqref="AB6:AI6" showDropDown="0" showInputMessage="0" showErrorMessage="0" allowBlank="1" type="list">
      <formula1>DADOS!$D$4:$D$12</formula1>
    </dataValidation>
    <dataValidation sqref="AK6:AR6" showDropDown="0" showInputMessage="0" showErrorMessage="0" allowBlank="1" type="list">
      <formula1>DADOS!$D$4:$D$12</formula1>
    </dataValidation>
    <dataValidation sqref="B19:H19" showDropDown="0" showInputMessage="0" showErrorMessage="0" allowBlank="1" type="list">
      <formula1>DADOS!$E$4:$E$13</formula1>
    </dataValidation>
    <dataValidation sqref="B21:H22" showDropDown="0" showInputMessage="0" showErrorMessage="0" allowBlank="1" type="list">
      <formula1>DADOS!$F$4:$F$69</formula1>
    </dataValidation>
    <dataValidation sqref="B23:H24" showDropDown="0" showInputMessage="0" showErrorMessage="0" allowBlank="1" type="list">
      <formula1>DADOS!$G$4:$G$22</formula1>
    </dataValidation>
    <dataValidation sqref="B19:H19" showDropDown="0" showInputMessage="0" showErrorMessage="0" allowBlank="1" type="list">
      <formula1>DADOS!$E$4:$E$13</formula1>
    </dataValidation>
    <dataValidation sqref="B21:H22" showDropDown="0" showInputMessage="0" showErrorMessage="0" allowBlank="1" type="list">
      <formula1>DADOS!$F$4:$F$69</formula1>
    </dataValidation>
    <dataValidation sqref="B23:H24" showDropDown="0" showInputMessage="0" showErrorMessage="0" allowBlank="1" type="list">
      <formula1>DADOS!$G$4:$G$22</formula1>
    </dataValidation>
    <dataValidation sqref="B31:H31" showDropDown="0" showInputMessage="0" showErrorMessage="0" allowBlank="1" type="list">
      <formula1>DADOS!$E$4:$E$13</formula1>
    </dataValidation>
    <dataValidation sqref="B33:H34" showDropDown="0" showInputMessage="0" showErrorMessage="0" allowBlank="1" type="list">
      <formula1>DADOS!$F$4:$F$69</formula1>
    </dataValidation>
    <dataValidation sqref="B35:H36" showDropDown="0" showInputMessage="0" showErrorMessage="0" allowBlank="1" type="list">
      <formula1>DADOS!$G$4:$G$22</formula1>
    </dataValidation>
    <dataValidation sqref="B43:H43" showDropDown="0" showInputMessage="0" showErrorMessage="0" allowBlank="1" type="list">
      <formula1>DADOS!$E$4:$E$13</formula1>
    </dataValidation>
    <dataValidation sqref="B45:H46" showDropDown="0" showInputMessage="0" showErrorMessage="0" allowBlank="1" type="list">
      <formula1>DADOS!$F$4:$F$69</formula1>
    </dataValidation>
    <dataValidation sqref="B47:H48" showDropDown="0" showInputMessage="0" showErrorMessage="0" allowBlank="1" type="list">
      <formula1>DADOS!$G$4:$G$22</formula1>
    </dataValidation>
    <dataValidation sqref="B55:H55" showDropDown="0" showInputMessage="0" showErrorMessage="0" allowBlank="1" type="list">
      <formula1>DADOS!$E$4:$E$13</formula1>
    </dataValidation>
    <dataValidation sqref="B57:H58" showDropDown="0" showInputMessage="0" showErrorMessage="0" allowBlank="1" type="list">
      <formula1>DADOS!$F$4:$F$69</formula1>
    </dataValidation>
    <dataValidation sqref="B59:H60" showDropDown="0" showInputMessage="0" showErrorMessage="0" allowBlank="1" type="list">
      <formula1>DADOS!$G$4:$G$22</formula1>
    </dataValidation>
    <dataValidation sqref="B67:H67" showDropDown="0" showInputMessage="0" showErrorMessage="0" allowBlank="1" type="list">
      <formula1>DADOS!$E$4:$E$13</formula1>
    </dataValidation>
    <dataValidation sqref="B69:H70" showDropDown="0" showInputMessage="0" showErrorMessage="0" allowBlank="1" type="list">
      <formula1>DADOS!$F$4:$F$69</formula1>
    </dataValidation>
    <dataValidation sqref="B71:H72" showDropDown="0" showInputMessage="0" showErrorMessage="0" allowBlank="1" type="list">
      <formula1>DADOS!$G$4:$G$22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15" customHeight="1">
      <c r="A1" s="52">
        <f>FICHA!N1</f>
        <v/>
      </c>
    </row>
    <row r="2" ht="15" customHeight="1"/>
    <row r="3" ht="1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</row>
    <row r="4" ht="15" customHeight="1">
      <c r="A4" s="28" t="inlineStr">
        <is>
          <t>VIDA</t>
        </is>
      </c>
      <c r="F4" s="8" t="n"/>
      <c r="G4" s="28" t="inlineStr">
        <is>
          <t>ENERGIA</t>
        </is>
      </c>
      <c r="L4" s="8" t="n"/>
    </row>
    <row r="5" ht="15" customHeight="1">
      <c r="A5" s="53">
        <f>FICHA!A21</f>
        <v/>
      </c>
      <c r="F5" s="8" t="n"/>
      <c r="G5" s="53">
        <f>FICHA!Q21</f>
        <v/>
      </c>
      <c r="L5" s="8" t="n"/>
    </row>
    <row r="6" ht="15" customHeight="1">
      <c r="F6" s="8" t="n"/>
      <c r="L6" s="8" t="n"/>
    </row>
    <row r="7" ht="15" customHeight="1">
      <c r="F7" s="8" t="n"/>
      <c r="L7" s="8" t="n"/>
    </row>
    <row r="8" ht="15" customHeight="1">
      <c r="A8" s="28">
        <f>"de "&amp;FICHA!J22</f>
        <v/>
      </c>
      <c r="F8" s="8" t="n"/>
      <c r="G8" s="28">
        <f>"de "&amp;FICHA!Z22</f>
        <v/>
      </c>
      <c r="L8" s="8" t="n"/>
    </row>
    <row r="9" ht="15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 ht="15" customHeight="1">
      <c r="A10" s="28" t="inlineStr">
        <is>
          <t>DEFESA</t>
        </is>
      </c>
      <c r="F10" s="8" t="n"/>
      <c r="G10" s="28" t="inlineStr">
        <is>
          <t>INICIATIVA</t>
        </is>
      </c>
      <c r="L10" s="8" t="n"/>
    </row>
    <row r="11" ht="15" customHeight="1">
      <c r="A11" s="54">
        <f>FICHA!A31</f>
        <v/>
      </c>
      <c r="F11" s="8" t="n"/>
      <c r="G11" s="54">
        <f>FICHA!AB31</f>
        <v/>
      </c>
      <c r="L11" s="8" t="n"/>
    </row>
    <row r="12" ht="15" customHeight="1">
      <c r="F12" s="8" t="n"/>
      <c r="L12" s="8" t="n"/>
    </row>
    <row r="13" ht="15" customHeight="1">
      <c r="A13" s="4" t="inlineStr">
        <is>
          <t>CORPO A CORPO</t>
        </is>
      </c>
      <c r="F13" s="8" t="n"/>
      <c r="G13" s="4" t="inlineStr">
        <is>
          <t>À DISTÂNCIA</t>
        </is>
      </c>
      <c r="L13" s="8" t="n"/>
    </row>
    <row r="14" ht="15" customHeight="1">
      <c r="A14" s="55">
        <f>FICHA!AB35</f>
        <v/>
      </c>
      <c r="F14" s="8" t="n"/>
      <c r="G14" s="55">
        <f>FICHA!AK35</f>
        <v/>
      </c>
      <c r="L14" s="8" t="n"/>
    </row>
    <row r="15" ht="15" customHeight="1">
      <c r="F15" s="8" t="n"/>
      <c r="L15" s="8" t="n"/>
    </row>
    <row r="16" ht="15" customHeight="1">
      <c r="A16" s="28" t="inlineStr">
        <is>
          <t>CONJURAÇÃO</t>
        </is>
      </c>
      <c r="F16" s="8" t="n"/>
      <c r="G16" s="28" t="inlineStr">
        <is>
          <t>CD DE FEITIÇO</t>
        </is>
      </c>
      <c r="L16" s="8" t="n"/>
    </row>
    <row r="17" ht="15" customHeight="1">
      <c r="A17" s="54">
        <f>FICHA!S35</f>
        <v/>
      </c>
      <c r="F17" s="8" t="n"/>
      <c r="G17" s="54">
        <f>FICHA!J35</f>
        <v/>
      </c>
      <c r="L17" s="8" t="n"/>
    </row>
    <row r="18" ht="15" customHeight="1">
      <c r="F18" s="8" t="n"/>
      <c r="L18" s="8" t="n"/>
    </row>
    <row r="19" ht="15" customHeight="1">
      <c r="A19" s="4" t="inlineStr">
        <is>
          <t>DESLOCAMENTO</t>
        </is>
      </c>
      <c r="F19" s="8" t="n"/>
      <c r="G19" s="4" t="inlineStr">
        <is>
          <t>MAESTRIA</t>
        </is>
      </c>
      <c r="L19" s="8" t="n"/>
    </row>
    <row r="20" ht="15" customHeight="1">
      <c r="A20" s="55">
        <f>FICHA!AK31</f>
        <v/>
      </c>
      <c r="F20" s="8" t="n"/>
      <c r="G20" s="55">
        <f>FICHA!A35</f>
        <v/>
      </c>
      <c r="L20" s="8" t="n"/>
    </row>
    <row r="21" ht="15" customHeight="1">
      <c r="F21" s="8" t="n"/>
      <c r="L21" s="8" t="n"/>
    </row>
    <row r="22" ht="15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15" customHeight="1">
      <c r="A23" s="4" t="inlineStr">
        <is>
          <t>ESTADO DA ALMA</t>
        </is>
      </c>
    </row>
    <row r="24" ht="15" customHeight="1">
      <c r="A24" s="49">
        <f>FICHA!AG27</f>
        <v/>
      </c>
    </row>
    <row r="25" ht="15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15" customHeight="1">
      <c r="A26" s="56" t="inlineStr">
        <is>
          <t>FEITIÇOS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5" customHeight="1">
      <c r="A27" s="43" t="inlineStr">
        <is>
          <t>NOME</t>
        </is>
      </c>
      <c r="E27" s="43" t="inlineStr">
        <is>
          <t>CL</t>
        </is>
      </c>
      <c r="F27" s="43" t="inlineStr">
        <is>
          <t>DANO</t>
        </is>
      </c>
      <c r="H27" s="43" t="inlineStr">
        <is>
          <t>PE</t>
        </is>
      </c>
      <c r="I27" s="43" t="inlineStr">
        <is>
          <t>ALCANCE</t>
        </is>
      </c>
      <c r="K27" s="43" t="inlineStr">
        <is>
          <t>RESOLVE</t>
        </is>
      </c>
    </row>
    <row r="28" ht="15" customHeight="1">
      <c r="A28" s="34">
        <f>IF(TÉCNICA!B6="","",TÉCNICA!B6)</f>
        <v/>
      </c>
      <c r="E28" s="35" t="n"/>
      <c r="F28" s="35" t="n"/>
      <c r="H28" s="35" t="n"/>
      <c r="I28" s="35" t="n"/>
      <c r="K28" s="35" t="n"/>
    </row>
    <row r="29" ht="15" customHeight="1">
      <c r="A29" s="37">
        <f>IF(TÉCNICA!B18="","",TÉCNICA!B18)</f>
        <v/>
      </c>
      <c r="E29" s="38" t="n"/>
      <c r="F29" s="38" t="n"/>
      <c r="H29" s="38" t="n"/>
      <c r="I29" s="38" t="n"/>
      <c r="K29" s="38" t="n"/>
    </row>
    <row r="30" ht="15" customHeight="1">
      <c r="A30" s="34">
        <f>IF(TÉCNICA!B30="","",TÉCNICA!B30)</f>
        <v/>
      </c>
      <c r="E30" s="35" t="n"/>
      <c r="F30" s="35" t="n"/>
      <c r="H30" s="35" t="n"/>
      <c r="I30" s="35" t="n"/>
      <c r="K30" s="35" t="n"/>
    </row>
    <row r="31" ht="15" customHeight="1">
      <c r="A31" s="37">
        <f>IF(TÉCNICA!B42="","",TÉCNICA!B42)</f>
        <v/>
      </c>
      <c r="E31" s="38" t="n"/>
      <c r="F31" s="38" t="n"/>
      <c r="H31" s="38" t="n"/>
      <c r="I31" s="38" t="n"/>
      <c r="K31" s="38" t="n"/>
    </row>
    <row r="32" ht="15" customHeight="1">
      <c r="A32" s="34">
        <f>IF(TÉCNICA!B54="","",TÉCNICA!B54)</f>
        <v/>
      </c>
      <c r="E32" s="35" t="n"/>
      <c r="F32" s="35" t="n"/>
      <c r="H32" s="35" t="n"/>
      <c r="I32" s="35" t="n"/>
      <c r="K32" s="35" t="n"/>
    </row>
    <row r="33" ht="15" customHeight="1">
      <c r="A33" s="37">
        <f>IF(TÉCNICA!B66="","",TÉCNICA!B66)</f>
        <v/>
      </c>
      <c r="E33" s="38" t="n"/>
      <c r="F33" s="38" t="n"/>
      <c r="H33" s="38" t="n"/>
      <c r="I33" s="38" t="n"/>
      <c r="K33" s="38" t="n"/>
    </row>
    <row r="34" ht="15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5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15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15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15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15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15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15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15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5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15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15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15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5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15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15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15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15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15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5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15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15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15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15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15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5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15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15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15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15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15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15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15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15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15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15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15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15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15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15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15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15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15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15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15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15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15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15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15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15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15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15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15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15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15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15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</sheetData>
  <mergeCells count="53">
    <mergeCell ref="I30:J30"/>
    <mergeCell ref="K30:L30"/>
    <mergeCell ref="F29:G29"/>
    <mergeCell ref="K33:L33"/>
    <mergeCell ref="G20:K21"/>
    <mergeCell ref="I27:J27"/>
    <mergeCell ref="A29:D29"/>
    <mergeCell ref="G14:K15"/>
    <mergeCell ref="A14:E15"/>
    <mergeCell ref="A28:D28"/>
    <mergeCell ref="G8:K8"/>
    <mergeCell ref="A17:E18"/>
    <mergeCell ref="K29:L29"/>
    <mergeCell ref="F30:G30"/>
    <mergeCell ref="A31:D31"/>
    <mergeCell ref="A16:E16"/>
    <mergeCell ref="A20:E21"/>
    <mergeCell ref="I32:J32"/>
    <mergeCell ref="K32:L32"/>
    <mergeCell ref="A23:L23"/>
    <mergeCell ref="A1:L2"/>
    <mergeCell ref="G10:K10"/>
    <mergeCell ref="A30:D30"/>
    <mergeCell ref="F33:G33"/>
    <mergeCell ref="G13:K13"/>
    <mergeCell ref="G19:K19"/>
    <mergeCell ref="K31:L31"/>
    <mergeCell ref="I28:J28"/>
    <mergeCell ref="F32:G32"/>
    <mergeCell ref="I33:J33"/>
    <mergeCell ref="K27:L27"/>
    <mergeCell ref="F31:G31"/>
    <mergeCell ref="A11:E12"/>
    <mergeCell ref="G11:K12"/>
    <mergeCell ref="F28:G28"/>
    <mergeCell ref="A8:E8"/>
    <mergeCell ref="F27:G27"/>
    <mergeCell ref="G4:K4"/>
    <mergeCell ref="A24:L24"/>
    <mergeCell ref="G17:K18"/>
    <mergeCell ref="A4:E4"/>
    <mergeCell ref="A27:D27"/>
    <mergeCell ref="I29:J29"/>
    <mergeCell ref="A5:E7"/>
    <mergeCell ref="G5:K7"/>
    <mergeCell ref="A10:E10"/>
    <mergeCell ref="G16:K16"/>
    <mergeCell ref="A19:E19"/>
    <mergeCell ref="K28:L28"/>
    <mergeCell ref="A13:E13"/>
    <mergeCell ref="I31:J31"/>
    <mergeCell ref="A33:D33"/>
    <mergeCell ref="A32:D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47" t="inlineStr">
        <is>
          <t>QUEM É · a ficção</t>
        </is>
      </c>
    </row>
    <row r="2" ht="15" customHeight="1"/>
    <row r="3" ht="1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</row>
    <row r="4" ht="15" customHeight="1">
      <c r="A4" s="23" t="inlineStr">
        <is>
          <t>APARÊNCIA</t>
        </is>
      </c>
    </row>
    <row r="5" ht="15" customHeight="1">
      <c r="A5" s="57" t="n"/>
    </row>
    <row r="6" ht="15" customHeight="1"/>
    <row r="7" ht="15" customHeight="1"/>
    <row r="8" ht="15" customHeight="1"/>
    <row r="9" ht="15" customHeight="1"/>
    <row r="10" ht="15" customHeight="1"/>
    <row r="11" ht="15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</row>
    <row r="12" ht="15" customHeight="1">
      <c r="A12" s="23" t="inlineStr">
        <is>
          <t>HISTÓRIA</t>
        </is>
      </c>
    </row>
    <row r="13" ht="15" customHeight="1">
      <c r="A13" s="57" t="n"/>
    </row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</row>
    <row r="24" ht="15" customHeight="1">
      <c r="A24" s="23" t="inlineStr">
        <is>
          <t>LAÇOS</t>
        </is>
      </c>
    </row>
    <row r="25" ht="15" customHeight="1">
      <c r="A25" s="57" t="n"/>
    </row>
    <row r="26" ht="15" customHeight="1"/>
    <row r="27" ht="15" customHeight="1"/>
    <row r="28" ht="15" customHeight="1"/>
    <row r="29" ht="15" customHeight="1"/>
    <row r="30" ht="15" customHeight="1"/>
    <row r="31" ht="15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</row>
    <row r="32" ht="15" customHeight="1">
      <c r="A32" s="23" t="inlineStr">
        <is>
          <t>O QUE ELE QUER</t>
        </is>
      </c>
    </row>
    <row r="33" ht="15" customHeight="1">
      <c r="A33" s="57" t="n"/>
    </row>
    <row r="34" ht="15" customHeight="1"/>
    <row r="35" ht="15" customHeight="1"/>
    <row r="36" ht="15" customHeight="1"/>
    <row r="37" ht="15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</row>
    <row r="38" ht="15" customHeight="1">
      <c r="A38" s="23" t="inlineStr">
        <is>
          <t>O QUE ELE ESCONDE</t>
        </is>
      </c>
    </row>
    <row r="39" ht="15" customHeight="1">
      <c r="A39" s="57" t="n"/>
    </row>
    <row r="40" ht="15" customHeight="1"/>
    <row r="41" ht="15" customHeight="1"/>
    <row r="42" ht="15" customHeight="1"/>
    <row r="43" ht="15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</row>
    <row r="44" ht="15" customHeight="1">
      <c r="A44" s="23" t="inlineStr">
        <is>
          <t>NOTAS DE MESA</t>
        </is>
      </c>
    </row>
    <row r="45" ht="15" customHeight="1">
      <c r="A45" s="57" t="n"/>
    </row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</row>
    <row r="54" ht="15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</row>
    <row r="55" ht="15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</row>
    <row r="56" ht="15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</row>
    <row r="57" ht="15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</row>
    <row r="58" ht="15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</row>
    <row r="59" ht="15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</row>
    <row r="60" ht="15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</row>
    <row r="61" ht="15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</row>
    <row r="62" ht="15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</row>
    <row r="63" ht="15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</row>
    <row r="64" ht="15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</row>
    <row r="65" ht="15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</row>
    <row r="66" ht="15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</row>
    <row r="67" ht="15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</row>
    <row r="68" ht="15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</row>
    <row r="69" ht="15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</row>
    <row r="70" ht="15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</row>
    <row r="71" ht="15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</row>
    <row r="72" ht="15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</row>
    <row r="73" ht="15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</row>
    <row r="74" ht="15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</row>
    <row r="75" ht="15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</row>
    <row r="76" ht="15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</row>
    <row r="77" ht="15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</row>
    <row r="78" ht="15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</row>
    <row r="79" ht="15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</row>
    <row r="80" ht="15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</row>
    <row r="81" ht="15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</row>
    <row r="82" ht="15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</row>
    <row r="83" ht="15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</row>
    <row r="84" ht="15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</row>
    <row r="85" ht="15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</row>
    <row r="86" ht="15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</row>
    <row r="87" ht="15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</row>
    <row r="88" ht="15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</row>
    <row r="89" ht="15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</row>
  </sheetData>
  <mergeCells count="13">
    <mergeCell ref="A45:AT52"/>
    <mergeCell ref="A32:AT32"/>
    <mergeCell ref="A12:AT12"/>
    <mergeCell ref="A4:AT4"/>
    <mergeCell ref="A25:AT30"/>
    <mergeCell ref="A24:AT24"/>
    <mergeCell ref="A38:AT38"/>
    <mergeCell ref="A39:AT42"/>
    <mergeCell ref="A13:AT22"/>
    <mergeCell ref="A33:AT36"/>
    <mergeCell ref="A44:AT44"/>
    <mergeCell ref="A5:AT10"/>
    <mergeCell ref="A1:A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2026-08-19T01:31:02Z</dcterms:created>
  <dcterms:modified xmlns:dcterms="http://purl.org/dc/terms/" xmlns:xsi="http://www.w3.org/2001/XMLSchema-instance" xsi:type="dcterms:W3CDTF">2026-08-19T01:31:04Z</dcterms:modified>
</cp:coreProperties>
</file>
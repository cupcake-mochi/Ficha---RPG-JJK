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IRA" sheetId="1" state="visible" r:id="rId1"/>
    <sheet xmlns:r="http://schemas.openxmlformats.org/officeDocument/2006/relationships" name="FICHA" sheetId="2" state="visible" r:id="rId2"/>
    <sheet xmlns:r="http://schemas.openxmlformats.org/officeDocument/2006/relationships" name="MESA" sheetId="3" state="visible" r:id="rId3"/>
    <sheet xmlns:r="http://schemas.openxmlformats.org/officeDocument/2006/relationships" name="QUEM É" sheetId="4" state="visible" r:id="rId4"/>
    <sheet xmlns:r="http://schemas.openxmlformats.org/officeDocument/2006/relationships" name="DADO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3">
    <font>
      <name val="Roboto"/>
      <color rgb="00F4F1F7"/>
      <sz val="12"/>
    </font>
    <font>
      <name val="Oswald"/>
      <color rgb="00998BA9"/>
      <sz val="9"/>
    </font>
    <font>
      <name val="Roboto"/>
      <b val="1"/>
      <color rgb="00F4F1F7"/>
      <sz val="12"/>
    </font>
    <font>
      <name val="Roboto"/>
      <color rgb="00998BA9"/>
      <sz val="9"/>
    </font>
    <font>
      <name val="Roboto"/>
      <color rgb="00F4F1F7"/>
      <sz val="12"/>
    </font>
    <font>
      <name val="Oswald"/>
      <color rgb="00493F54"/>
      <sz val="11"/>
    </font>
    <font>
      <name val="Oswald"/>
      <color rgb="00756588"/>
      <sz val="9"/>
    </font>
    <font>
      <name val="Castoro"/>
      <color rgb="00E8DCD4"/>
      <sz val="26"/>
    </font>
    <font>
      <name val="Roboto"/>
      <color rgb="00493F54"/>
      <sz val="8"/>
    </font>
    <font>
      <name val="Oswald"/>
      <color rgb="00998BA9"/>
      <sz val="8"/>
    </font>
    <font>
      <name val="Courier New"/>
      <color rgb="00756588"/>
      <sz val="10"/>
    </font>
    <font>
      <name val="Oswald"/>
      <color rgb="003D2E78"/>
      <sz val="22"/>
    </font>
    <font>
      <name val="Oswald"/>
      <color rgb="00756588"/>
      <sz val="12"/>
    </font>
    <font>
      <name val="Castoro"/>
      <color rgb="00F4F1F7"/>
      <sz val="16"/>
    </font>
    <font>
      <name val="Oswald"/>
      <color rgb="00E8DCD4"/>
      <sz val="20"/>
    </font>
    <font>
      <name val="Courier New"/>
      <color rgb="00998BA9"/>
      <sz val="12"/>
    </font>
    <font>
      <name val="Oswald"/>
      <color rgb="00E8DCD4"/>
      <sz val="24"/>
    </font>
    <font>
      <name val="Oswald"/>
      <color rgb="00E8DCD4"/>
      <sz val="22"/>
    </font>
    <font>
      <name val="Roboto"/>
      <color rgb="00998BA9"/>
      <sz val="10"/>
    </font>
    <font>
      <name val="Courier New"/>
      <color rgb="00998BA9"/>
      <sz val="11"/>
    </font>
    <font>
      <name val="Courier New"/>
      <color rgb="00E8DCD4"/>
      <sz val="11"/>
    </font>
    <font>
      <name val="Oswald"/>
      <color rgb="00E8DCD4"/>
      <sz val="16"/>
    </font>
    <font>
      <name val="Oswald"/>
      <color rgb="00998BA9"/>
      <sz val="7"/>
    </font>
    <font>
      <name val="Roboto"/>
      <color rgb="00E8DCD4"/>
      <sz val="12"/>
    </font>
    <font>
      <name val="Castoro"/>
      <color rgb="00F4F1F7"/>
      <sz val="10"/>
    </font>
    <font>
      <name val="Oswald"/>
      <color rgb="00493F54"/>
      <sz val="8"/>
    </font>
    <font>
      <name val="Oswald"/>
      <color rgb="00E8DCD4"/>
      <sz val="10"/>
    </font>
    <font>
      <name val="Castoro"/>
      <color rgb="00998BA9"/>
      <sz val="10"/>
    </font>
    <font>
      <name val="Castoro"/>
      <color rgb="00E8DCD4"/>
      <sz val="10"/>
    </font>
    <font>
      <name val="Roboto"/>
      <color rgb="00F4F1F7"/>
      <sz val="10"/>
    </font>
    <font>
      <name val="Yuji Syuku"/>
      <color rgb="00756588"/>
      <sz val="22"/>
    </font>
    <font>
      <name val="Oswald"/>
      <color rgb="00E8DCD4"/>
      <sz val="13"/>
    </font>
    <font>
      <name val="Courier New"/>
      <color rgb="00756588"/>
      <sz val="11"/>
    </font>
    <font>
      <name val="Courier New"/>
      <color rgb="00998BA9"/>
      <sz val="9"/>
    </font>
    <font>
      <name val="Castoro"/>
      <color rgb="00E8DCD4"/>
      <sz val="30"/>
    </font>
    <font>
      <name val="Castoro"/>
      <color rgb="00998BA9"/>
      <sz val="12"/>
    </font>
    <font>
      <name val="Castoro"/>
      <color rgb="00F4F1F7"/>
      <sz val="15"/>
    </font>
    <font>
      <name val="Castoro"/>
      <color rgb="00E8DCD4"/>
      <sz val="17"/>
    </font>
    <font>
      <name val="Courier New"/>
      <color rgb="00493F54"/>
      <sz val="9"/>
    </font>
    <font>
      <name val="Roboto"/>
      <color rgb="00E8DCD4"/>
      <sz val="14"/>
    </font>
    <font>
      <name val="Roboto"/>
      <color rgb="00E8DCD4"/>
      <sz val="26"/>
    </font>
    <font>
      <name val="Roboto"/>
      <color rgb="00756588"/>
      <sz val="12"/>
    </font>
    <font>
      <name val="Roboto"/>
      <color rgb="00F4F1F7"/>
      <sz val="9"/>
    </font>
  </fonts>
  <fills count="7">
    <fill>
      <patternFill/>
    </fill>
    <fill>
      <patternFill patternType="gray125"/>
    </fill>
    <fill>
      <patternFill patternType="solid">
        <fgColor rgb="00120F1D"/>
        <bgColor rgb="00120F1D"/>
      </patternFill>
    </fill>
    <fill>
      <patternFill patternType="solid">
        <fgColor rgb="000A0810"/>
        <bgColor rgb="000A0810"/>
      </patternFill>
    </fill>
    <fill>
      <patternFill patternType="solid">
        <fgColor rgb="0017131F"/>
        <bgColor rgb="0017131F"/>
      </patternFill>
    </fill>
    <fill>
      <patternFill patternType="solid">
        <fgColor rgb="003D2E78"/>
        <bgColor rgb="003D2E78"/>
      </patternFill>
    </fill>
    <fill>
      <patternFill patternType="solid">
        <fgColor rgb="001E1733"/>
        <bgColor rgb="001E1733"/>
      </patternFill>
    </fill>
  </fills>
  <borders count="4">
    <border>
      <left/>
      <right/>
      <top/>
      <bottom/>
      <diagonal/>
    </border>
    <border>
      <top style="thin">
        <color rgb="00493F54"/>
      </top>
    </border>
    <border>
      <top style="thin">
        <color rgb="000A0810"/>
      </top>
    </border>
    <border>
      <left/>
      <right/>
      <top style="thin">
        <color rgb="000A0810"/>
      </top>
      <bottom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0" fillId="4" borderId="0" pivotButton="0" quotePrefix="0" xfId="0"/>
    <xf numFmtId="0" fontId="30" fillId="4" borderId="0" applyAlignment="1" pivotButton="0" quotePrefix="0" xfId="0">
      <alignment horizontal="left" vertical="center"/>
    </xf>
    <xf numFmtId="0" fontId="31" fillId="4" borderId="0" applyAlignment="1" pivotButton="0" quotePrefix="0" xfId="0">
      <alignment horizontal="left" vertical="center"/>
    </xf>
    <xf numFmtId="0" fontId="32" fillId="4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33" fillId="4" borderId="0" applyAlignment="1" pivotButton="0" quotePrefix="0" xfId="0">
      <alignment horizontal="right" vertical="center"/>
    </xf>
    <xf numFmtId="0" fontId="0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34" fillId="3" borderId="0" applyAlignment="1" pivotButton="0" quotePrefix="0" xfId="0">
      <alignment horizontal="left" vertical="center"/>
    </xf>
    <xf numFmtId="0" fontId="35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36" fillId="3" borderId="0" applyAlignment="1" pivotButton="0" quotePrefix="0" xfId="0">
      <alignment horizontal="left" vertical="center"/>
    </xf>
    <xf numFmtId="0" fontId="0" fillId="3" borderId="1" pivotButton="0" quotePrefix="0" xfId="0"/>
    <xf numFmtId="0" fontId="37" fillId="3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38" fillId="3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right" vertical="center"/>
    </xf>
    <xf numFmtId="0" fontId="0" fillId="2" borderId="0" pivotButton="0" quotePrefix="0" xfId="0"/>
    <xf numFmtId="0" fontId="5" fillId="3" borderId="0" applyAlignment="1" pivotButton="0" quotePrefix="0" xfId="0">
      <alignment horizontal="center" vertical="center" textRotation="90"/>
    </xf>
    <xf numFmtId="0" fontId="11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6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left" vertical="center"/>
    </xf>
    <xf numFmtId="0" fontId="22" fillId="2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left" vertical="center"/>
    </xf>
    <xf numFmtId="0" fontId="25" fillId="2" borderId="0" applyAlignment="1" pivotButton="0" quotePrefix="0" xfId="0">
      <alignment horizontal="left" vertical="center"/>
    </xf>
    <xf numFmtId="0" fontId="26" fillId="2" borderId="0" applyAlignment="1" pivotButton="0" quotePrefix="0" xfId="0">
      <alignment horizontal="right" vertical="center"/>
    </xf>
    <xf numFmtId="0" fontId="23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left" vertical="center"/>
    </xf>
    <xf numFmtId="0" fontId="0" fillId="0" borderId="3" pivotButton="0" quotePrefix="0" xfId="0"/>
    <xf numFmtId="0" fontId="25" fillId="2" borderId="2" applyAlignment="1" pivotButton="0" quotePrefix="0" xfId="0">
      <alignment horizontal="left" vertical="center"/>
    </xf>
    <xf numFmtId="0" fontId="26" fillId="2" borderId="2" applyAlignment="1" pivotButton="0" quotePrefix="0" xfId="0">
      <alignment horizontal="right" vertical="center"/>
    </xf>
    <xf numFmtId="0" fontId="0" fillId="2" borderId="2" pivotButton="0" quotePrefix="0" xfId="0"/>
    <xf numFmtId="0" fontId="3" fillId="2" borderId="2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7" fillId="2" borderId="0" applyAlignment="1" pivotButton="0" quotePrefix="0" xfId="0">
      <alignment horizontal="left" vertical="center"/>
    </xf>
    <xf numFmtId="0" fontId="27" fillId="2" borderId="2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26" fillId="2" borderId="0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6" fillId="2" borderId="2" applyAlignment="1" pivotButton="0" quotePrefix="0" xfId="0">
      <alignment horizontal="center" vertical="center"/>
    </xf>
    <xf numFmtId="0" fontId="29" fillId="2" borderId="0" applyAlignment="1" pivotButton="0" quotePrefix="0" xfId="0">
      <alignment horizontal="left" vertical="center"/>
    </xf>
    <xf numFmtId="0" fontId="39" fillId="5" borderId="0" applyAlignment="1" pivotButton="0" quotePrefix="0" xfId="0">
      <alignment horizontal="left" vertical="center" indent="1"/>
    </xf>
    <xf numFmtId="0" fontId="3" fillId="6" borderId="0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9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 indent="1"/>
    </xf>
    <xf numFmtId="0" fontId="41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center" vertical="center"/>
    </xf>
    <xf numFmtId="0" fontId="42" fillId="6" borderId="0" applyAlignment="1" pivotButton="0" quotePrefix="0" xfId="0">
      <alignment horizontal="left" vertical="center" indent="1"/>
    </xf>
    <xf numFmtId="0" fontId="42" fillId="6" borderId="0" applyAlignment="1" pivotButton="0" quotePrefix="0" xfId="0">
      <alignment horizontal="center" vertical="center"/>
    </xf>
    <xf numFmtId="0" fontId="42" fillId="5" borderId="0" applyAlignment="1" pivotButton="0" quotePrefix="0" xfId="0">
      <alignment horizontal="left" vertical="center" indent="1"/>
    </xf>
    <xf numFmtId="0" fontId="42" fillId="5" borderId="0" applyAlignment="1" pivotButton="0" quotePrefix="0" xfId="0">
      <alignment horizontal="center" vertical="center"/>
    </xf>
    <xf numFmtId="0" fontId="21" fillId="5" borderId="0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42" fillId="6" borderId="0" applyAlignment="1" pivotButton="0" quotePrefix="0" xfId="0">
      <alignment horizontal="left" vertical="top" wrapText="1" indent="1"/>
    </xf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1811000" cy="133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1809750" cy="23050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14</row>
      <rowOff>0</rowOff>
    </from>
    <ext cx="5334000" cy="1047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0</colOff>
      <row>25</row>
      <rowOff>0</rowOff>
    </from>
    <ext cx="1000125" cy="1000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5</row>
      <rowOff>0</rowOff>
    </from>
    <ext cx="11239500" cy="114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42</col>
      <colOff>0</colOff>
      <row>146</row>
      <rowOff>0</rowOff>
    </from>
    <ext cx="85725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T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</row>
    <row r="2" ht="15" customHeight="1">
      <c r="A2" s="1" t="n"/>
      <c r="B2" s="1" t="n"/>
      <c r="C2" s="2" t="inlineStr">
        <is>
          <t>呪術廻戦</t>
        </is>
      </c>
      <c r="K2" s="1" t="n"/>
      <c r="L2" s="3" t="inlineStr">
        <is>
          <t>GUILDA DE FEITICEIROS</t>
        </is>
      </c>
      <c r="AE2" s="1" t="n"/>
      <c r="AF2" s="1" t="n"/>
      <c r="AG2" s="1" t="n"/>
      <c r="AH2" s="4">
        <f>"Nº M-"&amp;SUBSTITUTE(DADOS!$B$1,".","")&amp;"-"&amp;IF(FICHA!D3="","····",UPPER(LEFT(FICHA!D3,4)))</f>
        <v/>
      </c>
    </row>
    <row r="3" ht="15" customHeight="1">
      <c r="A3" s="1" t="n"/>
      <c r="B3" s="1" t="n"/>
      <c r="K3" s="1" t="n"/>
      <c r="L3" s="5" t="inlineStr">
        <is>
          <t>carteira de registro · documento oficial</t>
        </is>
      </c>
      <c r="AE3" s="1" t="n"/>
      <c r="AF3" s="1" t="n"/>
      <c r="AG3" s="1" t="n"/>
      <c r="AH3" s="6">
        <f>"emitida "&amp;TEXT(TODAY(),"dd.mm.yyyy")</f>
        <v/>
      </c>
    </row>
    <row r="4" ht="1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</row>
    <row r="5" ht="15" customHeight="1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</row>
    <row r="6" ht="15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</row>
    <row r="7" ht="15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</row>
    <row r="8" ht="15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8" t="inlineStr">
        <is>
          <t>PORTADOR</t>
        </is>
      </c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</row>
    <row r="9" ht="15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9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</row>
    <row r="10" ht="15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</row>
    <row r="11" ht="15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</row>
    <row r="12" ht="15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</row>
    <row r="13" ht="1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10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</row>
    <row r="14" ht="15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</row>
    <row r="15" ht="15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</row>
    <row r="16" ht="1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</row>
    <row r="17" ht="15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11" t="inlineStr">
        <is>
          <t>CAMINHO</t>
        </is>
      </c>
      <c r="Y17" s="7" t="n"/>
      <c r="Z17" s="11" t="inlineStr">
        <is>
          <t>TRILHA</t>
        </is>
      </c>
      <c r="AJ17" s="7" t="n"/>
      <c r="AK17" s="11" t="inlineStr">
        <is>
          <t>ORIGEM</t>
        </is>
      </c>
    </row>
    <row r="18" ht="15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12">
        <f>IF(FICHA!D11="","—",FICHA!D11)</f>
        <v/>
      </c>
      <c r="Y18" s="7" t="n"/>
      <c r="Z18" s="12">
        <f>IF(FICHA!N11="","—",FICHA!N11)</f>
        <v/>
      </c>
      <c r="AJ18" s="7" t="n"/>
      <c r="AK18" s="12">
        <f>IF(FICHA!X11="","—",FICHA!X11)</f>
        <v/>
      </c>
    </row>
    <row r="19" ht="15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7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7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</row>
    <row r="20" ht="15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</row>
    <row r="21" ht="15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11" t="inlineStr">
        <is>
          <t>NÍVEL</t>
        </is>
      </c>
      <c r="Y21" s="7" t="n"/>
      <c r="Z21" s="11" t="inlineStr">
        <is>
          <t>MESA DE ORIGEM</t>
        </is>
      </c>
      <c r="AJ21" s="7" t="n"/>
      <c r="AK21" s="11" t="inlineStr">
        <is>
          <t>REGISTRADO POR</t>
        </is>
      </c>
    </row>
    <row r="22" ht="15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12">
        <f>IF(FICHA!AH11="","—",FICHA!AH11)</f>
        <v/>
      </c>
      <c r="Y22" s="7" t="n"/>
      <c r="Z22" s="12" t="n"/>
      <c r="AJ22" s="7" t="n"/>
      <c r="AK22" s="12" t="n"/>
    </row>
    <row r="23" ht="15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7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7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</row>
    <row r="24" ht="15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</row>
    <row r="25" ht="15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</row>
    <row r="26" ht="15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8" t="inlineStr">
        <is>
          <t>TÉCNICA DECLARADA</t>
        </is>
      </c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</row>
    <row r="27" ht="15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14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</row>
    <row r="28" ht="15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</row>
    <row r="29" ht="15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</row>
    <row r="30" ht="15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15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</row>
    <row r="31" ht="15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</row>
    <row r="32" ht="15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16" t="inlineStr">
        <is>
          <t>uma linha sobre o que a técnica é. o resto está na aba TÉCNICA.</t>
        </is>
      </c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</row>
    <row r="33" ht="15" customHeight="1">
      <c r="A33" s="7" t="n"/>
      <c r="B33" s="7" t="n"/>
      <c r="C33" s="7" t="n"/>
      <c r="D33" s="16" t="inlineStr">
        <is>
          <t>cole a sua foto por cima desta moldura</t>
        </is>
      </c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</row>
    <row r="34" ht="15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17" t="inlineStr">
        <is>
          <t>SELO REGISTRADO</t>
        </is>
      </c>
    </row>
    <row r="35" ht="15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</row>
    <row r="36" ht="15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</row>
    <row r="37" ht="15" customHeight="1">
      <c r="A37" s="7" t="n"/>
      <c r="B37" s="7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3" t="n"/>
    </row>
    <row r="38" ht="15" customHeight="1">
      <c r="A38" s="7" t="n"/>
      <c r="B38" s="7" t="n"/>
      <c r="C38" s="18" t="inlineStr">
        <is>
          <t>esta carteira acompanha o portador entre mesas. a ficha completa está nas páginas seguintes.</t>
        </is>
      </c>
      <c r="AE38" s="7" t="n"/>
      <c r="AF38" s="7" t="n"/>
      <c r="AG38" s="7" t="n"/>
      <c r="AH38" s="19">
        <f>IF(FICHA!D11="","—",UPPER(LEFT(FICHA!D11,3))&amp;"-"&amp;TEXT(FICHA!AH11,"00"))</f>
        <v/>
      </c>
    </row>
    <row r="39" ht="15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</row>
    <row r="40" ht="15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</row>
    <row r="41" ht="15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</row>
    <row r="42" ht="15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</row>
    <row r="43" ht="15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</row>
    <row r="44" ht="15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</row>
  </sheetData>
  <mergeCells count="28">
    <mergeCell ref="AK34:AT34"/>
    <mergeCell ref="O13:Y13"/>
    <mergeCell ref="AK22:AT22"/>
    <mergeCell ref="C2:J3"/>
    <mergeCell ref="O17:X17"/>
    <mergeCell ref="O26:AF26"/>
    <mergeCell ref="AH2:AT2"/>
    <mergeCell ref="D33:M33"/>
    <mergeCell ref="C38:AD38"/>
    <mergeCell ref="AK17:AT17"/>
    <mergeCell ref="O27:AH28"/>
    <mergeCell ref="AH3:AT3"/>
    <mergeCell ref="L2:AD2"/>
    <mergeCell ref="O32:AH32"/>
    <mergeCell ref="O18:X18"/>
    <mergeCell ref="AK18:AT18"/>
    <mergeCell ref="L3:AD3"/>
    <mergeCell ref="AH38:AT38"/>
    <mergeCell ref="Z22:AI22"/>
    <mergeCell ref="O9:AH12"/>
    <mergeCell ref="O22:X22"/>
    <mergeCell ref="O8:Y8"/>
    <mergeCell ref="Z18:AI18"/>
    <mergeCell ref="AK21:AT21"/>
    <mergeCell ref="Z21:AI21"/>
    <mergeCell ref="Z17:AI17"/>
    <mergeCell ref="O21:X21"/>
    <mergeCell ref="O30:AH31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T1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</cols>
  <sheetData>
    <row r="1" ht="15" customHeight="1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</row>
    <row r="2" ht="15" customHeight="1">
      <c r="A2" s="7" t="n"/>
      <c r="B2" s="7" t="n"/>
      <c r="C2" s="7" t="n"/>
      <c r="D2" s="20" t="inlineStr">
        <is>
          <t>GUILDA · FICHA DE REGISTRO</t>
        </is>
      </c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17" t="inlineStr">
        <is>
          <t>CATÁLOGO</t>
        </is>
      </c>
    </row>
    <row r="3" ht="15" customHeight="1">
      <c r="A3" s="7" t="n"/>
      <c r="B3" s="7" t="n"/>
      <c r="C3" s="7" t="n"/>
      <c r="D3" s="21">
        <f>IF(CARTEIRA!O9="","",CARTEIRA!O9)</f>
        <v/>
      </c>
      <c r="AA3" s="7" t="n"/>
      <c r="AB3" s="7" t="n"/>
      <c r="AC3" s="7" t="n"/>
      <c r="AD3" s="7" t="n"/>
      <c r="AE3" s="7" t="n"/>
      <c r="AF3" s="7" t="n"/>
      <c r="AG3" s="7" t="n"/>
      <c r="AH3" s="22">
        <f>IF(DADOS!$B$1=DADOS!$D$1,"v"&amp;DADOS!$B$1&amp;" · em dia","⚠ v"&amp;DADOS!$B$1&amp;" · a atual é a v"&amp;DADOS!$D$1)</f>
        <v/>
      </c>
    </row>
    <row r="4" ht="15" customHeight="1">
      <c r="A4" s="7" t="n"/>
      <c r="B4" s="7" t="n"/>
      <c r="C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</row>
    <row r="5" ht="15" customHeight="1">
      <c r="A5" s="7" t="n"/>
      <c r="B5" s="7" t="n"/>
      <c r="C5" s="7" t="n"/>
      <c r="D5" s="16" t="inlineStr">
        <is>
          <t>o nome do portador vai na CARTEIRA e cai aqui sozinho</t>
        </is>
      </c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</row>
    <row r="6" ht="15" customHeight="1">
      <c r="A6" s="7" t="n"/>
      <c r="B6" s="7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</row>
    <row r="7" ht="15" customHeight="1">
      <c r="A7" s="7" t="n"/>
      <c r="B7" s="7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  <c r="AS7" s="23" t="n"/>
      <c r="AT7" s="23" t="n"/>
    </row>
    <row r="8" ht="15" customHeight="1">
      <c r="A8" s="24" t="inlineStr">
        <is>
          <t>PROJETO M</t>
        </is>
      </c>
      <c r="C8" s="23" t="n"/>
      <c r="D8" s="25" t="inlineStr">
        <is>
          <t>01</t>
        </is>
      </c>
      <c r="G8" s="26" t="inlineStr">
        <is>
          <t>QUEM É</t>
        </is>
      </c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</row>
    <row r="9" ht="15" customHeight="1">
      <c r="C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  <c r="AS9" s="23" t="n"/>
      <c r="AT9" s="23" t="n"/>
    </row>
    <row r="10" ht="15" customHeight="1">
      <c r="C10" s="23" t="n"/>
      <c r="D10" s="27" t="inlineStr">
        <is>
          <t>CAMINHO</t>
        </is>
      </c>
      <c r="M10" s="23" t="n"/>
      <c r="N10" s="27" t="inlineStr">
        <is>
          <t>TRILHA</t>
        </is>
      </c>
      <c r="W10" s="23" t="n"/>
      <c r="X10" s="27" t="inlineStr">
        <is>
          <t>ORIGEM</t>
        </is>
      </c>
      <c r="AG10" s="23" t="n"/>
      <c r="AH10" s="27" t="inlineStr">
        <is>
          <t>NÍVEL</t>
        </is>
      </c>
      <c r="AM10" s="23" t="n"/>
      <c r="AN10" s="27" t="inlineStr">
        <is>
          <t>XP · NA MÃO</t>
        </is>
      </c>
    </row>
    <row r="11" ht="15" customHeight="1">
      <c r="C11" s="23" t="n"/>
      <c r="D11" s="28" t="n"/>
      <c r="M11" s="23" t="n"/>
      <c r="N11" s="28" t="n"/>
      <c r="W11" s="23" t="n"/>
      <c r="X11" s="28" t="n"/>
      <c r="AG11" s="23" t="n"/>
      <c r="AH11" s="29" t="n">
        <v>2</v>
      </c>
      <c r="AM11" s="23" t="n"/>
      <c r="AN11" s="30" t="n">
        <v>0</v>
      </c>
    </row>
    <row r="12" ht="15" customHeight="1">
      <c r="C12" s="23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23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23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23" t="n"/>
      <c r="AH12" s="31" t="n"/>
      <c r="AI12" s="31" t="n"/>
      <c r="AJ12" s="31" t="n"/>
      <c r="AK12" s="31" t="n"/>
      <c r="AL12" s="31" t="n"/>
      <c r="AM12" s="23" t="n"/>
      <c r="AN12" s="31" t="n"/>
      <c r="AO12" s="31" t="n"/>
      <c r="AP12" s="31" t="n"/>
      <c r="AQ12" s="31" t="n"/>
      <c r="AR12" s="31" t="n"/>
      <c r="AS12" s="31" t="n"/>
      <c r="AT12" s="31" t="n"/>
    </row>
    <row r="13" ht="15" customHeight="1"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3" t="n"/>
      <c r="AQ13" s="23" t="n"/>
      <c r="AR13" s="23" t="n"/>
      <c r="AS13" s="23" t="n"/>
      <c r="AT13" s="23" t="n"/>
    </row>
    <row r="14" ht="15" customHeight="1">
      <c r="C14" s="23" t="n"/>
      <c r="D14" s="25" t="inlineStr">
        <is>
          <t>02</t>
        </is>
      </c>
      <c r="G14" s="26" t="inlineStr">
        <is>
          <t>O CORPO</t>
        </is>
      </c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23" t="n"/>
      <c r="AH14" s="23" t="n"/>
      <c r="AI14" s="23" t="n"/>
      <c r="AJ14" s="23" t="n"/>
      <c r="AK14" s="23" t="n"/>
      <c r="AL14" s="23" t="n"/>
      <c r="AM14" s="23" t="n"/>
      <c r="AN14" s="23" t="n"/>
      <c r="AO14" s="23" t="n"/>
      <c r="AP14" s="23" t="n"/>
      <c r="AQ14" s="23" t="n"/>
      <c r="AR14" s="23" t="n"/>
      <c r="AS14" s="23" t="n"/>
      <c r="AT14" s="23" t="n"/>
    </row>
    <row r="15" ht="15" customHeight="1">
      <c r="C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3" t="n"/>
      <c r="AI15" s="23" t="n"/>
      <c r="AJ15" s="23" t="n"/>
      <c r="AK15" s="23" t="n"/>
      <c r="AL15" s="23" t="n"/>
      <c r="AM15" s="23" t="n"/>
      <c r="AN15" s="23" t="n"/>
      <c r="AO15" s="23" t="n"/>
      <c r="AP15" s="23" t="n"/>
      <c r="AQ15" s="23" t="n"/>
      <c r="AR15" s="23" t="n"/>
      <c r="AS15" s="23" t="n"/>
      <c r="AT15" s="23" t="n"/>
    </row>
    <row r="16" ht="15" customHeight="1">
      <c r="C16" s="23" t="n"/>
      <c r="D16" s="27" t="inlineStr">
        <is>
          <t>FOR</t>
        </is>
      </c>
      <c r="K16" s="23" t="n"/>
      <c r="L16" s="27" t="inlineStr">
        <is>
          <t>DES</t>
        </is>
      </c>
      <c r="S16" s="23" t="n"/>
      <c r="T16" s="27" t="inlineStr">
        <is>
          <t>CON</t>
        </is>
      </c>
      <c r="AA16" s="23" t="n"/>
      <c r="AB16" s="27" t="inlineStr">
        <is>
          <t>INT</t>
        </is>
      </c>
      <c r="AI16" s="23" t="n"/>
      <c r="AJ16" s="27" t="inlineStr">
        <is>
          <t>ESS</t>
        </is>
      </c>
      <c r="AQ16" s="23" t="n"/>
      <c r="AR16" s="23" t="n"/>
      <c r="AS16" s="23" t="n"/>
      <c r="AT16" s="23" t="n"/>
    </row>
    <row r="17" ht="15" customHeight="1">
      <c r="C17" s="23" t="n"/>
      <c r="D17" s="32" t="n">
        <v>0</v>
      </c>
      <c r="K17" s="23" t="n"/>
      <c r="L17" s="32" t="n">
        <v>0</v>
      </c>
      <c r="S17" s="23" t="n"/>
      <c r="T17" s="32" t="n">
        <v>0</v>
      </c>
      <c r="AA17" s="23" t="n"/>
      <c r="AB17" s="32" t="n">
        <v>0</v>
      </c>
      <c r="AI17" s="23" t="n"/>
      <c r="AJ17" s="32" t="n">
        <v>0</v>
      </c>
      <c r="AQ17" s="23" t="n"/>
      <c r="AR17" s="23" t="n"/>
      <c r="AS17" s="23" t="n"/>
      <c r="AT17" s="23" t="n"/>
    </row>
    <row r="18" ht="15" customHeight="1">
      <c r="C18" s="23" t="n"/>
      <c r="K18" s="23" t="n"/>
      <c r="S18" s="23" t="n"/>
      <c r="AA18" s="23" t="n"/>
      <c r="AI18" s="23" t="n"/>
      <c r="AQ18" s="23" t="n"/>
      <c r="AR18" s="23" t="n"/>
      <c r="AS18" s="23" t="n"/>
      <c r="AT18" s="23" t="n"/>
    </row>
    <row r="19" ht="15" customHeight="1">
      <c r="C19" s="23" t="n"/>
      <c r="D19" s="33" t="inlineStr">
        <is>
          <t>Força</t>
        </is>
      </c>
      <c r="K19" s="23" t="n"/>
      <c r="L19" s="33" t="inlineStr">
        <is>
          <t>Destreza</t>
        </is>
      </c>
      <c r="S19" s="23" t="n"/>
      <c r="T19" s="33" t="inlineStr">
        <is>
          <t>Constituição</t>
        </is>
      </c>
      <c r="AA19" s="23" t="n"/>
      <c r="AB19" s="33" t="inlineStr">
        <is>
          <t>Inteligência</t>
        </is>
      </c>
      <c r="AI19" s="23" t="n"/>
      <c r="AJ19" s="33" t="inlineStr">
        <is>
          <t>Essência</t>
        </is>
      </c>
      <c r="AQ19" s="23" t="n"/>
      <c r="AR19" s="23" t="n"/>
      <c r="AS19" s="23" t="n"/>
      <c r="AT19" s="23" t="n"/>
    </row>
    <row r="20" ht="15" customHeight="1">
      <c r="C20" s="23" t="n"/>
      <c r="D20" s="31" t="n"/>
      <c r="E20" s="31" t="n"/>
      <c r="F20" s="31" t="n"/>
      <c r="G20" s="31" t="n"/>
      <c r="H20" s="31" t="n"/>
      <c r="I20" s="31" t="n"/>
      <c r="J20" s="31" t="n"/>
      <c r="K20" s="23" t="n"/>
      <c r="L20" s="31" t="n"/>
      <c r="M20" s="31" t="n"/>
      <c r="N20" s="31" t="n"/>
      <c r="O20" s="31" t="n"/>
      <c r="P20" s="31" t="n"/>
      <c r="Q20" s="31" t="n"/>
      <c r="R20" s="31" t="n"/>
      <c r="S20" s="23" t="n"/>
      <c r="T20" s="31" t="n"/>
      <c r="U20" s="31" t="n"/>
      <c r="V20" s="31" t="n"/>
      <c r="W20" s="31" t="n"/>
      <c r="X20" s="31" t="n"/>
      <c r="Y20" s="31" t="n"/>
      <c r="Z20" s="31" t="n"/>
      <c r="AA20" s="23" t="n"/>
      <c r="AB20" s="31" t="n"/>
      <c r="AC20" s="31" t="n"/>
      <c r="AD20" s="31" t="n"/>
      <c r="AE20" s="31" t="n"/>
      <c r="AF20" s="31" t="n"/>
      <c r="AG20" s="31" t="n"/>
      <c r="AH20" s="31" t="n"/>
      <c r="AI20" s="23" t="n"/>
      <c r="AJ20" s="31" t="n"/>
      <c r="AK20" s="31" t="n"/>
      <c r="AL20" s="31" t="n"/>
      <c r="AM20" s="31" t="n"/>
      <c r="AN20" s="31" t="n"/>
      <c r="AO20" s="31" t="n"/>
      <c r="AP20" s="31" t="n"/>
      <c r="AQ20" s="23" t="n"/>
      <c r="AR20" s="23" t="n"/>
      <c r="AS20" s="23" t="n"/>
      <c r="AT20" s="23" t="n"/>
    </row>
    <row r="21" ht="15" customHeight="1"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n"/>
      <c r="AK21" s="23" t="n"/>
      <c r="AL21" s="23" t="n"/>
      <c r="AM21" s="23" t="n"/>
      <c r="AN21" s="23" t="n"/>
      <c r="AO21" s="23" t="n"/>
      <c r="AP21" s="23" t="n"/>
      <c r="AQ21" s="23" t="n"/>
      <c r="AR21" s="23" t="n"/>
      <c r="AS21" s="23" t="n"/>
      <c r="AT21" s="23" t="n"/>
    </row>
    <row r="22" ht="15" customHeight="1">
      <c r="C22" s="23" t="n"/>
      <c r="D22" s="27" t="inlineStr">
        <is>
          <t>VIDA</t>
        </is>
      </c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n"/>
      <c r="AD22" s="23" t="n"/>
      <c r="AE22" s="23" t="n"/>
      <c r="AF22" s="27" t="inlineStr">
        <is>
          <t>TEMP</t>
        </is>
      </c>
      <c r="AL22" s="23" t="n"/>
      <c r="AM22" s="27" t="inlineStr">
        <is>
          <t>±</t>
        </is>
      </c>
      <c r="AS22" s="23" t="n"/>
      <c r="AT22" s="23" t="n"/>
    </row>
    <row r="23" ht="15" customHeight="1">
      <c r="C23" s="23" t="n"/>
      <c r="D23" s="34" t="n">
        <v>0</v>
      </c>
      <c r="I23" s="23" t="n"/>
      <c r="J23" s="35">
        <f>IF($D$11="","",(VLOOKUP($D$11,DADOS!$N$5:$U$9,3,FALSE)+$T$17)+(VLOOKUP($D$11,DADOS!$N$5:$U$9,4,FALSE)+$T$17)*($AH$11-1))</f>
        <v/>
      </c>
      <c r="O23" s="23" t="n"/>
      <c r="P23" s="36">
        <f>IFERROR(SPARKLINE($D$23,{"charttype","bar";"max",$J$23;"color1",IF(N($J$23)=0,"#E8DCD4",IF($D$23/$J$23&lt;=0.25,"#C2334D",IF($D$23/$J$23&lt;=0.5,"#D89B3A","#E8DCD4")))}),"")</f>
        <v/>
      </c>
      <c r="AE23" s="23" t="n"/>
      <c r="AF23" s="37" t="n">
        <v>0</v>
      </c>
      <c r="AL23" s="23" t="n"/>
      <c r="AM23" s="38" t="n"/>
      <c r="AS23" s="23" t="n"/>
      <c r="AT23" s="23" t="n"/>
    </row>
    <row r="24" ht="15" customHeight="1">
      <c r="C24" s="23" t="n"/>
      <c r="I24" s="23" t="n"/>
      <c r="O24" s="23" t="n"/>
      <c r="AE24" s="23" t="n"/>
      <c r="AF24" s="31" t="n"/>
      <c r="AG24" s="31" t="n"/>
      <c r="AH24" s="31" t="n"/>
      <c r="AI24" s="31" t="n"/>
      <c r="AJ24" s="31" t="n"/>
      <c r="AK24" s="31" t="n"/>
      <c r="AL24" s="23" t="n"/>
      <c r="AM24" s="31" t="n"/>
      <c r="AN24" s="31" t="n"/>
      <c r="AO24" s="31" t="n"/>
      <c r="AP24" s="31" t="n"/>
      <c r="AQ24" s="31" t="n"/>
      <c r="AR24" s="31" t="n"/>
      <c r="AS24" s="23" t="n"/>
      <c r="AT24" s="23" t="n"/>
    </row>
    <row r="25" ht="15" customHeight="1"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  <c r="AL25" s="23" t="n"/>
      <c r="AM25" s="23" t="n"/>
      <c r="AN25" s="23" t="n"/>
      <c r="AO25" s="23" t="n"/>
      <c r="AP25" s="23" t="n"/>
      <c r="AQ25" s="23" t="n"/>
      <c r="AR25" s="23" t="n"/>
      <c r="AS25" s="23" t="n"/>
      <c r="AT25" s="23" t="n"/>
    </row>
    <row r="26" ht="15" customHeight="1">
      <c r="C26" s="23" t="n"/>
      <c r="D26" s="27" t="inlineStr">
        <is>
          <t>ENERGIA</t>
        </is>
      </c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7" t="inlineStr">
        <is>
          <t>TEMP</t>
        </is>
      </c>
      <c r="AL26" s="23" t="n"/>
      <c r="AM26" s="27" t="inlineStr">
        <is>
          <t>±</t>
        </is>
      </c>
      <c r="AS26" s="23" t="n"/>
      <c r="AT26" s="23" t="n"/>
    </row>
    <row r="27" ht="15" customHeight="1">
      <c r="A27" s="7" t="n"/>
      <c r="B27" s="7" t="n"/>
      <c r="C27" s="23" t="n"/>
      <c r="D27" s="34" t="n">
        <v>0</v>
      </c>
      <c r="I27" s="23" t="n"/>
      <c r="J27" s="35">
        <f>IF($D$11="","",VLOOKUP($D$11,DADOS!$N$5:$U$9,5,FALSE)*$AH$11)</f>
        <v/>
      </c>
      <c r="O27" s="23" t="n"/>
      <c r="P27" s="36">
        <f>IFERROR(SPARKLINE($D$27,{"charttype","bar";"max",$J$27;"color1",IF(N($J$27)=0,"#E8DCD4",IF($D$27/$J$27&lt;=0.25,"#C2334D",IF($D$27/$J$27&lt;=0.5,"#D89B3A","#E8DCD4")))}),"")</f>
        <v/>
      </c>
      <c r="AE27" s="23" t="n"/>
      <c r="AF27" s="37" t="n">
        <v>0</v>
      </c>
      <c r="AL27" s="23" t="n"/>
      <c r="AM27" s="38" t="n"/>
      <c r="AS27" s="23" t="n"/>
      <c r="AT27" s="23" t="n"/>
    </row>
    <row r="28" ht="15" customHeight="1">
      <c r="A28" s="7" t="n"/>
      <c r="B28" s="7" t="n"/>
      <c r="C28" s="23" t="n"/>
      <c r="I28" s="23" t="n"/>
      <c r="O28" s="23" t="n"/>
      <c r="AE28" s="23" t="n"/>
      <c r="AF28" s="31" t="n"/>
      <c r="AG28" s="31" t="n"/>
      <c r="AH28" s="31" t="n"/>
      <c r="AI28" s="31" t="n"/>
      <c r="AJ28" s="31" t="n"/>
      <c r="AK28" s="31" t="n"/>
      <c r="AL28" s="23" t="n"/>
      <c r="AM28" s="31" t="n"/>
      <c r="AN28" s="31" t="n"/>
      <c r="AO28" s="31" t="n"/>
      <c r="AP28" s="31" t="n"/>
      <c r="AQ28" s="31" t="n"/>
      <c r="AR28" s="31" t="n"/>
      <c r="AS28" s="23" t="n"/>
      <c r="AT28" s="23" t="n"/>
    </row>
    <row r="29" ht="15" customHeight="1">
      <c r="A29" s="7" t="n"/>
      <c r="B29" s="7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  <c r="AF29" s="23" t="n"/>
      <c r="AG29" s="23" t="n"/>
      <c r="AH29" s="23" t="n"/>
      <c r="AI29" s="23" t="n"/>
      <c r="AJ29" s="23" t="n"/>
      <c r="AK29" s="23" t="n"/>
      <c r="AL29" s="23" t="n"/>
      <c r="AM29" s="23" t="n"/>
      <c r="AN29" s="23" t="n"/>
      <c r="AO29" s="23" t="n"/>
      <c r="AP29" s="23" t="n"/>
      <c r="AQ29" s="23" t="n"/>
      <c r="AR29" s="23" t="n"/>
      <c r="AS29" s="23" t="n"/>
      <c r="AT29" s="23" t="n"/>
    </row>
    <row r="30" ht="15" customHeight="1">
      <c r="A30" s="24" t="inlineStr">
        <is>
          <t>FICHA DE REGISTRO</t>
        </is>
      </c>
      <c r="C30" s="23" t="n"/>
      <c r="D30" s="27" t="inlineStr">
        <is>
          <t>INTEGRIDADE</t>
        </is>
      </c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7" t="inlineStr">
        <is>
          <t>TEMP</t>
        </is>
      </c>
      <c r="AL30" s="23" t="n"/>
      <c r="AM30" s="27" t="inlineStr">
        <is>
          <t>±</t>
        </is>
      </c>
      <c r="AS30" s="23" t="n"/>
      <c r="AT30" s="23" t="n"/>
    </row>
    <row r="31" ht="15" customHeight="1">
      <c r="C31" s="23" t="n"/>
      <c r="D31" s="34" t="n">
        <v>0</v>
      </c>
      <c r="I31" s="23" t="n"/>
      <c r="J31" s="35">
        <f>20+($AJ$17+5)*($AH$11-1)</f>
        <v/>
      </c>
      <c r="O31" s="23" t="n"/>
      <c r="P31" s="36">
        <f>IFERROR(SPARKLINE($D$31,{"charttype","bar";"max",$J$31;"color1",IF(N($J$31)=0,"#E8DCD4",IF($D$31/$J$31&lt;=0.25,"#C2334D",IF($D$31/$J$31&lt;=0.5,"#D89B3A","#E8DCD4")))}),"")</f>
        <v/>
      </c>
      <c r="AE31" s="23" t="n"/>
      <c r="AF31" s="37" t="n">
        <v>0</v>
      </c>
      <c r="AL31" s="23" t="n"/>
      <c r="AM31" s="38" t="n"/>
      <c r="AS31" s="23" t="n"/>
      <c r="AT31" s="23" t="n"/>
    </row>
    <row r="32" ht="15" customHeight="1">
      <c r="C32" s="23" t="n"/>
      <c r="I32" s="23" t="n"/>
      <c r="O32" s="23" t="n"/>
      <c r="AE32" s="23" t="n"/>
      <c r="AF32" s="31" t="n"/>
      <c r="AG32" s="31" t="n"/>
      <c r="AH32" s="31" t="n"/>
      <c r="AI32" s="31" t="n"/>
      <c r="AJ32" s="31" t="n"/>
      <c r="AK32" s="31" t="n"/>
      <c r="AL32" s="23" t="n"/>
      <c r="AM32" s="31" t="n"/>
      <c r="AN32" s="31" t="n"/>
      <c r="AO32" s="31" t="n"/>
      <c r="AP32" s="31" t="n"/>
      <c r="AQ32" s="31" t="n"/>
      <c r="AR32" s="31" t="n"/>
      <c r="AS32" s="23" t="n"/>
      <c r="AT32" s="23" t="n"/>
    </row>
    <row r="33" ht="15" customHeight="1"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  <c r="AL33" s="23" t="n"/>
      <c r="AM33" s="23" t="n"/>
      <c r="AN33" s="23" t="n"/>
      <c r="AO33" s="23" t="n"/>
      <c r="AP33" s="23" t="n"/>
      <c r="AQ33" s="23" t="n"/>
      <c r="AR33" s="23" t="n"/>
      <c r="AS33" s="23" t="n"/>
      <c r="AT33" s="23" t="n"/>
    </row>
    <row r="34" ht="15" customHeight="1">
      <c r="C34" s="23" t="n"/>
      <c r="D34" s="39">
        <f>IF($D$31=""," ",IF($D$31&lt;=0,"estágio 4 · você não é mais você",IF($D$31&lt;=$J$31/4,"estágio 3 · desvantagem em ataques e TRs",IF($D$31&lt;=$J$31/2,"estágio 2 · metade do deslocamento, +1 PE por Classe",IF($D$31&lt;=$J$31*3/4,"estágio 1 · desvantagem em perícias","alma inteira")))))</f>
        <v/>
      </c>
    </row>
    <row r="35" ht="15" customHeight="1"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3" t="n"/>
      <c r="AQ35" s="23" t="n"/>
      <c r="AR35" s="23" t="n"/>
      <c r="AS35" s="23" t="n"/>
      <c r="AT35" s="23" t="n"/>
    </row>
    <row r="36" ht="15" customHeight="1"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3" t="n"/>
      <c r="AQ36" s="23" t="n"/>
      <c r="AR36" s="23" t="n"/>
      <c r="AS36" s="23" t="n"/>
      <c r="AT36" s="23" t="n"/>
    </row>
    <row r="37" ht="15" customHeight="1">
      <c r="C37" s="23" t="n"/>
      <c r="D37" s="25" t="inlineStr">
        <is>
          <t>03</t>
        </is>
      </c>
      <c r="G37" s="26" t="inlineStr">
        <is>
          <t>O QUE CAI SOZINHO</t>
        </is>
      </c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  <c r="AL37" s="23" t="n"/>
      <c r="AM37" s="23" t="n"/>
      <c r="AN37" s="23" t="n"/>
      <c r="AO37" s="23" t="n"/>
      <c r="AP37" s="23" t="n"/>
      <c r="AQ37" s="23" t="n"/>
      <c r="AR37" s="23" t="n"/>
      <c r="AS37" s="23" t="n"/>
      <c r="AT37" s="23" t="n"/>
    </row>
    <row r="38" ht="15" customHeight="1">
      <c r="C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  <c r="AL38" s="23" t="n"/>
      <c r="AM38" s="23" t="n"/>
      <c r="AN38" s="23" t="n"/>
      <c r="AO38" s="23" t="n"/>
      <c r="AP38" s="23" t="n"/>
      <c r="AQ38" s="23" t="n"/>
      <c r="AR38" s="23" t="n"/>
      <c r="AS38" s="23" t="n"/>
      <c r="AT38" s="23" t="n"/>
    </row>
    <row r="39" ht="15" customHeight="1">
      <c r="C39" s="23" t="n"/>
      <c r="D39" s="27" t="inlineStr">
        <is>
          <t>DEFESA</t>
        </is>
      </c>
      <c r="N39" s="23" t="n"/>
      <c r="O39" s="27" t="inlineStr">
        <is>
          <t>PROTEÇÃO</t>
        </is>
      </c>
      <c r="Y39" s="23" t="n"/>
      <c r="Z39" s="27" t="inlineStr">
        <is>
          <t>EQUIPAMENTO</t>
        </is>
      </c>
      <c r="AJ39" s="23" t="n"/>
      <c r="AK39" s="27" t="inlineStr">
        <is>
          <t>INICIATIVA</t>
        </is>
      </c>
    </row>
    <row r="40" ht="15" customHeight="1">
      <c r="C40" s="23" t="n"/>
      <c r="D40" s="40">
        <f>10+$L$17+$O$40</f>
        <v/>
      </c>
      <c r="N40" s="23" t="n"/>
      <c r="O40" s="40">
        <f>IF($Z$40="",FLOOR((1+COUNTIF(DADOS!$W$5:$W$11,"&lt;="&amp;$AH$11))/3,1)+1,$Z$40)</f>
        <v/>
      </c>
      <c r="Y40" s="23" t="n"/>
      <c r="Z40" s="28" t="n"/>
      <c r="AJ40" s="23" t="n"/>
      <c r="AK40" s="40">
        <f>"d20 + "&amp;$L$17</f>
        <v/>
      </c>
    </row>
    <row r="41" ht="15" customHeight="1">
      <c r="C41" s="23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23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23" t="n"/>
      <c r="Z41" s="31" t="n"/>
      <c r="AA41" s="31" t="n"/>
      <c r="AB41" s="31" t="n"/>
      <c r="AC41" s="31" t="n"/>
      <c r="AD41" s="31" t="n"/>
      <c r="AE41" s="31" t="n"/>
      <c r="AF41" s="31" t="n"/>
      <c r="AG41" s="31" t="n"/>
      <c r="AH41" s="31" t="n"/>
      <c r="AI41" s="31" t="n"/>
      <c r="AJ41" s="23" t="n"/>
      <c r="AK41" s="31" t="n"/>
      <c r="AL41" s="31" t="n"/>
      <c r="AM41" s="31" t="n"/>
      <c r="AN41" s="31" t="n"/>
      <c r="AO41" s="31" t="n"/>
      <c r="AP41" s="31" t="n"/>
      <c r="AQ41" s="31" t="n"/>
      <c r="AR41" s="31" t="n"/>
      <c r="AS41" s="31" t="n"/>
      <c r="AT41" s="31" t="n"/>
    </row>
    <row r="42" ht="15" customHeight="1"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3" t="n"/>
      <c r="AH42" s="23" t="n"/>
      <c r="AI42" s="23" t="n"/>
      <c r="AJ42" s="23" t="n"/>
      <c r="AK42" s="23" t="n"/>
      <c r="AL42" s="23" t="n"/>
      <c r="AM42" s="23" t="n"/>
      <c r="AN42" s="23" t="n"/>
      <c r="AO42" s="23" t="n"/>
      <c r="AP42" s="23" t="n"/>
      <c r="AQ42" s="23" t="n"/>
      <c r="AR42" s="23" t="n"/>
      <c r="AS42" s="23" t="n"/>
      <c r="AT42" s="23" t="n"/>
    </row>
    <row r="43" ht="15" customHeight="1">
      <c r="C43" s="23" t="n"/>
      <c r="D43" s="27" t="inlineStr">
        <is>
          <t>CD DE FEITIÇO</t>
        </is>
      </c>
      <c r="N43" s="23" t="n"/>
      <c r="O43" s="27" t="inlineStr">
        <is>
          <t>CONJURAÇÃO</t>
        </is>
      </c>
      <c r="Y43" s="23" t="n"/>
      <c r="Z43" s="27" t="inlineStr">
        <is>
          <t>CORPO A CORPO</t>
        </is>
      </c>
      <c r="AJ43" s="23" t="n"/>
      <c r="AK43" s="27" t="inlineStr">
        <is>
          <t>À DISTÂNCIA</t>
        </is>
      </c>
    </row>
    <row r="44" ht="15" customHeight="1">
      <c r="C44" s="23" t="n"/>
      <c r="D44" s="40">
        <f>10+2+(1+COUNTIF(DADOS!$X$5:$X$7,"&lt;="&amp;$AH$11))</f>
        <v/>
      </c>
      <c r="N44" s="23" t="n"/>
      <c r="O44" s="40">
        <f>"d20 + "&amp;(2+(1+COUNTIF(DADOS!$X$5:$X$7,"&lt;="&amp;$AH$11)))</f>
        <v/>
      </c>
      <c r="Y44" s="23" t="n"/>
      <c r="Z44" s="40">
        <f>"d20 + "&amp;$D$17</f>
        <v/>
      </c>
      <c r="AJ44" s="23" t="n"/>
      <c r="AK44" s="40">
        <f>"d20 + "&amp;$L$17</f>
        <v/>
      </c>
    </row>
    <row r="45" ht="15" customHeight="1">
      <c r="C45" s="23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23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23" t="n"/>
      <c r="Z45" s="31" t="n"/>
      <c r="AA45" s="31" t="n"/>
      <c r="AB45" s="31" t="n"/>
      <c r="AC45" s="31" t="n"/>
      <c r="AD45" s="31" t="n"/>
      <c r="AE45" s="31" t="n"/>
      <c r="AF45" s="31" t="n"/>
      <c r="AG45" s="31" t="n"/>
      <c r="AH45" s="31" t="n"/>
      <c r="AI45" s="31" t="n"/>
      <c r="AJ45" s="23" t="n"/>
      <c r="AK45" s="31" t="n"/>
      <c r="AL45" s="31" t="n"/>
      <c r="AM45" s="31" t="n"/>
      <c r="AN45" s="31" t="n"/>
      <c r="AO45" s="31" t="n"/>
      <c r="AP45" s="31" t="n"/>
      <c r="AQ45" s="31" t="n"/>
      <c r="AR45" s="31" t="n"/>
      <c r="AS45" s="31" t="n"/>
      <c r="AT45" s="31" t="n"/>
    </row>
    <row r="46" ht="15" customHeight="1"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  <c r="AL46" s="23" t="n"/>
      <c r="AM46" s="23" t="n"/>
      <c r="AN46" s="23" t="n"/>
      <c r="AO46" s="23" t="n"/>
      <c r="AP46" s="23" t="n"/>
      <c r="AQ46" s="23" t="n"/>
      <c r="AR46" s="23" t="n"/>
      <c r="AS46" s="23" t="n"/>
      <c r="AT46" s="23" t="n"/>
    </row>
    <row r="47" ht="15" customHeight="1">
      <c r="C47" s="23" t="n"/>
      <c r="D47" s="27" t="inlineStr">
        <is>
          <t>MAESTRIA</t>
        </is>
      </c>
      <c r="N47" s="23" t="n"/>
      <c r="O47" s="27" t="inlineStr">
        <is>
          <t>DESLOCAMENTO</t>
        </is>
      </c>
      <c r="Y47" s="23" t="n"/>
      <c r="Z47" s="27" t="inlineStr">
        <is>
          <t>BLOQUEAR</t>
        </is>
      </c>
      <c r="AJ47" s="23" t="n"/>
      <c r="AK47" s="23" t="n"/>
      <c r="AL47" s="23" t="n"/>
      <c r="AM47" s="23" t="n"/>
      <c r="AN47" s="23" t="n"/>
      <c r="AO47" s="23" t="n"/>
      <c r="AP47" s="23" t="n"/>
      <c r="AQ47" s="23" t="n"/>
      <c r="AR47" s="23" t="n"/>
      <c r="AS47" s="23" t="n"/>
      <c r="AT47" s="23" t="n"/>
    </row>
    <row r="48" ht="15" customHeight="1">
      <c r="C48" s="23" t="n"/>
      <c r="D48" s="40">
        <f>(1+COUNTIF(DADOS!$X$5:$X$7,"&lt;="&amp;$AH$11))</f>
        <v/>
      </c>
      <c r="N48" s="23" t="n"/>
      <c r="O48" s="40" t="inlineStr">
        <is>
          <t>9 m</t>
        </is>
      </c>
      <c r="Y48" s="23" t="n"/>
      <c r="Z48" s="40">
        <f>"2d10 + "&amp;($D$40-11)</f>
        <v/>
      </c>
      <c r="AJ48" s="23" t="n"/>
      <c r="AK48" s="23" t="n"/>
      <c r="AL48" s="23" t="n"/>
      <c r="AM48" s="23" t="n"/>
      <c r="AN48" s="23" t="n"/>
      <c r="AO48" s="23" t="n"/>
      <c r="AP48" s="23" t="n"/>
      <c r="AQ48" s="23" t="n"/>
      <c r="AR48" s="23" t="n"/>
      <c r="AS48" s="23" t="n"/>
      <c r="AT48" s="23" t="n"/>
    </row>
    <row r="49" ht="15" customHeight="1">
      <c r="A49" s="7" t="n"/>
      <c r="B49" s="7" t="n"/>
      <c r="C49" s="23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23" t="n"/>
      <c r="O49" s="31" t="n"/>
      <c r="P49" s="31" t="n"/>
      <c r="Q49" s="31" t="n"/>
      <c r="R49" s="31" t="n"/>
      <c r="S49" s="31" t="n"/>
      <c r="T49" s="31" t="n"/>
      <c r="U49" s="31" t="n"/>
      <c r="V49" s="31" t="n"/>
      <c r="W49" s="31" t="n"/>
      <c r="X49" s="31" t="n"/>
      <c r="Y49" s="23" t="n"/>
      <c r="Z49" s="31" t="n"/>
      <c r="AA49" s="31" t="n"/>
      <c r="AB49" s="31" t="n"/>
      <c r="AC49" s="31" t="n"/>
      <c r="AD49" s="31" t="n"/>
      <c r="AE49" s="31" t="n"/>
      <c r="AF49" s="31" t="n"/>
      <c r="AG49" s="31" t="n"/>
      <c r="AH49" s="31" t="n"/>
      <c r="AI49" s="31" t="n"/>
      <c r="AJ49" s="23" t="n"/>
      <c r="AK49" s="23" t="n"/>
      <c r="AL49" s="23" t="n"/>
      <c r="AM49" s="23" t="n"/>
      <c r="AN49" s="23" t="n"/>
      <c r="AO49" s="23" t="n"/>
      <c r="AP49" s="23" t="n"/>
      <c r="AQ49" s="23" t="n"/>
      <c r="AR49" s="23" t="n"/>
      <c r="AS49" s="23" t="n"/>
      <c r="AT49" s="23" t="n"/>
    </row>
    <row r="50" ht="15" customHeight="1">
      <c r="A50" s="7" t="n"/>
      <c r="B50" s="7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3" t="n"/>
      <c r="AF50" s="23" t="n"/>
      <c r="AG50" s="23" t="n"/>
      <c r="AH50" s="23" t="n"/>
      <c r="AI50" s="23" t="n"/>
      <c r="AJ50" s="23" t="n"/>
      <c r="AK50" s="23" t="n"/>
      <c r="AL50" s="23" t="n"/>
      <c r="AM50" s="23" t="n"/>
      <c r="AN50" s="23" t="n"/>
      <c r="AO50" s="23" t="n"/>
      <c r="AP50" s="23" t="n"/>
      <c r="AQ50" s="23" t="n"/>
      <c r="AR50" s="23" t="n"/>
      <c r="AS50" s="23" t="n"/>
      <c r="AT50" s="23" t="n"/>
    </row>
    <row r="51" ht="15" customHeight="1">
      <c r="A51" s="7" t="n"/>
      <c r="B51" s="7" t="n"/>
      <c r="C51" s="23" t="n"/>
      <c r="D51" s="25" t="inlineStr">
        <is>
          <t>04</t>
        </is>
      </c>
      <c r="G51" s="26" t="inlineStr">
        <is>
          <t>PROGRESSÃO · você só digita o nível</t>
        </is>
      </c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  <c r="AH51" s="23" t="n"/>
      <c r="AI51" s="23" t="n"/>
      <c r="AJ51" s="23" t="n"/>
      <c r="AK51" s="23" t="n"/>
      <c r="AL51" s="23" t="n"/>
      <c r="AM51" s="23" t="n"/>
      <c r="AN51" s="23" t="n"/>
      <c r="AO51" s="23" t="n"/>
      <c r="AP51" s="23" t="n"/>
      <c r="AQ51" s="23" t="n"/>
      <c r="AR51" s="23" t="n"/>
      <c r="AS51" s="23" t="n"/>
      <c r="AT51" s="23" t="n"/>
    </row>
    <row r="52" ht="15" customHeight="1">
      <c r="A52" s="7" t="n"/>
      <c r="B52" s="7" t="n"/>
      <c r="C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23" t="n"/>
      <c r="AH52" s="23" t="n"/>
      <c r="AI52" s="23" t="n"/>
      <c r="AJ52" s="23" t="n"/>
      <c r="AK52" s="23" t="n"/>
      <c r="AL52" s="23" t="n"/>
      <c r="AM52" s="23" t="n"/>
      <c r="AN52" s="23" t="n"/>
      <c r="AO52" s="23" t="n"/>
      <c r="AP52" s="23" t="n"/>
      <c r="AQ52" s="23" t="n"/>
      <c r="AR52" s="23" t="n"/>
      <c r="AS52" s="23" t="n"/>
      <c r="AT52" s="23" t="n"/>
    </row>
    <row r="53" ht="15" customHeight="1">
      <c r="A53" s="7" t="n"/>
      <c r="B53" s="7" t="n"/>
      <c r="C53" s="23" t="n"/>
      <c r="D53" s="27" t="inlineStr">
        <is>
          <t>ESPAÇOS DE FEITIÇO</t>
        </is>
      </c>
      <c r="N53" s="23" t="n"/>
      <c r="O53" s="27" t="inlineStr">
        <is>
          <t>REFINO DE GRAÇA</t>
        </is>
      </c>
      <c r="Y53" s="23" t="n"/>
      <c r="Z53" s="27" t="inlineStr">
        <is>
          <t>CLASSE MÁXIMA</t>
        </is>
      </c>
      <c r="AJ53" s="23" t="n"/>
      <c r="AK53" s="27" t="inlineStr">
        <is>
          <t>CLASSE 0 GRÁTIS</t>
        </is>
      </c>
    </row>
    <row r="54" ht="15" customHeight="1">
      <c r="A54" s="7" t="n"/>
      <c r="B54" s="7" t="n"/>
      <c r="C54" s="23" t="n"/>
      <c r="D54" s="40">
        <f>2+INT($AH$11/2)+COUNTIF(DADOS!$W$5:$W$11,"&lt;="&amp;$AH$11)</f>
        <v/>
      </c>
      <c r="N54" s="23" t="n"/>
      <c r="O54" s="40">
        <f>(1+COUNTIF(DADOS!$W$5:$W$11,"&lt;="&amp;$AH$11))</f>
        <v/>
      </c>
      <c r="Y54" s="23" t="n"/>
      <c r="Z54" s="40">
        <f>COUNTIF(DADOS!$Y$5:$Y$11,"&lt;="&amp;$AH$11)</f>
        <v/>
      </c>
      <c r="AJ54" s="23" t="n"/>
      <c r="AK54" s="40">
        <f>2+COUNTIF(DADOS!$Z$5:$Z$7,"&lt;="&amp;$AH$11)</f>
        <v/>
      </c>
    </row>
    <row r="55" ht="15" customHeight="1">
      <c r="A55" s="7" t="n"/>
      <c r="B55" s="7" t="n"/>
      <c r="C55" s="23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23" t="n"/>
      <c r="O55" s="31" t="n"/>
      <c r="P55" s="31" t="n"/>
      <c r="Q55" s="31" t="n"/>
      <c r="R55" s="31" t="n"/>
      <c r="S55" s="31" t="n"/>
      <c r="T55" s="31" t="n"/>
      <c r="U55" s="31" t="n"/>
      <c r="V55" s="31" t="n"/>
      <c r="W55" s="31" t="n"/>
      <c r="X55" s="31" t="n"/>
      <c r="Y55" s="23" t="n"/>
      <c r="Z55" s="31" t="n"/>
      <c r="AA55" s="31" t="n"/>
      <c r="AB55" s="31" t="n"/>
      <c r="AC55" s="31" t="n"/>
      <c r="AD55" s="31" t="n"/>
      <c r="AE55" s="31" t="n"/>
      <c r="AF55" s="31" t="n"/>
      <c r="AG55" s="31" t="n"/>
      <c r="AH55" s="31" t="n"/>
      <c r="AI55" s="31" t="n"/>
      <c r="AJ55" s="23" t="n"/>
      <c r="AK55" s="31" t="n"/>
      <c r="AL55" s="31" t="n"/>
      <c r="AM55" s="31" t="n"/>
      <c r="AN55" s="31" t="n"/>
      <c r="AO55" s="31" t="n"/>
      <c r="AP55" s="31" t="n"/>
      <c r="AQ55" s="31" t="n"/>
      <c r="AR55" s="31" t="n"/>
      <c r="AS55" s="31" t="n"/>
      <c r="AT55" s="31" t="n"/>
    </row>
    <row r="56" ht="15" customHeight="1">
      <c r="A56" s="7" t="n"/>
      <c r="B56" s="7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  <c r="AC56" s="23" t="n"/>
      <c r="AD56" s="23" t="n"/>
      <c r="AE56" s="23" t="n"/>
      <c r="AF56" s="23" t="n"/>
      <c r="AG56" s="23" t="n"/>
      <c r="AH56" s="23" t="n"/>
      <c r="AI56" s="23" t="n"/>
      <c r="AJ56" s="23" t="n"/>
      <c r="AK56" s="23" t="n"/>
      <c r="AL56" s="23" t="n"/>
      <c r="AM56" s="23" t="n"/>
      <c r="AN56" s="23" t="n"/>
      <c r="AO56" s="23" t="n"/>
      <c r="AP56" s="23" t="n"/>
      <c r="AQ56" s="23" t="n"/>
      <c r="AR56" s="23" t="n"/>
      <c r="AS56" s="23" t="n"/>
      <c r="AT56" s="23" t="n"/>
    </row>
    <row r="57" ht="15" customHeight="1">
      <c r="A57" s="7" t="n"/>
      <c r="B57" s="7" t="n"/>
      <c r="C57" s="23" t="n"/>
      <c r="D57" s="25" t="inlineStr">
        <is>
          <t>05</t>
        </is>
      </c>
      <c r="G57" s="26" t="inlineStr">
        <is>
          <t>PERÍCIAS · marque as 8 ou 9 treinadas</t>
        </is>
      </c>
      <c r="AE57" s="23" t="n"/>
      <c r="AF57" s="23" t="n"/>
      <c r="AG57" s="23" t="n"/>
      <c r="AH57" s="23" t="n"/>
      <c r="AI57" s="23" t="n"/>
      <c r="AJ57" s="23" t="n"/>
      <c r="AK57" s="23" t="n"/>
      <c r="AL57" s="23" t="n"/>
      <c r="AM57" s="23" t="n"/>
      <c r="AN57" s="23" t="n"/>
      <c r="AO57" s="23" t="n"/>
      <c r="AP57" s="23" t="n"/>
      <c r="AQ57" s="23" t="n"/>
      <c r="AR57" s="23" t="n"/>
      <c r="AS57" s="23" t="n"/>
      <c r="AT57" s="23" t="n"/>
    </row>
    <row r="58" ht="15" customHeight="1">
      <c r="A58" s="7" t="n"/>
      <c r="B58" s="7" t="n"/>
      <c r="C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  <c r="AA58" s="23" t="n"/>
      <c r="AB58" s="23" t="n"/>
      <c r="AC58" s="23" t="n"/>
      <c r="AD58" s="23" t="n"/>
      <c r="AE58" s="23" t="n"/>
      <c r="AF58" s="23" t="n"/>
      <c r="AG58" s="23" t="n"/>
      <c r="AH58" s="23" t="n"/>
      <c r="AI58" s="23" t="n"/>
      <c r="AJ58" s="23" t="n"/>
      <c r="AK58" s="23" t="n"/>
      <c r="AL58" s="23" t="n"/>
      <c r="AM58" s="23" t="n"/>
      <c r="AN58" s="23" t="n"/>
      <c r="AO58" s="23" t="n"/>
      <c r="AP58" s="23" t="n"/>
      <c r="AQ58" s="23" t="n"/>
      <c r="AR58" s="23" t="n"/>
      <c r="AS58" s="23" t="n"/>
      <c r="AT58" s="23" t="n"/>
    </row>
    <row r="59" ht="15" customHeight="1">
      <c r="A59" s="7" t="n"/>
      <c r="B59" s="7" t="n"/>
      <c r="C59" s="23" t="n"/>
      <c r="D59" s="41" t="inlineStr">
        <is>
          <t>T</t>
        </is>
      </c>
      <c r="E59" s="41" t="inlineStr">
        <is>
          <t>E</t>
        </is>
      </c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41" t="inlineStr">
        <is>
          <t>T</t>
        </is>
      </c>
      <c r="S59" s="41" t="inlineStr">
        <is>
          <t>E</t>
        </is>
      </c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  <c r="AE59" s="23" t="n"/>
      <c r="AF59" s="23" t="n"/>
      <c r="AG59" s="23" t="n"/>
      <c r="AH59" s="23" t="n"/>
      <c r="AI59" s="23" t="n"/>
      <c r="AJ59" s="23" t="n"/>
      <c r="AK59" s="23" t="n"/>
      <c r="AL59" s="23" t="n"/>
      <c r="AM59" s="23" t="n"/>
      <c r="AN59" s="23" t="n"/>
      <c r="AO59" s="23" t="n"/>
      <c r="AP59" s="23" t="n"/>
      <c r="AQ59" s="23" t="n"/>
      <c r="AR59" s="23" t="n"/>
      <c r="AS59" s="23" t="n"/>
      <c r="AT59" s="23" t="n"/>
    </row>
    <row r="60" ht="15" customHeight="1">
      <c r="A60" s="7" t="n"/>
      <c r="B60" s="7" t="n"/>
      <c r="C60" s="23" t="n"/>
      <c r="D60" s="42" t="n"/>
      <c r="E60" s="42" t="n"/>
      <c r="F60" s="43" t="inlineStr">
        <is>
          <t>Atletismo</t>
        </is>
      </c>
      <c r="M60" s="44" t="inlineStr">
        <is>
          <t>For</t>
        </is>
      </c>
      <c r="O60" s="45">
        <f>$D$17+IF($E$60=TRUE,(1+COUNTIF(DADOS!$X$5:$X$7,"&lt;="&amp;$AH$11))+INT((1+COUNTIF(DADOS!$X$5:$X$7,"&lt;="&amp;$AH$11))/2),IF($D$60=TRUE,(1+COUNTIF(DADOS!$X$5:$X$7,"&lt;="&amp;$AH$11)),0))</f>
        <v/>
      </c>
      <c r="Q60" s="23" t="n"/>
      <c r="R60" s="42" t="n"/>
      <c r="S60" s="42" t="n"/>
      <c r="T60" s="43" t="inlineStr">
        <is>
          <t>Sobrevivência</t>
        </is>
      </c>
      <c r="AA60" s="44" t="inlineStr">
        <is>
          <t>Int</t>
        </is>
      </c>
      <c r="AC60" s="45">
        <f>$AB$17+IF($S$60=TRUE,(1+COUNTIF(DADOS!$X$5:$X$7,"&lt;="&amp;$AH$11))+INT((1+COUNTIF(DADOS!$X$5:$X$7,"&lt;="&amp;$AH$11))/2),IF($R$60=TRUE,(1+COUNTIF(DADOS!$X$5:$X$7,"&lt;="&amp;$AH$11)),0))</f>
        <v/>
      </c>
      <c r="AE60" s="23" t="n"/>
      <c r="AF60" s="23" t="n"/>
      <c r="AG60" s="23" t="n"/>
      <c r="AH60" s="23" t="n"/>
      <c r="AI60" s="23" t="n"/>
      <c r="AJ60" s="23" t="n"/>
      <c r="AK60" s="23" t="n"/>
      <c r="AL60" s="23" t="n"/>
      <c r="AM60" s="23" t="n"/>
      <c r="AN60" s="23" t="n"/>
      <c r="AO60" s="23" t="n"/>
      <c r="AP60" s="23" t="n"/>
      <c r="AQ60" s="23" t="n"/>
      <c r="AR60" s="23" t="n"/>
      <c r="AS60" s="23" t="n"/>
      <c r="AT60" s="23" t="n"/>
    </row>
    <row r="61" ht="15" customHeight="1">
      <c r="A61" s="7" t="n"/>
      <c r="B61" s="7" t="n"/>
      <c r="C61" s="23" t="n"/>
      <c r="D61" s="46" t="n"/>
      <c r="E61" s="46" t="n"/>
      <c r="F61" s="47" t="inlineStr">
        <is>
          <t>Acrobacia</t>
        </is>
      </c>
      <c r="G61" s="48" t="n"/>
      <c r="H61" s="48" t="n"/>
      <c r="I61" s="48" t="n"/>
      <c r="J61" s="48" t="n"/>
      <c r="K61" s="48" t="n"/>
      <c r="L61" s="48" t="n"/>
      <c r="M61" s="49" t="inlineStr">
        <is>
          <t>Des</t>
        </is>
      </c>
      <c r="N61" s="48" t="n"/>
      <c r="O61" s="50">
        <f>$L$17+IF($E$61=TRUE,(1+COUNTIF(DADOS!$X$5:$X$7,"&lt;="&amp;$AH$11))+INT((1+COUNTIF(DADOS!$X$5:$X$7,"&lt;="&amp;$AH$11))/2),IF($D$61=TRUE,(1+COUNTIF(DADOS!$X$5:$X$7,"&lt;="&amp;$AH$11)),0))</f>
        <v/>
      </c>
      <c r="P61" s="48" t="n"/>
      <c r="Q61" s="23" t="n"/>
      <c r="R61" s="46" t="n"/>
      <c r="S61" s="46" t="n"/>
      <c r="T61" s="47" t="inlineStr">
        <is>
          <t>Natureza</t>
        </is>
      </c>
      <c r="U61" s="48" t="n"/>
      <c r="V61" s="48" t="n"/>
      <c r="W61" s="48" t="n"/>
      <c r="X61" s="48" t="n"/>
      <c r="Y61" s="48" t="n"/>
      <c r="Z61" s="48" t="n"/>
      <c r="AA61" s="49" t="inlineStr">
        <is>
          <t>Int</t>
        </is>
      </c>
      <c r="AB61" s="48" t="n"/>
      <c r="AC61" s="50">
        <f>$AB$17+IF($S$61=TRUE,(1+COUNTIF(DADOS!$X$5:$X$7,"&lt;="&amp;$AH$11))+INT((1+COUNTIF(DADOS!$X$5:$X$7,"&lt;="&amp;$AH$11))/2),IF($R$61=TRUE,(1+COUNTIF(DADOS!$X$5:$X$7,"&lt;="&amp;$AH$11)),0))</f>
        <v/>
      </c>
      <c r="AD61" s="48" t="n"/>
      <c r="AE61" s="23" t="n"/>
      <c r="AF61" s="23" t="n"/>
      <c r="AG61" s="23" t="n"/>
      <c r="AH61" s="23" t="n"/>
      <c r="AI61" s="23" t="n"/>
      <c r="AJ61" s="23" t="n"/>
      <c r="AK61" s="23" t="n"/>
      <c r="AL61" s="23" t="n"/>
      <c r="AM61" s="23" t="n"/>
      <c r="AN61" s="23" t="n"/>
      <c r="AO61" s="23" t="n"/>
      <c r="AP61" s="23" t="n"/>
      <c r="AQ61" s="23" t="n"/>
      <c r="AR61" s="23" t="n"/>
      <c r="AS61" s="23" t="n"/>
      <c r="AT61" s="23" t="n"/>
    </row>
    <row r="62" ht="15" customHeight="1">
      <c r="A62" s="7" t="n"/>
      <c r="B62" s="7" t="n"/>
      <c r="C62" s="23" t="n"/>
      <c r="D62" s="46" t="n"/>
      <c r="E62" s="46" t="n"/>
      <c r="F62" s="47" t="inlineStr">
        <is>
          <t>Furtividade</t>
        </is>
      </c>
      <c r="G62" s="48" t="n"/>
      <c r="H62" s="48" t="n"/>
      <c r="I62" s="48" t="n"/>
      <c r="J62" s="48" t="n"/>
      <c r="K62" s="48" t="n"/>
      <c r="L62" s="48" t="n"/>
      <c r="M62" s="49" t="inlineStr">
        <is>
          <t>Des</t>
        </is>
      </c>
      <c r="N62" s="48" t="n"/>
      <c r="O62" s="50">
        <f>$L$17+IF($E$62=TRUE,(1+COUNTIF(DADOS!$X$5:$X$7,"&lt;="&amp;$AH$11))+INT((1+COUNTIF(DADOS!$X$5:$X$7,"&lt;="&amp;$AH$11))/2),IF($D$62=TRUE,(1+COUNTIF(DADOS!$X$5:$X$7,"&lt;="&amp;$AH$11)),0))</f>
        <v/>
      </c>
      <c r="P62" s="48" t="n"/>
      <c r="Q62" s="23" t="n"/>
      <c r="R62" s="46" t="n"/>
      <c r="S62" s="46" t="n"/>
      <c r="T62" s="47" t="inlineStr">
        <is>
          <t>Lidar com Animais</t>
        </is>
      </c>
      <c r="U62" s="48" t="n"/>
      <c r="V62" s="48" t="n"/>
      <c r="W62" s="48" t="n"/>
      <c r="X62" s="48" t="n"/>
      <c r="Y62" s="48" t="n"/>
      <c r="Z62" s="48" t="n"/>
      <c r="AA62" s="49" t="inlineStr">
        <is>
          <t>Int</t>
        </is>
      </c>
      <c r="AB62" s="48" t="n"/>
      <c r="AC62" s="50">
        <f>$AB$17+IF($S$62=TRUE,(1+COUNTIF(DADOS!$X$5:$X$7,"&lt;="&amp;$AH$11))+INT((1+COUNTIF(DADOS!$X$5:$X$7,"&lt;="&amp;$AH$11))/2),IF($R$62=TRUE,(1+COUNTIF(DADOS!$X$5:$X$7,"&lt;="&amp;$AH$11)),0))</f>
        <v/>
      </c>
      <c r="AD62" s="48" t="n"/>
      <c r="AE62" s="23" t="n"/>
      <c r="AF62" s="23" t="n"/>
      <c r="AG62" s="23" t="n"/>
      <c r="AH62" s="23" t="n"/>
      <c r="AI62" s="23" t="n"/>
      <c r="AJ62" s="23" t="n"/>
      <c r="AK62" s="23" t="n"/>
      <c r="AL62" s="23" t="n"/>
      <c r="AM62" s="23" t="n"/>
      <c r="AN62" s="23" t="n"/>
      <c r="AO62" s="23" t="n"/>
      <c r="AP62" s="23" t="n"/>
      <c r="AQ62" s="23" t="n"/>
      <c r="AR62" s="23" t="n"/>
      <c r="AS62" s="23" t="n"/>
      <c r="AT62" s="23" t="n"/>
    </row>
    <row r="63" ht="15" customHeight="1">
      <c r="A63" s="7" t="n"/>
      <c r="B63" s="7" t="n"/>
      <c r="C63" s="23" t="n"/>
      <c r="D63" s="46" t="n"/>
      <c r="E63" s="46" t="n"/>
      <c r="F63" s="47" t="inlineStr">
        <is>
          <t>Pontaria</t>
        </is>
      </c>
      <c r="G63" s="48" t="n"/>
      <c r="H63" s="48" t="n"/>
      <c r="I63" s="48" t="n"/>
      <c r="J63" s="48" t="n"/>
      <c r="K63" s="48" t="n"/>
      <c r="L63" s="48" t="n"/>
      <c r="M63" s="49" t="inlineStr">
        <is>
          <t>Des</t>
        </is>
      </c>
      <c r="N63" s="48" t="n"/>
      <c r="O63" s="50">
        <f>$L$17+IF($E$63=TRUE,(1+COUNTIF(DADOS!$X$5:$X$7,"&lt;="&amp;$AH$11))+INT((1+COUNTIF(DADOS!$X$5:$X$7,"&lt;="&amp;$AH$11))/2),IF($D$63=TRUE,(1+COUNTIF(DADOS!$X$5:$X$7,"&lt;="&amp;$AH$11)),0))</f>
        <v/>
      </c>
      <c r="P63" s="48" t="n"/>
      <c r="Q63" s="23" t="n"/>
      <c r="R63" s="46" t="n"/>
      <c r="S63" s="46" t="n"/>
      <c r="T63" s="47" t="inlineStr">
        <is>
          <t>Tecnologia</t>
        </is>
      </c>
      <c r="U63" s="48" t="n"/>
      <c r="V63" s="48" t="n"/>
      <c r="W63" s="48" t="n"/>
      <c r="X63" s="48" t="n"/>
      <c r="Y63" s="48" t="n"/>
      <c r="Z63" s="48" t="n"/>
      <c r="AA63" s="49" t="inlineStr">
        <is>
          <t>Int</t>
        </is>
      </c>
      <c r="AB63" s="48" t="n"/>
      <c r="AC63" s="50">
        <f>$AB$17+IF($S$63=TRUE,(1+COUNTIF(DADOS!$X$5:$X$7,"&lt;="&amp;$AH$11))+INT((1+COUNTIF(DADOS!$X$5:$X$7,"&lt;="&amp;$AH$11))/2),IF($R$63=TRUE,(1+COUNTIF(DADOS!$X$5:$X$7,"&lt;="&amp;$AH$11)),0))</f>
        <v/>
      </c>
      <c r="AD63" s="48" t="n"/>
      <c r="AE63" s="23" t="n"/>
      <c r="AF63" s="23" t="n"/>
      <c r="AG63" s="23" t="n"/>
      <c r="AH63" s="23" t="n"/>
      <c r="AI63" s="23" t="n"/>
      <c r="AJ63" s="23" t="n"/>
      <c r="AK63" s="23" t="n"/>
      <c r="AL63" s="23" t="n"/>
      <c r="AM63" s="23" t="n"/>
      <c r="AN63" s="23" t="n"/>
      <c r="AO63" s="23" t="n"/>
      <c r="AP63" s="23" t="n"/>
      <c r="AQ63" s="23" t="n"/>
      <c r="AR63" s="23" t="n"/>
      <c r="AS63" s="23" t="n"/>
      <c r="AT63" s="23" t="n"/>
    </row>
    <row r="64" ht="15" customHeight="1">
      <c r="A64" s="7" t="n"/>
      <c r="B64" s="7" t="n"/>
      <c r="C64" s="23" t="n"/>
      <c r="D64" s="46" t="n"/>
      <c r="E64" s="46" t="n"/>
      <c r="F64" s="47" t="inlineStr">
        <is>
          <t>Prestidigitação</t>
        </is>
      </c>
      <c r="G64" s="48" t="n"/>
      <c r="H64" s="48" t="n"/>
      <c r="I64" s="48" t="n"/>
      <c r="J64" s="48" t="n"/>
      <c r="K64" s="48" t="n"/>
      <c r="L64" s="48" t="n"/>
      <c r="M64" s="49" t="inlineStr">
        <is>
          <t>Des</t>
        </is>
      </c>
      <c r="N64" s="48" t="n"/>
      <c r="O64" s="50">
        <f>$L$17+IF($E$64=TRUE,(1+COUNTIF(DADOS!$X$5:$X$7,"&lt;="&amp;$AH$11))+INT((1+COUNTIF(DADOS!$X$5:$X$7,"&lt;="&amp;$AH$11))/2),IF($D$64=TRUE,(1+COUNTIF(DADOS!$X$5:$X$7,"&lt;="&amp;$AH$11)),0))</f>
        <v/>
      </c>
      <c r="P64" s="48" t="n"/>
      <c r="Q64" s="23" t="n"/>
      <c r="R64" s="46" t="n"/>
      <c r="S64" s="46" t="n"/>
      <c r="T64" s="47" t="inlineStr">
        <is>
          <t>Sentir Energia</t>
        </is>
      </c>
      <c r="U64" s="48" t="n"/>
      <c r="V64" s="48" t="n"/>
      <c r="W64" s="48" t="n"/>
      <c r="X64" s="48" t="n"/>
      <c r="Y64" s="48" t="n"/>
      <c r="Z64" s="48" t="n"/>
      <c r="AA64" s="49" t="inlineStr">
        <is>
          <t>Ess</t>
        </is>
      </c>
      <c r="AB64" s="48" t="n"/>
      <c r="AC64" s="50">
        <f>$AJ$17+IF($S$64=TRUE,(1+COUNTIF(DADOS!$X$5:$X$7,"&lt;="&amp;$AH$11))+INT((1+COUNTIF(DADOS!$X$5:$X$7,"&lt;="&amp;$AH$11))/2),IF($R$64=TRUE,(1+COUNTIF(DADOS!$X$5:$X$7,"&lt;="&amp;$AH$11)),0))</f>
        <v/>
      </c>
      <c r="AD64" s="48" t="n"/>
      <c r="AE64" s="23" t="n"/>
      <c r="AF64" s="23" t="n"/>
      <c r="AG64" s="23" t="n"/>
      <c r="AH64" s="23" t="n"/>
      <c r="AI64" s="23" t="n"/>
      <c r="AJ64" s="23" t="n"/>
      <c r="AK64" s="23" t="n"/>
      <c r="AL64" s="23" t="n"/>
      <c r="AM64" s="23" t="n"/>
      <c r="AN64" s="23" t="n"/>
      <c r="AO64" s="23" t="n"/>
      <c r="AP64" s="23" t="n"/>
      <c r="AQ64" s="23" t="n"/>
      <c r="AR64" s="23" t="n"/>
      <c r="AS64" s="23" t="n"/>
      <c r="AT64" s="23" t="n"/>
    </row>
    <row r="65" ht="15" customHeight="1">
      <c r="A65" s="7" t="n"/>
      <c r="B65" s="7" t="n"/>
      <c r="C65" s="23" t="n"/>
      <c r="D65" s="46" t="n"/>
      <c r="E65" s="46" t="n"/>
      <c r="F65" s="47" t="inlineStr">
        <is>
          <t>Investigação</t>
        </is>
      </c>
      <c r="G65" s="48" t="n"/>
      <c r="H65" s="48" t="n"/>
      <c r="I65" s="48" t="n"/>
      <c r="J65" s="48" t="n"/>
      <c r="K65" s="48" t="n"/>
      <c r="L65" s="48" t="n"/>
      <c r="M65" s="49" t="inlineStr">
        <is>
          <t>Int</t>
        </is>
      </c>
      <c r="N65" s="48" t="n"/>
      <c r="O65" s="50">
        <f>$AB$17+IF($E$65=TRUE,(1+COUNTIF(DADOS!$X$5:$X$7,"&lt;="&amp;$AH$11))+INT((1+COUNTIF(DADOS!$X$5:$X$7,"&lt;="&amp;$AH$11))/2),IF($D$65=TRUE,(1+COUNTIF(DADOS!$X$5:$X$7,"&lt;="&amp;$AH$11)),0))</f>
        <v/>
      </c>
      <c r="P65" s="48" t="n"/>
      <c r="Q65" s="23" t="n"/>
      <c r="R65" s="46" t="n"/>
      <c r="S65" s="46" t="n"/>
      <c r="T65" s="47" t="inlineStr">
        <is>
          <t>Percepção</t>
        </is>
      </c>
      <c r="U65" s="48" t="n"/>
      <c r="V65" s="48" t="n"/>
      <c r="W65" s="48" t="n"/>
      <c r="X65" s="48" t="n"/>
      <c r="Y65" s="48" t="n"/>
      <c r="Z65" s="48" t="n"/>
      <c r="AA65" s="49" t="inlineStr">
        <is>
          <t>Ess</t>
        </is>
      </c>
      <c r="AB65" s="48" t="n"/>
      <c r="AC65" s="50">
        <f>$AJ$17+IF($S$65=TRUE,(1+COUNTIF(DADOS!$X$5:$X$7,"&lt;="&amp;$AH$11))+INT((1+COUNTIF(DADOS!$X$5:$X$7,"&lt;="&amp;$AH$11))/2),IF($R$65=TRUE,(1+COUNTIF(DADOS!$X$5:$X$7,"&lt;="&amp;$AH$11)),0))</f>
        <v/>
      </c>
      <c r="AD65" s="48" t="n"/>
      <c r="AE65" s="23" t="n"/>
      <c r="AF65" s="23" t="n"/>
      <c r="AG65" s="23" t="n"/>
      <c r="AH65" s="23" t="n"/>
      <c r="AI65" s="23" t="n"/>
      <c r="AJ65" s="23" t="n"/>
      <c r="AK65" s="23" t="n"/>
      <c r="AL65" s="23" t="n"/>
      <c r="AM65" s="23" t="n"/>
      <c r="AN65" s="23" t="n"/>
      <c r="AO65" s="23" t="n"/>
      <c r="AP65" s="23" t="n"/>
      <c r="AQ65" s="23" t="n"/>
      <c r="AR65" s="23" t="n"/>
      <c r="AS65" s="23" t="n"/>
      <c r="AT65" s="23" t="n"/>
    </row>
    <row r="66" ht="15" customHeight="1">
      <c r="A66" s="7" t="n"/>
      <c r="B66" s="7" t="n"/>
      <c r="C66" s="23" t="n"/>
      <c r="D66" s="46" t="n"/>
      <c r="E66" s="46" t="n"/>
      <c r="F66" s="47" t="inlineStr">
        <is>
          <t>Intuição</t>
        </is>
      </c>
      <c r="G66" s="48" t="n"/>
      <c r="H66" s="48" t="n"/>
      <c r="I66" s="48" t="n"/>
      <c r="J66" s="48" t="n"/>
      <c r="K66" s="48" t="n"/>
      <c r="L66" s="48" t="n"/>
      <c r="M66" s="49" t="inlineStr">
        <is>
          <t>Int</t>
        </is>
      </c>
      <c r="N66" s="48" t="n"/>
      <c r="O66" s="50">
        <f>$AB$17+IF($E$66=TRUE,(1+COUNTIF(DADOS!$X$5:$X$7,"&lt;="&amp;$AH$11))+INT((1+COUNTIF(DADOS!$X$5:$X$7,"&lt;="&amp;$AH$11))/2),IF($D$66=TRUE,(1+COUNTIF(DADOS!$X$5:$X$7,"&lt;="&amp;$AH$11)),0))</f>
        <v/>
      </c>
      <c r="P66" s="48" t="n"/>
      <c r="Q66" s="23" t="n"/>
      <c r="R66" s="46" t="n"/>
      <c r="S66" s="46" t="n"/>
      <c r="T66" s="47" t="inlineStr">
        <is>
          <t>Persuasão</t>
        </is>
      </c>
      <c r="U66" s="48" t="n"/>
      <c r="V66" s="48" t="n"/>
      <c r="W66" s="48" t="n"/>
      <c r="X66" s="48" t="n"/>
      <c r="Y66" s="48" t="n"/>
      <c r="Z66" s="48" t="n"/>
      <c r="AA66" s="49" t="inlineStr">
        <is>
          <t>Ess</t>
        </is>
      </c>
      <c r="AB66" s="48" t="n"/>
      <c r="AC66" s="50">
        <f>$AJ$17+IF($S$66=TRUE,(1+COUNTIF(DADOS!$X$5:$X$7,"&lt;="&amp;$AH$11))+INT((1+COUNTIF(DADOS!$X$5:$X$7,"&lt;="&amp;$AH$11))/2),IF($R$66=TRUE,(1+COUNTIF(DADOS!$X$5:$X$7,"&lt;="&amp;$AH$11)),0))</f>
        <v/>
      </c>
      <c r="AD66" s="48" t="n"/>
      <c r="AE66" s="23" t="n"/>
      <c r="AF66" s="23" t="n"/>
      <c r="AG66" s="23" t="n"/>
      <c r="AH66" s="23" t="n"/>
      <c r="AI66" s="23" t="n"/>
      <c r="AJ66" s="23" t="n"/>
      <c r="AK66" s="23" t="n"/>
      <c r="AL66" s="23" t="n"/>
      <c r="AM66" s="23" t="n"/>
      <c r="AN66" s="23" t="n"/>
      <c r="AO66" s="23" t="n"/>
      <c r="AP66" s="23" t="n"/>
      <c r="AQ66" s="23" t="n"/>
      <c r="AR66" s="23" t="n"/>
      <c r="AS66" s="23" t="n"/>
      <c r="AT66" s="23" t="n"/>
    </row>
    <row r="67" ht="15" customHeight="1">
      <c r="A67" s="7" t="n"/>
      <c r="B67" s="7" t="n"/>
      <c r="C67" s="23" t="n"/>
      <c r="D67" s="46" t="n"/>
      <c r="E67" s="46" t="n"/>
      <c r="F67" s="47" t="inlineStr">
        <is>
          <t>Ocultismo</t>
        </is>
      </c>
      <c r="G67" s="48" t="n"/>
      <c r="H67" s="48" t="n"/>
      <c r="I67" s="48" t="n"/>
      <c r="J67" s="48" t="n"/>
      <c r="K67" s="48" t="n"/>
      <c r="L67" s="48" t="n"/>
      <c r="M67" s="49" t="inlineStr">
        <is>
          <t>Int</t>
        </is>
      </c>
      <c r="N67" s="48" t="n"/>
      <c r="O67" s="50">
        <f>$AB$17+IF($E$67=TRUE,(1+COUNTIF(DADOS!$X$5:$X$7,"&lt;="&amp;$AH$11))+INT((1+COUNTIF(DADOS!$X$5:$X$7,"&lt;="&amp;$AH$11))/2),IF($D$67=TRUE,(1+COUNTIF(DADOS!$X$5:$X$7,"&lt;="&amp;$AH$11)),0))</f>
        <v/>
      </c>
      <c r="P67" s="48" t="n"/>
      <c r="Q67" s="23" t="n"/>
      <c r="R67" s="46" t="n"/>
      <c r="S67" s="46" t="n"/>
      <c r="T67" s="47" t="inlineStr">
        <is>
          <t>Enganação</t>
        </is>
      </c>
      <c r="U67" s="48" t="n"/>
      <c r="V67" s="48" t="n"/>
      <c r="W67" s="48" t="n"/>
      <c r="X67" s="48" t="n"/>
      <c r="Y67" s="48" t="n"/>
      <c r="Z67" s="48" t="n"/>
      <c r="AA67" s="49" t="inlineStr">
        <is>
          <t>Ess</t>
        </is>
      </c>
      <c r="AB67" s="48" t="n"/>
      <c r="AC67" s="50">
        <f>$AJ$17+IF($S$67=TRUE,(1+COUNTIF(DADOS!$X$5:$X$7,"&lt;="&amp;$AH$11))+INT((1+COUNTIF(DADOS!$X$5:$X$7,"&lt;="&amp;$AH$11))/2),IF($R$67=TRUE,(1+COUNTIF(DADOS!$X$5:$X$7,"&lt;="&amp;$AH$11)),0))</f>
        <v/>
      </c>
      <c r="AD67" s="48" t="n"/>
      <c r="AE67" s="23" t="n"/>
      <c r="AF67" s="23" t="n"/>
      <c r="AG67" s="23" t="n"/>
      <c r="AH67" s="23" t="n"/>
      <c r="AI67" s="23" t="n"/>
      <c r="AJ67" s="23" t="n"/>
      <c r="AK67" s="23" t="n"/>
      <c r="AL67" s="23" t="n"/>
      <c r="AM67" s="23" t="n"/>
      <c r="AN67" s="23" t="n"/>
      <c r="AO67" s="23" t="n"/>
      <c r="AP67" s="23" t="n"/>
      <c r="AQ67" s="23" t="n"/>
      <c r="AR67" s="23" t="n"/>
      <c r="AS67" s="23" t="n"/>
      <c r="AT67" s="23" t="n"/>
    </row>
    <row r="68" ht="15" customHeight="1">
      <c r="A68" s="7" t="n"/>
      <c r="B68" s="7" t="n"/>
      <c r="C68" s="23" t="n"/>
      <c r="D68" s="46" t="n"/>
      <c r="E68" s="46" t="n"/>
      <c r="F68" s="47" t="inlineStr">
        <is>
          <t>Religião</t>
        </is>
      </c>
      <c r="G68" s="48" t="n"/>
      <c r="H68" s="48" t="n"/>
      <c r="I68" s="48" t="n"/>
      <c r="J68" s="48" t="n"/>
      <c r="K68" s="48" t="n"/>
      <c r="L68" s="48" t="n"/>
      <c r="M68" s="49" t="inlineStr">
        <is>
          <t>Int</t>
        </is>
      </c>
      <c r="N68" s="48" t="n"/>
      <c r="O68" s="50">
        <f>$AB$17+IF($E$68=TRUE,(1+COUNTIF(DADOS!$X$5:$X$7,"&lt;="&amp;$AH$11))+INT((1+COUNTIF(DADOS!$X$5:$X$7,"&lt;="&amp;$AH$11))/2),IF($D$68=TRUE,(1+COUNTIF(DADOS!$X$5:$X$7,"&lt;="&amp;$AH$11)),0))</f>
        <v/>
      </c>
      <c r="P68" s="48" t="n"/>
      <c r="Q68" s="23" t="n"/>
      <c r="R68" s="46" t="n"/>
      <c r="S68" s="46" t="n"/>
      <c r="T68" s="47" t="inlineStr">
        <is>
          <t>Intimidação</t>
        </is>
      </c>
      <c r="U68" s="48" t="n"/>
      <c r="V68" s="48" t="n"/>
      <c r="W68" s="48" t="n"/>
      <c r="X68" s="48" t="n"/>
      <c r="Y68" s="48" t="n"/>
      <c r="Z68" s="48" t="n"/>
      <c r="AA68" s="49" t="inlineStr">
        <is>
          <t>Ess</t>
        </is>
      </c>
      <c r="AB68" s="48" t="n"/>
      <c r="AC68" s="50">
        <f>$AJ$17+IF($S$68=TRUE,(1+COUNTIF(DADOS!$X$5:$X$7,"&lt;="&amp;$AH$11))+INT((1+COUNTIF(DADOS!$X$5:$X$7,"&lt;="&amp;$AH$11))/2),IF($R$68=TRUE,(1+COUNTIF(DADOS!$X$5:$X$7,"&lt;="&amp;$AH$11)),0))</f>
        <v/>
      </c>
      <c r="AD68" s="48" t="n"/>
      <c r="AE68" s="23" t="n"/>
      <c r="AF68" s="23" t="n"/>
      <c r="AG68" s="23" t="n"/>
      <c r="AH68" s="23" t="n"/>
      <c r="AI68" s="23" t="n"/>
      <c r="AJ68" s="23" t="n"/>
      <c r="AK68" s="23" t="n"/>
      <c r="AL68" s="23" t="n"/>
      <c r="AM68" s="23" t="n"/>
      <c r="AN68" s="23" t="n"/>
      <c r="AO68" s="23" t="n"/>
      <c r="AP68" s="23" t="n"/>
      <c r="AQ68" s="23" t="n"/>
      <c r="AR68" s="23" t="n"/>
      <c r="AS68" s="23" t="n"/>
      <c r="AT68" s="23" t="n"/>
    </row>
    <row r="69" ht="15" customHeight="1">
      <c r="A69" s="7" t="n"/>
      <c r="B69" s="7" t="n"/>
      <c r="C69" s="23" t="n"/>
      <c r="D69" s="46" t="n"/>
      <c r="E69" s="46" t="n"/>
      <c r="F69" s="47" t="inlineStr">
        <is>
          <t>História</t>
        </is>
      </c>
      <c r="G69" s="48" t="n"/>
      <c r="H69" s="48" t="n"/>
      <c r="I69" s="48" t="n"/>
      <c r="J69" s="48" t="n"/>
      <c r="K69" s="48" t="n"/>
      <c r="L69" s="48" t="n"/>
      <c r="M69" s="49" t="inlineStr">
        <is>
          <t>Int</t>
        </is>
      </c>
      <c r="N69" s="48" t="n"/>
      <c r="O69" s="50">
        <f>$AB$17+IF($E$69=TRUE,(1+COUNTIF(DADOS!$X$5:$X$7,"&lt;="&amp;$AH$11))+INT((1+COUNTIF(DADOS!$X$5:$X$7,"&lt;="&amp;$AH$11))/2),IF($D$69=TRUE,(1+COUNTIF(DADOS!$X$5:$X$7,"&lt;="&amp;$AH$11)),0))</f>
        <v/>
      </c>
      <c r="P69" s="48" t="n"/>
      <c r="Q69" s="23" t="n"/>
      <c r="R69" s="46" t="n"/>
      <c r="S69" s="46" t="n"/>
      <c r="T69" s="47" t="inlineStr">
        <is>
          <t>Atuação</t>
        </is>
      </c>
      <c r="U69" s="48" t="n"/>
      <c r="V69" s="48" t="n"/>
      <c r="W69" s="48" t="n"/>
      <c r="X69" s="48" t="n"/>
      <c r="Y69" s="48" t="n"/>
      <c r="Z69" s="48" t="n"/>
      <c r="AA69" s="49" t="inlineStr">
        <is>
          <t>Ess</t>
        </is>
      </c>
      <c r="AB69" s="48" t="n"/>
      <c r="AC69" s="50">
        <f>$AJ$17+IF($S$69=TRUE,(1+COUNTIF(DADOS!$X$5:$X$7,"&lt;="&amp;$AH$11))+INT((1+COUNTIF(DADOS!$X$5:$X$7,"&lt;="&amp;$AH$11))/2),IF($R$69=TRUE,(1+COUNTIF(DADOS!$X$5:$X$7,"&lt;="&amp;$AH$11)),0))</f>
        <v/>
      </c>
      <c r="AD69" s="48" t="n"/>
      <c r="AE69" s="23" t="n"/>
      <c r="AF69" s="23" t="n"/>
      <c r="AG69" s="23" t="n"/>
      <c r="AH69" s="23" t="n"/>
      <c r="AI69" s="23" t="n"/>
      <c r="AJ69" s="23" t="n"/>
      <c r="AK69" s="23" t="n"/>
      <c r="AL69" s="23" t="n"/>
      <c r="AM69" s="23" t="n"/>
      <c r="AN69" s="23" t="n"/>
      <c r="AO69" s="23" t="n"/>
      <c r="AP69" s="23" t="n"/>
      <c r="AQ69" s="23" t="n"/>
      <c r="AR69" s="23" t="n"/>
      <c r="AS69" s="23" t="n"/>
      <c r="AT69" s="23" t="n"/>
    </row>
    <row r="70" ht="15" customHeight="1">
      <c r="A70" s="7" t="n"/>
      <c r="B70" s="7" t="n"/>
      <c r="C70" s="23" t="n"/>
      <c r="D70" s="46" t="n"/>
      <c r="E70" s="46" t="n"/>
      <c r="F70" s="47" t="inlineStr">
        <is>
          <t>Hierarquia</t>
        </is>
      </c>
      <c r="G70" s="48" t="n"/>
      <c r="H70" s="48" t="n"/>
      <c r="I70" s="48" t="n"/>
      <c r="J70" s="48" t="n"/>
      <c r="K70" s="48" t="n"/>
      <c r="L70" s="48" t="n"/>
      <c r="M70" s="49" t="inlineStr">
        <is>
          <t>Int</t>
        </is>
      </c>
      <c r="N70" s="48" t="n"/>
      <c r="O70" s="50">
        <f>$AB$17+IF($E$70=TRUE,(1+COUNTIF(DADOS!$X$5:$X$7,"&lt;="&amp;$AH$11))+INT((1+COUNTIF(DADOS!$X$5:$X$7,"&lt;="&amp;$AH$11))/2),IF($D$70=TRUE,(1+COUNTIF(DADOS!$X$5:$X$7,"&lt;="&amp;$AH$11)),0))</f>
        <v/>
      </c>
      <c r="P70" s="48" t="n"/>
      <c r="Q70" s="23" t="n"/>
      <c r="R70" s="46" t="n"/>
      <c r="S70" s="46" t="n"/>
      <c r="T70" s="47" t="inlineStr">
        <is>
          <t>Provocar</t>
        </is>
      </c>
      <c r="U70" s="48" t="n"/>
      <c r="V70" s="48" t="n"/>
      <c r="W70" s="48" t="n"/>
      <c r="X70" s="48" t="n"/>
      <c r="Y70" s="48" t="n"/>
      <c r="Z70" s="48" t="n"/>
      <c r="AA70" s="49" t="inlineStr">
        <is>
          <t>Ess</t>
        </is>
      </c>
      <c r="AB70" s="48" t="n"/>
      <c r="AC70" s="50">
        <f>$AJ$17+IF($S$70=TRUE,(1+COUNTIF(DADOS!$X$5:$X$7,"&lt;="&amp;$AH$11))+INT((1+COUNTIF(DADOS!$X$5:$X$7,"&lt;="&amp;$AH$11))/2),IF($R$70=TRUE,(1+COUNTIF(DADOS!$X$5:$X$7,"&lt;="&amp;$AH$11)),0))</f>
        <v/>
      </c>
      <c r="AD70" s="48" t="n"/>
      <c r="AE70" s="23" t="n"/>
      <c r="AF70" s="23" t="n"/>
      <c r="AG70" s="23" t="n"/>
      <c r="AH70" s="23" t="n"/>
      <c r="AI70" s="23" t="n"/>
      <c r="AJ70" s="23" t="n"/>
      <c r="AK70" s="23" t="n"/>
      <c r="AL70" s="23" t="n"/>
      <c r="AM70" s="23" t="n"/>
      <c r="AN70" s="23" t="n"/>
      <c r="AO70" s="23" t="n"/>
      <c r="AP70" s="23" t="n"/>
      <c r="AQ70" s="23" t="n"/>
      <c r="AR70" s="23" t="n"/>
      <c r="AS70" s="23" t="n"/>
      <c r="AT70" s="23" t="n"/>
    </row>
    <row r="71" ht="15" customHeight="1">
      <c r="A71" s="7" t="n"/>
      <c r="B71" s="7" t="n"/>
      <c r="C71" s="23" t="n"/>
      <c r="D71" s="46" t="n"/>
      <c r="E71" s="46" t="n"/>
      <c r="F71" s="47" t="inlineStr">
        <is>
          <t>Medicina</t>
        </is>
      </c>
      <c r="G71" s="48" t="n"/>
      <c r="H71" s="48" t="n"/>
      <c r="I71" s="48" t="n"/>
      <c r="J71" s="48" t="n"/>
      <c r="K71" s="48" t="n"/>
      <c r="L71" s="48" t="n"/>
      <c r="M71" s="49" t="inlineStr">
        <is>
          <t>Int</t>
        </is>
      </c>
      <c r="N71" s="48" t="n"/>
      <c r="O71" s="50">
        <f>$AB$17+IF($E$71=TRUE,(1+COUNTIF(DADOS!$X$5:$X$7,"&lt;="&amp;$AH$11))+INT((1+COUNTIF(DADOS!$X$5:$X$7,"&lt;="&amp;$AH$11))/2),IF($D$71=TRUE,(1+COUNTIF(DADOS!$X$5:$X$7,"&lt;="&amp;$AH$11)),0))</f>
        <v/>
      </c>
      <c r="P71" s="48" t="n"/>
      <c r="Q71" s="23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51" t="n"/>
      <c r="AE71" s="23" t="n"/>
      <c r="AF71" s="23" t="n"/>
      <c r="AG71" s="23" t="n"/>
      <c r="AH71" s="23" t="n"/>
      <c r="AI71" s="23" t="n"/>
      <c r="AJ71" s="23" t="n"/>
      <c r="AK71" s="23" t="n"/>
      <c r="AL71" s="23" t="n"/>
      <c r="AM71" s="23" t="n"/>
      <c r="AN71" s="23" t="n"/>
      <c r="AO71" s="23" t="n"/>
      <c r="AP71" s="23" t="n"/>
      <c r="AQ71" s="23" t="n"/>
      <c r="AR71" s="23" t="n"/>
      <c r="AS71" s="23" t="n"/>
      <c r="AT71" s="23" t="n"/>
    </row>
    <row r="72" ht="15" customHeight="1">
      <c r="A72" s="7" t="n"/>
      <c r="B72" s="7" t="n"/>
      <c r="C72" s="23" t="n"/>
      <c r="D72" s="51" t="n"/>
      <c r="E72" s="51" t="n"/>
      <c r="F72" s="51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  <c r="AA72" s="23" t="n"/>
      <c r="AB72" s="23" t="n"/>
      <c r="AC72" s="23" t="n"/>
      <c r="AD72" s="23" t="n"/>
      <c r="AE72" s="23" t="n"/>
      <c r="AF72" s="23" t="n"/>
      <c r="AG72" s="23" t="n"/>
      <c r="AH72" s="23" t="n"/>
      <c r="AI72" s="23" t="n"/>
      <c r="AJ72" s="23" t="n"/>
      <c r="AK72" s="23" t="n"/>
      <c r="AL72" s="23" t="n"/>
      <c r="AM72" s="23" t="n"/>
      <c r="AN72" s="23" t="n"/>
      <c r="AO72" s="23" t="n"/>
      <c r="AP72" s="23" t="n"/>
      <c r="AQ72" s="23" t="n"/>
      <c r="AR72" s="23" t="n"/>
      <c r="AS72" s="23" t="n"/>
      <c r="AT72" s="23" t="n"/>
    </row>
    <row r="73" ht="15" customHeight="1">
      <c r="A73" s="7" t="n"/>
      <c r="B73" s="7" t="n"/>
      <c r="C73" s="23" t="n"/>
      <c r="D73" s="25" t="inlineStr">
        <is>
          <t>06</t>
        </is>
      </c>
      <c r="G73" s="26" t="inlineStr">
        <is>
          <t>OFÍCIOS · o atributo é sugestão — o mestre decide na mesa</t>
        </is>
      </c>
      <c r="AI73" s="23" t="n"/>
      <c r="AJ73" s="23" t="n"/>
      <c r="AK73" s="23" t="n"/>
      <c r="AL73" s="23" t="n"/>
      <c r="AM73" s="23" t="n"/>
      <c r="AN73" s="23" t="n"/>
      <c r="AO73" s="23" t="n"/>
      <c r="AP73" s="23" t="n"/>
      <c r="AQ73" s="23" t="n"/>
      <c r="AR73" s="23" t="n"/>
      <c r="AS73" s="23" t="n"/>
      <c r="AT73" s="23" t="n"/>
    </row>
    <row r="74" ht="15" customHeight="1">
      <c r="A74" s="7" t="n"/>
      <c r="B74" s="7" t="n"/>
      <c r="C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  <c r="AA74" s="23" t="n"/>
      <c r="AB74" s="23" t="n"/>
      <c r="AC74" s="23" t="n"/>
      <c r="AD74" s="23" t="n"/>
      <c r="AE74" s="23" t="n"/>
      <c r="AF74" s="23" t="n"/>
      <c r="AG74" s="23" t="n"/>
      <c r="AH74" s="23" t="n"/>
      <c r="AI74" s="23" t="n"/>
      <c r="AJ74" s="23" t="n"/>
      <c r="AK74" s="23" t="n"/>
      <c r="AL74" s="23" t="n"/>
      <c r="AM74" s="23" t="n"/>
      <c r="AN74" s="23" t="n"/>
      <c r="AO74" s="23" t="n"/>
      <c r="AP74" s="23" t="n"/>
      <c r="AQ74" s="23" t="n"/>
      <c r="AR74" s="23" t="n"/>
      <c r="AS74" s="23" t="n"/>
      <c r="AT74" s="23" t="n"/>
    </row>
    <row r="75" ht="15" customHeight="1">
      <c r="A75" s="7" t="n"/>
      <c r="B75" s="7" t="n"/>
      <c r="C75" s="23" t="n"/>
      <c r="D75" s="41" t="inlineStr">
        <is>
          <t>T</t>
        </is>
      </c>
      <c r="E75" s="41" t="inlineStr">
        <is>
          <t>E</t>
        </is>
      </c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41" t="inlineStr">
        <is>
          <t>T</t>
        </is>
      </c>
      <c r="S75" s="41" t="inlineStr">
        <is>
          <t>E</t>
        </is>
      </c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23" t="n"/>
      <c r="AD75" s="23" t="n"/>
      <c r="AE75" s="23" t="n"/>
      <c r="AF75" s="23" t="n"/>
      <c r="AG75" s="23" t="n"/>
      <c r="AH75" s="23" t="n"/>
      <c r="AI75" s="23" t="n"/>
      <c r="AJ75" s="23" t="n"/>
      <c r="AK75" s="23" t="n"/>
      <c r="AL75" s="23" t="n"/>
      <c r="AM75" s="23" t="n"/>
      <c r="AN75" s="23" t="n"/>
      <c r="AO75" s="23" t="n"/>
      <c r="AP75" s="23" t="n"/>
      <c r="AQ75" s="23" t="n"/>
      <c r="AR75" s="23" t="n"/>
      <c r="AS75" s="23" t="n"/>
      <c r="AT75" s="23" t="n"/>
    </row>
    <row r="76" ht="15" customHeight="1">
      <c r="A76" s="7" t="n"/>
      <c r="B76" s="7" t="n"/>
      <c r="C76" s="23" t="n"/>
      <c r="D76" s="42" t="n"/>
      <c r="E76" s="42" t="n"/>
      <c r="F76" s="43" t="inlineStr">
        <is>
          <t>Condução</t>
        </is>
      </c>
      <c r="K76" s="39" t="inlineStr">
        <is>
          <t>Destreza</t>
        </is>
      </c>
      <c r="O76" s="45">
        <f>IF($K$76="Força",$D$17,IF($K$76="Destreza",$L$17,IF($K$76="Constituição",$T$17,IF($K$76="Inteligência",$AB$17,IF($K$76="Essência",$AJ$17,0)))))+IF($E$76=TRUE,(1+COUNTIF(DADOS!$X$5:$X$7,"&lt;="&amp;$AH$11))+INT((1+COUNTIF(DADOS!$X$5:$X$7,"&lt;="&amp;$AH$11))/2),IF($D$76=TRUE,(1+COUNTIF(DADOS!$X$5:$X$7,"&lt;="&amp;$AH$11)),0))</f>
        <v/>
      </c>
      <c r="Q76" s="23" t="n"/>
      <c r="R76" s="42" t="n"/>
      <c r="S76" s="42" t="n"/>
      <c r="T76" s="43" t="inlineStr">
        <is>
          <t>Entalhador</t>
        </is>
      </c>
      <c r="Y76" s="39" t="inlineStr">
        <is>
          <t>Destreza</t>
        </is>
      </c>
      <c r="AC76" s="45">
        <f>IF($Y$76="Força",$D$17,IF($Y$76="Destreza",$L$17,IF($Y$76="Constituição",$T$17,IF($Y$76="Inteligência",$AB$17,IF($Y$76="Essência",$AJ$17,0)))))+IF($S$76=TRUE,(1+COUNTIF(DADOS!$X$5:$X$7,"&lt;="&amp;$AH$11))+INT((1+COUNTIF(DADOS!$X$5:$X$7,"&lt;="&amp;$AH$11))/2),IF($R$76=TRUE,(1+COUNTIF(DADOS!$X$5:$X$7,"&lt;="&amp;$AH$11)),0))</f>
        <v/>
      </c>
      <c r="AE76" s="23" t="n"/>
      <c r="AF76" s="23" t="n"/>
      <c r="AG76" s="23" t="n"/>
      <c r="AH76" s="23" t="n"/>
      <c r="AI76" s="23" t="n"/>
      <c r="AJ76" s="23" t="n"/>
      <c r="AK76" s="23" t="n"/>
      <c r="AL76" s="23" t="n"/>
      <c r="AM76" s="23" t="n"/>
      <c r="AN76" s="23" t="n"/>
      <c r="AO76" s="23" t="n"/>
      <c r="AP76" s="23" t="n"/>
      <c r="AQ76" s="23" t="n"/>
      <c r="AR76" s="23" t="n"/>
      <c r="AS76" s="23" t="n"/>
      <c r="AT76" s="23" t="n"/>
    </row>
    <row r="77" ht="15" customHeight="1">
      <c r="A77" s="7" t="n"/>
      <c r="B77" s="7" t="n"/>
      <c r="C77" s="23" t="n"/>
      <c r="D77" s="46" t="n"/>
      <c r="E77" s="46" t="n"/>
      <c r="F77" s="47" t="inlineStr">
        <is>
          <t>Arrombamento</t>
        </is>
      </c>
      <c r="G77" s="48" t="n"/>
      <c r="H77" s="48" t="n"/>
      <c r="I77" s="48" t="n"/>
      <c r="J77" s="48" t="n"/>
      <c r="K77" s="52" t="inlineStr">
        <is>
          <t>Destreza</t>
        </is>
      </c>
      <c r="L77" s="48" t="n"/>
      <c r="M77" s="48" t="n"/>
      <c r="N77" s="48" t="n"/>
      <c r="O77" s="50">
        <f>IF($K$77="Força",$D$17,IF($K$77="Destreza",$L$17,IF($K$77="Constituição",$T$17,IF($K$77="Inteligência",$AB$17,IF($K$77="Essência",$AJ$17,0)))))+IF($E$77=TRUE,(1+COUNTIF(DADOS!$X$5:$X$7,"&lt;="&amp;$AH$11))+INT((1+COUNTIF(DADOS!$X$5:$X$7,"&lt;="&amp;$AH$11))/2),IF($D$77=TRUE,(1+COUNTIF(DADOS!$X$5:$X$7,"&lt;="&amp;$AH$11)),0))</f>
        <v/>
      </c>
      <c r="P77" s="48" t="n"/>
      <c r="Q77" s="23" t="n"/>
      <c r="R77" s="46" t="n"/>
      <c r="S77" s="46" t="n"/>
      <c r="T77" s="47" t="inlineStr">
        <is>
          <t>Alfaiate</t>
        </is>
      </c>
      <c r="U77" s="48" t="n"/>
      <c r="V77" s="48" t="n"/>
      <c r="W77" s="48" t="n"/>
      <c r="X77" s="48" t="n"/>
      <c r="Y77" s="52" t="inlineStr">
        <is>
          <t>Destreza</t>
        </is>
      </c>
      <c r="Z77" s="48" t="n"/>
      <c r="AA77" s="48" t="n"/>
      <c r="AB77" s="48" t="n"/>
      <c r="AC77" s="50">
        <f>IF($Y$77="Força",$D$17,IF($Y$77="Destreza",$L$17,IF($Y$77="Constituição",$T$17,IF($Y$77="Inteligência",$AB$17,IF($Y$77="Essência",$AJ$17,0)))))+IF($S$77=TRUE,(1+COUNTIF(DADOS!$X$5:$X$7,"&lt;="&amp;$AH$11))+INT((1+COUNTIF(DADOS!$X$5:$X$7,"&lt;="&amp;$AH$11))/2),IF($R$77=TRUE,(1+COUNTIF(DADOS!$X$5:$X$7,"&lt;="&amp;$AH$11)),0))</f>
        <v/>
      </c>
      <c r="AD77" s="48" t="n"/>
      <c r="AE77" s="23" t="n"/>
      <c r="AF77" s="23" t="n"/>
      <c r="AG77" s="23" t="n"/>
      <c r="AH77" s="23" t="n"/>
      <c r="AI77" s="23" t="n"/>
      <c r="AJ77" s="23" t="n"/>
      <c r="AK77" s="23" t="n"/>
      <c r="AL77" s="23" t="n"/>
      <c r="AM77" s="23" t="n"/>
      <c r="AN77" s="23" t="n"/>
      <c r="AO77" s="23" t="n"/>
      <c r="AP77" s="23" t="n"/>
      <c r="AQ77" s="23" t="n"/>
      <c r="AR77" s="23" t="n"/>
      <c r="AS77" s="23" t="n"/>
      <c r="AT77" s="23" t="n"/>
    </row>
    <row r="78" ht="15" customHeight="1">
      <c r="A78" s="7" t="n"/>
      <c r="B78" s="7" t="n"/>
      <c r="C78" s="23" t="n"/>
      <c r="D78" s="46" t="n"/>
      <c r="E78" s="46" t="n"/>
      <c r="F78" s="47" t="inlineStr">
        <is>
          <t>Herbalismo</t>
        </is>
      </c>
      <c r="G78" s="48" t="n"/>
      <c r="H78" s="48" t="n"/>
      <c r="I78" s="48" t="n"/>
      <c r="J78" s="48" t="n"/>
      <c r="K78" s="52" t="inlineStr">
        <is>
          <t>Inteligência</t>
        </is>
      </c>
      <c r="L78" s="48" t="n"/>
      <c r="M78" s="48" t="n"/>
      <c r="N78" s="48" t="n"/>
      <c r="O78" s="50">
        <f>IF($K$78="Força",$D$17,IF($K$78="Destreza",$L$17,IF($K$78="Constituição",$T$17,IF($K$78="Inteligência",$AB$17,IF($K$78="Essência",$AJ$17,0)))))+IF($E$78=TRUE,(1+COUNTIF(DADOS!$X$5:$X$7,"&lt;="&amp;$AH$11))+INT((1+COUNTIF(DADOS!$X$5:$X$7,"&lt;="&amp;$AH$11))/2),IF($D$78=TRUE,(1+COUNTIF(DADOS!$X$5:$X$7,"&lt;="&amp;$AH$11)),0))</f>
        <v/>
      </c>
      <c r="P78" s="48" t="n"/>
      <c r="Q78" s="23" t="n"/>
      <c r="R78" s="46" t="n"/>
      <c r="S78" s="46" t="n"/>
      <c r="T78" s="47" t="inlineStr">
        <is>
          <t>Culinária</t>
        </is>
      </c>
      <c r="U78" s="48" t="n"/>
      <c r="V78" s="48" t="n"/>
      <c r="W78" s="48" t="n"/>
      <c r="X78" s="48" t="n"/>
      <c r="Y78" s="52" t="inlineStr">
        <is>
          <t>Inteligência</t>
        </is>
      </c>
      <c r="Z78" s="48" t="n"/>
      <c r="AA78" s="48" t="n"/>
      <c r="AB78" s="48" t="n"/>
      <c r="AC78" s="50">
        <f>IF($Y$78="Força",$D$17,IF($Y$78="Destreza",$L$17,IF($Y$78="Constituição",$T$17,IF($Y$78="Inteligência",$AB$17,IF($Y$78="Essência",$AJ$17,0)))))+IF($S$78=TRUE,(1+COUNTIF(DADOS!$X$5:$X$7,"&lt;="&amp;$AH$11))+INT((1+COUNTIF(DADOS!$X$5:$X$7,"&lt;="&amp;$AH$11))/2),IF($R$78=TRUE,(1+COUNTIF(DADOS!$X$5:$X$7,"&lt;="&amp;$AH$11)),0))</f>
        <v/>
      </c>
      <c r="AD78" s="48" t="n"/>
      <c r="AE78" s="23" t="n"/>
      <c r="AF78" s="23" t="n"/>
      <c r="AG78" s="23" t="n"/>
      <c r="AH78" s="23" t="n"/>
      <c r="AI78" s="23" t="n"/>
      <c r="AJ78" s="23" t="n"/>
      <c r="AK78" s="23" t="n"/>
      <c r="AL78" s="23" t="n"/>
      <c r="AM78" s="23" t="n"/>
      <c r="AN78" s="23" t="n"/>
      <c r="AO78" s="23" t="n"/>
      <c r="AP78" s="23" t="n"/>
      <c r="AQ78" s="23" t="n"/>
      <c r="AR78" s="23" t="n"/>
      <c r="AS78" s="23" t="n"/>
      <c r="AT78" s="23" t="n"/>
    </row>
    <row r="79" ht="15" customHeight="1">
      <c r="A79" s="7" t="n"/>
      <c r="B79" s="7" t="n"/>
      <c r="C79" s="23" t="n"/>
      <c r="D79" s="46" t="n"/>
      <c r="E79" s="46" t="n"/>
      <c r="F79" s="47" t="inlineStr">
        <is>
          <t>Forja</t>
        </is>
      </c>
      <c r="G79" s="48" t="n"/>
      <c r="H79" s="48" t="n"/>
      <c r="I79" s="48" t="n"/>
      <c r="J79" s="48" t="n"/>
      <c r="K79" s="52" t="inlineStr">
        <is>
          <t>Força</t>
        </is>
      </c>
      <c r="L79" s="48" t="n"/>
      <c r="M79" s="48" t="n"/>
      <c r="N79" s="48" t="n"/>
      <c r="O79" s="50">
        <f>IF($K$79="Força",$D$17,IF($K$79="Destreza",$L$17,IF($K$79="Constituição",$T$17,IF($K$79="Inteligência",$AB$17,IF($K$79="Essência",$AJ$17,0)))))+IF($E$79=TRUE,(1+COUNTIF(DADOS!$X$5:$X$7,"&lt;="&amp;$AH$11))+INT((1+COUNTIF(DADOS!$X$5:$X$7,"&lt;="&amp;$AH$11))/2),IF($D$79=TRUE,(1+COUNTIF(DADOS!$X$5:$X$7,"&lt;="&amp;$AH$11)),0))</f>
        <v/>
      </c>
      <c r="P79" s="48" t="n"/>
      <c r="Q79" s="23" t="n"/>
      <c r="R79" s="46" t="n"/>
      <c r="S79" s="46" t="n"/>
      <c r="T79" s="47" t="inlineStr">
        <is>
          <t>Instrumento</t>
        </is>
      </c>
      <c r="U79" s="48" t="n"/>
      <c r="V79" s="48" t="n"/>
      <c r="W79" s="48" t="n"/>
      <c r="X79" s="48" t="n"/>
      <c r="Y79" s="52" t="inlineStr">
        <is>
          <t>Essência</t>
        </is>
      </c>
      <c r="Z79" s="48" t="n"/>
      <c r="AA79" s="48" t="n"/>
      <c r="AB79" s="48" t="n"/>
      <c r="AC79" s="50">
        <f>IF($Y$79="Força",$D$17,IF($Y$79="Destreza",$L$17,IF($Y$79="Constituição",$T$17,IF($Y$79="Inteligência",$AB$17,IF($Y$79="Essência",$AJ$17,0)))))+IF($S$79=TRUE,(1+COUNTIF(DADOS!$X$5:$X$7,"&lt;="&amp;$AH$11))+INT((1+COUNTIF(DADOS!$X$5:$X$7,"&lt;="&amp;$AH$11))/2),IF($R$79=TRUE,(1+COUNTIF(DADOS!$X$5:$X$7,"&lt;="&amp;$AH$11)),0))</f>
        <v/>
      </c>
      <c r="AD79" s="48" t="n"/>
      <c r="AE79" s="23" t="n"/>
      <c r="AF79" s="23" t="n"/>
      <c r="AG79" s="23" t="n"/>
      <c r="AH79" s="23" t="n"/>
      <c r="AI79" s="23" t="n"/>
      <c r="AJ79" s="23" t="n"/>
      <c r="AK79" s="23" t="n"/>
      <c r="AL79" s="23" t="n"/>
      <c r="AM79" s="23" t="n"/>
      <c r="AN79" s="23" t="n"/>
      <c r="AO79" s="23" t="n"/>
      <c r="AP79" s="23" t="n"/>
      <c r="AQ79" s="23" t="n"/>
      <c r="AR79" s="23" t="n"/>
      <c r="AS79" s="23" t="n"/>
      <c r="AT79" s="23" t="n"/>
    </row>
    <row r="80" ht="15" customHeight="1">
      <c r="A80" s="7" t="n"/>
      <c r="B80" s="7" t="n"/>
      <c r="C80" s="23" t="n"/>
      <c r="D80" s="46" t="n"/>
      <c r="E80" s="46" t="n"/>
      <c r="F80" s="47" t="inlineStr">
        <is>
          <t>Caligrafia</t>
        </is>
      </c>
      <c r="G80" s="48" t="n"/>
      <c r="H80" s="48" t="n"/>
      <c r="I80" s="48" t="n"/>
      <c r="J80" s="48" t="n"/>
      <c r="K80" s="52" t="inlineStr">
        <is>
          <t>Destreza</t>
        </is>
      </c>
      <c r="L80" s="48" t="n"/>
      <c r="M80" s="48" t="n"/>
      <c r="N80" s="48" t="n"/>
      <c r="O80" s="50">
        <f>IF($K$80="Força",$D$17,IF($K$80="Destreza",$L$17,IF($K$80="Constituição",$T$17,IF($K$80="Inteligência",$AB$17,IF($K$80="Essência",$AJ$17,0)))))+IF($E$80=TRUE,(1+COUNTIF(DADOS!$X$5:$X$7,"&lt;="&amp;$AH$11))+INT((1+COUNTIF(DADOS!$X$5:$X$7,"&lt;="&amp;$AH$11))/2),IF($D$80=TRUE,(1+COUNTIF(DADOS!$X$5:$X$7,"&lt;="&amp;$AH$11)),0))</f>
        <v/>
      </c>
      <c r="P80" s="48" t="n"/>
      <c r="Q80" s="23" t="n"/>
      <c r="R80" s="46" t="n"/>
      <c r="S80" s="46" t="n"/>
      <c r="T80" s="47" t="inlineStr">
        <is>
          <t>Jogatina</t>
        </is>
      </c>
      <c r="U80" s="48" t="n"/>
      <c r="V80" s="48" t="n"/>
      <c r="W80" s="48" t="n"/>
      <c r="X80" s="48" t="n"/>
      <c r="Y80" s="52" t="inlineStr">
        <is>
          <t>Essência</t>
        </is>
      </c>
      <c r="Z80" s="48" t="n"/>
      <c r="AA80" s="48" t="n"/>
      <c r="AB80" s="48" t="n"/>
      <c r="AC80" s="50">
        <f>IF($Y$80="Força",$D$17,IF($Y$80="Destreza",$L$17,IF($Y$80="Constituição",$T$17,IF($Y$80="Inteligência",$AB$17,IF($Y$80="Essência",$AJ$17,0)))))+IF($S$80=TRUE,(1+COUNTIF(DADOS!$X$5:$X$7,"&lt;="&amp;$AH$11))+INT((1+COUNTIF(DADOS!$X$5:$X$7,"&lt;="&amp;$AH$11))/2),IF($R$80=TRUE,(1+COUNTIF(DADOS!$X$5:$X$7,"&lt;="&amp;$AH$11)),0))</f>
        <v/>
      </c>
      <c r="AD80" s="48" t="n"/>
      <c r="AE80" s="23" t="n"/>
      <c r="AF80" s="23" t="n"/>
      <c r="AG80" s="23" t="n"/>
      <c r="AH80" s="23" t="n"/>
      <c r="AI80" s="23" t="n"/>
      <c r="AJ80" s="23" t="n"/>
      <c r="AK80" s="23" t="n"/>
      <c r="AL80" s="23" t="n"/>
      <c r="AM80" s="23" t="n"/>
      <c r="AN80" s="23" t="n"/>
      <c r="AO80" s="23" t="n"/>
      <c r="AP80" s="23" t="n"/>
      <c r="AQ80" s="23" t="n"/>
      <c r="AR80" s="23" t="n"/>
      <c r="AS80" s="23" t="n"/>
      <c r="AT80" s="23" t="n"/>
    </row>
    <row r="81" ht="15" customHeight="1">
      <c r="A81" s="7" t="n"/>
      <c r="B81" s="7" t="n"/>
      <c r="C81" s="23" t="n"/>
      <c r="D81" s="46" t="n"/>
      <c r="E81" s="46" t="n"/>
      <c r="F81" s="47" t="inlineStr">
        <is>
          <t>Burocracia</t>
        </is>
      </c>
      <c r="G81" s="48" t="n"/>
      <c r="H81" s="48" t="n"/>
      <c r="I81" s="48" t="n"/>
      <c r="J81" s="48" t="n"/>
      <c r="K81" s="52" t="inlineStr">
        <is>
          <t>Inteligência</t>
        </is>
      </c>
      <c r="L81" s="48" t="n"/>
      <c r="M81" s="48" t="n"/>
      <c r="N81" s="48" t="n"/>
      <c r="O81" s="50">
        <f>IF($K$81="Força",$D$17,IF($K$81="Destreza",$L$17,IF($K$81="Constituição",$T$17,IF($K$81="Inteligência",$AB$17,IF($K$81="Essência",$AJ$17,0)))))+IF($E$81=TRUE,(1+COUNTIF(DADOS!$X$5:$X$7,"&lt;="&amp;$AH$11))+INT((1+COUNTIF(DADOS!$X$5:$X$7,"&lt;="&amp;$AH$11))/2),IF($D$81=TRUE,(1+COUNTIF(DADOS!$X$5:$X$7,"&lt;="&amp;$AH$11)),0))</f>
        <v/>
      </c>
      <c r="P81" s="48" t="n"/>
      <c r="Q81" s="23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  <c r="AA81" s="51" t="n"/>
      <c r="AB81" s="51" t="n"/>
      <c r="AC81" s="51" t="n"/>
      <c r="AD81" s="51" t="n"/>
      <c r="AE81" s="23" t="n"/>
      <c r="AF81" s="23" t="n"/>
      <c r="AG81" s="23" t="n"/>
      <c r="AH81" s="23" t="n"/>
      <c r="AI81" s="23" t="n"/>
      <c r="AJ81" s="23" t="n"/>
      <c r="AK81" s="23" t="n"/>
      <c r="AL81" s="23" t="n"/>
      <c r="AM81" s="23" t="n"/>
      <c r="AN81" s="23" t="n"/>
      <c r="AO81" s="23" t="n"/>
      <c r="AP81" s="23" t="n"/>
      <c r="AQ81" s="23" t="n"/>
      <c r="AR81" s="23" t="n"/>
      <c r="AS81" s="23" t="n"/>
      <c r="AT81" s="23" t="n"/>
    </row>
    <row r="82" ht="15" customHeight="1">
      <c r="A82" s="7" t="n"/>
      <c r="B82" s="7" t="n"/>
      <c r="C82" s="23" t="n"/>
      <c r="D82" s="51" t="n"/>
      <c r="E82" s="51" t="n"/>
      <c r="F82" s="51" t="n"/>
      <c r="G82" s="51" t="n"/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</row>
    <row r="83" ht="15" customHeight="1">
      <c r="A83" s="7" t="n"/>
      <c r="B83" s="7" t="n"/>
      <c r="C83" s="23" t="n"/>
      <c r="D83" s="25" t="inlineStr">
        <is>
          <t>07</t>
        </is>
      </c>
      <c r="G83" s="26" t="inlineStr">
        <is>
          <t>TESTES DE RESISTÊNCIA</t>
        </is>
      </c>
      <c r="Y83" s="23" t="n"/>
      <c r="Z83" s="23" t="n"/>
      <c r="AA83" s="23" t="n"/>
      <c r="AB83" s="23" t="n"/>
      <c r="AC83" s="23" t="n"/>
      <c r="AD83" s="23" t="n"/>
      <c r="AE83" s="23" t="n"/>
      <c r="AF83" s="23" t="n"/>
      <c r="AG83" s="23" t="n"/>
      <c r="AH83" s="23" t="n"/>
      <c r="AI83" s="23" t="n"/>
      <c r="AJ83" s="23" t="n"/>
      <c r="AK83" s="23" t="n"/>
      <c r="AL83" s="23" t="n"/>
      <c r="AM83" s="23" t="n"/>
      <c r="AN83" s="23" t="n"/>
      <c r="AO83" s="23" t="n"/>
      <c r="AP83" s="23" t="n"/>
      <c r="AQ83" s="23" t="n"/>
      <c r="AR83" s="23" t="n"/>
      <c r="AS83" s="23" t="n"/>
      <c r="AT83" s="23" t="n"/>
    </row>
    <row r="84" ht="15" customHeight="1">
      <c r="A84" s="7" t="n"/>
      <c r="B84" s="7" t="n"/>
      <c r="C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  <c r="AA84" s="23" t="n"/>
      <c r="AB84" s="23" t="n"/>
      <c r="AC84" s="23" t="n"/>
      <c r="AD84" s="23" t="n"/>
      <c r="AE84" s="23" t="n"/>
      <c r="AF84" s="23" t="n"/>
      <c r="AG84" s="23" t="n"/>
      <c r="AH84" s="23" t="n"/>
      <c r="AI84" s="23" t="n"/>
      <c r="AJ84" s="23" t="n"/>
      <c r="AK84" s="23" t="n"/>
      <c r="AL84" s="23" t="n"/>
      <c r="AM84" s="23" t="n"/>
      <c r="AN84" s="23" t="n"/>
      <c r="AO84" s="23" t="n"/>
      <c r="AP84" s="23" t="n"/>
      <c r="AQ84" s="23" t="n"/>
      <c r="AR84" s="23" t="n"/>
      <c r="AS84" s="23" t="n"/>
      <c r="AT84" s="23" t="n"/>
    </row>
    <row r="85" ht="15" customHeight="1">
      <c r="A85" s="7" t="n"/>
      <c r="B85" s="7" t="n"/>
      <c r="C85" s="23" t="n"/>
      <c r="D85" s="42" t="n"/>
      <c r="E85" s="43" t="inlineStr">
        <is>
          <t>Físico</t>
        </is>
      </c>
      <c r="M85" s="44" t="inlineStr">
        <is>
          <t>For ou Des</t>
        </is>
      </c>
      <c r="R85" s="45">
        <f>$D$17+IF($D$85=TRUE,2,0)</f>
        <v/>
      </c>
      <c r="Y85" s="23" t="n"/>
      <c r="Z85" s="23" t="n"/>
      <c r="AA85" s="23" t="n"/>
      <c r="AB85" s="23" t="n"/>
      <c r="AC85" s="23" t="n"/>
      <c r="AD85" s="23" t="n"/>
      <c r="AE85" s="23" t="n"/>
      <c r="AF85" s="23" t="n"/>
      <c r="AG85" s="23" t="n"/>
      <c r="AH85" s="23" t="n"/>
      <c r="AI85" s="23" t="n"/>
      <c r="AJ85" s="23" t="n"/>
      <c r="AK85" s="23" t="n"/>
      <c r="AL85" s="23" t="n"/>
      <c r="AM85" s="23" t="n"/>
      <c r="AN85" s="23" t="n"/>
      <c r="AO85" s="23" t="n"/>
      <c r="AP85" s="23" t="n"/>
      <c r="AQ85" s="23" t="n"/>
      <c r="AR85" s="23" t="n"/>
      <c r="AS85" s="23" t="n"/>
      <c r="AT85" s="23" t="n"/>
    </row>
    <row r="86" ht="15" customHeight="1">
      <c r="A86" s="7" t="n"/>
      <c r="B86" s="7" t="n"/>
      <c r="C86" s="23" t="n"/>
      <c r="D86" s="46" t="n"/>
      <c r="E86" s="47" t="inlineStr">
        <is>
          <t>Vigor</t>
        </is>
      </c>
      <c r="F86" s="48" t="n"/>
      <c r="G86" s="48" t="n"/>
      <c r="H86" s="48" t="n"/>
      <c r="I86" s="48" t="n"/>
      <c r="J86" s="48" t="n"/>
      <c r="K86" s="48" t="n"/>
      <c r="L86" s="48" t="n"/>
      <c r="M86" s="49" t="inlineStr">
        <is>
          <t>Con</t>
        </is>
      </c>
      <c r="N86" s="48" t="n"/>
      <c r="O86" s="48" t="n"/>
      <c r="P86" s="48" t="n"/>
      <c r="Q86" s="48" t="n"/>
      <c r="R86" s="50">
        <f>$T$17+IF($D$86=TRUE,2,0)</f>
        <v/>
      </c>
      <c r="S86" s="48" t="n"/>
      <c r="T86" s="48" t="n"/>
      <c r="U86" s="48" t="n"/>
      <c r="V86" s="48" t="n"/>
      <c r="W86" s="48" t="n"/>
      <c r="X86" s="48" t="n"/>
      <c r="Y86" s="23" t="n"/>
      <c r="Z86" s="23" t="n"/>
      <c r="AA86" s="23" t="n"/>
      <c r="AB86" s="23" t="n"/>
      <c r="AC86" s="23" t="n"/>
      <c r="AD86" s="23" t="n"/>
      <c r="AE86" s="23" t="n"/>
      <c r="AF86" s="23" t="n"/>
      <c r="AG86" s="23" t="n"/>
      <c r="AH86" s="23" t="n"/>
      <c r="AI86" s="23" t="n"/>
      <c r="AJ86" s="23" t="n"/>
      <c r="AK86" s="23" t="n"/>
      <c r="AL86" s="23" t="n"/>
      <c r="AM86" s="23" t="n"/>
      <c r="AN86" s="23" t="n"/>
      <c r="AO86" s="23" t="n"/>
      <c r="AP86" s="23" t="n"/>
      <c r="AQ86" s="23" t="n"/>
      <c r="AR86" s="23" t="n"/>
      <c r="AS86" s="23" t="n"/>
      <c r="AT86" s="23" t="n"/>
    </row>
    <row r="87" ht="15" customHeight="1">
      <c r="A87" s="7" t="n"/>
      <c r="B87" s="7" t="n"/>
      <c r="C87" s="23" t="n"/>
      <c r="D87" s="46" t="n"/>
      <c r="E87" s="47" t="inlineStr">
        <is>
          <t>Intelecto</t>
        </is>
      </c>
      <c r="F87" s="48" t="n"/>
      <c r="G87" s="48" t="n"/>
      <c r="H87" s="48" t="n"/>
      <c r="I87" s="48" t="n"/>
      <c r="J87" s="48" t="n"/>
      <c r="K87" s="48" t="n"/>
      <c r="L87" s="48" t="n"/>
      <c r="M87" s="49" t="inlineStr">
        <is>
          <t>Int</t>
        </is>
      </c>
      <c r="N87" s="48" t="n"/>
      <c r="O87" s="48" t="n"/>
      <c r="P87" s="48" t="n"/>
      <c r="Q87" s="48" t="n"/>
      <c r="R87" s="50">
        <f>$AB$17+IF($D$87=TRUE,2,0)</f>
        <v/>
      </c>
      <c r="S87" s="48" t="n"/>
      <c r="T87" s="48" t="n"/>
      <c r="U87" s="48" t="n"/>
      <c r="V87" s="48" t="n"/>
      <c r="W87" s="48" t="n"/>
      <c r="X87" s="48" t="n"/>
      <c r="Y87" s="23" t="n"/>
      <c r="Z87" s="23" t="n"/>
      <c r="AA87" s="23" t="n"/>
      <c r="AB87" s="23" t="n"/>
      <c r="AC87" s="23" t="n"/>
      <c r="AD87" s="23" t="n"/>
      <c r="AE87" s="23" t="n"/>
      <c r="AF87" s="23" t="n"/>
      <c r="AG87" s="23" t="n"/>
      <c r="AH87" s="23" t="n"/>
      <c r="AI87" s="23" t="n"/>
      <c r="AJ87" s="23" t="n"/>
      <c r="AK87" s="23" t="n"/>
      <c r="AL87" s="23" t="n"/>
      <c r="AM87" s="23" t="n"/>
      <c r="AN87" s="23" t="n"/>
      <c r="AO87" s="23" t="n"/>
      <c r="AP87" s="23" t="n"/>
      <c r="AQ87" s="23" t="n"/>
      <c r="AR87" s="23" t="n"/>
      <c r="AS87" s="23" t="n"/>
      <c r="AT87" s="23" t="n"/>
    </row>
    <row r="88" ht="15" customHeight="1">
      <c r="A88" s="7" t="n"/>
      <c r="B88" s="7" t="n"/>
      <c r="C88" s="23" t="n"/>
      <c r="D88" s="46" t="n"/>
      <c r="E88" s="47" t="inlineStr">
        <is>
          <t>Espírito</t>
        </is>
      </c>
      <c r="F88" s="48" t="n"/>
      <c r="G88" s="48" t="n"/>
      <c r="H88" s="48" t="n"/>
      <c r="I88" s="48" t="n"/>
      <c r="J88" s="48" t="n"/>
      <c r="K88" s="48" t="n"/>
      <c r="L88" s="48" t="n"/>
      <c r="M88" s="49" t="inlineStr">
        <is>
          <t>Ess</t>
        </is>
      </c>
      <c r="N88" s="48" t="n"/>
      <c r="O88" s="48" t="n"/>
      <c r="P88" s="48" t="n"/>
      <c r="Q88" s="48" t="n"/>
      <c r="R88" s="50">
        <f>$AJ$17+IF($D$88=TRUE,2,0)</f>
        <v/>
      </c>
      <c r="S88" s="48" t="n"/>
      <c r="T88" s="48" t="n"/>
      <c r="U88" s="48" t="n"/>
      <c r="V88" s="48" t="n"/>
      <c r="W88" s="48" t="n"/>
      <c r="X88" s="48" t="n"/>
      <c r="Y88" s="23" t="n"/>
      <c r="Z88" s="23" t="n"/>
      <c r="AA88" s="23" t="n"/>
      <c r="AB88" s="23" t="n"/>
      <c r="AC88" s="23" t="n"/>
      <c r="AD88" s="23" t="n"/>
      <c r="AE88" s="23" t="n"/>
      <c r="AF88" s="23" t="n"/>
      <c r="AG88" s="23" t="n"/>
      <c r="AH88" s="23" t="n"/>
      <c r="AI88" s="23" t="n"/>
      <c r="AJ88" s="23" t="n"/>
      <c r="AK88" s="23" t="n"/>
      <c r="AL88" s="23" t="n"/>
      <c r="AM88" s="23" t="n"/>
      <c r="AN88" s="23" t="n"/>
      <c r="AO88" s="23" t="n"/>
      <c r="AP88" s="23" t="n"/>
      <c r="AQ88" s="23" t="n"/>
      <c r="AR88" s="23" t="n"/>
      <c r="AS88" s="23" t="n"/>
      <c r="AT88" s="23" t="n"/>
    </row>
    <row r="89" ht="15" customHeight="1">
      <c r="A89" s="7" t="n"/>
      <c r="B89" s="7" t="n"/>
      <c r="C89" s="23" t="n"/>
      <c r="D89" s="51" t="n"/>
      <c r="E89" s="51" t="n"/>
      <c r="F89" s="51" t="n"/>
      <c r="G89" s="51" t="n"/>
      <c r="H89" s="51" t="n"/>
      <c r="I89" s="51" t="n"/>
      <c r="J89" s="51" t="n"/>
      <c r="K89" s="51" t="n"/>
      <c r="L89" s="51" t="n"/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23" t="n"/>
      <c r="Z89" s="23" t="n"/>
      <c r="AA89" s="23" t="n"/>
      <c r="AB89" s="23" t="n"/>
      <c r="AC89" s="23" t="n"/>
      <c r="AD89" s="23" t="n"/>
      <c r="AE89" s="23" t="n"/>
      <c r="AF89" s="23" t="n"/>
      <c r="AG89" s="23" t="n"/>
      <c r="AH89" s="23" t="n"/>
      <c r="AI89" s="23" t="n"/>
      <c r="AJ89" s="23" t="n"/>
      <c r="AK89" s="23" t="n"/>
      <c r="AL89" s="23" t="n"/>
      <c r="AM89" s="23" t="n"/>
      <c r="AN89" s="23" t="n"/>
      <c r="AO89" s="23" t="n"/>
      <c r="AP89" s="23" t="n"/>
      <c r="AQ89" s="23" t="n"/>
      <c r="AR89" s="23" t="n"/>
      <c r="AS89" s="23" t="n"/>
      <c r="AT89" s="23" t="n"/>
    </row>
    <row r="90" ht="15" customHeight="1">
      <c r="A90" s="7" t="n"/>
      <c r="B90" s="7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  <c r="AA90" s="23" t="n"/>
      <c r="AB90" s="23" t="n"/>
      <c r="AC90" s="23" t="n"/>
      <c r="AD90" s="23" t="n"/>
      <c r="AE90" s="23" t="n"/>
      <c r="AF90" s="23" t="n"/>
      <c r="AG90" s="23" t="n"/>
      <c r="AH90" s="23" t="n"/>
      <c r="AI90" s="23" t="n"/>
      <c r="AJ90" s="23" t="n"/>
      <c r="AK90" s="23" t="n"/>
      <c r="AL90" s="23" t="n"/>
      <c r="AM90" s="23" t="n"/>
      <c r="AN90" s="23" t="n"/>
      <c r="AO90" s="23" t="n"/>
      <c r="AP90" s="23" t="n"/>
      <c r="AQ90" s="23" t="n"/>
      <c r="AR90" s="23" t="n"/>
      <c r="AS90" s="23" t="n"/>
      <c r="AT90" s="23" t="n"/>
    </row>
    <row r="91" ht="15" customHeight="1">
      <c r="A91" s="7" t="n"/>
      <c r="B91" s="7" t="n"/>
      <c r="C91" s="23" t="n"/>
      <c r="D91" s="25" t="inlineStr">
        <is>
          <t>08</t>
        </is>
      </c>
      <c r="G91" s="26" t="inlineStr">
        <is>
          <t>APTIDÕES E FEITIÇOS</t>
        </is>
      </c>
      <c r="AE91" s="23" t="n"/>
      <c r="AF91" s="23" t="n"/>
      <c r="AG91" s="23" t="n"/>
      <c r="AH91" s="23" t="n"/>
      <c r="AI91" s="23" t="n"/>
      <c r="AJ91" s="23" t="n"/>
      <c r="AK91" s="23" t="n"/>
      <c r="AL91" s="23" t="n"/>
      <c r="AM91" s="23" t="n"/>
      <c r="AN91" s="23" t="n"/>
      <c r="AO91" s="23" t="n"/>
      <c r="AP91" s="23" t="n"/>
      <c r="AQ91" s="23" t="n"/>
      <c r="AR91" s="23" t="n"/>
      <c r="AS91" s="23" t="n"/>
      <c r="AT91" s="23" t="n"/>
    </row>
    <row r="92" ht="15" customHeight="1">
      <c r="A92" s="7" t="n"/>
      <c r="B92" s="7" t="n"/>
      <c r="C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  <c r="AA92" s="23" t="n"/>
      <c r="AB92" s="23" t="n"/>
      <c r="AC92" s="23" t="n"/>
      <c r="AD92" s="23" t="n"/>
      <c r="AE92" s="23" t="n"/>
      <c r="AF92" s="23" t="n"/>
      <c r="AG92" s="23" t="n"/>
      <c r="AH92" s="23" t="n"/>
      <c r="AI92" s="23" t="n"/>
      <c r="AJ92" s="23" t="n"/>
      <c r="AK92" s="23" t="n"/>
      <c r="AL92" s="23" t="n"/>
      <c r="AM92" s="23" t="n"/>
      <c r="AN92" s="23" t="n"/>
      <c r="AO92" s="23" t="n"/>
      <c r="AP92" s="23" t="n"/>
      <c r="AQ92" s="23" t="n"/>
      <c r="AR92" s="23" t="n"/>
      <c r="AS92" s="23" t="n"/>
      <c r="AT92" s="23" t="n"/>
    </row>
    <row r="93" ht="15" customHeight="1">
      <c r="A93" s="7" t="n"/>
      <c r="B93" s="7" t="n"/>
      <c r="C93" s="23" t="n"/>
      <c r="D93" s="53" t="inlineStr">
        <is>
          <t>CLASSE 0 · GRÁTIS, NÃO OCUPAM ESPAÇO</t>
        </is>
      </c>
      <c r="U93" s="23" t="n"/>
      <c r="V93" s="23" t="n"/>
      <c r="W93" s="23" t="n"/>
      <c r="X93" s="23" t="n"/>
      <c r="Y93" s="23" t="n"/>
      <c r="Z93" s="23" t="n"/>
      <c r="AA93" s="23" t="n"/>
      <c r="AB93" s="23" t="n"/>
      <c r="AC93" s="23" t="n"/>
      <c r="AD93" s="23" t="n"/>
      <c r="AE93" s="23" t="n"/>
      <c r="AF93" s="23" t="n"/>
      <c r="AG93" s="23" t="n"/>
      <c r="AH93" s="23" t="n"/>
      <c r="AI93" s="23" t="n"/>
      <c r="AJ93" s="23" t="n"/>
      <c r="AK93" s="23" t="n"/>
      <c r="AL93" s="23" t="n"/>
      <c r="AM93" s="23" t="n"/>
      <c r="AN93" s="23" t="n"/>
      <c r="AO93" s="23" t="n"/>
      <c r="AP93" s="23" t="n"/>
      <c r="AQ93" s="23" t="n"/>
      <c r="AR93" s="23" t="n"/>
      <c r="AS93" s="23" t="n"/>
      <c r="AT93" s="23" t="n"/>
    </row>
    <row r="94" ht="15" customHeight="1">
      <c r="A94" s="7" t="n"/>
      <c r="B94" s="7" t="n"/>
      <c r="C94" s="23" t="n"/>
      <c r="D94" s="43" t="n"/>
      <c r="N94" s="54" t="n"/>
      <c r="W94" s="39" t="n"/>
    </row>
    <row r="95" ht="15" customHeight="1">
      <c r="A95" s="7" t="n"/>
      <c r="B95" s="7" t="n"/>
      <c r="C95" s="23" t="n"/>
      <c r="D95" s="47" t="n"/>
      <c r="E95" s="48" t="n"/>
      <c r="F95" s="48" t="n"/>
      <c r="G95" s="48" t="n"/>
      <c r="H95" s="48" t="n"/>
      <c r="I95" s="48" t="n"/>
      <c r="J95" s="48" t="n"/>
      <c r="K95" s="48" t="n"/>
      <c r="L95" s="48" t="n"/>
      <c r="M95" s="48" t="n"/>
      <c r="N95" s="55" t="n"/>
      <c r="O95" s="48" t="n"/>
      <c r="P95" s="48" t="n"/>
      <c r="Q95" s="48" t="n"/>
      <c r="R95" s="48" t="n"/>
      <c r="S95" s="48" t="n"/>
      <c r="T95" s="48" t="n"/>
      <c r="U95" s="48" t="n"/>
      <c r="V95" s="48" t="n"/>
      <c r="W95" s="52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  <c r="AG95" s="48" t="n"/>
      <c r="AH95" s="48" t="n"/>
      <c r="AI95" s="48" t="n"/>
      <c r="AJ95" s="48" t="n"/>
      <c r="AK95" s="48" t="n"/>
      <c r="AL95" s="48" t="n"/>
      <c r="AM95" s="48" t="n"/>
      <c r="AN95" s="48" t="n"/>
      <c r="AO95" s="48" t="n"/>
      <c r="AP95" s="48" t="n"/>
      <c r="AQ95" s="48" t="n"/>
      <c r="AR95" s="48" t="n"/>
      <c r="AS95" s="48" t="n"/>
      <c r="AT95" s="48" t="n"/>
    </row>
    <row r="96" ht="15" customHeight="1">
      <c r="A96" s="7" t="n"/>
      <c r="B96" s="7" t="n"/>
      <c r="C96" s="23" t="n"/>
      <c r="D96" s="47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55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52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  <c r="AG96" s="48" t="n"/>
      <c r="AH96" s="48" t="n"/>
      <c r="AI96" s="48" t="n"/>
      <c r="AJ96" s="48" t="n"/>
      <c r="AK96" s="48" t="n"/>
      <c r="AL96" s="48" t="n"/>
      <c r="AM96" s="48" t="n"/>
      <c r="AN96" s="48" t="n"/>
      <c r="AO96" s="48" t="n"/>
      <c r="AP96" s="48" t="n"/>
      <c r="AQ96" s="48" t="n"/>
      <c r="AR96" s="48" t="n"/>
      <c r="AS96" s="48" t="n"/>
      <c r="AT96" s="48" t="n"/>
    </row>
    <row r="97" ht="15" customHeight="1">
      <c r="A97" s="7" t="n"/>
      <c r="B97" s="7" t="n"/>
      <c r="C97" s="23" t="n"/>
      <c r="D97" s="47" t="n"/>
      <c r="E97" s="48" t="n"/>
      <c r="F97" s="48" t="n"/>
      <c r="G97" s="48" t="n"/>
      <c r="H97" s="48" t="n"/>
      <c r="I97" s="48" t="n"/>
      <c r="J97" s="48" t="n"/>
      <c r="K97" s="48" t="n"/>
      <c r="L97" s="48" t="n"/>
      <c r="M97" s="48" t="n"/>
      <c r="N97" s="55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52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  <c r="AG97" s="48" t="n"/>
      <c r="AH97" s="48" t="n"/>
      <c r="AI97" s="48" t="n"/>
      <c r="AJ97" s="48" t="n"/>
      <c r="AK97" s="48" t="n"/>
      <c r="AL97" s="48" t="n"/>
      <c r="AM97" s="48" t="n"/>
      <c r="AN97" s="48" t="n"/>
      <c r="AO97" s="48" t="n"/>
      <c r="AP97" s="48" t="n"/>
      <c r="AQ97" s="48" t="n"/>
      <c r="AR97" s="48" t="n"/>
      <c r="AS97" s="48" t="n"/>
      <c r="AT97" s="48" t="n"/>
    </row>
    <row r="98" ht="15" customHeight="1">
      <c r="A98" s="7" t="n"/>
      <c r="B98" s="7" t="n"/>
      <c r="C98" s="23" t="n"/>
      <c r="D98" s="47" t="n"/>
      <c r="E98" s="48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55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52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  <c r="AG98" s="48" t="n"/>
      <c r="AH98" s="48" t="n"/>
      <c r="AI98" s="48" t="n"/>
      <c r="AJ98" s="48" t="n"/>
      <c r="AK98" s="48" t="n"/>
      <c r="AL98" s="48" t="n"/>
      <c r="AM98" s="48" t="n"/>
      <c r="AN98" s="48" t="n"/>
      <c r="AO98" s="48" t="n"/>
      <c r="AP98" s="48" t="n"/>
      <c r="AQ98" s="48" t="n"/>
      <c r="AR98" s="48" t="n"/>
      <c r="AS98" s="48" t="n"/>
      <c r="AT98" s="48" t="n"/>
    </row>
    <row r="99" ht="15" customHeight="1">
      <c r="A99" s="7" t="n"/>
      <c r="B99" s="7" t="n"/>
      <c r="C99" s="23" t="n"/>
      <c r="D99" s="51" t="n"/>
      <c r="E99" s="51" t="n"/>
      <c r="F99" s="51" t="n"/>
      <c r="G99" s="51" t="n"/>
      <c r="H99" s="51" t="n"/>
      <c r="I99" s="51" t="n"/>
      <c r="J99" s="51" t="n"/>
      <c r="K99" s="51" t="n"/>
      <c r="L99" s="51" t="n"/>
      <c r="M99" s="51" t="n"/>
      <c r="N99" s="51" t="n"/>
      <c r="O99" s="51" t="n"/>
      <c r="P99" s="51" t="n"/>
      <c r="Q99" s="51" t="n"/>
      <c r="R99" s="51" t="n"/>
      <c r="S99" s="51" t="n"/>
      <c r="T99" s="51" t="n"/>
      <c r="U99" s="51" t="n"/>
      <c r="V99" s="51" t="n"/>
      <c r="W99" s="51" t="n"/>
      <c r="X99" s="51" t="n"/>
      <c r="Y99" s="51" t="n"/>
      <c r="Z99" s="51" t="n"/>
      <c r="AA99" s="51" t="n"/>
      <c r="AB99" s="51" t="n"/>
      <c r="AC99" s="51" t="n"/>
      <c r="AD99" s="51" t="n"/>
      <c r="AE99" s="51" t="n"/>
      <c r="AF99" s="51" t="n"/>
      <c r="AG99" s="51" t="n"/>
      <c r="AH99" s="51" t="n"/>
      <c r="AI99" s="51" t="n"/>
      <c r="AJ99" s="51" t="n"/>
      <c r="AK99" s="51" t="n"/>
      <c r="AL99" s="51" t="n"/>
      <c r="AM99" s="51" t="n"/>
      <c r="AN99" s="51" t="n"/>
      <c r="AO99" s="51" t="n"/>
      <c r="AP99" s="51" t="n"/>
      <c r="AQ99" s="51" t="n"/>
      <c r="AR99" s="51" t="n"/>
      <c r="AS99" s="51" t="n"/>
      <c r="AT99" s="51" t="n"/>
    </row>
    <row r="100" ht="15" customHeight="1">
      <c r="A100" s="7" t="n"/>
      <c r="B100" s="7" t="n"/>
      <c r="C100" s="23" t="n"/>
      <c r="D100" s="27" t="inlineStr">
        <is>
          <t>CLASSE</t>
        </is>
      </c>
      <c r="E100" s="23" t="n"/>
      <c r="F100" s="23" t="n"/>
      <c r="G100" s="27" t="inlineStr">
        <is>
          <t>NOME</t>
        </is>
      </c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7" t="inlineStr">
        <is>
          <t>FORMA</t>
        </is>
      </c>
      <c r="R100" s="23" t="n"/>
      <c r="S100" s="23" t="n"/>
      <c r="T100" s="23" t="n"/>
      <c r="U100" s="23" t="n"/>
      <c r="V100" s="23" t="n"/>
      <c r="W100" s="23" t="n"/>
      <c r="X100" s="27" t="inlineStr">
        <is>
          <t>PONTOS / PE</t>
        </is>
      </c>
      <c r="Y100" s="23" t="n"/>
      <c r="Z100" s="23" t="n"/>
      <c r="AA100" s="23" t="n"/>
      <c r="AB100" s="27" t="inlineStr">
        <is>
          <t>MELHORIAS · RESTRIÇÕES · O QUE FAZ</t>
        </is>
      </c>
      <c r="AC100" s="23" t="n"/>
      <c r="AD100" s="23" t="n"/>
      <c r="AE100" s="23" t="n"/>
      <c r="AF100" s="23" t="n"/>
      <c r="AG100" s="23" t="n"/>
      <c r="AH100" s="23" t="n"/>
      <c r="AI100" s="23" t="n"/>
      <c r="AJ100" s="23" t="n"/>
      <c r="AK100" s="23" t="n"/>
      <c r="AL100" s="23" t="n"/>
      <c r="AM100" s="23" t="n"/>
      <c r="AN100" s="23" t="n"/>
      <c r="AO100" s="23" t="n"/>
      <c r="AP100" s="23" t="n"/>
      <c r="AQ100" s="23" t="n"/>
      <c r="AR100" s="23" t="n"/>
      <c r="AS100" s="23" t="n"/>
      <c r="AT100" s="23" t="n"/>
    </row>
    <row r="101" ht="15" customHeight="1">
      <c r="A101" s="7" t="n"/>
      <c r="B101" s="7" t="n"/>
      <c r="C101" s="23" t="n"/>
      <c r="D101" s="56" t="n"/>
      <c r="G101" s="43" t="n"/>
      <c r="Q101" s="54" t="n"/>
      <c r="X101" s="57">
        <f>IF($D$101="","",$D$101*3)</f>
        <v/>
      </c>
      <c r="AB101" s="39" t="n"/>
    </row>
    <row r="102" ht="15" customHeight="1">
      <c r="A102" s="7" t="n"/>
      <c r="B102" s="7" t="n"/>
      <c r="C102" s="23" t="n"/>
      <c r="D102" s="58" t="n"/>
      <c r="E102" s="48" t="n"/>
      <c r="F102" s="48" t="n"/>
      <c r="G102" s="47" t="n"/>
      <c r="H102" s="48" t="n"/>
      <c r="I102" s="48" t="n"/>
      <c r="J102" s="48" t="n"/>
      <c r="K102" s="48" t="n"/>
      <c r="L102" s="48" t="n"/>
      <c r="M102" s="48" t="n"/>
      <c r="N102" s="48" t="n"/>
      <c r="O102" s="48" t="n"/>
      <c r="P102" s="48" t="n"/>
      <c r="Q102" s="55" t="n"/>
      <c r="R102" s="48" t="n"/>
      <c r="S102" s="48" t="n"/>
      <c r="T102" s="48" t="n"/>
      <c r="U102" s="48" t="n"/>
      <c r="V102" s="48" t="n"/>
      <c r="W102" s="48" t="n"/>
      <c r="X102" s="59">
        <f>IF($D$102="","",$D$102*3)</f>
        <v/>
      </c>
      <c r="Y102" s="48" t="n"/>
      <c r="Z102" s="48" t="n"/>
      <c r="AA102" s="48" t="n"/>
      <c r="AB102" s="52" t="n"/>
      <c r="AC102" s="48" t="n"/>
      <c r="AD102" s="48" t="n"/>
      <c r="AE102" s="48" t="n"/>
      <c r="AF102" s="48" t="n"/>
      <c r="AG102" s="48" t="n"/>
      <c r="AH102" s="48" t="n"/>
      <c r="AI102" s="48" t="n"/>
      <c r="AJ102" s="48" t="n"/>
      <c r="AK102" s="48" t="n"/>
      <c r="AL102" s="48" t="n"/>
      <c r="AM102" s="48" t="n"/>
      <c r="AN102" s="48" t="n"/>
      <c r="AO102" s="48" t="n"/>
      <c r="AP102" s="48" t="n"/>
      <c r="AQ102" s="48" t="n"/>
      <c r="AR102" s="48" t="n"/>
      <c r="AS102" s="48" t="n"/>
      <c r="AT102" s="48" t="n"/>
    </row>
    <row r="103" ht="15" customHeight="1">
      <c r="A103" s="7" t="n"/>
      <c r="B103" s="7" t="n"/>
      <c r="C103" s="23" t="n"/>
      <c r="D103" s="58" t="n"/>
      <c r="E103" s="48" t="n"/>
      <c r="F103" s="48" t="n"/>
      <c r="G103" s="47" t="n"/>
      <c r="H103" s="48" t="n"/>
      <c r="I103" s="48" t="n"/>
      <c r="J103" s="48" t="n"/>
      <c r="K103" s="48" t="n"/>
      <c r="L103" s="48" t="n"/>
      <c r="M103" s="48" t="n"/>
      <c r="N103" s="48" t="n"/>
      <c r="O103" s="48" t="n"/>
      <c r="P103" s="48" t="n"/>
      <c r="Q103" s="55" t="n"/>
      <c r="R103" s="48" t="n"/>
      <c r="S103" s="48" t="n"/>
      <c r="T103" s="48" t="n"/>
      <c r="U103" s="48" t="n"/>
      <c r="V103" s="48" t="n"/>
      <c r="W103" s="48" t="n"/>
      <c r="X103" s="59">
        <f>IF($D$103="","",$D$103*3)</f>
        <v/>
      </c>
      <c r="Y103" s="48" t="n"/>
      <c r="Z103" s="48" t="n"/>
      <c r="AA103" s="48" t="n"/>
      <c r="AB103" s="52" t="n"/>
      <c r="AC103" s="48" t="n"/>
      <c r="AD103" s="48" t="n"/>
      <c r="AE103" s="48" t="n"/>
      <c r="AF103" s="48" t="n"/>
      <c r="AG103" s="48" t="n"/>
      <c r="AH103" s="48" t="n"/>
      <c r="AI103" s="48" t="n"/>
      <c r="AJ103" s="48" t="n"/>
      <c r="AK103" s="48" t="n"/>
      <c r="AL103" s="48" t="n"/>
      <c r="AM103" s="48" t="n"/>
      <c r="AN103" s="48" t="n"/>
      <c r="AO103" s="48" t="n"/>
      <c r="AP103" s="48" t="n"/>
      <c r="AQ103" s="48" t="n"/>
      <c r="AR103" s="48" t="n"/>
      <c r="AS103" s="48" t="n"/>
      <c r="AT103" s="48" t="n"/>
    </row>
    <row r="104" ht="15" customHeight="1">
      <c r="A104" s="7" t="n"/>
      <c r="B104" s="7" t="n"/>
      <c r="C104" s="23" t="n"/>
      <c r="D104" s="58" t="n"/>
      <c r="E104" s="48" t="n"/>
      <c r="F104" s="48" t="n"/>
      <c r="G104" s="47" t="n"/>
      <c r="H104" s="48" t="n"/>
      <c r="I104" s="48" t="n"/>
      <c r="J104" s="48" t="n"/>
      <c r="K104" s="48" t="n"/>
      <c r="L104" s="48" t="n"/>
      <c r="M104" s="48" t="n"/>
      <c r="N104" s="48" t="n"/>
      <c r="O104" s="48" t="n"/>
      <c r="P104" s="48" t="n"/>
      <c r="Q104" s="55" t="n"/>
      <c r="R104" s="48" t="n"/>
      <c r="S104" s="48" t="n"/>
      <c r="T104" s="48" t="n"/>
      <c r="U104" s="48" t="n"/>
      <c r="V104" s="48" t="n"/>
      <c r="W104" s="48" t="n"/>
      <c r="X104" s="59">
        <f>IF($D$104="","",$D$104*3)</f>
        <v/>
      </c>
      <c r="Y104" s="48" t="n"/>
      <c r="Z104" s="48" t="n"/>
      <c r="AA104" s="48" t="n"/>
      <c r="AB104" s="52" t="n"/>
      <c r="AC104" s="48" t="n"/>
      <c r="AD104" s="48" t="n"/>
      <c r="AE104" s="48" t="n"/>
      <c r="AF104" s="48" t="n"/>
      <c r="AG104" s="48" t="n"/>
      <c r="AH104" s="48" t="n"/>
      <c r="AI104" s="48" t="n"/>
      <c r="AJ104" s="48" t="n"/>
      <c r="AK104" s="48" t="n"/>
      <c r="AL104" s="48" t="n"/>
      <c r="AM104" s="48" t="n"/>
      <c r="AN104" s="48" t="n"/>
      <c r="AO104" s="48" t="n"/>
      <c r="AP104" s="48" t="n"/>
      <c r="AQ104" s="48" t="n"/>
      <c r="AR104" s="48" t="n"/>
      <c r="AS104" s="48" t="n"/>
      <c r="AT104" s="48" t="n"/>
    </row>
    <row r="105" ht="15" customHeight="1">
      <c r="A105" s="7" t="n"/>
      <c r="B105" s="7" t="n"/>
      <c r="C105" s="23" t="n"/>
      <c r="D105" s="58" t="n"/>
      <c r="E105" s="48" t="n"/>
      <c r="F105" s="48" t="n"/>
      <c r="G105" s="47" t="n"/>
      <c r="H105" s="48" t="n"/>
      <c r="I105" s="48" t="n"/>
      <c r="J105" s="48" t="n"/>
      <c r="K105" s="48" t="n"/>
      <c r="L105" s="48" t="n"/>
      <c r="M105" s="48" t="n"/>
      <c r="N105" s="48" t="n"/>
      <c r="O105" s="48" t="n"/>
      <c r="P105" s="48" t="n"/>
      <c r="Q105" s="55" t="n"/>
      <c r="R105" s="48" t="n"/>
      <c r="S105" s="48" t="n"/>
      <c r="T105" s="48" t="n"/>
      <c r="U105" s="48" t="n"/>
      <c r="V105" s="48" t="n"/>
      <c r="W105" s="48" t="n"/>
      <c r="X105" s="59">
        <f>IF($D$105="","",$D$105*3)</f>
        <v/>
      </c>
      <c r="Y105" s="48" t="n"/>
      <c r="Z105" s="48" t="n"/>
      <c r="AA105" s="48" t="n"/>
      <c r="AB105" s="52" t="n"/>
      <c r="AC105" s="48" t="n"/>
      <c r="AD105" s="48" t="n"/>
      <c r="AE105" s="48" t="n"/>
      <c r="AF105" s="48" t="n"/>
      <c r="AG105" s="48" t="n"/>
      <c r="AH105" s="48" t="n"/>
      <c r="AI105" s="48" t="n"/>
      <c r="AJ105" s="48" t="n"/>
      <c r="AK105" s="48" t="n"/>
      <c r="AL105" s="48" t="n"/>
      <c r="AM105" s="48" t="n"/>
      <c r="AN105" s="48" t="n"/>
      <c r="AO105" s="48" t="n"/>
      <c r="AP105" s="48" t="n"/>
      <c r="AQ105" s="48" t="n"/>
      <c r="AR105" s="48" t="n"/>
      <c r="AS105" s="48" t="n"/>
      <c r="AT105" s="48" t="n"/>
    </row>
    <row r="106" ht="15" customHeight="1">
      <c r="A106" s="7" t="n"/>
      <c r="B106" s="7" t="n"/>
      <c r="C106" s="23" t="n"/>
      <c r="D106" s="58" t="n"/>
      <c r="E106" s="48" t="n"/>
      <c r="F106" s="48" t="n"/>
      <c r="G106" s="47" t="n"/>
      <c r="H106" s="48" t="n"/>
      <c r="I106" s="48" t="n"/>
      <c r="J106" s="48" t="n"/>
      <c r="K106" s="48" t="n"/>
      <c r="L106" s="48" t="n"/>
      <c r="M106" s="48" t="n"/>
      <c r="N106" s="48" t="n"/>
      <c r="O106" s="48" t="n"/>
      <c r="P106" s="48" t="n"/>
      <c r="Q106" s="55" t="n"/>
      <c r="R106" s="48" t="n"/>
      <c r="S106" s="48" t="n"/>
      <c r="T106" s="48" t="n"/>
      <c r="U106" s="48" t="n"/>
      <c r="V106" s="48" t="n"/>
      <c r="W106" s="48" t="n"/>
      <c r="X106" s="59">
        <f>IF($D$106="","",$D$106*3)</f>
        <v/>
      </c>
      <c r="Y106" s="48" t="n"/>
      <c r="Z106" s="48" t="n"/>
      <c r="AA106" s="48" t="n"/>
      <c r="AB106" s="52" t="n"/>
      <c r="AC106" s="48" t="n"/>
      <c r="AD106" s="48" t="n"/>
      <c r="AE106" s="48" t="n"/>
      <c r="AF106" s="48" t="n"/>
      <c r="AG106" s="48" t="n"/>
      <c r="AH106" s="48" t="n"/>
      <c r="AI106" s="48" t="n"/>
      <c r="AJ106" s="48" t="n"/>
      <c r="AK106" s="48" t="n"/>
      <c r="AL106" s="48" t="n"/>
      <c r="AM106" s="48" t="n"/>
      <c r="AN106" s="48" t="n"/>
      <c r="AO106" s="48" t="n"/>
      <c r="AP106" s="48" t="n"/>
      <c r="AQ106" s="48" t="n"/>
      <c r="AR106" s="48" t="n"/>
      <c r="AS106" s="48" t="n"/>
      <c r="AT106" s="48" t="n"/>
    </row>
    <row r="107" ht="15" customHeight="1">
      <c r="A107" s="7" t="n"/>
      <c r="B107" s="7" t="n"/>
      <c r="C107" s="23" t="n"/>
      <c r="D107" s="58" t="n"/>
      <c r="E107" s="48" t="n"/>
      <c r="F107" s="48" t="n"/>
      <c r="G107" s="47" t="n"/>
      <c r="H107" s="48" t="n"/>
      <c r="I107" s="48" t="n"/>
      <c r="J107" s="48" t="n"/>
      <c r="K107" s="48" t="n"/>
      <c r="L107" s="48" t="n"/>
      <c r="M107" s="48" t="n"/>
      <c r="N107" s="48" t="n"/>
      <c r="O107" s="48" t="n"/>
      <c r="P107" s="48" t="n"/>
      <c r="Q107" s="55" t="n"/>
      <c r="R107" s="48" t="n"/>
      <c r="S107" s="48" t="n"/>
      <c r="T107" s="48" t="n"/>
      <c r="U107" s="48" t="n"/>
      <c r="V107" s="48" t="n"/>
      <c r="W107" s="48" t="n"/>
      <c r="X107" s="59">
        <f>IF($D$107="","",$D$107*3)</f>
        <v/>
      </c>
      <c r="Y107" s="48" t="n"/>
      <c r="Z107" s="48" t="n"/>
      <c r="AA107" s="48" t="n"/>
      <c r="AB107" s="52" t="n"/>
      <c r="AC107" s="48" t="n"/>
      <c r="AD107" s="48" t="n"/>
      <c r="AE107" s="48" t="n"/>
      <c r="AF107" s="48" t="n"/>
      <c r="AG107" s="48" t="n"/>
      <c r="AH107" s="48" t="n"/>
      <c r="AI107" s="48" t="n"/>
      <c r="AJ107" s="48" t="n"/>
      <c r="AK107" s="48" t="n"/>
      <c r="AL107" s="48" t="n"/>
      <c r="AM107" s="48" t="n"/>
      <c r="AN107" s="48" t="n"/>
      <c r="AO107" s="48" t="n"/>
      <c r="AP107" s="48" t="n"/>
      <c r="AQ107" s="48" t="n"/>
      <c r="AR107" s="48" t="n"/>
      <c r="AS107" s="48" t="n"/>
      <c r="AT107" s="48" t="n"/>
    </row>
    <row r="108" ht="15" customHeight="1">
      <c r="A108" s="7" t="n"/>
      <c r="B108" s="7" t="n"/>
      <c r="C108" s="23" t="n"/>
      <c r="D108" s="58" t="n"/>
      <c r="E108" s="48" t="n"/>
      <c r="F108" s="48" t="n"/>
      <c r="G108" s="47" t="n"/>
      <c r="H108" s="48" t="n"/>
      <c r="I108" s="48" t="n"/>
      <c r="J108" s="48" t="n"/>
      <c r="K108" s="48" t="n"/>
      <c r="L108" s="48" t="n"/>
      <c r="M108" s="48" t="n"/>
      <c r="N108" s="48" t="n"/>
      <c r="O108" s="48" t="n"/>
      <c r="P108" s="48" t="n"/>
      <c r="Q108" s="55" t="n"/>
      <c r="R108" s="48" t="n"/>
      <c r="S108" s="48" t="n"/>
      <c r="T108" s="48" t="n"/>
      <c r="U108" s="48" t="n"/>
      <c r="V108" s="48" t="n"/>
      <c r="W108" s="48" t="n"/>
      <c r="X108" s="59">
        <f>IF($D$108="","",$D$108*3)</f>
        <v/>
      </c>
      <c r="Y108" s="48" t="n"/>
      <c r="Z108" s="48" t="n"/>
      <c r="AA108" s="48" t="n"/>
      <c r="AB108" s="52" t="n"/>
      <c r="AC108" s="48" t="n"/>
      <c r="AD108" s="48" t="n"/>
      <c r="AE108" s="48" t="n"/>
      <c r="AF108" s="48" t="n"/>
      <c r="AG108" s="48" t="n"/>
      <c r="AH108" s="48" t="n"/>
      <c r="AI108" s="48" t="n"/>
      <c r="AJ108" s="48" t="n"/>
      <c r="AK108" s="48" t="n"/>
      <c r="AL108" s="48" t="n"/>
      <c r="AM108" s="48" t="n"/>
      <c r="AN108" s="48" t="n"/>
      <c r="AO108" s="48" t="n"/>
      <c r="AP108" s="48" t="n"/>
      <c r="AQ108" s="48" t="n"/>
      <c r="AR108" s="48" t="n"/>
      <c r="AS108" s="48" t="n"/>
      <c r="AT108" s="48" t="n"/>
    </row>
    <row r="109" ht="15" customHeight="1">
      <c r="A109" s="7" t="n"/>
      <c r="B109" s="7" t="n"/>
      <c r="C109" s="23" t="n"/>
      <c r="D109" s="58" t="n"/>
      <c r="E109" s="48" t="n"/>
      <c r="F109" s="48" t="n"/>
      <c r="G109" s="47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55" t="n"/>
      <c r="R109" s="48" t="n"/>
      <c r="S109" s="48" t="n"/>
      <c r="T109" s="48" t="n"/>
      <c r="U109" s="48" t="n"/>
      <c r="V109" s="48" t="n"/>
      <c r="W109" s="48" t="n"/>
      <c r="X109" s="59">
        <f>IF($D$109="","",$D$109*3)</f>
        <v/>
      </c>
      <c r="Y109" s="48" t="n"/>
      <c r="Z109" s="48" t="n"/>
      <c r="AA109" s="48" t="n"/>
      <c r="AB109" s="52" t="n"/>
      <c r="AC109" s="48" t="n"/>
      <c r="AD109" s="48" t="n"/>
      <c r="AE109" s="48" t="n"/>
      <c r="AF109" s="48" t="n"/>
      <c r="AG109" s="48" t="n"/>
      <c r="AH109" s="48" t="n"/>
      <c r="AI109" s="48" t="n"/>
      <c r="AJ109" s="48" t="n"/>
      <c r="AK109" s="48" t="n"/>
      <c r="AL109" s="48" t="n"/>
      <c r="AM109" s="48" t="n"/>
      <c r="AN109" s="48" t="n"/>
      <c r="AO109" s="48" t="n"/>
      <c r="AP109" s="48" t="n"/>
      <c r="AQ109" s="48" t="n"/>
      <c r="AR109" s="48" t="n"/>
      <c r="AS109" s="48" t="n"/>
      <c r="AT109" s="48" t="n"/>
    </row>
    <row r="110" ht="15" customHeight="1">
      <c r="A110" s="7" t="n"/>
      <c r="B110" s="7" t="n"/>
      <c r="C110" s="23" t="n"/>
      <c r="D110" s="58" t="n"/>
      <c r="E110" s="48" t="n"/>
      <c r="F110" s="48" t="n"/>
      <c r="G110" s="47" t="n"/>
      <c r="H110" s="48" t="n"/>
      <c r="I110" s="48" t="n"/>
      <c r="J110" s="48" t="n"/>
      <c r="K110" s="48" t="n"/>
      <c r="L110" s="48" t="n"/>
      <c r="M110" s="48" t="n"/>
      <c r="N110" s="48" t="n"/>
      <c r="O110" s="48" t="n"/>
      <c r="P110" s="48" t="n"/>
      <c r="Q110" s="55" t="n"/>
      <c r="R110" s="48" t="n"/>
      <c r="S110" s="48" t="n"/>
      <c r="T110" s="48" t="n"/>
      <c r="U110" s="48" t="n"/>
      <c r="V110" s="48" t="n"/>
      <c r="W110" s="48" t="n"/>
      <c r="X110" s="59">
        <f>IF($D$110="","",$D$110*3)</f>
        <v/>
      </c>
      <c r="Y110" s="48" t="n"/>
      <c r="Z110" s="48" t="n"/>
      <c r="AA110" s="48" t="n"/>
      <c r="AB110" s="52" t="n"/>
      <c r="AC110" s="48" t="n"/>
      <c r="AD110" s="48" t="n"/>
      <c r="AE110" s="48" t="n"/>
      <c r="AF110" s="48" t="n"/>
      <c r="AG110" s="48" t="n"/>
      <c r="AH110" s="48" t="n"/>
      <c r="AI110" s="48" t="n"/>
      <c r="AJ110" s="48" t="n"/>
      <c r="AK110" s="48" t="n"/>
      <c r="AL110" s="48" t="n"/>
      <c r="AM110" s="48" t="n"/>
      <c r="AN110" s="48" t="n"/>
      <c r="AO110" s="48" t="n"/>
      <c r="AP110" s="48" t="n"/>
      <c r="AQ110" s="48" t="n"/>
      <c r="AR110" s="48" t="n"/>
      <c r="AS110" s="48" t="n"/>
      <c r="AT110" s="48" t="n"/>
    </row>
    <row r="111" ht="15" customHeight="1">
      <c r="A111" s="7" t="n"/>
      <c r="B111" s="7" t="n"/>
      <c r="C111" s="23" t="n"/>
      <c r="D111" s="58" t="n"/>
      <c r="E111" s="48" t="n"/>
      <c r="F111" s="48" t="n"/>
      <c r="G111" s="47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48" t="n"/>
      <c r="Q111" s="55" t="n"/>
      <c r="R111" s="48" t="n"/>
      <c r="S111" s="48" t="n"/>
      <c r="T111" s="48" t="n"/>
      <c r="U111" s="48" t="n"/>
      <c r="V111" s="48" t="n"/>
      <c r="W111" s="48" t="n"/>
      <c r="X111" s="59">
        <f>IF($D$111="","",$D$111*3)</f>
        <v/>
      </c>
      <c r="Y111" s="48" t="n"/>
      <c r="Z111" s="48" t="n"/>
      <c r="AA111" s="48" t="n"/>
      <c r="AB111" s="52" t="n"/>
      <c r="AC111" s="48" t="n"/>
      <c r="AD111" s="48" t="n"/>
      <c r="AE111" s="48" t="n"/>
      <c r="AF111" s="48" t="n"/>
      <c r="AG111" s="48" t="n"/>
      <c r="AH111" s="48" t="n"/>
      <c r="AI111" s="48" t="n"/>
      <c r="AJ111" s="48" t="n"/>
      <c r="AK111" s="48" t="n"/>
      <c r="AL111" s="48" t="n"/>
      <c r="AM111" s="48" t="n"/>
      <c r="AN111" s="48" t="n"/>
      <c r="AO111" s="48" t="n"/>
      <c r="AP111" s="48" t="n"/>
      <c r="AQ111" s="48" t="n"/>
      <c r="AR111" s="48" t="n"/>
      <c r="AS111" s="48" t="n"/>
      <c r="AT111" s="48" t="n"/>
    </row>
    <row r="112" ht="15" customHeight="1">
      <c r="A112" s="7" t="n"/>
      <c r="B112" s="7" t="n"/>
      <c r="C112" s="23" t="n"/>
      <c r="D112" s="58" t="n"/>
      <c r="E112" s="48" t="n"/>
      <c r="F112" s="48" t="n"/>
      <c r="G112" s="47" t="n"/>
      <c r="H112" s="48" t="n"/>
      <c r="I112" s="48" t="n"/>
      <c r="J112" s="48" t="n"/>
      <c r="K112" s="48" t="n"/>
      <c r="L112" s="48" t="n"/>
      <c r="M112" s="48" t="n"/>
      <c r="N112" s="48" t="n"/>
      <c r="O112" s="48" t="n"/>
      <c r="P112" s="48" t="n"/>
      <c r="Q112" s="55" t="n"/>
      <c r="R112" s="48" t="n"/>
      <c r="S112" s="48" t="n"/>
      <c r="T112" s="48" t="n"/>
      <c r="U112" s="48" t="n"/>
      <c r="V112" s="48" t="n"/>
      <c r="W112" s="48" t="n"/>
      <c r="X112" s="59">
        <f>IF($D$112="","",$D$112*3)</f>
        <v/>
      </c>
      <c r="Y112" s="48" t="n"/>
      <c r="Z112" s="48" t="n"/>
      <c r="AA112" s="48" t="n"/>
      <c r="AB112" s="52" t="n"/>
      <c r="AC112" s="48" t="n"/>
      <c r="AD112" s="48" t="n"/>
      <c r="AE112" s="48" t="n"/>
      <c r="AF112" s="48" t="n"/>
      <c r="AG112" s="48" t="n"/>
      <c r="AH112" s="48" t="n"/>
      <c r="AI112" s="48" t="n"/>
      <c r="AJ112" s="48" t="n"/>
      <c r="AK112" s="48" t="n"/>
      <c r="AL112" s="48" t="n"/>
      <c r="AM112" s="48" t="n"/>
      <c r="AN112" s="48" t="n"/>
      <c r="AO112" s="48" t="n"/>
      <c r="AP112" s="48" t="n"/>
      <c r="AQ112" s="48" t="n"/>
      <c r="AR112" s="48" t="n"/>
      <c r="AS112" s="48" t="n"/>
      <c r="AT112" s="48" t="n"/>
    </row>
    <row r="113" ht="15" customHeight="1">
      <c r="A113" s="7" t="n"/>
      <c r="B113" s="7" t="n"/>
      <c r="C113" s="23" t="n"/>
      <c r="D113" s="58" t="n"/>
      <c r="E113" s="48" t="n"/>
      <c r="F113" s="48" t="n"/>
      <c r="G113" s="47" t="n"/>
      <c r="H113" s="48" t="n"/>
      <c r="I113" s="48" t="n"/>
      <c r="J113" s="48" t="n"/>
      <c r="K113" s="48" t="n"/>
      <c r="L113" s="48" t="n"/>
      <c r="M113" s="48" t="n"/>
      <c r="N113" s="48" t="n"/>
      <c r="O113" s="48" t="n"/>
      <c r="P113" s="48" t="n"/>
      <c r="Q113" s="55" t="n"/>
      <c r="R113" s="48" t="n"/>
      <c r="S113" s="48" t="n"/>
      <c r="T113" s="48" t="n"/>
      <c r="U113" s="48" t="n"/>
      <c r="V113" s="48" t="n"/>
      <c r="W113" s="48" t="n"/>
      <c r="X113" s="59">
        <f>IF($D$113="","",$D$113*3)</f>
        <v/>
      </c>
      <c r="Y113" s="48" t="n"/>
      <c r="Z113" s="48" t="n"/>
      <c r="AA113" s="48" t="n"/>
      <c r="AB113" s="52" t="n"/>
      <c r="AC113" s="48" t="n"/>
      <c r="AD113" s="48" t="n"/>
      <c r="AE113" s="48" t="n"/>
      <c r="AF113" s="48" t="n"/>
      <c r="AG113" s="48" t="n"/>
      <c r="AH113" s="48" t="n"/>
      <c r="AI113" s="48" t="n"/>
      <c r="AJ113" s="48" t="n"/>
      <c r="AK113" s="48" t="n"/>
      <c r="AL113" s="48" t="n"/>
      <c r="AM113" s="48" t="n"/>
      <c r="AN113" s="48" t="n"/>
      <c r="AO113" s="48" t="n"/>
      <c r="AP113" s="48" t="n"/>
      <c r="AQ113" s="48" t="n"/>
      <c r="AR113" s="48" t="n"/>
      <c r="AS113" s="48" t="n"/>
      <c r="AT113" s="48" t="n"/>
    </row>
    <row r="114" ht="15" customHeight="1">
      <c r="A114" s="7" t="n"/>
      <c r="B114" s="7" t="n"/>
      <c r="C114" s="23" t="n"/>
      <c r="D114" s="58" t="n"/>
      <c r="E114" s="48" t="n"/>
      <c r="F114" s="48" t="n"/>
      <c r="G114" s="47" t="n"/>
      <c r="H114" s="48" t="n"/>
      <c r="I114" s="48" t="n"/>
      <c r="J114" s="48" t="n"/>
      <c r="K114" s="48" t="n"/>
      <c r="L114" s="48" t="n"/>
      <c r="M114" s="48" t="n"/>
      <c r="N114" s="48" t="n"/>
      <c r="O114" s="48" t="n"/>
      <c r="P114" s="48" t="n"/>
      <c r="Q114" s="55" t="n"/>
      <c r="R114" s="48" t="n"/>
      <c r="S114" s="48" t="n"/>
      <c r="T114" s="48" t="n"/>
      <c r="U114" s="48" t="n"/>
      <c r="V114" s="48" t="n"/>
      <c r="W114" s="48" t="n"/>
      <c r="X114" s="59">
        <f>IF($D$114="","",$D$114*3)</f>
        <v/>
      </c>
      <c r="Y114" s="48" t="n"/>
      <c r="Z114" s="48" t="n"/>
      <c r="AA114" s="48" t="n"/>
      <c r="AB114" s="52" t="n"/>
      <c r="AC114" s="48" t="n"/>
      <c r="AD114" s="48" t="n"/>
      <c r="AE114" s="48" t="n"/>
      <c r="AF114" s="48" t="n"/>
      <c r="AG114" s="48" t="n"/>
      <c r="AH114" s="48" t="n"/>
      <c r="AI114" s="48" t="n"/>
      <c r="AJ114" s="48" t="n"/>
      <c r="AK114" s="48" t="n"/>
      <c r="AL114" s="48" t="n"/>
      <c r="AM114" s="48" t="n"/>
      <c r="AN114" s="48" t="n"/>
      <c r="AO114" s="48" t="n"/>
      <c r="AP114" s="48" t="n"/>
      <c r="AQ114" s="48" t="n"/>
      <c r="AR114" s="48" t="n"/>
      <c r="AS114" s="48" t="n"/>
      <c r="AT114" s="48" t="n"/>
    </row>
    <row r="115" ht="15" customHeight="1">
      <c r="A115" s="7" t="n"/>
      <c r="B115" s="7" t="n"/>
      <c r="C115" s="23" t="n"/>
      <c r="D115" s="58" t="n"/>
      <c r="E115" s="48" t="n"/>
      <c r="F115" s="48" t="n"/>
      <c r="G115" s="47" t="n"/>
      <c r="H115" s="48" t="n"/>
      <c r="I115" s="48" t="n"/>
      <c r="J115" s="48" t="n"/>
      <c r="K115" s="48" t="n"/>
      <c r="L115" s="48" t="n"/>
      <c r="M115" s="48" t="n"/>
      <c r="N115" s="48" t="n"/>
      <c r="O115" s="48" t="n"/>
      <c r="P115" s="48" t="n"/>
      <c r="Q115" s="55" t="n"/>
      <c r="R115" s="48" t="n"/>
      <c r="S115" s="48" t="n"/>
      <c r="T115" s="48" t="n"/>
      <c r="U115" s="48" t="n"/>
      <c r="V115" s="48" t="n"/>
      <c r="W115" s="48" t="n"/>
      <c r="X115" s="59">
        <f>IF($D$115="","",$D$115*3)</f>
        <v/>
      </c>
      <c r="Y115" s="48" t="n"/>
      <c r="Z115" s="48" t="n"/>
      <c r="AA115" s="48" t="n"/>
      <c r="AB115" s="52" t="n"/>
      <c r="AC115" s="48" t="n"/>
      <c r="AD115" s="48" t="n"/>
      <c r="AE115" s="48" t="n"/>
      <c r="AF115" s="48" t="n"/>
      <c r="AG115" s="48" t="n"/>
      <c r="AH115" s="48" t="n"/>
      <c r="AI115" s="48" t="n"/>
      <c r="AJ115" s="48" t="n"/>
      <c r="AK115" s="48" t="n"/>
      <c r="AL115" s="48" t="n"/>
      <c r="AM115" s="48" t="n"/>
      <c r="AN115" s="48" t="n"/>
      <c r="AO115" s="48" t="n"/>
      <c r="AP115" s="48" t="n"/>
      <c r="AQ115" s="48" t="n"/>
      <c r="AR115" s="48" t="n"/>
      <c r="AS115" s="48" t="n"/>
      <c r="AT115" s="48" t="n"/>
    </row>
    <row r="116" ht="15" customHeight="1">
      <c r="A116" s="7" t="n"/>
      <c r="B116" s="7" t="n"/>
      <c r="C116" s="23" t="n"/>
      <c r="D116" s="58" t="n"/>
      <c r="E116" s="48" t="n"/>
      <c r="F116" s="48" t="n"/>
      <c r="G116" s="47" t="n"/>
      <c r="H116" s="48" t="n"/>
      <c r="I116" s="48" t="n"/>
      <c r="J116" s="48" t="n"/>
      <c r="K116" s="48" t="n"/>
      <c r="L116" s="48" t="n"/>
      <c r="M116" s="48" t="n"/>
      <c r="N116" s="48" t="n"/>
      <c r="O116" s="48" t="n"/>
      <c r="P116" s="48" t="n"/>
      <c r="Q116" s="55" t="n"/>
      <c r="R116" s="48" t="n"/>
      <c r="S116" s="48" t="n"/>
      <c r="T116" s="48" t="n"/>
      <c r="U116" s="48" t="n"/>
      <c r="V116" s="48" t="n"/>
      <c r="W116" s="48" t="n"/>
      <c r="X116" s="59">
        <f>IF($D$116="","",$D$116*3)</f>
        <v/>
      </c>
      <c r="Y116" s="48" t="n"/>
      <c r="Z116" s="48" t="n"/>
      <c r="AA116" s="48" t="n"/>
      <c r="AB116" s="52" t="n"/>
      <c r="AC116" s="48" t="n"/>
      <c r="AD116" s="48" t="n"/>
      <c r="AE116" s="48" t="n"/>
      <c r="AF116" s="48" t="n"/>
      <c r="AG116" s="48" t="n"/>
      <c r="AH116" s="48" t="n"/>
      <c r="AI116" s="48" t="n"/>
      <c r="AJ116" s="48" t="n"/>
      <c r="AK116" s="48" t="n"/>
      <c r="AL116" s="48" t="n"/>
      <c r="AM116" s="48" t="n"/>
      <c r="AN116" s="48" t="n"/>
      <c r="AO116" s="48" t="n"/>
      <c r="AP116" s="48" t="n"/>
      <c r="AQ116" s="48" t="n"/>
      <c r="AR116" s="48" t="n"/>
      <c r="AS116" s="48" t="n"/>
      <c r="AT116" s="48" t="n"/>
    </row>
    <row r="117" ht="15" customHeight="1">
      <c r="A117" s="7" t="n"/>
      <c r="B117" s="7" t="n"/>
      <c r="C117" s="23" t="n"/>
      <c r="D117" s="58" t="n"/>
      <c r="E117" s="48" t="n"/>
      <c r="F117" s="48" t="n"/>
      <c r="G117" s="47" t="n"/>
      <c r="H117" s="48" t="n"/>
      <c r="I117" s="48" t="n"/>
      <c r="J117" s="48" t="n"/>
      <c r="K117" s="48" t="n"/>
      <c r="L117" s="48" t="n"/>
      <c r="M117" s="48" t="n"/>
      <c r="N117" s="48" t="n"/>
      <c r="O117" s="48" t="n"/>
      <c r="P117" s="48" t="n"/>
      <c r="Q117" s="55" t="n"/>
      <c r="R117" s="48" t="n"/>
      <c r="S117" s="48" t="n"/>
      <c r="T117" s="48" t="n"/>
      <c r="U117" s="48" t="n"/>
      <c r="V117" s="48" t="n"/>
      <c r="W117" s="48" t="n"/>
      <c r="X117" s="59">
        <f>IF($D$117="","",$D$117*3)</f>
        <v/>
      </c>
      <c r="Y117" s="48" t="n"/>
      <c r="Z117" s="48" t="n"/>
      <c r="AA117" s="48" t="n"/>
      <c r="AB117" s="52" t="n"/>
      <c r="AC117" s="48" t="n"/>
      <c r="AD117" s="48" t="n"/>
      <c r="AE117" s="48" t="n"/>
      <c r="AF117" s="48" t="n"/>
      <c r="AG117" s="48" t="n"/>
      <c r="AH117" s="48" t="n"/>
      <c r="AI117" s="48" t="n"/>
      <c r="AJ117" s="48" t="n"/>
      <c r="AK117" s="48" t="n"/>
      <c r="AL117" s="48" t="n"/>
      <c r="AM117" s="48" t="n"/>
      <c r="AN117" s="48" t="n"/>
      <c r="AO117" s="48" t="n"/>
      <c r="AP117" s="48" t="n"/>
      <c r="AQ117" s="48" t="n"/>
      <c r="AR117" s="48" t="n"/>
      <c r="AS117" s="48" t="n"/>
      <c r="AT117" s="48" t="n"/>
    </row>
    <row r="118" ht="15" customHeight="1">
      <c r="A118" s="7" t="n"/>
      <c r="B118" s="7" t="n"/>
      <c r="C118" s="23" t="n"/>
      <c r="D118" s="58" t="n"/>
      <c r="E118" s="48" t="n"/>
      <c r="F118" s="48" t="n"/>
      <c r="G118" s="47" t="n"/>
      <c r="H118" s="48" t="n"/>
      <c r="I118" s="48" t="n"/>
      <c r="J118" s="48" t="n"/>
      <c r="K118" s="48" t="n"/>
      <c r="L118" s="48" t="n"/>
      <c r="M118" s="48" t="n"/>
      <c r="N118" s="48" t="n"/>
      <c r="O118" s="48" t="n"/>
      <c r="P118" s="48" t="n"/>
      <c r="Q118" s="55" t="n"/>
      <c r="R118" s="48" t="n"/>
      <c r="S118" s="48" t="n"/>
      <c r="T118" s="48" t="n"/>
      <c r="U118" s="48" t="n"/>
      <c r="V118" s="48" t="n"/>
      <c r="W118" s="48" t="n"/>
      <c r="X118" s="59">
        <f>IF($D$118="","",$D$118*3)</f>
        <v/>
      </c>
      <c r="Y118" s="48" t="n"/>
      <c r="Z118" s="48" t="n"/>
      <c r="AA118" s="48" t="n"/>
      <c r="AB118" s="52" t="n"/>
      <c r="AC118" s="48" t="n"/>
      <c r="AD118" s="48" t="n"/>
      <c r="AE118" s="48" t="n"/>
      <c r="AF118" s="48" t="n"/>
      <c r="AG118" s="48" t="n"/>
      <c r="AH118" s="48" t="n"/>
      <c r="AI118" s="48" t="n"/>
      <c r="AJ118" s="48" t="n"/>
      <c r="AK118" s="48" t="n"/>
      <c r="AL118" s="48" t="n"/>
      <c r="AM118" s="48" t="n"/>
      <c r="AN118" s="48" t="n"/>
      <c r="AO118" s="48" t="n"/>
      <c r="AP118" s="48" t="n"/>
      <c r="AQ118" s="48" t="n"/>
      <c r="AR118" s="48" t="n"/>
      <c r="AS118" s="48" t="n"/>
      <c r="AT118" s="48" t="n"/>
    </row>
    <row r="119" ht="15" customHeight="1">
      <c r="A119" s="7" t="n"/>
      <c r="B119" s="7" t="n"/>
      <c r="C119" s="23" t="n"/>
      <c r="D119" s="58" t="n"/>
      <c r="E119" s="48" t="n"/>
      <c r="F119" s="48" t="n"/>
      <c r="G119" s="47" t="n"/>
      <c r="H119" s="48" t="n"/>
      <c r="I119" s="48" t="n"/>
      <c r="J119" s="48" t="n"/>
      <c r="K119" s="48" t="n"/>
      <c r="L119" s="48" t="n"/>
      <c r="M119" s="48" t="n"/>
      <c r="N119" s="48" t="n"/>
      <c r="O119" s="48" t="n"/>
      <c r="P119" s="48" t="n"/>
      <c r="Q119" s="55" t="n"/>
      <c r="R119" s="48" t="n"/>
      <c r="S119" s="48" t="n"/>
      <c r="T119" s="48" t="n"/>
      <c r="U119" s="48" t="n"/>
      <c r="V119" s="48" t="n"/>
      <c r="W119" s="48" t="n"/>
      <c r="X119" s="59">
        <f>IF($D$119="","",$D$119*3)</f>
        <v/>
      </c>
      <c r="Y119" s="48" t="n"/>
      <c r="Z119" s="48" t="n"/>
      <c r="AA119" s="48" t="n"/>
      <c r="AB119" s="52" t="n"/>
      <c r="AC119" s="48" t="n"/>
      <c r="AD119" s="48" t="n"/>
      <c r="AE119" s="48" t="n"/>
      <c r="AF119" s="48" t="n"/>
      <c r="AG119" s="48" t="n"/>
      <c r="AH119" s="48" t="n"/>
      <c r="AI119" s="48" t="n"/>
      <c r="AJ119" s="48" t="n"/>
      <c r="AK119" s="48" t="n"/>
      <c r="AL119" s="48" t="n"/>
      <c r="AM119" s="48" t="n"/>
      <c r="AN119" s="48" t="n"/>
      <c r="AO119" s="48" t="n"/>
      <c r="AP119" s="48" t="n"/>
      <c r="AQ119" s="48" t="n"/>
      <c r="AR119" s="48" t="n"/>
      <c r="AS119" s="48" t="n"/>
      <c r="AT119" s="48" t="n"/>
    </row>
    <row r="120" ht="15" customHeight="1">
      <c r="A120" s="7" t="n"/>
      <c r="B120" s="7" t="n"/>
      <c r="C120" s="23" t="n"/>
      <c r="D120" s="58" t="n"/>
      <c r="E120" s="48" t="n"/>
      <c r="F120" s="48" t="n"/>
      <c r="G120" s="47" t="n"/>
      <c r="H120" s="48" t="n"/>
      <c r="I120" s="48" t="n"/>
      <c r="J120" s="48" t="n"/>
      <c r="K120" s="48" t="n"/>
      <c r="L120" s="48" t="n"/>
      <c r="M120" s="48" t="n"/>
      <c r="N120" s="48" t="n"/>
      <c r="O120" s="48" t="n"/>
      <c r="P120" s="48" t="n"/>
      <c r="Q120" s="55" t="n"/>
      <c r="R120" s="48" t="n"/>
      <c r="S120" s="48" t="n"/>
      <c r="T120" s="48" t="n"/>
      <c r="U120" s="48" t="n"/>
      <c r="V120" s="48" t="n"/>
      <c r="W120" s="48" t="n"/>
      <c r="X120" s="59">
        <f>IF($D$120="","",$D$120*3)</f>
        <v/>
      </c>
      <c r="Y120" s="48" t="n"/>
      <c r="Z120" s="48" t="n"/>
      <c r="AA120" s="48" t="n"/>
      <c r="AB120" s="52" t="n"/>
      <c r="AC120" s="48" t="n"/>
      <c r="AD120" s="48" t="n"/>
      <c r="AE120" s="48" t="n"/>
      <c r="AF120" s="48" t="n"/>
      <c r="AG120" s="48" t="n"/>
      <c r="AH120" s="48" t="n"/>
      <c r="AI120" s="48" t="n"/>
      <c r="AJ120" s="48" t="n"/>
      <c r="AK120" s="48" t="n"/>
      <c r="AL120" s="48" t="n"/>
      <c r="AM120" s="48" t="n"/>
      <c r="AN120" s="48" t="n"/>
      <c r="AO120" s="48" t="n"/>
      <c r="AP120" s="48" t="n"/>
      <c r="AQ120" s="48" t="n"/>
      <c r="AR120" s="48" t="n"/>
      <c r="AS120" s="48" t="n"/>
      <c r="AT120" s="48" t="n"/>
    </row>
    <row r="121" ht="15" customHeight="1">
      <c r="A121" s="7" t="n"/>
      <c r="B121" s="7" t="n"/>
      <c r="C121" s="23" t="n"/>
      <c r="D121" s="58" t="n"/>
      <c r="E121" s="48" t="n"/>
      <c r="F121" s="48" t="n"/>
      <c r="G121" s="47" t="n"/>
      <c r="H121" s="48" t="n"/>
      <c r="I121" s="48" t="n"/>
      <c r="J121" s="48" t="n"/>
      <c r="K121" s="48" t="n"/>
      <c r="L121" s="48" t="n"/>
      <c r="M121" s="48" t="n"/>
      <c r="N121" s="48" t="n"/>
      <c r="O121" s="48" t="n"/>
      <c r="P121" s="48" t="n"/>
      <c r="Q121" s="55" t="n"/>
      <c r="R121" s="48" t="n"/>
      <c r="S121" s="48" t="n"/>
      <c r="T121" s="48" t="n"/>
      <c r="U121" s="48" t="n"/>
      <c r="V121" s="48" t="n"/>
      <c r="W121" s="48" t="n"/>
      <c r="X121" s="59">
        <f>IF($D$121="","",$D$121*3)</f>
        <v/>
      </c>
      <c r="Y121" s="48" t="n"/>
      <c r="Z121" s="48" t="n"/>
      <c r="AA121" s="48" t="n"/>
      <c r="AB121" s="52" t="n"/>
      <c r="AC121" s="48" t="n"/>
      <c r="AD121" s="48" t="n"/>
      <c r="AE121" s="48" t="n"/>
      <c r="AF121" s="48" t="n"/>
      <c r="AG121" s="48" t="n"/>
      <c r="AH121" s="48" t="n"/>
      <c r="AI121" s="48" t="n"/>
      <c r="AJ121" s="48" t="n"/>
      <c r="AK121" s="48" t="n"/>
      <c r="AL121" s="48" t="n"/>
      <c r="AM121" s="48" t="n"/>
      <c r="AN121" s="48" t="n"/>
      <c r="AO121" s="48" t="n"/>
      <c r="AP121" s="48" t="n"/>
      <c r="AQ121" s="48" t="n"/>
      <c r="AR121" s="48" t="n"/>
      <c r="AS121" s="48" t="n"/>
      <c r="AT121" s="48" t="n"/>
    </row>
    <row r="122" ht="15" customHeight="1">
      <c r="A122" s="7" t="n"/>
      <c r="B122" s="7" t="n"/>
      <c r="C122" s="23" t="n"/>
      <c r="D122" s="58" t="n"/>
      <c r="E122" s="48" t="n"/>
      <c r="F122" s="48" t="n"/>
      <c r="G122" s="47" t="n"/>
      <c r="H122" s="48" t="n"/>
      <c r="I122" s="48" t="n"/>
      <c r="J122" s="48" t="n"/>
      <c r="K122" s="48" t="n"/>
      <c r="L122" s="48" t="n"/>
      <c r="M122" s="48" t="n"/>
      <c r="N122" s="48" t="n"/>
      <c r="O122" s="48" t="n"/>
      <c r="P122" s="48" t="n"/>
      <c r="Q122" s="55" t="n"/>
      <c r="R122" s="48" t="n"/>
      <c r="S122" s="48" t="n"/>
      <c r="T122" s="48" t="n"/>
      <c r="U122" s="48" t="n"/>
      <c r="V122" s="48" t="n"/>
      <c r="W122" s="48" t="n"/>
      <c r="X122" s="59">
        <f>IF($D$122="","",$D$122*3)</f>
        <v/>
      </c>
      <c r="Y122" s="48" t="n"/>
      <c r="Z122" s="48" t="n"/>
      <c r="AA122" s="48" t="n"/>
      <c r="AB122" s="52" t="n"/>
      <c r="AC122" s="48" t="n"/>
      <c r="AD122" s="48" t="n"/>
      <c r="AE122" s="48" t="n"/>
      <c r="AF122" s="48" t="n"/>
      <c r="AG122" s="48" t="n"/>
      <c r="AH122" s="48" t="n"/>
      <c r="AI122" s="48" t="n"/>
      <c r="AJ122" s="48" t="n"/>
      <c r="AK122" s="48" t="n"/>
      <c r="AL122" s="48" t="n"/>
      <c r="AM122" s="48" t="n"/>
      <c r="AN122" s="48" t="n"/>
      <c r="AO122" s="48" t="n"/>
      <c r="AP122" s="48" t="n"/>
      <c r="AQ122" s="48" t="n"/>
      <c r="AR122" s="48" t="n"/>
      <c r="AS122" s="48" t="n"/>
      <c r="AT122" s="48" t="n"/>
    </row>
    <row r="123" ht="15" customHeight="1">
      <c r="A123" s="7" t="n"/>
      <c r="B123" s="7" t="n"/>
      <c r="C123" s="23" t="n"/>
      <c r="D123" s="58" t="n"/>
      <c r="E123" s="48" t="n"/>
      <c r="F123" s="48" t="n"/>
      <c r="G123" s="47" t="n"/>
      <c r="H123" s="48" t="n"/>
      <c r="I123" s="48" t="n"/>
      <c r="J123" s="48" t="n"/>
      <c r="K123" s="48" t="n"/>
      <c r="L123" s="48" t="n"/>
      <c r="M123" s="48" t="n"/>
      <c r="N123" s="48" t="n"/>
      <c r="O123" s="48" t="n"/>
      <c r="P123" s="48" t="n"/>
      <c r="Q123" s="55" t="n"/>
      <c r="R123" s="48" t="n"/>
      <c r="S123" s="48" t="n"/>
      <c r="T123" s="48" t="n"/>
      <c r="U123" s="48" t="n"/>
      <c r="V123" s="48" t="n"/>
      <c r="W123" s="48" t="n"/>
      <c r="X123" s="59">
        <f>IF($D$123="","",$D$123*3)</f>
        <v/>
      </c>
      <c r="Y123" s="48" t="n"/>
      <c r="Z123" s="48" t="n"/>
      <c r="AA123" s="48" t="n"/>
      <c r="AB123" s="52" t="n"/>
      <c r="AC123" s="48" t="n"/>
      <c r="AD123" s="48" t="n"/>
      <c r="AE123" s="48" t="n"/>
      <c r="AF123" s="48" t="n"/>
      <c r="AG123" s="48" t="n"/>
      <c r="AH123" s="48" t="n"/>
      <c r="AI123" s="48" t="n"/>
      <c r="AJ123" s="48" t="n"/>
      <c r="AK123" s="48" t="n"/>
      <c r="AL123" s="48" t="n"/>
      <c r="AM123" s="48" t="n"/>
      <c r="AN123" s="48" t="n"/>
      <c r="AO123" s="48" t="n"/>
      <c r="AP123" s="48" t="n"/>
      <c r="AQ123" s="48" t="n"/>
      <c r="AR123" s="48" t="n"/>
      <c r="AS123" s="48" t="n"/>
      <c r="AT123" s="48" t="n"/>
    </row>
    <row r="124" ht="15" customHeight="1">
      <c r="A124" s="7" t="n"/>
      <c r="B124" s="7" t="n"/>
      <c r="C124" s="23" t="n"/>
      <c r="D124" s="58" t="n"/>
      <c r="E124" s="48" t="n"/>
      <c r="F124" s="48" t="n"/>
      <c r="G124" s="47" t="n"/>
      <c r="H124" s="48" t="n"/>
      <c r="I124" s="48" t="n"/>
      <c r="J124" s="48" t="n"/>
      <c r="K124" s="48" t="n"/>
      <c r="L124" s="48" t="n"/>
      <c r="M124" s="48" t="n"/>
      <c r="N124" s="48" t="n"/>
      <c r="O124" s="48" t="n"/>
      <c r="P124" s="48" t="n"/>
      <c r="Q124" s="55" t="n"/>
      <c r="R124" s="48" t="n"/>
      <c r="S124" s="48" t="n"/>
      <c r="T124" s="48" t="n"/>
      <c r="U124" s="48" t="n"/>
      <c r="V124" s="48" t="n"/>
      <c r="W124" s="48" t="n"/>
      <c r="X124" s="59">
        <f>IF($D$124="","",$D$124*3)</f>
        <v/>
      </c>
      <c r="Y124" s="48" t="n"/>
      <c r="Z124" s="48" t="n"/>
      <c r="AA124" s="48" t="n"/>
      <c r="AB124" s="52" t="n"/>
      <c r="AC124" s="48" t="n"/>
      <c r="AD124" s="48" t="n"/>
      <c r="AE124" s="48" t="n"/>
      <c r="AF124" s="48" t="n"/>
      <c r="AG124" s="48" t="n"/>
      <c r="AH124" s="48" t="n"/>
      <c r="AI124" s="48" t="n"/>
      <c r="AJ124" s="48" t="n"/>
      <c r="AK124" s="48" t="n"/>
      <c r="AL124" s="48" t="n"/>
      <c r="AM124" s="48" t="n"/>
      <c r="AN124" s="48" t="n"/>
      <c r="AO124" s="48" t="n"/>
      <c r="AP124" s="48" t="n"/>
      <c r="AQ124" s="48" t="n"/>
      <c r="AR124" s="48" t="n"/>
      <c r="AS124" s="48" t="n"/>
      <c r="AT124" s="48" t="n"/>
    </row>
    <row r="125" ht="15" customHeight="1">
      <c r="A125" s="7" t="n"/>
      <c r="B125" s="7" t="n"/>
      <c r="C125" s="23" t="n"/>
      <c r="D125" s="51" t="n"/>
      <c r="E125" s="51" t="n"/>
      <c r="F125" s="51" t="n"/>
      <c r="G125" s="51" t="n"/>
      <c r="H125" s="51" t="n"/>
      <c r="I125" s="51" t="n"/>
      <c r="J125" s="51" t="n"/>
      <c r="K125" s="51" t="n"/>
      <c r="L125" s="51" t="n"/>
      <c r="M125" s="51" t="n"/>
      <c r="N125" s="51" t="n"/>
      <c r="O125" s="51" t="n"/>
      <c r="P125" s="51" t="n"/>
      <c r="Q125" s="51" t="n"/>
      <c r="R125" s="51" t="n"/>
      <c r="S125" s="51" t="n"/>
      <c r="T125" s="51" t="n"/>
      <c r="U125" s="51" t="n"/>
      <c r="V125" s="51" t="n"/>
      <c r="W125" s="51" t="n"/>
      <c r="X125" s="51" t="n"/>
      <c r="Y125" s="51" t="n"/>
      <c r="Z125" s="51" t="n"/>
      <c r="AA125" s="51" t="n"/>
      <c r="AB125" s="51" t="n"/>
      <c r="AC125" s="51" t="n"/>
      <c r="AD125" s="51" t="n"/>
      <c r="AE125" s="51" t="n"/>
      <c r="AF125" s="51" t="n"/>
      <c r="AG125" s="51" t="n"/>
      <c r="AH125" s="51" t="n"/>
      <c r="AI125" s="51" t="n"/>
      <c r="AJ125" s="51" t="n"/>
      <c r="AK125" s="51" t="n"/>
      <c r="AL125" s="51" t="n"/>
      <c r="AM125" s="51" t="n"/>
      <c r="AN125" s="51" t="n"/>
      <c r="AO125" s="51" t="n"/>
      <c r="AP125" s="51" t="n"/>
      <c r="AQ125" s="51" t="n"/>
      <c r="AR125" s="51" t="n"/>
      <c r="AS125" s="51" t="n"/>
      <c r="AT125" s="51" t="n"/>
    </row>
    <row r="126" ht="15" customHeight="1">
      <c r="A126" s="7" t="n"/>
      <c r="B126" s="7" t="n"/>
      <c r="C126" s="23" t="n"/>
      <c r="D126" s="53" t="inlineStr">
        <is>
          <t>PASSIVAS PAGAS · custam espaço de feitiço, e a Classe é o preço. Máximo 5</t>
        </is>
      </c>
      <c r="AE126" s="23" t="n"/>
      <c r="AF126" s="23" t="n"/>
      <c r="AG126" s="23" t="n"/>
      <c r="AH126" s="23" t="n"/>
      <c r="AI126" s="23" t="n"/>
      <c r="AJ126" s="23" t="n"/>
      <c r="AK126" s="23" t="n"/>
      <c r="AL126" s="23" t="n"/>
      <c r="AM126" s="23" t="n"/>
      <c r="AN126" s="23" t="n"/>
      <c r="AO126" s="23" t="n"/>
      <c r="AP126" s="23" t="n"/>
      <c r="AQ126" s="23" t="n"/>
      <c r="AR126" s="23" t="n"/>
      <c r="AS126" s="23" t="n"/>
      <c r="AT126" s="23" t="n"/>
    </row>
    <row r="127" ht="15" customHeight="1">
      <c r="A127" s="7" t="n"/>
      <c r="B127" s="7" t="n"/>
      <c r="C127" s="23" t="n"/>
      <c r="D127" s="27" t="inlineStr">
        <is>
          <t>CLASSE</t>
        </is>
      </c>
      <c r="E127" s="23" t="n"/>
      <c r="F127" s="23" t="n"/>
      <c r="G127" s="27" t="inlineStr">
        <is>
          <t>NOME</t>
        </is>
      </c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7" t="inlineStr">
        <is>
          <t>O QUE ELA FAZ SOZINHA</t>
        </is>
      </c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  <c r="AA127" s="23" t="n"/>
      <c r="AB127" s="23" t="n"/>
      <c r="AC127" s="23" t="n"/>
      <c r="AD127" s="23" t="n"/>
      <c r="AE127" s="23" t="n"/>
      <c r="AF127" s="23" t="n"/>
      <c r="AG127" s="23" t="n"/>
      <c r="AH127" s="23" t="n"/>
      <c r="AI127" s="23" t="n"/>
      <c r="AJ127" s="23" t="n"/>
      <c r="AK127" s="23" t="n"/>
      <c r="AL127" s="23" t="n"/>
      <c r="AM127" s="23" t="n"/>
      <c r="AN127" s="23" t="n"/>
      <c r="AO127" s="23" t="n"/>
      <c r="AP127" s="23" t="n"/>
      <c r="AQ127" s="23" t="n"/>
      <c r="AR127" s="23" t="n"/>
      <c r="AS127" s="23" t="n"/>
      <c r="AT127" s="23" t="n"/>
    </row>
    <row r="128" ht="15" customHeight="1">
      <c r="A128" s="7" t="n"/>
      <c r="B128" s="7" t="n"/>
      <c r="C128" s="23" t="n"/>
      <c r="D128" s="56" t="n"/>
      <c r="G128" s="43" t="n"/>
      <c r="Q128" s="39" t="n"/>
    </row>
    <row r="129" ht="15" customHeight="1">
      <c r="A129" s="7" t="n"/>
      <c r="B129" s="7" t="n"/>
      <c r="C129" s="23" t="n"/>
      <c r="D129" s="58" t="n"/>
      <c r="E129" s="48" t="n"/>
      <c r="F129" s="48" t="n"/>
      <c r="G129" s="47" t="n"/>
      <c r="H129" s="48" t="n"/>
      <c r="I129" s="48" t="n"/>
      <c r="J129" s="48" t="n"/>
      <c r="K129" s="48" t="n"/>
      <c r="L129" s="48" t="n"/>
      <c r="M129" s="48" t="n"/>
      <c r="N129" s="48" t="n"/>
      <c r="O129" s="48" t="n"/>
      <c r="P129" s="48" t="n"/>
      <c r="Q129" s="52" t="n"/>
      <c r="R129" s="48" t="n"/>
      <c r="S129" s="48" t="n"/>
      <c r="T129" s="48" t="n"/>
      <c r="U129" s="48" t="n"/>
      <c r="V129" s="48" t="n"/>
      <c r="W129" s="48" t="n"/>
      <c r="X129" s="48" t="n"/>
      <c r="Y129" s="48" t="n"/>
      <c r="Z129" s="48" t="n"/>
      <c r="AA129" s="48" t="n"/>
      <c r="AB129" s="48" t="n"/>
      <c r="AC129" s="48" t="n"/>
      <c r="AD129" s="48" t="n"/>
      <c r="AE129" s="48" t="n"/>
      <c r="AF129" s="48" t="n"/>
      <c r="AG129" s="48" t="n"/>
      <c r="AH129" s="48" t="n"/>
      <c r="AI129" s="48" t="n"/>
      <c r="AJ129" s="48" t="n"/>
      <c r="AK129" s="48" t="n"/>
      <c r="AL129" s="48" t="n"/>
      <c r="AM129" s="48" t="n"/>
      <c r="AN129" s="48" t="n"/>
      <c r="AO129" s="48" t="n"/>
      <c r="AP129" s="48" t="n"/>
      <c r="AQ129" s="48" t="n"/>
      <c r="AR129" s="48" t="n"/>
      <c r="AS129" s="48" t="n"/>
      <c r="AT129" s="48" t="n"/>
    </row>
    <row r="130" ht="15" customHeight="1">
      <c r="A130" s="7" t="n"/>
      <c r="B130" s="7" t="n"/>
      <c r="C130" s="23" t="n"/>
      <c r="D130" s="58" t="n"/>
      <c r="E130" s="48" t="n"/>
      <c r="F130" s="48" t="n"/>
      <c r="G130" s="47" t="n"/>
      <c r="H130" s="48" t="n"/>
      <c r="I130" s="48" t="n"/>
      <c r="J130" s="48" t="n"/>
      <c r="K130" s="48" t="n"/>
      <c r="L130" s="48" t="n"/>
      <c r="M130" s="48" t="n"/>
      <c r="N130" s="48" t="n"/>
      <c r="O130" s="48" t="n"/>
      <c r="P130" s="48" t="n"/>
      <c r="Q130" s="52" t="n"/>
      <c r="R130" s="48" t="n"/>
      <c r="S130" s="48" t="n"/>
      <c r="T130" s="48" t="n"/>
      <c r="U130" s="48" t="n"/>
      <c r="V130" s="48" t="n"/>
      <c r="W130" s="48" t="n"/>
      <c r="X130" s="48" t="n"/>
      <c r="Y130" s="48" t="n"/>
      <c r="Z130" s="48" t="n"/>
      <c r="AA130" s="48" t="n"/>
      <c r="AB130" s="48" t="n"/>
      <c r="AC130" s="48" t="n"/>
      <c r="AD130" s="48" t="n"/>
      <c r="AE130" s="48" t="n"/>
      <c r="AF130" s="48" t="n"/>
      <c r="AG130" s="48" t="n"/>
      <c r="AH130" s="48" t="n"/>
      <c r="AI130" s="48" t="n"/>
      <c r="AJ130" s="48" t="n"/>
      <c r="AK130" s="48" t="n"/>
      <c r="AL130" s="48" t="n"/>
      <c r="AM130" s="48" t="n"/>
      <c r="AN130" s="48" t="n"/>
      <c r="AO130" s="48" t="n"/>
      <c r="AP130" s="48" t="n"/>
      <c r="AQ130" s="48" t="n"/>
      <c r="AR130" s="48" t="n"/>
      <c r="AS130" s="48" t="n"/>
      <c r="AT130" s="48" t="n"/>
    </row>
    <row r="131" ht="15" customHeight="1">
      <c r="A131" s="7" t="n"/>
      <c r="B131" s="7" t="n"/>
      <c r="C131" s="23" t="n"/>
      <c r="D131" s="58" t="n"/>
      <c r="E131" s="48" t="n"/>
      <c r="F131" s="48" t="n"/>
      <c r="G131" s="47" t="n"/>
      <c r="H131" s="48" t="n"/>
      <c r="I131" s="48" t="n"/>
      <c r="J131" s="48" t="n"/>
      <c r="K131" s="48" t="n"/>
      <c r="L131" s="48" t="n"/>
      <c r="M131" s="48" t="n"/>
      <c r="N131" s="48" t="n"/>
      <c r="O131" s="48" t="n"/>
      <c r="P131" s="48" t="n"/>
      <c r="Q131" s="52" t="n"/>
      <c r="R131" s="48" t="n"/>
      <c r="S131" s="48" t="n"/>
      <c r="T131" s="48" t="n"/>
      <c r="U131" s="48" t="n"/>
      <c r="V131" s="48" t="n"/>
      <c r="W131" s="48" t="n"/>
      <c r="X131" s="48" t="n"/>
      <c r="Y131" s="48" t="n"/>
      <c r="Z131" s="48" t="n"/>
      <c r="AA131" s="48" t="n"/>
      <c r="AB131" s="48" t="n"/>
      <c r="AC131" s="48" t="n"/>
      <c r="AD131" s="48" t="n"/>
      <c r="AE131" s="48" t="n"/>
      <c r="AF131" s="48" t="n"/>
      <c r="AG131" s="48" t="n"/>
      <c r="AH131" s="48" t="n"/>
      <c r="AI131" s="48" t="n"/>
      <c r="AJ131" s="48" t="n"/>
      <c r="AK131" s="48" t="n"/>
      <c r="AL131" s="48" t="n"/>
      <c r="AM131" s="48" t="n"/>
      <c r="AN131" s="48" t="n"/>
      <c r="AO131" s="48" t="n"/>
      <c r="AP131" s="48" t="n"/>
      <c r="AQ131" s="48" t="n"/>
      <c r="AR131" s="48" t="n"/>
      <c r="AS131" s="48" t="n"/>
      <c r="AT131" s="48" t="n"/>
    </row>
    <row r="132" ht="15" customHeight="1">
      <c r="A132" s="7" t="n"/>
      <c r="B132" s="7" t="n"/>
      <c r="C132" s="23" t="n"/>
      <c r="D132" s="58" t="n"/>
      <c r="E132" s="48" t="n"/>
      <c r="F132" s="48" t="n"/>
      <c r="G132" s="47" t="n"/>
      <c r="H132" s="48" t="n"/>
      <c r="I132" s="48" t="n"/>
      <c r="J132" s="48" t="n"/>
      <c r="K132" s="48" t="n"/>
      <c r="L132" s="48" t="n"/>
      <c r="M132" s="48" t="n"/>
      <c r="N132" s="48" t="n"/>
      <c r="O132" s="48" t="n"/>
      <c r="P132" s="48" t="n"/>
      <c r="Q132" s="52" t="n"/>
      <c r="R132" s="48" t="n"/>
      <c r="S132" s="48" t="n"/>
      <c r="T132" s="48" t="n"/>
      <c r="U132" s="48" t="n"/>
      <c r="V132" s="48" t="n"/>
      <c r="W132" s="48" t="n"/>
      <c r="X132" s="48" t="n"/>
      <c r="Y132" s="48" t="n"/>
      <c r="Z132" s="48" t="n"/>
      <c r="AA132" s="48" t="n"/>
      <c r="AB132" s="48" t="n"/>
      <c r="AC132" s="48" t="n"/>
      <c r="AD132" s="48" t="n"/>
      <c r="AE132" s="48" t="n"/>
      <c r="AF132" s="48" t="n"/>
      <c r="AG132" s="48" t="n"/>
      <c r="AH132" s="48" t="n"/>
      <c r="AI132" s="48" t="n"/>
      <c r="AJ132" s="48" t="n"/>
      <c r="AK132" s="48" t="n"/>
      <c r="AL132" s="48" t="n"/>
      <c r="AM132" s="48" t="n"/>
      <c r="AN132" s="48" t="n"/>
      <c r="AO132" s="48" t="n"/>
      <c r="AP132" s="48" t="n"/>
      <c r="AQ132" s="48" t="n"/>
      <c r="AR132" s="48" t="n"/>
      <c r="AS132" s="48" t="n"/>
      <c r="AT132" s="48" t="n"/>
    </row>
    <row r="133" ht="15" customHeight="1">
      <c r="A133" s="7" t="n"/>
      <c r="B133" s="7" t="n"/>
      <c r="C133" s="23" t="n"/>
      <c r="D133" s="51" t="n"/>
      <c r="E133" s="51" t="n"/>
      <c r="F133" s="51" t="n"/>
      <c r="G133" s="51" t="n"/>
      <c r="H133" s="51" t="n"/>
      <c r="I133" s="51" t="n"/>
      <c r="J133" s="51" t="n"/>
      <c r="K133" s="51" t="n"/>
      <c r="L133" s="51" t="n"/>
      <c r="M133" s="51" t="n"/>
      <c r="N133" s="51" t="n"/>
      <c r="O133" s="51" t="n"/>
      <c r="P133" s="51" t="n"/>
      <c r="Q133" s="51" t="n"/>
      <c r="R133" s="51" t="n"/>
      <c r="S133" s="51" t="n"/>
      <c r="T133" s="51" t="n"/>
      <c r="U133" s="51" t="n"/>
      <c r="V133" s="51" t="n"/>
      <c r="W133" s="51" t="n"/>
      <c r="X133" s="51" t="n"/>
      <c r="Y133" s="51" t="n"/>
      <c r="Z133" s="51" t="n"/>
      <c r="AA133" s="51" t="n"/>
      <c r="AB133" s="51" t="n"/>
      <c r="AC133" s="51" t="n"/>
      <c r="AD133" s="51" t="n"/>
      <c r="AE133" s="51" t="n"/>
      <c r="AF133" s="51" t="n"/>
      <c r="AG133" s="51" t="n"/>
      <c r="AH133" s="51" t="n"/>
      <c r="AI133" s="51" t="n"/>
      <c r="AJ133" s="51" t="n"/>
      <c r="AK133" s="51" t="n"/>
      <c r="AL133" s="51" t="n"/>
      <c r="AM133" s="51" t="n"/>
      <c r="AN133" s="51" t="n"/>
      <c r="AO133" s="51" t="n"/>
      <c r="AP133" s="51" t="n"/>
      <c r="AQ133" s="51" t="n"/>
      <c r="AR133" s="51" t="n"/>
      <c r="AS133" s="51" t="n"/>
      <c r="AT133" s="51" t="n"/>
    </row>
    <row r="134" ht="15" customHeight="1">
      <c r="A134" s="7" t="n"/>
      <c r="B134" s="7" t="n"/>
      <c r="C134" s="23" t="n"/>
      <c r="D134" s="35">
        <f>"Disponível: "&amp;($D$54-COUNTIF($D$101:$D$124,"&gt;0")-SUM($D$128:$D$132))&amp;" · Conhecidos: "&amp;$D$54&amp;" · Passivas: "&amp;COUNTIF($D$128:$D$132,"&gt;0")&amp;"/5"&amp;" · Classe 0: "&amp;($AK$54-COUNTIF($D$94:$D$98,"&lt;&gt;"))&amp;"/"&amp;$AK$54</f>
        <v/>
      </c>
    </row>
    <row r="135" ht="15" customHeight="1">
      <c r="A135" s="7" t="n"/>
      <c r="B135" s="7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  <c r="AA135" s="23" t="n"/>
      <c r="AB135" s="23" t="n"/>
      <c r="AC135" s="23" t="n"/>
      <c r="AD135" s="23" t="n"/>
      <c r="AE135" s="23" t="n"/>
      <c r="AF135" s="23" t="n"/>
      <c r="AG135" s="23" t="n"/>
      <c r="AH135" s="23" t="n"/>
      <c r="AI135" s="23" t="n"/>
      <c r="AJ135" s="23" t="n"/>
      <c r="AK135" s="23" t="n"/>
      <c r="AL135" s="23" t="n"/>
      <c r="AM135" s="23" t="n"/>
      <c r="AN135" s="23" t="n"/>
      <c r="AO135" s="23" t="n"/>
      <c r="AP135" s="23" t="n"/>
      <c r="AQ135" s="23" t="n"/>
      <c r="AR135" s="23" t="n"/>
      <c r="AS135" s="23" t="n"/>
      <c r="AT135" s="23" t="n"/>
    </row>
    <row r="136" ht="15" customHeight="1">
      <c r="A136" s="7" t="n"/>
      <c r="B136" s="7" t="n"/>
      <c r="C136" s="23" t="n"/>
      <c r="D136" s="25" t="inlineStr">
        <is>
          <t>09</t>
        </is>
      </c>
      <c r="G136" s="26" t="inlineStr">
        <is>
          <t>PASSIVA LIVRE · de graça, fora do teto. Não rola dado, não muda número</t>
        </is>
      </c>
      <c r="AM136" s="23" t="n"/>
      <c r="AN136" s="23" t="n"/>
      <c r="AO136" s="23" t="n"/>
      <c r="AP136" s="23" t="n"/>
      <c r="AQ136" s="23" t="n"/>
      <c r="AR136" s="23" t="n"/>
      <c r="AS136" s="23" t="n"/>
      <c r="AT136" s="23" t="n"/>
    </row>
    <row r="137" ht="15" customHeight="1">
      <c r="A137" s="7" t="n"/>
      <c r="B137" s="7" t="n"/>
      <c r="C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  <c r="AA137" s="23" t="n"/>
      <c r="AB137" s="23" t="n"/>
      <c r="AC137" s="23" t="n"/>
      <c r="AD137" s="23" t="n"/>
      <c r="AE137" s="23" t="n"/>
      <c r="AF137" s="23" t="n"/>
      <c r="AG137" s="23" t="n"/>
      <c r="AH137" s="23" t="n"/>
      <c r="AI137" s="23" t="n"/>
      <c r="AJ137" s="23" t="n"/>
      <c r="AK137" s="23" t="n"/>
      <c r="AL137" s="23" t="n"/>
      <c r="AM137" s="23" t="n"/>
      <c r="AN137" s="23" t="n"/>
      <c r="AO137" s="23" t="n"/>
      <c r="AP137" s="23" t="n"/>
      <c r="AQ137" s="23" t="n"/>
      <c r="AR137" s="23" t="n"/>
      <c r="AS137" s="23" t="n"/>
      <c r="AT137" s="23" t="n"/>
    </row>
    <row r="138" ht="15" customHeight="1">
      <c r="A138" s="7" t="n"/>
      <c r="B138" s="7" t="n"/>
      <c r="C138" s="23" t="n"/>
      <c r="D138" s="60" t="n"/>
    </row>
    <row r="139" ht="15" customHeight="1">
      <c r="A139" s="7" t="n"/>
      <c r="B139" s="7" t="n"/>
      <c r="C139" s="23" t="n"/>
    </row>
    <row r="140" ht="15" customHeight="1">
      <c r="A140" s="7" t="n"/>
      <c r="B140" s="7" t="n"/>
      <c r="C140" s="23" t="n"/>
    </row>
    <row r="141" ht="15" customHeight="1">
      <c r="A141" s="7" t="n"/>
      <c r="B141" s="7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  <c r="AA141" s="23" t="n"/>
      <c r="AB141" s="23" t="n"/>
      <c r="AC141" s="23" t="n"/>
      <c r="AD141" s="23" t="n"/>
      <c r="AE141" s="23" t="n"/>
      <c r="AF141" s="23" t="n"/>
      <c r="AG141" s="23" t="n"/>
      <c r="AH141" s="23" t="n"/>
      <c r="AI141" s="23" t="n"/>
      <c r="AJ141" s="23" t="n"/>
      <c r="AK141" s="23" t="n"/>
      <c r="AL141" s="23" t="n"/>
      <c r="AM141" s="23" t="n"/>
      <c r="AN141" s="23" t="n"/>
      <c r="AO141" s="23" t="n"/>
      <c r="AP141" s="23" t="n"/>
      <c r="AQ141" s="23" t="n"/>
      <c r="AR141" s="23" t="n"/>
      <c r="AS141" s="23" t="n"/>
      <c r="AT141" s="23" t="n"/>
    </row>
    <row r="142" ht="15" customHeight="1">
      <c r="A142" s="7" t="n"/>
      <c r="B142" s="7" t="n"/>
      <c r="C142" s="23" t="n"/>
      <c r="D142" s="25" t="inlineStr">
        <is>
          <t>10</t>
        </is>
      </c>
      <c r="G142" s="26" t="inlineStr">
        <is>
          <t>ANOTAÇÕES</t>
        </is>
      </c>
      <c r="Y142" s="23" t="n"/>
      <c r="Z142" s="23" t="n"/>
      <c r="AA142" s="23" t="n"/>
      <c r="AB142" s="23" t="n"/>
      <c r="AC142" s="23" t="n"/>
      <c r="AD142" s="23" t="n"/>
      <c r="AE142" s="23" t="n"/>
      <c r="AF142" s="23" t="n"/>
      <c r="AG142" s="23" t="n"/>
      <c r="AH142" s="23" t="n"/>
      <c r="AI142" s="23" t="n"/>
      <c r="AJ142" s="23" t="n"/>
      <c r="AK142" s="23" t="n"/>
      <c r="AL142" s="23" t="n"/>
      <c r="AM142" s="23" t="n"/>
      <c r="AN142" s="23" t="n"/>
      <c r="AO142" s="23" t="n"/>
      <c r="AP142" s="23" t="n"/>
      <c r="AQ142" s="23" t="n"/>
      <c r="AR142" s="23" t="n"/>
      <c r="AS142" s="23" t="n"/>
      <c r="AT142" s="23" t="n"/>
    </row>
    <row r="143" ht="15" customHeight="1">
      <c r="A143" s="7" t="n"/>
      <c r="B143" s="7" t="n"/>
      <c r="C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  <c r="AA143" s="23" t="n"/>
      <c r="AB143" s="23" t="n"/>
      <c r="AC143" s="23" t="n"/>
      <c r="AD143" s="23" t="n"/>
      <c r="AE143" s="23" t="n"/>
      <c r="AF143" s="23" t="n"/>
      <c r="AG143" s="23" t="n"/>
      <c r="AH143" s="23" t="n"/>
      <c r="AI143" s="23" t="n"/>
      <c r="AJ143" s="23" t="n"/>
      <c r="AK143" s="23" t="n"/>
      <c r="AL143" s="23" t="n"/>
      <c r="AM143" s="23" t="n"/>
      <c r="AN143" s="23" t="n"/>
      <c r="AO143" s="23" t="n"/>
      <c r="AP143" s="23" t="n"/>
      <c r="AQ143" s="23" t="n"/>
      <c r="AR143" s="23" t="n"/>
      <c r="AS143" s="23" t="n"/>
      <c r="AT143" s="23" t="n"/>
    </row>
    <row r="144" ht="15" customHeight="1">
      <c r="A144" s="7" t="n"/>
      <c r="B144" s="7" t="n"/>
      <c r="C144" s="23" t="n"/>
      <c r="D144" s="35" t="n"/>
    </row>
    <row r="145" ht="15" customHeight="1">
      <c r="A145" s="7" t="n"/>
      <c r="B145" s="7" t="n"/>
      <c r="C145" s="23" t="n"/>
    </row>
    <row r="146" ht="15" customHeight="1">
      <c r="A146" s="7" t="n"/>
      <c r="B146" s="7" t="n"/>
      <c r="C146" s="23" t="n"/>
    </row>
    <row r="147"/>
    <row r="148"/>
  </sheetData>
  <mergeCells count="376">
    <mergeCell ref="D116:F116"/>
    <mergeCell ref="D2:X2"/>
    <mergeCell ref="Q119:W119"/>
    <mergeCell ref="D39:M39"/>
    <mergeCell ref="G129:P129"/>
    <mergeCell ref="AC62:AD62"/>
    <mergeCell ref="AH2:AT2"/>
    <mergeCell ref="AB116:AT116"/>
    <mergeCell ref="M70:N70"/>
    <mergeCell ref="AB103:AT103"/>
    <mergeCell ref="M60:N60"/>
    <mergeCell ref="T67:Z67"/>
    <mergeCell ref="G131:P131"/>
    <mergeCell ref="G136:AL136"/>
    <mergeCell ref="AB118:AT118"/>
    <mergeCell ref="O63:P63"/>
    <mergeCell ref="Q116:W116"/>
    <mergeCell ref="AB117:AT117"/>
    <mergeCell ref="A8:B26"/>
    <mergeCell ref="D129:F129"/>
    <mergeCell ref="AF22:AK22"/>
    <mergeCell ref="D119:F119"/>
    <mergeCell ref="Q122:W122"/>
    <mergeCell ref="F66:L66"/>
    <mergeCell ref="X108:AA108"/>
    <mergeCell ref="G124:P124"/>
    <mergeCell ref="D8:F9"/>
    <mergeCell ref="D73:F74"/>
    <mergeCell ref="D11:L11"/>
    <mergeCell ref="Z48:AI48"/>
    <mergeCell ref="F61:L61"/>
    <mergeCell ref="G73:AH73"/>
    <mergeCell ref="G119:P119"/>
    <mergeCell ref="E88:L88"/>
    <mergeCell ref="Q104:W104"/>
    <mergeCell ref="D130:F130"/>
    <mergeCell ref="Q106:W106"/>
    <mergeCell ref="D117:F117"/>
    <mergeCell ref="AB124:AT124"/>
    <mergeCell ref="AC64:AD64"/>
    <mergeCell ref="R88:X88"/>
    <mergeCell ref="D132:F132"/>
    <mergeCell ref="M86:Q86"/>
    <mergeCell ref="J23:N24"/>
    <mergeCell ref="T76:X76"/>
    <mergeCell ref="O71:P71"/>
    <mergeCell ref="AB16:AH16"/>
    <mergeCell ref="AC65:AD65"/>
    <mergeCell ref="AB119:AT119"/>
    <mergeCell ref="O76:P76"/>
    <mergeCell ref="Q109:W109"/>
    <mergeCell ref="L17:R18"/>
    <mergeCell ref="R85:X85"/>
    <mergeCell ref="T60:Z60"/>
    <mergeCell ref="O77:P77"/>
    <mergeCell ref="AK44:AT44"/>
    <mergeCell ref="Q130:AT130"/>
    <mergeCell ref="X114:AA114"/>
    <mergeCell ref="AF30:AK30"/>
    <mergeCell ref="Q132:AT132"/>
    <mergeCell ref="D122:F122"/>
    <mergeCell ref="G142:X142"/>
    <mergeCell ref="F69:L69"/>
    <mergeCell ref="AF31:AK31"/>
    <mergeCell ref="O53:X53"/>
    <mergeCell ref="T65:Z65"/>
    <mergeCell ref="O61:P61"/>
    <mergeCell ref="D27:H28"/>
    <mergeCell ref="D30:N30"/>
    <mergeCell ref="E85:L85"/>
    <mergeCell ref="D16:J16"/>
    <mergeCell ref="T77:X77"/>
    <mergeCell ref="F67:L67"/>
    <mergeCell ref="G113:P113"/>
    <mergeCell ref="AB19:AH19"/>
    <mergeCell ref="AJ16:AP16"/>
    <mergeCell ref="F80:J80"/>
    <mergeCell ref="AB17:AH18"/>
    <mergeCell ref="Q112:W112"/>
    <mergeCell ref="T17:Z18"/>
    <mergeCell ref="X10:AF10"/>
    <mergeCell ref="X101:AA101"/>
    <mergeCell ref="AA69:AB69"/>
    <mergeCell ref="E86:L86"/>
    <mergeCell ref="D138:AT140"/>
    <mergeCell ref="AM27:AR27"/>
    <mergeCell ref="N11:V11"/>
    <mergeCell ref="AA64:AB64"/>
    <mergeCell ref="O67:P67"/>
    <mergeCell ref="Y78:AB78"/>
    <mergeCell ref="AC80:AD80"/>
    <mergeCell ref="AM22:AR22"/>
    <mergeCell ref="X104:AA104"/>
    <mergeCell ref="Y80:AB80"/>
    <mergeCell ref="T70:Z70"/>
    <mergeCell ref="X106:AA106"/>
    <mergeCell ref="W94:AT94"/>
    <mergeCell ref="D94:M94"/>
    <mergeCell ref="X110:AA110"/>
    <mergeCell ref="AF23:AK23"/>
    <mergeCell ref="F76:J76"/>
    <mergeCell ref="AH10:AL10"/>
    <mergeCell ref="D19:J19"/>
    <mergeCell ref="L16:R16"/>
    <mergeCell ref="AC79:AD79"/>
    <mergeCell ref="G115:P115"/>
    <mergeCell ref="O39:X39"/>
    <mergeCell ref="K76:N76"/>
    <mergeCell ref="D10:L10"/>
    <mergeCell ref="D93:T93"/>
    <mergeCell ref="D26:N26"/>
    <mergeCell ref="T66:Z66"/>
    <mergeCell ref="AK40:AT40"/>
    <mergeCell ref="Z44:AI44"/>
    <mergeCell ref="D134:AT134"/>
    <mergeCell ref="D106:F106"/>
    <mergeCell ref="D54:M54"/>
    <mergeCell ref="X105:AA105"/>
    <mergeCell ref="AB108:AT108"/>
    <mergeCell ref="F65:L65"/>
    <mergeCell ref="X120:AA120"/>
    <mergeCell ref="X107:AA107"/>
    <mergeCell ref="D95:M95"/>
    <mergeCell ref="D109:F109"/>
    <mergeCell ref="F77:J77"/>
    <mergeCell ref="Z47:AI47"/>
    <mergeCell ref="D97:M97"/>
    <mergeCell ref="D111:F111"/>
    <mergeCell ref="M66:N66"/>
    <mergeCell ref="M63:N63"/>
    <mergeCell ref="Q114:W114"/>
    <mergeCell ref="G108:P108"/>
    <mergeCell ref="D104:F104"/>
    <mergeCell ref="AB111:AT111"/>
    <mergeCell ref="M68:N68"/>
    <mergeCell ref="AJ17:AP18"/>
    <mergeCell ref="G37:X37"/>
    <mergeCell ref="M67:N67"/>
    <mergeCell ref="Y76:AB76"/>
    <mergeCell ref="G109:P109"/>
    <mergeCell ref="M69:N69"/>
    <mergeCell ref="N10:V10"/>
    <mergeCell ref="G111:P111"/>
    <mergeCell ref="D44:M44"/>
    <mergeCell ref="AA65:AB65"/>
    <mergeCell ref="P31:AD32"/>
    <mergeCell ref="AK43:AT43"/>
    <mergeCell ref="Z53:AI53"/>
    <mergeCell ref="Q128:AT128"/>
    <mergeCell ref="AB109:AT109"/>
    <mergeCell ref="X121:AA121"/>
    <mergeCell ref="AA62:AB62"/>
    <mergeCell ref="D101:F101"/>
    <mergeCell ref="X123:AA123"/>
    <mergeCell ref="O40:X40"/>
    <mergeCell ref="G114:P114"/>
    <mergeCell ref="D142:F143"/>
    <mergeCell ref="AB101:AT101"/>
    <mergeCell ref="T16:Z16"/>
    <mergeCell ref="D98:M98"/>
    <mergeCell ref="Q101:W101"/>
    <mergeCell ref="D112:F112"/>
    <mergeCell ref="AN10:AT10"/>
    <mergeCell ref="Z40:AI40"/>
    <mergeCell ref="AM30:AR30"/>
    <mergeCell ref="G130:P130"/>
    <mergeCell ref="D114:F114"/>
    <mergeCell ref="O69:P69"/>
    <mergeCell ref="G117:P117"/>
    <mergeCell ref="Z54:AI54"/>
    <mergeCell ref="G132:P132"/>
    <mergeCell ref="AB114:AT114"/>
    <mergeCell ref="AK39:AT39"/>
    <mergeCell ref="Z43:AI43"/>
    <mergeCell ref="O64:P64"/>
    <mergeCell ref="G112:P112"/>
    <mergeCell ref="N94:V94"/>
    <mergeCell ref="D53:M53"/>
    <mergeCell ref="D47:M47"/>
    <mergeCell ref="AC70:AD70"/>
    <mergeCell ref="G8:X8"/>
    <mergeCell ref="O47:X47"/>
    <mergeCell ref="Q123:W123"/>
    <mergeCell ref="Q110:W110"/>
    <mergeCell ref="Q131:AT131"/>
    <mergeCell ref="AB112:AT112"/>
    <mergeCell ref="D102:F102"/>
    <mergeCell ref="AC76:AD76"/>
    <mergeCell ref="AA63:AB63"/>
    <mergeCell ref="AC63:AD63"/>
    <mergeCell ref="Q102:W102"/>
    <mergeCell ref="T68:Z68"/>
    <mergeCell ref="AC60:AD60"/>
    <mergeCell ref="O60:P60"/>
    <mergeCell ref="D128:F128"/>
    <mergeCell ref="AM23:AR23"/>
    <mergeCell ref="AB122:AT122"/>
    <mergeCell ref="R86:X86"/>
    <mergeCell ref="F62:L62"/>
    <mergeCell ref="AB105:AT105"/>
    <mergeCell ref="D43:M43"/>
    <mergeCell ref="AN11:AT11"/>
    <mergeCell ref="AB107:AT107"/>
    <mergeCell ref="Q105:W105"/>
    <mergeCell ref="O48:X48"/>
    <mergeCell ref="Q120:W120"/>
    <mergeCell ref="D126:AD126"/>
    <mergeCell ref="Q107:W107"/>
    <mergeCell ref="AC78:AD78"/>
    <mergeCell ref="F64:L64"/>
    <mergeCell ref="O65:P65"/>
    <mergeCell ref="AF26:AK26"/>
    <mergeCell ref="Q124:W124"/>
    <mergeCell ref="Q115:W115"/>
    <mergeCell ref="D110:F110"/>
    <mergeCell ref="O62:P62"/>
    <mergeCell ref="P27:AD28"/>
    <mergeCell ref="AF27:AK27"/>
    <mergeCell ref="T63:Z63"/>
    <mergeCell ref="O43:X43"/>
    <mergeCell ref="N96:V96"/>
    <mergeCell ref="D37:F38"/>
    <mergeCell ref="D5:Z5"/>
    <mergeCell ref="G110:P110"/>
    <mergeCell ref="T69:Z69"/>
    <mergeCell ref="N98:V98"/>
    <mergeCell ref="AC66:AD66"/>
    <mergeCell ref="T78:X78"/>
    <mergeCell ref="AC68:AD68"/>
    <mergeCell ref="E87:L87"/>
    <mergeCell ref="AC67:AD67"/>
    <mergeCell ref="AB121:AT121"/>
    <mergeCell ref="T80:X80"/>
    <mergeCell ref="G51:X51"/>
    <mergeCell ref="T79:X79"/>
    <mergeCell ref="D23:H24"/>
    <mergeCell ref="AC69:AD69"/>
    <mergeCell ref="AB123:AT123"/>
    <mergeCell ref="G91:AD91"/>
    <mergeCell ref="Q121:W121"/>
    <mergeCell ref="R87:X87"/>
    <mergeCell ref="AB110:AT110"/>
    <mergeCell ref="M85:Q85"/>
    <mergeCell ref="O79:P79"/>
    <mergeCell ref="O70:P70"/>
    <mergeCell ref="Y79:AB79"/>
    <mergeCell ref="O81:P81"/>
    <mergeCell ref="A30:B48"/>
    <mergeCell ref="D124:F124"/>
    <mergeCell ref="J27:N28"/>
    <mergeCell ref="F71:L71"/>
    <mergeCell ref="D14:F15"/>
    <mergeCell ref="W95:AT95"/>
    <mergeCell ref="X113:AA113"/>
    <mergeCell ref="F60:L60"/>
    <mergeCell ref="G83:X83"/>
    <mergeCell ref="X115:AA115"/>
    <mergeCell ref="W97:AT97"/>
    <mergeCell ref="X102:AA102"/>
    <mergeCell ref="W96:AT96"/>
    <mergeCell ref="G14:X14"/>
    <mergeCell ref="AH3:AT3"/>
    <mergeCell ref="F68:L68"/>
    <mergeCell ref="X119:AA119"/>
    <mergeCell ref="L19:R19"/>
    <mergeCell ref="D31:H32"/>
    <mergeCell ref="Q117:W117"/>
    <mergeCell ref="Q111:W111"/>
    <mergeCell ref="AH11:AL11"/>
    <mergeCell ref="M61:N61"/>
    <mergeCell ref="D91:F92"/>
    <mergeCell ref="P23:AD24"/>
    <mergeCell ref="G104:P104"/>
    <mergeCell ref="T61:Z61"/>
    <mergeCell ref="O78:P78"/>
    <mergeCell ref="X124:AA124"/>
    <mergeCell ref="D22:N22"/>
    <mergeCell ref="AA60:AB60"/>
    <mergeCell ref="AM31:AR31"/>
    <mergeCell ref="F63:L63"/>
    <mergeCell ref="AB104:AT104"/>
    <mergeCell ref="D34:AT34"/>
    <mergeCell ref="AA68:AB68"/>
    <mergeCell ref="D96:M96"/>
    <mergeCell ref="G122:P122"/>
    <mergeCell ref="W98:AT98"/>
    <mergeCell ref="X116:AA116"/>
    <mergeCell ref="AM26:AR26"/>
    <mergeCell ref="X103:AA103"/>
    <mergeCell ref="G101:P101"/>
    <mergeCell ref="AB106:AT106"/>
    <mergeCell ref="X118:AA118"/>
    <mergeCell ref="M62:N62"/>
    <mergeCell ref="AK54:AT54"/>
    <mergeCell ref="O66:P66"/>
    <mergeCell ref="D105:F105"/>
    <mergeCell ref="F78:J78"/>
    <mergeCell ref="D120:F120"/>
    <mergeCell ref="X122:AA122"/>
    <mergeCell ref="O68:P68"/>
    <mergeCell ref="D107:F107"/>
    <mergeCell ref="Y77:AB77"/>
    <mergeCell ref="D51:F52"/>
    <mergeCell ref="M64:N64"/>
    <mergeCell ref="G106:P106"/>
    <mergeCell ref="K78:N78"/>
    <mergeCell ref="J31:N32"/>
    <mergeCell ref="G105:P105"/>
    <mergeCell ref="X111:AA111"/>
    <mergeCell ref="K80:N80"/>
    <mergeCell ref="AA70:AB70"/>
    <mergeCell ref="M65:N65"/>
    <mergeCell ref="G120:P120"/>
    <mergeCell ref="G107:P107"/>
    <mergeCell ref="D40:M40"/>
    <mergeCell ref="K79:N79"/>
    <mergeCell ref="K81:N81"/>
    <mergeCell ref="Q103:W103"/>
    <mergeCell ref="D144:AT148"/>
    <mergeCell ref="D108:F108"/>
    <mergeCell ref="X117:AA117"/>
    <mergeCell ref="AB120:AT120"/>
    <mergeCell ref="X109:AA109"/>
    <mergeCell ref="G57:AD57"/>
    <mergeCell ref="T19:Z19"/>
    <mergeCell ref="G102:P102"/>
    <mergeCell ref="F79:J79"/>
    <mergeCell ref="D121:F121"/>
    <mergeCell ref="D113:F113"/>
    <mergeCell ref="Q129:AT129"/>
    <mergeCell ref="F81:J81"/>
    <mergeCell ref="D123:F123"/>
    <mergeCell ref="D57:F58"/>
    <mergeCell ref="AB113:AT113"/>
    <mergeCell ref="D115:F115"/>
    <mergeCell ref="Q118:W118"/>
    <mergeCell ref="N95:V95"/>
    <mergeCell ref="O54:X54"/>
    <mergeCell ref="G128:P128"/>
    <mergeCell ref="X112:AA112"/>
    <mergeCell ref="AB115:AT115"/>
    <mergeCell ref="D48:M48"/>
    <mergeCell ref="Q113:W113"/>
    <mergeCell ref="AB102:AT102"/>
    <mergeCell ref="N97:V97"/>
    <mergeCell ref="G121:P121"/>
    <mergeCell ref="Z39:AI39"/>
    <mergeCell ref="M71:N71"/>
    <mergeCell ref="M87:Q87"/>
    <mergeCell ref="G123:P123"/>
    <mergeCell ref="Q108:W108"/>
    <mergeCell ref="D3:Z4"/>
    <mergeCell ref="D17:J18"/>
    <mergeCell ref="D103:F103"/>
    <mergeCell ref="M88:Q88"/>
    <mergeCell ref="AC77:AD77"/>
    <mergeCell ref="D118:F118"/>
    <mergeCell ref="AK53:AT53"/>
    <mergeCell ref="D136:F137"/>
    <mergeCell ref="AA66:AB66"/>
    <mergeCell ref="O80:P80"/>
    <mergeCell ref="G116:P116"/>
    <mergeCell ref="G103:P103"/>
    <mergeCell ref="T62:Z62"/>
    <mergeCell ref="AJ19:AP19"/>
    <mergeCell ref="X11:AF11"/>
    <mergeCell ref="O44:X44"/>
    <mergeCell ref="F70:L70"/>
    <mergeCell ref="G118:P118"/>
    <mergeCell ref="D131:F131"/>
    <mergeCell ref="K77:N77"/>
    <mergeCell ref="T64:Z64"/>
    <mergeCell ref="AA67:AB67"/>
    <mergeCell ref="AA61:AB61"/>
    <mergeCell ref="AC61:AD61"/>
    <mergeCell ref="D83:F84"/>
  </mergeCells>
  <dataValidations count="14">
    <dataValidation sqref="D11:L11" showDropDown="0" showInputMessage="0" showErrorMessage="0" allowBlank="1" type="list">
      <formula1>DADOS!$A$4:$A$7</formula1>
    </dataValidation>
    <dataValidation sqref="N11:V11" showDropDown="0" showInputMessage="0" showErrorMessage="0" allowBlank="1" type="list">
      <formula1>DADOS!$L$4:$L$18</formula1>
    </dataValidation>
    <dataValidation sqref="X11:AF11" showDropDown="0" showInputMessage="0" showErrorMessage="0" allowBlank="1" type="list">
      <formula1>DADOS!$I$4:$I$10</formula1>
    </dataValidation>
    <dataValidation sqref="K76" showDropDown="0" showInputMessage="0" showErrorMessage="0" allowBlank="1" type="list">
      <formula1>DADOS!$K$4:$K$8</formula1>
    </dataValidation>
    <dataValidation sqref="K77" showDropDown="0" showInputMessage="0" showErrorMessage="0" allowBlank="1" type="list">
      <formula1>DADOS!$K$4:$K$8</formula1>
    </dataValidation>
    <dataValidation sqref="K78" showDropDown="0" showInputMessage="0" showErrorMessage="0" allowBlank="1" type="list">
      <formula1>DADOS!$K$4:$K$8</formula1>
    </dataValidation>
    <dataValidation sqref="K79" showDropDown="0" showInputMessage="0" showErrorMessage="0" allowBlank="1" type="list">
      <formula1>DADOS!$K$4:$K$8</formula1>
    </dataValidation>
    <dataValidation sqref="K80" showDropDown="0" showInputMessage="0" showErrorMessage="0" allowBlank="1" type="list">
      <formula1>DADOS!$K$4:$K$8</formula1>
    </dataValidation>
    <dataValidation sqref="K81" showDropDown="0" showInputMessage="0" showErrorMessage="0" allowBlank="1" type="list">
      <formula1>DADOS!$K$4:$K$8</formula1>
    </dataValidation>
    <dataValidation sqref="Y76" showDropDown="0" showInputMessage="0" showErrorMessage="0" allowBlank="1" type="list">
      <formula1>DADOS!$K$4:$K$8</formula1>
    </dataValidation>
    <dataValidation sqref="Y77" showDropDown="0" showInputMessage="0" showErrorMessage="0" allowBlank="1" type="list">
      <formula1>DADOS!$K$4:$K$8</formula1>
    </dataValidation>
    <dataValidation sqref="Y78" showDropDown="0" showInputMessage="0" showErrorMessage="0" allowBlank="1" type="list">
      <formula1>DADOS!$K$4:$K$8</formula1>
    </dataValidation>
    <dataValidation sqref="Y79" showDropDown="0" showInputMessage="0" showErrorMessage="0" allowBlank="1" type="list">
      <formula1>DADOS!$K$4:$K$8</formula1>
    </dataValidation>
    <dataValidation sqref="Y80" showDropDown="0" showInputMessage="0" showErrorMessage="0" allowBlank="1" type="list">
      <formula1>DADOS!$K$4:$K$8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</cols>
  <sheetData>
    <row r="1" ht="15" customHeight="1">
      <c r="A1" s="61">
        <f>FICHA!D3</f>
        <v/>
      </c>
    </row>
    <row r="2" ht="15" customHeight="1"/>
    <row r="3" ht="15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</row>
    <row r="4" ht="15" customHeight="1">
      <c r="A4" s="62" t="inlineStr">
        <is>
          <t>VIDA</t>
        </is>
      </c>
      <c r="F4" s="23" t="n"/>
      <c r="G4" s="62" t="inlineStr">
        <is>
          <t>ENERGIA</t>
        </is>
      </c>
      <c r="L4" s="23" t="n"/>
    </row>
    <row r="5" ht="15" customHeight="1">
      <c r="A5" s="63">
        <f>FICHA!D23</f>
        <v/>
      </c>
      <c r="F5" s="23" t="n"/>
      <c r="G5" s="63">
        <f>FICHA!D27</f>
        <v/>
      </c>
      <c r="L5" s="23" t="n"/>
    </row>
    <row r="6" ht="15" customHeight="1">
      <c r="F6" s="23" t="n"/>
      <c r="L6" s="23" t="n"/>
    </row>
    <row r="7" ht="15" customHeight="1">
      <c r="F7" s="23" t="n"/>
      <c r="L7" s="23" t="n"/>
    </row>
    <row r="8" ht="15" customHeight="1">
      <c r="A8" s="62">
        <f>"de "&amp;FICHA!J23</f>
        <v/>
      </c>
      <c r="F8" s="23" t="n"/>
      <c r="G8" s="62">
        <f>"de "&amp;FICHA!J27</f>
        <v/>
      </c>
      <c r="L8" s="23" t="n"/>
    </row>
    <row r="9" ht="15" customHeight="1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</row>
    <row r="10" ht="15" customHeight="1">
      <c r="A10" s="62" t="inlineStr">
        <is>
          <t>DEFESA</t>
        </is>
      </c>
      <c r="F10" s="23" t="n"/>
      <c r="G10" s="62" t="inlineStr">
        <is>
          <t>INICIATIVA</t>
        </is>
      </c>
      <c r="L10" s="23" t="n"/>
    </row>
    <row r="11" ht="15" customHeight="1">
      <c r="A11" s="64">
        <f>FICHA!D40</f>
        <v/>
      </c>
      <c r="F11" s="23" t="n"/>
      <c r="G11" s="64">
        <f>FICHA!AK40</f>
        <v/>
      </c>
      <c r="L11" s="23" t="n"/>
    </row>
    <row r="12" ht="15" customHeight="1">
      <c r="F12" s="23" t="n"/>
      <c r="L12" s="23" t="n"/>
    </row>
    <row r="13" ht="15" customHeight="1">
      <c r="A13" s="65" t="inlineStr">
        <is>
          <t>CORPO A CORPO</t>
        </is>
      </c>
      <c r="F13" s="23" t="n"/>
      <c r="G13" s="65" t="inlineStr">
        <is>
          <t>À DISTÂNCIA</t>
        </is>
      </c>
      <c r="L13" s="23" t="n"/>
    </row>
    <row r="14" ht="15" customHeight="1">
      <c r="A14" s="66">
        <f>FICHA!Z44</f>
        <v/>
      </c>
      <c r="F14" s="23" t="n"/>
      <c r="G14" s="66">
        <f>FICHA!AK44</f>
        <v/>
      </c>
      <c r="L14" s="23" t="n"/>
    </row>
    <row r="15" ht="15" customHeight="1">
      <c r="F15" s="23" t="n"/>
      <c r="L15" s="23" t="n"/>
    </row>
    <row r="16" ht="15" customHeight="1">
      <c r="A16" s="62" t="inlineStr">
        <is>
          <t>CONJURAÇÃO</t>
        </is>
      </c>
      <c r="F16" s="23" t="n"/>
      <c r="G16" s="62" t="inlineStr">
        <is>
          <t>CD DE FEITIÇO</t>
        </is>
      </c>
      <c r="L16" s="23" t="n"/>
    </row>
    <row r="17" ht="15" customHeight="1">
      <c r="A17" s="64">
        <f>FICHA!O44</f>
        <v/>
      </c>
      <c r="F17" s="23" t="n"/>
      <c r="G17" s="64">
        <f>FICHA!D44</f>
        <v/>
      </c>
      <c r="L17" s="23" t="n"/>
    </row>
    <row r="18" ht="15" customHeight="1">
      <c r="F18" s="23" t="n"/>
      <c r="L18" s="23" t="n"/>
    </row>
    <row r="19" ht="15" customHeight="1">
      <c r="A19" s="65" t="inlineStr">
        <is>
          <t>DESLOCAMENTO</t>
        </is>
      </c>
      <c r="F19" s="23" t="n"/>
      <c r="G19" s="65" t="inlineStr">
        <is>
          <t>MAESTRIA</t>
        </is>
      </c>
      <c r="L19" s="23" t="n"/>
    </row>
    <row r="20" ht="15" customHeight="1">
      <c r="A20" s="66">
        <f>FICHA!O48</f>
        <v/>
      </c>
      <c r="F20" s="23" t="n"/>
      <c r="G20" s="66">
        <f>FICHA!D48</f>
        <v/>
      </c>
      <c r="L20" s="23" t="n"/>
    </row>
    <row r="21" ht="15" customHeight="1">
      <c r="F21" s="23" t="n"/>
      <c r="L21" s="23" t="n"/>
    </row>
    <row r="22" ht="15" customHeight="1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</row>
    <row r="23" ht="15" customHeight="1">
      <c r="A23" s="65" t="inlineStr">
        <is>
          <t>ESTADO DA ALMA</t>
        </is>
      </c>
    </row>
    <row r="24" ht="15" customHeight="1">
      <c r="A24" s="67">
        <f>FICHA!D34</f>
        <v/>
      </c>
    </row>
    <row r="25" ht="15" customHeight="1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</row>
    <row r="26" ht="15" customHeight="1">
      <c r="A26" s="68" t="inlineStr">
        <is>
          <t>FEITIÇOS</t>
        </is>
      </c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</row>
    <row r="27" ht="15" customHeight="1">
      <c r="A27" s="69" t="inlineStr">
        <is>
          <t>NOME</t>
        </is>
      </c>
      <c r="E27" s="69" t="inlineStr">
        <is>
          <t>CL</t>
        </is>
      </c>
      <c r="F27" s="69" t="inlineStr">
        <is>
          <t>DANO</t>
        </is>
      </c>
      <c r="H27" s="69" t="inlineStr">
        <is>
          <t>PE</t>
        </is>
      </c>
      <c r="I27" s="69" t="inlineStr">
        <is>
          <t>ALCANCE</t>
        </is>
      </c>
      <c r="K27" s="69" t="inlineStr">
        <is>
          <t>RESOLVE</t>
        </is>
      </c>
    </row>
    <row r="28" ht="15" customHeight="1">
      <c r="A28" s="70" t="n"/>
      <c r="E28" s="71" t="n"/>
      <c r="F28" s="71" t="n"/>
      <c r="H28" s="71" t="n"/>
      <c r="I28" s="71" t="n"/>
      <c r="K28" s="71" t="n"/>
    </row>
    <row r="29" ht="15" customHeight="1">
      <c r="A29" s="72" t="n"/>
      <c r="E29" s="73" t="n"/>
      <c r="F29" s="73" t="n"/>
      <c r="H29" s="73" t="n"/>
      <c r="I29" s="73" t="n"/>
      <c r="K29" s="73" t="n"/>
    </row>
    <row r="30" ht="15" customHeight="1">
      <c r="A30" s="70" t="n"/>
      <c r="E30" s="71" t="n"/>
      <c r="F30" s="71" t="n"/>
      <c r="H30" s="71" t="n"/>
      <c r="I30" s="71" t="n"/>
      <c r="K30" s="71" t="n"/>
    </row>
    <row r="31" ht="15" customHeight="1">
      <c r="A31" s="72" t="n"/>
      <c r="E31" s="73" t="n"/>
      <c r="F31" s="73" t="n"/>
      <c r="H31" s="73" t="n"/>
      <c r="I31" s="73" t="n"/>
      <c r="K31" s="73" t="n"/>
    </row>
    <row r="32" ht="15" customHeight="1">
      <c r="A32" s="70" t="n"/>
      <c r="E32" s="71" t="n"/>
      <c r="F32" s="71" t="n"/>
      <c r="H32" s="71" t="n"/>
      <c r="I32" s="71" t="n"/>
      <c r="K32" s="71" t="n"/>
    </row>
    <row r="33" ht="15" customHeight="1">
      <c r="A33" s="72" t="n"/>
      <c r="E33" s="73" t="n"/>
      <c r="F33" s="73" t="n"/>
      <c r="H33" s="73" t="n"/>
      <c r="I33" s="73" t="n"/>
      <c r="K33" s="73" t="n"/>
    </row>
    <row r="34" ht="15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</row>
    <row r="35" ht="15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</row>
    <row r="36" ht="15" customHeight="1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</row>
    <row r="37" ht="15" customHeight="1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</row>
    <row r="38" ht="15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</row>
    <row r="39" ht="15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</row>
    <row r="40" ht="15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</row>
    <row r="41" ht="15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</row>
    <row r="42" ht="15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</row>
    <row r="43" ht="15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</row>
    <row r="44" ht="15" customHeight="1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</row>
    <row r="45" ht="15" customHeight="1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</row>
    <row r="46" ht="15" customHeight="1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</row>
    <row r="47" ht="15" customHeigh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</row>
    <row r="48" ht="15" customHeight="1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</row>
    <row r="49" ht="15" customHeight="1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</row>
    <row r="50" ht="15" customHeight="1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</row>
    <row r="51" ht="15" customHeight="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</row>
    <row r="52" ht="15" customHeight="1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</row>
    <row r="53" ht="15" customHeight="1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</row>
    <row r="54" ht="15" customHeight="1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</row>
    <row r="55" ht="15" customHeight="1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</row>
    <row r="56" ht="15" customHeight="1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</row>
    <row r="57" ht="15" customHeight="1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</row>
    <row r="58" ht="15" customHeight="1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</row>
    <row r="59" ht="15" customHeight="1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</row>
    <row r="60" ht="15" customHeight="1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</row>
    <row r="61" ht="15" customHeight="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</row>
    <row r="62" ht="15" customHeight="1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</row>
    <row r="63" ht="15" customHeight="1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</row>
    <row r="64" ht="15" customHeight="1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</row>
    <row r="65" ht="15" customHeight="1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</row>
    <row r="66" ht="15" customHeight="1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</row>
    <row r="67" ht="15" customHeight="1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</row>
    <row r="68" ht="15" customHeight="1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</row>
    <row r="69" ht="15" customHeight="1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</row>
    <row r="70" ht="15" customHeight="1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</row>
    <row r="71" ht="15" customHeight="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</row>
    <row r="72" ht="15" customHeight="1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</row>
    <row r="73" ht="15" customHeight="1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</row>
    <row r="74" ht="15" customHeight="1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</row>
    <row r="75" ht="15" customHeight="1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</row>
    <row r="76" ht="15" customHeight="1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</row>
    <row r="77" ht="15" customHeight="1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</row>
    <row r="78" ht="15" customHeight="1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</row>
    <row r="79" ht="15" customHeight="1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</row>
    <row r="80" ht="15" customHeight="1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</row>
    <row r="81" ht="15" customHeight="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</row>
    <row r="82" ht="15" customHeight="1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</row>
    <row r="83" ht="15" customHeight="1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</row>
    <row r="84" ht="15" customHeight="1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</row>
    <row r="85" ht="15" customHeight="1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</row>
    <row r="86" ht="15" customHeight="1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</row>
    <row r="87" ht="15" customHeight="1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</row>
    <row r="88" ht="15" customHeight="1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</row>
    <row r="89" ht="15" customHeight="1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</row>
    <row r="90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</row>
  </sheetData>
  <mergeCells count="53">
    <mergeCell ref="I30:J30"/>
    <mergeCell ref="K30:L30"/>
    <mergeCell ref="F29:G29"/>
    <mergeCell ref="K33:L33"/>
    <mergeCell ref="G20:K21"/>
    <mergeCell ref="I27:J27"/>
    <mergeCell ref="A29:D29"/>
    <mergeCell ref="G14:K15"/>
    <mergeCell ref="A14:E15"/>
    <mergeCell ref="A28:D28"/>
    <mergeCell ref="G8:K8"/>
    <mergeCell ref="A17:E18"/>
    <mergeCell ref="K29:L29"/>
    <mergeCell ref="F30:G30"/>
    <mergeCell ref="A31:D31"/>
    <mergeCell ref="A16:E16"/>
    <mergeCell ref="A20:E21"/>
    <mergeCell ref="I32:J32"/>
    <mergeCell ref="K32:L32"/>
    <mergeCell ref="A23:L23"/>
    <mergeCell ref="A1:L2"/>
    <mergeCell ref="G10:K10"/>
    <mergeCell ref="A30:D30"/>
    <mergeCell ref="F33:G33"/>
    <mergeCell ref="G13:K13"/>
    <mergeCell ref="G19:K19"/>
    <mergeCell ref="K31:L31"/>
    <mergeCell ref="I28:J28"/>
    <mergeCell ref="F32:G32"/>
    <mergeCell ref="I33:J33"/>
    <mergeCell ref="K27:L27"/>
    <mergeCell ref="F31:G31"/>
    <mergeCell ref="A11:E12"/>
    <mergeCell ref="G11:K12"/>
    <mergeCell ref="F28:G28"/>
    <mergeCell ref="A8:E8"/>
    <mergeCell ref="F27:G27"/>
    <mergeCell ref="G4:K4"/>
    <mergeCell ref="A24:L24"/>
    <mergeCell ref="G17:K18"/>
    <mergeCell ref="A4:E4"/>
    <mergeCell ref="A27:D27"/>
    <mergeCell ref="I29:J29"/>
    <mergeCell ref="A5:E7"/>
    <mergeCell ref="G5:K7"/>
    <mergeCell ref="A10:E10"/>
    <mergeCell ref="G16:K16"/>
    <mergeCell ref="A19:E19"/>
    <mergeCell ref="K28:L28"/>
    <mergeCell ref="A13:E13"/>
    <mergeCell ref="I31:J31"/>
    <mergeCell ref="A33:D33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9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</cols>
  <sheetData>
    <row r="1" ht="15" customHeight="1">
      <c r="A1" s="74" t="inlineStr">
        <is>
          <t>QUEM É · a ficção</t>
        </is>
      </c>
    </row>
    <row r="2" ht="15" customHeight="1"/>
    <row r="3" ht="15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23" t="n"/>
      <c r="AM3" s="23" t="n"/>
      <c r="AN3" s="23" t="n"/>
      <c r="AO3" s="23" t="n"/>
      <c r="AP3" s="23" t="n"/>
      <c r="AQ3" s="23" t="n"/>
      <c r="AR3" s="23" t="n"/>
      <c r="AS3" s="23" t="n"/>
      <c r="AT3" s="23" t="n"/>
    </row>
    <row r="4" ht="15" customHeight="1">
      <c r="A4" s="23" t="n"/>
      <c r="B4" s="23" t="n"/>
      <c r="C4" s="75" t="inlineStr">
        <is>
          <t>APARÊNCIA</t>
        </is>
      </c>
      <c r="D4" s="76" t="n"/>
      <c r="E4" s="76" t="n"/>
      <c r="F4" s="76" t="n"/>
      <c r="G4" s="76" t="n"/>
      <c r="H4" s="76" t="n"/>
      <c r="I4" s="76" t="n"/>
      <c r="J4" s="76" t="n"/>
      <c r="K4" s="76" t="n"/>
      <c r="L4" s="76" t="n"/>
      <c r="M4" s="76" t="n"/>
      <c r="N4" s="76" t="n"/>
      <c r="O4" s="76" t="n"/>
      <c r="P4" s="76" t="n"/>
      <c r="Q4" s="76" t="n"/>
      <c r="R4" s="76" t="n"/>
      <c r="S4" s="76" t="n"/>
      <c r="T4" s="76" t="n"/>
      <c r="U4" s="76" t="n"/>
      <c r="V4" s="76" t="n"/>
      <c r="W4" s="76" t="n"/>
      <c r="X4" s="76" t="n"/>
      <c r="Y4" s="76" t="n"/>
      <c r="Z4" s="76" t="n"/>
      <c r="AA4" s="76" t="n"/>
      <c r="AB4" s="76" t="n"/>
      <c r="AC4" s="76" t="n"/>
      <c r="AD4" s="76" t="n"/>
      <c r="AE4" s="76" t="n"/>
      <c r="AF4" s="76" t="n"/>
      <c r="AG4" s="76" t="n"/>
      <c r="AH4" s="76" t="n"/>
      <c r="AI4" s="76" t="n"/>
      <c r="AJ4" s="76" t="n"/>
      <c r="AK4" s="76" t="n"/>
      <c r="AL4" s="76" t="n"/>
      <c r="AM4" s="76" t="n"/>
      <c r="AN4" s="76" t="n"/>
      <c r="AO4" s="76" t="n"/>
      <c r="AP4" s="76" t="n"/>
      <c r="AQ4" s="76" t="n"/>
      <c r="AR4" s="76" t="n"/>
      <c r="AS4" s="76" t="n"/>
      <c r="AT4" s="76" t="n"/>
    </row>
    <row r="5" ht="15" customHeight="1">
      <c r="A5" s="23" t="n"/>
      <c r="B5" s="23" t="n"/>
      <c r="C5" s="77" t="n"/>
      <c r="D5" s="76" t="n"/>
      <c r="E5" s="76" t="n"/>
      <c r="F5" s="76" t="n"/>
      <c r="G5" s="76" t="n"/>
      <c r="H5" s="76" t="n"/>
      <c r="I5" s="76" t="n"/>
      <c r="J5" s="76" t="n"/>
      <c r="K5" s="76" t="n"/>
      <c r="L5" s="76" t="n"/>
      <c r="M5" s="76" t="n"/>
      <c r="N5" s="76" t="n"/>
      <c r="O5" s="76" t="n"/>
      <c r="P5" s="76" t="n"/>
      <c r="Q5" s="76" t="n"/>
      <c r="R5" s="76" t="n"/>
      <c r="S5" s="76" t="n"/>
      <c r="T5" s="76" t="n"/>
      <c r="U5" s="76" t="n"/>
      <c r="V5" s="76" t="n"/>
      <c r="W5" s="76" t="n"/>
      <c r="X5" s="76" t="n"/>
      <c r="Y5" s="76" t="n"/>
      <c r="Z5" s="76" t="n"/>
      <c r="AA5" s="76" t="n"/>
      <c r="AB5" s="76" t="n"/>
      <c r="AC5" s="76" t="n"/>
      <c r="AD5" s="76" t="n"/>
      <c r="AE5" s="76" t="n"/>
      <c r="AF5" s="76" t="n"/>
      <c r="AG5" s="76" t="n"/>
      <c r="AH5" s="76" t="n"/>
      <c r="AI5" s="76" t="n"/>
      <c r="AJ5" s="76" t="n"/>
      <c r="AK5" s="76" t="n"/>
      <c r="AL5" s="76" t="n"/>
      <c r="AM5" s="76" t="n"/>
      <c r="AN5" s="76" t="n"/>
      <c r="AO5" s="76" t="n"/>
      <c r="AP5" s="76" t="n"/>
      <c r="AQ5" s="76" t="n"/>
      <c r="AR5" s="76" t="n"/>
      <c r="AS5" s="76" t="n"/>
      <c r="AT5" s="76" t="n"/>
    </row>
    <row r="6" ht="15" customHeight="1">
      <c r="A6" s="23" t="n"/>
      <c r="B6" s="23" t="n"/>
      <c r="C6" s="76" t="n"/>
      <c r="D6" s="76" t="n"/>
      <c r="E6" s="76" t="n"/>
      <c r="F6" s="76" t="n"/>
      <c r="G6" s="76" t="n"/>
      <c r="H6" s="76" t="n"/>
      <c r="I6" s="76" t="n"/>
      <c r="J6" s="76" t="n"/>
      <c r="K6" s="76" t="n"/>
      <c r="L6" s="7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  <c r="AA6" s="76" t="n"/>
      <c r="AB6" s="76" t="n"/>
      <c r="AC6" s="76" t="n"/>
      <c r="AD6" s="76" t="n"/>
      <c r="AE6" s="76" t="n"/>
      <c r="AF6" s="76" t="n"/>
      <c r="AG6" s="76" t="n"/>
      <c r="AH6" s="76" t="n"/>
      <c r="AI6" s="76" t="n"/>
      <c r="AJ6" s="76" t="n"/>
      <c r="AK6" s="76" t="n"/>
      <c r="AL6" s="76" t="n"/>
      <c r="AM6" s="76" t="n"/>
      <c r="AN6" s="76" t="n"/>
      <c r="AO6" s="76" t="n"/>
      <c r="AP6" s="76" t="n"/>
      <c r="AQ6" s="76" t="n"/>
      <c r="AR6" s="76" t="n"/>
      <c r="AS6" s="76" t="n"/>
      <c r="AT6" s="76" t="n"/>
    </row>
    <row r="7" ht="15" customHeight="1">
      <c r="A7" s="23" t="n"/>
      <c r="B7" s="23" t="n"/>
      <c r="C7" s="76" t="n"/>
      <c r="D7" s="76" t="n"/>
      <c r="E7" s="76" t="n"/>
      <c r="F7" s="76" t="n"/>
      <c r="G7" s="76" t="n"/>
      <c r="H7" s="76" t="n"/>
      <c r="I7" s="76" t="n"/>
      <c r="J7" s="76" t="n"/>
      <c r="K7" s="76" t="n"/>
      <c r="L7" s="76" t="n"/>
      <c r="M7" s="76" t="n"/>
      <c r="N7" s="76" t="n"/>
      <c r="O7" s="76" t="n"/>
      <c r="P7" s="76" t="n"/>
      <c r="Q7" s="76" t="n"/>
      <c r="R7" s="76" t="n"/>
      <c r="S7" s="76" t="n"/>
      <c r="T7" s="76" t="n"/>
      <c r="U7" s="76" t="n"/>
      <c r="V7" s="76" t="n"/>
      <c r="W7" s="76" t="n"/>
      <c r="X7" s="76" t="n"/>
      <c r="Y7" s="76" t="n"/>
      <c r="Z7" s="76" t="n"/>
      <c r="AA7" s="76" t="n"/>
      <c r="AB7" s="76" t="n"/>
      <c r="AC7" s="76" t="n"/>
      <c r="AD7" s="76" t="n"/>
      <c r="AE7" s="76" t="n"/>
      <c r="AF7" s="76" t="n"/>
      <c r="AG7" s="76" t="n"/>
      <c r="AH7" s="76" t="n"/>
      <c r="AI7" s="76" t="n"/>
      <c r="AJ7" s="76" t="n"/>
      <c r="AK7" s="76" t="n"/>
      <c r="AL7" s="76" t="n"/>
      <c r="AM7" s="76" t="n"/>
      <c r="AN7" s="76" t="n"/>
      <c r="AO7" s="76" t="n"/>
      <c r="AP7" s="76" t="n"/>
      <c r="AQ7" s="76" t="n"/>
      <c r="AR7" s="76" t="n"/>
      <c r="AS7" s="76" t="n"/>
      <c r="AT7" s="76" t="n"/>
    </row>
    <row r="8" ht="15" customHeight="1">
      <c r="A8" s="23" t="n"/>
      <c r="B8" s="23" t="n"/>
      <c r="C8" s="76" t="n"/>
      <c r="D8" s="76" t="n"/>
      <c r="E8" s="76" t="n"/>
      <c r="F8" s="76" t="n"/>
      <c r="G8" s="76" t="n"/>
      <c r="H8" s="76" t="n"/>
      <c r="I8" s="76" t="n"/>
      <c r="J8" s="76" t="n"/>
      <c r="K8" s="76" t="n"/>
      <c r="L8" s="76" t="n"/>
      <c r="M8" s="76" t="n"/>
      <c r="N8" s="76" t="n"/>
      <c r="O8" s="76" t="n"/>
      <c r="P8" s="76" t="n"/>
      <c r="Q8" s="76" t="n"/>
      <c r="R8" s="76" t="n"/>
      <c r="S8" s="76" t="n"/>
      <c r="T8" s="76" t="n"/>
      <c r="U8" s="76" t="n"/>
      <c r="V8" s="76" t="n"/>
      <c r="W8" s="76" t="n"/>
      <c r="X8" s="76" t="n"/>
      <c r="Y8" s="76" t="n"/>
      <c r="Z8" s="76" t="n"/>
      <c r="AA8" s="76" t="n"/>
      <c r="AB8" s="76" t="n"/>
      <c r="AC8" s="76" t="n"/>
      <c r="AD8" s="76" t="n"/>
      <c r="AE8" s="76" t="n"/>
      <c r="AF8" s="76" t="n"/>
      <c r="AG8" s="76" t="n"/>
      <c r="AH8" s="76" t="n"/>
      <c r="AI8" s="76" t="n"/>
      <c r="AJ8" s="76" t="n"/>
      <c r="AK8" s="76" t="n"/>
      <c r="AL8" s="76" t="n"/>
      <c r="AM8" s="76" t="n"/>
      <c r="AN8" s="76" t="n"/>
      <c r="AO8" s="76" t="n"/>
      <c r="AP8" s="76" t="n"/>
      <c r="AQ8" s="76" t="n"/>
      <c r="AR8" s="76" t="n"/>
      <c r="AS8" s="76" t="n"/>
      <c r="AT8" s="76" t="n"/>
    </row>
    <row r="9" ht="15" customHeight="1">
      <c r="A9" s="23" t="n"/>
      <c r="B9" s="23" t="n"/>
      <c r="C9" s="76" t="n"/>
      <c r="D9" s="76" t="n"/>
      <c r="E9" s="76" t="n"/>
      <c r="F9" s="76" t="n"/>
      <c r="G9" s="76" t="n"/>
      <c r="H9" s="76" t="n"/>
      <c r="I9" s="76" t="n"/>
      <c r="J9" s="76" t="n"/>
      <c r="K9" s="76" t="n"/>
      <c r="L9" s="76" t="n"/>
      <c r="M9" s="76" t="n"/>
      <c r="N9" s="76" t="n"/>
      <c r="O9" s="76" t="n"/>
      <c r="P9" s="76" t="n"/>
      <c r="Q9" s="76" t="n"/>
      <c r="R9" s="76" t="n"/>
      <c r="S9" s="76" t="n"/>
      <c r="T9" s="76" t="n"/>
      <c r="U9" s="76" t="n"/>
      <c r="V9" s="76" t="n"/>
      <c r="W9" s="76" t="n"/>
      <c r="X9" s="76" t="n"/>
      <c r="Y9" s="76" t="n"/>
      <c r="Z9" s="76" t="n"/>
      <c r="AA9" s="76" t="n"/>
      <c r="AB9" s="76" t="n"/>
      <c r="AC9" s="76" t="n"/>
      <c r="AD9" s="76" t="n"/>
      <c r="AE9" s="76" t="n"/>
      <c r="AF9" s="76" t="n"/>
      <c r="AG9" s="76" t="n"/>
      <c r="AH9" s="76" t="n"/>
      <c r="AI9" s="76" t="n"/>
      <c r="AJ9" s="76" t="n"/>
      <c r="AK9" s="76" t="n"/>
      <c r="AL9" s="76" t="n"/>
      <c r="AM9" s="76" t="n"/>
      <c r="AN9" s="76" t="n"/>
      <c r="AO9" s="76" t="n"/>
      <c r="AP9" s="76" t="n"/>
      <c r="AQ9" s="76" t="n"/>
      <c r="AR9" s="76" t="n"/>
      <c r="AS9" s="76" t="n"/>
      <c r="AT9" s="76" t="n"/>
    </row>
    <row r="10" ht="15" customHeight="1">
      <c r="A10" s="23" t="n"/>
      <c r="B10" s="23" t="n"/>
      <c r="C10" s="76" t="n"/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6" t="n"/>
      <c r="N10" s="76" t="n"/>
      <c r="O10" s="76" t="n"/>
      <c r="P10" s="76" t="n"/>
      <c r="Q10" s="76" t="n"/>
      <c r="R10" s="76" t="n"/>
      <c r="S10" s="76" t="n"/>
      <c r="T10" s="76" t="n"/>
      <c r="U10" s="76" t="n"/>
      <c r="V10" s="76" t="n"/>
      <c r="W10" s="76" t="n"/>
      <c r="X10" s="76" t="n"/>
      <c r="Y10" s="76" t="n"/>
      <c r="Z10" s="76" t="n"/>
      <c r="AA10" s="76" t="n"/>
      <c r="AB10" s="76" t="n"/>
      <c r="AC10" s="76" t="n"/>
      <c r="AD10" s="76" t="n"/>
      <c r="AE10" s="76" t="n"/>
      <c r="AF10" s="76" t="n"/>
      <c r="AG10" s="76" t="n"/>
      <c r="AH10" s="76" t="n"/>
      <c r="AI10" s="76" t="n"/>
      <c r="AJ10" s="76" t="n"/>
      <c r="AK10" s="76" t="n"/>
      <c r="AL10" s="76" t="n"/>
      <c r="AM10" s="76" t="n"/>
      <c r="AN10" s="76" t="n"/>
      <c r="AO10" s="76" t="n"/>
      <c r="AP10" s="76" t="n"/>
      <c r="AQ10" s="76" t="n"/>
      <c r="AR10" s="76" t="n"/>
      <c r="AS10" s="76" t="n"/>
      <c r="AT10" s="76" t="n"/>
    </row>
    <row r="11" ht="15" customHeight="1">
      <c r="A11" s="23" t="n"/>
      <c r="B11" s="23" t="n"/>
      <c r="C11" s="31" t="n"/>
      <c r="D11" s="31" t="n"/>
      <c r="E11" s="31" t="n"/>
      <c r="F11" s="31" t="n"/>
      <c r="G11" s="31" t="n"/>
      <c r="H11" s="31" t="n"/>
      <c r="I11" s="31" t="n"/>
      <c r="J11" s="31" t="n"/>
      <c r="K11" s="31" t="n"/>
      <c r="L11" s="31" t="n"/>
      <c r="M11" s="31" t="n"/>
      <c r="N11" s="31" t="n"/>
      <c r="O11" s="31" t="n"/>
      <c r="P11" s="31" t="n"/>
      <c r="Q11" s="31" t="n"/>
      <c r="R11" s="31" t="n"/>
      <c r="S11" s="31" t="n"/>
      <c r="T11" s="31" t="n"/>
      <c r="U11" s="31" t="n"/>
      <c r="V11" s="31" t="n"/>
      <c r="W11" s="31" t="n"/>
      <c r="X11" s="31" t="n"/>
      <c r="Y11" s="31" t="n"/>
      <c r="Z11" s="31" t="n"/>
      <c r="AA11" s="31" t="n"/>
      <c r="AB11" s="31" t="n"/>
      <c r="AC11" s="31" t="n"/>
      <c r="AD11" s="31" t="n"/>
      <c r="AE11" s="31" t="n"/>
      <c r="AF11" s="31" t="n"/>
      <c r="AG11" s="31" t="n"/>
      <c r="AH11" s="31" t="n"/>
      <c r="AI11" s="31" t="n"/>
      <c r="AJ11" s="31" t="n"/>
      <c r="AK11" s="31" t="n"/>
      <c r="AL11" s="31" t="n"/>
      <c r="AM11" s="31" t="n"/>
      <c r="AN11" s="31" t="n"/>
      <c r="AO11" s="31" t="n"/>
      <c r="AP11" s="31" t="n"/>
      <c r="AQ11" s="31" t="n"/>
      <c r="AR11" s="31" t="n"/>
      <c r="AS11" s="31" t="n"/>
      <c r="AT11" s="31" t="n"/>
    </row>
    <row r="12" ht="15" customHeight="1">
      <c r="A12" s="23" t="n"/>
      <c r="B12" s="23" t="n"/>
      <c r="C12" s="75" t="inlineStr">
        <is>
          <t>HISTÓRIA</t>
        </is>
      </c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6" t="n"/>
      <c r="N12" s="76" t="n"/>
      <c r="O12" s="76" t="n"/>
      <c r="P12" s="76" t="n"/>
      <c r="Q12" s="76" t="n"/>
      <c r="R12" s="76" t="n"/>
      <c r="S12" s="76" t="n"/>
      <c r="T12" s="76" t="n"/>
      <c r="U12" s="76" t="n"/>
      <c r="V12" s="76" t="n"/>
      <c r="W12" s="76" t="n"/>
      <c r="X12" s="76" t="n"/>
      <c r="Y12" s="76" t="n"/>
      <c r="Z12" s="76" t="n"/>
      <c r="AA12" s="76" t="n"/>
      <c r="AB12" s="76" t="n"/>
      <c r="AC12" s="76" t="n"/>
      <c r="AD12" s="76" t="n"/>
      <c r="AE12" s="76" t="n"/>
      <c r="AF12" s="76" t="n"/>
      <c r="AG12" s="76" t="n"/>
      <c r="AH12" s="76" t="n"/>
      <c r="AI12" s="76" t="n"/>
      <c r="AJ12" s="76" t="n"/>
      <c r="AK12" s="76" t="n"/>
      <c r="AL12" s="76" t="n"/>
      <c r="AM12" s="76" t="n"/>
      <c r="AN12" s="76" t="n"/>
      <c r="AO12" s="76" t="n"/>
      <c r="AP12" s="76" t="n"/>
      <c r="AQ12" s="76" t="n"/>
      <c r="AR12" s="76" t="n"/>
      <c r="AS12" s="76" t="n"/>
      <c r="AT12" s="76" t="n"/>
    </row>
    <row r="13" ht="15" customHeight="1">
      <c r="A13" s="23" t="n"/>
      <c r="B13" s="23" t="n"/>
      <c r="C13" s="77" t="n"/>
      <c r="D13" s="76" t="n"/>
      <c r="E13" s="76" t="n"/>
      <c r="F13" s="76" t="n"/>
      <c r="G13" s="76" t="n"/>
      <c r="H13" s="76" t="n"/>
      <c r="I13" s="76" t="n"/>
      <c r="J13" s="76" t="n"/>
      <c r="K13" s="76" t="n"/>
      <c r="L13" s="76" t="n"/>
      <c r="M13" s="76" t="n"/>
      <c r="N13" s="76" t="n"/>
      <c r="O13" s="76" t="n"/>
      <c r="P13" s="76" t="n"/>
      <c r="Q13" s="76" t="n"/>
      <c r="R13" s="76" t="n"/>
      <c r="S13" s="76" t="n"/>
      <c r="T13" s="76" t="n"/>
      <c r="U13" s="76" t="n"/>
      <c r="V13" s="76" t="n"/>
      <c r="W13" s="76" t="n"/>
      <c r="X13" s="76" t="n"/>
      <c r="Y13" s="76" t="n"/>
      <c r="Z13" s="76" t="n"/>
      <c r="AA13" s="76" t="n"/>
      <c r="AB13" s="76" t="n"/>
      <c r="AC13" s="76" t="n"/>
      <c r="AD13" s="76" t="n"/>
      <c r="AE13" s="76" t="n"/>
      <c r="AF13" s="76" t="n"/>
      <c r="AG13" s="76" t="n"/>
      <c r="AH13" s="76" t="n"/>
      <c r="AI13" s="76" t="n"/>
      <c r="AJ13" s="76" t="n"/>
      <c r="AK13" s="76" t="n"/>
      <c r="AL13" s="76" t="n"/>
      <c r="AM13" s="76" t="n"/>
      <c r="AN13" s="76" t="n"/>
      <c r="AO13" s="76" t="n"/>
      <c r="AP13" s="76" t="n"/>
      <c r="AQ13" s="76" t="n"/>
      <c r="AR13" s="76" t="n"/>
      <c r="AS13" s="76" t="n"/>
      <c r="AT13" s="76" t="n"/>
    </row>
    <row r="14" ht="15" customHeight="1">
      <c r="A14" s="23" t="n"/>
      <c r="B14" s="23" t="n"/>
      <c r="C14" s="76" t="n"/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6" t="n"/>
      <c r="N14" s="76" t="n"/>
      <c r="O14" s="76" t="n"/>
      <c r="P14" s="76" t="n"/>
      <c r="Q14" s="76" t="n"/>
      <c r="R14" s="76" t="n"/>
      <c r="S14" s="76" t="n"/>
      <c r="T14" s="76" t="n"/>
      <c r="U14" s="76" t="n"/>
      <c r="V14" s="76" t="n"/>
      <c r="W14" s="76" t="n"/>
      <c r="X14" s="76" t="n"/>
      <c r="Y14" s="76" t="n"/>
      <c r="Z14" s="76" t="n"/>
      <c r="AA14" s="76" t="n"/>
      <c r="AB14" s="76" t="n"/>
      <c r="AC14" s="76" t="n"/>
      <c r="AD14" s="76" t="n"/>
      <c r="AE14" s="76" t="n"/>
      <c r="AF14" s="76" t="n"/>
      <c r="AG14" s="76" t="n"/>
      <c r="AH14" s="76" t="n"/>
      <c r="AI14" s="76" t="n"/>
      <c r="AJ14" s="76" t="n"/>
      <c r="AK14" s="76" t="n"/>
      <c r="AL14" s="76" t="n"/>
      <c r="AM14" s="76" t="n"/>
      <c r="AN14" s="76" t="n"/>
      <c r="AO14" s="76" t="n"/>
      <c r="AP14" s="76" t="n"/>
      <c r="AQ14" s="76" t="n"/>
      <c r="AR14" s="76" t="n"/>
      <c r="AS14" s="76" t="n"/>
      <c r="AT14" s="76" t="n"/>
    </row>
    <row r="15" ht="15" customHeight="1">
      <c r="A15" s="23" t="n"/>
      <c r="B15" s="23" t="n"/>
      <c r="C15" s="76" t="n"/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6" t="n"/>
      <c r="N15" s="76" t="n"/>
      <c r="O15" s="76" t="n"/>
      <c r="P15" s="76" t="n"/>
      <c r="Q15" s="76" t="n"/>
      <c r="R15" s="76" t="n"/>
      <c r="S15" s="76" t="n"/>
      <c r="T15" s="76" t="n"/>
      <c r="U15" s="76" t="n"/>
      <c r="V15" s="76" t="n"/>
      <c r="W15" s="76" t="n"/>
      <c r="X15" s="76" t="n"/>
      <c r="Y15" s="76" t="n"/>
      <c r="Z15" s="76" t="n"/>
      <c r="AA15" s="76" t="n"/>
      <c r="AB15" s="76" t="n"/>
      <c r="AC15" s="76" t="n"/>
      <c r="AD15" s="76" t="n"/>
      <c r="AE15" s="76" t="n"/>
      <c r="AF15" s="76" t="n"/>
      <c r="AG15" s="76" t="n"/>
      <c r="AH15" s="76" t="n"/>
      <c r="AI15" s="76" t="n"/>
      <c r="AJ15" s="76" t="n"/>
      <c r="AK15" s="76" t="n"/>
      <c r="AL15" s="76" t="n"/>
      <c r="AM15" s="76" t="n"/>
      <c r="AN15" s="76" t="n"/>
      <c r="AO15" s="76" t="n"/>
      <c r="AP15" s="76" t="n"/>
      <c r="AQ15" s="76" t="n"/>
      <c r="AR15" s="76" t="n"/>
      <c r="AS15" s="76" t="n"/>
      <c r="AT15" s="76" t="n"/>
    </row>
    <row r="16" ht="15" customHeight="1">
      <c r="A16" s="23" t="n"/>
      <c r="B16" s="23" t="n"/>
      <c r="C16" s="76" t="n"/>
      <c r="D16" s="76" t="n"/>
      <c r="E16" s="76" t="n"/>
      <c r="F16" s="76" t="n"/>
      <c r="G16" s="76" t="n"/>
      <c r="H16" s="76" t="n"/>
      <c r="I16" s="76" t="n"/>
      <c r="J16" s="76" t="n"/>
      <c r="K16" s="76" t="n"/>
      <c r="L16" s="76" t="n"/>
      <c r="M16" s="76" t="n"/>
      <c r="N16" s="76" t="n"/>
      <c r="O16" s="76" t="n"/>
      <c r="P16" s="76" t="n"/>
      <c r="Q16" s="76" t="n"/>
      <c r="R16" s="76" t="n"/>
      <c r="S16" s="76" t="n"/>
      <c r="T16" s="76" t="n"/>
      <c r="U16" s="76" t="n"/>
      <c r="V16" s="76" t="n"/>
      <c r="W16" s="76" t="n"/>
      <c r="X16" s="76" t="n"/>
      <c r="Y16" s="76" t="n"/>
      <c r="Z16" s="76" t="n"/>
      <c r="AA16" s="76" t="n"/>
      <c r="AB16" s="76" t="n"/>
      <c r="AC16" s="76" t="n"/>
      <c r="AD16" s="76" t="n"/>
      <c r="AE16" s="76" t="n"/>
      <c r="AF16" s="76" t="n"/>
      <c r="AG16" s="76" t="n"/>
      <c r="AH16" s="76" t="n"/>
      <c r="AI16" s="76" t="n"/>
      <c r="AJ16" s="76" t="n"/>
      <c r="AK16" s="76" t="n"/>
      <c r="AL16" s="76" t="n"/>
      <c r="AM16" s="76" t="n"/>
      <c r="AN16" s="76" t="n"/>
      <c r="AO16" s="76" t="n"/>
      <c r="AP16" s="76" t="n"/>
      <c r="AQ16" s="76" t="n"/>
      <c r="AR16" s="76" t="n"/>
      <c r="AS16" s="76" t="n"/>
      <c r="AT16" s="76" t="n"/>
    </row>
    <row r="17" ht="15" customHeight="1">
      <c r="A17" s="23" t="n"/>
      <c r="B17" s="23" t="n"/>
      <c r="C17" s="76" t="n"/>
      <c r="D17" s="76" t="n"/>
      <c r="E17" s="76" t="n"/>
      <c r="F17" s="76" t="n"/>
      <c r="G17" s="76" t="n"/>
      <c r="H17" s="76" t="n"/>
      <c r="I17" s="76" t="n"/>
      <c r="J17" s="76" t="n"/>
      <c r="K17" s="76" t="n"/>
      <c r="L17" s="76" t="n"/>
      <c r="M17" s="76" t="n"/>
      <c r="N17" s="76" t="n"/>
      <c r="O17" s="76" t="n"/>
      <c r="P17" s="76" t="n"/>
      <c r="Q17" s="76" t="n"/>
      <c r="R17" s="76" t="n"/>
      <c r="S17" s="76" t="n"/>
      <c r="T17" s="76" t="n"/>
      <c r="U17" s="76" t="n"/>
      <c r="V17" s="76" t="n"/>
      <c r="W17" s="76" t="n"/>
      <c r="X17" s="76" t="n"/>
      <c r="Y17" s="76" t="n"/>
      <c r="Z17" s="76" t="n"/>
      <c r="AA17" s="76" t="n"/>
      <c r="AB17" s="76" t="n"/>
      <c r="AC17" s="76" t="n"/>
      <c r="AD17" s="76" t="n"/>
      <c r="AE17" s="76" t="n"/>
      <c r="AF17" s="76" t="n"/>
      <c r="AG17" s="76" t="n"/>
      <c r="AH17" s="76" t="n"/>
      <c r="AI17" s="76" t="n"/>
      <c r="AJ17" s="76" t="n"/>
      <c r="AK17" s="76" t="n"/>
      <c r="AL17" s="76" t="n"/>
      <c r="AM17" s="76" t="n"/>
      <c r="AN17" s="76" t="n"/>
      <c r="AO17" s="76" t="n"/>
      <c r="AP17" s="76" t="n"/>
      <c r="AQ17" s="76" t="n"/>
      <c r="AR17" s="76" t="n"/>
      <c r="AS17" s="76" t="n"/>
      <c r="AT17" s="76" t="n"/>
    </row>
    <row r="18" ht="15" customHeight="1">
      <c r="A18" s="23" t="n"/>
      <c r="B18" s="23" t="n"/>
      <c r="C18" s="76" t="n"/>
      <c r="D18" s="76" t="n"/>
      <c r="E18" s="76" t="n"/>
      <c r="F18" s="76" t="n"/>
      <c r="G18" s="76" t="n"/>
      <c r="H18" s="76" t="n"/>
      <c r="I18" s="76" t="n"/>
      <c r="J18" s="76" t="n"/>
      <c r="K18" s="76" t="n"/>
      <c r="L18" s="76" t="n"/>
      <c r="M18" s="76" t="n"/>
      <c r="N18" s="76" t="n"/>
      <c r="O18" s="76" t="n"/>
      <c r="P18" s="76" t="n"/>
      <c r="Q18" s="76" t="n"/>
      <c r="R18" s="76" t="n"/>
      <c r="S18" s="76" t="n"/>
      <c r="T18" s="76" t="n"/>
      <c r="U18" s="76" t="n"/>
      <c r="V18" s="76" t="n"/>
      <c r="W18" s="76" t="n"/>
      <c r="X18" s="76" t="n"/>
      <c r="Y18" s="76" t="n"/>
      <c r="Z18" s="76" t="n"/>
      <c r="AA18" s="76" t="n"/>
      <c r="AB18" s="76" t="n"/>
      <c r="AC18" s="76" t="n"/>
      <c r="AD18" s="76" t="n"/>
      <c r="AE18" s="76" t="n"/>
      <c r="AF18" s="76" t="n"/>
      <c r="AG18" s="76" t="n"/>
      <c r="AH18" s="76" t="n"/>
      <c r="AI18" s="76" t="n"/>
      <c r="AJ18" s="76" t="n"/>
      <c r="AK18" s="76" t="n"/>
      <c r="AL18" s="76" t="n"/>
      <c r="AM18" s="76" t="n"/>
      <c r="AN18" s="76" t="n"/>
      <c r="AO18" s="76" t="n"/>
      <c r="AP18" s="76" t="n"/>
      <c r="AQ18" s="76" t="n"/>
      <c r="AR18" s="76" t="n"/>
      <c r="AS18" s="76" t="n"/>
      <c r="AT18" s="76" t="n"/>
    </row>
    <row r="19" ht="15" customHeight="1">
      <c r="A19" s="23" t="n"/>
      <c r="B19" s="23" t="n"/>
      <c r="C19" s="76" t="n"/>
      <c r="D19" s="76" t="n"/>
      <c r="E19" s="76" t="n"/>
      <c r="F19" s="76" t="n"/>
      <c r="G19" s="76" t="n"/>
      <c r="H19" s="76" t="n"/>
      <c r="I19" s="76" t="n"/>
      <c r="J19" s="76" t="n"/>
      <c r="K19" s="76" t="n"/>
      <c r="L19" s="76" t="n"/>
      <c r="M19" s="76" t="n"/>
      <c r="N19" s="76" t="n"/>
      <c r="O19" s="76" t="n"/>
      <c r="P19" s="76" t="n"/>
      <c r="Q19" s="76" t="n"/>
      <c r="R19" s="76" t="n"/>
      <c r="S19" s="76" t="n"/>
      <c r="T19" s="76" t="n"/>
      <c r="U19" s="76" t="n"/>
      <c r="V19" s="76" t="n"/>
      <c r="W19" s="76" t="n"/>
      <c r="X19" s="76" t="n"/>
      <c r="Y19" s="76" t="n"/>
      <c r="Z19" s="76" t="n"/>
      <c r="AA19" s="76" t="n"/>
      <c r="AB19" s="76" t="n"/>
      <c r="AC19" s="76" t="n"/>
      <c r="AD19" s="76" t="n"/>
      <c r="AE19" s="76" t="n"/>
      <c r="AF19" s="76" t="n"/>
      <c r="AG19" s="76" t="n"/>
      <c r="AH19" s="76" t="n"/>
      <c r="AI19" s="76" t="n"/>
      <c r="AJ19" s="76" t="n"/>
      <c r="AK19" s="76" t="n"/>
      <c r="AL19" s="76" t="n"/>
      <c r="AM19" s="76" t="n"/>
      <c r="AN19" s="76" t="n"/>
      <c r="AO19" s="76" t="n"/>
      <c r="AP19" s="76" t="n"/>
      <c r="AQ19" s="76" t="n"/>
      <c r="AR19" s="76" t="n"/>
      <c r="AS19" s="76" t="n"/>
      <c r="AT19" s="76" t="n"/>
    </row>
    <row r="20" ht="15" customHeight="1">
      <c r="A20" s="23" t="n"/>
      <c r="B20" s="23" t="n"/>
      <c r="C20" s="76" t="n"/>
      <c r="D20" s="76" t="n"/>
      <c r="E20" s="76" t="n"/>
      <c r="F20" s="76" t="n"/>
      <c r="G20" s="76" t="n"/>
      <c r="H20" s="76" t="n"/>
      <c r="I20" s="76" t="n"/>
      <c r="J20" s="76" t="n"/>
      <c r="K20" s="76" t="n"/>
      <c r="L20" s="76" t="n"/>
      <c r="M20" s="76" t="n"/>
      <c r="N20" s="76" t="n"/>
      <c r="O20" s="76" t="n"/>
      <c r="P20" s="76" t="n"/>
      <c r="Q20" s="76" t="n"/>
      <c r="R20" s="76" t="n"/>
      <c r="S20" s="76" t="n"/>
      <c r="T20" s="76" t="n"/>
      <c r="U20" s="76" t="n"/>
      <c r="V20" s="76" t="n"/>
      <c r="W20" s="76" t="n"/>
      <c r="X20" s="76" t="n"/>
      <c r="Y20" s="76" t="n"/>
      <c r="Z20" s="76" t="n"/>
      <c r="AA20" s="76" t="n"/>
      <c r="AB20" s="76" t="n"/>
      <c r="AC20" s="76" t="n"/>
      <c r="AD20" s="76" t="n"/>
      <c r="AE20" s="76" t="n"/>
      <c r="AF20" s="76" t="n"/>
      <c r="AG20" s="76" t="n"/>
      <c r="AH20" s="76" t="n"/>
      <c r="AI20" s="76" t="n"/>
      <c r="AJ20" s="76" t="n"/>
      <c r="AK20" s="76" t="n"/>
      <c r="AL20" s="76" t="n"/>
      <c r="AM20" s="76" t="n"/>
      <c r="AN20" s="76" t="n"/>
      <c r="AO20" s="76" t="n"/>
      <c r="AP20" s="76" t="n"/>
      <c r="AQ20" s="76" t="n"/>
      <c r="AR20" s="76" t="n"/>
      <c r="AS20" s="76" t="n"/>
      <c r="AT20" s="76" t="n"/>
    </row>
    <row r="21" ht="15" customHeight="1">
      <c r="A21" s="23" t="n"/>
      <c r="B21" s="23" t="n"/>
      <c r="C21" s="76" t="n"/>
      <c r="D21" s="76" t="n"/>
      <c r="E21" s="76" t="n"/>
      <c r="F21" s="76" t="n"/>
      <c r="G21" s="76" t="n"/>
      <c r="H21" s="76" t="n"/>
      <c r="I21" s="76" t="n"/>
      <c r="J21" s="76" t="n"/>
      <c r="K21" s="76" t="n"/>
      <c r="L21" s="76" t="n"/>
      <c r="M21" s="76" t="n"/>
      <c r="N21" s="76" t="n"/>
      <c r="O21" s="76" t="n"/>
      <c r="P21" s="76" t="n"/>
      <c r="Q21" s="76" t="n"/>
      <c r="R21" s="76" t="n"/>
      <c r="S21" s="76" t="n"/>
      <c r="T21" s="76" t="n"/>
      <c r="U21" s="76" t="n"/>
      <c r="V21" s="76" t="n"/>
      <c r="W21" s="76" t="n"/>
      <c r="X21" s="76" t="n"/>
      <c r="Y21" s="76" t="n"/>
      <c r="Z21" s="76" t="n"/>
      <c r="AA21" s="76" t="n"/>
      <c r="AB21" s="76" t="n"/>
      <c r="AC21" s="76" t="n"/>
      <c r="AD21" s="76" t="n"/>
      <c r="AE21" s="76" t="n"/>
      <c r="AF21" s="76" t="n"/>
      <c r="AG21" s="76" t="n"/>
      <c r="AH21" s="76" t="n"/>
      <c r="AI21" s="76" t="n"/>
      <c r="AJ21" s="76" t="n"/>
      <c r="AK21" s="76" t="n"/>
      <c r="AL21" s="76" t="n"/>
      <c r="AM21" s="76" t="n"/>
      <c r="AN21" s="76" t="n"/>
      <c r="AO21" s="76" t="n"/>
      <c r="AP21" s="76" t="n"/>
      <c r="AQ21" s="76" t="n"/>
      <c r="AR21" s="76" t="n"/>
      <c r="AS21" s="76" t="n"/>
      <c r="AT21" s="76" t="n"/>
    </row>
    <row r="22" ht="15" customHeight="1">
      <c r="A22" s="23" t="n"/>
      <c r="B22" s="23" t="n"/>
      <c r="C22" s="76" t="n"/>
      <c r="D22" s="76" t="n"/>
      <c r="E22" s="76" t="n"/>
      <c r="F22" s="76" t="n"/>
      <c r="G22" s="76" t="n"/>
      <c r="H22" s="76" t="n"/>
      <c r="I22" s="76" t="n"/>
      <c r="J22" s="76" t="n"/>
      <c r="K22" s="76" t="n"/>
      <c r="L22" s="76" t="n"/>
      <c r="M22" s="76" t="n"/>
      <c r="N22" s="76" t="n"/>
      <c r="O22" s="76" t="n"/>
      <c r="P22" s="76" t="n"/>
      <c r="Q22" s="76" t="n"/>
      <c r="R22" s="76" t="n"/>
      <c r="S22" s="76" t="n"/>
      <c r="T22" s="76" t="n"/>
      <c r="U22" s="76" t="n"/>
      <c r="V22" s="76" t="n"/>
      <c r="W22" s="76" t="n"/>
      <c r="X22" s="76" t="n"/>
      <c r="Y22" s="76" t="n"/>
      <c r="Z22" s="76" t="n"/>
      <c r="AA22" s="76" t="n"/>
      <c r="AB22" s="76" t="n"/>
      <c r="AC22" s="76" t="n"/>
      <c r="AD22" s="76" t="n"/>
      <c r="AE22" s="76" t="n"/>
      <c r="AF22" s="76" t="n"/>
      <c r="AG22" s="76" t="n"/>
      <c r="AH22" s="76" t="n"/>
      <c r="AI22" s="76" t="n"/>
      <c r="AJ22" s="76" t="n"/>
      <c r="AK22" s="76" t="n"/>
      <c r="AL22" s="76" t="n"/>
      <c r="AM22" s="76" t="n"/>
      <c r="AN22" s="76" t="n"/>
      <c r="AO22" s="76" t="n"/>
      <c r="AP22" s="76" t="n"/>
      <c r="AQ22" s="76" t="n"/>
      <c r="AR22" s="76" t="n"/>
      <c r="AS22" s="76" t="n"/>
      <c r="AT22" s="76" t="n"/>
    </row>
    <row r="23" ht="15" customHeight="1">
      <c r="A23" s="23" t="n"/>
      <c r="B23" s="23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  <c r="Z23" s="31" t="n"/>
      <c r="AA23" s="31" t="n"/>
      <c r="AB23" s="31" t="n"/>
      <c r="AC23" s="31" t="n"/>
      <c r="AD23" s="31" t="n"/>
      <c r="AE23" s="31" t="n"/>
      <c r="AF23" s="31" t="n"/>
      <c r="AG23" s="31" t="n"/>
      <c r="AH23" s="31" t="n"/>
      <c r="AI23" s="31" t="n"/>
      <c r="AJ23" s="31" t="n"/>
      <c r="AK23" s="31" t="n"/>
      <c r="AL23" s="31" t="n"/>
      <c r="AM23" s="31" t="n"/>
      <c r="AN23" s="31" t="n"/>
      <c r="AO23" s="31" t="n"/>
      <c r="AP23" s="31" t="n"/>
      <c r="AQ23" s="31" t="n"/>
      <c r="AR23" s="31" t="n"/>
      <c r="AS23" s="31" t="n"/>
      <c r="AT23" s="31" t="n"/>
    </row>
    <row r="24" ht="15" customHeight="1">
      <c r="A24" s="23" t="n"/>
      <c r="B24" s="23" t="n"/>
      <c r="C24" s="75" t="inlineStr">
        <is>
          <t>LAÇOS</t>
        </is>
      </c>
      <c r="D24" s="76" t="n"/>
      <c r="E24" s="76" t="n"/>
      <c r="F24" s="76" t="n"/>
      <c r="G24" s="76" t="n"/>
      <c r="H24" s="76" t="n"/>
      <c r="I24" s="76" t="n"/>
      <c r="J24" s="76" t="n"/>
      <c r="K24" s="76" t="n"/>
      <c r="L24" s="76" t="n"/>
      <c r="M24" s="76" t="n"/>
      <c r="N24" s="76" t="n"/>
      <c r="O24" s="76" t="n"/>
      <c r="P24" s="76" t="n"/>
      <c r="Q24" s="76" t="n"/>
      <c r="R24" s="76" t="n"/>
      <c r="S24" s="76" t="n"/>
      <c r="T24" s="76" t="n"/>
      <c r="U24" s="76" t="n"/>
      <c r="V24" s="76" t="n"/>
      <c r="W24" s="76" t="n"/>
      <c r="X24" s="76" t="n"/>
      <c r="Y24" s="76" t="n"/>
      <c r="Z24" s="76" t="n"/>
      <c r="AA24" s="76" t="n"/>
      <c r="AB24" s="76" t="n"/>
      <c r="AC24" s="76" t="n"/>
      <c r="AD24" s="76" t="n"/>
      <c r="AE24" s="76" t="n"/>
      <c r="AF24" s="76" t="n"/>
      <c r="AG24" s="76" t="n"/>
      <c r="AH24" s="76" t="n"/>
      <c r="AI24" s="76" t="n"/>
      <c r="AJ24" s="76" t="n"/>
      <c r="AK24" s="76" t="n"/>
      <c r="AL24" s="76" t="n"/>
      <c r="AM24" s="76" t="n"/>
      <c r="AN24" s="76" t="n"/>
      <c r="AO24" s="76" t="n"/>
      <c r="AP24" s="76" t="n"/>
      <c r="AQ24" s="76" t="n"/>
      <c r="AR24" s="76" t="n"/>
      <c r="AS24" s="76" t="n"/>
      <c r="AT24" s="76" t="n"/>
    </row>
    <row r="25" ht="15" customHeight="1">
      <c r="A25" s="23" t="n"/>
      <c r="B25" s="23" t="n"/>
      <c r="C25" s="77" t="n"/>
      <c r="D25" s="76" t="n"/>
      <c r="E25" s="76" t="n"/>
      <c r="F25" s="76" t="n"/>
      <c r="G25" s="76" t="n"/>
      <c r="H25" s="76" t="n"/>
      <c r="I25" s="76" t="n"/>
      <c r="J25" s="76" t="n"/>
      <c r="K25" s="76" t="n"/>
      <c r="L25" s="76" t="n"/>
      <c r="M25" s="76" t="n"/>
      <c r="N25" s="76" t="n"/>
      <c r="O25" s="76" t="n"/>
      <c r="P25" s="76" t="n"/>
      <c r="Q25" s="76" t="n"/>
      <c r="R25" s="76" t="n"/>
      <c r="S25" s="76" t="n"/>
      <c r="T25" s="76" t="n"/>
      <c r="U25" s="76" t="n"/>
      <c r="V25" s="76" t="n"/>
      <c r="W25" s="76" t="n"/>
      <c r="X25" s="76" t="n"/>
      <c r="Y25" s="76" t="n"/>
      <c r="Z25" s="76" t="n"/>
      <c r="AA25" s="76" t="n"/>
      <c r="AB25" s="76" t="n"/>
      <c r="AC25" s="76" t="n"/>
      <c r="AD25" s="76" t="n"/>
      <c r="AE25" s="76" t="n"/>
      <c r="AF25" s="76" t="n"/>
      <c r="AG25" s="76" t="n"/>
      <c r="AH25" s="76" t="n"/>
      <c r="AI25" s="76" t="n"/>
      <c r="AJ25" s="76" t="n"/>
      <c r="AK25" s="76" t="n"/>
      <c r="AL25" s="76" t="n"/>
      <c r="AM25" s="76" t="n"/>
      <c r="AN25" s="76" t="n"/>
      <c r="AO25" s="76" t="n"/>
      <c r="AP25" s="76" t="n"/>
      <c r="AQ25" s="76" t="n"/>
      <c r="AR25" s="76" t="n"/>
      <c r="AS25" s="76" t="n"/>
      <c r="AT25" s="76" t="n"/>
    </row>
    <row r="26" ht="15" customHeight="1">
      <c r="A26" s="23" t="n"/>
      <c r="B26" s="23" t="n"/>
      <c r="C26" s="76" t="n"/>
      <c r="D26" s="76" t="n"/>
      <c r="E26" s="76" t="n"/>
      <c r="F26" s="76" t="n"/>
      <c r="G26" s="76" t="n"/>
      <c r="H26" s="76" t="n"/>
      <c r="I26" s="76" t="n"/>
      <c r="J26" s="76" t="n"/>
      <c r="K26" s="76" t="n"/>
      <c r="L26" s="76" t="n"/>
      <c r="M26" s="76" t="n"/>
      <c r="N26" s="76" t="n"/>
      <c r="O26" s="76" t="n"/>
      <c r="P26" s="76" t="n"/>
      <c r="Q26" s="76" t="n"/>
      <c r="R26" s="76" t="n"/>
      <c r="S26" s="76" t="n"/>
      <c r="T26" s="76" t="n"/>
      <c r="U26" s="76" t="n"/>
      <c r="V26" s="76" t="n"/>
      <c r="W26" s="76" t="n"/>
      <c r="X26" s="76" t="n"/>
      <c r="Y26" s="76" t="n"/>
      <c r="Z26" s="76" t="n"/>
      <c r="AA26" s="76" t="n"/>
      <c r="AB26" s="76" t="n"/>
      <c r="AC26" s="76" t="n"/>
      <c r="AD26" s="76" t="n"/>
      <c r="AE26" s="76" t="n"/>
      <c r="AF26" s="76" t="n"/>
      <c r="AG26" s="76" t="n"/>
      <c r="AH26" s="76" t="n"/>
      <c r="AI26" s="76" t="n"/>
      <c r="AJ26" s="76" t="n"/>
      <c r="AK26" s="76" t="n"/>
      <c r="AL26" s="76" t="n"/>
      <c r="AM26" s="76" t="n"/>
      <c r="AN26" s="76" t="n"/>
      <c r="AO26" s="76" t="n"/>
      <c r="AP26" s="76" t="n"/>
      <c r="AQ26" s="76" t="n"/>
      <c r="AR26" s="76" t="n"/>
      <c r="AS26" s="76" t="n"/>
      <c r="AT26" s="76" t="n"/>
    </row>
    <row r="27" ht="15" customHeight="1">
      <c r="A27" s="23" t="n"/>
      <c r="B27" s="23" t="n"/>
      <c r="C27" s="76" t="n"/>
      <c r="D27" s="76" t="n"/>
      <c r="E27" s="76" t="n"/>
      <c r="F27" s="76" t="n"/>
      <c r="G27" s="76" t="n"/>
      <c r="H27" s="76" t="n"/>
      <c r="I27" s="76" t="n"/>
      <c r="J27" s="76" t="n"/>
      <c r="K27" s="76" t="n"/>
      <c r="L27" s="76" t="n"/>
      <c r="M27" s="76" t="n"/>
      <c r="N27" s="76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76" t="n"/>
      <c r="AC27" s="76" t="n"/>
      <c r="AD27" s="76" t="n"/>
      <c r="AE27" s="76" t="n"/>
      <c r="AF27" s="76" t="n"/>
      <c r="AG27" s="76" t="n"/>
      <c r="AH27" s="76" t="n"/>
      <c r="AI27" s="76" t="n"/>
      <c r="AJ27" s="76" t="n"/>
      <c r="AK27" s="76" t="n"/>
      <c r="AL27" s="76" t="n"/>
      <c r="AM27" s="76" t="n"/>
      <c r="AN27" s="76" t="n"/>
      <c r="AO27" s="76" t="n"/>
      <c r="AP27" s="76" t="n"/>
      <c r="AQ27" s="76" t="n"/>
      <c r="AR27" s="76" t="n"/>
      <c r="AS27" s="76" t="n"/>
      <c r="AT27" s="76" t="n"/>
    </row>
    <row r="28" ht="15" customHeight="1">
      <c r="A28" s="23" t="n"/>
      <c r="B28" s="23" t="n"/>
      <c r="C28" s="76" t="n"/>
      <c r="D28" s="76" t="n"/>
      <c r="E28" s="76" t="n"/>
      <c r="F28" s="76" t="n"/>
      <c r="G28" s="76" t="n"/>
      <c r="H28" s="76" t="n"/>
      <c r="I28" s="76" t="n"/>
      <c r="J28" s="76" t="n"/>
      <c r="K28" s="76" t="n"/>
      <c r="L28" s="76" t="n"/>
      <c r="M28" s="76" t="n"/>
      <c r="N28" s="76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76" t="n"/>
      <c r="AC28" s="76" t="n"/>
      <c r="AD28" s="76" t="n"/>
      <c r="AE28" s="76" t="n"/>
      <c r="AF28" s="76" t="n"/>
      <c r="AG28" s="76" t="n"/>
      <c r="AH28" s="76" t="n"/>
      <c r="AI28" s="76" t="n"/>
      <c r="AJ28" s="76" t="n"/>
      <c r="AK28" s="76" t="n"/>
      <c r="AL28" s="76" t="n"/>
      <c r="AM28" s="76" t="n"/>
      <c r="AN28" s="76" t="n"/>
      <c r="AO28" s="76" t="n"/>
      <c r="AP28" s="76" t="n"/>
      <c r="AQ28" s="76" t="n"/>
      <c r="AR28" s="76" t="n"/>
      <c r="AS28" s="76" t="n"/>
      <c r="AT28" s="76" t="n"/>
    </row>
    <row r="29" ht="15" customHeight="1">
      <c r="A29" s="23" t="n"/>
      <c r="B29" s="23" t="n"/>
      <c r="C29" s="76" t="n"/>
      <c r="D29" s="76" t="n"/>
      <c r="E29" s="76" t="n"/>
      <c r="F29" s="76" t="n"/>
      <c r="G29" s="76" t="n"/>
      <c r="H29" s="76" t="n"/>
      <c r="I29" s="76" t="n"/>
      <c r="J29" s="76" t="n"/>
      <c r="K29" s="76" t="n"/>
      <c r="L29" s="76" t="n"/>
      <c r="M29" s="76" t="n"/>
      <c r="N29" s="76" t="n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  <c r="X29" s="76" t="n"/>
      <c r="Y29" s="76" t="n"/>
      <c r="Z29" s="76" t="n"/>
      <c r="AA29" s="76" t="n"/>
      <c r="AB29" s="76" t="n"/>
      <c r="AC29" s="76" t="n"/>
      <c r="AD29" s="76" t="n"/>
      <c r="AE29" s="76" t="n"/>
      <c r="AF29" s="76" t="n"/>
      <c r="AG29" s="76" t="n"/>
      <c r="AH29" s="76" t="n"/>
      <c r="AI29" s="76" t="n"/>
      <c r="AJ29" s="76" t="n"/>
      <c r="AK29" s="76" t="n"/>
      <c r="AL29" s="76" t="n"/>
      <c r="AM29" s="76" t="n"/>
      <c r="AN29" s="76" t="n"/>
      <c r="AO29" s="76" t="n"/>
      <c r="AP29" s="76" t="n"/>
      <c r="AQ29" s="76" t="n"/>
      <c r="AR29" s="76" t="n"/>
      <c r="AS29" s="76" t="n"/>
      <c r="AT29" s="76" t="n"/>
    </row>
    <row r="30" ht="15" customHeight="1">
      <c r="A30" s="23" t="n"/>
      <c r="B30" s="23" t="n"/>
      <c r="C30" s="76" t="n"/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  <c r="X30" s="76" t="n"/>
      <c r="Y30" s="76" t="n"/>
      <c r="Z30" s="76" t="n"/>
      <c r="AA30" s="76" t="n"/>
      <c r="AB30" s="76" t="n"/>
      <c r="AC30" s="76" t="n"/>
      <c r="AD30" s="76" t="n"/>
      <c r="AE30" s="76" t="n"/>
      <c r="AF30" s="76" t="n"/>
      <c r="AG30" s="76" t="n"/>
      <c r="AH30" s="76" t="n"/>
      <c r="AI30" s="76" t="n"/>
      <c r="AJ30" s="76" t="n"/>
      <c r="AK30" s="76" t="n"/>
      <c r="AL30" s="76" t="n"/>
      <c r="AM30" s="76" t="n"/>
      <c r="AN30" s="76" t="n"/>
      <c r="AO30" s="76" t="n"/>
      <c r="AP30" s="76" t="n"/>
      <c r="AQ30" s="76" t="n"/>
      <c r="AR30" s="76" t="n"/>
      <c r="AS30" s="76" t="n"/>
      <c r="AT30" s="76" t="n"/>
    </row>
    <row r="31" ht="15" customHeight="1">
      <c r="A31" s="23" t="n"/>
      <c r="B31" s="23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B31" s="31" t="n"/>
      <c r="AC31" s="31" t="n"/>
      <c r="AD31" s="31" t="n"/>
      <c r="AE31" s="31" t="n"/>
      <c r="AF31" s="31" t="n"/>
      <c r="AG31" s="31" t="n"/>
      <c r="AH31" s="31" t="n"/>
      <c r="AI31" s="31" t="n"/>
      <c r="AJ31" s="31" t="n"/>
      <c r="AK31" s="31" t="n"/>
      <c r="AL31" s="31" t="n"/>
      <c r="AM31" s="31" t="n"/>
      <c r="AN31" s="31" t="n"/>
      <c r="AO31" s="31" t="n"/>
      <c r="AP31" s="31" t="n"/>
      <c r="AQ31" s="31" t="n"/>
      <c r="AR31" s="31" t="n"/>
      <c r="AS31" s="31" t="n"/>
      <c r="AT31" s="31" t="n"/>
    </row>
    <row r="32" ht="15" customHeight="1">
      <c r="A32" s="23" t="n"/>
      <c r="B32" s="23" t="n"/>
      <c r="C32" s="75" t="inlineStr">
        <is>
          <t>O QUE ELE QUER</t>
        </is>
      </c>
      <c r="D32" s="76" t="n"/>
      <c r="E32" s="76" t="n"/>
      <c r="F32" s="76" t="n"/>
      <c r="G32" s="76" t="n"/>
      <c r="H32" s="76" t="n"/>
      <c r="I32" s="76" t="n"/>
      <c r="J32" s="76" t="n"/>
      <c r="K32" s="76" t="n"/>
      <c r="L32" s="76" t="n"/>
      <c r="M32" s="76" t="n"/>
      <c r="N32" s="76" t="n"/>
      <c r="O32" s="76" t="n"/>
      <c r="P32" s="76" t="n"/>
      <c r="Q32" s="76" t="n"/>
      <c r="R32" s="76" t="n"/>
      <c r="S32" s="76" t="n"/>
      <c r="T32" s="76" t="n"/>
      <c r="U32" s="76" t="n"/>
      <c r="V32" s="76" t="n"/>
      <c r="W32" s="76" t="n"/>
      <c r="X32" s="76" t="n"/>
      <c r="Y32" s="76" t="n"/>
      <c r="Z32" s="76" t="n"/>
      <c r="AA32" s="76" t="n"/>
      <c r="AB32" s="76" t="n"/>
      <c r="AC32" s="76" t="n"/>
      <c r="AD32" s="76" t="n"/>
      <c r="AE32" s="76" t="n"/>
      <c r="AF32" s="76" t="n"/>
      <c r="AG32" s="76" t="n"/>
      <c r="AH32" s="76" t="n"/>
      <c r="AI32" s="76" t="n"/>
      <c r="AJ32" s="76" t="n"/>
      <c r="AK32" s="76" t="n"/>
      <c r="AL32" s="76" t="n"/>
      <c r="AM32" s="76" t="n"/>
      <c r="AN32" s="76" t="n"/>
      <c r="AO32" s="76" t="n"/>
      <c r="AP32" s="76" t="n"/>
      <c r="AQ32" s="76" t="n"/>
      <c r="AR32" s="76" t="n"/>
      <c r="AS32" s="76" t="n"/>
      <c r="AT32" s="76" t="n"/>
    </row>
    <row r="33" ht="15" customHeight="1">
      <c r="A33" s="23" t="n"/>
      <c r="B33" s="23" t="n"/>
      <c r="C33" s="77" t="n"/>
      <c r="D33" s="76" t="n"/>
      <c r="E33" s="76" t="n"/>
      <c r="F33" s="76" t="n"/>
      <c r="G33" s="76" t="n"/>
      <c r="H33" s="76" t="n"/>
      <c r="I33" s="76" t="n"/>
      <c r="J33" s="76" t="n"/>
      <c r="K33" s="76" t="n"/>
      <c r="L33" s="76" t="n"/>
      <c r="M33" s="76" t="n"/>
      <c r="N33" s="76" t="n"/>
      <c r="O33" s="76" t="n"/>
      <c r="P33" s="76" t="n"/>
      <c r="Q33" s="76" t="n"/>
      <c r="R33" s="76" t="n"/>
      <c r="S33" s="76" t="n"/>
      <c r="T33" s="76" t="n"/>
      <c r="U33" s="76" t="n"/>
      <c r="V33" s="76" t="n"/>
      <c r="W33" s="76" t="n"/>
      <c r="X33" s="76" t="n"/>
      <c r="Y33" s="76" t="n"/>
      <c r="Z33" s="76" t="n"/>
      <c r="AA33" s="76" t="n"/>
      <c r="AB33" s="76" t="n"/>
      <c r="AC33" s="76" t="n"/>
      <c r="AD33" s="76" t="n"/>
      <c r="AE33" s="76" t="n"/>
      <c r="AF33" s="76" t="n"/>
      <c r="AG33" s="76" t="n"/>
      <c r="AH33" s="76" t="n"/>
      <c r="AI33" s="76" t="n"/>
      <c r="AJ33" s="76" t="n"/>
      <c r="AK33" s="76" t="n"/>
      <c r="AL33" s="76" t="n"/>
      <c r="AM33" s="76" t="n"/>
      <c r="AN33" s="76" t="n"/>
      <c r="AO33" s="76" t="n"/>
      <c r="AP33" s="76" t="n"/>
      <c r="AQ33" s="76" t="n"/>
      <c r="AR33" s="76" t="n"/>
      <c r="AS33" s="76" t="n"/>
      <c r="AT33" s="76" t="n"/>
    </row>
    <row r="34" ht="15" customHeight="1">
      <c r="A34" s="23" t="n"/>
      <c r="B34" s="23" t="n"/>
      <c r="C34" s="76" t="n"/>
      <c r="D34" s="76" t="n"/>
      <c r="E34" s="76" t="n"/>
      <c r="F34" s="76" t="n"/>
      <c r="G34" s="76" t="n"/>
      <c r="H34" s="76" t="n"/>
      <c r="I34" s="76" t="n"/>
      <c r="J34" s="76" t="n"/>
      <c r="K34" s="76" t="n"/>
      <c r="L34" s="76" t="n"/>
      <c r="M34" s="76" t="n"/>
      <c r="N34" s="76" t="n"/>
      <c r="O34" s="76" t="n"/>
      <c r="P34" s="76" t="n"/>
      <c r="Q34" s="76" t="n"/>
      <c r="R34" s="76" t="n"/>
      <c r="S34" s="76" t="n"/>
      <c r="T34" s="76" t="n"/>
      <c r="U34" s="76" t="n"/>
      <c r="V34" s="76" t="n"/>
      <c r="W34" s="76" t="n"/>
      <c r="X34" s="76" t="n"/>
      <c r="Y34" s="76" t="n"/>
      <c r="Z34" s="76" t="n"/>
      <c r="AA34" s="76" t="n"/>
      <c r="AB34" s="76" t="n"/>
      <c r="AC34" s="76" t="n"/>
      <c r="AD34" s="76" t="n"/>
      <c r="AE34" s="76" t="n"/>
      <c r="AF34" s="76" t="n"/>
      <c r="AG34" s="76" t="n"/>
      <c r="AH34" s="76" t="n"/>
      <c r="AI34" s="76" t="n"/>
      <c r="AJ34" s="76" t="n"/>
      <c r="AK34" s="76" t="n"/>
      <c r="AL34" s="76" t="n"/>
      <c r="AM34" s="76" t="n"/>
      <c r="AN34" s="76" t="n"/>
      <c r="AO34" s="76" t="n"/>
      <c r="AP34" s="76" t="n"/>
      <c r="AQ34" s="76" t="n"/>
      <c r="AR34" s="76" t="n"/>
      <c r="AS34" s="76" t="n"/>
      <c r="AT34" s="76" t="n"/>
    </row>
    <row r="35" ht="15" customHeight="1">
      <c r="A35" s="23" t="n"/>
      <c r="B35" s="23" t="n"/>
      <c r="C35" s="76" t="n"/>
      <c r="D35" s="76" t="n"/>
      <c r="E35" s="76" t="n"/>
      <c r="F35" s="76" t="n"/>
      <c r="G35" s="76" t="n"/>
      <c r="H35" s="76" t="n"/>
      <c r="I35" s="76" t="n"/>
      <c r="J35" s="76" t="n"/>
      <c r="K35" s="76" t="n"/>
      <c r="L35" s="76" t="n"/>
      <c r="M35" s="76" t="n"/>
      <c r="N35" s="76" t="n"/>
      <c r="O35" s="76" t="n"/>
      <c r="P35" s="76" t="n"/>
      <c r="Q35" s="76" t="n"/>
      <c r="R35" s="76" t="n"/>
      <c r="S35" s="76" t="n"/>
      <c r="T35" s="76" t="n"/>
      <c r="U35" s="76" t="n"/>
      <c r="V35" s="76" t="n"/>
      <c r="W35" s="76" t="n"/>
      <c r="X35" s="76" t="n"/>
      <c r="Y35" s="76" t="n"/>
      <c r="Z35" s="76" t="n"/>
      <c r="AA35" s="76" t="n"/>
      <c r="AB35" s="76" t="n"/>
      <c r="AC35" s="76" t="n"/>
      <c r="AD35" s="76" t="n"/>
      <c r="AE35" s="76" t="n"/>
      <c r="AF35" s="76" t="n"/>
      <c r="AG35" s="76" t="n"/>
      <c r="AH35" s="76" t="n"/>
      <c r="AI35" s="76" t="n"/>
      <c r="AJ35" s="76" t="n"/>
      <c r="AK35" s="76" t="n"/>
      <c r="AL35" s="76" t="n"/>
      <c r="AM35" s="76" t="n"/>
      <c r="AN35" s="76" t="n"/>
      <c r="AO35" s="76" t="n"/>
      <c r="AP35" s="76" t="n"/>
      <c r="AQ35" s="76" t="n"/>
      <c r="AR35" s="76" t="n"/>
      <c r="AS35" s="76" t="n"/>
      <c r="AT35" s="76" t="n"/>
    </row>
    <row r="36" ht="15" customHeight="1">
      <c r="A36" s="23" t="n"/>
      <c r="B36" s="23" t="n"/>
      <c r="C36" s="76" t="n"/>
      <c r="D36" s="76" t="n"/>
      <c r="E36" s="76" t="n"/>
      <c r="F36" s="76" t="n"/>
      <c r="G36" s="76" t="n"/>
      <c r="H36" s="76" t="n"/>
      <c r="I36" s="76" t="n"/>
      <c r="J36" s="76" t="n"/>
      <c r="K36" s="76" t="n"/>
      <c r="L36" s="76" t="n"/>
      <c r="M36" s="76" t="n"/>
      <c r="N36" s="76" t="n"/>
      <c r="O36" s="76" t="n"/>
      <c r="P36" s="76" t="n"/>
      <c r="Q36" s="76" t="n"/>
      <c r="R36" s="76" t="n"/>
      <c r="S36" s="76" t="n"/>
      <c r="T36" s="76" t="n"/>
      <c r="U36" s="76" t="n"/>
      <c r="V36" s="76" t="n"/>
      <c r="W36" s="76" t="n"/>
      <c r="X36" s="76" t="n"/>
      <c r="Y36" s="76" t="n"/>
      <c r="Z36" s="76" t="n"/>
      <c r="AA36" s="76" t="n"/>
      <c r="AB36" s="76" t="n"/>
      <c r="AC36" s="76" t="n"/>
      <c r="AD36" s="76" t="n"/>
      <c r="AE36" s="76" t="n"/>
      <c r="AF36" s="76" t="n"/>
      <c r="AG36" s="76" t="n"/>
      <c r="AH36" s="76" t="n"/>
      <c r="AI36" s="76" t="n"/>
      <c r="AJ36" s="76" t="n"/>
      <c r="AK36" s="76" t="n"/>
      <c r="AL36" s="76" t="n"/>
      <c r="AM36" s="76" t="n"/>
      <c r="AN36" s="76" t="n"/>
      <c r="AO36" s="76" t="n"/>
      <c r="AP36" s="76" t="n"/>
      <c r="AQ36" s="76" t="n"/>
      <c r="AR36" s="76" t="n"/>
      <c r="AS36" s="76" t="n"/>
      <c r="AT36" s="76" t="n"/>
    </row>
    <row r="37" ht="15" customHeight="1">
      <c r="A37" s="23" t="n"/>
      <c r="B37" s="23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B37" s="31" t="n"/>
      <c r="AC37" s="31" t="n"/>
      <c r="AD37" s="31" t="n"/>
      <c r="AE37" s="31" t="n"/>
      <c r="AF37" s="31" t="n"/>
      <c r="AG37" s="31" t="n"/>
      <c r="AH37" s="31" t="n"/>
      <c r="AI37" s="31" t="n"/>
      <c r="AJ37" s="31" t="n"/>
      <c r="AK37" s="31" t="n"/>
      <c r="AL37" s="31" t="n"/>
      <c r="AM37" s="31" t="n"/>
      <c r="AN37" s="31" t="n"/>
      <c r="AO37" s="31" t="n"/>
      <c r="AP37" s="31" t="n"/>
      <c r="AQ37" s="31" t="n"/>
      <c r="AR37" s="31" t="n"/>
      <c r="AS37" s="31" t="n"/>
      <c r="AT37" s="31" t="n"/>
    </row>
    <row r="38" ht="15" customHeight="1">
      <c r="A38" s="23" t="n"/>
      <c r="B38" s="23" t="n"/>
      <c r="C38" s="75" t="inlineStr">
        <is>
          <t>O QUE ELE ESCONDE</t>
        </is>
      </c>
      <c r="D38" s="76" t="n"/>
      <c r="E38" s="76" t="n"/>
      <c r="F38" s="76" t="n"/>
      <c r="G38" s="76" t="n"/>
      <c r="H38" s="76" t="n"/>
      <c r="I38" s="76" t="n"/>
      <c r="J38" s="76" t="n"/>
      <c r="K38" s="76" t="n"/>
      <c r="L38" s="76" t="n"/>
      <c r="M38" s="76" t="n"/>
      <c r="N38" s="76" t="n"/>
      <c r="O38" s="76" t="n"/>
      <c r="P38" s="76" t="n"/>
      <c r="Q38" s="76" t="n"/>
      <c r="R38" s="76" t="n"/>
      <c r="S38" s="76" t="n"/>
      <c r="T38" s="76" t="n"/>
      <c r="U38" s="76" t="n"/>
      <c r="V38" s="76" t="n"/>
      <c r="W38" s="76" t="n"/>
      <c r="X38" s="76" t="n"/>
      <c r="Y38" s="76" t="n"/>
      <c r="Z38" s="76" t="n"/>
      <c r="AA38" s="76" t="n"/>
      <c r="AB38" s="76" t="n"/>
      <c r="AC38" s="76" t="n"/>
      <c r="AD38" s="76" t="n"/>
      <c r="AE38" s="76" t="n"/>
      <c r="AF38" s="76" t="n"/>
      <c r="AG38" s="76" t="n"/>
      <c r="AH38" s="76" t="n"/>
      <c r="AI38" s="76" t="n"/>
      <c r="AJ38" s="76" t="n"/>
      <c r="AK38" s="76" t="n"/>
      <c r="AL38" s="76" t="n"/>
      <c r="AM38" s="76" t="n"/>
      <c r="AN38" s="76" t="n"/>
      <c r="AO38" s="76" t="n"/>
      <c r="AP38" s="76" t="n"/>
      <c r="AQ38" s="76" t="n"/>
      <c r="AR38" s="76" t="n"/>
      <c r="AS38" s="76" t="n"/>
      <c r="AT38" s="76" t="n"/>
    </row>
    <row r="39" ht="15" customHeight="1">
      <c r="A39" s="23" t="n"/>
      <c r="B39" s="23" t="n"/>
      <c r="C39" s="77" t="n"/>
      <c r="D39" s="76" t="n"/>
      <c r="E39" s="76" t="n"/>
      <c r="F39" s="76" t="n"/>
      <c r="G39" s="76" t="n"/>
      <c r="H39" s="76" t="n"/>
      <c r="I39" s="76" t="n"/>
      <c r="J39" s="76" t="n"/>
      <c r="K39" s="76" t="n"/>
      <c r="L39" s="76" t="n"/>
      <c r="M39" s="76" t="n"/>
      <c r="N39" s="76" t="n"/>
      <c r="O39" s="76" t="n"/>
      <c r="P39" s="76" t="n"/>
      <c r="Q39" s="76" t="n"/>
      <c r="R39" s="76" t="n"/>
      <c r="S39" s="76" t="n"/>
      <c r="T39" s="76" t="n"/>
      <c r="U39" s="76" t="n"/>
      <c r="V39" s="76" t="n"/>
      <c r="W39" s="76" t="n"/>
      <c r="X39" s="76" t="n"/>
      <c r="Y39" s="76" t="n"/>
      <c r="Z39" s="76" t="n"/>
      <c r="AA39" s="76" t="n"/>
      <c r="AB39" s="76" t="n"/>
      <c r="AC39" s="76" t="n"/>
      <c r="AD39" s="76" t="n"/>
      <c r="AE39" s="76" t="n"/>
      <c r="AF39" s="76" t="n"/>
      <c r="AG39" s="76" t="n"/>
      <c r="AH39" s="76" t="n"/>
      <c r="AI39" s="76" t="n"/>
      <c r="AJ39" s="76" t="n"/>
      <c r="AK39" s="76" t="n"/>
      <c r="AL39" s="76" t="n"/>
      <c r="AM39" s="76" t="n"/>
      <c r="AN39" s="76" t="n"/>
      <c r="AO39" s="76" t="n"/>
      <c r="AP39" s="76" t="n"/>
      <c r="AQ39" s="76" t="n"/>
      <c r="AR39" s="76" t="n"/>
      <c r="AS39" s="76" t="n"/>
      <c r="AT39" s="76" t="n"/>
    </row>
    <row r="40" ht="15" customHeight="1">
      <c r="A40" s="23" t="n"/>
      <c r="B40" s="23" t="n"/>
      <c r="C40" s="76" t="n"/>
      <c r="D40" s="76" t="n"/>
      <c r="E40" s="76" t="n"/>
      <c r="F40" s="76" t="n"/>
      <c r="G40" s="76" t="n"/>
      <c r="H40" s="76" t="n"/>
      <c r="I40" s="76" t="n"/>
      <c r="J40" s="76" t="n"/>
      <c r="K40" s="76" t="n"/>
      <c r="L40" s="76" t="n"/>
      <c r="M40" s="76" t="n"/>
      <c r="N40" s="76" t="n"/>
      <c r="O40" s="76" t="n"/>
      <c r="P40" s="76" t="n"/>
      <c r="Q40" s="76" t="n"/>
      <c r="R40" s="76" t="n"/>
      <c r="S40" s="76" t="n"/>
      <c r="T40" s="76" t="n"/>
      <c r="U40" s="76" t="n"/>
      <c r="V40" s="76" t="n"/>
      <c r="W40" s="76" t="n"/>
      <c r="X40" s="76" t="n"/>
      <c r="Y40" s="76" t="n"/>
      <c r="Z40" s="76" t="n"/>
      <c r="AA40" s="76" t="n"/>
      <c r="AB40" s="76" t="n"/>
      <c r="AC40" s="76" t="n"/>
      <c r="AD40" s="76" t="n"/>
      <c r="AE40" s="76" t="n"/>
      <c r="AF40" s="76" t="n"/>
      <c r="AG40" s="76" t="n"/>
      <c r="AH40" s="76" t="n"/>
      <c r="AI40" s="76" t="n"/>
      <c r="AJ40" s="76" t="n"/>
      <c r="AK40" s="76" t="n"/>
      <c r="AL40" s="76" t="n"/>
      <c r="AM40" s="76" t="n"/>
      <c r="AN40" s="76" t="n"/>
      <c r="AO40" s="76" t="n"/>
      <c r="AP40" s="76" t="n"/>
      <c r="AQ40" s="76" t="n"/>
      <c r="AR40" s="76" t="n"/>
      <c r="AS40" s="76" t="n"/>
      <c r="AT40" s="76" t="n"/>
    </row>
    <row r="41" ht="15" customHeight="1">
      <c r="A41" s="23" t="n"/>
      <c r="B41" s="23" t="n"/>
      <c r="C41" s="76" t="n"/>
      <c r="D41" s="76" t="n"/>
      <c r="E41" s="76" t="n"/>
      <c r="F41" s="76" t="n"/>
      <c r="G41" s="76" t="n"/>
      <c r="H41" s="76" t="n"/>
      <c r="I41" s="76" t="n"/>
      <c r="J41" s="76" t="n"/>
      <c r="K41" s="76" t="n"/>
      <c r="L41" s="76" t="n"/>
      <c r="M41" s="76" t="n"/>
      <c r="N41" s="76" t="n"/>
      <c r="O41" s="76" t="n"/>
      <c r="P41" s="76" t="n"/>
      <c r="Q41" s="76" t="n"/>
      <c r="R41" s="76" t="n"/>
      <c r="S41" s="76" t="n"/>
      <c r="T41" s="76" t="n"/>
      <c r="U41" s="76" t="n"/>
      <c r="V41" s="76" t="n"/>
      <c r="W41" s="76" t="n"/>
      <c r="X41" s="76" t="n"/>
      <c r="Y41" s="76" t="n"/>
      <c r="Z41" s="76" t="n"/>
      <c r="AA41" s="76" t="n"/>
      <c r="AB41" s="76" t="n"/>
      <c r="AC41" s="76" t="n"/>
      <c r="AD41" s="76" t="n"/>
      <c r="AE41" s="76" t="n"/>
      <c r="AF41" s="76" t="n"/>
      <c r="AG41" s="76" t="n"/>
      <c r="AH41" s="76" t="n"/>
      <c r="AI41" s="76" t="n"/>
      <c r="AJ41" s="76" t="n"/>
      <c r="AK41" s="76" t="n"/>
      <c r="AL41" s="76" t="n"/>
      <c r="AM41" s="76" t="n"/>
      <c r="AN41" s="76" t="n"/>
      <c r="AO41" s="76" t="n"/>
      <c r="AP41" s="76" t="n"/>
      <c r="AQ41" s="76" t="n"/>
      <c r="AR41" s="76" t="n"/>
      <c r="AS41" s="76" t="n"/>
      <c r="AT41" s="76" t="n"/>
    </row>
    <row r="42" ht="15" customHeight="1">
      <c r="A42" s="23" t="n"/>
      <c r="B42" s="23" t="n"/>
      <c r="C42" s="76" t="n"/>
      <c r="D42" s="76" t="n"/>
      <c r="E42" s="76" t="n"/>
      <c r="F42" s="76" t="n"/>
      <c r="G42" s="76" t="n"/>
      <c r="H42" s="76" t="n"/>
      <c r="I42" s="76" t="n"/>
      <c r="J42" s="76" t="n"/>
      <c r="K42" s="76" t="n"/>
      <c r="L42" s="76" t="n"/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  <c r="X42" s="76" t="n"/>
      <c r="Y42" s="76" t="n"/>
      <c r="Z42" s="76" t="n"/>
      <c r="AA42" s="76" t="n"/>
      <c r="AB42" s="76" t="n"/>
      <c r="AC42" s="76" t="n"/>
      <c r="AD42" s="76" t="n"/>
      <c r="AE42" s="76" t="n"/>
      <c r="AF42" s="76" t="n"/>
      <c r="AG42" s="76" t="n"/>
      <c r="AH42" s="76" t="n"/>
      <c r="AI42" s="76" t="n"/>
      <c r="AJ42" s="76" t="n"/>
      <c r="AK42" s="76" t="n"/>
      <c r="AL42" s="76" t="n"/>
      <c r="AM42" s="76" t="n"/>
      <c r="AN42" s="76" t="n"/>
      <c r="AO42" s="76" t="n"/>
      <c r="AP42" s="76" t="n"/>
      <c r="AQ42" s="76" t="n"/>
      <c r="AR42" s="76" t="n"/>
      <c r="AS42" s="76" t="n"/>
      <c r="AT42" s="76" t="n"/>
    </row>
    <row r="43" ht="15" customHeight="1">
      <c r="A43" s="23" t="n"/>
      <c r="B43" s="23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B43" s="31" t="n"/>
      <c r="AC43" s="31" t="n"/>
      <c r="AD43" s="31" t="n"/>
      <c r="AE43" s="31" t="n"/>
      <c r="AF43" s="31" t="n"/>
      <c r="AG43" s="31" t="n"/>
      <c r="AH43" s="31" t="n"/>
      <c r="AI43" s="31" t="n"/>
      <c r="AJ43" s="31" t="n"/>
      <c r="AK43" s="31" t="n"/>
      <c r="AL43" s="31" t="n"/>
      <c r="AM43" s="31" t="n"/>
      <c r="AN43" s="31" t="n"/>
      <c r="AO43" s="31" t="n"/>
      <c r="AP43" s="31" t="n"/>
      <c r="AQ43" s="31" t="n"/>
      <c r="AR43" s="31" t="n"/>
      <c r="AS43" s="31" t="n"/>
      <c r="AT43" s="31" t="n"/>
    </row>
    <row r="44" ht="15" customHeight="1">
      <c r="A44" s="23" t="n"/>
      <c r="B44" s="23" t="n"/>
      <c r="C44" s="75" t="inlineStr">
        <is>
          <t>NOTAS DE MESA</t>
        </is>
      </c>
      <c r="D44" s="76" t="n"/>
      <c r="E44" s="76" t="n"/>
      <c r="F44" s="76" t="n"/>
      <c r="G44" s="76" t="n"/>
      <c r="H44" s="76" t="n"/>
      <c r="I44" s="76" t="n"/>
      <c r="J44" s="76" t="n"/>
      <c r="K44" s="76" t="n"/>
      <c r="L44" s="76" t="n"/>
      <c r="M44" s="7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  <c r="X44" s="76" t="n"/>
      <c r="Y44" s="76" t="n"/>
      <c r="Z44" s="76" t="n"/>
      <c r="AA44" s="76" t="n"/>
      <c r="AB44" s="76" t="n"/>
      <c r="AC44" s="76" t="n"/>
      <c r="AD44" s="76" t="n"/>
      <c r="AE44" s="76" t="n"/>
      <c r="AF44" s="76" t="n"/>
      <c r="AG44" s="76" t="n"/>
      <c r="AH44" s="76" t="n"/>
      <c r="AI44" s="76" t="n"/>
      <c r="AJ44" s="76" t="n"/>
      <c r="AK44" s="76" t="n"/>
      <c r="AL44" s="76" t="n"/>
      <c r="AM44" s="76" t="n"/>
      <c r="AN44" s="76" t="n"/>
      <c r="AO44" s="76" t="n"/>
      <c r="AP44" s="76" t="n"/>
      <c r="AQ44" s="76" t="n"/>
      <c r="AR44" s="76" t="n"/>
      <c r="AS44" s="76" t="n"/>
      <c r="AT44" s="76" t="n"/>
    </row>
    <row r="45" ht="15" customHeight="1">
      <c r="A45" s="23" t="n"/>
      <c r="B45" s="23" t="n"/>
      <c r="C45" s="77" t="n"/>
      <c r="D45" s="76" t="n"/>
      <c r="E45" s="76" t="n"/>
      <c r="F45" s="76" t="n"/>
      <c r="G45" s="76" t="n"/>
      <c r="H45" s="76" t="n"/>
      <c r="I45" s="76" t="n"/>
      <c r="J45" s="76" t="n"/>
      <c r="K45" s="76" t="n"/>
      <c r="L45" s="76" t="n"/>
      <c r="M45" s="76" t="n"/>
      <c r="N45" s="76" t="n"/>
      <c r="O45" s="76" t="n"/>
      <c r="P45" s="76" t="n"/>
      <c r="Q45" s="76" t="n"/>
      <c r="R45" s="76" t="n"/>
      <c r="S45" s="76" t="n"/>
      <c r="T45" s="76" t="n"/>
      <c r="U45" s="76" t="n"/>
      <c r="V45" s="76" t="n"/>
      <c r="W45" s="76" t="n"/>
      <c r="X45" s="76" t="n"/>
      <c r="Y45" s="76" t="n"/>
      <c r="Z45" s="76" t="n"/>
      <c r="AA45" s="76" t="n"/>
      <c r="AB45" s="76" t="n"/>
      <c r="AC45" s="76" t="n"/>
      <c r="AD45" s="76" t="n"/>
      <c r="AE45" s="76" t="n"/>
      <c r="AF45" s="76" t="n"/>
      <c r="AG45" s="76" t="n"/>
      <c r="AH45" s="76" t="n"/>
      <c r="AI45" s="76" t="n"/>
      <c r="AJ45" s="76" t="n"/>
      <c r="AK45" s="76" t="n"/>
      <c r="AL45" s="76" t="n"/>
      <c r="AM45" s="76" t="n"/>
      <c r="AN45" s="76" t="n"/>
      <c r="AO45" s="76" t="n"/>
      <c r="AP45" s="76" t="n"/>
      <c r="AQ45" s="76" t="n"/>
      <c r="AR45" s="76" t="n"/>
      <c r="AS45" s="76" t="n"/>
      <c r="AT45" s="76" t="n"/>
    </row>
    <row r="46" ht="15" customHeight="1">
      <c r="A46" s="23" t="n"/>
      <c r="B46" s="23" t="n"/>
      <c r="C46" s="76" t="n"/>
      <c r="D46" s="76" t="n"/>
      <c r="E46" s="76" t="n"/>
      <c r="F46" s="76" t="n"/>
      <c r="G46" s="76" t="n"/>
      <c r="H46" s="76" t="n"/>
      <c r="I46" s="76" t="n"/>
      <c r="J46" s="76" t="n"/>
      <c r="K46" s="76" t="n"/>
      <c r="L46" s="76" t="n"/>
      <c r="M46" s="76" t="n"/>
      <c r="N46" s="76" t="n"/>
      <c r="O46" s="76" t="n"/>
      <c r="P46" s="76" t="n"/>
      <c r="Q46" s="76" t="n"/>
      <c r="R46" s="76" t="n"/>
      <c r="S46" s="76" t="n"/>
      <c r="T46" s="76" t="n"/>
      <c r="U46" s="76" t="n"/>
      <c r="V46" s="76" t="n"/>
      <c r="W46" s="76" t="n"/>
      <c r="X46" s="76" t="n"/>
      <c r="Y46" s="76" t="n"/>
      <c r="Z46" s="76" t="n"/>
      <c r="AA46" s="76" t="n"/>
      <c r="AB46" s="76" t="n"/>
      <c r="AC46" s="76" t="n"/>
      <c r="AD46" s="76" t="n"/>
      <c r="AE46" s="76" t="n"/>
      <c r="AF46" s="76" t="n"/>
      <c r="AG46" s="76" t="n"/>
      <c r="AH46" s="76" t="n"/>
      <c r="AI46" s="76" t="n"/>
      <c r="AJ46" s="76" t="n"/>
      <c r="AK46" s="76" t="n"/>
      <c r="AL46" s="76" t="n"/>
      <c r="AM46" s="76" t="n"/>
      <c r="AN46" s="76" t="n"/>
      <c r="AO46" s="76" t="n"/>
      <c r="AP46" s="76" t="n"/>
      <c r="AQ46" s="76" t="n"/>
      <c r="AR46" s="76" t="n"/>
      <c r="AS46" s="76" t="n"/>
      <c r="AT46" s="76" t="n"/>
    </row>
    <row r="47" ht="15" customHeight="1">
      <c r="A47" s="23" t="n"/>
      <c r="B47" s="23" t="n"/>
      <c r="C47" s="76" t="n"/>
      <c r="D47" s="76" t="n"/>
      <c r="E47" s="76" t="n"/>
      <c r="F47" s="76" t="n"/>
      <c r="G47" s="76" t="n"/>
      <c r="H47" s="76" t="n"/>
      <c r="I47" s="76" t="n"/>
      <c r="J47" s="76" t="n"/>
      <c r="K47" s="76" t="n"/>
      <c r="L47" s="76" t="n"/>
      <c r="M47" s="76" t="n"/>
      <c r="N47" s="76" t="n"/>
      <c r="O47" s="76" t="n"/>
      <c r="P47" s="76" t="n"/>
      <c r="Q47" s="76" t="n"/>
      <c r="R47" s="76" t="n"/>
      <c r="S47" s="76" t="n"/>
      <c r="T47" s="76" t="n"/>
      <c r="U47" s="76" t="n"/>
      <c r="V47" s="76" t="n"/>
      <c r="W47" s="76" t="n"/>
      <c r="X47" s="76" t="n"/>
      <c r="Y47" s="76" t="n"/>
      <c r="Z47" s="76" t="n"/>
      <c r="AA47" s="76" t="n"/>
      <c r="AB47" s="76" t="n"/>
      <c r="AC47" s="76" t="n"/>
      <c r="AD47" s="76" t="n"/>
      <c r="AE47" s="76" t="n"/>
      <c r="AF47" s="76" t="n"/>
      <c r="AG47" s="76" t="n"/>
      <c r="AH47" s="76" t="n"/>
      <c r="AI47" s="76" t="n"/>
      <c r="AJ47" s="76" t="n"/>
      <c r="AK47" s="76" t="n"/>
      <c r="AL47" s="76" t="n"/>
      <c r="AM47" s="76" t="n"/>
      <c r="AN47" s="76" t="n"/>
      <c r="AO47" s="76" t="n"/>
      <c r="AP47" s="76" t="n"/>
      <c r="AQ47" s="76" t="n"/>
      <c r="AR47" s="76" t="n"/>
      <c r="AS47" s="76" t="n"/>
      <c r="AT47" s="76" t="n"/>
    </row>
    <row r="48" ht="15" customHeight="1">
      <c r="A48" s="23" t="n"/>
      <c r="B48" s="23" t="n"/>
      <c r="C48" s="76" t="n"/>
      <c r="D48" s="76" t="n"/>
      <c r="E48" s="76" t="n"/>
      <c r="F48" s="76" t="n"/>
      <c r="G48" s="76" t="n"/>
      <c r="H48" s="76" t="n"/>
      <c r="I48" s="76" t="n"/>
      <c r="J48" s="76" t="n"/>
      <c r="K48" s="76" t="n"/>
      <c r="L48" s="76" t="n"/>
      <c r="M48" s="76" t="n"/>
      <c r="N48" s="76" t="n"/>
      <c r="O48" s="76" t="n"/>
      <c r="P48" s="76" t="n"/>
      <c r="Q48" s="76" t="n"/>
      <c r="R48" s="76" t="n"/>
      <c r="S48" s="76" t="n"/>
      <c r="T48" s="76" t="n"/>
      <c r="U48" s="76" t="n"/>
      <c r="V48" s="76" t="n"/>
      <c r="W48" s="76" t="n"/>
      <c r="X48" s="76" t="n"/>
      <c r="Y48" s="76" t="n"/>
      <c r="Z48" s="76" t="n"/>
      <c r="AA48" s="76" t="n"/>
      <c r="AB48" s="76" t="n"/>
      <c r="AC48" s="76" t="n"/>
      <c r="AD48" s="76" t="n"/>
      <c r="AE48" s="76" t="n"/>
      <c r="AF48" s="76" t="n"/>
      <c r="AG48" s="76" t="n"/>
      <c r="AH48" s="76" t="n"/>
      <c r="AI48" s="76" t="n"/>
      <c r="AJ48" s="76" t="n"/>
      <c r="AK48" s="76" t="n"/>
      <c r="AL48" s="76" t="n"/>
      <c r="AM48" s="76" t="n"/>
      <c r="AN48" s="76" t="n"/>
      <c r="AO48" s="76" t="n"/>
      <c r="AP48" s="76" t="n"/>
      <c r="AQ48" s="76" t="n"/>
      <c r="AR48" s="76" t="n"/>
      <c r="AS48" s="76" t="n"/>
      <c r="AT48" s="76" t="n"/>
    </row>
    <row r="49" ht="15" customHeight="1">
      <c r="A49" s="23" t="n"/>
      <c r="B49" s="23" t="n"/>
      <c r="C49" s="76" t="n"/>
      <c r="D49" s="76" t="n"/>
      <c r="E49" s="76" t="n"/>
      <c r="F49" s="76" t="n"/>
      <c r="G49" s="76" t="n"/>
      <c r="H49" s="76" t="n"/>
      <c r="I49" s="76" t="n"/>
      <c r="J49" s="76" t="n"/>
      <c r="K49" s="76" t="n"/>
      <c r="L49" s="76" t="n"/>
      <c r="M49" s="76" t="n"/>
      <c r="N49" s="76" t="n"/>
      <c r="O49" s="76" t="n"/>
      <c r="P49" s="76" t="n"/>
      <c r="Q49" s="76" t="n"/>
      <c r="R49" s="76" t="n"/>
      <c r="S49" s="76" t="n"/>
      <c r="T49" s="76" t="n"/>
      <c r="U49" s="76" t="n"/>
      <c r="V49" s="76" t="n"/>
      <c r="W49" s="76" t="n"/>
      <c r="X49" s="76" t="n"/>
      <c r="Y49" s="76" t="n"/>
      <c r="Z49" s="76" t="n"/>
      <c r="AA49" s="76" t="n"/>
      <c r="AB49" s="76" t="n"/>
      <c r="AC49" s="76" t="n"/>
      <c r="AD49" s="76" t="n"/>
      <c r="AE49" s="76" t="n"/>
      <c r="AF49" s="76" t="n"/>
      <c r="AG49" s="76" t="n"/>
      <c r="AH49" s="76" t="n"/>
      <c r="AI49" s="76" t="n"/>
      <c r="AJ49" s="76" t="n"/>
      <c r="AK49" s="76" t="n"/>
      <c r="AL49" s="76" t="n"/>
      <c r="AM49" s="76" t="n"/>
      <c r="AN49" s="76" t="n"/>
      <c r="AO49" s="76" t="n"/>
      <c r="AP49" s="76" t="n"/>
      <c r="AQ49" s="76" t="n"/>
      <c r="AR49" s="76" t="n"/>
      <c r="AS49" s="76" t="n"/>
      <c r="AT49" s="76" t="n"/>
    </row>
    <row r="50" ht="15" customHeight="1">
      <c r="A50" s="23" t="n"/>
      <c r="B50" s="23" t="n"/>
      <c r="C50" s="76" t="n"/>
      <c r="D50" s="76" t="n"/>
      <c r="E50" s="76" t="n"/>
      <c r="F50" s="76" t="n"/>
      <c r="G50" s="76" t="n"/>
      <c r="H50" s="76" t="n"/>
      <c r="I50" s="76" t="n"/>
      <c r="J50" s="76" t="n"/>
      <c r="K50" s="76" t="n"/>
      <c r="L50" s="76" t="n"/>
      <c r="M50" s="76" t="n"/>
      <c r="N50" s="76" t="n"/>
      <c r="O50" s="76" t="n"/>
      <c r="P50" s="76" t="n"/>
      <c r="Q50" s="76" t="n"/>
      <c r="R50" s="76" t="n"/>
      <c r="S50" s="76" t="n"/>
      <c r="T50" s="76" t="n"/>
      <c r="U50" s="76" t="n"/>
      <c r="V50" s="76" t="n"/>
      <c r="W50" s="76" t="n"/>
      <c r="X50" s="76" t="n"/>
      <c r="Y50" s="76" t="n"/>
      <c r="Z50" s="76" t="n"/>
      <c r="AA50" s="76" t="n"/>
      <c r="AB50" s="76" t="n"/>
      <c r="AC50" s="76" t="n"/>
      <c r="AD50" s="76" t="n"/>
      <c r="AE50" s="76" t="n"/>
      <c r="AF50" s="76" t="n"/>
      <c r="AG50" s="76" t="n"/>
      <c r="AH50" s="76" t="n"/>
      <c r="AI50" s="76" t="n"/>
      <c r="AJ50" s="76" t="n"/>
      <c r="AK50" s="76" t="n"/>
      <c r="AL50" s="76" t="n"/>
      <c r="AM50" s="76" t="n"/>
      <c r="AN50" s="76" t="n"/>
      <c r="AO50" s="76" t="n"/>
      <c r="AP50" s="76" t="n"/>
      <c r="AQ50" s="76" t="n"/>
      <c r="AR50" s="76" t="n"/>
      <c r="AS50" s="76" t="n"/>
      <c r="AT50" s="76" t="n"/>
    </row>
    <row r="51" ht="15" customHeight="1">
      <c r="A51" s="23" t="n"/>
      <c r="B51" s="23" t="n"/>
      <c r="C51" s="76" t="n"/>
      <c r="D51" s="76" t="n"/>
      <c r="E51" s="76" t="n"/>
      <c r="F51" s="76" t="n"/>
      <c r="G51" s="76" t="n"/>
      <c r="H51" s="76" t="n"/>
      <c r="I51" s="76" t="n"/>
      <c r="J51" s="76" t="n"/>
      <c r="K51" s="76" t="n"/>
      <c r="L51" s="76" t="n"/>
      <c r="M51" s="76" t="n"/>
      <c r="N51" s="76" t="n"/>
      <c r="O51" s="76" t="n"/>
      <c r="P51" s="76" t="n"/>
      <c r="Q51" s="76" t="n"/>
      <c r="R51" s="76" t="n"/>
      <c r="S51" s="76" t="n"/>
      <c r="T51" s="76" t="n"/>
      <c r="U51" s="76" t="n"/>
      <c r="V51" s="76" t="n"/>
      <c r="W51" s="76" t="n"/>
      <c r="X51" s="76" t="n"/>
      <c r="Y51" s="76" t="n"/>
      <c r="Z51" s="76" t="n"/>
      <c r="AA51" s="76" t="n"/>
      <c r="AB51" s="76" t="n"/>
      <c r="AC51" s="76" t="n"/>
      <c r="AD51" s="76" t="n"/>
      <c r="AE51" s="76" t="n"/>
      <c r="AF51" s="76" t="n"/>
      <c r="AG51" s="76" t="n"/>
      <c r="AH51" s="76" t="n"/>
      <c r="AI51" s="76" t="n"/>
      <c r="AJ51" s="76" t="n"/>
      <c r="AK51" s="76" t="n"/>
      <c r="AL51" s="76" t="n"/>
      <c r="AM51" s="76" t="n"/>
      <c r="AN51" s="76" t="n"/>
      <c r="AO51" s="76" t="n"/>
      <c r="AP51" s="76" t="n"/>
      <c r="AQ51" s="76" t="n"/>
      <c r="AR51" s="76" t="n"/>
      <c r="AS51" s="76" t="n"/>
      <c r="AT51" s="76" t="n"/>
    </row>
    <row r="52" ht="15" customHeight="1">
      <c r="A52" s="23" t="n"/>
      <c r="B52" s="23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n"/>
      <c r="P52" s="76" t="n"/>
      <c r="Q52" s="76" t="n"/>
      <c r="R52" s="76" t="n"/>
      <c r="S52" s="76" t="n"/>
      <c r="T52" s="76" t="n"/>
      <c r="U52" s="76" t="n"/>
      <c r="V52" s="76" t="n"/>
      <c r="W52" s="76" t="n"/>
      <c r="X52" s="76" t="n"/>
      <c r="Y52" s="76" t="n"/>
      <c r="Z52" s="76" t="n"/>
      <c r="AA52" s="76" t="n"/>
      <c r="AB52" s="76" t="n"/>
      <c r="AC52" s="76" t="n"/>
      <c r="AD52" s="76" t="n"/>
      <c r="AE52" s="76" t="n"/>
      <c r="AF52" s="76" t="n"/>
      <c r="AG52" s="76" t="n"/>
      <c r="AH52" s="76" t="n"/>
      <c r="AI52" s="76" t="n"/>
      <c r="AJ52" s="76" t="n"/>
      <c r="AK52" s="76" t="n"/>
      <c r="AL52" s="76" t="n"/>
      <c r="AM52" s="76" t="n"/>
      <c r="AN52" s="76" t="n"/>
      <c r="AO52" s="76" t="n"/>
      <c r="AP52" s="76" t="n"/>
      <c r="AQ52" s="76" t="n"/>
      <c r="AR52" s="76" t="n"/>
      <c r="AS52" s="76" t="n"/>
      <c r="AT52" s="76" t="n"/>
    </row>
    <row r="53" ht="15" customHeight="1">
      <c r="A53" s="23" t="n"/>
      <c r="B53" s="23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1" t="n"/>
      <c r="Z53" s="31" t="n"/>
      <c r="AA53" s="31" t="n"/>
      <c r="AB53" s="31" t="n"/>
      <c r="AC53" s="31" t="n"/>
      <c r="AD53" s="31" t="n"/>
      <c r="AE53" s="31" t="n"/>
      <c r="AF53" s="31" t="n"/>
      <c r="AG53" s="31" t="n"/>
      <c r="AH53" s="31" t="n"/>
      <c r="AI53" s="31" t="n"/>
      <c r="AJ53" s="31" t="n"/>
      <c r="AK53" s="31" t="n"/>
      <c r="AL53" s="31" t="n"/>
      <c r="AM53" s="31" t="n"/>
      <c r="AN53" s="31" t="n"/>
      <c r="AO53" s="31" t="n"/>
      <c r="AP53" s="31" t="n"/>
      <c r="AQ53" s="31" t="n"/>
      <c r="AR53" s="31" t="n"/>
      <c r="AS53" s="31" t="n"/>
      <c r="AT53" s="31" t="n"/>
    </row>
    <row r="54" ht="15" customHeight="1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  <c r="AC54" s="23" t="n"/>
      <c r="AD54" s="23" t="n"/>
      <c r="AE54" s="23" t="n"/>
      <c r="AF54" s="23" t="n"/>
      <c r="AG54" s="23" t="n"/>
      <c r="AH54" s="23" t="n"/>
      <c r="AI54" s="23" t="n"/>
      <c r="AJ54" s="23" t="n"/>
      <c r="AK54" s="23" t="n"/>
      <c r="AL54" s="23" t="n"/>
      <c r="AM54" s="23" t="n"/>
      <c r="AN54" s="23" t="n"/>
      <c r="AO54" s="23" t="n"/>
      <c r="AP54" s="23" t="n"/>
      <c r="AQ54" s="23" t="n"/>
      <c r="AR54" s="23" t="n"/>
      <c r="AS54" s="23" t="n"/>
      <c r="AT54" s="23" t="n"/>
    </row>
    <row r="55" ht="15" customHeight="1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  <c r="AD55" s="23" t="n"/>
      <c r="AE55" s="23" t="n"/>
      <c r="AF55" s="23" t="n"/>
      <c r="AG55" s="23" t="n"/>
      <c r="AH55" s="23" t="n"/>
      <c r="AI55" s="23" t="n"/>
      <c r="AJ55" s="23" t="n"/>
      <c r="AK55" s="23" t="n"/>
      <c r="AL55" s="23" t="n"/>
      <c r="AM55" s="23" t="n"/>
      <c r="AN55" s="23" t="n"/>
      <c r="AO55" s="23" t="n"/>
      <c r="AP55" s="23" t="n"/>
      <c r="AQ55" s="23" t="n"/>
      <c r="AR55" s="23" t="n"/>
      <c r="AS55" s="23" t="n"/>
      <c r="AT55" s="23" t="n"/>
    </row>
    <row r="56" ht="15" customHeight="1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  <c r="AC56" s="23" t="n"/>
      <c r="AD56" s="23" t="n"/>
      <c r="AE56" s="23" t="n"/>
      <c r="AF56" s="23" t="n"/>
      <c r="AG56" s="23" t="n"/>
      <c r="AH56" s="23" t="n"/>
      <c r="AI56" s="23" t="n"/>
      <c r="AJ56" s="23" t="n"/>
      <c r="AK56" s="23" t="n"/>
      <c r="AL56" s="23" t="n"/>
      <c r="AM56" s="23" t="n"/>
      <c r="AN56" s="23" t="n"/>
      <c r="AO56" s="23" t="n"/>
      <c r="AP56" s="23" t="n"/>
      <c r="AQ56" s="23" t="n"/>
      <c r="AR56" s="23" t="n"/>
      <c r="AS56" s="23" t="n"/>
      <c r="AT56" s="23" t="n"/>
    </row>
    <row r="57" ht="15" customHeight="1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  <c r="AC57" s="23" t="n"/>
      <c r="AD57" s="23" t="n"/>
      <c r="AE57" s="23" t="n"/>
      <c r="AF57" s="23" t="n"/>
      <c r="AG57" s="23" t="n"/>
      <c r="AH57" s="23" t="n"/>
      <c r="AI57" s="23" t="n"/>
      <c r="AJ57" s="23" t="n"/>
      <c r="AK57" s="23" t="n"/>
      <c r="AL57" s="23" t="n"/>
      <c r="AM57" s="23" t="n"/>
      <c r="AN57" s="23" t="n"/>
      <c r="AO57" s="23" t="n"/>
      <c r="AP57" s="23" t="n"/>
      <c r="AQ57" s="23" t="n"/>
      <c r="AR57" s="23" t="n"/>
      <c r="AS57" s="23" t="n"/>
      <c r="AT57" s="23" t="n"/>
    </row>
    <row r="58" ht="15" customHeight="1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  <c r="AA58" s="23" t="n"/>
      <c r="AB58" s="23" t="n"/>
      <c r="AC58" s="23" t="n"/>
      <c r="AD58" s="23" t="n"/>
      <c r="AE58" s="23" t="n"/>
      <c r="AF58" s="23" t="n"/>
      <c r="AG58" s="23" t="n"/>
      <c r="AH58" s="23" t="n"/>
      <c r="AI58" s="23" t="n"/>
      <c r="AJ58" s="23" t="n"/>
      <c r="AK58" s="23" t="n"/>
      <c r="AL58" s="23" t="n"/>
      <c r="AM58" s="23" t="n"/>
      <c r="AN58" s="23" t="n"/>
      <c r="AO58" s="23" t="n"/>
      <c r="AP58" s="23" t="n"/>
      <c r="AQ58" s="23" t="n"/>
      <c r="AR58" s="23" t="n"/>
      <c r="AS58" s="23" t="n"/>
      <c r="AT58" s="23" t="n"/>
    </row>
    <row r="59" ht="15" customHeight="1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  <c r="AE59" s="23" t="n"/>
      <c r="AF59" s="23" t="n"/>
      <c r="AG59" s="23" t="n"/>
      <c r="AH59" s="23" t="n"/>
      <c r="AI59" s="23" t="n"/>
      <c r="AJ59" s="23" t="n"/>
      <c r="AK59" s="23" t="n"/>
      <c r="AL59" s="23" t="n"/>
      <c r="AM59" s="23" t="n"/>
      <c r="AN59" s="23" t="n"/>
      <c r="AO59" s="23" t="n"/>
      <c r="AP59" s="23" t="n"/>
      <c r="AQ59" s="23" t="n"/>
      <c r="AR59" s="23" t="n"/>
      <c r="AS59" s="23" t="n"/>
      <c r="AT59" s="23" t="n"/>
    </row>
    <row r="60" ht="15" customHeight="1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  <c r="AA60" s="23" t="n"/>
      <c r="AB60" s="23" t="n"/>
      <c r="AC60" s="23" t="n"/>
      <c r="AD60" s="23" t="n"/>
      <c r="AE60" s="23" t="n"/>
      <c r="AF60" s="23" t="n"/>
      <c r="AG60" s="23" t="n"/>
      <c r="AH60" s="23" t="n"/>
      <c r="AI60" s="23" t="n"/>
      <c r="AJ60" s="23" t="n"/>
      <c r="AK60" s="23" t="n"/>
      <c r="AL60" s="23" t="n"/>
      <c r="AM60" s="23" t="n"/>
      <c r="AN60" s="23" t="n"/>
      <c r="AO60" s="23" t="n"/>
      <c r="AP60" s="23" t="n"/>
      <c r="AQ60" s="23" t="n"/>
      <c r="AR60" s="23" t="n"/>
      <c r="AS60" s="23" t="n"/>
      <c r="AT60" s="23" t="n"/>
    </row>
    <row r="61" ht="15" customHeight="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  <c r="AE61" s="23" t="n"/>
      <c r="AF61" s="23" t="n"/>
      <c r="AG61" s="23" t="n"/>
      <c r="AH61" s="23" t="n"/>
      <c r="AI61" s="23" t="n"/>
      <c r="AJ61" s="23" t="n"/>
      <c r="AK61" s="23" t="n"/>
      <c r="AL61" s="23" t="n"/>
      <c r="AM61" s="23" t="n"/>
      <c r="AN61" s="23" t="n"/>
      <c r="AO61" s="23" t="n"/>
      <c r="AP61" s="23" t="n"/>
      <c r="AQ61" s="23" t="n"/>
      <c r="AR61" s="23" t="n"/>
      <c r="AS61" s="23" t="n"/>
      <c r="AT61" s="23" t="n"/>
    </row>
    <row r="62" ht="15" customHeight="1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n"/>
      <c r="AD62" s="23" t="n"/>
      <c r="AE62" s="23" t="n"/>
      <c r="AF62" s="23" t="n"/>
      <c r="AG62" s="23" t="n"/>
      <c r="AH62" s="23" t="n"/>
      <c r="AI62" s="23" t="n"/>
      <c r="AJ62" s="23" t="n"/>
      <c r="AK62" s="23" t="n"/>
      <c r="AL62" s="23" t="n"/>
      <c r="AM62" s="23" t="n"/>
      <c r="AN62" s="23" t="n"/>
      <c r="AO62" s="23" t="n"/>
      <c r="AP62" s="23" t="n"/>
      <c r="AQ62" s="23" t="n"/>
      <c r="AR62" s="23" t="n"/>
      <c r="AS62" s="23" t="n"/>
      <c r="AT62" s="23" t="n"/>
    </row>
    <row r="63" ht="15" customHeight="1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23" t="n"/>
      <c r="AB63" s="23" t="n"/>
      <c r="AC63" s="23" t="n"/>
      <c r="AD63" s="23" t="n"/>
      <c r="AE63" s="23" t="n"/>
      <c r="AF63" s="23" t="n"/>
      <c r="AG63" s="23" t="n"/>
      <c r="AH63" s="23" t="n"/>
      <c r="AI63" s="23" t="n"/>
      <c r="AJ63" s="23" t="n"/>
      <c r="AK63" s="23" t="n"/>
      <c r="AL63" s="23" t="n"/>
      <c r="AM63" s="23" t="n"/>
      <c r="AN63" s="23" t="n"/>
      <c r="AO63" s="23" t="n"/>
      <c r="AP63" s="23" t="n"/>
      <c r="AQ63" s="23" t="n"/>
      <c r="AR63" s="23" t="n"/>
      <c r="AS63" s="23" t="n"/>
      <c r="AT63" s="23" t="n"/>
    </row>
    <row r="64" ht="15" customHeight="1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  <c r="AA64" s="23" t="n"/>
      <c r="AB64" s="23" t="n"/>
      <c r="AC64" s="23" t="n"/>
      <c r="AD64" s="23" t="n"/>
      <c r="AE64" s="23" t="n"/>
      <c r="AF64" s="23" t="n"/>
      <c r="AG64" s="23" t="n"/>
      <c r="AH64" s="23" t="n"/>
      <c r="AI64" s="23" t="n"/>
      <c r="AJ64" s="23" t="n"/>
      <c r="AK64" s="23" t="n"/>
      <c r="AL64" s="23" t="n"/>
      <c r="AM64" s="23" t="n"/>
      <c r="AN64" s="23" t="n"/>
      <c r="AO64" s="23" t="n"/>
      <c r="AP64" s="23" t="n"/>
      <c r="AQ64" s="23" t="n"/>
      <c r="AR64" s="23" t="n"/>
      <c r="AS64" s="23" t="n"/>
      <c r="AT64" s="23" t="n"/>
    </row>
    <row r="65" ht="15" customHeight="1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  <c r="AB65" s="23" t="n"/>
      <c r="AC65" s="23" t="n"/>
      <c r="AD65" s="23" t="n"/>
      <c r="AE65" s="23" t="n"/>
      <c r="AF65" s="23" t="n"/>
      <c r="AG65" s="23" t="n"/>
      <c r="AH65" s="23" t="n"/>
      <c r="AI65" s="23" t="n"/>
      <c r="AJ65" s="23" t="n"/>
      <c r="AK65" s="23" t="n"/>
      <c r="AL65" s="23" t="n"/>
      <c r="AM65" s="23" t="n"/>
      <c r="AN65" s="23" t="n"/>
      <c r="AO65" s="23" t="n"/>
      <c r="AP65" s="23" t="n"/>
      <c r="AQ65" s="23" t="n"/>
      <c r="AR65" s="23" t="n"/>
      <c r="AS65" s="23" t="n"/>
      <c r="AT65" s="23" t="n"/>
    </row>
    <row r="66" ht="15" customHeight="1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  <c r="AA66" s="23" t="n"/>
      <c r="AB66" s="23" t="n"/>
      <c r="AC66" s="23" t="n"/>
      <c r="AD66" s="23" t="n"/>
      <c r="AE66" s="23" t="n"/>
      <c r="AF66" s="23" t="n"/>
      <c r="AG66" s="23" t="n"/>
      <c r="AH66" s="23" t="n"/>
      <c r="AI66" s="23" t="n"/>
      <c r="AJ66" s="23" t="n"/>
      <c r="AK66" s="23" t="n"/>
      <c r="AL66" s="23" t="n"/>
      <c r="AM66" s="23" t="n"/>
      <c r="AN66" s="23" t="n"/>
      <c r="AO66" s="23" t="n"/>
      <c r="AP66" s="23" t="n"/>
      <c r="AQ66" s="23" t="n"/>
      <c r="AR66" s="23" t="n"/>
      <c r="AS66" s="23" t="n"/>
      <c r="AT66" s="23" t="n"/>
    </row>
    <row r="67" ht="15" customHeight="1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  <c r="AE67" s="23" t="n"/>
      <c r="AF67" s="23" t="n"/>
      <c r="AG67" s="23" t="n"/>
      <c r="AH67" s="23" t="n"/>
      <c r="AI67" s="23" t="n"/>
      <c r="AJ67" s="23" t="n"/>
      <c r="AK67" s="23" t="n"/>
      <c r="AL67" s="23" t="n"/>
      <c r="AM67" s="23" t="n"/>
      <c r="AN67" s="23" t="n"/>
      <c r="AO67" s="23" t="n"/>
      <c r="AP67" s="23" t="n"/>
      <c r="AQ67" s="23" t="n"/>
      <c r="AR67" s="23" t="n"/>
      <c r="AS67" s="23" t="n"/>
      <c r="AT67" s="23" t="n"/>
    </row>
    <row r="68" ht="15" customHeight="1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  <c r="AA68" s="23" t="n"/>
      <c r="AB68" s="23" t="n"/>
      <c r="AC68" s="23" t="n"/>
      <c r="AD68" s="23" t="n"/>
      <c r="AE68" s="23" t="n"/>
      <c r="AF68" s="23" t="n"/>
      <c r="AG68" s="23" t="n"/>
      <c r="AH68" s="23" t="n"/>
      <c r="AI68" s="23" t="n"/>
      <c r="AJ68" s="23" t="n"/>
      <c r="AK68" s="23" t="n"/>
      <c r="AL68" s="23" t="n"/>
      <c r="AM68" s="23" t="n"/>
      <c r="AN68" s="23" t="n"/>
      <c r="AO68" s="23" t="n"/>
      <c r="AP68" s="23" t="n"/>
      <c r="AQ68" s="23" t="n"/>
      <c r="AR68" s="23" t="n"/>
      <c r="AS68" s="23" t="n"/>
      <c r="AT68" s="23" t="n"/>
    </row>
    <row r="69" ht="15" customHeight="1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  <c r="AA69" s="23" t="n"/>
      <c r="AB69" s="23" t="n"/>
      <c r="AC69" s="23" t="n"/>
      <c r="AD69" s="23" t="n"/>
      <c r="AE69" s="23" t="n"/>
      <c r="AF69" s="23" t="n"/>
      <c r="AG69" s="23" t="n"/>
      <c r="AH69" s="23" t="n"/>
      <c r="AI69" s="23" t="n"/>
      <c r="AJ69" s="23" t="n"/>
      <c r="AK69" s="23" t="n"/>
      <c r="AL69" s="23" t="n"/>
      <c r="AM69" s="23" t="n"/>
      <c r="AN69" s="23" t="n"/>
      <c r="AO69" s="23" t="n"/>
      <c r="AP69" s="23" t="n"/>
      <c r="AQ69" s="23" t="n"/>
      <c r="AR69" s="23" t="n"/>
      <c r="AS69" s="23" t="n"/>
      <c r="AT69" s="23" t="n"/>
    </row>
    <row r="70" ht="15" customHeight="1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  <c r="AA70" s="23" t="n"/>
      <c r="AB70" s="23" t="n"/>
      <c r="AC70" s="23" t="n"/>
      <c r="AD70" s="23" t="n"/>
      <c r="AE70" s="23" t="n"/>
      <c r="AF70" s="23" t="n"/>
      <c r="AG70" s="23" t="n"/>
      <c r="AH70" s="23" t="n"/>
      <c r="AI70" s="23" t="n"/>
      <c r="AJ70" s="23" t="n"/>
      <c r="AK70" s="23" t="n"/>
      <c r="AL70" s="23" t="n"/>
      <c r="AM70" s="23" t="n"/>
      <c r="AN70" s="23" t="n"/>
      <c r="AO70" s="23" t="n"/>
      <c r="AP70" s="23" t="n"/>
      <c r="AQ70" s="23" t="n"/>
      <c r="AR70" s="23" t="n"/>
      <c r="AS70" s="23" t="n"/>
      <c r="AT70" s="23" t="n"/>
    </row>
    <row r="71" ht="15" customHeight="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  <c r="AA71" s="23" t="n"/>
      <c r="AB71" s="23" t="n"/>
      <c r="AC71" s="23" t="n"/>
      <c r="AD71" s="23" t="n"/>
      <c r="AE71" s="23" t="n"/>
      <c r="AF71" s="23" t="n"/>
      <c r="AG71" s="23" t="n"/>
      <c r="AH71" s="23" t="n"/>
      <c r="AI71" s="23" t="n"/>
      <c r="AJ71" s="23" t="n"/>
      <c r="AK71" s="23" t="n"/>
      <c r="AL71" s="23" t="n"/>
      <c r="AM71" s="23" t="n"/>
      <c r="AN71" s="23" t="n"/>
      <c r="AO71" s="23" t="n"/>
      <c r="AP71" s="23" t="n"/>
      <c r="AQ71" s="23" t="n"/>
      <c r="AR71" s="23" t="n"/>
      <c r="AS71" s="23" t="n"/>
      <c r="AT71" s="23" t="n"/>
    </row>
    <row r="72" ht="15" customHeight="1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  <c r="AA72" s="23" t="n"/>
      <c r="AB72" s="23" t="n"/>
      <c r="AC72" s="23" t="n"/>
      <c r="AD72" s="23" t="n"/>
      <c r="AE72" s="23" t="n"/>
      <c r="AF72" s="23" t="n"/>
      <c r="AG72" s="23" t="n"/>
      <c r="AH72" s="23" t="n"/>
      <c r="AI72" s="23" t="n"/>
      <c r="AJ72" s="23" t="n"/>
      <c r="AK72" s="23" t="n"/>
      <c r="AL72" s="23" t="n"/>
      <c r="AM72" s="23" t="n"/>
      <c r="AN72" s="23" t="n"/>
      <c r="AO72" s="23" t="n"/>
      <c r="AP72" s="23" t="n"/>
      <c r="AQ72" s="23" t="n"/>
      <c r="AR72" s="23" t="n"/>
      <c r="AS72" s="23" t="n"/>
      <c r="AT72" s="23" t="n"/>
    </row>
    <row r="73" ht="15" customHeight="1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  <c r="AA73" s="23" t="n"/>
      <c r="AB73" s="23" t="n"/>
      <c r="AC73" s="23" t="n"/>
      <c r="AD73" s="23" t="n"/>
      <c r="AE73" s="23" t="n"/>
      <c r="AF73" s="23" t="n"/>
      <c r="AG73" s="23" t="n"/>
      <c r="AH73" s="23" t="n"/>
      <c r="AI73" s="23" t="n"/>
      <c r="AJ73" s="23" t="n"/>
      <c r="AK73" s="23" t="n"/>
      <c r="AL73" s="23" t="n"/>
      <c r="AM73" s="23" t="n"/>
      <c r="AN73" s="23" t="n"/>
      <c r="AO73" s="23" t="n"/>
      <c r="AP73" s="23" t="n"/>
      <c r="AQ73" s="23" t="n"/>
      <c r="AR73" s="23" t="n"/>
      <c r="AS73" s="23" t="n"/>
      <c r="AT73" s="23" t="n"/>
    </row>
    <row r="74" ht="15" customHeight="1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  <c r="AA74" s="23" t="n"/>
      <c r="AB74" s="23" t="n"/>
      <c r="AC74" s="23" t="n"/>
      <c r="AD74" s="23" t="n"/>
      <c r="AE74" s="23" t="n"/>
      <c r="AF74" s="23" t="n"/>
      <c r="AG74" s="23" t="n"/>
      <c r="AH74" s="23" t="n"/>
      <c r="AI74" s="23" t="n"/>
      <c r="AJ74" s="23" t="n"/>
      <c r="AK74" s="23" t="n"/>
      <c r="AL74" s="23" t="n"/>
      <c r="AM74" s="23" t="n"/>
      <c r="AN74" s="23" t="n"/>
      <c r="AO74" s="23" t="n"/>
      <c r="AP74" s="23" t="n"/>
      <c r="AQ74" s="23" t="n"/>
      <c r="AR74" s="23" t="n"/>
      <c r="AS74" s="23" t="n"/>
      <c r="AT74" s="23" t="n"/>
    </row>
    <row r="75" ht="15" customHeight="1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23" t="n"/>
      <c r="AD75" s="23" t="n"/>
      <c r="AE75" s="23" t="n"/>
      <c r="AF75" s="23" t="n"/>
      <c r="AG75" s="23" t="n"/>
      <c r="AH75" s="23" t="n"/>
      <c r="AI75" s="23" t="n"/>
      <c r="AJ75" s="23" t="n"/>
      <c r="AK75" s="23" t="n"/>
      <c r="AL75" s="23" t="n"/>
      <c r="AM75" s="23" t="n"/>
      <c r="AN75" s="23" t="n"/>
      <c r="AO75" s="23" t="n"/>
      <c r="AP75" s="23" t="n"/>
      <c r="AQ75" s="23" t="n"/>
      <c r="AR75" s="23" t="n"/>
      <c r="AS75" s="23" t="n"/>
      <c r="AT75" s="23" t="n"/>
    </row>
    <row r="76" ht="15" customHeight="1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  <c r="AA76" s="23" t="n"/>
      <c r="AB76" s="23" t="n"/>
      <c r="AC76" s="23" t="n"/>
      <c r="AD76" s="23" t="n"/>
      <c r="AE76" s="23" t="n"/>
      <c r="AF76" s="23" t="n"/>
      <c r="AG76" s="23" t="n"/>
      <c r="AH76" s="23" t="n"/>
      <c r="AI76" s="23" t="n"/>
      <c r="AJ76" s="23" t="n"/>
      <c r="AK76" s="23" t="n"/>
      <c r="AL76" s="23" t="n"/>
      <c r="AM76" s="23" t="n"/>
      <c r="AN76" s="23" t="n"/>
      <c r="AO76" s="23" t="n"/>
      <c r="AP76" s="23" t="n"/>
      <c r="AQ76" s="23" t="n"/>
      <c r="AR76" s="23" t="n"/>
      <c r="AS76" s="23" t="n"/>
      <c r="AT76" s="23" t="n"/>
    </row>
    <row r="77" ht="15" customHeight="1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23" t="n"/>
      <c r="AD77" s="23" t="n"/>
      <c r="AE77" s="23" t="n"/>
      <c r="AF77" s="23" t="n"/>
      <c r="AG77" s="23" t="n"/>
      <c r="AH77" s="23" t="n"/>
      <c r="AI77" s="23" t="n"/>
      <c r="AJ77" s="23" t="n"/>
      <c r="AK77" s="23" t="n"/>
      <c r="AL77" s="23" t="n"/>
      <c r="AM77" s="23" t="n"/>
      <c r="AN77" s="23" t="n"/>
      <c r="AO77" s="23" t="n"/>
      <c r="AP77" s="23" t="n"/>
      <c r="AQ77" s="23" t="n"/>
      <c r="AR77" s="23" t="n"/>
      <c r="AS77" s="23" t="n"/>
      <c r="AT77" s="23" t="n"/>
    </row>
    <row r="78" ht="15" customHeight="1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  <c r="AA78" s="23" t="n"/>
      <c r="AB78" s="23" t="n"/>
      <c r="AC78" s="23" t="n"/>
      <c r="AD78" s="23" t="n"/>
      <c r="AE78" s="23" t="n"/>
      <c r="AF78" s="23" t="n"/>
      <c r="AG78" s="23" t="n"/>
      <c r="AH78" s="23" t="n"/>
      <c r="AI78" s="23" t="n"/>
      <c r="AJ78" s="23" t="n"/>
      <c r="AK78" s="23" t="n"/>
      <c r="AL78" s="23" t="n"/>
      <c r="AM78" s="23" t="n"/>
      <c r="AN78" s="23" t="n"/>
      <c r="AO78" s="23" t="n"/>
      <c r="AP78" s="23" t="n"/>
      <c r="AQ78" s="23" t="n"/>
      <c r="AR78" s="23" t="n"/>
      <c r="AS78" s="23" t="n"/>
      <c r="AT78" s="23" t="n"/>
    </row>
    <row r="79" ht="15" customHeight="1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  <c r="AA79" s="23" t="n"/>
      <c r="AB79" s="23" t="n"/>
      <c r="AC79" s="23" t="n"/>
      <c r="AD79" s="23" t="n"/>
      <c r="AE79" s="23" t="n"/>
      <c r="AF79" s="23" t="n"/>
      <c r="AG79" s="23" t="n"/>
      <c r="AH79" s="23" t="n"/>
      <c r="AI79" s="23" t="n"/>
      <c r="AJ79" s="23" t="n"/>
      <c r="AK79" s="23" t="n"/>
      <c r="AL79" s="23" t="n"/>
      <c r="AM79" s="23" t="n"/>
      <c r="AN79" s="23" t="n"/>
      <c r="AO79" s="23" t="n"/>
      <c r="AP79" s="23" t="n"/>
      <c r="AQ79" s="23" t="n"/>
      <c r="AR79" s="23" t="n"/>
      <c r="AS79" s="23" t="n"/>
      <c r="AT79" s="23" t="n"/>
    </row>
    <row r="80" ht="15" customHeight="1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  <c r="AA80" s="23" t="n"/>
      <c r="AB80" s="23" t="n"/>
      <c r="AC80" s="23" t="n"/>
      <c r="AD80" s="23" t="n"/>
      <c r="AE80" s="23" t="n"/>
      <c r="AF80" s="23" t="n"/>
      <c r="AG80" s="23" t="n"/>
      <c r="AH80" s="23" t="n"/>
      <c r="AI80" s="23" t="n"/>
      <c r="AJ80" s="23" t="n"/>
      <c r="AK80" s="23" t="n"/>
      <c r="AL80" s="23" t="n"/>
      <c r="AM80" s="23" t="n"/>
      <c r="AN80" s="23" t="n"/>
      <c r="AO80" s="23" t="n"/>
      <c r="AP80" s="23" t="n"/>
      <c r="AQ80" s="23" t="n"/>
      <c r="AR80" s="23" t="n"/>
      <c r="AS80" s="23" t="n"/>
      <c r="AT80" s="23" t="n"/>
    </row>
    <row r="81" ht="15" customHeight="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  <c r="AA81" s="23" t="n"/>
      <c r="AB81" s="23" t="n"/>
      <c r="AC81" s="23" t="n"/>
      <c r="AD81" s="23" t="n"/>
      <c r="AE81" s="23" t="n"/>
      <c r="AF81" s="23" t="n"/>
      <c r="AG81" s="23" t="n"/>
      <c r="AH81" s="23" t="n"/>
      <c r="AI81" s="23" t="n"/>
      <c r="AJ81" s="23" t="n"/>
      <c r="AK81" s="23" t="n"/>
      <c r="AL81" s="23" t="n"/>
      <c r="AM81" s="23" t="n"/>
      <c r="AN81" s="23" t="n"/>
      <c r="AO81" s="23" t="n"/>
      <c r="AP81" s="23" t="n"/>
      <c r="AQ81" s="23" t="n"/>
      <c r="AR81" s="23" t="n"/>
      <c r="AS81" s="23" t="n"/>
      <c r="AT81" s="23" t="n"/>
    </row>
    <row r="82" ht="15" customHeight="1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</row>
    <row r="83" ht="15" customHeight="1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23" t="n"/>
      <c r="AD83" s="23" t="n"/>
      <c r="AE83" s="23" t="n"/>
      <c r="AF83" s="23" t="n"/>
      <c r="AG83" s="23" t="n"/>
      <c r="AH83" s="23" t="n"/>
      <c r="AI83" s="23" t="n"/>
      <c r="AJ83" s="23" t="n"/>
      <c r="AK83" s="23" t="n"/>
      <c r="AL83" s="23" t="n"/>
      <c r="AM83" s="23" t="n"/>
      <c r="AN83" s="23" t="n"/>
      <c r="AO83" s="23" t="n"/>
      <c r="AP83" s="23" t="n"/>
      <c r="AQ83" s="23" t="n"/>
      <c r="AR83" s="23" t="n"/>
      <c r="AS83" s="23" t="n"/>
      <c r="AT83" s="23" t="n"/>
    </row>
    <row r="84" ht="15" customHeight="1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  <c r="AA84" s="23" t="n"/>
      <c r="AB84" s="23" t="n"/>
      <c r="AC84" s="23" t="n"/>
      <c r="AD84" s="23" t="n"/>
      <c r="AE84" s="23" t="n"/>
      <c r="AF84" s="23" t="n"/>
      <c r="AG84" s="23" t="n"/>
      <c r="AH84" s="23" t="n"/>
      <c r="AI84" s="23" t="n"/>
      <c r="AJ84" s="23" t="n"/>
      <c r="AK84" s="23" t="n"/>
      <c r="AL84" s="23" t="n"/>
      <c r="AM84" s="23" t="n"/>
      <c r="AN84" s="23" t="n"/>
      <c r="AO84" s="23" t="n"/>
      <c r="AP84" s="23" t="n"/>
      <c r="AQ84" s="23" t="n"/>
      <c r="AR84" s="23" t="n"/>
      <c r="AS84" s="23" t="n"/>
      <c r="AT84" s="23" t="n"/>
    </row>
    <row r="85" ht="15" customHeight="1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  <c r="AB85" s="23" t="n"/>
      <c r="AC85" s="23" t="n"/>
      <c r="AD85" s="23" t="n"/>
      <c r="AE85" s="23" t="n"/>
      <c r="AF85" s="23" t="n"/>
      <c r="AG85" s="23" t="n"/>
      <c r="AH85" s="23" t="n"/>
      <c r="AI85" s="23" t="n"/>
      <c r="AJ85" s="23" t="n"/>
      <c r="AK85" s="23" t="n"/>
      <c r="AL85" s="23" t="n"/>
      <c r="AM85" s="23" t="n"/>
      <c r="AN85" s="23" t="n"/>
      <c r="AO85" s="23" t="n"/>
      <c r="AP85" s="23" t="n"/>
      <c r="AQ85" s="23" t="n"/>
      <c r="AR85" s="23" t="n"/>
      <c r="AS85" s="23" t="n"/>
      <c r="AT85" s="23" t="n"/>
    </row>
    <row r="86" ht="15" customHeight="1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  <c r="AA86" s="23" t="n"/>
      <c r="AB86" s="23" t="n"/>
      <c r="AC86" s="23" t="n"/>
      <c r="AD86" s="23" t="n"/>
      <c r="AE86" s="23" t="n"/>
      <c r="AF86" s="23" t="n"/>
      <c r="AG86" s="23" t="n"/>
      <c r="AH86" s="23" t="n"/>
      <c r="AI86" s="23" t="n"/>
      <c r="AJ86" s="23" t="n"/>
      <c r="AK86" s="23" t="n"/>
      <c r="AL86" s="23" t="n"/>
      <c r="AM86" s="23" t="n"/>
      <c r="AN86" s="23" t="n"/>
      <c r="AO86" s="23" t="n"/>
      <c r="AP86" s="23" t="n"/>
      <c r="AQ86" s="23" t="n"/>
      <c r="AR86" s="23" t="n"/>
      <c r="AS86" s="23" t="n"/>
      <c r="AT86" s="23" t="n"/>
    </row>
    <row r="87" ht="15" customHeight="1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  <c r="AA87" s="23" t="n"/>
      <c r="AB87" s="23" t="n"/>
      <c r="AC87" s="23" t="n"/>
      <c r="AD87" s="23" t="n"/>
      <c r="AE87" s="23" t="n"/>
      <c r="AF87" s="23" t="n"/>
      <c r="AG87" s="23" t="n"/>
      <c r="AH87" s="23" t="n"/>
      <c r="AI87" s="23" t="n"/>
      <c r="AJ87" s="23" t="n"/>
      <c r="AK87" s="23" t="n"/>
      <c r="AL87" s="23" t="n"/>
      <c r="AM87" s="23" t="n"/>
      <c r="AN87" s="23" t="n"/>
      <c r="AO87" s="23" t="n"/>
      <c r="AP87" s="23" t="n"/>
      <c r="AQ87" s="23" t="n"/>
      <c r="AR87" s="23" t="n"/>
      <c r="AS87" s="23" t="n"/>
      <c r="AT87" s="23" t="n"/>
    </row>
    <row r="88" ht="15" customHeight="1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  <c r="AA88" s="23" t="n"/>
      <c r="AB88" s="23" t="n"/>
      <c r="AC88" s="23" t="n"/>
      <c r="AD88" s="23" t="n"/>
      <c r="AE88" s="23" t="n"/>
      <c r="AF88" s="23" t="n"/>
      <c r="AG88" s="23" t="n"/>
      <c r="AH88" s="23" t="n"/>
      <c r="AI88" s="23" t="n"/>
      <c r="AJ88" s="23" t="n"/>
      <c r="AK88" s="23" t="n"/>
      <c r="AL88" s="23" t="n"/>
      <c r="AM88" s="23" t="n"/>
      <c r="AN88" s="23" t="n"/>
      <c r="AO88" s="23" t="n"/>
      <c r="AP88" s="23" t="n"/>
      <c r="AQ88" s="23" t="n"/>
      <c r="AR88" s="23" t="n"/>
      <c r="AS88" s="23" t="n"/>
      <c r="AT88" s="23" t="n"/>
    </row>
    <row r="89" ht="15" customHeight="1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  <c r="AA89" s="23" t="n"/>
      <c r="AB89" s="23" t="n"/>
      <c r="AC89" s="23" t="n"/>
      <c r="AD89" s="23" t="n"/>
      <c r="AE89" s="23" t="n"/>
      <c r="AF89" s="23" t="n"/>
      <c r="AG89" s="23" t="n"/>
      <c r="AH89" s="23" t="n"/>
      <c r="AI89" s="23" t="n"/>
      <c r="AJ89" s="23" t="n"/>
      <c r="AK89" s="23" t="n"/>
      <c r="AL89" s="23" t="n"/>
      <c r="AM89" s="23" t="n"/>
      <c r="AN89" s="23" t="n"/>
      <c r="AO89" s="23" t="n"/>
      <c r="AP89" s="23" t="n"/>
      <c r="AQ89" s="23" t="n"/>
      <c r="AR89" s="23" t="n"/>
      <c r="AS89" s="23" t="n"/>
      <c r="AT89" s="23" t="n"/>
    </row>
    <row r="90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  <c r="AA90" s="23" t="n"/>
      <c r="AB90" s="23" t="n"/>
      <c r="AC90" s="23" t="n"/>
      <c r="AD90" s="23" t="n"/>
      <c r="AE90" s="23" t="n"/>
      <c r="AF90" s="23" t="n"/>
      <c r="AG90" s="23" t="n"/>
      <c r="AH90" s="23" t="n"/>
      <c r="AI90" s="23" t="n"/>
      <c r="AJ90" s="23" t="n"/>
      <c r="AK90" s="23" t="n"/>
      <c r="AL90" s="23" t="n"/>
      <c r="AM90" s="23" t="n"/>
      <c r="AN90" s="23" t="n"/>
      <c r="AO90" s="23" t="n"/>
      <c r="AP90" s="23" t="n"/>
      <c r="AQ90" s="23" t="n"/>
      <c r="AR90" s="23" t="n"/>
      <c r="AS90" s="23" t="n"/>
      <c r="AT90" s="23" t="n"/>
    </row>
  </sheetData>
  <mergeCells count="13">
    <mergeCell ref="C39:AT42"/>
    <mergeCell ref="C33:AT36"/>
    <mergeCell ref="C25:AT30"/>
    <mergeCell ref="C32:AT32"/>
    <mergeCell ref="C24:AT24"/>
    <mergeCell ref="C38:AT38"/>
    <mergeCell ref="C44:AT44"/>
    <mergeCell ref="C5:AT10"/>
    <mergeCell ref="C13:AT22"/>
    <mergeCell ref="C45:AT52"/>
    <mergeCell ref="C4:AT4"/>
    <mergeCell ref="C12:AT12"/>
    <mergeCell ref="A1:A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7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6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0" customWidth="1" min="23" max="23"/>
    <col width="10" customWidth="1" min="24" max="24"/>
    <col width="10" customWidth="1" min="25" max="25"/>
    <col width="10" customWidth="1" min="26" max="26"/>
    <col width="22" customWidth="1" min="28" max="28"/>
    <col width="16" customWidth="1" min="29" max="29"/>
    <col width="22" customWidth="1" min="53" max="53"/>
    <col width="14" customWidth="1" min="54" max="54"/>
  </cols>
  <sheetData>
    <row r="1" ht="15" customHeight="1">
      <c r="A1" s="78" t="inlineStr">
        <is>
          <t>VERSÃO DO CATÁLOGO</t>
        </is>
      </c>
      <c r="B1" s="79" t="inlineStr">
        <is>
          <t>0.104</t>
        </is>
      </c>
      <c r="C1" s="80" t="inlineStr">
        <is>
          <t>versão corrente (puxada da central)</t>
        </is>
      </c>
      <c r="D1" s="79" t="inlineStr">
        <is>
          <t>0.104</t>
        </is>
      </c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  <c r="AA1" s="23" t="n"/>
      <c r="AB1" s="23" t="n"/>
      <c r="AC1" s="23" t="n"/>
      <c r="AD1" s="23" t="n"/>
    </row>
    <row r="2" ht="15" customHeight="1">
      <c r="A2" s="80" t="inlineStr">
        <is>
          <t>cole aqui o IMPORTRANGE da central em D1 quando ela existir; enquanto não existir, D1 fica igual a B1 e o aviso some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</row>
    <row r="3" ht="15" customHeight="1">
      <c r="A3" s="81" t="inlineStr">
        <is>
          <t>Caminhos</t>
        </is>
      </c>
      <c r="B3" s="81" t="inlineStr">
        <is>
          <t>Perícias</t>
        </is>
      </c>
      <c r="C3" s="81" t="inlineStr">
        <is>
          <t>Ofícios</t>
        </is>
      </c>
      <c r="D3" s="81" t="inlineStr">
        <is>
          <t>Famílias</t>
        </is>
      </c>
      <c r="E3" s="81" t="inlineStr">
        <is>
          <t>Formas</t>
        </is>
      </c>
      <c r="F3" s="81" t="inlineStr">
        <is>
          <t>Melhorias</t>
        </is>
      </c>
      <c r="G3" s="81" t="inlineStr">
        <is>
          <t>Restrições</t>
        </is>
      </c>
      <c r="H3" s="81" t="inlineStr">
        <is>
          <t>Condições</t>
        </is>
      </c>
      <c r="I3" s="81" t="inlineStr">
        <is>
          <t>Origens</t>
        </is>
      </c>
      <c r="J3" s="81" t="inlineStr">
        <is>
          <t>Testes</t>
        </is>
      </c>
      <c r="K3" s="81" t="inlineStr">
        <is>
          <t>Atributos</t>
        </is>
      </c>
      <c r="L3" s="81" t="inlineStr">
        <is>
          <t>Trilhas</t>
        </is>
      </c>
      <c r="M3" s="23" t="n"/>
      <c r="N3" s="81" t="inlineStr">
        <is>
          <t>tabela dos Caminhos</t>
        </is>
      </c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  <c r="AC3" s="23" t="n"/>
      <c r="AD3" s="23" t="n"/>
    </row>
    <row r="4" ht="15" customHeight="1">
      <c r="A4" s="82" t="inlineStr">
        <is>
          <t>Bastião</t>
        </is>
      </c>
      <c r="B4" s="82" t="inlineStr">
        <is>
          <t>Atletismo</t>
        </is>
      </c>
      <c r="C4" s="82" t="inlineStr">
        <is>
          <t>Condução</t>
        </is>
      </c>
      <c r="D4" s="82" t="inlineStr">
        <is>
          <t>Alcance</t>
        </is>
      </c>
      <c r="E4" s="82" t="inlineStr">
        <is>
          <t>Projétil</t>
        </is>
      </c>
      <c r="F4" s="82" t="inlineStr">
        <is>
          <t>Longe</t>
        </is>
      </c>
      <c r="G4" s="82" t="inlineStr">
        <is>
          <t>Corpo a Corpo</t>
        </is>
      </c>
      <c r="H4" s="82" t="inlineStr">
        <is>
          <t>Lento</t>
        </is>
      </c>
      <c r="I4" s="82" t="inlineStr">
        <is>
          <t>Latente</t>
        </is>
      </c>
      <c r="J4" s="82" t="inlineStr">
        <is>
          <t>Físico</t>
        </is>
      </c>
      <c r="K4" s="82" t="inlineStr">
        <is>
          <t>Força</t>
        </is>
      </c>
      <c r="L4" s="82" t="inlineStr">
        <is>
          <t>Muro</t>
        </is>
      </c>
      <c r="M4" s="23" t="n"/>
      <c r="N4" s="69" t="inlineStr">
        <is>
          <t>Caminho</t>
        </is>
      </c>
      <c r="O4" s="69" t="inlineStr">
        <is>
          <t>dado</t>
        </is>
      </c>
      <c r="P4" s="69" t="inlineStr">
        <is>
          <t>vida inicial</t>
        </is>
      </c>
      <c r="Q4" s="69" t="inlineStr">
        <is>
          <t>vida por nível</t>
        </is>
      </c>
      <c r="R4" s="69" t="inlineStr">
        <is>
          <t>PE por nível</t>
        </is>
      </c>
      <c r="S4" s="69" t="inlineStr">
        <is>
          <t>perícia fixa 1</t>
        </is>
      </c>
      <c r="T4" s="69" t="inlineStr">
        <is>
          <t>perícia fixa 2</t>
        </is>
      </c>
      <c r="U4" s="69" t="inlineStr">
        <is>
          <t>ofício fixo</t>
        </is>
      </c>
      <c r="V4" s="23" t="n"/>
      <c r="W4" s="69" t="inlineStr">
        <is>
          <t>marcos</t>
        </is>
      </c>
      <c r="X4" s="69" t="inlineStr">
        <is>
          <t>maestria</t>
        </is>
      </c>
      <c r="Y4" s="69" t="inlineStr">
        <is>
          <t>classe</t>
        </is>
      </c>
      <c r="Z4" s="69" t="inlineStr">
        <is>
          <t>classe 0</t>
        </is>
      </c>
      <c r="AA4" s="23" t="n"/>
      <c r="AB4" s="69" t="inlineStr">
        <is>
          <t>perícia</t>
        </is>
      </c>
      <c r="AC4" s="69" t="inlineStr">
        <is>
          <t>atributo</t>
        </is>
      </c>
      <c r="AD4" s="23" t="n"/>
      <c r="BA4" s="83" t="inlineStr">
        <is>
          <t>campo</t>
        </is>
      </c>
      <c r="BB4" s="83" t="inlineStr">
        <is>
          <t>célula</t>
        </is>
      </c>
    </row>
    <row r="5" ht="15" customHeight="1">
      <c r="A5" s="82" t="inlineStr">
        <is>
          <t>Vanguarda</t>
        </is>
      </c>
      <c r="B5" s="82" t="inlineStr">
        <is>
          <t>Acrobacia</t>
        </is>
      </c>
      <c r="C5" s="82" t="inlineStr">
        <is>
          <t>Arrombamento</t>
        </is>
      </c>
      <c r="D5" s="82" t="inlineStr">
        <is>
          <t>Área</t>
        </is>
      </c>
      <c r="E5" s="82" t="inlineStr">
        <is>
          <t>Toque</t>
        </is>
      </c>
      <c r="F5" s="82" t="inlineStr">
        <is>
          <t>Muito Longe</t>
        </is>
      </c>
      <c r="G5" s="82" t="inlineStr">
        <is>
          <t>Lento</t>
        </is>
      </c>
      <c r="H5" s="82" t="inlineStr">
        <is>
          <t>Incapacitado</t>
        </is>
      </c>
      <c r="I5" s="82" t="inlineStr">
        <is>
          <t>Receptáculo</t>
        </is>
      </c>
      <c r="J5" s="82" t="inlineStr">
        <is>
          <t>Vigor</t>
        </is>
      </c>
      <c r="K5" s="82" t="inlineStr">
        <is>
          <t>Destreza</t>
        </is>
      </c>
      <c r="L5" s="82" t="inlineStr">
        <is>
          <t>Punho</t>
        </is>
      </c>
      <c r="M5" s="23" t="n"/>
      <c r="N5" s="82" t="inlineStr">
        <is>
          <t>Bastião</t>
        </is>
      </c>
      <c r="O5" s="82" t="inlineStr">
        <is>
          <t>d12</t>
        </is>
      </c>
      <c r="P5" s="82" t="n">
        <v>12</v>
      </c>
      <c r="Q5" s="82" t="n">
        <v>7</v>
      </c>
      <c r="R5" s="82" t="n">
        <v>4</v>
      </c>
      <c r="S5" s="82" t="inlineStr">
        <is>
          <t>Atletismo</t>
        </is>
      </c>
      <c r="T5" s="82" t="inlineStr">
        <is>
          <t>Intimidação</t>
        </is>
      </c>
      <c r="U5" s="82" t="inlineStr">
        <is>
          <t>Forja</t>
        </is>
      </c>
      <c r="V5" s="23" t="n"/>
      <c r="W5" s="84" t="n">
        <v>6</v>
      </c>
      <c r="X5" s="84" t="n">
        <v>10</v>
      </c>
      <c r="Y5" s="84" t="n">
        <v>1</v>
      </c>
      <c r="Z5" s="84" t="n">
        <v>5</v>
      </c>
      <c r="AA5" s="23" t="n"/>
      <c r="AB5" s="82" t="inlineStr">
        <is>
          <t>Atletismo</t>
        </is>
      </c>
      <c r="AC5" s="82" t="inlineStr">
        <is>
          <t>Força</t>
        </is>
      </c>
      <c r="AD5" s="23" t="n"/>
      <c r="BA5" s="85" t="inlineStr">
        <is>
          <t>nome</t>
        </is>
      </c>
      <c r="BB5" s="85" t="inlineStr">
        <is>
          <t>D3</t>
        </is>
      </c>
    </row>
    <row r="6" ht="15" customHeight="1">
      <c r="A6" s="82" t="inlineStr">
        <is>
          <t>Guia</t>
        </is>
      </c>
      <c r="B6" s="82" t="inlineStr">
        <is>
          <t>Furtividade</t>
        </is>
      </c>
      <c r="C6" s="82" t="inlineStr">
        <is>
          <t>Herbalismo</t>
        </is>
      </c>
      <c r="D6" s="82" t="inlineStr">
        <is>
          <t>Mira</t>
        </is>
      </c>
      <c r="E6" s="82" t="inlineStr">
        <is>
          <t>Explosão</t>
        </is>
      </c>
      <c r="F6" s="82" t="inlineStr">
        <is>
          <t>Sem Ver</t>
        </is>
      </c>
      <c r="G6" s="82" t="inlineStr">
        <is>
          <t>Parado</t>
        </is>
      </c>
      <c r="H6" s="82" t="inlineStr">
        <is>
          <t>Derrubado</t>
        </is>
      </c>
      <c r="I6" s="82" t="inlineStr">
        <is>
          <t>Descendente</t>
        </is>
      </c>
      <c r="J6" s="82" t="inlineStr">
        <is>
          <t>Intelecto</t>
        </is>
      </c>
      <c r="K6" s="82" t="inlineStr">
        <is>
          <t>Constituição</t>
        </is>
      </c>
      <c r="L6" s="82" t="inlineStr">
        <is>
          <t>Brasa</t>
        </is>
      </c>
      <c r="M6" s="23" t="n"/>
      <c r="N6" s="82" t="inlineStr">
        <is>
          <t>Vanguarda</t>
        </is>
      </c>
      <c r="O6" s="82" t="inlineStr">
        <is>
          <t>d8</t>
        </is>
      </c>
      <c r="P6" s="82" t="n">
        <v>8</v>
      </c>
      <c r="Q6" s="82" t="n">
        <v>5</v>
      </c>
      <c r="R6" s="82" t="n">
        <v>5</v>
      </c>
      <c r="S6" s="82" t="inlineStr">
        <is>
          <t>Acrobacia</t>
        </is>
      </c>
      <c r="T6" s="82" t="inlineStr">
        <is>
          <t>Percepção</t>
        </is>
      </c>
      <c r="U6" s="82" t="inlineStr">
        <is>
          <t>Arrombamento</t>
        </is>
      </c>
      <c r="V6" s="23" t="n"/>
      <c r="W6" s="84" t="n">
        <v>10</v>
      </c>
      <c r="X6" s="84" t="n">
        <v>18</v>
      </c>
      <c r="Y6" s="84" t="n">
        <v>5</v>
      </c>
      <c r="Z6" s="84" t="n">
        <v>11</v>
      </c>
      <c r="AA6" s="23" t="n"/>
      <c r="AB6" s="82" t="inlineStr">
        <is>
          <t>Acrobacia</t>
        </is>
      </c>
      <c r="AC6" s="82" t="inlineStr">
        <is>
          <t>Destreza</t>
        </is>
      </c>
      <c r="AD6" s="23" t="n"/>
      <c r="BA6" s="85" t="inlineStr">
        <is>
          <t>caminho</t>
        </is>
      </c>
      <c r="BB6" s="85" t="inlineStr">
        <is>
          <t>D11</t>
        </is>
      </c>
    </row>
    <row r="7" ht="15" customHeight="1">
      <c r="A7" s="82" t="inlineStr">
        <is>
          <t>Emanador</t>
        </is>
      </c>
      <c r="B7" s="82" t="inlineStr">
        <is>
          <t>Pontaria</t>
        </is>
      </c>
      <c r="C7" s="82" t="inlineStr">
        <is>
          <t>Forja</t>
        </is>
      </c>
      <c r="D7" s="82" t="inlineStr">
        <is>
          <t>Controle</t>
        </is>
      </c>
      <c r="E7" s="82" t="inlineStr">
        <is>
          <t>Aura</t>
        </is>
      </c>
      <c r="F7" s="82" t="inlineStr">
        <is>
          <t>Passo</t>
        </is>
      </c>
      <c r="G7" s="82" t="inlineStr">
        <is>
          <t>Gesto</t>
        </is>
      </c>
      <c r="H7" s="82" t="inlineStr">
        <is>
          <t>Agarrado</t>
        </is>
      </c>
      <c r="I7" s="82" t="inlineStr">
        <is>
          <t>Reencarnado</t>
        </is>
      </c>
      <c r="J7" s="82" t="inlineStr">
        <is>
          <t>Espírito</t>
        </is>
      </c>
      <c r="K7" s="82" t="inlineStr">
        <is>
          <t>Inteligência</t>
        </is>
      </c>
      <c r="L7" s="82" t="inlineStr">
        <is>
          <t>Estocada</t>
        </is>
      </c>
      <c r="M7" s="23" t="n"/>
      <c r="N7" s="82" t="inlineStr">
        <is>
          <t>Guia</t>
        </is>
      </c>
      <c r="O7" s="82" t="inlineStr">
        <is>
          <t>d8</t>
        </is>
      </c>
      <c r="P7" s="82" t="n">
        <v>8</v>
      </c>
      <c r="Q7" s="82" t="n">
        <v>5</v>
      </c>
      <c r="R7" s="82" t="n">
        <v>5</v>
      </c>
      <c r="S7" s="82" t="inlineStr">
        <is>
          <t>Persuasão</t>
        </is>
      </c>
      <c r="T7" s="82" t="inlineStr">
        <is>
          <t>Medicina</t>
        </is>
      </c>
      <c r="U7" s="82" t="inlineStr">
        <is>
          <t>Herbalismo</t>
        </is>
      </c>
      <c r="V7" s="23" t="n"/>
      <c r="W7" s="84" t="n">
        <v>14</v>
      </c>
      <c r="X7" s="84" t="n">
        <v>26</v>
      </c>
      <c r="Y7" s="84" t="n">
        <v>9</v>
      </c>
      <c r="Z7" s="84" t="n">
        <v>17</v>
      </c>
      <c r="AA7" s="23" t="n"/>
      <c r="AB7" s="82" t="inlineStr">
        <is>
          <t>Furtividade</t>
        </is>
      </c>
      <c r="AC7" s="82" t="inlineStr">
        <is>
          <t>Destreza</t>
        </is>
      </c>
      <c r="AD7" s="23" t="n"/>
      <c r="BA7" s="85" t="inlineStr">
        <is>
          <t>trilha</t>
        </is>
      </c>
      <c r="BB7" s="85" t="inlineStr">
        <is>
          <t>N11</t>
        </is>
      </c>
    </row>
    <row r="8" ht="15" customHeight="1">
      <c r="A8" s="23" t="n"/>
      <c r="B8" s="82" t="inlineStr">
        <is>
          <t>Prestidigitação</t>
        </is>
      </c>
      <c r="C8" s="82" t="inlineStr">
        <is>
          <t>Caligrafia</t>
        </is>
      </c>
      <c r="D8" s="82" t="inlineStr">
        <is>
          <t>Auxiliares</t>
        </is>
      </c>
      <c r="E8" s="82" t="inlineStr">
        <is>
          <t>Cone</t>
        </is>
      </c>
      <c r="F8" s="82" t="inlineStr">
        <is>
          <t>Empurrão</t>
        </is>
      </c>
      <c r="G8" s="82" t="inlineStr">
        <is>
          <t>Sangra</t>
        </is>
      </c>
      <c r="H8" s="82" t="inlineStr">
        <is>
          <t>Desarmado</t>
        </is>
      </c>
      <c r="I8" s="82" t="inlineStr">
        <is>
          <t>Feto</t>
        </is>
      </c>
      <c r="J8" s="23" t="n"/>
      <c r="K8" s="82" t="inlineStr">
        <is>
          <t>Essência</t>
        </is>
      </c>
      <c r="L8" s="82" t="inlineStr">
        <is>
          <t>Batedor</t>
        </is>
      </c>
      <c r="M8" s="23" t="n"/>
      <c r="N8" s="82" t="inlineStr">
        <is>
          <t>Evocador</t>
        </is>
      </c>
      <c r="O8" s="82" t="inlineStr">
        <is>
          <t>d6</t>
        </is>
      </c>
      <c r="P8" s="82" t="n">
        <v>6</v>
      </c>
      <c r="Q8" s="82" t="n">
        <v>4</v>
      </c>
      <c r="R8" s="82" t="n">
        <v>6</v>
      </c>
      <c r="S8" s="82" t="inlineStr">
        <is>
          <t>Religião</t>
        </is>
      </c>
      <c r="T8" s="82" t="inlineStr">
        <is>
          <t>Lidar com Animais</t>
        </is>
      </c>
      <c r="U8" s="82" t="inlineStr">
        <is>
          <t>Entalhador</t>
        </is>
      </c>
      <c r="V8" s="23" t="n"/>
      <c r="W8" s="84" t="n">
        <v>18</v>
      </c>
      <c r="X8" s="23" t="n"/>
      <c r="Y8" s="84" t="n">
        <v>13</v>
      </c>
      <c r="Z8" s="23" t="n"/>
      <c r="AA8" s="23" t="n"/>
      <c r="AB8" s="82" t="inlineStr">
        <is>
          <t>Pontaria</t>
        </is>
      </c>
      <c r="AC8" s="82" t="inlineStr">
        <is>
          <t>Destreza</t>
        </is>
      </c>
      <c r="AD8" s="23" t="n"/>
      <c r="BA8" s="85" t="inlineStr">
        <is>
          <t>origem</t>
        </is>
      </c>
      <c r="BB8" s="85" t="inlineStr">
        <is>
          <t>X11</t>
        </is>
      </c>
    </row>
    <row r="9" ht="15" customHeight="1">
      <c r="A9" s="23" t="n"/>
      <c r="B9" s="82" t="inlineStr">
        <is>
          <t>Investigação</t>
        </is>
      </c>
      <c r="C9" s="82" t="inlineStr">
        <is>
          <t>Burocracia</t>
        </is>
      </c>
      <c r="D9" s="82" t="inlineStr">
        <is>
          <t>Castigo</t>
        </is>
      </c>
      <c r="E9" s="82" t="inlineStr">
        <is>
          <t>Linha</t>
        </is>
      </c>
      <c r="F9" s="82" t="inlineStr">
        <is>
          <t>Troca</t>
        </is>
      </c>
      <c r="G9" s="82" t="inlineStr">
        <is>
          <t>Recuo</t>
        </is>
      </c>
      <c r="H9" s="82" t="inlineStr">
        <is>
          <t>Surdo</t>
        </is>
      </c>
      <c r="I9" s="82" t="inlineStr">
        <is>
          <t>Corpo Amaldiçoado</t>
        </is>
      </c>
      <c r="J9" s="23" t="n"/>
      <c r="K9" s="23" t="n"/>
      <c r="L9" s="82" t="inlineStr">
        <is>
          <t>Executor</t>
        </is>
      </c>
      <c r="M9" s="23" t="n"/>
      <c r="N9" s="82" t="inlineStr">
        <is>
          <t>Emanador</t>
        </is>
      </c>
      <c r="O9" s="82" t="inlineStr">
        <is>
          <t>d6</t>
        </is>
      </c>
      <c r="P9" s="82" t="n">
        <v>6</v>
      </c>
      <c r="Q9" s="82" t="n">
        <v>4</v>
      </c>
      <c r="R9" s="82" t="n">
        <v>6</v>
      </c>
      <c r="S9" s="82" t="inlineStr">
        <is>
          <t>Ocultismo</t>
        </is>
      </c>
      <c r="T9" s="82" t="inlineStr">
        <is>
          <t>Investigação</t>
        </is>
      </c>
      <c r="U9" s="82" t="inlineStr">
        <is>
          <t>Caligrafia</t>
        </is>
      </c>
      <c r="V9" s="23" t="n"/>
      <c r="W9" s="84" t="n">
        <v>22</v>
      </c>
      <c r="X9" s="23" t="n"/>
      <c r="Y9" s="84" t="n">
        <v>17</v>
      </c>
      <c r="Z9" s="23" t="n"/>
      <c r="AA9" s="23" t="n"/>
      <c r="AB9" s="82" t="inlineStr">
        <is>
          <t>Prestidigitação</t>
        </is>
      </c>
      <c r="AC9" s="82" t="inlineStr">
        <is>
          <t>Destreza</t>
        </is>
      </c>
      <c r="AD9" s="23" t="n"/>
      <c r="BA9" s="85" t="inlineStr">
        <is>
          <t>nivel</t>
        </is>
      </c>
      <c r="BB9" s="85" t="inlineStr">
        <is>
          <t>AH11</t>
        </is>
      </c>
    </row>
    <row r="10" ht="15" customHeight="1">
      <c r="A10" s="23" t="n"/>
      <c r="B10" s="82" t="inlineStr">
        <is>
          <t>Intuição</t>
        </is>
      </c>
      <c r="C10" s="82" t="inlineStr">
        <is>
          <t>Entalhador</t>
        </is>
      </c>
      <c r="D10" s="82" t="inlineStr">
        <is>
          <t>Tempo</t>
        </is>
      </c>
      <c r="E10" s="82" t="inlineStr">
        <is>
          <t>Cura</t>
        </is>
      </c>
      <c r="F10" s="82" t="inlineStr">
        <is>
          <t>Perseguir</t>
        </is>
      </c>
      <c r="G10" s="82" t="inlineStr">
        <is>
          <t>Carregar</t>
        </is>
      </c>
      <c r="H10" s="82" t="inlineStr">
        <is>
          <t>Calado</t>
        </is>
      </c>
      <c r="I10" s="82" t="inlineStr">
        <is>
          <t>Restrição Celestial</t>
        </is>
      </c>
      <c r="J10" s="23" t="n"/>
      <c r="K10" s="23" t="n"/>
      <c r="L10" s="82" t="inlineStr">
        <is>
          <t>Elo</t>
        </is>
      </c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84" t="n">
        <v>26</v>
      </c>
      <c r="X10" s="23" t="n"/>
      <c r="Y10" s="84" t="n">
        <v>21</v>
      </c>
      <c r="Z10" s="23" t="n"/>
      <c r="AA10" s="23" t="n"/>
      <c r="AB10" s="82" t="inlineStr">
        <is>
          <t>Investigação</t>
        </is>
      </c>
      <c r="AC10" s="82" t="inlineStr">
        <is>
          <t>Inteligência</t>
        </is>
      </c>
      <c r="AD10" s="23" t="n"/>
      <c r="BA10" s="85" t="inlineStr">
        <is>
          <t>xp</t>
        </is>
      </c>
      <c r="BB10" s="85" t="inlineStr">
        <is>
          <t>AN11</t>
        </is>
      </c>
    </row>
    <row r="11" ht="15" customHeight="1">
      <c r="A11" s="23" t="n"/>
      <c r="B11" s="82" t="inlineStr">
        <is>
          <t>Ocultismo</t>
        </is>
      </c>
      <c r="C11" s="82" t="inlineStr">
        <is>
          <t>Alfaiate</t>
        </is>
      </c>
      <c r="D11" s="82" t="inlineStr">
        <is>
          <t>Marca</t>
        </is>
      </c>
      <c r="E11" s="82" t="inlineStr">
        <is>
          <t>Apoio</t>
        </is>
      </c>
      <c r="F11" s="82" t="inlineStr">
        <is>
          <t>Maior</t>
        </is>
      </c>
      <c r="G11" s="82" t="inlineStr">
        <is>
          <t>Tudo ou Nada</t>
        </is>
      </c>
      <c r="H11" s="82" t="inlineStr">
        <is>
          <t>Enfeitiçado</t>
        </is>
      </c>
      <c r="I11" s="23" t="n"/>
      <c r="J11" s="23" t="n"/>
      <c r="K11" s="23" t="n"/>
      <c r="L11" s="82" t="inlineStr">
        <is>
          <t>Sutura</t>
        </is>
      </c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84" t="n">
        <v>30</v>
      </c>
      <c r="X11" s="23" t="n"/>
      <c r="Y11" s="84" t="n">
        <v>26</v>
      </c>
      <c r="Z11" s="23" t="n"/>
      <c r="AA11" s="23" t="n"/>
      <c r="AB11" s="82" t="inlineStr">
        <is>
          <t>Intuição</t>
        </is>
      </c>
      <c r="AC11" s="82" t="inlineStr">
        <is>
          <t>Inteligência</t>
        </is>
      </c>
      <c r="AD11" s="23" t="n"/>
      <c r="BA11" s="85" t="inlineStr">
        <is>
          <t>atr_Força</t>
        </is>
      </c>
      <c r="BB11" s="85" t="inlineStr">
        <is>
          <t>D17</t>
        </is>
      </c>
    </row>
    <row r="12" ht="15" customHeight="1">
      <c r="A12" s="23" t="n"/>
      <c r="B12" s="82" t="inlineStr">
        <is>
          <t>Religião</t>
        </is>
      </c>
      <c r="C12" s="82" t="inlineStr">
        <is>
          <t>Culinária</t>
        </is>
      </c>
      <c r="D12" s="82" t="inlineStr">
        <is>
          <t>Amparo</t>
        </is>
      </c>
      <c r="E12" s="82" t="inlineStr">
        <is>
          <t>Onda</t>
        </is>
      </c>
      <c r="F12" s="82" t="inlineStr">
        <is>
          <t>Muito Maior</t>
        </is>
      </c>
      <c r="G12" s="82" t="inlineStr">
        <is>
          <t>Uma Vez</t>
        </is>
      </c>
      <c r="H12" s="82" t="inlineStr">
        <is>
          <t>Petrificado</t>
        </is>
      </c>
      <c r="I12" s="23" t="n"/>
      <c r="J12" s="23" t="n"/>
      <c r="K12" s="23" t="n"/>
      <c r="L12" s="82" t="inlineStr">
        <is>
          <t>Perímetro</t>
        </is>
      </c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  <c r="AA12" s="23" t="n"/>
      <c r="AB12" s="82" t="inlineStr">
        <is>
          <t>Ocultismo</t>
        </is>
      </c>
      <c r="AC12" s="82" t="inlineStr">
        <is>
          <t>Inteligência</t>
        </is>
      </c>
      <c r="AD12" s="23" t="n"/>
      <c r="BA12" s="85" t="inlineStr">
        <is>
          <t>atr_Destreza</t>
        </is>
      </c>
      <c r="BB12" s="85" t="inlineStr">
        <is>
          <t>L17</t>
        </is>
      </c>
    </row>
    <row r="13" ht="15" customHeight="1">
      <c r="A13" s="23" t="n"/>
      <c r="B13" s="82" t="inlineStr">
        <is>
          <t>História</t>
        </is>
      </c>
      <c r="C13" s="82" t="inlineStr">
        <is>
          <t>Instrumento</t>
        </is>
      </c>
      <c r="D13" s="23" t="n"/>
      <c r="E13" s="82" t="inlineStr">
        <is>
          <t>Efeito</t>
        </is>
      </c>
      <c r="F13" s="82" t="inlineStr">
        <is>
          <t>Escolher</t>
        </is>
      </c>
      <c r="G13" s="82" t="inlineStr">
        <is>
          <t>Condicional</t>
        </is>
      </c>
      <c r="H13" s="82" t="inlineStr">
        <is>
          <t>Impedido</t>
        </is>
      </c>
      <c r="I13" s="23" t="n"/>
      <c r="J13" s="23" t="n"/>
      <c r="K13" s="23" t="n"/>
      <c r="L13" s="82" t="inlineStr">
        <is>
          <t>Torrente</t>
        </is>
      </c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82" t="inlineStr">
        <is>
          <t>Religião</t>
        </is>
      </c>
      <c r="AC13" s="82" t="inlineStr">
        <is>
          <t>Inteligência</t>
        </is>
      </c>
      <c r="AD13" s="23" t="n"/>
      <c r="BA13" s="85" t="inlineStr">
        <is>
          <t>atr_Constituição</t>
        </is>
      </c>
      <c r="BB13" s="85" t="inlineStr">
        <is>
          <t>T17</t>
        </is>
      </c>
    </row>
    <row r="14" ht="15" customHeight="1">
      <c r="A14" s="23" t="n"/>
      <c r="B14" s="82" t="inlineStr">
        <is>
          <t>Hierarquia</t>
        </is>
      </c>
      <c r="C14" s="82" t="inlineStr">
        <is>
          <t>Jogatina</t>
        </is>
      </c>
      <c r="D14" s="23" t="n"/>
      <c r="E14" s="23" t="n"/>
      <c r="F14" s="82" t="inlineStr">
        <is>
          <t>Fica</t>
        </is>
      </c>
      <c r="G14" s="82" t="inlineStr">
        <is>
          <t>Fraqueza</t>
        </is>
      </c>
      <c r="H14" s="82" t="inlineStr">
        <is>
          <t>Cego</t>
        </is>
      </c>
      <c r="I14" s="23" t="n"/>
      <c r="J14" s="23" t="n"/>
      <c r="K14" s="23" t="n"/>
      <c r="L14" s="82" t="inlineStr">
        <is>
          <t>Explosivo</t>
        </is>
      </c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82" t="inlineStr">
        <is>
          <t>História</t>
        </is>
      </c>
      <c r="AC14" s="82" t="inlineStr">
        <is>
          <t>Inteligência</t>
        </is>
      </c>
      <c r="AD14" s="23" t="n"/>
      <c r="BA14" s="85" t="inlineStr">
        <is>
          <t>atr_Inteligência</t>
        </is>
      </c>
      <c r="BB14" s="85" t="inlineStr">
        <is>
          <t>AB17</t>
        </is>
      </c>
    </row>
    <row r="15" ht="15" customHeight="1">
      <c r="A15" s="23" t="n"/>
      <c r="B15" s="82" t="inlineStr">
        <is>
          <t>Medicina</t>
        </is>
      </c>
      <c r="C15" s="23" t="n"/>
      <c r="D15" s="23" t="n"/>
      <c r="E15" s="23" t="n"/>
      <c r="F15" s="82" t="inlineStr">
        <is>
          <t>Mais Um</t>
        </is>
      </c>
      <c r="G15" s="82" t="inlineStr">
        <is>
          <t>Frágil</t>
        </is>
      </c>
      <c r="H15" s="82" t="inlineStr">
        <is>
          <t>Amedrontado</t>
        </is>
      </c>
      <c r="I15" s="23" t="n"/>
      <c r="J15" s="23" t="n"/>
      <c r="K15" s="23" t="n"/>
      <c r="L15" s="82" t="inlineStr">
        <is>
          <t>Arremate</t>
        </is>
      </c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82" t="inlineStr">
        <is>
          <t>Hierarquia</t>
        </is>
      </c>
      <c r="AC15" s="82" t="inlineStr">
        <is>
          <t>Inteligência</t>
        </is>
      </c>
      <c r="AD15" s="23" t="n"/>
      <c r="BA15" s="85" t="inlineStr">
        <is>
          <t>atr_Essência</t>
        </is>
      </c>
      <c r="BB15" s="85" t="inlineStr">
        <is>
          <t>AJ17</t>
        </is>
      </c>
    </row>
    <row r="16" ht="15" customHeight="1">
      <c r="A16" s="23" t="n"/>
      <c r="B16" s="82" t="inlineStr">
        <is>
          <t>Sobrevivência</t>
        </is>
      </c>
      <c r="C16" s="23" t="n"/>
      <c r="D16" s="23" t="n"/>
      <c r="E16" s="23" t="n"/>
      <c r="F16" s="82" t="inlineStr">
        <is>
          <t>Rajada</t>
        </is>
      </c>
      <c r="G16" s="82" t="inlineStr">
        <is>
          <t>Barulho</t>
        </is>
      </c>
      <c r="H16" s="82" t="inlineStr">
        <is>
          <t>Envenenado</t>
        </is>
      </c>
      <c r="I16" s="23" t="n"/>
      <c r="J16" s="23" t="n"/>
      <c r="K16" s="23" t="n"/>
      <c r="L16" s="82" t="inlineStr">
        <is>
          <t>Servo</t>
        </is>
      </c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82" t="inlineStr">
        <is>
          <t>Medicina</t>
        </is>
      </c>
      <c r="AC16" s="82" t="inlineStr">
        <is>
          <t>Inteligência</t>
        </is>
      </c>
      <c r="AD16" s="23" t="n"/>
      <c r="BA16" s="85" t="inlineStr">
        <is>
          <t>vida</t>
        </is>
      </c>
      <c r="BB16" s="85" t="inlineStr">
        <is>
          <t>D23</t>
        </is>
      </c>
    </row>
    <row r="17" ht="15" customHeight="1">
      <c r="A17" s="23" t="n"/>
      <c r="B17" s="82" t="inlineStr">
        <is>
          <t>Natureza</t>
        </is>
      </c>
      <c r="C17" s="23" t="n"/>
      <c r="D17" s="23" t="n"/>
      <c r="E17" s="23" t="n"/>
      <c r="F17" s="82" t="inlineStr">
        <is>
          <t>Salto</t>
        </is>
      </c>
      <c r="G17" s="82" t="inlineStr">
        <is>
          <t>Assinatura</t>
        </is>
      </c>
      <c r="H17" s="82" t="inlineStr">
        <is>
          <t>Atordoado</t>
        </is>
      </c>
      <c r="I17" s="23" t="n"/>
      <c r="J17" s="23" t="n"/>
      <c r="K17" s="23" t="n"/>
      <c r="L17" s="82" t="inlineStr">
        <is>
          <t>Matilha</t>
        </is>
      </c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82" t="inlineStr">
        <is>
          <t>Sobrevivência</t>
        </is>
      </c>
      <c r="AC17" s="82" t="inlineStr">
        <is>
          <t>Inteligência</t>
        </is>
      </c>
      <c r="AD17" s="23" t="n"/>
      <c r="BA17" s="85" t="inlineStr">
        <is>
          <t>vida_max</t>
        </is>
      </c>
      <c r="BB17" s="85" t="inlineStr">
        <is>
          <t>J23</t>
        </is>
      </c>
    </row>
    <row r="18" ht="15" customHeight="1">
      <c r="A18" s="23" t="n"/>
      <c r="B18" s="82" t="inlineStr">
        <is>
          <t>Lidar com Animais</t>
        </is>
      </c>
      <c r="C18" s="23" t="n"/>
      <c r="D18" s="23" t="n"/>
      <c r="E18" s="23" t="n"/>
      <c r="F18" s="82" t="inlineStr">
        <is>
          <t>Contorno</t>
        </is>
      </c>
      <c r="G18" s="82" t="inlineStr">
        <is>
          <t>Aquecer</t>
        </is>
      </c>
      <c r="H18" s="23" t="n"/>
      <c r="I18" s="23" t="n"/>
      <c r="J18" s="23" t="n"/>
      <c r="K18" s="23" t="n"/>
      <c r="L18" s="82" t="inlineStr">
        <is>
          <t>Coro</t>
        </is>
      </c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82" t="inlineStr">
        <is>
          <t>Natureza</t>
        </is>
      </c>
      <c r="AC18" s="82" t="inlineStr">
        <is>
          <t>Inteligência</t>
        </is>
      </c>
      <c r="AD18" s="23" t="n"/>
      <c r="BA18" s="85" t="inlineStr">
        <is>
          <t>vida_temp</t>
        </is>
      </c>
      <c r="BB18" s="85" t="inlineStr">
        <is>
          <t>AF23</t>
        </is>
      </c>
    </row>
    <row r="19" ht="15" customHeight="1">
      <c r="A19" s="23" t="n"/>
      <c r="B19" s="82" t="inlineStr">
        <is>
          <t>Tecnologia</t>
        </is>
      </c>
      <c r="C19" s="23" t="n"/>
      <c r="D19" s="23" t="n"/>
      <c r="E19" s="23" t="n"/>
      <c r="F19" s="82" t="inlineStr">
        <is>
          <t>Precisão</t>
        </is>
      </c>
      <c r="G19" s="82" t="inlineStr">
        <is>
          <t>Dívida</t>
        </is>
      </c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82" t="inlineStr">
        <is>
          <t>Lidar com Animais</t>
        </is>
      </c>
      <c r="AC19" s="82" t="inlineStr">
        <is>
          <t>Inteligência</t>
        </is>
      </c>
      <c r="AD19" s="23" t="n"/>
      <c r="BA19" s="85" t="inlineStr">
        <is>
          <t>vida_delta</t>
        </is>
      </c>
      <c r="BB19" s="85" t="inlineStr">
        <is>
          <t>AM23</t>
        </is>
      </c>
    </row>
    <row r="20" ht="15" customHeight="1">
      <c r="A20" s="23" t="n"/>
      <c r="B20" s="82" t="inlineStr">
        <is>
          <t>Sentir Energia</t>
        </is>
      </c>
      <c r="C20" s="23" t="n"/>
      <c r="D20" s="23" t="n"/>
      <c r="E20" s="23" t="n"/>
      <c r="F20" s="82" t="inlineStr">
        <is>
          <t>Certeiro</t>
        </is>
      </c>
      <c r="G20" s="82" t="inlineStr">
        <is>
          <t>Peso Morto</t>
        </is>
      </c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  <c r="AB20" s="82" t="inlineStr">
        <is>
          <t>Tecnologia</t>
        </is>
      </c>
      <c r="AC20" s="82" t="inlineStr">
        <is>
          <t>Inteligência</t>
        </is>
      </c>
      <c r="AD20" s="23" t="n"/>
      <c r="BA20" s="85" t="inlineStr">
        <is>
          <t>energia</t>
        </is>
      </c>
      <c r="BB20" s="85" t="inlineStr">
        <is>
          <t>D27</t>
        </is>
      </c>
    </row>
    <row r="21" ht="15" customHeight="1">
      <c r="A21" s="23" t="n"/>
      <c r="B21" s="82" t="inlineStr">
        <is>
          <t>Percepção</t>
        </is>
      </c>
      <c r="C21" s="23" t="n"/>
      <c r="D21" s="23" t="n"/>
      <c r="E21" s="23" t="n"/>
      <c r="F21" s="82" t="inlineStr">
        <is>
          <t>Inescapável</t>
        </is>
      </c>
      <c r="G21" s="82" t="inlineStr">
        <is>
          <t>Sem Volta</t>
        </is>
      </c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82" t="inlineStr">
        <is>
          <t>Sentir Energia</t>
        </is>
      </c>
      <c r="AC21" s="82" t="inlineStr">
        <is>
          <t>Essência</t>
        </is>
      </c>
      <c r="AD21" s="23" t="n"/>
      <c r="BA21" s="85" t="inlineStr">
        <is>
          <t>energia_max</t>
        </is>
      </c>
      <c r="BB21" s="85" t="inlineStr">
        <is>
          <t>J27</t>
        </is>
      </c>
    </row>
    <row r="22" ht="15" customHeight="1">
      <c r="A22" s="23" t="n"/>
      <c r="B22" s="82" t="inlineStr">
        <is>
          <t>Persuasão</t>
        </is>
      </c>
      <c r="C22" s="23" t="n"/>
      <c r="D22" s="23" t="n"/>
      <c r="E22" s="23" t="n"/>
      <c r="F22" s="82" t="inlineStr">
        <is>
          <t>Fura</t>
        </is>
      </c>
      <c r="G22" s="82" t="inlineStr">
        <is>
          <t>Restrição Própria</t>
        </is>
      </c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  <c r="AA22" s="23" t="n"/>
      <c r="AB22" s="82" t="inlineStr">
        <is>
          <t>Percepção</t>
        </is>
      </c>
      <c r="AC22" s="82" t="inlineStr">
        <is>
          <t>Essência</t>
        </is>
      </c>
      <c r="AD22" s="23" t="n"/>
      <c r="BA22" s="85" t="inlineStr">
        <is>
          <t>energia_temp</t>
        </is>
      </c>
      <c r="BB22" s="85" t="inlineStr">
        <is>
          <t>AF27</t>
        </is>
      </c>
    </row>
    <row r="23" ht="15" customHeight="1">
      <c r="A23" s="23" t="n"/>
      <c r="B23" s="82" t="inlineStr">
        <is>
          <t>Enganação</t>
        </is>
      </c>
      <c r="C23" s="23" t="n"/>
      <c r="D23" s="23" t="n"/>
      <c r="E23" s="23" t="n"/>
      <c r="F23" s="82" t="inlineStr">
        <is>
          <t>Corrói</t>
        </is>
      </c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82" t="inlineStr">
        <is>
          <t>Persuasão</t>
        </is>
      </c>
      <c r="AC23" s="82" t="inlineStr">
        <is>
          <t>Essência</t>
        </is>
      </c>
      <c r="AD23" s="23" t="n"/>
      <c r="BA23" s="85" t="inlineStr">
        <is>
          <t>energia_delta</t>
        </is>
      </c>
      <c r="BB23" s="85" t="inlineStr">
        <is>
          <t>AM27</t>
        </is>
      </c>
    </row>
    <row r="24" ht="15" customHeight="1">
      <c r="A24" s="23" t="n"/>
      <c r="B24" s="82" t="inlineStr">
        <is>
          <t>Intimidação</t>
        </is>
      </c>
      <c r="C24" s="23" t="n"/>
      <c r="D24" s="23" t="n"/>
      <c r="E24" s="23" t="n"/>
      <c r="F24" s="82" t="inlineStr">
        <is>
          <t>Sem Cobertura</t>
        </is>
      </c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82" t="inlineStr">
        <is>
          <t>Enganação</t>
        </is>
      </c>
      <c r="AC24" s="82" t="inlineStr">
        <is>
          <t>Essência</t>
        </is>
      </c>
      <c r="AD24" s="23" t="n"/>
      <c r="BA24" s="85" t="inlineStr">
        <is>
          <t>integridade</t>
        </is>
      </c>
      <c r="BB24" s="85" t="inlineStr">
        <is>
          <t>D31</t>
        </is>
      </c>
    </row>
    <row r="25" ht="15" customHeight="1">
      <c r="A25" s="23" t="n"/>
      <c r="B25" s="82" t="inlineStr">
        <is>
          <t>Atuação</t>
        </is>
      </c>
      <c r="C25" s="23" t="n"/>
      <c r="D25" s="23" t="n"/>
      <c r="E25" s="23" t="n"/>
      <c r="F25" s="82" t="inlineStr">
        <is>
          <t>De Novo</t>
        </is>
      </c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82" t="inlineStr">
        <is>
          <t>Intimidação</t>
        </is>
      </c>
      <c r="AC25" s="82" t="inlineStr">
        <is>
          <t>Essência</t>
        </is>
      </c>
      <c r="AD25" s="23" t="n"/>
      <c r="BA25" s="85" t="inlineStr">
        <is>
          <t>integridade_max</t>
        </is>
      </c>
      <c r="BB25" s="85" t="inlineStr">
        <is>
          <t>J31</t>
        </is>
      </c>
    </row>
    <row r="26" ht="15" customHeight="1">
      <c r="A26" s="23" t="n"/>
      <c r="B26" s="82" t="inlineStr">
        <is>
          <t>Provocar</t>
        </is>
      </c>
      <c r="C26" s="23" t="n"/>
      <c r="D26" s="23" t="n"/>
      <c r="E26" s="23" t="n"/>
      <c r="F26" s="82" t="inlineStr">
        <is>
          <t>Toca a Alma</t>
        </is>
      </c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82" t="inlineStr">
        <is>
          <t>Atuação</t>
        </is>
      </c>
      <c r="AC26" s="82" t="inlineStr">
        <is>
          <t>Essência</t>
        </is>
      </c>
      <c r="AD26" s="23" t="n"/>
      <c r="BA26" s="85" t="inlineStr">
        <is>
          <t>integridade_temp</t>
        </is>
      </c>
      <c r="BB26" s="85" t="inlineStr">
        <is>
          <t>AF31</t>
        </is>
      </c>
    </row>
    <row r="27" ht="15" customHeight="1">
      <c r="A27" s="23" t="n"/>
      <c r="B27" s="23" t="n"/>
      <c r="C27" s="23" t="n"/>
      <c r="D27" s="23" t="n"/>
      <c r="E27" s="23" t="n"/>
      <c r="F27" s="82" t="inlineStr">
        <is>
          <t>Terreno</t>
        </is>
      </c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82" t="inlineStr">
        <is>
          <t>Provocar</t>
        </is>
      </c>
      <c r="AC27" s="82" t="inlineStr">
        <is>
          <t>Essência</t>
        </is>
      </c>
      <c r="AD27" s="23" t="n"/>
      <c r="BA27" s="85" t="inlineStr">
        <is>
          <t>integridade_delta</t>
        </is>
      </c>
      <c r="BB27" s="85" t="inlineStr">
        <is>
          <t>AM31</t>
        </is>
      </c>
    </row>
    <row r="28" ht="15" customHeight="1">
      <c r="A28" s="23" t="n"/>
      <c r="B28" s="23" t="n"/>
      <c r="C28" s="23" t="n"/>
      <c r="D28" s="23" t="n"/>
      <c r="E28" s="23" t="n"/>
      <c r="F28" s="82" t="inlineStr">
        <is>
          <t>Anteparo</t>
        </is>
      </c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BA28" s="85" t="inlineStr">
        <is>
          <t>estagio_alma</t>
        </is>
      </c>
      <c r="BB28" s="85" t="inlineStr">
        <is>
          <t>D34</t>
        </is>
      </c>
    </row>
    <row r="29" ht="15" customHeight="1">
      <c r="A29" s="23" t="n"/>
      <c r="B29" s="23" t="n"/>
      <c r="C29" s="23" t="n"/>
      <c r="D29" s="23" t="n"/>
      <c r="E29" s="23" t="n"/>
      <c r="F29" s="82" t="inlineStr">
        <is>
          <t>Prende</t>
        </is>
      </c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BA29" s="85" t="inlineStr">
        <is>
          <t>defesa</t>
        </is>
      </c>
      <c r="BB29" s="85" t="inlineStr">
        <is>
          <t>D40</t>
        </is>
      </c>
    </row>
    <row r="30" ht="15" customHeight="1">
      <c r="A30" s="23" t="n"/>
      <c r="B30" s="23" t="n"/>
      <c r="C30" s="23" t="n"/>
      <c r="D30" s="23" t="n"/>
      <c r="E30" s="23" t="n"/>
      <c r="F30" s="82" t="inlineStr">
        <is>
          <t>Cerca</t>
        </is>
      </c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BA30" s="85" t="inlineStr">
        <is>
          <t>proteção</t>
        </is>
      </c>
      <c r="BB30" s="85" t="inlineStr">
        <is>
          <t>O40</t>
        </is>
      </c>
    </row>
    <row r="31" ht="15" customHeight="1">
      <c r="A31" s="23" t="n"/>
      <c r="B31" s="23" t="n"/>
      <c r="C31" s="23" t="n"/>
      <c r="D31" s="23" t="n"/>
      <c r="E31" s="23" t="n"/>
      <c r="F31" s="82" t="inlineStr">
        <is>
          <t>Puxa</t>
        </is>
      </c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BA31" s="85" t="inlineStr">
        <is>
          <t>equipamento</t>
        </is>
      </c>
      <c r="BB31" s="85" t="inlineStr">
        <is>
          <t>Z40</t>
        </is>
      </c>
    </row>
    <row r="32" ht="15" customHeight="1">
      <c r="A32" s="23" t="n"/>
      <c r="B32" s="23" t="n"/>
      <c r="C32" s="23" t="n"/>
      <c r="D32" s="23" t="n"/>
      <c r="E32" s="23" t="n"/>
      <c r="F32" s="82" t="inlineStr">
        <is>
          <t>Desarma o Feitiço</t>
        </is>
      </c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BA32" s="85" t="inlineStr">
        <is>
          <t>iniciativa</t>
        </is>
      </c>
      <c r="BB32" s="85" t="inlineStr">
        <is>
          <t>AK40</t>
        </is>
      </c>
    </row>
    <row r="33" ht="15" customHeight="1">
      <c r="A33" s="23" t="n"/>
      <c r="B33" s="23" t="n"/>
      <c r="C33" s="23" t="n"/>
      <c r="D33" s="23" t="n"/>
      <c r="E33" s="23" t="n"/>
      <c r="F33" s="82" t="inlineStr">
        <is>
          <t>Nível</t>
        </is>
      </c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BA33" s="85" t="inlineStr">
        <is>
          <t>cd de feitiço</t>
        </is>
      </c>
      <c r="BB33" s="85" t="inlineStr">
        <is>
          <t>D44</t>
        </is>
      </c>
    </row>
    <row r="34" ht="15" customHeight="1">
      <c r="A34" s="23" t="n"/>
      <c r="B34" s="23" t="n"/>
      <c r="C34" s="23" t="n"/>
      <c r="D34" s="23" t="n"/>
      <c r="E34" s="23" t="n"/>
      <c r="F34" s="82" t="inlineStr">
        <is>
          <t>Impulso</t>
        </is>
      </c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BA34" s="85" t="inlineStr">
        <is>
          <t>conjuração</t>
        </is>
      </c>
      <c r="BB34" s="85" t="inlineStr">
        <is>
          <t>O44</t>
        </is>
      </c>
    </row>
    <row r="35" ht="15" customHeight="1">
      <c r="A35" s="23" t="n"/>
      <c r="B35" s="23" t="n"/>
      <c r="C35" s="23" t="n"/>
      <c r="D35" s="23" t="n"/>
      <c r="E35" s="23" t="n"/>
      <c r="F35" s="82" t="inlineStr">
        <is>
          <t>Trava</t>
        </is>
      </c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BA35" s="85" t="inlineStr">
        <is>
          <t>corpo a corpo</t>
        </is>
      </c>
      <c r="BB35" s="85" t="inlineStr">
        <is>
          <t>Z44</t>
        </is>
      </c>
    </row>
    <row r="36" ht="15" customHeight="1">
      <c r="A36" s="23" t="n"/>
      <c r="B36" s="23" t="n"/>
      <c r="C36" s="23" t="n"/>
      <c r="D36" s="23" t="n"/>
      <c r="E36" s="23" t="n"/>
      <c r="F36" s="82" t="inlineStr">
        <is>
          <t>Abre Ferida</t>
        </is>
      </c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BA36" s="85" t="inlineStr">
        <is>
          <t>à distância</t>
        </is>
      </c>
      <c r="BB36" s="85" t="inlineStr">
        <is>
          <t>AK44</t>
        </is>
      </c>
    </row>
    <row r="37" ht="15" customHeight="1">
      <c r="A37" s="23" t="n"/>
      <c r="B37" s="23" t="n"/>
      <c r="C37" s="23" t="n"/>
      <c r="D37" s="23" t="n"/>
      <c r="E37" s="23" t="n"/>
      <c r="F37" s="82" t="inlineStr">
        <is>
          <t>Sobrecarga</t>
        </is>
      </c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BA37" s="85" t="inlineStr">
        <is>
          <t>maestria</t>
        </is>
      </c>
      <c r="BB37" s="85" t="inlineStr">
        <is>
          <t>D48</t>
        </is>
      </c>
    </row>
    <row r="38" ht="15" customHeight="1">
      <c r="A38" s="23" t="n"/>
      <c r="B38" s="23" t="n"/>
      <c r="C38" s="23" t="n"/>
      <c r="D38" s="23" t="n"/>
      <c r="E38" s="23" t="n"/>
      <c r="F38" s="82" t="inlineStr">
        <is>
          <t>Firmeza</t>
        </is>
      </c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BA38" s="85" t="inlineStr">
        <is>
          <t>deslocamento</t>
        </is>
      </c>
      <c r="BB38" s="85" t="inlineStr">
        <is>
          <t>O48</t>
        </is>
      </c>
    </row>
    <row r="39" ht="15" customHeight="1">
      <c r="A39" s="23" t="n"/>
      <c r="B39" s="23" t="n"/>
      <c r="C39" s="23" t="n"/>
      <c r="D39" s="23" t="n"/>
      <c r="E39" s="23" t="n"/>
      <c r="F39" s="82" t="inlineStr">
        <is>
          <t>Guarda</t>
        </is>
      </c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BA39" s="85" t="inlineStr">
        <is>
          <t>bloquear</t>
        </is>
      </c>
      <c r="BB39" s="85" t="inlineStr">
        <is>
          <t>Z48</t>
        </is>
      </c>
    </row>
    <row r="40" ht="15" customHeight="1">
      <c r="A40" s="23" t="n"/>
      <c r="B40" s="23" t="n"/>
      <c r="C40" s="23" t="n"/>
      <c r="D40" s="23" t="n"/>
      <c r="E40" s="23" t="n"/>
      <c r="F40" s="82" t="inlineStr">
        <is>
          <t>Pressa</t>
        </is>
      </c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BA40" s="85" t="inlineStr">
        <is>
          <t>espaços de feitiço</t>
        </is>
      </c>
      <c r="BB40" s="85" t="inlineStr">
        <is>
          <t>D54</t>
        </is>
      </c>
    </row>
    <row r="41" ht="15" customHeight="1">
      <c r="A41" s="23" t="n"/>
      <c r="B41" s="23" t="n"/>
      <c r="C41" s="23" t="n"/>
      <c r="D41" s="23" t="n"/>
      <c r="E41" s="23" t="n"/>
      <c r="F41" s="82" t="inlineStr">
        <is>
          <t>Enfraquece</t>
        </is>
      </c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BA41" s="85" t="inlineStr">
        <is>
          <t>refino de graça</t>
        </is>
      </c>
      <c r="BB41" s="85" t="inlineStr">
        <is>
          <t>O54</t>
        </is>
      </c>
    </row>
    <row r="42" ht="15" customHeight="1">
      <c r="A42" s="23" t="n"/>
      <c r="B42" s="23" t="n"/>
      <c r="C42" s="23" t="n"/>
      <c r="D42" s="23" t="n"/>
      <c r="E42" s="23" t="n"/>
      <c r="F42" s="82" t="inlineStr">
        <is>
          <t>Ecoa</t>
        </is>
      </c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BA42" s="85" t="inlineStr">
        <is>
          <t>classe máxima</t>
        </is>
      </c>
      <c r="BB42" s="85" t="inlineStr">
        <is>
          <t>Z54</t>
        </is>
      </c>
    </row>
    <row r="43" ht="15" customHeight="1">
      <c r="A43" s="23" t="n"/>
      <c r="B43" s="23" t="n"/>
      <c r="C43" s="23" t="n"/>
      <c r="D43" s="23" t="n"/>
      <c r="E43" s="23" t="n"/>
      <c r="F43" s="82" t="inlineStr">
        <is>
          <t>Queima</t>
        </is>
      </c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BA43" s="85" t="inlineStr">
        <is>
          <t>classe 0 grátis</t>
        </is>
      </c>
      <c r="BB43" s="85" t="inlineStr">
        <is>
          <t>AK54</t>
        </is>
      </c>
    </row>
    <row r="44" ht="15" customHeight="1">
      <c r="A44" s="23" t="n"/>
      <c r="B44" s="23" t="n"/>
      <c r="C44" s="23" t="n"/>
      <c r="D44" s="23" t="n"/>
      <c r="E44" s="23" t="n"/>
      <c r="F44" s="82" t="inlineStr">
        <is>
          <t>Acúmulo</t>
        </is>
      </c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</row>
    <row r="45" ht="15" customHeight="1">
      <c r="A45" s="23" t="n"/>
      <c r="B45" s="23" t="n"/>
      <c r="C45" s="23" t="n"/>
      <c r="D45" s="23" t="n"/>
      <c r="E45" s="23" t="n"/>
      <c r="F45" s="82" t="inlineStr">
        <is>
          <t>Remate</t>
        </is>
      </c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</row>
    <row r="46" ht="15" customHeight="1">
      <c r="A46" s="23" t="n"/>
      <c r="B46" s="23" t="n"/>
      <c r="C46" s="23" t="n"/>
      <c r="D46" s="23" t="n"/>
      <c r="E46" s="23" t="n"/>
      <c r="F46" s="82" t="inlineStr">
        <is>
          <t>Estilhaço</t>
        </is>
      </c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</row>
    <row r="47" ht="15" customHeight="1">
      <c r="A47" s="23" t="n"/>
      <c r="B47" s="23" t="n"/>
      <c r="C47" s="23" t="n"/>
      <c r="D47" s="23" t="n"/>
      <c r="E47" s="23" t="n"/>
      <c r="F47" s="82" t="inlineStr">
        <is>
          <t>Quebra Coisa</t>
        </is>
      </c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</row>
    <row r="48" ht="15" customHeight="1">
      <c r="A48" s="23" t="n"/>
      <c r="B48" s="23" t="n"/>
      <c r="C48" s="23" t="n"/>
      <c r="D48" s="23" t="n"/>
      <c r="E48" s="23" t="n"/>
      <c r="F48" s="82" t="inlineStr">
        <is>
          <t>Rasga Escudo</t>
        </is>
      </c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</row>
    <row r="49" ht="15" customHeight="1">
      <c r="A49" s="23" t="n"/>
      <c r="B49" s="23" t="n"/>
      <c r="C49" s="23" t="n"/>
      <c r="D49" s="23" t="n"/>
      <c r="E49" s="23" t="n"/>
      <c r="F49" s="82" t="inlineStr">
        <is>
          <t>Sem Cura</t>
        </is>
      </c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</row>
    <row r="50" ht="15" customHeight="1">
      <c r="A50" s="23" t="n"/>
      <c r="B50" s="23" t="n"/>
      <c r="C50" s="23" t="n"/>
      <c r="D50" s="23" t="n"/>
      <c r="E50" s="23" t="n"/>
      <c r="F50" s="82" t="inlineStr">
        <is>
          <t>Rápido</t>
        </is>
      </c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</row>
    <row r="51" ht="15" customHeight="1">
      <c r="A51" s="23" t="n"/>
      <c r="B51" s="23" t="n"/>
      <c r="C51" s="23" t="n"/>
      <c r="D51" s="23" t="n"/>
      <c r="E51" s="23" t="n"/>
      <c r="F51" s="82" t="inlineStr">
        <is>
          <t>Reação</t>
        </is>
      </c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</row>
    <row r="52" ht="15" customHeight="1">
      <c r="A52" s="23" t="n"/>
      <c r="B52" s="23" t="n"/>
      <c r="C52" s="23" t="n"/>
      <c r="D52" s="23" t="n"/>
      <c r="E52" s="23" t="n"/>
      <c r="F52" s="82" t="inlineStr">
        <is>
          <t>Armado</t>
        </is>
      </c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</row>
    <row r="53" ht="15" customHeight="1">
      <c r="A53" s="23" t="n"/>
      <c r="B53" s="23" t="n"/>
      <c r="C53" s="23" t="n"/>
      <c r="D53" s="23" t="n"/>
      <c r="E53" s="23" t="n"/>
      <c r="F53" s="82" t="inlineStr">
        <is>
          <t>Silencioso</t>
        </is>
      </c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  <c r="AD53" s="23" t="n"/>
    </row>
    <row r="54" ht="15" customHeight="1">
      <c r="A54" s="23" t="n"/>
      <c r="B54" s="23" t="n"/>
      <c r="C54" s="23" t="n"/>
      <c r="D54" s="23" t="n"/>
      <c r="E54" s="23" t="n"/>
      <c r="F54" s="82" t="inlineStr">
        <is>
          <t>Adianta</t>
        </is>
      </c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  <c r="AC54" s="23" t="n"/>
      <c r="AD54" s="23" t="n"/>
    </row>
    <row r="55" ht="15" customHeight="1">
      <c r="A55" s="23" t="n"/>
      <c r="B55" s="23" t="n"/>
      <c r="C55" s="23" t="n"/>
      <c r="D55" s="23" t="n"/>
      <c r="E55" s="23" t="n"/>
      <c r="F55" s="82" t="inlineStr">
        <is>
          <t>Segura</t>
        </is>
      </c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  <c r="AD55" s="23" t="n"/>
    </row>
    <row r="56" ht="15" customHeight="1">
      <c r="A56" s="23" t="n"/>
      <c r="B56" s="23" t="n"/>
      <c r="C56" s="23" t="n"/>
      <c r="D56" s="23" t="n"/>
      <c r="E56" s="23" t="n"/>
      <c r="F56" s="82" t="inlineStr">
        <is>
          <t>Marca</t>
        </is>
      </c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  <c r="AC56" s="23" t="n"/>
      <c r="AD56" s="23" t="n"/>
    </row>
    <row r="57" ht="15" customHeight="1">
      <c r="A57" s="23" t="n"/>
      <c r="B57" s="23" t="n"/>
      <c r="C57" s="23" t="n"/>
      <c r="D57" s="23" t="n"/>
      <c r="E57" s="23" t="n"/>
      <c r="F57" s="82" t="inlineStr">
        <is>
          <t>Rastro</t>
        </is>
      </c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  <c r="AC57" s="23" t="n"/>
      <c r="AD57" s="23" t="n"/>
    </row>
    <row r="58" ht="15" customHeight="1">
      <c r="A58" s="23" t="n"/>
      <c r="B58" s="23" t="n"/>
      <c r="C58" s="23" t="n"/>
      <c r="D58" s="23" t="n"/>
      <c r="E58" s="23" t="n"/>
      <c r="F58" s="82" t="inlineStr">
        <is>
          <t>Sugar</t>
        </is>
      </c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  <c r="AA58" s="23" t="n"/>
      <c r="AB58" s="23" t="n"/>
      <c r="AC58" s="23" t="n"/>
      <c r="AD58" s="23" t="n"/>
    </row>
    <row r="59" ht="15" customHeight="1">
      <c r="A59" s="23" t="n"/>
      <c r="B59" s="23" t="n"/>
      <c r="C59" s="23" t="n"/>
      <c r="D59" s="23" t="n"/>
      <c r="E59" s="23" t="n"/>
      <c r="F59" s="82" t="inlineStr">
        <is>
          <t>Isca</t>
        </is>
      </c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</row>
    <row r="60" ht="15" customHeight="1">
      <c r="A60" s="23" t="n"/>
      <c r="B60" s="23" t="n"/>
      <c r="C60" s="23" t="n"/>
      <c r="D60" s="23" t="n"/>
      <c r="E60" s="23" t="n"/>
      <c r="F60" s="82" t="inlineStr">
        <is>
          <t>Cobrança</t>
        </is>
      </c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  <c r="AA60" s="23" t="n"/>
      <c r="AB60" s="23" t="n"/>
      <c r="AC60" s="23" t="n"/>
      <c r="AD60" s="23" t="n"/>
    </row>
    <row r="61" ht="15" customHeight="1">
      <c r="A61" s="23" t="n"/>
      <c r="B61" s="23" t="n"/>
      <c r="C61" s="23" t="n"/>
      <c r="D61" s="23" t="n"/>
      <c r="E61" s="23" t="n"/>
      <c r="F61" s="82" t="inlineStr">
        <is>
          <t>Aviso</t>
        </is>
      </c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</row>
    <row r="62" ht="15" customHeight="1">
      <c r="A62" s="23" t="n"/>
      <c r="B62" s="23" t="n"/>
      <c r="C62" s="23" t="n"/>
      <c r="D62" s="23" t="n"/>
      <c r="E62" s="23" t="n"/>
      <c r="F62" s="82" t="inlineStr">
        <is>
          <t>Limpa</t>
        </is>
      </c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n"/>
      <c r="AD62" s="23" t="n"/>
    </row>
    <row r="63" ht="15" customHeight="1">
      <c r="A63" s="23" t="n"/>
      <c r="B63" s="23" t="n"/>
      <c r="C63" s="23" t="n"/>
      <c r="D63" s="23" t="n"/>
      <c r="E63" s="23" t="n"/>
      <c r="F63" s="82" t="inlineStr">
        <is>
          <t>Limpa Fundo</t>
        </is>
      </c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23" t="n"/>
      <c r="AB63" s="23" t="n"/>
      <c r="AC63" s="23" t="n"/>
      <c r="AD63" s="23" t="n"/>
    </row>
    <row r="64" ht="15" customHeight="1">
      <c r="A64" s="23" t="n"/>
      <c r="B64" s="23" t="n"/>
      <c r="C64" s="23" t="n"/>
      <c r="D64" s="23" t="n"/>
      <c r="E64" s="23" t="n"/>
      <c r="F64" s="82" t="inlineStr">
        <is>
          <t>Levanta</t>
        </is>
      </c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  <c r="AA64" s="23" t="n"/>
      <c r="AB64" s="23" t="n"/>
      <c r="AC64" s="23" t="n"/>
      <c r="AD64" s="23" t="n"/>
    </row>
    <row r="65" ht="15" customHeight="1">
      <c r="A65" s="23" t="n"/>
      <c r="B65" s="23" t="n"/>
      <c r="C65" s="23" t="n"/>
      <c r="D65" s="23" t="n"/>
      <c r="E65" s="23" t="n"/>
      <c r="F65" s="82" t="inlineStr">
        <is>
          <t>Divide</t>
        </is>
      </c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  <c r="AB65" s="23" t="n"/>
      <c r="AC65" s="23" t="n"/>
      <c r="AD65" s="23" t="n"/>
    </row>
    <row r="66" ht="15" customHeight="1">
      <c r="A66" s="23" t="n"/>
      <c r="B66" s="23" t="n"/>
      <c r="C66" s="23" t="n"/>
      <c r="D66" s="23" t="n"/>
      <c r="E66" s="23" t="n"/>
      <c r="F66" s="82" t="inlineStr">
        <is>
          <t>Junto</t>
        </is>
      </c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  <c r="AA66" s="23" t="n"/>
      <c r="AB66" s="23" t="n"/>
      <c r="AC66" s="23" t="n"/>
      <c r="AD66" s="23" t="n"/>
    </row>
    <row r="67" ht="15" customHeight="1">
      <c r="A67" s="23" t="n"/>
      <c r="B67" s="23" t="n"/>
      <c r="C67" s="23" t="n"/>
      <c r="D67" s="23" t="n"/>
      <c r="E67" s="23" t="n"/>
      <c r="F67" s="82" t="inlineStr">
        <is>
          <t>Reserva</t>
        </is>
      </c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</row>
    <row r="68" ht="15" customHeight="1">
      <c r="A68" s="23" t="n"/>
      <c r="B68" s="23" t="n"/>
      <c r="C68" s="23" t="n"/>
      <c r="D68" s="23" t="n"/>
      <c r="E68" s="23" t="n"/>
      <c r="F68" s="82" t="inlineStr">
        <is>
          <t>Remenda</t>
        </is>
      </c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  <c r="AA68" s="23" t="n"/>
      <c r="AB68" s="23" t="n"/>
      <c r="AC68" s="23" t="n"/>
      <c r="AD68" s="23" t="n"/>
    </row>
    <row r="69" ht="15" customHeight="1">
      <c r="A69" s="23" t="n"/>
      <c r="B69" s="23" t="n"/>
      <c r="C69" s="23" t="n"/>
      <c r="D69" s="23" t="n"/>
      <c r="E69" s="23" t="n"/>
      <c r="F69" s="82" t="inlineStr">
        <is>
          <t>Condicao</t>
        </is>
      </c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  <c r="AA69" s="23" t="n"/>
      <c r="AB69" s="23" t="n"/>
      <c r="AC69" s="23" t="n"/>
      <c r="AD69" s="23" t="n"/>
    </row>
    <row r="70" ht="15" customHeight="1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  <c r="AA70" s="23" t="n"/>
      <c r="AB70" s="23" t="n"/>
      <c r="AC70" s="23" t="n"/>
      <c r="AD70" s="23" t="n"/>
    </row>
    <row r="71" ht="15" customHeight="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  <c r="AA71" s="23" t="n"/>
      <c r="AB71" s="23" t="n"/>
      <c r="AC71" s="23" t="n"/>
      <c r="AD71" s="23" t="n"/>
    </row>
    <row r="72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  <c r="AA72" s="23" t="n"/>
      <c r="AB72" s="23" t="n"/>
      <c r="AC72" s="23" t="n"/>
      <c r="AD72" s="23" t="n"/>
    </row>
    <row r="73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  <c r="AA73" s="23" t="n"/>
      <c r="AB73" s="23" t="n"/>
      <c r="AC73" s="23" t="n"/>
      <c r="AD73" s="2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2026-09-08T13:06:49Z</dcterms:created>
  <dcterms:modified xmlns:dcterms="http://purl.org/dc/terms/" xmlns:xsi="http://www.w3.org/2001/XMLSchema-instance" xsi:type="dcterms:W3CDTF">2026-09-08T13:06:50Z</dcterms:modified>
</cp:coreProperties>
</file>
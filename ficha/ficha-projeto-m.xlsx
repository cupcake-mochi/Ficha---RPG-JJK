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TEIRA" sheetId="1" state="visible" r:id="rId1"/>
    <sheet xmlns:r="http://schemas.openxmlformats.org/officeDocument/2006/relationships" name="FICHA" sheetId="2" state="visible" r:id="rId2"/>
    <sheet xmlns:r="http://schemas.openxmlformats.org/officeDocument/2006/relationships" name="TÉCNICA" sheetId="3" state="visible" r:id="rId3"/>
    <sheet xmlns:r="http://schemas.openxmlformats.org/officeDocument/2006/relationships" name="MESA" sheetId="4" state="visible" r:id="rId4"/>
    <sheet xmlns:r="http://schemas.openxmlformats.org/officeDocument/2006/relationships" name="QUEM É" sheetId="5" state="visible" r:id="rId5"/>
    <sheet xmlns:r="http://schemas.openxmlformats.org/officeDocument/2006/relationships" name="DADOS" sheetId="6" state="hidden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1">
    <font>
      <name val="Roboto"/>
      <color rgb="00F4F1F7"/>
      <sz val="11"/>
    </font>
    <font>
      <name val="Oswald"/>
      <color rgb="00998BA9"/>
      <sz val="9"/>
    </font>
    <font>
      <name val="Roboto"/>
      <b val="1"/>
      <color rgb="00F4F1F7"/>
      <sz val="11"/>
    </font>
    <font>
      <name val="Roboto"/>
      <color rgb="00998BA9"/>
      <sz val="9"/>
    </font>
    <font>
      <name val="Roboto"/>
      <color rgb="00F4F1F7"/>
      <sz val="11"/>
    </font>
    <font>
      <name val="Oswald"/>
      <color rgb="00493F54"/>
      <sz val="11"/>
    </font>
    <font>
      <name val="Oswald"/>
      <color rgb="00756588"/>
      <sz val="9"/>
    </font>
    <font>
      <name val="Shippori Mincho"/>
      <color rgb="00E8DCD4"/>
      <sz val="26"/>
    </font>
    <font>
      <name val="Roboto"/>
      <color rgb="00493F54"/>
      <sz val="8"/>
    </font>
    <font>
      <name val="Oswald"/>
      <color rgb="00998BA9"/>
      <sz val="8"/>
    </font>
    <font>
      <name val="Courier New"/>
      <color rgb="00756588"/>
      <sz val="10"/>
    </font>
    <font>
      <name val="Oswald"/>
      <color rgb="0030294D"/>
      <sz val="22"/>
    </font>
    <font>
      <name val="Oswald"/>
      <color rgb="00756588"/>
      <sz val="12"/>
    </font>
    <font>
      <name val="Shippori Mincho"/>
      <color rgb="00F4F1F7"/>
      <sz val="15"/>
    </font>
    <font>
      <name val="Oswald"/>
      <color rgb="00E8DCD4"/>
      <sz val="20"/>
    </font>
    <font>
      <name val="Courier New"/>
      <color rgb="00998BA9"/>
      <sz val="12"/>
    </font>
    <font>
      <name val="Oswald"/>
      <color rgb="00E8DCD4"/>
      <sz val="24"/>
    </font>
    <font>
      <name val="Oswald"/>
      <color rgb="00E8DCD4"/>
      <sz val="22"/>
    </font>
    <font>
      <name val="Roboto"/>
      <color rgb="00998BA9"/>
      <sz val="10"/>
    </font>
    <font>
      <name val="Courier New"/>
      <color rgb="00998BA9"/>
      <sz val="11"/>
    </font>
    <font>
      <name val="Courier New"/>
      <color rgb="00E8DCD4"/>
      <sz val="11"/>
    </font>
    <font>
      <name val="Oswald"/>
      <color rgb="00E8DCD4"/>
      <sz val="16"/>
    </font>
    <font>
      <name val="Shippori Mincho"/>
      <color rgb="00F4F1F7"/>
      <sz val="16"/>
    </font>
    <font>
      <name val="Roboto"/>
      <color rgb="00E8DCD4"/>
      <sz val="11"/>
    </font>
    <font>
      <name val="Shippori Mincho"/>
      <color rgb="00F4F1F7"/>
      <sz val="10"/>
    </font>
    <font>
      <name val="Oswald"/>
      <color rgb="00493F54"/>
      <sz val="8"/>
    </font>
    <font>
      <name val="Oswald"/>
      <color rgb="00E8DCD4"/>
      <sz val="10"/>
    </font>
    <font>
      <name val="Yuji Syuku"/>
      <color rgb="00756588"/>
      <sz val="22"/>
    </font>
    <font>
      <name val="Oswald"/>
      <color rgb="00E8DCD4"/>
      <sz val="13"/>
    </font>
    <font>
      <name val="Courier New"/>
      <color rgb="00756588"/>
      <sz val="11"/>
    </font>
    <font>
      <name val="Courier New"/>
      <color rgb="00998BA9"/>
      <sz val="9"/>
    </font>
    <font>
      <name val="Shippori Mincho"/>
      <color rgb="00E8DCD4"/>
      <sz val="30"/>
    </font>
    <font>
      <name val="Shippori Mincho"/>
      <color rgb="00998BA9"/>
      <sz val="12"/>
    </font>
    <font>
      <name val="Shippori Mincho"/>
      <color rgb="00F4F1F7"/>
      <sz val="14"/>
    </font>
    <font>
      <name val="Shippori Mincho"/>
      <color rgb="00E8DCD4"/>
      <sz val="17"/>
    </font>
    <font>
      <name val="Courier New"/>
      <color rgb="00493F54"/>
      <sz val="9"/>
    </font>
    <font>
      <name val="Roboto"/>
      <color rgb="00E8DCD4"/>
      <sz val="9"/>
    </font>
    <font>
      <name val="Roboto"/>
      <color rgb="00E8DCD4"/>
      <sz val="14"/>
    </font>
    <font>
      <name val="Roboto"/>
      <color rgb="00E8DCD4"/>
      <sz val="26"/>
    </font>
    <font>
      <name val="Roboto"/>
      <color rgb="00756588"/>
      <sz val="12"/>
    </font>
    <font>
      <name val="Roboto"/>
      <color rgb="00F4F1F7"/>
      <sz val="9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17131F"/>
        <bgColor rgb="0017131F"/>
      </patternFill>
    </fill>
    <fill>
      <patternFill patternType="solid">
        <fgColor rgb="0030294D"/>
        <bgColor rgb="0030294D"/>
      </patternFill>
    </fill>
    <fill>
      <patternFill patternType="solid">
        <fgColor rgb="00211C35"/>
        <bgColor rgb="00211C35"/>
      </patternFill>
    </fill>
  </fills>
  <borders count="4">
    <border>
      <left/>
      <right/>
      <top/>
      <bottom/>
      <diagonal/>
    </border>
    <border>
      <top style="thin">
        <color rgb="00493F54"/>
      </top>
    </border>
    <border>
      <top style="thin">
        <color rgb="000A0810"/>
      </top>
    </border>
    <border>
      <left/>
      <right/>
      <top style="thin">
        <color rgb="000A0810"/>
      </top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0" fillId="4" borderId="0" pivotButton="0" quotePrefix="0" xfId="0"/>
    <xf numFmtId="0" fontId="27" fillId="4" borderId="0" applyAlignment="1" pivotButton="0" quotePrefix="0" xfId="0">
      <alignment horizontal="left" vertical="center"/>
    </xf>
    <xf numFmtId="0" fontId="28" fillId="4" borderId="0" applyAlignment="1" pivotButton="0" quotePrefix="0" xfId="0">
      <alignment horizontal="left" vertical="center"/>
    </xf>
    <xf numFmtId="0" fontId="29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30" fillId="4" borderId="0" applyAlignment="1" pivotButton="0" quotePrefix="0" xfId="0">
      <alignment horizontal="right" vertical="center"/>
    </xf>
    <xf numFmtId="0" fontId="0" fillId="3" borderId="0" pivotButton="0" quotePrefix="0" xfId="0"/>
    <xf numFmtId="0" fontId="1" fillId="3" borderId="0" applyAlignment="1" pivotButton="0" quotePrefix="0" xfId="0">
      <alignment horizontal="left" vertical="center"/>
    </xf>
    <xf numFmtId="0" fontId="31" fillId="3" borderId="0" applyAlignment="1" pivotButton="0" quotePrefix="0" xfId="0">
      <alignment horizontal="left" vertical="center"/>
    </xf>
    <xf numFmtId="0" fontId="32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33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8" fillId="3" borderId="0" applyAlignment="1" pivotButton="0" quotePrefix="0" xfId="0">
      <alignment horizontal="left" vertical="center"/>
    </xf>
    <xf numFmtId="0" fontId="34" fillId="3" borderId="0" applyAlignment="1" pivotButton="0" quotePrefix="0" xfId="0">
      <alignment horizontal="left" vertical="center"/>
    </xf>
    <xf numFmtId="0" fontId="18" fillId="3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35" fillId="3" borderId="0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/>
    </xf>
    <xf numFmtId="0" fontId="7" fillId="3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right" vertical="center"/>
    </xf>
    <xf numFmtId="0" fontId="0" fillId="2" borderId="0" pivotButton="0" quotePrefix="0" xfId="0"/>
    <xf numFmtId="0" fontId="5" fillId="3" borderId="0" applyAlignment="1" pivotButton="0" quotePrefix="0" xfId="0">
      <alignment horizontal="center" vertical="center" textRotation="90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9" fillId="2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6" fillId="2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21" fillId="2" borderId="0" applyAlignment="1" pivotButton="0" quotePrefix="0" xfId="0">
      <alignment horizontal="left" vertical="center"/>
    </xf>
    <xf numFmtId="0" fontId="22" fillId="2" borderId="0" applyAlignment="1" pivotButton="0" quotePrefix="0" xfId="0">
      <alignment horizontal="left" vertical="center"/>
    </xf>
    <xf numFmtId="0" fontId="23" fillId="2" borderId="0" applyAlignment="1" pivotButton="0" quotePrefix="0" xfId="0">
      <alignment horizontal="center" vertical="center"/>
    </xf>
    <xf numFmtId="0" fontId="24" fillId="2" borderId="0" applyAlignment="1" pivotButton="0" quotePrefix="0" xfId="0">
      <alignment horizontal="left" vertical="center"/>
    </xf>
    <xf numFmtId="0" fontId="25" fillId="2" borderId="0" applyAlignment="1" pivotButton="0" quotePrefix="0" xfId="0">
      <alignment horizontal="left" vertical="center"/>
    </xf>
    <xf numFmtId="0" fontId="26" fillId="2" borderId="0" applyAlignment="1" pivotButton="0" quotePrefix="0" xfId="0">
      <alignment horizontal="right" vertical="center"/>
    </xf>
    <xf numFmtId="0" fontId="23" fillId="2" borderId="2" applyAlignment="1" pivotButton="0" quotePrefix="0" xfId="0">
      <alignment horizontal="center" vertical="center"/>
    </xf>
    <xf numFmtId="0" fontId="24" fillId="2" borderId="2" applyAlignment="1" pivotButton="0" quotePrefix="0" xfId="0">
      <alignment horizontal="left" vertical="center"/>
    </xf>
    <xf numFmtId="0" fontId="0" fillId="0" borderId="3" pivotButton="0" quotePrefix="0" xfId="0"/>
    <xf numFmtId="0" fontId="25" fillId="2" borderId="2" applyAlignment="1" pivotButton="0" quotePrefix="0" xfId="0">
      <alignment horizontal="left" vertical="center"/>
    </xf>
    <xf numFmtId="0" fontId="26" fillId="2" borderId="2" applyAlignment="1" pivotButton="0" quotePrefix="0" xfId="0">
      <alignment horizontal="right" vertical="center"/>
    </xf>
    <xf numFmtId="0" fontId="0" fillId="2" borderId="2" pivotButton="0" quotePrefix="0" xfId="0"/>
    <xf numFmtId="0" fontId="21" fillId="5" borderId="0" applyAlignment="1" pivotButton="0" quotePrefix="0" xfId="0">
      <alignment horizontal="left" vertical="center" indent="1"/>
    </xf>
    <xf numFmtId="0" fontId="12" fillId="2" borderId="0" applyAlignment="1" pivotButton="0" quotePrefix="0" xfId="0">
      <alignment horizontal="left" vertical="center" indent="1"/>
    </xf>
    <xf numFmtId="0" fontId="1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36" fillId="5" borderId="0" applyAlignment="1" pivotButton="0" quotePrefix="0" xfId="0">
      <alignment horizontal="left" vertical="center" indent="1"/>
    </xf>
    <xf numFmtId="0" fontId="3" fillId="5" borderId="0" applyAlignment="1" pivotButton="0" quotePrefix="0" xfId="0">
      <alignment horizontal="left" vertical="center" indent="1"/>
    </xf>
    <xf numFmtId="0" fontId="36" fillId="6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left" vertical="center" indent="1"/>
    </xf>
    <xf numFmtId="0" fontId="37" fillId="5" borderId="0" applyAlignment="1" pivotButton="0" quotePrefix="0" xfId="0">
      <alignment horizontal="left" vertical="center" indent="1"/>
    </xf>
    <xf numFmtId="0" fontId="3" fillId="6" borderId="0" applyAlignment="1" pivotButton="0" quotePrefix="0" xfId="0">
      <alignment horizontal="center" vertical="center"/>
    </xf>
    <xf numFmtId="0" fontId="38" fillId="6" borderId="0" applyAlignment="1" pivotButton="0" quotePrefix="0" xfId="0">
      <alignment horizontal="center" vertical="center"/>
    </xf>
    <xf numFmtId="0" fontId="37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7" fillId="5" borderId="0" applyAlignment="1" pivotButton="0" quotePrefix="0" xfId="0">
      <alignment horizontal="center" vertical="center"/>
    </xf>
    <xf numFmtId="0" fontId="39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left" vertical="center" indent="1"/>
    </xf>
    <xf numFmtId="0" fontId="36" fillId="6" borderId="0" applyAlignment="1" pivotButton="0" quotePrefix="0" xfId="0">
      <alignment horizontal="center" vertical="center"/>
    </xf>
    <xf numFmtId="0" fontId="40" fillId="5" borderId="0" applyAlignment="1" pivotButton="0" quotePrefix="0" xfId="0">
      <alignment horizontal="left" vertical="center" indent="1"/>
    </xf>
    <xf numFmtId="0" fontId="36" fillId="5" borderId="0" applyAlignment="1" pivotButton="0" quotePrefix="0" xfId="0">
      <alignment horizontal="center" vertical="center"/>
    </xf>
    <xf numFmtId="0" fontId="40" fillId="6" borderId="0" applyAlignment="1" pivotButton="0" quotePrefix="0" xfId="0">
      <alignment horizontal="left" vertical="top" wrapText="1" indent="1"/>
    </xf>
    <xf numFmtId="0" fontId="1" fillId="2" borderId="0" applyAlignment="1" pivotButton="0" quotePrefix="0" xfId="0">
      <alignment horizontal="left" vertical="center" indent="1"/>
    </xf>
    <xf numFmtId="0" fontId="2" fillId="2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_rels/drawing2.xml.rels><Relationships xmlns="http://schemas.openxmlformats.org/package/2006/relationships"><Relationship Type="http://schemas.openxmlformats.org/officeDocument/2006/relationships/image" Target="/xl/media/image7.png" Id="rId1"/><Relationship Type="http://schemas.openxmlformats.org/officeDocument/2006/relationships/image" Target="/xl/media/image8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2382500" cy="8572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</row>
      <rowOff>0</rowOff>
    </from>
    <ext cx="11811000" cy="133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7</row>
      <rowOff>0</rowOff>
    </from>
    <ext cx="1952625" cy="43815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14</col>
      <colOff>0</colOff>
      <row>14</row>
      <rowOff>0</rowOff>
    </from>
    <ext cx="5334000" cy="10477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37</col>
      <colOff>0</colOff>
      <row>24</row>
      <rowOff>0</rowOff>
    </from>
    <ext cx="1095375" cy="40005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30</col>
      <colOff>0</colOff>
      <row>25</row>
      <rowOff>0</rowOff>
    </from>
    <ext cx="952500" cy="28575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2</col>
      <colOff>0</colOff>
      <row>5</row>
      <rowOff>0</rowOff>
    </from>
    <ext cx="11239500" cy="1143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42</col>
      <colOff>0</colOff>
      <row>80</row>
      <rowOff>0</rowOff>
    </from>
    <ext cx="857250" cy="2857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4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</row>
    <row r="2" ht="15" customHeight="1">
      <c r="A2" s="1" t="n"/>
      <c r="B2" s="1" t="n"/>
      <c r="C2" s="2" t="inlineStr">
        <is>
          <t>呪術廻戦</t>
        </is>
      </c>
      <c r="K2" s="1" t="n"/>
      <c r="L2" s="3" t="inlineStr">
        <is>
          <t>GUILDA DE FEITICEIROS</t>
        </is>
      </c>
      <c r="AE2" s="1" t="n"/>
      <c r="AF2" s="1" t="n"/>
      <c r="AG2" s="1" t="n"/>
      <c r="AH2" s="4">
        <f>"Nº M-"&amp;TEXT(DADOS!$B$1*1000,"0000")&amp;"-"&amp;IF(FICHA!D3="","0000",UPPER(LEFT(FICHA!D3,4)))</f>
        <v/>
      </c>
    </row>
    <row r="3" ht="15" customHeight="1">
      <c r="A3" s="1" t="n"/>
      <c r="B3" s="1" t="n"/>
      <c r="K3" s="1" t="n"/>
      <c r="L3" s="5" t="inlineStr">
        <is>
          <t>carteira de registro · documento oficial</t>
        </is>
      </c>
      <c r="AE3" s="1" t="n"/>
      <c r="AF3" s="1" t="n"/>
      <c r="AG3" s="1" t="n"/>
      <c r="AH3" s="6">
        <f>"emitida "&amp;TEXT(TODAY(),"dd.mm.aaaa")</f>
        <v/>
      </c>
    </row>
    <row r="4" ht="15" customHeight="1">
      <c r="A4" s="1" t="n"/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  <c r="AQ4" s="1" t="n"/>
      <c r="AR4" s="1" t="n"/>
      <c r="AS4" s="1" t="n"/>
      <c r="AT4" s="1" t="n"/>
    </row>
    <row r="5" ht="15" customHeight="1">
      <c r="A5" s="7" t="n"/>
      <c r="B5" s="7" t="n"/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  <c r="R5" s="7" t="n"/>
      <c r="S5" s="7" t="n"/>
      <c r="T5" s="7" t="n"/>
      <c r="U5" s="7" t="n"/>
      <c r="V5" s="7" t="n"/>
      <c r="W5" s="7" t="n"/>
      <c r="X5" s="7" t="n"/>
      <c r="Y5" s="7" t="n"/>
      <c r="Z5" s="7" t="n"/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  <c r="R6" s="7" t="n"/>
      <c r="S6" s="7" t="n"/>
      <c r="T6" s="7" t="n"/>
      <c r="U6" s="7" t="n"/>
      <c r="V6" s="7" t="n"/>
      <c r="W6" s="7" t="n"/>
      <c r="X6" s="7" t="n"/>
      <c r="Y6" s="7" t="n"/>
      <c r="Z6" s="7" t="n"/>
      <c r="AA6" s="7" t="n"/>
      <c r="AB6" s="7" t="n"/>
      <c r="AC6" s="7" t="n"/>
      <c r="AD6" s="7" t="n"/>
      <c r="AE6" s="7" t="n"/>
      <c r="AF6" s="7" t="n"/>
      <c r="AG6" s="7" t="n"/>
      <c r="AH6" s="7" t="n"/>
      <c r="AI6" s="7" t="n"/>
      <c r="AJ6" s="7" t="n"/>
      <c r="AK6" s="7" t="n"/>
      <c r="AL6" s="7" t="n"/>
      <c r="AM6" s="7" t="n"/>
      <c r="AN6" s="7" t="n"/>
      <c r="AO6" s="7" t="n"/>
      <c r="AP6" s="7" t="n"/>
      <c r="AQ6" s="7" t="n"/>
      <c r="AR6" s="7" t="n"/>
      <c r="AS6" s="7" t="n"/>
      <c r="AT6" s="7" t="n"/>
    </row>
    <row r="7" ht="15" customHeight="1">
      <c r="A7" s="7" t="n"/>
      <c r="B7" s="7" t="n"/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7" t="n"/>
      <c r="AA7" s="7" t="n"/>
      <c r="AB7" s="7" t="n"/>
      <c r="AC7" s="7" t="n"/>
      <c r="AD7" s="7" t="n"/>
      <c r="AE7" s="7" t="n"/>
      <c r="AF7" s="7" t="n"/>
      <c r="AG7" s="7" t="n"/>
      <c r="AH7" s="7" t="n"/>
      <c r="AI7" s="7" t="n"/>
      <c r="AJ7" s="7" t="n"/>
      <c r="AK7" s="7" t="n"/>
      <c r="AL7" s="7" t="n"/>
      <c r="AM7" s="7" t="n"/>
      <c r="AN7" s="7" t="n"/>
      <c r="AO7" s="7" t="n"/>
      <c r="AP7" s="7" t="n"/>
      <c r="AQ7" s="7" t="n"/>
      <c r="AR7" s="7" t="n"/>
      <c r="AS7" s="7" t="n"/>
      <c r="AT7" s="7" t="n"/>
    </row>
    <row r="8" ht="15" customHeight="1">
      <c r="A8" s="7" t="n"/>
      <c r="B8" s="7" t="n"/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8" t="inlineStr">
        <is>
          <t>PORTADOR</t>
        </is>
      </c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7" t="n"/>
      <c r="AO8" s="7" t="n"/>
      <c r="AP8" s="7" t="n"/>
      <c r="AQ8" s="7" t="n"/>
      <c r="AR8" s="7" t="n"/>
      <c r="AS8" s="7" t="n"/>
      <c r="AT8" s="7" t="n"/>
    </row>
    <row r="9" ht="15" customHeight="1">
      <c r="A9" s="7" t="n"/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9" t="n"/>
      <c r="AI9" s="7" t="n"/>
      <c r="AJ9" s="7" t="n"/>
      <c r="AK9" s="7" t="n"/>
      <c r="AL9" s="7" t="n"/>
      <c r="AM9" s="7" t="n"/>
      <c r="AN9" s="7" t="n"/>
      <c r="AO9" s="7" t="n"/>
      <c r="AP9" s="7" t="n"/>
      <c r="AQ9" s="7" t="n"/>
      <c r="AR9" s="7" t="n"/>
      <c r="AS9" s="7" t="n"/>
      <c r="AT9" s="7" t="n"/>
    </row>
    <row r="10" ht="15" customHeight="1">
      <c r="A10" s="7" t="n"/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AI10" s="7" t="n"/>
      <c r="AJ10" s="7" t="n"/>
      <c r="AK10" s="7" t="n"/>
      <c r="AL10" s="7" t="n"/>
      <c r="AM10" s="7" t="n"/>
      <c r="AN10" s="7" t="n"/>
      <c r="AO10" s="7" t="n"/>
      <c r="AP10" s="7" t="n"/>
      <c r="AQ10" s="7" t="n"/>
      <c r="AR10" s="7" t="n"/>
      <c r="AS10" s="7" t="n"/>
      <c r="AT10" s="7" t="n"/>
    </row>
    <row r="11" ht="15" customHeight="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AI11" s="7" t="n"/>
      <c r="AJ11" s="7" t="n"/>
      <c r="AK11" s="7" t="n"/>
      <c r="AL11" s="7" t="n"/>
      <c r="AM11" s="7" t="n"/>
      <c r="AN11" s="7" t="n"/>
      <c r="AO11" s="7" t="n"/>
      <c r="AP11" s="7" t="n"/>
      <c r="AQ11" s="7" t="n"/>
      <c r="AR11" s="7" t="n"/>
      <c r="AS11" s="7" t="n"/>
      <c r="AT11" s="7" t="n"/>
    </row>
    <row r="12" ht="15" customHeight="1">
      <c r="A12" s="7" t="n"/>
      <c r="B12" s="7" t="n"/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AI12" s="7" t="n"/>
      <c r="AJ12" s="7" t="n"/>
      <c r="AK12" s="7" t="n"/>
      <c r="AL12" s="7" t="n"/>
      <c r="AM12" s="7" t="n"/>
      <c r="AN12" s="7" t="n"/>
      <c r="AO12" s="7" t="n"/>
      <c r="AP12" s="7" t="n"/>
      <c r="AQ12" s="7" t="n"/>
      <c r="AR12" s="7" t="n"/>
      <c r="AS12" s="7" t="n"/>
      <c r="AT12" s="7" t="n"/>
    </row>
    <row r="13" ht="15" customHeight="1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10" t="n"/>
      <c r="Z13" s="7" t="n"/>
      <c r="AA13" s="7" t="n"/>
      <c r="AB13" s="7" t="n"/>
      <c r="AC13" s="7" t="n"/>
      <c r="AD13" s="7" t="n"/>
      <c r="AE13" s="7" t="n"/>
      <c r="AF13" s="7" t="n"/>
      <c r="AG13" s="7" t="n"/>
      <c r="AH13" s="7" t="n"/>
      <c r="AI13" s="7" t="n"/>
      <c r="AJ13" s="7" t="n"/>
      <c r="AK13" s="7" t="n"/>
      <c r="AL13" s="7" t="n"/>
      <c r="AM13" s="7" t="n"/>
      <c r="AN13" s="7" t="n"/>
      <c r="AO13" s="7" t="n"/>
      <c r="AP13" s="7" t="n"/>
      <c r="AQ13" s="7" t="n"/>
      <c r="AR13" s="7" t="n"/>
      <c r="AS13" s="7" t="n"/>
      <c r="AT13" s="7" t="n"/>
    </row>
    <row r="14" ht="15" customHeight="1">
      <c r="A14" s="7" t="n"/>
      <c r="B14" s="7" t="n"/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  <c r="R14" s="7" t="n"/>
      <c r="S14" s="7" t="n"/>
      <c r="T14" s="7" t="n"/>
      <c r="U14" s="7" t="n"/>
      <c r="V14" s="7" t="n"/>
      <c r="W14" s="7" t="n"/>
      <c r="X14" s="7" t="n"/>
      <c r="Y14" s="7" t="n"/>
      <c r="Z14" s="7" t="n"/>
      <c r="AA14" s="7" t="n"/>
      <c r="AB14" s="7" t="n"/>
      <c r="AC14" s="7" t="n"/>
      <c r="AD14" s="7" t="n"/>
      <c r="AE14" s="7" t="n"/>
      <c r="AF14" s="7" t="n"/>
      <c r="AG14" s="7" t="n"/>
      <c r="AH14" s="7" t="n"/>
      <c r="AI14" s="7" t="n"/>
      <c r="AJ14" s="7" t="n"/>
      <c r="AK14" s="7" t="n"/>
      <c r="AL14" s="7" t="n"/>
      <c r="AM14" s="7" t="n"/>
      <c r="AN14" s="7" t="n"/>
      <c r="AO14" s="7" t="n"/>
      <c r="AP14" s="7" t="n"/>
      <c r="AQ14" s="7" t="n"/>
      <c r="AR14" s="7" t="n"/>
      <c r="AS14" s="7" t="n"/>
      <c r="AT14" s="7" t="n"/>
    </row>
    <row r="15" ht="15" customHeight="1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  <c r="R15" s="7" t="n"/>
      <c r="S15" s="7" t="n"/>
      <c r="T15" s="7" t="n"/>
      <c r="U15" s="7" t="n"/>
      <c r="V15" s="7" t="n"/>
      <c r="W15" s="7" t="n"/>
      <c r="X15" s="7" t="n"/>
      <c r="Y15" s="7" t="n"/>
      <c r="Z15" s="7" t="n"/>
      <c r="AA15" s="7" t="n"/>
      <c r="AB15" s="7" t="n"/>
      <c r="AC15" s="7" t="n"/>
      <c r="AD15" s="7" t="n"/>
      <c r="AE15" s="7" t="n"/>
      <c r="AF15" s="7" t="n"/>
      <c r="AG15" s="7" t="n"/>
      <c r="AH15" s="7" t="n"/>
      <c r="AI15" s="7" t="n"/>
      <c r="AJ15" s="7" t="n"/>
      <c r="AK15" s="7" t="n"/>
      <c r="AL15" s="7" t="n"/>
      <c r="AM15" s="7" t="n"/>
      <c r="AN15" s="7" t="n"/>
      <c r="AO15" s="7" t="n"/>
      <c r="AP15" s="7" t="n"/>
      <c r="AQ15" s="7" t="n"/>
      <c r="AR15" s="7" t="n"/>
      <c r="AS15" s="7" t="n"/>
      <c r="AT15" s="7" t="n"/>
    </row>
    <row r="16" ht="15" customHeight="1">
      <c r="A16" s="7" t="n"/>
      <c r="B16" s="7" t="n"/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7" t="n"/>
      <c r="X16" s="7" t="n"/>
      <c r="Y16" s="7" t="n"/>
      <c r="Z16" s="7" t="n"/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7" t="n"/>
      <c r="AO16" s="7" t="n"/>
      <c r="AP16" s="7" t="n"/>
      <c r="AQ16" s="7" t="n"/>
      <c r="AR16" s="7" t="n"/>
      <c r="AS16" s="7" t="n"/>
      <c r="AT16" s="7" t="n"/>
    </row>
    <row r="17" ht="15" customHeight="1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11" t="inlineStr">
        <is>
          <t>CAMINHO</t>
        </is>
      </c>
      <c r="Y17" s="7" t="n"/>
      <c r="Z17" s="11" t="inlineStr">
        <is>
          <t>TRILHA</t>
        </is>
      </c>
      <c r="AJ17" s="7" t="n"/>
      <c r="AK17" s="11" t="inlineStr">
        <is>
          <t>ORIGEM</t>
        </is>
      </c>
    </row>
    <row r="18" ht="15" customHeight="1">
      <c r="A18" s="7" t="n"/>
      <c r="B18" s="7" t="n"/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12">
        <f>IF(FICHA!D11="","—",FICHA!D11)</f>
        <v/>
      </c>
      <c r="Y18" s="7" t="n"/>
      <c r="Z18" s="12">
        <f>IF(FICHA!N11="","—",FICHA!N11)</f>
        <v/>
      </c>
      <c r="AJ18" s="7" t="n"/>
      <c r="AK18" s="12">
        <f>IF(FICHA!X11="","—",FICHA!X11)</f>
        <v/>
      </c>
    </row>
    <row r="19" ht="15" customHeight="1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13" t="n"/>
      <c r="P19" s="13" t="n"/>
      <c r="Q19" s="13" t="n"/>
      <c r="R19" s="13" t="n"/>
      <c r="S19" s="13" t="n"/>
      <c r="T19" s="13" t="n"/>
      <c r="U19" s="13" t="n"/>
      <c r="V19" s="13" t="n"/>
      <c r="W19" s="13" t="n"/>
      <c r="X19" s="13" t="n"/>
      <c r="Y19" s="7" t="n"/>
      <c r="Z19" s="13" t="n"/>
      <c r="AA19" s="13" t="n"/>
      <c r="AB19" s="13" t="n"/>
      <c r="AC19" s="13" t="n"/>
      <c r="AD19" s="13" t="n"/>
      <c r="AE19" s="13" t="n"/>
      <c r="AF19" s="13" t="n"/>
      <c r="AG19" s="13" t="n"/>
      <c r="AH19" s="13" t="n"/>
      <c r="AI19" s="13" t="n"/>
      <c r="AJ19" s="7" t="n"/>
      <c r="AK19" s="13" t="n"/>
      <c r="AL19" s="13" t="n"/>
      <c r="AM19" s="13" t="n"/>
      <c r="AN19" s="13" t="n"/>
      <c r="AO19" s="13" t="n"/>
      <c r="AP19" s="13" t="n"/>
      <c r="AQ19" s="13" t="n"/>
      <c r="AR19" s="13" t="n"/>
      <c r="AS19" s="13" t="n"/>
      <c r="AT19" s="13" t="n"/>
    </row>
    <row r="20" ht="15" customHeight="1">
      <c r="A20" s="7" t="n"/>
      <c r="B20" s="7" t="n"/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  <c r="R20" s="7" t="n"/>
      <c r="S20" s="7" t="n"/>
      <c r="T20" s="7" t="n"/>
      <c r="U20" s="7" t="n"/>
      <c r="V20" s="7" t="n"/>
      <c r="W20" s="7" t="n"/>
      <c r="X20" s="7" t="n"/>
      <c r="Y20" s="7" t="n"/>
      <c r="Z20" s="7" t="n"/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7" t="n"/>
      <c r="AO20" s="7" t="n"/>
      <c r="AP20" s="7" t="n"/>
      <c r="AQ20" s="7" t="n"/>
      <c r="AR20" s="7" t="n"/>
      <c r="AS20" s="7" t="n"/>
      <c r="AT20" s="7" t="n"/>
    </row>
    <row r="21" ht="15" customHeight="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11" t="inlineStr">
        <is>
          <t>NÍVEL</t>
        </is>
      </c>
      <c r="Y21" s="7" t="n"/>
      <c r="Z21" s="11" t="inlineStr">
        <is>
          <t>MESA DE ORIGEM</t>
        </is>
      </c>
      <c r="AJ21" s="7" t="n"/>
      <c r="AK21" s="11" t="inlineStr">
        <is>
          <t>REGISTRADO POR</t>
        </is>
      </c>
    </row>
    <row r="22" ht="15" customHeight="1">
      <c r="A22" s="7" t="n"/>
      <c r="B22" s="7" t="n"/>
      <c r="C22" s="7" t="n"/>
      <c r="D22" s="14" t="inlineStr">
        <is>
          <t>cole a foto por cima desta moldura</t>
        </is>
      </c>
      <c r="N22" s="7" t="n"/>
      <c r="O22" s="12">
        <f>IF(FICHA!AH11="","—",FICHA!AH11)</f>
        <v/>
      </c>
      <c r="Y22" s="7" t="n"/>
      <c r="Z22" s="12" t="n"/>
      <c r="AJ22" s="7" t="n"/>
      <c r="AK22" s="12" t="n"/>
    </row>
    <row r="23" ht="15" customHeight="1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13" t="n"/>
      <c r="P23" s="13" t="n"/>
      <c r="Q23" s="13" t="n"/>
      <c r="R23" s="13" t="n"/>
      <c r="S23" s="13" t="n"/>
      <c r="T23" s="13" t="n"/>
      <c r="U23" s="13" t="n"/>
      <c r="V23" s="13" t="n"/>
      <c r="W23" s="13" t="n"/>
      <c r="X23" s="13" t="n"/>
      <c r="Y23" s="7" t="n"/>
      <c r="Z23" s="13" t="n"/>
      <c r="AA23" s="13" t="n"/>
      <c r="AB23" s="13" t="n"/>
      <c r="AC23" s="13" t="n"/>
      <c r="AD23" s="13" t="n"/>
      <c r="AE23" s="13" t="n"/>
      <c r="AF23" s="13" t="n"/>
      <c r="AG23" s="13" t="n"/>
      <c r="AH23" s="13" t="n"/>
      <c r="AI23" s="13" t="n"/>
      <c r="AJ23" s="7" t="n"/>
      <c r="AK23" s="13" t="n"/>
      <c r="AL23" s="13" t="n"/>
      <c r="AM23" s="13" t="n"/>
      <c r="AN23" s="13" t="n"/>
      <c r="AO23" s="13" t="n"/>
      <c r="AP23" s="13" t="n"/>
      <c r="AQ23" s="13" t="n"/>
      <c r="AR23" s="13" t="n"/>
      <c r="AS23" s="13" t="n"/>
      <c r="AT23" s="13" t="n"/>
    </row>
    <row r="24" ht="15" customHeight="1">
      <c r="A24" s="7" t="n"/>
      <c r="B24" s="7" t="n"/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  <c r="R24" s="7" t="n"/>
      <c r="S24" s="7" t="n"/>
      <c r="T24" s="7" t="n"/>
      <c r="U24" s="7" t="n"/>
      <c r="V24" s="7" t="n"/>
      <c r="W24" s="7" t="n"/>
      <c r="X24" s="7" t="n"/>
      <c r="Y24" s="7" t="n"/>
      <c r="Z24" s="7" t="n"/>
      <c r="AA24" s="7" t="n"/>
      <c r="AB24" s="7" t="n"/>
      <c r="AC24" s="7" t="n"/>
      <c r="AD24" s="7" t="n"/>
      <c r="AE24" s="7" t="n"/>
      <c r="AF24" s="7" t="n"/>
      <c r="AG24" s="7" t="n"/>
      <c r="AH24" s="7" t="n"/>
      <c r="AI24" s="7" t="n"/>
      <c r="AJ24" s="7" t="n"/>
      <c r="AK24" s="7" t="n"/>
      <c r="AL24" s="7" t="n"/>
      <c r="AM24" s="7" t="n"/>
      <c r="AN24" s="7" t="n"/>
      <c r="AO24" s="7" t="n"/>
      <c r="AP24" s="7" t="n"/>
      <c r="AQ24" s="7" t="n"/>
      <c r="AR24" s="7" t="n"/>
      <c r="AS24" s="7" t="n"/>
      <c r="AT24" s="7" t="n"/>
    </row>
    <row r="25" ht="15" customHeight="1">
      <c r="A25" s="7" t="n"/>
      <c r="B25" s="7" t="n"/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  <c r="R25" s="7" t="n"/>
      <c r="S25" s="7" t="n"/>
      <c r="T25" s="7" t="n"/>
      <c r="U25" s="7" t="n"/>
      <c r="V25" s="7" t="n"/>
      <c r="W25" s="7" t="n"/>
      <c r="X25" s="7" t="n"/>
      <c r="Y25" s="7" t="n"/>
      <c r="Z25" s="7" t="n"/>
      <c r="AA25" s="7" t="n"/>
      <c r="AB25" s="7" t="n"/>
      <c r="AC25" s="7" t="n"/>
      <c r="AD25" s="7" t="n"/>
      <c r="AE25" s="7" t="n"/>
      <c r="AF25" s="7" t="n"/>
      <c r="AG25" s="7" t="n"/>
      <c r="AH25" s="7" t="n"/>
      <c r="AI25" s="7" t="n"/>
      <c r="AJ25" s="7" t="n"/>
      <c r="AK25" s="7" t="n"/>
      <c r="AL25" s="7" t="n"/>
      <c r="AM25" s="7" t="n"/>
      <c r="AN25" s="7" t="n"/>
      <c r="AO25" s="7" t="n"/>
      <c r="AP25" s="7" t="n"/>
      <c r="AQ25" s="7" t="n"/>
      <c r="AR25" s="7" t="n"/>
      <c r="AS25" s="7" t="n"/>
      <c r="AT25" s="7" t="n"/>
    </row>
    <row r="26" ht="15" customHeight="1">
      <c r="A26" s="7" t="n"/>
      <c r="B26" s="7" t="n"/>
      <c r="C26" s="7" t="n"/>
      <c r="D26" s="8" t="inlineStr">
        <is>
          <t>TÉCNICA DECLARADA</t>
        </is>
      </c>
      <c r="U26" s="7" t="n"/>
      <c r="V26" s="7" t="n"/>
      <c r="W26" s="7" t="n"/>
      <c r="X26" s="7" t="n"/>
      <c r="Y26" s="7" t="n"/>
      <c r="Z26" s="7" t="n"/>
      <c r="AA26" s="7" t="n"/>
      <c r="AB26" s="7" t="n"/>
      <c r="AC26" s="7" t="n"/>
      <c r="AD26" s="7" t="n"/>
      <c r="AE26" s="7" t="n"/>
      <c r="AF26" s="7" t="n"/>
      <c r="AG26" s="7" t="n"/>
      <c r="AH26" s="7" t="n"/>
      <c r="AI26" s="7" t="n"/>
      <c r="AJ26" s="7" t="n"/>
      <c r="AK26" s="7" t="n"/>
      <c r="AL26" s="7" t="n"/>
      <c r="AM26" s="7" t="n"/>
      <c r="AN26" s="7" t="n"/>
      <c r="AO26" s="7" t="n"/>
      <c r="AP26" s="7" t="n"/>
      <c r="AQ26" s="7" t="n"/>
      <c r="AR26" s="7" t="n"/>
      <c r="AS26" s="7" t="n"/>
      <c r="AT26" s="7" t="n"/>
    </row>
    <row r="27" ht="15" customHeight="1">
      <c r="A27" s="7" t="n"/>
      <c r="B27" s="7" t="n"/>
      <c r="C27" s="7" t="n"/>
      <c r="D27" s="15" t="n"/>
      <c r="Y27" s="7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7" t="n"/>
      <c r="AO27" s="7" t="n"/>
      <c r="AP27" s="7" t="n"/>
      <c r="AQ27" s="7" t="n"/>
      <c r="AR27" s="7" t="n"/>
      <c r="AS27" s="7" t="n"/>
      <c r="AT27" s="7" t="n"/>
    </row>
    <row r="28" ht="15" customHeight="1">
      <c r="A28" s="7" t="n"/>
      <c r="B28" s="7" t="n"/>
      <c r="C28" s="7" t="n"/>
      <c r="Y28" s="7" t="n"/>
      <c r="Z28" s="7" t="n"/>
      <c r="AA28" s="7" t="n"/>
      <c r="AB28" s="7" t="n"/>
      <c r="AC28" s="7" t="n"/>
      <c r="AD28" s="7" t="n"/>
      <c r="AE28" s="7" t="n"/>
      <c r="AF28" s="7" t="n"/>
      <c r="AG28" s="7" t="n"/>
      <c r="AH28" s="7" t="n"/>
      <c r="AI28" s="7" t="n"/>
      <c r="AJ28" s="7" t="n"/>
      <c r="AK28" s="7" t="n"/>
      <c r="AL28" s="7" t="n"/>
      <c r="AM28" s="7" t="n"/>
      <c r="AN28" s="7" t="n"/>
      <c r="AO28" s="7" t="n"/>
      <c r="AP28" s="7" t="n"/>
      <c r="AQ28" s="7" t="n"/>
      <c r="AR28" s="7" t="n"/>
      <c r="AS28" s="7" t="n"/>
      <c r="AT28" s="7" t="n"/>
    </row>
    <row r="29" ht="15" customHeight="1">
      <c r="A29" s="7" t="n"/>
      <c r="B29" s="7" t="n"/>
      <c r="C29" s="7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  <c r="W29" s="13" t="n"/>
      <c r="X29" s="13" t="n"/>
      <c r="Y29" s="7" t="n"/>
      <c r="Z29" s="7" t="n"/>
      <c r="AA29" s="7" t="n"/>
      <c r="AB29" s="7" t="n"/>
      <c r="AC29" s="7" t="n"/>
      <c r="AD29" s="7" t="n"/>
      <c r="AE29" s="7" t="n"/>
      <c r="AF29" s="7" t="n"/>
      <c r="AG29" s="7" t="n"/>
      <c r="AH29" s="7" t="n"/>
      <c r="AI29" s="7" t="n"/>
      <c r="AJ29" s="7" t="n"/>
      <c r="AK29" s="7" t="n"/>
      <c r="AL29" s="7" t="n"/>
      <c r="AM29" s="7" t="n"/>
      <c r="AN29" s="7" t="n"/>
      <c r="AO29" s="7" t="n"/>
      <c r="AP29" s="7" t="n"/>
      <c r="AQ29" s="7" t="n"/>
      <c r="AR29" s="7" t="n"/>
      <c r="AS29" s="7" t="n"/>
      <c r="AT29" s="7" t="n"/>
    </row>
    <row r="30" ht="15" customHeight="1">
      <c r="A30" s="7" t="n"/>
      <c r="B30" s="7" t="n"/>
      <c r="C30" s="7" t="n"/>
      <c r="D30" s="16" t="n"/>
      <c r="AE30" s="7" t="n"/>
      <c r="AF30" s="7" t="n"/>
      <c r="AG30" s="7" t="n"/>
      <c r="AH30" s="7" t="n"/>
      <c r="AI30" s="7" t="n"/>
      <c r="AJ30" s="7" t="n"/>
      <c r="AK30" s="7" t="n"/>
      <c r="AL30" s="7" t="n"/>
      <c r="AM30" s="7" t="n"/>
      <c r="AN30" s="7" t="n"/>
      <c r="AO30" s="7" t="n"/>
      <c r="AP30" s="7" t="n"/>
      <c r="AQ30" s="7" t="n"/>
      <c r="AR30" s="7" t="n"/>
      <c r="AS30" s="7" t="n"/>
      <c r="AT30" s="7" t="n"/>
    </row>
    <row r="31" ht="15" customHeight="1">
      <c r="A31" s="7" t="n"/>
      <c r="B31" s="7" t="n"/>
      <c r="C31" s="7" t="n"/>
      <c r="AE31" s="7" t="n"/>
      <c r="AF31" s="7" t="n"/>
      <c r="AG31" s="7" t="n"/>
      <c r="AH31" s="7" t="n"/>
      <c r="AI31" s="7" t="n"/>
      <c r="AJ31" s="7" t="n"/>
      <c r="AK31" s="7" t="n"/>
      <c r="AL31" s="7" t="n"/>
      <c r="AM31" s="7" t="n"/>
      <c r="AN31" s="7" t="n"/>
      <c r="AO31" s="7" t="n"/>
      <c r="AP31" s="7" t="n"/>
      <c r="AQ31" s="7" t="n"/>
      <c r="AR31" s="7" t="n"/>
      <c r="AS31" s="7" t="n"/>
      <c r="AT31" s="7" t="n"/>
    </row>
    <row r="32" ht="15" customHeight="1">
      <c r="A32" s="7" t="n"/>
      <c r="B32" s="7" t="n"/>
      <c r="C32" s="7" t="n"/>
      <c r="D32" s="14" t="inlineStr">
        <is>
          <t>uma linha sobre o que a técnica é. o resto está na aba TÉCNICA.</t>
        </is>
      </c>
      <c r="AE32" s="7" t="n"/>
      <c r="AF32" s="7" t="n"/>
      <c r="AG32" s="7" t="n"/>
      <c r="AH32" s="7" t="n"/>
      <c r="AI32" s="7" t="n"/>
      <c r="AJ32" s="7" t="n"/>
      <c r="AK32" s="7" t="n"/>
      <c r="AL32" s="7" t="n"/>
      <c r="AM32" s="7" t="n"/>
      <c r="AN32" s="7" t="n"/>
      <c r="AO32" s="7" t="n"/>
      <c r="AP32" s="7" t="n"/>
      <c r="AQ32" s="7" t="n"/>
      <c r="AR32" s="7" t="n"/>
      <c r="AS32" s="7" t="n"/>
      <c r="AT32" s="7" t="n"/>
    </row>
    <row r="33" ht="15" customHeight="1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7" t="n"/>
      <c r="AA33" s="7" t="n"/>
      <c r="AB33" s="7" t="n"/>
      <c r="AC33" s="7" t="n"/>
      <c r="AD33" s="7" t="n"/>
      <c r="AE33" s="7" t="n"/>
      <c r="AF33" s="7" t="n"/>
      <c r="AG33" s="7" t="n"/>
      <c r="AH33" s="7" t="n"/>
      <c r="AI33" s="7" t="n"/>
      <c r="AJ33" s="7" t="n"/>
      <c r="AK33" s="17" t="inlineStr">
        <is>
          <t>SELO REGISTRADO</t>
        </is>
      </c>
    </row>
    <row r="34" ht="15" customHeight="1">
      <c r="A34" s="7" t="n"/>
      <c r="B34" s="7" t="n"/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  <c r="R34" s="7" t="n"/>
      <c r="S34" s="7" t="n"/>
      <c r="T34" s="7" t="n"/>
      <c r="U34" s="7" t="n"/>
      <c r="V34" s="7" t="n"/>
      <c r="W34" s="7" t="n"/>
      <c r="X34" s="7" t="n"/>
      <c r="Y34" s="7" t="n"/>
      <c r="Z34" s="7" t="n"/>
      <c r="AA34" s="7" t="n"/>
      <c r="AB34" s="7" t="n"/>
      <c r="AC34" s="7" t="n"/>
      <c r="AD34" s="7" t="n"/>
      <c r="AE34" s="7" t="n"/>
      <c r="AF34" s="7" t="n"/>
      <c r="AG34" s="7" t="n"/>
      <c r="AH34" s="7" t="n"/>
      <c r="AI34" s="7" t="n"/>
      <c r="AJ34" s="7" t="n"/>
      <c r="AK34" s="7" t="n"/>
      <c r="AL34" s="7" t="n"/>
      <c r="AM34" s="7" t="n"/>
      <c r="AN34" s="7" t="n"/>
      <c r="AO34" s="7" t="n"/>
      <c r="AP34" s="7" t="n"/>
      <c r="AQ34" s="7" t="n"/>
      <c r="AR34" s="7" t="n"/>
      <c r="AS34" s="7" t="n"/>
      <c r="AT34" s="7" t="n"/>
    </row>
    <row r="35" ht="15" customHeight="1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7" t="n"/>
      <c r="Z35" s="7" t="n"/>
      <c r="AA35" s="7" t="n"/>
      <c r="AB35" s="7" t="n"/>
      <c r="AC35" s="7" t="n"/>
      <c r="AD35" s="7" t="n"/>
      <c r="AE35" s="7" t="n"/>
      <c r="AF35" s="7" t="n"/>
      <c r="AG35" s="7" t="n"/>
      <c r="AH35" s="7" t="n"/>
      <c r="AI35" s="7" t="n"/>
      <c r="AJ35" s="7" t="n"/>
      <c r="AK35" s="7" t="n"/>
      <c r="AL35" s="7" t="n"/>
      <c r="AM35" s="7" t="n"/>
      <c r="AN35" s="7" t="n"/>
      <c r="AO35" s="7" t="n"/>
      <c r="AP35" s="7" t="n"/>
      <c r="AQ35" s="7" t="n"/>
      <c r="AR35" s="7" t="n"/>
      <c r="AS35" s="7" t="n"/>
      <c r="AT35" s="7" t="n"/>
    </row>
    <row r="36" ht="15" customHeight="1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7" t="n"/>
      <c r="Z36" s="7" t="n"/>
      <c r="AA36" s="7" t="n"/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/>
      <c r="AM36" s="7" t="n"/>
      <c r="AN36" s="7" t="n"/>
      <c r="AO36" s="7" t="n"/>
      <c r="AP36" s="7" t="n"/>
      <c r="AQ36" s="7" t="n"/>
      <c r="AR36" s="7" t="n"/>
      <c r="AS36" s="7" t="n"/>
      <c r="AT36" s="7" t="n"/>
    </row>
    <row r="37" ht="15" customHeight="1">
      <c r="A37" s="7" t="n"/>
      <c r="B37" s="7" t="n"/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  <c r="W37" s="13" t="n"/>
      <c r="X37" s="13" t="n"/>
      <c r="Y37" s="13" t="n"/>
      <c r="Z37" s="13" t="n"/>
      <c r="AA37" s="13" t="n"/>
      <c r="AB37" s="13" t="n"/>
      <c r="AC37" s="13" t="n"/>
      <c r="AD37" s="13" t="n"/>
      <c r="AE37" s="13" t="n"/>
      <c r="AF37" s="13" t="n"/>
      <c r="AG37" s="13" t="n"/>
      <c r="AH37" s="13" t="n"/>
      <c r="AI37" s="13" t="n"/>
      <c r="AJ37" s="13" t="n"/>
      <c r="AK37" s="13" t="n"/>
      <c r="AL37" s="13" t="n"/>
      <c r="AM37" s="13" t="n"/>
      <c r="AN37" s="13" t="n"/>
      <c r="AO37" s="13" t="n"/>
      <c r="AP37" s="13" t="n"/>
      <c r="AQ37" s="13" t="n"/>
      <c r="AR37" s="13" t="n"/>
      <c r="AS37" s="13" t="n"/>
      <c r="AT37" s="13" t="n"/>
    </row>
    <row r="38" ht="15" customHeight="1">
      <c r="A38" s="7" t="n"/>
      <c r="B38" s="7" t="n"/>
      <c r="C38" s="18" t="inlineStr">
        <is>
          <t>esta carteira acompanha o portador entre mesas. a ficha completa está nas páginas seguintes.</t>
        </is>
      </c>
      <c r="AE38" s="7" t="n"/>
      <c r="AF38" s="7" t="n"/>
      <c r="AG38" s="7" t="n"/>
      <c r="AH38" s="19">
        <f>IF(FICHA!D11="","—",UPPER(LEFT(FICHA!D11,3))&amp;"-"&amp;TEXT(FICHA!AH11,"00"))</f>
        <v/>
      </c>
    </row>
    <row r="39" ht="15" customHeight="1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  <c r="R39" s="7" t="n"/>
      <c r="S39" s="7" t="n"/>
      <c r="T39" s="7" t="n"/>
      <c r="U39" s="7" t="n"/>
      <c r="V39" s="7" t="n"/>
      <c r="W39" s="7" t="n"/>
      <c r="X39" s="7" t="n"/>
      <c r="Y39" s="7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7" t="n"/>
      <c r="AO39" s="7" t="n"/>
      <c r="AP39" s="7" t="n"/>
      <c r="AQ39" s="7" t="n"/>
      <c r="AR39" s="7" t="n"/>
      <c r="AS39" s="7" t="n"/>
      <c r="AT39" s="7" t="n"/>
    </row>
    <row r="40" ht="15" customHeight="1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  <c r="R40" s="7" t="n"/>
      <c r="S40" s="7" t="n"/>
      <c r="T40" s="7" t="n"/>
      <c r="U40" s="7" t="n"/>
      <c r="V40" s="7" t="n"/>
      <c r="W40" s="7" t="n"/>
      <c r="X40" s="7" t="n"/>
      <c r="Y40" s="7" t="n"/>
      <c r="Z40" s="7" t="n"/>
      <c r="AA40" s="7" t="n"/>
      <c r="AB40" s="7" t="n"/>
      <c r="AC40" s="7" t="n"/>
      <c r="AD40" s="7" t="n"/>
      <c r="AE40" s="7" t="n"/>
      <c r="AF40" s="7" t="n"/>
      <c r="AG40" s="7" t="n"/>
      <c r="AH40" s="7" t="n"/>
      <c r="AI40" s="7" t="n"/>
      <c r="AJ40" s="7" t="n"/>
      <c r="AK40" s="7" t="n"/>
      <c r="AL40" s="7" t="n"/>
      <c r="AM40" s="7" t="n"/>
      <c r="AN40" s="7" t="n"/>
      <c r="AO40" s="7" t="n"/>
      <c r="AP40" s="7" t="n"/>
      <c r="AQ40" s="7" t="n"/>
      <c r="AR40" s="7" t="n"/>
      <c r="AS40" s="7" t="n"/>
      <c r="AT40" s="7" t="n"/>
    </row>
    <row r="41" ht="15" customHeight="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  <c r="R41" s="7" t="n"/>
      <c r="S41" s="7" t="n"/>
      <c r="T41" s="7" t="n"/>
      <c r="U41" s="7" t="n"/>
      <c r="V41" s="7" t="n"/>
      <c r="W41" s="7" t="n"/>
      <c r="X41" s="7" t="n"/>
      <c r="Y41" s="7" t="n"/>
      <c r="Z41" s="7" t="n"/>
      <c r="AA41" s="7" t="n"/>
      <c r="AB41" s="7" t="n"/>
      <c r="AC41" s="7" t="n"/>
      <c r="AD41" s="7" t="n"/>
      <c r="AE41" s="7" t="n"/>
      <c r="AF41" s="7" t="n"/>
      <c r="AG41" s="7" t="n"/>
      <c r="AH41" s="7" t="n"/>
      <c r="AI41" s="7" t="n"/>
      <c r="AJ41" s="7" t="n"/>
      <c r="AK41" s="7" t="n"/>
      <c r="AL41" s="7" t="n"/>
      <c r="AM41" s="7" t="n"/>
      <c r="AN41" s="7" t="n"/>
      <c r="AO41" s="7" t="n"/>
      <c r="AP41" s="7" t="n"/>
      <c r="AQ41" s="7" t="n"/>
      <c r="AR41" s="7" t="n"/>
      <c r="AS41" s="7" t="n"/>
      <c r="AT41" s="7" t="n"/>
    </row>
    <row r="42" ht="15" customHeight="1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  <c r="R42" s="7" t="n"/>
      <c r="S42" s="7" t="n"/>
      <c r="T42" s="7" t="n"/>
      <c r="U42" s="7" t="n"/>
      <c r="V42" s="7" t="n"/>
      <c r="W42" s="7" t="n"/>
      <c r="X42" s="7" t="n"/>
      <c r="Y42" s="7" t="n"/>
      <c r="Z42" s="7" t="n"/>
      <c r="AA42" s="7" t="n"/>
      <c r="AB42" s="7" t="n"/>
      <c r="AC42" s="7" t="n"/>
      <c r="AD42" s="7" t="n"/>
      <c r="AE42" s="7" t="n"/>
      <c r="AF42" s="7" t="n"/>
      <c r="AG42" s="7" t="n"/>
      <c r="AH42" s="7" t="n"/>
      <c r="AI42" s="7" t="n"/>
      <c r="AJ42" s="7" t="n"/>
      <c r="AK42" s="7" t="n"/>
      <c r="AL42" s="7" t="n"/>
      <c r="AM42" s="7" t="n"/>
      <c r="AN42" s="7" t="n"/>
      <c r="AO42" s="7" t="n"/>
      <c r="AP42" s="7" t="n"/>
      <c r="AQ42" s="7" t="n"/>
      <c r="AR42" s="7" t="n"/>
      <c r="AS42" s="7" t="n"/>
      <c r="AT42" s="7" t="n"/>
    </row>
    <row r="43" ht="15" customHeight="1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  <c r="R43" s="7" t="n"/>
      <c r="S43" s="7" t="n"/>
      <c r="T43" s="7" t="n"/>
      <c r="U43" s="7" t="n"/>
      <c r="V43" s="7" t="n"/>
      <c r="W43" s="7" t="n"/>
      <c r="X43" s="7" t="n"/>
      <c r="Y43" s="7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7" t="n"/>
      <c r="AO43" s="7" t="n"/>
      <c r="AP43" s="7" t="n"/>
      <c r="AQ43" s="7" t="n"/>
      <c r="AR43" s="7" t="n"/>
      <c r="AS43" s="7" t="n"/>
      <c r="AT43" s="7" t="n"/>
    </row>
    <row r="44" ht="15" customHeight="1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  <c r="R44" s="7" t="n"/>
      <c r="S44" s="7" t="n"/>
      <c r="T44" s="7" t="n"/>
      <c r="U44" s="7" t="n"/>
      <c r="V44" s="7" t="n"/>
      <c r="W44" s="7" t="n"/>
      <c r="X44" s="7" t="n"/>
      <c r="Y44" s="7" t="n"/>
      <c r="Z44" s="7" t="n"/>
      <c r="AA44" s="7" t="n"/>
      <c r="AB44" s="7" t="n"/>
      <c r="AC44" s="7" t="n"/>
      <c r="AD44" s="7" t="n"/>
      <c r="AE44" s="7" t="n"/>
      <c r="AF44" s="7" t="n"/>
      <c r="AG44" s="7" t="n"/>
      <c r="AH44" s="7" t="n"/>
      <c r="AI44" s="7" t="n"/>
      <c r="AJ44" s="7" t="n"/>
      <c r="AK44" s="7" t="n"/>
      <c r="AL44" s="7" t="n"/>
      <c r="AM44" s="7" t="n"/>
      <c r="AN44" s="7" t="n"/>
      <c r="AO44" s="7" t="n"/>
      <c r="AP44" s="7" t="n"/>
      <c r="AQ44" s="7" t="n"/>
      <c r="AR44" s="7" t="n"/>
      <c r="AS44" s="7" t="n"/>
      <c r="AT44" s="7" t="n"/>
    </row>
  </sheetData>
  <mergeCells count="28">
    <mergeCell ref="O13:Y13"/>
    <mergeCell ref="D26:T26"/>
    <mergeCell ref="AK22:AT22"/>
    <mergeCell ref="C2:J3"/>
    <mergeCell ref="O17:X17"/>
    <mergeCell ref="AH2:AT2"/>
    <mergeCell ref="D30:AD31"/>
    <mergeCell ref="D32:AD32"/>
    <mergeCell ref="C38:AD38"/>
    <mergeCell ref="AK17:AT17"/>
    <mergeCell ref="AH3:AT3"/>
    <mergeCell ref="L2:AD2"/>
    <mergeCell ref="D27:X28"/>
    <mergeCell ref="O18:X18"/>
    <mergeCell ref="D22:M22"/>
    <mergeCell ref="AK18:AT18"/>
    <mergeCell ref="L3:AD3"/>
    <mergeCell ref="AH38:AT38"/>
    <mergeCell ref="AK33:AT33"/>
    <mergeCell ref="Z22:AI22"/>
    <mergeCell ref="O9:AH12"/>
    <mergeCell ref="O22:X22"/>
    <mergeCell ref="O8:Y8"/>
    <mergeCell ref="Z18:AI18"/>
    <mergeCell ref="AK21:AT21"/>
    <mergeCell ref="Z21:AI21"/>
    <mergeCell ref="Z17:AI17"/>
    <mergeCell ref="O21:X21"/>
  </mergeCell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92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7" t="n"/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  <c r="L1" s="7" t="n"/>
      <c r="M1" s="7" t="n"/>
      <c r="N1" s="7" t="n"/>
      <c r="O1" s="7" t="n"/>
      <c r="P1" s="7" t="n"/>
      <c r="Q1" s="7" t="n"/>
      <c r="R1" s="7" t="n"/>
      <c r="S1" s="7" t="n"/>
      <c r="T1" s="7" t="n"/>
      <c r="U1" s="7" t="n"/>
      <c r="V1" s="7" t="n"/>
      <c r="W1" s="7" t="n"/>
      <c r="X1" s="7" t="n"/>
      <c r="Y1" s="7" t="n"/>
      <c r="Z1" s="7" t="n"/>
      <c r="AA1" s="7" t="n"/>
      <c r="AB1" s="7" t="n"/>
      <c r="AC1" s="7" t="n"/>
      <c r="AD1" s="7" t="n"/>
      <c r="AE1" s="7" t="n"/>
      <c r="AF1" s="7" t="n"/>
      <c r="AG1" s="7" t="n"/>
      <c r="AH1" s="7" t="n"/>
      <c r="AI1" s="7" t="n"/>
      <c r="AJ1" s="7" t="n"/>
      <c r="AK1" s="7" t="n"/>
      <c r="AL1" s="7" t="n"/>
      <c r="AM1" s="7" t="n"/>
      <c r="AN1" s="7" t="n"/>
      <c r="AO1" s="7" t="n"/>
      <c r="AP1" s="7" t="n"/>
      <c r="AQ1" s="7" t="n"/>
      <c r="AR1" s="7" t="n"/>
      <c r="AS1" s="7" t="n"/>
      <c r="AT1" s="7" t="n"/>
    </row>
    <row r="2" ht="15" customHeight="1">
      <c r="A2" s="7" t="n"/>
      <c r="B2" s="7" t="n"/>
      <c r="C2" s="7" t="n"/>
      <c r="D2" s="20" t="inlineStr">
        <is>
          <t>GUILDA · FICHA DE REGISTRO</t>
        </is>
      </c>
      <c r="Y2" s="7" t="n"/>
      <c r="Z2" s="7" t="n"/>
      <c r="AA2" s="7" t="n"/>
      <c r="AB2" s="7" t="n"/>
      <c r="AC2" s="7" t="n"/>
      <c r="AD2" s="7" t="n"/>
      <c r="AE2" s="7" t="n"/>
      <c r="AF2" s="7" t="n"/>
      <c r="AG2" s="7" t="n"/>
      <c r="AH2" s="17" t="inlineStr">
        <is>
          <t>CATÁLOGO</t>
        </is>
      </c>
    </row>
    <row r="3" ht="15" customHeight="1">
      <c r="A3" s="7" t="n"/>
      <c r="B3" s="7" t="n"/>
      <c r="C3" s="7" t="n"/>
      <c r="D3" s="21">
        <f>IF(CARTEIRA!O9="","",CARTEIRA!O9)</f>
        <v/>
      </c>
      <c r="AA3" s="7" t="n"/>
      <c r="AB3" s="7" t="n"/>
      <c r="AC3" s="7" t="n"/>
      <c r="AD3" s="7" t="n"/>
      <c r="AE3" s="7" t="n"/>
      <c r="AF3" s="7" t="n"/>
      <c r="AG3" s="7" t="n"/>
      <c r="AH3" s="22">
        <f>IF(DADOS!$B$1=DADOS!$D$1,"v"&amp;DADOS!$B$1&amp;" · em dia","⚠ v"&amp;DADOS!$B$1&amp;" · a atual é a v"&amp;DADOS!$D$1)</f>
        <v/>
      </c>
    </row>
    <row r="4" ht="15" customHeight="1">
      <c r="A4" s="7" t="n"/>
      <c r="B4" s="7" t="n"/>
      <c r="C4" s="7" t="n"/>
      <c r="AA4" s="7" t="n"/>
      <c r="AB4" s="7" t="n"/>
      <c r="AC4" s="7" t="n"/>
      <c r="AD4" s="7" t="n"/>
      <c r="AE4" s="7" t="n"/>
      <c r="AF4" s="7" t="n"/>
      <c r="AG4" s="7" t="n"/>
      <c r="AH4" s="7" t="n"/>
      <c r="AI4" s="7" t="n"/>
      <c r="AJ4" s="7" t="n"/>
      <c r="AK4" s="7" t="n"/>
      <c r="AL4" s="7" t="n"/>
      <c r="AM4" s="7" t="n"/>
      <c r="AN4" s="7" t="n"/>
      <c r="AO4" s="7" t="n"/>
      <c r="AP4" s="7" t="n"/>
      <c r="AQ4" s="7" t="n"/>
      <c r="AR4" s="7" t="n"/>
      <c r="AS4" s="7" t="n"/>
      <c r="AT4" s="7" t="n"/>
    </row>
    <row r="5" ht="15" customHeight="1">
      <c r="A5" s="7" t="n"/>
      <c r="B5" s="7" t="n"/>
      <c r="C5" s="7" t="n"/>
      <c r="D5" s="14" t="inlineStr">
        <is>
          <t>o nome do portador vai na CARTEIRA e cai aqui sozinho</t>
        </is>
      </c>
      <c r="AA5" s="7" t="n"/>
      <c r="AB5" s="7" t="n"/>
      <c r="AC5" s="7" t="n"/>
      <c r="AD5" s="7" t="n"/>
      <c r="AE5" s="7" t="n"/>
      <c r="AF5" s="7" t="n"/>
      <c r="AG5" s="7" t="n"/>
      <c r="AH5" s="7" t="n"/>
      <c r="AI5" s="7" t="n"/>
      <c r="AJ5" s="7" t="n"/>
      <c r="AK5" s="7" t="n"/>
      <c r="AL5" s="7" t="n"/>
      <c r="AM5" s="7" t="n"/>
      <c r="AN5" s="7" t="n"/>
      <c r="AO5" s="7" t="n"/>
      <c r="AP5" s="7" t="n"/>
      <c r="AQ5" s="7" t="n"/>
      <c r="AR5" s="7" t="n"/>
      <c r="AS5" s="7" t="n"/>
      <c r="AT5" s="7" t="n"/>
    </row>
    <row r="6" ht="15" customHeight="1">
      <c r="A6" s="7" t="n"/>
      <c r="B6" s="7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23" t="n"/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23" t="n"/>
      <c r="AR6" s="23" t="n"/>
      <c r="AS6" s="23" t="n"/>
      <c r="AT6" s="23" t="n"/>
    </row>
    <row r="7" ht="15" customHeight="1">
      <c r="A7" s="7" t="n"/>
      <c r="B7" s="7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23" t="n"/>
      <c r="N7" s="23" t="n"/>
      <c r="O7" s="23" t="n"/>
      <c r="P7" s="23" t="n"/>
      <c r="Q7" s="23" t="n"/>
      <c r="R7" s="23" t="n"/>
      <c r="S7" s="23" t="n"/>
      <c r="T7" s="23" t="n"/>
      <c r="U7" s="23" t="n"/>
      <c r="V7" s="23" t="n"/>
      <c r="W7" s="23" t="n"/>
      <c r="X7" s="23" t="n"/>
      <c r="Y7" s="23" t="n"/>
      <c r="Z7" s="23" t="n"/>
      <c r="AA7" s="23" t="n"/>
      <c r="AB7" s="23" t="n"/>
      <c r="AC7" s="23" t="n"/>
      <c r="AD7" s="23" t="n"/>
      <c r="AE7" s="23" t="n"/>
      <c r="AF7" s="23" t="n"/>
      <c r="AG7" s="23" t="n"/>
      <c r="AH7" s="23" t="n"/>
      <c r="AI7" s="23" t="n"/>
      <c r="AJ7" s="23" t="n"/>
      <c r="AK7" s="23" t="n"/>
      <c r="AL7" s="23" t="n"/>
      <c r="AM7" s="23" t="n"/>
      <c r="AN7" s="23" t="n"/>
      <c r="AO7" s="23" t="n"/>
      <c r="AP7" s="23" t="n"/>
      <c r="AQ7" s="23" t="n"/>
      <c r="AR7" s="23" t="n"/>
      <c r="AS7" s="23" t="n"/>
      <c r="AT7" s="23" t="n"/>
    </row>
    <row r="8" ht="15" customHeight="1">
      <c r="A8" s="24" t="inlineStr">
        <is>
          <t>PROJETO M</t>
        </is>
      </c>
      <c r="C8" s="23" t="n"/>
      <c r="D8" s="25" t="inlineStr">
        <is>
          <t>01</t>
        </is>
      </c>
      <c r="G8" s="26" t="inlineStr">
        <is>
          <t>QUEM É</t>
        </is>
      </c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C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C10" s="23" t="n"/>
      <c r="D10" s="27" t="inlineStr">
        <is>
          <t>CAMINHO</t>
        </is>
      </c>
      <c r="M10" s="23" t="n"/>
      <c r="N10" s="27" t="inlineStr">
        <is>
          <t>TRILHA</t>
        </is>
      </c>
      <c r="W10" s="23" t="n"/>
      <c r="X10" s="27" t="inlineStr">
        <is>
          <t>ORIGEM</t>
        </is>
      </c>
      <c r="AG10" s="23" t="n"/>
      <c r="AH10" s="27" t="inlineStr">
        <is>
          <t>NÍVEL</t>
        </is>
      </c>
      <c r="AM10" s="23" t="n"/>
      <c r="AN10" s="27" t="inlineStr">
        <is>
          <t>XP · NA MÃO</t>
        </is>
      </c>
    </row>
    <row r="11" ht="15" customHeight="1">
      <c r="C11" s="23" t="n"/>
      <c r="D11" s="28" t="n"/>
      <c r="M11" s="23" t="n"/>
      <c r="N11" s="28" t="n"/>
      <c r="W11" s="23" t="n"/>
      <c r="X11" s="28" t="n"/>
      <c r="AG11" s="23" t="n"/>
      <c r="AH11" s="29" t="n">
        <v>2</v>
      </c>
      <c r="AM11" s="23" t="n"/>
      <c r="AN11" s="30" t="n">
        <v>0</v>
      </c>
    </row>
    <row r="12" ht="15" customHeight="1">
      <c r="C12" s="23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23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W12" s="23" t="n"/>
      <c r="X12" s="31" t="n"/>
      <c r="Y12" s="31" t="n"/>
      <c r="Z12" s="31" t="n"/>
      <c r="AA12" s="31" t="n"/>
      <c r="AB12" s="31" t="n"/>
      <c r="AC12" s="31" t="n"/>
      <c r="AD12" s="31" t="n"/>
      <c r="AE12" s="31" t="n"/>
      <c r="AF12" s="31" t="n"/>
      <c r="AG12" s="23" t="n"/>
      <c r="AH12" s="31" t="n"/>
      <c r="AI12" s="31" t="n"/>
      <c r="AJ12" s="31" t="n"/>
      <c r="AK12" s="31" t="n"/>
      <c r="AL12" s="31" t="n"/>
      <c r="AM12" s="23" t="n"/>
      <c r="AN12" s="31" t="n"/>
      <c r="AO12" s="31" t="n"/>
      <c r="AP12" s="31" t="n"/>
      <c r="AQ12" s="31" t="n"/>
      <c r="AR12" s="31" t="n"/>
      <c r="AS12" s="31" t="n"/>
      <c r="AT12" s="31" t="n"/>
    </row>
    <row r="13" ht="15" customHeight="1"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C14" s="23" t="n"/>
      <c r="D14" s="25" t="inlineStr">
        <is>
          <t>02</t>
        </is>
      </c>
      <c r="G14" s="26" t="inlineStr">
        <is>
          <t>O CORPO</t>
        </is>
      </c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C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C16" s="23" t="n"/>
      <c r="D16" s="27" t="inlineStr">
        <is>
          <t>FOR</t>
        </is>
      </c>
      <c r="K16" s="23" t="n"/>
      <c r="L16" s="27" t="inlineStr">
        <is>
          <t>DES</t>
        </is>
      </c>
      <c r="S16" s="23" t="n"/>
      <c r="T16" s="27" t="inlineStr">
        <is>
          <t>CON</t>
        </is>
      </c>
      <c r="AA16" s="23" t="n"/>
      <c r="AB16" s="27" t="inlineStr">
        <is>
          <t>INT</t>
        </is>
      </c>
      <c r="AI16" s="23" t="n"/>
      <c r="AJ16" s="27" t="inlineStr">
        <is>
          <t>ESS</t>
        </is>
      </c>
      <c r="AQ16" s="23" t="n"/>
      <c r="AR16" s="23" t="n"/>
      <c r="AS16" s="23" t="n"/>
      <c r="AT16" s="23" t="n"/>
    </row>
    <row r="17" ht="15" customHeight="1">
      <c r="C17" s="23" t="n"/>
      <c r="D17" s="32" t="n">
        <v>0</v>
      </c>
      <c r="K17" s="23" t="n"/>
      <c r="L17" s="32" t="n">
        <v>0</v>
      </c>
      <c r="S17" s="23" t="n"/>
      <c r="T17" s="32" t="n">
        <v>0</v>
      </c>
      <c r="AA17" s="23" t="n"/>
      <c r="AB17" s="32" t="n">
        <v>0</v>
      </c>
      <c r="AI17" s="23" t="n"/>
      <c r="AJ17" s="32" t="n">
        <v>0</v>
      </c>
      <c r="AQ17" s="23" t="n"/>
      <c r="AR17" s="23" t="n"/>
      <c r="AS17" s="23" t="n"/>
      <c r="AT17" s="23" t="n"/>
    </row>
    <row r="18" ht="15" customHeight="1">
      <c r="C18" s="23" t="n"/>
      <c r="K18" s="23" t="n"/>
      <c r="S18" s="23" t="n"/>
      <c r="AA18" s="23" t="n"/>
      <c r="AI18" s="23" t="n"/>
      <c r="AQ18" s="23" t="n"/>
      <c r="AR18" s="23" t="n"/>
      <c r="AS18" s="23" t="n"/>
      <c r="AT18" s="23" t="n"/>
    </row>
    <row r="19" ht="15" customHeight="1">
      <c r="C19" s="23" t="n"/>
      <c r="D19" s="33" t="inlineStr">
        <is>
          <t>Força</t>
        </is>
      </c>
      <c r="K19" s="23" t="n"/>
      <c r="L19" s="33" t="inlineStr">
        <is>
          <t>Destreza</t>
        </is>
      </c>
      <c r="S19" s="23" t="n"/>
      <c r="T19" s="33" t="inlineStr">
        <is>
          <t>Constituição</t>
        </is>
      </c>
      <c r="AA19" s="23" t="n"/>
      <c r="AB19" s="33" t="inlineStr">
        <is>
          <t>Inteligência</t>
        </is>
      </c>
      <c r="AI19" s="23" t="n"/>
      <c r="AJ19" s="33" t="inlineStr">
        <is>
          <t>Essência</t>
        </is>
      </c>
      <c r="AQ19" s="23" t="n"/>
      <c r="AR19" s="23" t="n"/>
      <c r="AS19" s="23" t="n"/>
      <c r="AT19" s="23" t="n"/>
    </row>
    <row r="20" ht="15" customHeight="1">
      <c r="C20" s="23" t="n"/>
      <c r="D20" s="31" t="n"/>
      <c r="E20" s="31" t="n"/>
      <c r="F20" s="31" t="n"/>
      <c r="G20" s="31" t="n"/>
      <c r="H20" s="31" t="n"/>
      <c r="I20" s="31" t="n"/>
      <c r="J20" s="31" t="n"/>
      <c r="K20" s="23" t="n"/>
      <c r="L20" s="31" t="n"/>
      <c r="M20" s="31" t="n"/>
      <c r="N20" s="31" t="n"/>
      <c r="O20" s="31" t="n"/>
      <c r="P20" s="31" t="n"/>
      <c r="Q20" s="31" t="n"/>
      <c r="R20" s="31" t="n"/>
      <c r="S20" s="23" t="n"/>
      <c r="T20" s="31" t="n"/>
      <c r="U20" s="31" t="n"/>
      <c r="V20" s="31" t="n"/>
      <c r="W20" s="31" t="n"/>
      <c r="X20" s="31" t="n"/>
      <c r="Y20" s="31" t="n"/>
      <c r="Z20" s="31" t="n"/>
      <c r="AA20" s="23" t="n"/>
      <c r="AB20" s="31" t="n"/>
      <c r="AC20" s="31" t="n"/>
      <c r="AD20" s="31" t="n"/>
      <c r="AE20" s="31" t="n"/>
      <c r="AF20" s="31" t="n"/>
      <c r="AG20" s="31" t="n"/>
      <c r="AH20" s="31" t="n"/>
      <c r="AI20" s="23" t="n"/>
      <c r="AJ20" s="31" t="n"/>
      <c r="AK20" s="31" t="n"/>
      <c r="AL20" s="31" t="n"/>
      <c r="AM20" s="31" t="n"/>
      <c r="AN20" s="31" t="n"/>
      <c r="AO20" s="31" t="n"/>
      <c r="AP20" s="31" t="n"/>
      <c r="AQ20" s="23" t="n"/>
      <c r="AR20" s="23" t="n"/>
      <c r="AS20" s="23" t="n"/>
      <c r="AT20" s="23" t="n"/>
    </row>
    <row r="21" ht="15" customHeight="1">
      <c r="C21" s="23" t="n"/>
      <c r="D21" s="23" t="n"/>
      <c r="E21" s="23" t="n"/>
      <c r="F21" s="23" t="n"/>
      <c r="G21" s="23" t="n"/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C22" s="23" t="n"/>
      <c r="D22" s="27" t="inlineStr">
        <is>
          <t>VIDA</t>
        </is>
      </c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7" t="inlineStr">
        <is>
          <t>TEMP</t>
        </is>
      </c>
      <c r="AL22" s="23" t="n"/>
      <c r="AM22" s="27" t="inlineStr">
        <is>
          <t>±</t>
        </is>
      </c>
      <c r="AS22" s="23" t="n"/>
      <c r="AT22" s="23" t="n"/>
    </row>
    <row r="23" ht="15" customHeight="1">
      <c r="C23" s="23" t="n"/>
      <c r="D23" s="34" t="n">
        <v>0</v>
      </c>
      <c r="I23" s="23" t="n"/>
      <c r="J23" s="35">
        <f>IF($D$11="","",(VLOOKUP($D$11,DADOS!$N$5:$U$9,3,FALSE)+$T$17)+(VLOOKUP($D$11,DADOS!$N$5:$U$9,4,FALSE)+$T$17)*($AH$11-1))</f>
        <v/>
      </c>
      <c r="O23" s="23" t="n"/>
      <c r="P23" s="36">
        <f>SPARKLINE($D$23,{"charttype","bar";"max",$J$23;"color1",IF($J$23=0,"#E8DCD4",IF($D$23/$J$23&lt;=0.25,"#C2334D",IF($D$23/$J$23&lt;=0.5,"#D89B3A","#E8DCD4")))})</f>
        <v/>
      </c>
      <c r="AE23" s="23" t="n"/>
      <c r="AF23" s="37" t="n">
        <v>0</v>
      </c>
      <c r="AL23" s="23" t="n"/>
      <c r="AM23" s="38" t="n"/>
      <c r="AS23" s="23" t="n"/>
      <c r="AT23" s="23" t="n"/>
    </row>
    <row r="24" ht="15" customHeight="1">
      <c r="C24" s="23" t="n"/>
      <c r="I24" s="23" t="n"/>
      <c r="O24" s="23" t="n"/>
      <c r="AE24" s="23" t="n"/>
      <c r="AF24" s="31" t="n"/>
      <c r="AG24" s="31" t="n"/>
      <c r="AH24" s="31" t="n"/>
      <c r="AI24" s="31" t="n"/>
      <c r="AJ24" s="31" t="n"/>
      <c r="AK24" s="31" t="n"/>
      <c r="AL24" s="23" t="n"/>
      <c r="AM24" s="31" t="n"/>
      <c r="AN24" s="31" t="n"/>
      <c r="AO24" s="31" t="n"/>
      <c r="AP24" s="31" t="n"/>
      <c r="AQ24" s="31" t="n"/>
      <c r="AR24" s="31" t="n"/>
      <c r="AS24" s="23" t="n"/>
      <c r="AT24" s="23" t="n"/>
    </row>
    <row r="25" ht="15" customHeight="1"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C26" s="23" t="n"/>
      <c r="D26" s="27" t="inlineStr">
        <is>
          <t>ENERGIA</t>
        </is>
      </c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7" t="inlineStr">
        <is>
          <t>TEMP</t>
        </is>
      </c>
      <c r="AL26" s="23" t="n"/>
      <c r="AM26" s="27" t="inlineStr">
        <is>
          <t>±</t>
        </is>
      </c>
      <c r="AS26" s="23" t="n"/>
      <c r="AT26" s="23" t="n"/>
    </row>
    <row r="27" ht="15" customHeight="1">
      <c r="A27" s="7" t="n"/>
      <c r="B27" s="7" t="n"/>
      <c r="C27" s="23" t="n"/>
      <c r="D27" s="34" t="n">
        <v>0</v>
      </c>
      <c r="I27" s="23" t="n"/>
      <c r="J27" s="35">
        <f>IF($D$11="","",VLOOKUP($D$11,DADOS!$N$5:$U$9,5,FALSE)*$AH$11)</f>
        <v/>
      </c>
      <c r="O27" s="23" t="n"/>
      <c r="P27" s="36">
        <f>SPARKLINE($D$27,{"charttype","bar";"max",$J$27;"color1",IF($J$27=0,"#E8DCD4",IF($D$27/$J$27&lt;=0.25,"#C2334D",IF($D$27/$J$27&lt;=0.5,"#D89B3A","#E8DCD4")))})</f>
        <v/>
      </c>
      <c r="AE27" s="23" t="n"/>
      <c r="AF27" s="37" t="n">
        <v>0</v>
      </c>
      <c r="AL27" s="23" t="n"/>
      <c r="AM27" s="38" t="n"/>
      <c r="AS27" s="23" t="n"/>
      <c r="AT27" s="23" t="n"/>
    </row>
    <row r="28" ht="15" customHeight="1">
      <c r="A28" s="7" t="n"/>
      <c r="B28" s="7" t="n"/>
      <c r="C28" s="23" t="n"/>
      <c r="I28" s="23" t="n"/>
      <c r="O28" s="23" t="n"/>
      <c r="AE28" s="23" t="n"/>
      <c r="AF28" s="31" t="n"/>
      <c r="AG28" s="31" t="n"/>
      <c r="AH28" s="31" t="n"/>
      <c r="AI28" s="31" t="n"/>
      <c r="AJ28" s="31" t="n"/>
      <c r="AK28" s="31" t="n"/>
      <c r="AL28" s="23" t="n"/>
      <c r="AM28" s="31" t="n"/>
      <c r="AN28" s="31" t="n"/>
      <c r="AO28" s="31" t="n"/>
      <c r="AP28" s="31" t="n"/>
      <c r="AQ28" s="31" t="n"/>
      <c r="AR28" s="31" t="n"/>
      <c r="AS28" s="23" t="n"/>
      <c r="AT28" s="23" t="n"/>
    </row>
    <row r="29" ht="15" customHeight="1">
      <c r="A29" s="7" t="n"/>
      <c r="B29" s="7" t="n"/>
      <c r="C29" s="23" t="n"/>
      <c r="D29" s="23" t="n"/>
      <c r="E29" s="23" t="n"/>
      <c r="F29" s="23" t="n"/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24" t="inlineStr">
        <is>
          <t>FICHA DE REGISTRO</t>
        </is>
      </c>
      <c r="C30" s="23" t="n"/>
      <c r="D30" s="27" t="inlineStr">
        <is>
          <t>INTEGRIDADE</t>
        </is>
      </c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7" t="inlineStr">
        <is>
          <t>TEMP</t>
        </is>
      </c>
      <c r="AL30" s="23" t="n"/>
      <c r="AM30" s="27" t="inlineStr">
        <is>
          <t>±</t>
        </is>
      </c>
      <c r="AS30" s="23" t="n"/>
      <c r="AT30" s="23" t="n"/>
    </row>
    <row r="31" ht="15" customHeight="1">
      <c r="C31" s="23" t="n"/>
      <c r="D31" s="34" t="n">
        <v>0</v>
      </c>
      <c r="I31" s="23" t="n"/>
      <c r="J31" s="35">
        <f>20+8*($AH$11-1)</f>
        <v/>
      </c>
      <c r="O31" s="23" t="n"/>
      <c r="P31" s="36">
        <f>SPARKLINE($D$31,{"charttype","bar";"max",$J$31;"color1",IF($J$31=0,"#E8DCD4",IF($D$31/$J$31&lt;=0.25,"#C2334D",IF($D$31/$J$31&lt;=0.5,"#D89B3A","#E8DCD4")))})</f>
        <v/>
      </c>
      <c r="AE31" s="23" t="n"/>
      <c r="AF31" s="37" t="n">
        <v>0</v>
      </c>
      <c r="AL31" s="23" t="n"/>
      <c r="AM31" s="38" t="n"/>
      <c r="AS31" s="23" t="n"/>
      <c r="AT31" s="23" t="n"/>
    </row>
    <row r="32" ht="15" customHeight="1">
      <c r="C32" s="23" t="n"/>
      <c r="I32" s="23" t="n"/>
      <c r="O32" s="23" t="n"/>
      <c r="AE32" s="23" t="n"/>
      <c r="AF32" s="31" t="n"/>
      <c r="AG32" s="31" t="n"/>
      <c r="AH32" s="31" t="n"/>
      <c r="AI32" s="31" t="n"/>
      <c r="AJ32" s="31" t="n"/>
      <c r="AK32" s="31" t="n"/>
      <c r="AL32" s="23" t="n"/>
      <c r="AM32" s="31" t="n"/>
      <c r="AN32" s="31" t="n"/>
      <c r="AO32" s="31" t="n"/>
      <c r="AP32" s="31" t="n"/>
      <c r="AQ32" s="31" t="n"/>
      <c r="AR32" s="31" t="n"/>
      <c r="AS32" s="23" t="n"/>
      <c r="AT32" s="23" t="n"/>
    </row>
    <row r="33" ht="15" customHeight="1"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C34" s="23" t="n"/>
      <c r="D34" s="39">
        <f>IF($D$31=""," ",IF($D$31&lt;=0,"estágio 4 · você não é mais você",IF($D$31&lt;=$J$31/4,"estágio 3 · desvantagem em ataques e TRs",IF($D$31&lt;=$J$31/2,"estágio 2 · metade do deslocamento, +1 PE por Classe",IF($D$31&lt;=$J$31*3/4,"estágio 1 · desvantagem em perícias","alma inteira")))))</f>
        <v/>
      </c>
    </row>
    <row r="35" ht="15" customHeight="1"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C37" s="23" t="n"/>
      <c r="D37" s="25" t="inlineStr">
        <is>
          <t>03</t>
        </is>
      </c>
      <c r="G37" s="26" t="inlineStr">
        <is>
          <t>O QUE CAI SOZINHO</t>
        </is>
      </c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C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C39" s="23" t="n"/>
      <c r="D39" s="27" t="inlineStr">
        <is>
          <t>DEFESA</t>
        </is>
      </c>
      <c r="N39" s="23" t="n"/>
      <c r="O39" s="27" t="inlineStr">
        <is>
          <t>PROTEÇÃO</t>
        </is>
      </c>
      <c r="Y39" s="23" t="n"/>
      <c r="Z39" s="27" t="inlineStr">
        <is>
          <t>EQUIPAMENTO</t>
        </is>
      </c>
      <c r="AJ39" s="23" t="n"/>
      <c r="AK39" s="27" t="inlineStr">
        <is>
          <t>INICIATIVA</t>
        </is>
      </c>
    </row>
    <row r="40" ht="15" customHeight="1">
      <c r="C40" s="23" t="n"/>
      <c r="D40" s="40">
        <f>10+$L$17+$O$40</f>
        <v/>
      </c>
      <c r="N40" s="23" t="n"/>
      <c r="O40" s="40">
        <f>IF($Z$40="",FLOOR((1+COUNTIF(DADOS!$W$5:$W$11,"&lt;="&amp;$AH$11))/3,1)+1,$Z$40)</f>
        <v/>
      </c>
      <c r="Y40" s="23" t="n"/>
      <c r="Z40" s="41" t="n"/>
      <c r="AJ40" s="23" t="n"/>
      <c r="AK40" s="40">
        <f>"d20 + "&amp;$L$17</f>
        <v/>
      </c>
    </row>
    <row r="41" ht="15" customHeight="1">
      <c r="C41" s="23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23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23" t="n"/>
      <c r="Z41" s="31" t="n"/>
      <c r="AA41" s="31" t="n"/>
      <c r="AB41" s="31" t="n"/>
      <c r="AC41" s="31" t="n"/>
      <c r="AD41" s="31" t="n"/>
      <c r="AE41" s="31" t="n"/>
      <c r="AF41" s="31" t="n"/>
      <c r="AG41" s="31" t="n"/>
      <c r="AH41" s="31" t="n"/>
      <c r="AI41" s="31" t="n"/>
      <c r="AJ41" s="23" t="n"/>
      <c r="AK41" s="31" t="n"/>
      <c r="AL41" s="31" t="n"/>
      <c r="AM41" s="31" t="n"/>
      <c r="AN41" s="31" t="n"/>
      <c r="AO41" s="31" t="n"/>
      <c r="AP41" s="31" t="n"/>
      <c r="AQ41" s="31" t="n"/>
      <c r="AR41" s="31" t="n"/>
      <c r="AS41" s="31" t="n"/>
      <c r="AT41" s="31" t="n"/>
    </row>
    <row r="42" ht="15" customHeight="1"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C43" s="23" t="n"/>
      <c r="D43" s="27" t="inlineStr">
        <is>
          <t>CD DE FEITIÇO</t>
        </is>
      </c>
      <c r="N43" s="23" t="n"/>
      <c r="O43" s="27" t="inlineStr">
        <is>
          <t>CONJURAÇÃO</t>
        </is>
      </c>
      <c r="Y43" s="23" t="n"/>
      <c r="Z43" s="27" t="inlineStr">
        <is>
          <t>CORPO A CORPO</t>
        </is>
      </c>
      <c r="AJ43" s="23" t="n"/>
      <c r="AK43" s="27" t="inlineStr">
        <is>
          <t>À DISTÂNCIA</t>
        </is>
      </c>
    </row>
    <row r="44" ht="15" customHeight="1">
      <c r="C44" s="23" t="n"/>
      <c r="D44" s="40">
        <f>10+2+(1+COUNTIF(DADOS!$X$5:$X$7,"&lt;="&amp;$AH$11))</f>
        <v/>
      </c>
      <c r="N44" s="23" t="n"/>
      <c r="O44" s="40">
        <f>"d20 + "&amp;(2+(1+COUNTIF(DADOS!$X$5:$X$7,"&lt;="&amp;$AH$11)))</f>
        <v/>
      </c>
      <c r="Y44" s="23" t="n"/>
      <c r="Z44" s="40">
        <f>"d20 + "&amp;$D$17</f>
        <v/>
      </c>
      <c r="AJ44" s="23" t="n"/>
      <c r="AK44" s="40">
        <f>"d20 + "&amp;$L$17</f>
        <v/>
      </c>
    </row>
    <row r="45" ht="15" customHeight="1">
      <c r="C45" s="23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23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23" t="n"/>
      <c r="Z45" s="31" t="n"/>
      <c r="AA45" s="31" t="n"/>
      <c r="AB45" s="31" t="n"/>
      <c r="AC45" s="31" t="n"/>
      <c r="AD45" s="31" t="n"/>
      <c r="AE45" s="31" t="n"/>
      <c r="AF45" s="31" t="n"/>
      <c r="AG45" s="31" t="n"/>
      <c r="AH45" s="31" t="n"/>
      <c r="AI45" s="31" t="n"/>
      <c r="AJ45" s="23" t="n"/>
      <c r="AK45" s="31" t="n"/>
      <c r="AL45" s="31" t="n"/>
      <c r="AM45" s="31" t="n"/>
      <c r="AN45" s="31" t="n"/>
      <c r="AO45" s="31" t="n"/>
      <c r="AP45" s="31" t="n"/>
      <c r="AQ45" s="31" t="n"/>
      <c r="AR45" s="31" t="n"/>
      <c r="AS45" s="31" t="n"/>
      <c r="AT45" s="31" t="n"/>
    </row>
    <row r="46" ht="15" customHeight="1"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C47" s="23" t="n"/>
      <c r="D47" s="27" t="inlineStr">
        <is>
          <t>MAESTRIA</t>
        </is>
      </c>
      <c r="N47" s="23" t="n"/>
      <c r="O47" s="27" t="inlineStr">
        <is>
          <t>DESLOCAMENTO</t>
        </is>
      </c>
      <c r="Y47" s="23" t="n"/>
      <c r="Z47" s="23" t="n"/>
      <c r="AA47" s="23" t="n"/>
      <c r="AB47" s="23" t="n"/>
      <c r="AC47" s="23" t="n"/>
      <c r="AD47" s="23" t="n"/>
      <c r="AE47" s="23" t="n"/>
      <c r="AF47" s="23" t="n"/>
      <c r="AG47" s="23" t="n"/>
      <c r="AH47" s="23" t="n"/>
      <c r="AI47" s="23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C48" s="23" t="n"/>
      <c r="D48" s="40">
        <f>(1+COUNTIF(DADOS!$X$5:$X$7,"&lt;="&amp;$AH$11))</f>
        <v/>
      </c>
      <c r="N48" s="23" t="n"/>
      <c r="O48" s="40" t="inlineStr">
        <is>
          <t>9 m</t>
        </is>
      </c>
      <c r="Y48" s="23" t="n"/>
      <c r="Z48" s="23" t="n"/>
      <c r="AA48" s="23" t="n"/>
      <c r="AB48" s="23" t="n"/>
      <c r="AC48" s="23" t="n"/>
      <c r="AD48" s="23" t="n"/>
      <c r="AE48" s="23" t="n"/>
      <c r="AF48" s="23" t="n"/>
      <c r="AG48" s="23" t="n"/>
      <c r="AH48" s="23" t="n"/>
      <c r="AI48" s="23" t="n"/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7" t="n"/>
      <c r="B49" s="7" t="n"/>
      <c r="C49" s="23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23" t="n"/>
      <c r="O49" s="31" t="n"/>
      <c r="P49" s="31" t="n"/>
      <c r="Q49" s="31" t="n"/>
      <c r="R49" s="31" t="n"/>
      <c r="S49" s="31" t="n"/>
      <c r="T49" s="31" t="n"/>
      <c r="U49" s="31" t="n"/>
      <c r="V49" s="31" t="n"/>
      <c r="W49" s="31" t="n"/>
      <c r="X49" s="31" t="n"/>
      <c r="Y49" s="23" t="n"/>
      <c r="Z49" s="23" t="n"/>
      <c r="AA49" s="23" t="n"/>
      <c r="AB49" s="23" t="n"/>
      <c r="AC49" s="23" t="n"/>
      <c r="AD49" s="23" t="n"/>
      <c r="AE49" s="23" t="n"/>
      <c r="AF49" s="23" t="n"/>
      <c r="AG49" s="23" t="n"/>
      <c r="AH49" s="23" t="n"/>
      <c r="AI49" s="23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7" t="n"/>
      <c r="B50" s="7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7" t="n"/>
      <c r="B51" s="7" t="n"/>
      <c r="C51" s="23" t="n"/>
      <c r="D51" s="25" t="inlineStr">
        <is>
          <t>04</t>
        </is>
      </c>
      <c r="G51" s="26" t="inlineStr">
        <is>
          <t>PROGRESSÃO · você só digita o nível</t>
        </is>
      </c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7" t="n"/>
      <c r="B52" s="7" t="n"/>
      <c r="C52" s="23" t="n"/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7" t="n"/>
      <c r="B53" s="7" t="n"/>
      <c r="C53" s="23" t="n"/>
      <c r="D53" s="27" t="inlineStr">
        <is>
          <t>ESPAÇOS DE FEITIÇO</t>
        </is>
      </c>
      <c r="N53" s="23" t="n"/>
      <c r="O53" s="27" t="inlineStr">
        <is>
          <t>REFINO DE GRAÇA</t>
        </is>
      </c>
      <c r="Y53" s="23" t="n"/>
      <c r="Z53" s="27" t="inlineStr">
        <is>
          <t>CLASSE MÁXIMA</t>
        </is>
      </c>
      <c r="AJ53" s="23" t="n"/>
      <c r="AK53" s="27" t="inlineStr">
        <is>
          <t>CLASSE 0 GRÁTIS</t>
        </is>
      </c>
    </row>
    <row r="54" ht="15" customHeight="1">
      <c r="A54" s="7" t="n"/>
      <c r="B54" s="7" t="n"/>
      <c r="C54" s="23" t="n"/>
      <c r="D54" s="40">
        <f>2+INT($AH$11/2)+COUNTIF(DADOS!$W$5:$W$11,"&lt;="&amp;$AH$11)</f>
        <v/>
      </c>
      <c r="N54" s="23" t="n"/>
      <c r="O54" s="40">
        <f>(1+COUNTIF(DADOS!$W$5:$W$11,"&lt;="&amp;$AH$11))</f>
        <v/>
      </c>
      <c r="Y54" s="23" t="n"/>
      <c r="Z54" s="40">
        <f>COUNTIF(DADOS!$Y$5:$Y$11,"&lt;="&amp;$AH$11)</f>
        <v/>
      </c>
      <c r="AJ54" s="23" t="n"/>
      <c r="AK54" s="40">
        <f>2+COUNTIF(DADOS!$Z$5:$Z$7,"&lt;="&amp;$AH$11)</f>
        <v/>
      </c>
    </row>
    <row r="55" ht="15" customHeight="1">
      <c r="A55" s="7" t="n"/>
      <c r="B55" s="7" t="n"/>
      <c r="C55" s="23" t="n"/>
      <c r="D55" s="31" t="n"/>
      <c r="E55" s="31" t="n"/>
      <c r="F55" s="31" t="n"/>
      <c r="G55" s="31" t="n"/>
      <c r="H55" s="31" t="n"/>
      <c r="I55" s="31" t="n"/>
      <c r="J55" s="31" t="n"/>
      <c r="K55" s="31" t="n"/>
      <c r="L55" s="31" t="n"/>
      <c r="M55" s="31" t="n"/>
      <c r="N55" s="23" t="n"/>
      <c r="O55" s="31" t="n"/>
      <c r="P55" s="31" t="n"/>
      <c r="Q55" s="31" t="n"/>
      <c r="R55" s="31" t="n"/>
      <c r="S55" s="31" t="n"/>
      <c r="T55" s="31" t="n"/>
      <c r="U55" s="31" t="n"/>
      <c r="V55" s="31" t="n"/>
      <c r="W55" s="31" t="n"/>
      <c r="X55" s="31" t="n"/>
      <c r="Y55" s="23" t="n"/>
      <c r="Z55" s="31" t="n"/>
      <c r="AA55" s="31" t="n"/>
      <c r="AB55" s="31" t="n"/>
      <c r="AC55" s="31" t="n"/>
      <c r="AD55" s="31" t="n"/>
      <c r="AE55" s="31" t="n"/>
      <c r="AF55" s="31" t="n"/>
      <c r="AG55" s="31" t="n"/>
      <c r="AH55" s="31" t="n"/>
      <c r="AI55" s="31" t="n"/>
      <c r="AJ55" s="23" t="n"/>
      <c r="AK55" s="31" t="n"/>
      <c r="AL55" s="31" t="n"/>
      <c r="AM55" s="31" t="n"/>
      <c r="AN55" s="31" t="n"/>
      <c r="AO55" s="31" t="n"/>
      <c r="AP55" s="31" t="n"/>
      <c r="AQ55" s="31" t="n"/>
      <c r="AR55" s="31" t="n"/>
      <c r="AS55" s="31" t="n"/>
      <c r="AT55" s="31" t="n"/>
    </row>
    <row r="56" ht="15" customHeight="1">
      <c r="A56" s="7" t="n"/>
      <c r="B56" s="7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7" t="n"/>
      <c r="B57" s="7" t="n"/>
      <c r="C57" s="23" t="n"/>
      <c r="D57" s="25" t="inlineStr">
        <is>
          <t>05</t>
        </is>
      </c>
      <c r="G57" s="26" t="inlineStr">
        <is>
          <t>PERÍCIAS · marque as 8 ou 9 treinadas</t>
        </is>
      </c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7" t="n"/>
      <c r="B58" s="7" t="n"/>
      <c r="C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7" t="n"/>
      <c r="B59" s="7" t="n"/>
      <c r="C59" s="23" t="n"/>
      <c r="D59" s="42" t="n"/>
      <c r="E59" s="43" t="inlineStr">
        <is>
          <t>Atletismo</t>
        </is>
      </c>
      <c r="M59" s="44" t="inlineStr">
        <is>
          <t>For</t>
        </is>
      </c>
      <c r="O59" s="45">
        <f>$D$17+IF($D$59="",0,(1+COUNTIF(DADOS!$X$5:$X$7,"&lt;="&amp;$AH$11)))</f>
        <v/>
      </c>
      <c r="Q59" s="23" t="n"/>
      <c r="R59" s="42" t="n"/>
      <c r="S59" s="43" t="inlineStr">
        <is>
          <t>Sobrevivência</t>
        </is>
      </c>
      <c r="AA59" s="44" t="inlineStr">
        <is>
          <t>Int</t>
        </is>
      </c>
      <c r="AC59" s="45">
        <f>$AB$17+IF($R$59="",0,(1+COUNTIF(DADOS!$X$5:$X$7,"&lt;="&amp;$AH$11)))</f>
        <v/>
      </c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7" t="n"/>
      <c r="B60" s="7" t="n"/>
      <c r="C60" s="23" t="n"/>
      <c r="D60" s="46" t="n"/>
      <c r="E60" s="47" t="inlineStr">
        <is>
          <t>Acrobacia</t>
        </is>
      </c>
      <c r="F60" s="48" t="n"/>
      <c r="G60" s="48" t="n"/>
      <c r="H60" s="48" t="n"/>
      <c r="I60" s="48" t="n"/>
      <c r="J60" s="48" t="n"/>
      <c r="K60" s="48" t="n"/>
      <c r="L60" s="48" t="n"/>
      <c r="M60" s="49" t="inlineStr">
        <is>
          <t>Des</t>
        </is>
      </c>
      <c r="N60" s="48" t="n"/>
      <c r="O60" s="50">
        <f>$L$17+IF($D$60="",0,(1+COUNTIF(DADOS!$X$5:$X$7,"&lt;="&amp;$AH$11)))</f>
        <v/>
      </c>
      <c r="P60" s="48" t="n"/>
      <c r="Q60" s="23" t="n"/>
      <c r="R60" s="46" t="n"/>
      <c r="S60" s="47" t="inlineStr">
        <is>
          <t>Natureza</t>
        </is>
      </c>
      <c r="T60" s="48" t="n"/>
      <c r="U60" s="48" t="n"/>
      <c r="V60" s="48" t="n"/>
      <c r="W60" s="48" t="n"/>
      <c r="X60" s="48" t="n"/>
      <c r="Y60" s="48" t="n"/>
      <c r="Z60" s="48" t="n"/>
      <c r="AA60" s="49" t="inlineStr">
        <is>
          <t>Int</t>
        </is>
      </c>
      <c r="AB60" s="48" t="n"/>
      <c r="AC60" s="50">
        <f>$AB$17+IF($R$60="",0,(1+COUNTIF(DADOS!$X$5:$X$7,"&lt;="&amp;$AH$11)))</f>
        <v/>
      </c>
      <c r="AD60" s="48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7" t="n"/>
      <c r="B61" s="7" t="n"/>
      <c r="C61" s="23" t="n"/>
      <c r="D61" s="46" t="n"/>
      <c r="E61" s="47" t="inlineStr">
        <is>
          <t>Furtividade</t>
        </is>
      </c>
      <c r="F61" s="48" t="n"/>
      <c r="G61" s="48" t="n"/>
      <c r="H61" s="48" t="n"/>
      <c r="I61" s="48" t="n"/>
      <c r="J61" s="48" t="n"/>
      <c r="K61" s="48" t="n"/>
      <c r="L61" s="48" t="n"/>
      <c r="M61" s="49" t="inlineStr">
        <is>
          <t>Des</t>
        </is>
      </c>
      <c r="N61" s="48" t="n"/>
      <c r="O61" s="50">
        <f>$L$17+IF($D$61="",0,(1+COUNTIF(DADOS!$X$5:$X$7,"&lt;="&amp;$AH$11)))</f>
        <v/>
      </c>
      <c r="P61" s="48" t="n"/>
      <c r="Q61" s="23" t="n"/>
      <c r="R61" s="46" t="n"/>
      <c r="S61" s="47" t="inlineStr">
        <is>
          <t>Lidar com Animais</t>
        </is>
      </c>
      <c r="T61" s="48" t="n"/>
      <c r="U61" s="48" t="n"/>
      <c r="V61" s="48" t="n"/>
      <c r="W61" s="48" t="n"/>
      <c r="X61" s="48" t="n"/>
      <c r="Y61" s="48" t="n"/>
      <c r="Z61" s="48" t="n"/>
      <c r="AA61" s="49" t="inlineStr">
        <is>
          <t>Int</t>
        </is>
      </c>
      <c r="AB61" s="48" t="n"/>
      <c r="AC61" s="50">
        <f>$AB$17+IF($R$61="",0,(1+COUNTIF(DADOS!$X$5:$X$7,"&lt;="&amp;$AH$11)))</f>
        <v/>
      </c>
      <c r="AD61" s="48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7" t="n"/>
      <c r="B62" s="7" t="n"/>
      <c r="C62" s="23" t="n"/>
      <c r="D62" s="46" t="n"/>
      <c r="E62" s="47" t="inlineStr">
        <is>
          <t>Pontaria</t>
        </is>
      </c>
      <c r="F62" s="48" t="n"/>
      <c r="G62" s="48" t="n"/>
      <c r="H62" s="48" t="n"/>
      <c r="I62" s="48" t="n"/>
      <c r="J62" s="48" t="n"/>
      <c r="K62" s="48" t="n"/>
      <c r="L62" s="48" t="n"/>
      <c r="M62" s="49" t="inlineStr">
        <is>
          <t>Des</t>
        </is>
      </c>
      <c r="N62" s="48" t="n"/>
      <c r="O62" s="50">
        <f>$L$17+IF($D$62="",0,(1+COUNTIF(DADOS!$X$5:$X$7,"&lt;="&amp;$AH$11)))</f>
        <v/>
      </c>
      <c r="P62" s="48" t="n"/>
      <c r="Q62" s="23" t="n"/>
      <c r="R62" s="46" t="n"/>
      <c r="S62" s="47" t="inlineStr">
        <is>
          <t>Tecnologia</t>
        </is>
      </c>
      <c r="T62" s="48" t="n"/>
      <c r="U62" s="48" t="n"/>
      <c r="V62" s="48" t="n"/>
      <c r="W62" s="48" t="n"/>
      <c r="X62" s="48" t="n"/>
      <c r="Y62" s="48" t="n"/>
      <c r="Z62" s="48" t="n"/>
      <c r="AA62" s="49" t="inlineStr">
        <is>
          <t>Int</t>
        </is>
      </c>
      <c r="AB62" s="48" t="n"/>
      <c r="AC62" s="50">
        <f>$AB$17+IF($R$62="",0,(1+COUNTIF(DADOS!$X$5:$X$7,"&lt;="&amp;$AH$11)))</f>
        <v/>
      </c>
      <c r="AD62" s="48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7" t="n"/>
      <c r="B63" s="7" t="n"/>
      <c r="C63" s="23" t="n"/>
      <c r="D63" s="46" t="n"/>
      <c r="E63" s="47" t="inlineStr">
        <is>
          <t>Prestidigitação</t>
        </is>
      </c>
      <c r="F63" s="48" t="n"/>
      <c r="G63" s="48" t="n"/>
      <c r="H63" s="48" t="n"/>
      <c r="I63" s="48" t="n"/>
      <c r="J63" s="48" t="n"/>
      <c r="K63" s="48" t="n"/>
      <c r="L63" s="48" t="n"/>
      <c r="M63" s="49" t="inlineStr">
        <is>
          <t>Des</t>
        </is>
      </c>
      <c r="N63" s="48" t="n"/>
      <c r="O63" s="50">
        <f>$L$17+IF($D$63="",0,(1+COUNTIF(DADOS!$X$5:$X$7,"&lt;="&amp;$AH$11)))</f>
        <v/>
      </c>
      <c r="P63" s="48" t="n"/>
      <c r="Q63" s="23" t="n"/>
      <c r="R63" s="46" t="n"/>
      <c r="S63" s="47" t="inlineStr">
        <is>
          <t>Sentir Energia</t>
        </is>
      </c>
      <c r="T63" s="48" t="n"/>
      <c r="U63" s="48" t="n"/>
      <c r="V63" s="48" t="n"/>
      <c r="W63" s="48" t="n"/>
      <c r="X63" s="48" t="n"/>
      <c r="Y63" s="48" t="n"/>
      <c r="Z63" s="48" t="n"/>
      <c r="AA63" s="49" t="inlineStr">
        <is>
          <t>Ess</t>
        </is>
      </c>
      <c r="AB63" s="48" t="n"/>
      <c r="AC63" s="50">
        <f>$AJ$17+IF($R$63="",0,(1+COUNTIF(DADOS!$X$5:$X$7,"&lt;="&amp;$AH$11)))</f>
        <v/>
      </c>
      <c r="AD63" s="48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7" t="n"/>
      <c r="B64" s="7" t="n"/>
      <c r="C64" s="23" t="n"/>
      <c r="D64" s="46" t="n"/>
      <c r="E64" s="47" t="inlineStr">
        <is>
          <t>Investigação</t>
        </is>
      </c>
      <c r="F64" s="48" t="n"/>
      <c r="G64" s="48" t="n"/>
      <c r="H64" s="48" t="n"/>
      <c r="I64" s="48" t="n"/>
      <c r="J64" s="48" t="n"/>
      <c r="K64" s="48" t="n"/>
      <c r="L64" s="48" t="n"/>
      <c r="M64" s="49" t="inlineStr">
        <is>
          <t>Int</t>
        </is>
      </c>
      <c r="N64" s="48" t="n"/>
      <c r="O64" s="50">
        <f>$AB$17+IF($D$64="",0,(1+COUNTIF(DADOS!$X$5:$X$7,"&lt;="&amp;$AH$11)))</f>
        <v/>
      </c>
      <c r="P64" s="48" t="n"/>
      <c r="Q64" s="23" t="n"/>
      <c r="R64" s="46" t="n"/>
      <c r="S64" s="47" t="inlineStr">
        <is>
          <t>Percepção</t>
        </is>
      </c>
      <c r="T64" s="48" t="n"/>
      <c r="U64" s="48" t="n"/>
      <c r="V64" s="48" t="n"/>
      <c r="W64" s="48" t="n"/>
      <c r="X64" s="48" t="n"/>
      <c r="Y64" s="48" t="n"/>
      <c r="Z64" s="48" t="n"/>
      <c r="AA64" s="49" t="inlineStr">
        <is>
          <t>Ess</t>
        </is>
      </c>
      <c r="AB64" s="48" t="n"/>
      <c r="AC64" s="50">
        <f>$AJ$17+IF($R$64="",0,(1+COUNTIF(DADOS!$X$5:$X$7,"&lt;="&amp;$AH$11)))</f>
        <v/>
      </c>
      <c r="AD64" s="48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7" t="n"/>
      <c r="B65" s="7" t="n"/>
      <c r="C65" s="23" t="n"/>
      <c r="D65" s="46" t="n"/>
      <c r="E65" s="47" t="inlineStr">
        <is>
          <t>Intuição</t>
        </is>
      </c>
      <c r="F65" s="48" t="n"/>
      <c r="G65" s="48" t="n"/>
      <c r="H65" s="48" t="n"/>
      <c r="I65" s="48" t="n"/>
      <c r="J65" s="48" t="n"/>
      <c r="K65" s="48" t="n"/>
      <c r="L65" s="48" t="n"/>
      <c r="M65" s="49" t="inlineStr">
        <is>
          <t>Int</t>
        </is>
      </c>
      <c r="N65" s="48" t="n"/>
      <c r="O65" s="50">
        <f>$AB$17+IF($D$65="",0,(1+COUNTIF(DADOS!$X$5:$X$7,"&lt;="&amp;$AH$11)))</f>
        <v/>
      </c>
      <c r="P65" s="48" t="n"/>
      <c r="Q65" s="23" t="n"/>
      <c r="R65" s="46" t="n"/>
      <c r="S65" s="47" t="inlineStr">
        <is>
          <t>Persuasão</t>
        </is>
      </c>
      <c r="T65" s="48" t="n"/>
      <c r="U65" s="48" t="n"/>
      <c r="V65" s="48" t="n"/>
      <c r="W65" s="48" t="n"/>
      <c r="X65" s="48" t="n"/>
      <c r="Y65" s="48" t="n"/>
      <c r="Z65" s="48" t="n"/>
      <c r="AA65" s="49" t="inlineStr">
        <is>
          <t>Ess</t>
        </is>
      </c>
      <c r="AB65" s="48" t="n"/>
      <c r="AC65" s="50">
        <f>$AJ$17+IF($R$65="",0,(1+COUNTIF(DADOS!$X$5:$X$7,"&lt;="&amp;$AH$11)))</f>
        <v/>
      </c>
      <c r="AD65" s="48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7" t="n"/>
      <c r="B66" s="7" t="n"/>
      <c r="C66" s="23" t="n"/>
      <c r="D66" s="46" t="n"/>
      <c r="E66" s="47" t="inlineStr">
        <is>
          <t>Ocultismo</t>
        </is>
      </c>
      <c r="F66" s="48" t="n"/>
      <c r="G66" s="48" t="n"/>
      <c r="H66" s="48" t="n"/>
      <c r="I66" s="48" t="n"/>
      <c r="J66" s="48" t="n"/>
      <c r="K66" s="48" t="n"/>
      <c r="L66" s="48" t="n"/>
      <c r="M66" s="49" t="inlineStr">
        <is>
          <t>Int</t>
        </is>
      </c>
      <c r="N66" s="48" t="n"/>
      <c r="O66" s="50">
        <f>$AB$17+IF($D$66="",0,(1+COUNTIF(DADOS!$X$5:$X$7,"&lt;="&amp;$AH$11)))</f>
        <v/>
      </c>
      <c r="P66" s="48" t="n"/>
      <c r="Q66" s="23" t="n"/>
      <c r="R66" s="46" t="n"/>
      <c r="S66" s="47" t="inlineStr">
        <is>
          <t>Enganação</t>
        </is>
      </c>
      <c r="T66" s="48" t="n"/>
      <c r="U66" s="48" t="n"/>
      <c r="V66" s="48" t="n"/>
      <c r="W66" s="48" t="n"/>
      <c r="X66" s="48" t="n"/>
      <c r="Y66" s="48" t="n"/>
      <c r="Z66" s="48" t="n"/>
      <c r="AA66" s="49" t="inlineStr">
        <is>
          <t>Ess</t>
        </is>
      </c>
      <c r="AB66" s="48" t="n"/>
      <c r="AC66" s="50">
        <f>$AJ$17+IF($R$66="",0,(1+COUNTIF(DADOS!$X$5:$X$7,"&lt;="&amp;$AH$11)))</f>
        <v/>
      </c>
      <c r="AD66" s="48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7" t="n"/>
      <c r="B67" s="7" t="n"/>
      <c r="C67" s="23" t="n"/>
      <c r="D67" s="46" t="n"/>
      <c r="E67" s="47" t="inlineStr">
        <is>
          <t>Religião</t>
        </is>
      </c>
      <c r="F67" s="48" t="n"/>
      <c r="G67" s="48" t="n"/>
      <c r="H67" s="48" t="n"/>
      <c r="I67" s="48" t="n"/>
      <c r="J67" s="48" t="n"/>
      <c r="K67" s="48" t="n"/>
      <c r="L67" s="48" t="n"/>
      <c r="M67" s="49" t="inlineStr">
        <is>
          <t>Int</t>
        </is>
      </c>
      <c r="N67" s="48" t="n"/>
      <c r="O67" s="50">
        <f>$AB$17+IF($D$67="",0,(1+COUNTIF(DADOS!$X$5:$X$7,"&lt;="&amp;$AH$11)))</f>
        <v/>
      </c>
      <c r="P67" s="48" t="n"/>
      <c r="Q67" s="23" t="n"/>
      <c r="R67" s="46" t="n"/>
      <c r="S67" s="47" t="inlineStr">
        <is>
          <t>Intimidação</t>
        </is>
      </c>
      <c r="T67" s="48" t="n"/>
      <c r="U67" s="48" t="n"/>
      <c r="V67" s="48" t="n"/>
      <c r="W67" s="48" t="n"/>
      <c r="X67" s="48" t="n"/>
      <c r="Y67" s="48" t="n"/>
      <c r="Z67" s="48" t="n"/>
      <c r="AA67" s="49" t="inlineStr">
        <is>
          <t>Ess</t>
        </is>
      </c>
      <c r="AB67" s="48" t="n"/>
      <c r="AC67" s="50">
        <f>$AJ$17+IF($R$67="",0,(1+COUNTIF(DADOS!$X$5:$X$7,"&lt;="&amp;$AH$11)))</f>
        <v/>
      </c>
      <c r="AD67" s="48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7" t="n"/>
      <c r="B68" s="7" t="n"/>
      <c r="C68" s="23" t="n"/>
      <c r="D68" s="46" t="n"/>
      <c r="E68" s="47" t="inlineStr">
        <is>
          <t>História</t>
        </is>
      </c>
      <c r="F68" s="48" t="n"/>
      <c r="G68" s="48" t="n"/>
      <c r="H68" s="48" t="n"/>
      <c r="I68" s="48" t="n"/>
      <c r="J68" s="48" t="n"/>
      <c r="K68" s="48" t="n"/>
      <c r="L68" s="48" t="n"/>
      <c r="M68" s="49" t="inlineStr">
        <is>
          <t>Int</t>
        </is>
      </c>
      <c r="N68" s="48" t="n"/>
      <c r="O68" s="50">
        <f>$AB$17+IF($D$68="",0,(1+COUNTIF(DADOS!$X$5:$X$7,"&lt;="&amp;$AH$11)))</f>
        <v/>
      </c>
      <c r="P68" s="48" t="n"/>
      <c r="Q68" s="23" t="n"/>
      <c r="R68" s="46" t="n"/>
      <c r="S68" s="47" t="inlineStr">
        <is>
          <t>Atuação</t>
        </is>
      </c>
      <c r="T68" s="48" t="n"/>
      <c r="U68" s="48" t="n"/>
      <c r="V68" s="48" t="n"/>
      <c r="W68" s="48" t="n"/>
      <c r="X68" s="48" t="n"/>
      <c r="Y68" s="48" t="n"/>
      <c r="Z68" s="48" t="n"/>
      <c r="AA68" s="49" t="inlineStr">
        <is>
          <t>Ess</t>
        </is>
      </c>
      <c r="AB68" s="48" t="n"/>
      <c r="AC68" s="50">
        <f>$AJ$17+IF($R$68="",0,(1+COUNTIF(DADOS!$X$5:$X$7,"&lt;="&amp;$AH$11)))</f>
        <v/>
      </c>
      <c r="AD68" s="48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7" t="n"/>
      <c r="B69" s="7" t="n"/>
      <c r="C69" s="23" t="n"/>
      <c r="D69" s="46" t="n"/>
      <c r="E69" s="47" t="inlineStr">
        <is>
          <t>Hierarquia</t>
        </is>
      </c>
      <c r="F69" s="48" t="n"/>
      <c r="G69" s="48" t="n"/>
      <c r="H69" s="48" t="n"/>
      <c r="I69" s="48" t="n"/>
      <c r="J69" s="48" t="n"/>
      <c r="K69" s="48" t="n"/>
      <c r="L69" s="48" t="n"/>
      <c r="M69" s="49" t="inlineStr">
        <is>
          <t>Int</t>
        </is>
      </c>
      <c r="N69" s="48" t="n"/>
      <c r="O69" s="50">
        <f>$AB$17+IF($D$69="",0,(1+COUNTIF(DADOS!$X$5:$X$7,"&lt;="&amp;$AH$11)))</f>
        <v/>
      </c>
      <c r="P69" s="48" t="n"/>
      <c r="Q69" s="23" t="n"/>
      <c r="R69" s="46" t="n"/>
      <c r="S69" s="47" t="inlineStr">
        <is>
          <t>Provocar</t>
        </is>
      </c>
      <c r="T69" s="48" t="n"/>
      <c r="U69" s="48" t="n"/>
      <c r="V69" s="48" t="n"/>
      <c r="W69" s="48" t="n"/>
      <c r="X69" s="48" t="n"/>
      <c r="Y69" s="48" t="n"/>
      <c r="Z69" s="48" t="n"/>
      <c r="AA69" s="49" t="inlineStr">
        <is>
          <t>Ess</t>
        </is>
      </c>
      <c r="AB69" s="48" t="n"/>
      <c r="AC69" s="50">
        <f>$AJ$17+IF($R$69="",0,(1+COUNTIF(DADOS!$X$5:$X$7,"&lt;="&amp;$AH$11)))</f>
        <v/>
      </c>
      <c r="AD69" s="48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7" t="n"/>
      <c r="B70" s="7" t="n"/>
      <c r="C70" s="23" t="n"/>
      <c r="D70" s="46" t="n"/>
      <c r="E70" s="47" t="inlineStr">
        <is>
          <t>Medicina</t>
        </is>
      </c>
      <c r="F70" s="48" t="n"/>
      <c r="G70" s="48" t="n"/>
      <c r="H70" s="48" t="n"/>
      <c r="I70" s="48" t="n"/>
      <c r="J70" s="48" t="n"/>
      <c r="K70" s="48" t="n"/>
      <c r="L70" s="48" t="n"/>
      <c r="M70" s="49" t="inlineStr">
        <is>
          <t>Int</t>
        </is>
      </c>
      <c r="N70" s="48" t="n"/>
      <c r="O70" s="50">
        <f>$AB$17+IF($D$70="",0,(1+COUNTIF(DADOS!$X$5:$X$7,"&lt;="&amp;$AH$11)))</f>
        <v/>
      </c>
      <c r="P70" s="48" t="n"/>
      <c r="Q70" s="23" t="n"/>
      <c r="R70" s="51" t="n"/>
      <c r="S70" s="51" t="n"/>
      <c r="T70" s="51" t="n"/>
      <c r="U70" s="51" t="n"/>
      <c r="V70" s="51" t="n"/>
      <c r="W70" s="51" t="n"/>
      <c r="X70" s="51" t="n"/>
      <c r="Y70" s="51" t="n"/>
      <c r="Z70" s="51" t="n"/>
      <c r="AA70" s="51" t="n"/>
      <c r="AB70" s="51" t="n"/>
      <c r="AC70" s="51" t="n"/>
      <c r="AD70" s="51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7" t="n"/>
      <c r="B71" s="7" t="n"/>
      <c r="C71" s="23" t="n"/>
      <c r="D71" s="51" t="n"/>
      <c r="E71" s="51" t="n"/>
      <c r="F71" s="51" t="n"/>
      <c r="G71" s="51" t="n"/>
      <c r="H71" s="51" t="n"/>
      <c r="I71" s="51" t="n"/>
      <c r="J71" s="51" t="n"/>
      <c r="K71" s="51" t="n"/>
      <c r="L71" s="51" t="n"/>
      <c r="M71" s="51" t="n"/>
      <c r="N71" s="51" t="n"/>
      <c r="O71" s="51" t="n"/>
      <c r="P71" s="51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7" t="n"/>
      <c r="B72" s="7" t="n"/>
      <c r="C72" s="23" t="n"/>
      <c r="D72" s="25" t="inlineStr">
        <is>
          <t>06</t>
        </is>
      </c>
      <c r="G72" s="26" t="inlineStr">
        <is>
          <t>OFÍCIOS E TESTES DE RESISTÊNCIA</t>
        </is>
      </c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7" t="n"/>
      <c r="B73" s="7" t="n"/>
      <c r="C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7" t="n"/>
      <c r="B74" s="7" t="n"/>
      <c r="C74" s="23" t="n"/>
      <c r="D74" s="42" t="n"/>
      <c r="E74" s="43" t="inlineStr">
        <is>
          <t>Condução</t>
        </is>
      </c>
      <c r="N74" s="23" t="n"/>
      <c r="O74" s="42" t="n"/>
      <c r="P74" s="43" t="inlineStr">
        <is>
          <t>Entalhador</t>
        </is>
      </c>
      <c r="Y74" s="23" t="n"/>
      <c r="Z74" s="23" t="n"/>
      <c r="AA74" s="23" t="n"/>
      <c r="AB74" s="42" t="n"/>
      <c r="AC74" s="43" t="inlineStr">
        <is>
          <t>Físico</t>
        </is>
      </c>
      <c r="AK74" s="44" t="inlineStr">
        <is>
          <t>For ou Des</t>
        </is>
      </c>
      <c r="AP74" s="45">
        <f>$D$17+IF($AB$74="",0,2)</f>
        <v/>
      </c>
    </row>
    <row r="75" ht="15" customHeight="1">
      <c r="A75" s="7" t="n"/>
      <c r="B75" s="7" t="n"/>
      <c r="C75" s="23" t="n"/>
      <c r="D75" s="46" t="n"/>
      <c r="E75" s="47" t="inlineStr">
        <is>
          <t>Arrombamento</t>
        </is>
      </c>
      <c r="F75" s="48" t="n"/>
      <c r="G75" s="48" t="n"/>
      <c r="H75" s="48" t="n"/>
      <c r="I75" s="48" t="n"/>
      <c r="J75" s="48" t="n"/>
      <c r="K75" s="48" t="n"/>
      <c r="L75" s="48" t="n"/>
      <c r="M75" s="48" t="n"/>
      <c r="N75" s="23" t="n"/>
      <c r="O75" s="46" t="n"/>
      <c r="P75" s="47" t="inlineStr">
        <is>
          <t>Alfaiate</t>
        </is>
      </c>
      <c r="Q75" s="48" t="n"/>
      <c r="R75" s="48" t="n"/>
      <c r="S75" s="48" t="n"/>
      <c r="T75" s="48" t="n"/>
      <c r="U75" s="48" t="n"/>
      <c r="V75" s="48" t="n"/>
      <c r="W75" s="48" t="n"/>
      <c r="X75" s="48" t="n"/>
      <c r="Y75" s="23" t="n"/>
      <c r="Z75" s="23" t="n"/>
      <c r="AA75" s="23" t="n"/>
      <c r="AB75" s="46" t="n"/>
      <c r="AC75" s="47" t="inlineStr">
        <is>
          <t>Vigor</t>
        </is>
      </c>
      <c r="AD75" s="48" t="n"/>
      <c r="AE75" s="48" t="n"/>
      <c r="AF75" s="48" t="n"/>
      <c r="AG75" s="48" t="n"/>
      <c r="AH75" s="48" t="n"/>
      <c r="AI75" s="48" t="n"/>
      <c r="AJ75" s="48" t="n"/>
      <c r="AK75" s="49" t="inlineStr">
        <is>
          <t>Con</t>
        </is>
      </c>
      <c r="AL75" s="48" t="n"/>
      <c r="AM75" s="48" t="n"/>
      <c r="AN75" s="48" t="n"/>
      <c r="AO75" s="48" t="n"/>
      <c r="AP75" s="50">
        <f>$T$17+IF($AB$75="",0,2)</f>
        <v/>
      </c>
      <c r="AQ75" s="48" t="n"/>
      <c r="AR75" s="48" t="n"/>
      <c r="AS75" s="48" t="n"/>
      <c r="AT75" s="48" t="n"/>
    </row>
    <row r="76" ht="15" customHeight="1">
      <c r="A76" s="7" t="n"/>
      <c r="B76" s="7" t="n"/>
      <c r="C76" s="23" t="n"/>
      <c r="D76" s="46" t="n"/>
      <c r="E76" s="47" t="inlineStr">
        <is>
          <t>Herbalismo</t>
        </is>
      </c>
      <c r="F76" s="48" t="n"/>
      <c r="G76" s="48" t="n"/>
      <c r="H76" s="48" t="n"/>
      <c r="I76" s="48" t="n"/>
      <c r="J76" s="48" t="n"/>
      <c r="K76" s="48" t="n"/>
      <c r="L76" s="48" t="n"/>
      <c r="M76" s="48" t="n"/>
      <c r="N76" s="23" t="n"/>
      <c r="O76" s="46" t="n"/>
      <c r="P76" s="47" t="inlineStr">
        <is>
          <t>Culinária</t>
        </is>
      </c>
      <c r="Q76" s="48" t="n"/>
      <c r="R76" s="48" t="n"/>
      <c r="S76" s="48" t="n"/>
      <c r="T76" s="48" t="n"/>
      <c r="U76" s="48" t="n"/>
      <c r="V76" s="48" t="n"/>
      <c r="W76" s="48" t="n"/>
      <c r="X76" s="48" t="n"/>
      <c r="Y76" s="23" t="n"/>
      <c r="Z76" s="23" t="n"/>
      <c r="AA76" s="23" t="n"/>
      <c r="AB76" s="46" t="n"/>
      <c r="AC76" s="47" t="inlineStr">
        <is>
          <t>Intelecto</t>
        </is>
      </c>
      <c r="AD76" s="48" t="n"/>
      <c r="AE76" s="48" t="n"/>
      <c r="AF76" s="48" t="n"/>
      <c r="AG76" s="48" t="n"/>
      <c r="AH76" s="48" t="n"/>
      <c r="AI76" s="48" t="n"/>
      <c r="AJ76" s="48" t="n"/>
      <c r="AK76" s="49" t="inlineStr">
        <is>
          <t>Int</t>
        </is>
      </c>
      <c r="AL76" s="48" t="n"/>
      <c r="AM76" s="48" t="n"/>
      <c r="AN76" s="48" t="n"/>
      <c r="AO76" s="48" t="n"/>
      <c r="AP76" s="50">
        <f>$AB$17+IF($AB$76="",0,2)</f>
        <v/>
      </c>
      <c r="AQ76" s="48" t="n"/>
      <c r="AR76" s="48" t="n"/>
      <c r="AS76" s="48" t="n"/>
      <c r="AT76" s="48" t="n"/>
    </row>
    <row r="77" ht="15" customHeight="1">
      <c r="A77" s="7" t="n"/>
      <c r="B77" s="7" t="n"/>
      <c r="C77" s="23" t="n"/>
      <c r="D77" s="46" t="n"/>
      <c r="E77" s="47" t="inlineStr">
        <is>
          <t>Forja</t>
        </is>
      </c>
      <c r="F77" s="48" t="n"/>
      <c r="G77" s="48" t="n"/>
      <c r="H77" s="48" t="n"/>
      <c r="I77" s="48" t="n"/>
      <c r="J77" s="48" t="n"/>
      <c r="K77" s="48" t="n"/>
      <c r="L77" s="48" t="n"/>
      <c r="M77" s="48" t="n"/>
      <c r="N77" s="23" t="n"/>
      <c r="O77" s="46" t="n"/>
      <c r="P77" s="47" t="inlineStr">
        <is>
          <t>Instrumento</t>
        </is>
      </c>
      <c r="Q77" s="48" t="n"/>
      <c r="R77" s="48" t="n"/>
      <c r="S77" s="48" t="n"/>
      <c r="T77" s="48" t="n"/>
      <c r="U77" s="48" t="n"/>
      <c r="V77" s="48" t="n"/>
      <c r="W77" s="48" t="n"/>
      <c r="X77" s="48" t="n"/>
      <c r="Y77" s="23" t="n"/>
      <c r="Z77" s="23" t="n"/>
      <c r="AA77" s="23" t="n"/>
      <c r="AB77" s="46" t="n"/>
      <c r="AC77" s="47" t="inlineStr">
        <is>
          <t>Espírito</t>
        </is>
      </c>
      <c r="AD77" s="48" t="n"/>
      <c r="AE77" s="48" t="n"/>
      <c r="AF77" s="48" t="n"/>
      <c r="AG77" s="48" t="n"/>
      <c r="AH77" s="48" t="n"/>
      <c r="AI77" s="48" t="n"/>
      <c r="AJ77" s="48" t="n"/>
      <c r="AK77" s="49" t="inlineStr">
        <is>
          <t>Ess</t>
        </is>
      </c>
      <c r="AL77" s="48" t="n"/>
      <c r="AM77" s="48" t="n"/>
      <c r="AN77" s="48" t="n"/>
      <c r="AO77" s="48" t="n"/>
      <c r="AP77" s="50">
        <f>$AJ$17+IF($AB$77="",0,2)</f>
        <v/>
      </c>
      <c r="AQ77" s="48" t="n"/>
      <c r="AR77" s="48" t="n"/>
      <c r="AS77" s="48" t="n"/>
      <c r="AT77" s="48" t="n"/>
    </row>
    <row r="78" ht="15" customHeight="1">
      <c r="A78" s="7" t="n"/>
      <c r="B78" s="7" t="n"/>
      <c r="C78" s="23" t="n"/>
      <c r="D78" s="46" t="n"/>
      <c r="E78" s="47" t="inlineStr">
        <is>
          <t>Caligrafia</t>
        </is>
      </c>
      <c r="F78" s="48" t="n"/>
      <c r="G78" s="48" t="n"/>
      <c r="H78" s="48" t="n"/>
      <c r="I78" s="48" t="n"/>
      <c r="J78" s="48" t="n"/>
      <c r="K78" s="48" t="n"/>
      <c r="L78" s="48" t="n"/>
      <c r="M78" s="48" t="n"/>
      <c r="N78" s="23" t="n"/>
      <c r="O78" s="46" t="n"/>
      <c r="P78" s="47" t="inlineStr">
        <is>
          <t>Jogatina</t>
        </is>
      </c>
      <c r="Q78" s="48" t="n"/>
      <c r="R78" s="48" t="n"/>
      <c r="S78" s="48" t="n"/>
      <c r="T78" s="48" t="n"/>
      <c r="U78" s="48" t="n"/>
      <c r="V78" s="48" t="n"/>
      <c r="W78" s="48" t="n"/>
      <c r="X78" s="48" t="n"/>
      <c r="Y78" s="23" t="n"/>
      <c r="Z78" s="23" t="n"/>
      <c r="AA78" s="23" t="n"/>
      <c r="AB78" s="51" t="n"/>
      <c r="AC78" s="51" t="n"/>
      <c r="AD78" s="51" t="n"/>
      <c r="AE78" s="51" t="n"/>
      <c r="AF78" s="51" t="n"/>
      <c r="AG78" s="51" t="n"/>
      <c r="AH78" s="51" t="n"/>
      <c r="AI78" s="51" t="n"/>
      <c r="AJ78" s="51" t="n"/>
      <c r="AK78" s="51" t="n"/>
      <c r="AL78" s="51" t="n"/>
      <c r="AM78" s="51" t="n"/>
      <c r="AN78" s="51" t="n"/>
      <c r="AO78" s="51" t="n"/>
      <c r="AP78" s="51" t="n"/>
      <c r="AQ78" s="51" t="n"/>
      <c r="AR78" s="51" t="n"/>
      <c r="AS78" s="51" t="n"/>
      <c r="AT78" s="51" t="n"/>
    </row>
    <row r="79" ht="15" customHeight="1">
      <c r="A79" s="7" t="n"/>
      <c r="B79" s="7" t="n"/>
      <c r="C79" s="23" t="n"/>
      <c r="D79" s="46" t="n"/>
      <c r="E79" s="47" t="inlineStr">
        <is>
          <t>Burocracia</t>
        </is>
      </c>
      <c r="F79" s="48" t="n"/>
      <c r="G79" s="48" t="n"/>
      <c r="H79" s="48" t="n"/>
      <c r="I79" s="48" t="n"/>
      <c r="J79" s="48" t="n"/>
      <c r="K79" s="48" t="n"/>
      <c r="L79" s="48" t="n"/>
      <c r="M79" s="48" t="n"/>
      <c r="N79" s="23" t="n"/>
      <c r="O79" s="51" t="n"/>
      <c r="P79" s="51" t="n"/>
      <c r="Q79" s="51" t="n"/>
      <c r="R79" s="51" t="n"/>
      <c r="S79" s="51" t="n"/>
      <c r="T79" s="51" t="n"/>
      <c r="U79" s="51" t="n"/>
      <c r="V79" s="51" t="n"/>
      <c r="W79" s="51" t="n"/>
      <c r="X79" s="51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7" t="n"/>
      <c r="B80" s="7" t="n"/>
      <c r="C80" s="23" t="n"/>
      <c r="D80" s="51" t="n"/>
      <c r="E80" s="51" t="n"/>
      <c r="F80" s="51" t="n"/>
      <c r="G80" s="51" t="n"/>
      <c r="H80" s="51" t="n"/>
      <c r="I80" s="51" t="n"/>
      <c r="J80" s="51" t="n"/>
      <c r="K80" s="51" t="n"/>
      <c r="L80" s="51" t="n"/>
      <c r="M80" s="51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7" t="n"/>
      <c r="B81" s="7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7" t="n"/>
      <c r="B82" s="7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7" t="n"/>
      <c r="B83" s="7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7" t="n"/>
      <c r="B84" s="7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7" t="n"/>
      <c r="B85" s="7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7" t="n"/>
      <c r="B86" s="7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7" t="n"/>
      <c r="B87" s="7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7" t="n"/>
      <c r="B88" s="7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7" t="n"/>
      <c r="B89" s="7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 ht="15" customHeight="1">
      <c r="A90" s="7" t="n"/>
      <c r="B90" s="7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  <row r="91" ht="15" customHeight="1">
      <c r="A91" s="7" t="n"/>
      <c r="B91" s="7" t="n"/>
      <c r="C91" s="23" t="n"/>
      <c r="D91" s="23" t="n"/>
      <c r="E91" s="23" t="n"/>
      <c r="F91" s="23" t="n"/>
      <c r="G91" s="23" t="n"/>
      <c r="H91" s="23" t="n"/>
      <c r="I91" s="23" t="n"/>
      <c r="J91" s="23" t="n"/>
      <c r="K91" s="23" t="n"/>
      <c r="L91" s="23" t="n"/>
      <c r="M91" s="23" t="n"/>
      <c r="N91" s="23" t="n"/>
      <c r="O91" s="23" t="n"/>
      <c r="P91" s="23" t="n"/>
      <c r="Q91" s="23" t="n"/>
      <c r="R91" s="23" t="n"/>
      <c r="S91" s="23" t="n"/>
      <c r="T91" s="23" t="n"/>
      <c r="U91" s="23" t="n"/>
      <c r="V91" s="23" t="n"/>
      <c r="W91" s="23" t="n"/>
      <c r="X91" s="23" t="n"/>
      <c r="Y91" s="23" t="n"/>
      <c r="Z91" s="23" t="n"/>
      <c r="AA91" s="23" t="n"/>
      <c r="AB91" s="23" t="n"/>
      <c r="AC91" s="23" t="n"/>
      <c r="AD91" s="23" t="n"/>
      <c r="AE91" s="23" t="n"/>
      <c r="AF91" s="23" t="n"/>
      <c r="AG91" s="23" t="n"/>
      <c r="AH91" s="23" t="n"/>
      <c r="AI91" s="23" t="n"/>
      <c r="AJ91" s="23" t="n"/>
      <c r="AK91" s="23" t="n"/>
      <c r="AL91" s="23" t="n"/>
      <c r="AM91" s="23" t="n"/>
      <c r="AN91" s="23" t="n"/>
      <c r="AO91" s="23" t="n"/>
      <c r="AP91" s="23" t="n"/>
      <c r="AQ91" s="23" t="n"/>
      <c r="AR91" s="23" t="n"/>
      <c r="AS91" s="23" t="n"/>
      <c r="AT91" s="23" t="n"/>
    </row>
    <row r="92" ht="15" customHeight="1">
      <c r="A92" s="7" t="n"/>
      <c r="B92" s="7" t="n"/>
      <c r="C92" s="23" t="n"/>
      <c r="D92" s="23" t="n"/>
      <c r="E92" s="23" t="n"/>
      <c r="F92" s="23" t="n"/>
      <c r="G92" s="23" t="n"/>
      <c r="H92" s="23" t="n"/>
      <c r="I92" s="23" t="n"/>
      <c r="J92" s="23" t="n"/>
      <c r="K92" s="23" t="n"/>
      <c r="L92" s="23" t="n"/>
      <c r="M92" s="23" t="n"/>
      <c r="N92" s="23" t="n"/>
      <c r="O92" s="23" t="n"/>
      <c r="P92" s="23" t="n"/>
      <c r="Q92" s="23" t="n"/>
      <c r="R92" s="23" t="n"/>
      <c r="S92" s="23" t="n"/>
      <c r="T92" s="23" t="n"/>
      <c r="U92" s="23" t="n"/>
      <c r="V92" s="23" t="n"/>
      <c r="W92" s="23" t="n"/>
      <c r="X92" s="23" t="n"/>
      <c r="Y92" s="23" t="n"/>
      <c r="Z92" s="23" t="n"/>
      <c r="AA92" s="23" t="n"/>
      <c r="AB92" s="23" t="n"/>
      <c r="AC92" s="23" t="n"/>
      <c r="AD92" s="23" t="n"/>
      <c r="AE92" s="23" t="n"/>
      <c r="AF92" s="23" t="n"/>
      <c r="AG92" s="23" t="n"/>
      <c r="AH92" s="23" t="n"/>
      <c r="AI92" s="23" t="n"/>
      <c r="AJ92" s="23" t="n"/>
      <c r="AK92" s="23" t="n"/>
      <c r="AL92" s="23" t="n"/>
      <c r="AM92" s="23" t="n"/>
      <c r="AN92" s="23" t="n"/>
      <c r="AO92" s="23" t="n"/>
      <c r="AP92" s="23" t="n"/>
      <c r="AQ92" s="23" t="n"/>
      <c r="AR92" s="23" t="n"/>
      <c r="AS92" s="23" t="n"/>
      <c r="AT92" s="23" t="n"/>
    </row>
  </sheetData>
  <mergeCells count="189">
    <mergeCell ref="O47:X47"/>
    <mergeCell ref="AK75:AO75"/>
    <mergeCell ref="M59:N59"/>
    <mergeCell ref="D2:X2"/>
    <mergeCell ref="D39:M39"/>
    <mergeCell ref="D22:N22"/>
    <mergeCell ref="AC62:AD62"/>
    <mergeCell ref="AH2:AT2"/>
    <mergeCell ref="E74:M74"/>
    <mergeCell ref="M70:N70"/>
    <mergeCell ref="M60:N60"/>
    <mergeCell ref="AC77:AJ77"/>
    <mergeCell ref="AC74:AJ74"/>
    <mergeCell ref="AA60:AB60"/>
    <mergeCell ref="AF23:AK23"/>
    <mergeCell ref="O63:P63"/>
    <mergeCell ref="S67:Z67"/>
    <mergeCell ref="AH10:AL10"/>
    <mergeCell ref="AM31:AR31"/>
    <mergeCell ref="D19:J19"/>
    <mergeCell ref="L16:R16"/>
    <mergeCell ref="E60:L60"/>
    <mergeCell ref="E69:L69"/>
    <mergeCell ref="A8:B26"/>
    <mergeCell ref="AP74:AT74"/>
    <mergeCell ref="AA63:AB63"/>
    <mergeCell ref="S69:Z69"/>
    <mergeCell ref="E59:L59"/>
    <mergeCell ref="AC63:AD63"/>
    <mergeCell ref="E75:M75"/>
    <mergeCell ref="D34:AT34"/>
    <mergeCell ref="O39:X39"/>
    <mergeCell ref="AA68:AB68"/>
    <mergeCell ref="AF22:AK22"/>
    <mergeCell ref="AM26:AR26"/>
    <mergeCell ref="AC60:AD60"/>
    <mergeCell ref="E61:L61"/>
    <mergeCell ref="D10:L10"/>
    <mergeCell ref="O60:P60"/>
    <mergeCell ref="AM23:AR23"/>
    <mergeCell ref="M62:N62"/>
    <mergeCell ref="AK54:AT54"/>
    <mergeCell ref="O66:P66"/>
    <mergeCell ref="D43:M43"/>
    <mergeCell ref="D8:F9"/>
    <mergeCell ref="D26:N26"/>
    <mergeCell ref="AN11:AT11"/>
    <mergeCell ref="D11:L11"/>
    <mergeCell ref="O68:P68"/>
    <mergeCell ref="AK40:AT40"/>
    <mergeCell ref="Z44:AI44"/>
    <mergeCell ref="O48:X48"/>
    <mergeCell ref="S62:Z62"/>
    <mergeCell ref="P77:X77"/>
    <mergeCell ref="D51:F52"/>
    <mergeCell ref="M64:N64"/>
    <mergeCell ref="D54:M54"/>
    <mergeCell ref="O65:P65"/>
    <mergeCell ref="J31:N32"/>
    <mergeCell ref="E63:L63"/>
    <mergeCell ref="AC76:AJ76"/>
    <mergeCell ref="AF26:AK26"/>
    <mergeCell ref="P78:X78"/>
    <mergeCell ref="S66:Z66"/>
    <mergeCell ref="E65:L65"/>
    <mergeCell ref="AC64:AD64"/>
    <mergeCell ref="M65:N65"/>
    <mergeCell ref="E76:M76"/>
    <mergeCell ref="D40:M40"/>
    <mergeCell ref="J23:N24"/>
    <mergeCell ref="S68:Z68"/>
    <mergeCell ref="O62:P62"/>
    <mergeCell ref="P27:AD28"/>
    <mergeCell ref="AF27:AK27"/>
    <mergeCell ref="AB16:AH16"/>
    <mergeCell ref="AC65:AD65"/>
    <mergeCell ref="D72:F73"/>
    <mergeCell ref="AP77:AT77"/>
    <mergeCell ref="M66:N66"/>
    <mergeCell ref="L17:R18"/>
    <mergeCell ref="M63:N63"/>
    <mergeCell ref="O43:X43"/>
    <mergeCell ref="D37:F38"/>
    <mergeCell ref="D5:Z5"/>
    <mergeCell ref="AP75:AT75"/>
    <mergeCell ref="M68:N68"/>
    <mergeCell ref="AK44:AT44"/>
    <mergeCell ref="AJ17:AP18"/>
    <mergeCell ref="G37:X37"/>
    <mergeCell ref="E62:L62"/>
    <mergeCell ref="M67:N67"/>
    <mergeCell ref="AC66:AD66"/>
    <mergeCell ref="E78:M78"/>
    <mergeCell ref="G57:AD57"/>
    <mergeCell ref="AF30:AK30"/>
    <mergeCell ref="T19:Z19"/>
    <mergeCell ref="S61:Z61"/>
    <mergeCell ref="E77:M77"/>
    <mergeCell ref="S63:Z63"/>
    <mergeCell ref="E64:L64"/>
    <mergeCell ref="AC68:AD68"/>
    <mergeCell ref="M69:N69"/>
    <mergeCell ref="N10:V10"/>
    <mergeCell ref="AK74:AO74"/>
    <mergeCell ref="D44:M44"/>
    <mergeCell ref="P75:X75"/>
    <mergeCell ref="AC67:AD67"/>
    <mergeCell ref="AF31:AK31"/>
    <mergeCell ref="G72:AH72"/>
    <mergeCell ref="O53:X53"/>
    <mergeCell ref="G51:X51"/>
    <mergeCell ref="D23:H24"/>
    <mergeCell ref="O59:P59"/>
    <mergeCell ref="AA65:AB65"/>
    <mergeCell ref="AC69:AD69"/>
    <mergeCell ref="P31:AD32"/>
    <mergeCell ref="D57:F58"/>
    <mergeCell ref="AA59:AB59"/>
    <mergeCell ref="AK43:AT43"/>
    <mergeCell ref="Z53:AI53"/>
    <mergeCell ref="O61:P61"/>
    <mergeCell ref="S65:Z65"/>
    <mergeCell ref="O70:P70"/>
    <mergeCell ref="D27:H28"/>
    <mergeCell ref="O54:X54"/>
    <mergeCell ref="D30:N30"/>
    <mergeCell ref="D48:M48"/>
    <mergeCell ref="AK77:AO77"/>
    <mergeCell ref="AA62:AB62"/>
    <mergeCell ref="D16:J16"/>
    <mergeCell ref="AP76:AT76"/>
    <mergeCell ref="E66:L66"/>
    <mergeCell ref="Z39:AI39"/>
    <mergeCell ref="A30:B48"/>
    <mergeCell ref="J27:N28"/>
    <mergeCell ref="S60:Z60"/>
    <mergeCell ref="O40:X40"/>
    <mergeCell ref="D14:F15"/>
    <mergeCell ref="E68:L68"/>
    <mergeCell ref="T16:Z16"/>
    <mergeCell ref="S59:Z59"/>
    <mergeCell ref="E67:L67"/>
    <mergeCell ref="AC75:AJ75"/>
    <mergeCell ref="D3:Z4"/>
    <mergeCell ref="D17:J18"/>
    <mergeCell ref="AB19:AH19"/>
    <mergeCell ref="AJ16:AP16"/>
    <mergeCell ref="AN10:AT10"/>
    <mergeCell ref="Z40:AI40"/>
    <mergeCell ref="AM30:AR30"/>
    <mergeCell ref="G14:X14"/>
    <mergeCell ref="AH3:AT3"/>
    <mergeCell ref="AB17:AH18"/>
    <mergeCell ref="AK53:AT53"/>
    <mergeCell ref="T17:Z18"/>
    <mergeCell ref="O69:P69"/>
    <mergeCell ref="X10:AF10"/>
    <mergeCell ref="Z54:AI54"/>
    <mergeCell ref="L19:R19"/>
    <mergeCell ref="AA69:AB69"/>
    <mergeCell ref="D31:H32"/>
    <mergeCell ref="AM27:AR27"/>
    <mergeCell ref="P74:X74"/>
    <mergeCell ref="AA66:AB66"/>
    <mergeCell ref="AH11:AL11"/>
    <mergeCell ref="AK76:AO76"/>
    <mergeCell ref="AK39:AT39"/>
    <mergeCell ref="M61:N61"/>
    <mergeCell ref="E70:L70"/>
    <mergeCell ref="Z43:AI43"/>
    <mergeCell ref="O64:P64"/>
    <mergeCell ref="N11:V11"/>
    <mergeCell ref="AJ19:AP19"/>
    <mergeCell ref="P23:AD24"/>
    <mergeCell ref="P76:X76"/>
    <mergeCell ref="AC59:AD59"/>
    <mergeCell ref="X11:AF11"/>
    <mergeCell ref="O44:X44"/>
    <mergeCell ref="S64:Z64"/>
    <mergeCell ref="AA64:AB64"/>
    <mergeCell ref="O67:P67"/>
    <mergeCell ref="D53:M53"/>
    <mergeCell ref="AA67:AB67"/>
    <mergeCell ref="AM22:AR22"/>
    <mergeCell ref="D47:M47"/>
    <mergeCell ref="AA61:AB61"/>
    <mergeCell ref="E79:M79"/>
    <mergeCell ref="AC61:AD61"/>
    <mergeCell ref="G8:X8"/>
  </mergeCells>
  <dataValidations count="3">
    <dataValidation sqref="D11:L11" showDropDown="0" showInputMessage="0" showErrorMessage="0" allowBlank="1" type="list">
      <formula1>DADOS!$A$4:$A$7</formula1>
    </dataValidation>
    <dataValidation sqref="N11:V11" showDropDown="0" showInputMessage="0" showErrorMessage="0" allowBlank="1" type="list">
      <formula1>DADOS!$L$4:$L$18</formula1>
    </dataValidation>
    <dataValidation sqref="X11:AF11" showDropDown="0" showInputMessage="0" showErrorMessage="0" allowBlank="1" type="list">
      <formula1>DADOS!$I$4:$I$10</formula1>
    </dataValidation>
  </dataValidations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2" t="inlineStr">
        <is>
          <t>TÉCNICA · o Fundamento e os feitiços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53" t="inlineStr">
        <is>
          <t>FAMÍLIAS · 2 Livres, 3 Fechadas</t>
        </is>
      </c>
      <c r="B4" s="23" t="n"/>
      <c r="C4" s="23" t="n"/>
      <c r="D4" s="23" t="n"/>
      <c r="E4" s="23" t="n"/>
      <c r="F4" s="23" t="n"/>
      <c r="G4" s="23" t="n"/>
      <c r="H4" s="23" t="n"/>
      <c r="I4" s="23" t="n"/>
      <c r="J4" s="23" t="n"/>
      <c r="K4" s="23" t="n"/>
      <c r="L4" s="23" t="n"/>
      <c r="M4" s="23" t="n"/>
      <c r="N4" s="23" t="n"/>
      <c r="O4" s="23" t="n"/>
      <c r="P4" s="23" t="n"/>
      <c r="Q4" s="23" t="n"/>
      <c r="R4" s="23" t="n"/>
      <c r="S4" s="23" t="n"/>
      <c r="T4" s="23" t="n"/>
      <c r="U4" s="23" t="n"/>
      <c r="V4" s="23" t="n"/>
      <c r="W4" s="23" t="n"/>
      <c r="X4" s="23" t="n"/>
      <c r="Y4" s="23" t="n"/>
      <c r="Z4" s="23" t="n"/>
      <c r="AA4" s="23" t="n"/>
      <c r="AB4" s="23" t="n"/>
      <c r="AC4" s="23" t="n"/>
      <c r="AD4" s="23" t="n"/>
      <c r="AE4" s="23" t="n"/>
      <c r="AF4" s="23" t="n"/>
      <c r="AG4" s="23" t="n"/>
      <c r="AH4" s="23" t="n"/>
      <c r="AI4" s="23" t="n"/>
      <c r="AJ4" s="23" t="n"/>
      <c r="AK4" s="23" t="n"/>
      <c r="AL4" s="23" t="n"/>
      <c r="AM4" s="23" t="n"/>
      <c r="AN4" s="23" t="n"/>
      <c r="AO4" s="23" t="n"/>
      <c r="AP4" s="23" t="n"/>
      <c r="AQ4" s="23" t="n"/>
      <c r="AR4" s="23" t="n"/>
      <c r="AS4" s="23" t="n"/>
      <c r="AT4" s="23" t="n"/>
    </row>
    <row r="5" ht="15" customHeight="1">
      <c r="A5" s="54" t="inlineStr">
        <is>
          <t>LIVRE</t>
        </is>
      </c>
      <c r="I5" s="23" t="n"/>
      <c r="J5" s="54" t="inlineStr">
        <is>
          <t>LIVRE</t>
        </is>
      </c>
      <c r="R5" s="23" t="n"/>
      <c r="S5" s="54" t="inlineStr">
        <is>
          <t>FECHADA</t>
        </is>
      </c>
      <c r="AA5" s="23" t="n"/>
      <c r="AB5" s="54" t="inlineStr">
        <is>
          <t>FECHADA</t>
        </is>
      </c>
      <c r="AJ5" s="23" t="n"/>
      <c r="AK5" s="54" t="inlineStr">
        <is>
          <t>FECHADA</t>
        </is>
      </c>
      <c r="AS5" s="23" t="n"/>
      <c r="AT5" s="23" t="n"/>
    </row>
    <row r="6" ht="15" customHeight="1">
      <c r="A6" s="55" t="n"/>
      <c r="I6" s="23" t="n"/>
      <c r="J6" s="55" t="n"/>
      <c r="R6" s="23" t="n"/>
      <c r="S6" s="55" t="n"/>
      <c r="AA6" s="23" t="n"/>
      <c r="AB6" s="55" t="n"/>
      <c r="AJ6" s="23" t="n"/>
      <c r="AK6" s="55" t="n"/>
      <c r="AS6" s="23" t="n"/>
      <c r="AT6" s="23" t="n"/>
    </row>
    <row r="7" ht="15" customHeight="1">
      <c r="I7" s="23" t="n"/>
      <c r="R7" s="23" t="n"/>
      <c r="AA7" s="23" t="n"/>
      <c r="AJ7" s="23" t="n"/>
      <c r="AS7" s="23" t="n"/>
      <c r="AT7" s="23" t="n"/>
    </row>
    <row r="8" ht="15" customHeight="1">
      <c r="A8" s="23" t="n"/>
      <c r="B8" s="23" t="n"/>
      <c r="C8" s="23" t="n"/>
      <c r="D8" s="23" t="n"/>
      <c r="E8" s="23" t="n"/>
      <c r="F8" s="23" t="n"/>
      <c r="G8" s="23" t="n"/>
      <c r="H8" s="23" t="n"/>
      <c r="I8" s="23" t="n"/>
      <c r="J8" s="23" t="n"/>
      <c r="K8" s="23" t="n"/>
      <c r="L8" s="23" t="n"/>
      <c r="M8" s="23" t="n"/>
      <c r="N8" s="23" t="n"/>
      <c r="O8" s="23" t="n"/>
      <c r="P8" s="23" t="n"/>
      <c r="Q8" s="23" t="n"/>
      <c r="R8" s="23" t="n"/>
      <c r="S8" s="23" t="n"/>
      <c r="T8" s="23" t="n"/>
      <c r="U8" s="23" t="n"/>
      <c r="V8" s="23" t="n"/>
      <c r="W8" s="23" t="n"/>
      <c r="X8" s="23" t="n"/>
      <c r="Y8" s="23" t="n"/>
      <c r="Z8" s="23" t="n"/>
      <c r="AA8" s="23" t="n"/>
      <c r="AB8" s="23" t="n"/>
      <c r="AC8" s="23" t="n"/>
      <c r="AD8" s="23" t="n"/>
      <c r="AE8" s="23" t="n"/>
      <c r="AF8" s="23" t="n"/>
      <c r="AG8" s="23" t="n"/>
      <c r="AH8" s="23" t="n"/>
      <c r="AI8" s="23" t="n"/>
      <c r="AJ8" s="23" t="n"/>
      <c r="AK8" s="23" t="n"/>
      <c r="AL8" s="23" t="n"/>
      <c r="AM8" s="23" t="n"/>
      <c r="AN8" s="23" t="n"/>
      <c r="AO8" s="23" t="n"/>
      <c r="AP8" s="23" t="n"/>
      <c r="AQ8" s="23" t="n"/>
      <c r="AR8" s="23" t="n"/>
      <c r="AS8" s="23" t="n"/>
      <c r="AT8" s="23" t="n"/>
    </row>
    <row r="9" ht="15" customHeight="1">
      <c r="A9" s="53" t="inlineStr">
        <is>
          <t>FEITIÇOS · seis dos nove campos a ficha calcula sozinha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3" t="n"/>
      <c r="X9" s="23" t="n"/>
      <c r="Y9" s="23" t="n"/>
      <c r="Z9" s="23" t="n"/>
      <c r="AA9" s="23" t="n"/>
      <c r="AB9" s="23" t="n"/>
      <c r="AC9" s="23" t="n"/>
      <c r="AD9" s="23" t="n"/>
      <c r="AE9" s="23" t="n"/>
      <c r="AF9" s="23" t="n"/>
      <c r="AG9" s="23" t="n"/>
      <c r="AH9" s="23" t="n"/>
      <c r="AI9" s="23" t="n"/>
      <c r="AJ9" s="23" t="n"/>
      <c r="AK9" s="23" t="n"/>
      <c r="AL9" s="23" t="n"/>
      <c r="AM9" s="23" t="n"/>
      <c r="AN9" s="23" t="n"/>
      <c r="AO9" s="23" t="n"/>
      <c r="AP9" s="23" t="n"/>
      <c r="AQ9" s="23" t="n"/>
      <c r="AR9" s="23" t="n"/>
      <c r="AS9" s="23" t="n"/>
      <c r="AT9" s="23" t="n"/>
    </row>
    <row r="10" ht="15" customHeight="1">
      <c r="A10" s="23" t="n"/>
      <c r="B10" s="23" t="n"/>
      <c r="C10" s="23" t="n"/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</row>
    <row r="11" ht="15" customHeight="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  <c r="AB11" s="23" t="n"/>
      <c r="AC11" s="23" t="n"/>
      <c r="AD11" s="23" t="n"/>
      <c r="AE11" s="23" t="n"/>
      <c r="AF11" s="23" t="n"/>
      <c r="AG11" s="23" t="n"/>
      <c r="AH11" s="23" t="n"/>
      <c r="AI11" s="23" t="n"/>
      <c r="AJ11" s="23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  <c r="AT11" s="23" t="n"/>
    </row>
    <row r="12" ht="15" customHeight="1">
      <c r="A12" s="23" t="n"/>
      <c r="B12" s="23" t="n"/>
      <c r="C12" s="23" t="n"/>
      <c r="D12" s="23" t="n"/>
      <c r="E12" s="23" t="n"/>
      <c r="F12" s="23" t="n"/>
      <c r="G12" s="23" t="n"/>
      <c r="H12" s="23" t="n"/>
      <c r="I12" s="23" t="n"/>
      <c r="J12" s="23" t="n"/>
      <c r="K12" s="23" t="n"/>
      <c r="L12" s="23" t="n"/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23" t="n"/>
      <c r="AC12" s="23" t="n"/>
      <c r="AD12" s="23" t="n"/>
      <c r="AE12" s="23" t="n"/>
      <c r="AF12" s="23" t="n"/>
      <c r="AG12" s="23" t="n"/>
      <c r="AH12" s="23" t="n"/>
      <c r="AI12" s="23" t="n"/>
      <c r="AJ12" s="23" t="n"/>
      <c r="AK12" s="23" t="n"/>
      <c r="AL12" s="23" t="n"/>
      <c r="AM12" s="23" t="n"/>
      <c r="AN12" s="23" t="n"/>
      <c r="AO12" s="23" t="n"/>
      <c r="AP12" s="23" t="n"/>
      <c r="AQ12" s="23" t="n"/>
      <c r="AR12" s="23" t="n"/>
      <c r="AS12" s="23" t="n"/>
      <c r="AT12" s="23" t="n"/>
    </row>
    <row r="13" ht="15" customHeight="1">
      <c r="A13" s="23" t="n"/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23" t="n"/>
      <c r="AC13" s="23" t="n"/>
      <c r="AD13" s="23" t="n"/>
      <c r="AE13" s="23" t="n"/>
      <c r="AF13" s="23" t="n"/>
      <c r="AG13" s="23" t="n"/>
      <c r="AH13" s="23" t="n"/>
      <c r="AI13" s="23" t="n"/>
      <c r="AJ13" s="23" t="n"/>
      <c r="AK13" s="23" t="n"/>
      <c r="AL13" s="23" t="n"/>
      <c r="AM13" s="23" t="n"/>
      <c r="AN13" s="23" t="n"/>
      <c r="AO13" s="23" t="n"/>
      <c r="AP13" s="23" t="n"/>
      <c r="AQ13" s="23" t="n"/>
      <c r="AR13" s="23" t="n"/>
      <c r="AS13" s="23" t="n"/>
      <c r="AT13" s="23" t="n"/>
    </row>
    <row r="14" ht="15" customHeight="1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3" t="n"/>
      <c r="K14" s="23" t="n"/>
      <c r="L14" s="23" t="n"/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23" t="n"/>
      <c r="AC14" s="23" t="n"/>
      <c r="AD14" s="23" t="n"/>
      <c r="AE14" s="23" t="n"/>
      <c r="AF14" s="23" t="n"/>
      <c r="AG14" s="23" t="n"/>
      <c r="AH14" s="23" t="n"/>
      <c r="AI14" s="23" t="n"/>
      <c r="AJ14" s="23" t="n"/>
      <c r="AK14" s="23" t="n"/>
      <c r="AL14" s="23" t="n"/>
      <c r="AM14" s="23" t="n"/>
      <c r="AN14" s="23" t="n"/>
      <c r="AO14" s="23" t="n"/>
      <c r="AP14" s="23" t="n"/>
      <c r="AQ14" s="23" t="n"/>
      <c r="AR14" s="23" t="n"/>
      <c r="AS14" s="23" t="n"/>
      <c r="AT14" s="23" t="n"/>
    </row>
    <row r="15" ht="15" customHeight="1">
      <c r="A15" s="23" t="n"/>
      <c r="B15" s="23" t="n"/>
      <c r="C15" s="23" t="n"/>
      <c r="D15" s="23" t="n"/>
      <c r="E15" s="23" t="n"/>
      <c r="F15" s="23" t="n"/>
      <c r="G15" s="23" t="n"/>
      <c r="H15" s="23" t="n"/>
      <c r="I15" s="23" t="n"/>
      <c r="J15" s="23" t="n"/>
      <c r="K15" s="23" t="n"/>
      <c r="L15" s="23" t="n"/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23" t="n"/>
      <c r="AC15" s="23" t="n"/>
      <c r="AD15" s="23" t="n"/>
      <c r="AE15" s="23" t="n"/>
      <c r="AF15" s="23" t="n"/>
      <c r="AG15" s="23" t="n"/>
      <c r="AH15" s="23" t="n"/>
      <c r="AI15" s="23" t="n"/>
      <c r="AJ15" s="23" t="n"/>
      <c r="AK15" s="23" t="n"/>
      <c r="AL15" s="23" t="n"/>
      <c r="AM15" s="23" t="n"/>
      <c r="AN15" s="23" t="n"/>
      <c r="AO15" s="23" t="n"/>
      <c r="AP15" s="23" t="n"/>
      <c r="AQ15" s="23" t="n"/>
      <c r="AR15" s="23" t="n"/>
      <c r="AS15" s="23" t="n"/>
      <c r="AT15" s="23" t="n"/>
    </row>
    <row r="16" ht="15" customHeight="1">
      <c r="A16" s="23" t="n"/>
      <c r="B16" s="23" t="n"/>
      <c r="C16" s="23" t="n"/>
      <c r="D16" s="23" t="n"/>
      <c r="E16" s="23" t="n"/>
      <c r="F16" s="23" t="n"/>
      <c r="G16" s="23" t="n"/>
      <c r="H16" s="23" t="n"/>
      <c r="I16" s="23" t="n"/>
      <c r="J16" s="23" t="n"/>
      <c r="K16" s="23" t="n"/>
      <c r="L16" s="23" t="n"/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23" t="n"/>
      <c r="AC16" s="23" t="n"/>
      <c r="AD16" s="23" t="n"/>
      <c r="AE16" s="23" t="n"/>
      <c r="AF16" s="23" t="n"/>
      <c r="AG16" s="23" t="n"/>
      <c r="AH16" s="23" t="n"/>
      <c r="AI16" s="23" t="n"/>
      <c r="AJ16" s="23" t="n"/>
      <c r="AK16" s="23" t="n"/>
      <c r="AL16" s="23" t="n"/>
      <c r="AM16" s="23" t="n"/>
      <c r="AN16" s="23" t="n"/>
      <c r="AO16" s="23" t="n"/>
      <c r="AP16" s="23" t="n"/>
      <c r="AQ16" s="23" t="n"/>
      <c r="AR16" s="23" t="n"/>
      <c r="AS16" s="23" t="n"/>
      <c r="AT16" s="23" t="n"/>
    </row>
    <row r="17" ht="15" customHeight="1">
      <c r="A17" s="23" t="n"/>
      <c r="B17" s="23" t="n"/>
      <c r="C17" s="23" t="n"/>
      <c r="D17" s="23" t="n"/>
      <c r="E17" s="23" t="n"/>
      <c r="F17" s="23" t="n"/>
      <c r="G17" s="23" t="n"/>
      <c r="H17" s="23" t="n"/>
      <c r="I17" s="23" t="n"/>
      <c r="J17" s="23" t="n"/>
      <c r="K17" s="23" t="n"/>
      <c r="L17" s="23" t="n"/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23" t="n"/>
      <c r="AC17" s="23" t="n"/>
      <c r="AD17" s="23" t="n"/>
      <c r="AE17" s="23" t="n"/>
      <c r="AF17" s="23" t="n"/>
      <c r="AG17" s="23" t="n"/>
      <c r="AH17" s="23" t="n"/>
      <c r="AI17" s="23" t="n"/>
      <c r="AJ17" s="23" t="n"/>
      <c r="AK17" s="23" t="n"/>
      <c r="AL17" s="23" t="n"/>
      <c r="AM17" s="23" t="n"/>
      <c r="AN17" s="23" t="n"/>
      <c r="AO17" s="23" t="n"/>
      <c r="AP17" s="23" t="n"/>
      <c r="AQ17" s="23" t="n"/>
      <c r="AR17" s="23" t="n"/>
      <c r="AS17" s="23" t="n"/>
      <c r="AT17" s="23" t="n"/>
    </row>
    <row r="18" ht="15" customHeight="1">
      <c r="A18" s="56" t="inlineStr"/>
      <c r="B18" s="57" t="n"/>
      <c r="I18" s="58" t="inlineStr">
        <is>
          <t>nome</t>
        </is>
      </c>
      <c r="W18" s="23" t="n"/>
      <c r="X18" s="23" t="n"/>
      <c r="Y18" s="23" t="n"/>
      <c r="Z18" s="23" t="n"/>
      <c r="AA18" s="23" t="n"/>
      <c r="AB18" s="23" t="n"/>
      <c r="AC18" s="23" t="n"/>
      <c r="AD18" s="23" t="n"/>
      <c r="AE18" s="23" t="n"/>
      <c r="AF18" s="23" t="n"/>
      <c r="AG18" s="23" t="n"/>
      <c r="AH18" s="23" t="n"/>
      <c r="AI18" s="23" t="n"/>
      <c r="AJ18" s="23" t="n"/>
      <c r="AK18" s="23" t="n"/>
      <c r="AL18" s="23" t="n"/>
      <c r="AM18" s="23" t="n"/>
      <c r="AN18" s="23" t="n"/>
      <c r="AO18" s="23" t="n"/>
      <c r="AP18" s="23" t="n"/>
      <c r="AQ18" s="23" t="n"/>
      <c r="AR18" s="23" t="n"/>
      <c r="AS18" s="23" t="n"/>
      <c r="AT18" s="23" t="n"/>
    </row>
    <row r="19" ht="15" customHeight="1">
      <c r="A19" s="56" t="inlineStr"/>
      <c r="B19" s="57" t="n"/>
      <c r="I19" s="58" t="inlineStr">
        <is>
          <t>forma</t>
        </is>
      </c>
      <c r="W19" s="23" t="n"/>
      <c r="X19" s="23" t="n"/>
      <c r="Y19" s="23" t="n"/>
      <c r="Z19" s="23" t="n"/>
      <c r="AA19" s="23" t="n"/>
      <c r="AB19" s="23" t="n"/>
      <c r="AC19" s="23" t="n"/>
      <c r="AD19" s="23" t="n"/>
      <c r="AE19" s="23" t="n"/>
      <c r="AF19" s="23" t="n"/>
      <c r="AG19" s="23" t="n"/>
      <c r="AH19" s="23" t="n"/>
      <c r="AI19" s="23" t="n"/>
      <c r="AJ19" s="23" t="n"/>
      <c r="AK19" s="23" t="n"/>
      <c r="AL19" s="23" t="n"/>
      <c r="AM19" s="23" t="n"/>
      <c r="AN19" s="23" t="n"/>
      <c r="AO19" s="23" t="n"/>
      <c r="AP19" s="23" t="n"/>
      <c r="AQ19" s="23" t="n"/>
      <c r="AR19" s="23" t="n"/>
      <c r="AS19" s="23" t="n"/>
      <c r="AT19" s="23" t="n"/>
    </row>
    <row r="20" ht="15" customHeight="1">
      <c r="A20" s="56" t="inlineStr"/>
      <c r="B20" s="57" t="n"/>
      <c r="I20" s="58" t="inlineStr">
        <is>
          <t>classe</t>
        </is>
      </c>
      <c r="W20" s="23" t="n"/>
      <c r="X20" s="23" t="n"/>
      <c r="Y20" s="23" t="n"/>
      <c r="Z20" s="23" t="n"/>
      <c r="AA20" s="23" t="n"/>
      <c r="AB20" s="23" t="n"/>
      <c r="AC20" s="23" t="n"/>
      <c r="AD20" s="23" t="n"/>
      <c r="AE20" s="23" t="n"/>
      <c r="AF20" s="23" t="n"/>
      <c r="AG20" s="23" t="n"/>
      <c r="AH20" s="23" t="n"/>
      <c r="AI20" s="23" t="n"/>
      <c r="AJ20" s="23" t="n"/>
      <c r="AK20" s="23" t="n"/>
      <c r="AL20" s="23" t="n"/>
      <c r="AM20" s="23" t="n"/>
      <c r="AN20" s="23" t="n"/>
      <c r="AO20" s="23" t="n"/>
      <c r="AP20" s="23" t="n"/>
      <c r="AQ20" s="23" t="n"/>
      <c r="AR20" s="23" t="n"/>
      <c r="AS20" s="23" t="n"/>
      <c r="AT20" s="23" t="n"/>
    </row>
    <row r="21" ht="15" customHeight="1">
      <c r="A21" s="56" t="inlineStr"/>
      <c r="B21" s="57" t="n"/>
      <c r="I21" s="58" t="inlineStr">
        <is>
          <t>melhoria 1</t>
        </is>
      </c>
      <c r="W21" s="23" t="n"/>
      <c r="X21" s="23" t="n"/>
      <c r="Y21" s="23" t="n"/>
      <c r="Z21" s="23" t="n"/>
      <c r="AA21" s="23" t="n"/>
      <c r="AB21" s="23" t="n"/>
      <c r="AC21" s="23" t="n"/>
      <c r="AD21" s="23" t="n"/>
      <c r="AE21" s="23" t="n"/>
      <c r="AF21" s="23" t="n"/>
      <c r="AG21" s="23" t="n"/>
      <c r="AH21" s="23" t="n"/>
      <c r="AI21" s="23" t="n"/>
      <c r="AJ21" s="23" t="n"/>
      <c r="AK21" s="23" t="n"/>
      <c r="AL21" s="23" t="n"/>
      <c r="AM21" s="23" t="n"/>
      <c r="AN21" s="23" t="n"/>
      <c r="AO21" s="23" t="n"/>
      <c r="AP21" s="23" t="n"/>
      <c r="AQ21" s="23" t="n"/>
      <c r="AR21" s="23" t="n"/>
      <c r="AS21" s="23" t="n"/>
      <c r="AT21" s="23" t="n"/>
    </row>
    <row r="22" ht="15" customHeight="1">
      <c r="A22" s="56" t="inlineStr"/>
      <c r="B22" s="57" t="n"/>
      <c r="I22" s="58" t="inlineStr">
        <is>
          <t>melhoria 2</t>
        </is>
      </c>
      <c r="W22" s="23" t="n"/>
      <c r="X22" s="23" t="n"/>
      <c r="Y22" s="23" t="n"/>
      <c r="Z22" s="23" t="n"/>
      <c r="AA22" s="23" t="n"/>
      <c r="AB22" s="23" t="n"/>
      <c r="AC22" s="23" t="n"/>
      <c r="AD22" s="23" t="n"/>
      <c r="AE22" s="23" t="n"/>
      <c r="AF22" s="23" t="n"/>
      <c r="AG22" s="23" t="n"/>
      <c r="AH22" s="23" t="n"/>
      <c r="AI22" s="23" t="n"/>
      <c r="AJ22" s="23" t="n"/>
      <c r="AK22" s="23" t="n"/>
      <c r="AL22" s="23" t="n"/>
      <c r="AM22" s="23" t="n"/>
      <c r="AN22" s="23" t="n"/>
      <c r="AO22" s="23" t="n"/>
      <c r="AP22" s="23" t="n"/>
      <c r="AQ22" s="23" t="n"/>
      <c r="AR22" s="23" t="n"/>
      <c r="AS22" s="23" t="n"/>
      <c r="AT22" s="23" t="n"/>
    </row>
    <row r="23" ht="15" customHeight="1">
      <c r="A23" s="56" t="inlineStr"/>
      <c r="B23" s="57" t="n"/>
      <c r="I23" s="58" t="inlineStr">
        <is>
          <t>restrição 1</t>
        </is>
      </c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  <c r="AG23" s="23" t="n"/>
      <c r="AH23" s="23" t="n"/>
      <c r="AI23" s="23" t="n"/>
      <c r="AJ23" s="23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  <c r="AT23" s="23" t="n"/>
    </row>
    <row r="24" ht="15" customHeight="1">
      <c r="A24" s="56" t="inlineStr"/>
      <c r="B24" s="57" t="n"/>
      <c r="I24" s="58" t="inlineStr">
        <is>
          <t>restrição 2</t>
        </is>
      </c>
      <c r="W24" s="23" t="n"/>
      <c r="X24" s="23" t="n"/>
      <c r="Y24" s="23" t="n"/>
      <c r="Z24" s="23" t="n"/>
      <c r="AA24" s="23" t="n"/>
      <c r="AB24" s="23" t="n"/>
      <c r="AC24" s="23" t="n"/>
      <c r="AD24" s="23" t="n"/>
      <c r="AE24" s="23" t="n"/>
      <c r="AF24" s="23" t="n"/>
      <c r="AG24" s="23" t="n"/>
      <c r="AH24" s="23" t="n"/>
      <c r="AI24" s="23" t="n"/>
      <c r="AJ24" s="23" t="n"/>
      <c r="AK24" s="23" t="n"/>
      <c r="AL24" s="23" t="n"/>
      <c r="AM24" s="23" t="n"/>
      <c r="AN24" s="23" t="n"/>
      <c r="AO24" s="23" t="n"/>
      <c r="AP24" s="23" t="n"/>
      <c r="AQ24" s="23" t="n"/>
      <c r="AR24" s="23" t="n"/>
      <c r="AS24" s="23" t="n"/>
      <c r="AT24" s="23" t="n"/>
    </row>
    <row r="25" ht="15" customHeight="1">
      <c r="A25" s="56" t="inlineStr"/>
      <c r="B25" s="57" t="n"/>
      <c r="I25" s="58" t="inlineStr">
        <is>
          <t>ação</t>
        </is>
      </c>
      <c r="W25" s="23" t="n"/>
      <c r="X25" s="23" t="n"/>
      <c r="Y25" s="23" t="n"/>
      <c r="Z25" s="23" t="n"/>
      <c r="AA25" s="23" t="n"/>
      <c r="AB25" s="23" t="n"/>
      <c r="AC25" s="23" t="n"/>
      <c r="AD25" s="23" t="n"/>
      <c r="AE25" s="23" t="n"/>
      <c r="AF25" s="23" t="n"/>
      <c r="AG25" s="23" t="n"/>
      <c r="AH25" s="23" t="n"/>
      <c r="AI25" s="23" t="n"/>
      <c r="AJ25" s="23" t="n"/>
      <c r="AK25" s="23" t="n"/>
      <c r="AL25" s="23" t="n"/>
      <c r="AM25" s="23" t="n"/>
      <c r="AN25" s="23" t="n"/>
      <c r="AO25" s="23" t="n"/>
      <c r="AP25" s="23" t="n"/>
      <c r="AQ25" s="23" t="n"/>
      <c r="AR25" s="23" t="n"/>
      <c r="AS25" s="23" t="n"/>
      <c r="AT25" s="23" t="n"/>
    </row>
    <row r="26" ht="15" customHeight="1">
      <c r="A26" s="56" t="inlineStr"/>
      <c r="B26" s="57" t="n"/>
      <c r="I26" s="58" t="inlineStr">
        <is>
          <t>alcance</t>
        </is>
      </c>
      <c r="W26" s="23" t="n"/>
      <c r="X26" s="23" t="n"/>
      <c r="Y26" s="23" t="n"/>
      <c r="Z26" s="23" t="n"/>
      <c r="AA26" s="23" t="n"/>
      <c r="AB26" s="23" t="n"/>
      <c r="AC26" s="23" t="n"/>
      <c r="AD26" s="23" t="n"/>
      <c r="AE26" s="23" t="n"/>
      <c r="AF26" s="23" t="n"/>
      <c r="AG26" s="23" t="n"/>
      <c r="AH26" s="23" t="n"/>
      <c r="AI26" s="23" t="n"/>
      <c r="AJ26" s="23" t="n"/>
      <c r="AK26" s="23" t="n"/>
      <c r="AL26" s="23" t="n"/>
      <c r="AM26" s="23" t="n"/>
      <c r="AN26" s="23" t="n"/>
      <c r="AO26" s="23" t="n"/>
      <c r="AP26" s="23" t="n"/>
      <c r="AQ26" s="23" t="n"/>
      <c r="AR26" s="23" t="n"/>
      <c r="AS26" s="23" t="n"/>
      <c r="AT26" s="23" t="n"/>
    </row>
    <row r="27" ht="15" customHeight="1">
      <c r="A27" s="56" t="inlineStr"/>
      <c r="B27" s="57" t="n"/>
      <c r="I27" s="58" t="inlineStr">
        <is>
          <t>alvo</t>
        </is>
      </c>
      <c r="W27" s="23" t="n"/>
      <c r="X27" s="23" t="n"/>
      <c r="Y27" s="23" t="n"/>
      <c r="Z27" s="23" t="n"/>
      <c r="AA27" s="23" t="n"/>
      <c r="AB27" s="23" t="n"/>
      <c r="AC27" s="23" t="n"/>
      <c r="AD27" s="23" t="n"/>
      <c r="AE27" s="23" t="n"/>
      <c r="AF27" s="23" t="n"/>
      <c r="AG27" s="23" t="n"/>
      <c r="AH27" s="23" t="n"/>
      <c r="AI27" s="23" t="n"/>
      <c r="AJ27" s="23" t="n"/>
      <c r="AK27" s="23" t="n"/>
      <c r="AL27" s="23" t="n"/>
      <c r="AM27" s="23" t="n"/>
      <c r="AN27" s="23" t="n"/>
      <c r="AO27" s="23" t="n"/>
      <c r="AP27" s="23" t="n"/>
      <c r="AQ27" s="23" t="n"/>
      <c r="AR27" s="23" t="n"/>
      <c r="AS27" s="23" t="n"/>
      <c r="AT27" s="23" t="n"/>
    </row>
    <row r="28" ht="15" customHeight="1">
      <c r="A28" s="56" t="inlineStr"/>
      <c r="B28" s="57" t="n"/>
      <c r="I28" s="58" t="inlineStr">
        <is>
          <t>dano</t>
        </is>
      </c>
      <c r="W28" s="23" t="n"/>
      <c r="X28" s="23" t="n"/>
      <c r="Y28" s="23" t="n"/>
      <c r="Z28" s="23" t="n"/>
      <c r="AA28" s="23" t="n"/>
      <c r="AB28" s="23" t="n"/>
      <c r="AC28" s="23" t="n"/>
      <c r="AD28" s="23" t="n"/>
      <c r="AE28" s="23" t="n"/>
      <c r="AF28" s="23" t="n"/>
      <c r="AG28" s="23" t="n"/>
      <c r="AH28" s="23" t="n"/>
      <c r="AI28" s="23" t="n"/>
      <c r="AJ28" s="23" t="n"/>
      <c r="AK28" s="23" t="n"/>
      <c r="AL28" s="23" t="n"/>
      <c r="AM28" s="23" t="n"/>
      <c r="AN28" s="23" t="n"/>
      <c r="AO28" s="23" t="n"/>
      <c r="AP28" s="23" t="n"/>
      <c r="AQ28" s="23" t="n"/>
      <c r="AR28" s="23" t="n"/>
      <c r="AS28" s="23" t="n"/>
      <c r="AT28" s="23" t="n"/>
    </row>
    <row r="29" ht="15" customHeight="1">
      <c r="A29" s="56" t="inlineStr"/>
      <c r="B29" s="57" t="n"/>
      <c r="I29" s="58" t="inlineStr">
        <is>
          <t>pe</t>
        </is>
      </c>
      <c r="W29" s="23" t="n"/>
      <c r="X29" s="23" t="n"/>
      <c r="Y29" s="23" t="n"/>
      <c r="Z29" s="23" t="n"/>
      <c r="AA29" s="23" t="n"/>
      <c r="AB29" s="23" t="n"/>
      <c r="AC29" s="23" t="n"/>
      <c r="AD29" s="23" t="n"/>
      <c r="AE29" s="23" t="n"/>
      <c r="AF29" s="23" t="n"/>
      <c r="AG29" s="23" t="n"/>
      <c r="AH29" s="23" t="n"/>
      <c r="AI29" s="23" t="n"/>
      <c r="AJ29" s="23" t="n"/>
      <c r="AK29" s="23" t="n"/>
      <c r="AL29" s="23" t="n"/>
      <c r="AM29" s="23" t="n"/>
      <c r="AN29" s="23" t="n"/>
      <c r="AO29" s="23" t="n"/>
      <c r="AP29" s="23" t="n"/>
      <c r="AQ29" s="23" t="n"/>
      <c r="AR29" s="23" t="n"/>
      <c r="AS29" s="23" t="n"/>
      <c r="AT29" s="23" t="n"/>
    </row>
    <row r="30" ht="15" customHeight="1">
      <c r="A30" s="54" t="inlineStr"/>
      <c r="B30" s="59" t="n"/>
      <c r="I30" s="60" t="inlineStr">
        <is>
          <t>nome</t>
        </is>
      </c>
      <c r="W30" s="23" t="n"/>
      <c r="X30" s="23" t="n"/>
      <c r="Y30" s="23" t="n"/>
      <c r="Z30" s="23" t="n"/>
      <c r="AA30" s="23" t="n"/>
      <c r="AB30" s="23" t="n"/>
      <c r="AC30" s="23" t="n"/>
      <c r="AD30" s="23" t="n"/>
      <c r="AE30" s="23" t="n"/>
      <c r="AF30" s="23" t="n"/>
      <c r="AG30" s="23" t="n"/>
      <c r="AH30" s="23" t="n"/>
      <c r="AI30" s="23" t="n"/>
      <c r="AJ30" s="23" t="n"/>
      <c r="AK30" s="23" t="n"/>
      <c r="AL30" s="23" t="n"/>
      <c r="AM30" s="23" t="n"/>
      <c r="AN30" s="23" t="n"/>
      <c r="AO30" s="23" t="n"/>
      <c r="AP30" s="23" t="n"/>
      <c r="AQ30" s="23" t="n"/>
      <c r="AR30" s="23" t="n"/>
      <c r="AS30" s="23" t="n"/>
      <c r="AT30" s="23" t="n"/>
    </row>
    <row r="31" ht="15" customHeight="1">
      <c r="A31" s="54" t="inlineStr"/>
      <c r="B31" s="59" t="n"/>
      <c r="I31" s="60" t="inlineStr">
        <is>
          <t>forma</t>
        </is>
      </c>
      <c r="W31" s="23" t="n"/>
      <c r="X31" s="23" t="n"/>
      <c r="Y31" s="23" t="n"/>
      <c r="Z31" s="23" t="n"/>
      <c r="AA31" s="23" t="n"/>
      <c r="AB31" s="23" t="n"/>
      <c r="AC31" s="23" t="n"/>
      <c r="AD31" s="23" t="n"/>
      <c r="AE31" s="23" t="n"/>
      <c r="AF31" s="23" t="n"/>
      <c r="AG31" s="23" t="n"/>
      <c r="AH31" s="23" t="n"/>
      <c r="AI31" s="23" t="n"/>
      <c r="AJ31" s="23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  <c r="AT31" s="23" t="n"/>
    </row>
    <row r="32" ht="15" customHeight="1">
      <c r="A32" s="54" t="inlineStr"/>
      <c r="B32" s="59" t="n"/>
      <c r="I32" s="60" t="inlineStr">
        <is>
          <t>classe</t>
        </is>
      </c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  <c r="AJ32" s="23" t="n"/>
      <c r="AK32" s="23" t="n"/>
      <c r="AL32" s="23" t="n"/>
      <c r="AM32" s="23" t="n"/>
      <c r="AN32" s="23" t="n"/>
      <c r="AO32" s="23" t="n"/>
      <c r="AP32" s="23" t="n"/>
      <c r="AQ32" s="23" t="n"/>
      <c r="AR32" s="23" t="n"/>
      <c r="AS32" s="23" t="n"/>
      <c r="AT32" s="23" t="n"/>
    </row>
    <row r="33" ht="15" customHeight="1">
      <c r="A33" s="54" t="inlineStr"/>
      <c r="B33" s="59" t="n"/>
      <c r="I33" s="60" t="inlineStr">
        <is>
          <t>melhoria 1</t>
        </is>
      </c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  <c r="AJ33" s="23" t="n"/>
      <c r="AK33" s="23" t="n"/>
      <c r="AL33" s="23" t="n"/>
      <c r="AM33" s="23" t="n"/>
      <c r="AN33" s="23" t="n"/>
      <c r="AO33" s="23" t="n"/>
      <c r="AP33" s="23" t="n"/>
      <c r="AQ33" s="23" t="n"/>
      <c r="AR33" s="23" t="n"/>
      <c r="AS33" s="23" t="n"/>
      <c r="AT33" s="23" t="n"/>
    </row>
    <row r="34" ht="15" customHeight="1">
      <c r="A34" s="54" t="inlineStr"/>
      <c r="B34" s="59" t="n"/>
      <c r="I34" s="60" t="inlineStr">
        <is>
          <t>melhoria 2</t>
        </is>
      </c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  <c r="AJ34" s="23" t="n"/>
      <c r="AK34" s="23" t="n"/>
      <c r="AL34" s="23" t="n"/>
      <c r="AM34" s="23" t="n"/>
      <c r="AN34" s="23" t="n"/>
      <c r="AO34" s="23" t="n"/>
      <c r="AP34" s="23" t="n"/>
      <c r="AQ34" s="23" t="n"/>
      <c r="AR34" s="23" t="n"/>
      <c r="AS34" s="23" t="n"/>
      <c r="AT34" s="23" t="n"/>
    </row>
    <row r="35" ht="15" customHeight="1">
      <c r="A35" s="54" t="inlineStr"/>
      <c r="B35" s="59" t="n"/>
      <c r="I35" s="60" t="inlineStr">
        <is>
          <t>restrição 1</t>
        </is>
      </c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  <c r="AJ35" s="23" t="n"/>
      <c r="AK35" s="23" t="n"/>
      <c r="AL35" s="23" t="n"/>
      <c r="AM35" s="23" t="n"/>
      <c r="AN35" s="23" t="n"/>
      <c r="AO35" s="23" t="n"/>
      <c r="AP35" s="23" t="n"/>
      <c r="AQ35" s="23" t="n"/>
      <c r="AR35" s="23" t="n"/>
      <c r="AS35" s="23" t="n"/>
      <c r="AT35" s="23" t="n"/>
    </row>
    <row r="36" ht="15" customHeight="1">
      <c r="A36" s="54" t="inlineStr"/>
      <c r="B36" s="59" t="n"/>
      <c r="I36" s="60" t="inlineStr">
        <is>
          <t>restrição 2</t>
        </is>
      </c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  <c r="AJ36" s="23" t="n"/>
      <c r="AK36" s="23" t="n"/>
      <c r="AL36" s="23" t="n"/>
      <c r="AM36" s="23" t="n"/>
      <c r="AN36" s="23" t="n"/>
      <c r="AO36" s="23" t="n"/>
      <c r="AP36" s="23" t="n"/>
      <c r="AQ36" s="23" t="n"/>
      <c r="AR36" s="23" t="n"/>
      <c r="AS36" s="23" t="n"/>
      <c r="AT36" s="23" t="n"/>
    </row>
    <row r="37" ht="15" customHeight="1">
      <c r="A37" s="54" t="inlineStr"/>
      <c r="B37" s="59" t="n"/>
      <c r="I37" s="60" t="inlineStr">
        <is>
          <t>ação</t>
        </is>
      </c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A38" s="54" t="inlineStr"/>
      <c r="B38" s="59" t="n"/>
      <c r="I38" s="60" t="inlineStr">
        <is>
          <t>alcance</t>
        </is>
      </c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  <c r="AJ38" s="23" t="n"/>
      <c r="AK38" s="23" t="n"/>
      <c r="AL38" s="23" t="n"/>
      <c r="AM38" s="23" t="n"/>
      <c r="AN38" s="23" t="n"/>
      <c r="AO38" s="23" t="n"/>
      <c r="AP38" s="23" t="n"/>
      <c r="AQ38" s="23" t="n"/>
      <c r="AR38" s="23" t="n"/>
      <c r="AS38" s="23" t="n"/>
      <c r="AT38" s="23" t="n"/>
    </row>
    <row r="39" ht="15" customHeight="1">
      <c r="A39" s="54" t="inlineStr"/>
      <c r="B39" s="59" t="n"/>
      <c r="I39" s="60" t="inlineStr">
        <is>
          <t>alvo</t>
        </is>
      </c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  <c r="AJ39" s="23" t="n"/>
      <c r="AK39" s="23" t="n"/>
      <c r="AL39" s="23" t="n"/>
      <c r="AM39" s="23" t="n"/>
      <c r="AN39" s="23" t="n"/>
      <c r="AO39" s="23" t="n"/>
      <c r="AP39" s="23" t="n"/>
      <c r="AQ39" s="23" t="n"/>
      <c r="AR39" s="23" t="n"/>
      <c r="AS39" s="23" t="n"/>
      <c r="AT39" s="23" t="n"/>
    </row>
    <row r="40" ht="15" customHeight="1">
      <c r="A40" s="54" t="inlineStr"/>
      <c r="B40" s="59" t="n"/>
      <c r="I40" s="60" t="inlineStr">
        <is>
          <t>dano</t>
        </is>
      </c>
      <c r="W40" s="23" t="n"/>
      <c r="X40" s="23" t="n"/>
      <c r="Y40" s="23" t="n"/>
      <c r="Z40" s="23" t="n"/>
      <c r="AA40" s="23" t="n"/>
      <c r="AB40" s="23" t="n"/>
      <c r="AC40" s="23" t="n"/>
      <c r="AD40" s="23" t="n"/>
      <c r="AE40" s="23" t="n"/>
      <c r="AF40" s="23" t="n"/>
      <c r="AG40" s="23" t="n"/>
      <c r="AH40" s="23" t="n"/>
      <c r="AI40" s="23" t="n"/>
      <c r="AJ40" s="23" t="n"/>
      <c r="AK40" s="23" t="n"/>
      <c r="AL40" s="23" t="n"/>
      <c r="AM40" s="23" t="n"/>
      <c r="AN40" s="23" t="n"/>
      <c r="AO40" s="23" t="n"/>
      <c r="AP40" s="23" t="n"/>
      <c r="AQ40" s="23" t="n"/>
      <c r="AR40" s="23" t="n"/>
      <c r="AS40" s="23" t="n"/>
      <c r="AT40" s="23" t="n"/>
    </row>
    <row r="41" ht="15" customHeight="1">
      <c r="A41" s="54" t="inlineStr"/>
      <c r="B41" s="59" t="n"/>
      <c r="I41" s="60" t="inlineStr">
        <is>
          <t>pe</t>
        </is>
      </c>
      <c r="W41" s="23" t="n"/>
      <c r="X41" s="23" t="n"/>
      <c r="Y41" s="23" t="n"/>
      <c r="Z41" s="23" t="n"/>
      <c r="AA41" s="23" t="n"/>
      <c r="AB41" s="23" t="n"/>
      <c r="AC41" s="23" t="n"/>
      <c r="AD41" s="23" t="n"/>
      <c r="AE41" s="23" t="n"/>
      <c r="AF41" s="23" t="n"/>
      <c r="AG41" s="23" t="n"/>
      <c r="AH41" s="23" t="n"/>
      <c r="AI41" s="23" t="n"/>
      <c r="AJ41" s="23" t="n"/>
      <c r="AK41" s="23" t="n"/>
      <c r="AL41" s="23" t="n"/>
      <c r="AM41" s="23" t="n"/>
      <c r="AN41" s="23" t="n"/>
      <c r="AO41" s="23" t="n"/>
      <c r="AP41" s="23" t="n"/>
      <c r="AQ41" s="23" t="n"/>
      <c r="AR41" s="23" t="n"/>
      <c r="AS41" s="23" t="n"/>
      <c r="AT41" s="23" t="n"/>
    </row>
    <row r="42" ht="15" customHeight="1">
      <c r="A42" s="56" t="inlineStr"/>
      <c r="B42" s="57" t="n"/>
      <c r="I42" s="58" t="inlineStr">
        <is>
          <t>nome</t>
        </is>
      </c>
      <c r="W42" s="23" t="n"/>
      <c r="X42" s="23" t="n"/>
      <c r="Y42" s="23" t="n"/>
      <c r="Z42" s="23" t="n"/>
      <c r="AA42" s="23" t="n"/>
      <c r="AB42" s="23" t="n"/>
      <c r="AC42" s="23" t="n"/>
      <c r="AD42" s="23" t="n"/>
      <c r="AE42" s="23" t="n"/>
      <c r="AF42" s="23" t="n"/>
      <c r="AG42" s="23" t="n"/>
      <c r="AH42" s="23" t="n"/>
      <c r="AI42" s="23" t="n"/>
      <c r="AJ42" s="23" t="n"/>
      <c r="AK42" s="23" t="n"/>
      <c r="AL42" s="23" t="n"/>
      <c r="AM42" s="23" t="n"/>
      <c r="AN42" s="23" t="n"/>
      <c r="AO42" s="23" t="n"/>
      <c r="AP42" s="23" t="n"/>
      <c r="AQ42" s="23" t="n"/>
      <c r="AR42" s="23" t="n"/>
      <c r="AS42" s="23" t="n"/>
      <c r="AT42" s="23" t="n"/>
    </row>
    <row r="43" ht="15" customHeight="1">
      <c r="A43" s="56" t="inlineStr"/>
      <c r="B43" s="57" t="n"/>
      <c r="I43" s="58" t="inlineStr">
        <is>
          <t>forma</t>
        </is>
      </c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3" t="n"/>
      <c r="AF43" s="23" t="n"/>
      <c r="AG43" s="23" t="n"/>
      <c r="AH43" s="23" t="n"/>
      <c r="AI43" s="23" t="n"/>
      <c r="AJ43" s="23" t="n"/>
      <c r="AK43" s="23" t="n"/>
      <c r="AL43" s="23" t="n"/>
      <c r="AM43" s="23" t="n"/>
      <c r="AN43" s="23" t="n"/>
      <c r="AO43" s="23" t="n"/>
      <c r="AP43" s="23" t="n"/>
      <c r="AQ43" s="23" t="n"/>
      <c r="AR43" s="23" t="n"/>
      <c r="AS43" s="23" t="n"/>
      <c r="AT43" s="23" t="n"/>
    </row>
    <row r="44" ht="15" customHeight="1">
      <c r="A44" s="56" t="inlineStr"/>
      <c r="B44" s="57" t="n"/>
      <c r="I44" s="58" t="inlineStr">
        <is>
          <t>classe</t>
        </is>
      </c>
      <c r="W44" s="23" t="n"/>
      <c r="X44" s="23" t="n"/>
      <c r="Y44" s="23" t="n"/>
      <c r="Z44" s="23" t="n"/>
      <c r="AA44" s="23" t="n"/>
      <c r="AB44" s="23" t="n"/>
      <c r="AC44" s="23" t="n"/>
      <c r="AD44" s="23" t="n"/>
      <c r="AE44" s="23" t="n"/>
      <c r="AF44" s="23" t="n"/>
      <c r="AG44" s="23" t="n"/>
      <c r="AH44" s="23" t="n"/>
      <c r="AI44" s="23" t="n"/>
      <c r="AJ44" s="23" t="n"/>
      <c r="AK44" s="23" t="n"/>
      <c r="AL44" s="23" t="n"/>
      <c r="AM44" s="23" t="n"/>
      <c r="AN44" s="23" t="n"/>
      <c r="AO44" s="23" t="n"/>
      <c r="AP44" s="23" t="n"/>
      <c r="AQ44" s="23" t="n"/>
      <c r="AR44" s="23" t="n"/>
      <c r="AS44" s="23" t="n"/>
      <c r="AT44" s="23" t="n"/>
    </row>
    <row r="45" ht="15" customHeight="1">
      <c r="A45" s="56" t="inlineStr"/>
      <c r="B45" s="57" t="n"/>
      <c r="I45" s="58" t="inlineStr">
        <is>
          <t>melhoria 1</t>
        </is>
      </c>
      <c r="W45" s="23" t="n"/>
      <c r="X45" s="23" t="n"/>
      <c r="Y45" s="23" t="n"/>
      <c r="Z45" s="23" t="n"/>
      <c r="AA45" s="23" t="n"/>
      <c r="AB45" s="23" t="n"/>
      <c r="AC45" s="23" t="n"/>
      <c r="AD45" s="23" t="n"/>
      <c r="AE45" s="23" t="n"/>
      <c r="AF45" s="23" t="n"/>
      <c r="AG45" s="23" t="n"/>
      <c r="AH45" s="23" t="n"/>
      <c r="AI45" s="23" t="n"/>
      <c r="AJ45" s="23" t="n"/>
      <c r="AK45" s="23" t="n"/>
      <c r="AL45" s="23" t="n"/>
      <c r="AM45" s="23" t="n"/>
      <c r="AN45" s="23" t="n"/>
      <c r="AO45" s="23" t="n"/>
      <c r="AP45" s="23" t="n"/>
      <c r="AQ45" s="23" t="n"/>
      <c r="AR45" s="23" t="n"/>
      <c r="AS45" s="23" t="n"/>
      <c r="AT45" s="23" t="n"/>
    </row>
    <row r="46" ht="15" customHeight="1">
      <c r="A46" s="56" t="inlineStr"/>
      <c r="B46" s="57" t="n"/>
      <c r="I46" s="58" t="inlineStr">
        <is>
          <t>melhoria 2</t>
        </is>
      </c>
      <c r="W46" s="23" t="n"/>
      <c r="X46" s="23" t="n"/>
      <c r="Y46" s="23" t="n"/>
      <c r="Z46" s="23" t="n"/>
      <c r="AA46" s="23" t="n"/>
      <c r="AB46" s="23" t="n"/>
      <c r="AC46" s="23" t="n"/>
      <c r="AD46" s="23" t="n"/>
      <c r="AE46" s="23" t="n"/>
      <c r="AF46" s="23" t="n"/>
      <c r="AG46" s="23" t="n"/>
      <c r="AH46" s="23" t="n"/>
      <c r="AI46" s="23" t="n"/>
      <c r="AJ46" s="23" t="n"/>
      <c r="AK46" s="23" t="n"/>
      <c r="AL46" s="23" t="n"/>
      <c r="AM46" s="23" t="n"/>
      <c r="AN46" s="23" t="n"/>
      <c r="AO46" s="23" t="n"/>
      <c r="AP46" s="23" t="n"/>
      <c r="AQ46" s="23" t="n"/>
      <c r="AR46" s="23" t="n"/>
      <c r="AS46" s="23" t="n"/>
      <c r="AT46" s="23" t="n"/>
    </row>
    <row r="47" ht="15" customHeight="1">
      <c r="A47" s="56" t="inlineStr"/>
      <c r="B47" s="57" t="n"/>
      <c r="I47" s="58" t="inlineStr">
        <is>
          <t>restrição 1</t>
        </is>
      </c>
      <c r="W47" s="23" t="n"/>
      <c r="X47" s="23" t="n"/>
      <c r="Y47" s="23" t="n"/>
      <c r="Z47" s="23" t="n"/>
      <c r="AA47" s="23" t="n"/>
      <c r="AB47" s="23" t="n"/>
      <c r="AC47" s="23" t="n"/>
      <c r="AD47" s="23" t="n"/>
      <c r="AE47" s="23" t="n"/>
      <c r="AF47" s="23" t="n"/>
      <c r="AG47" s="23" t="n"/>
      <c r="AH47" s="23" t="n"/>
      <c r="AI47" s="23" t="n"/>
      <c r="AJ47" s="23" t="n"/>
      <c r="AK47" s="23" t="n"/>
      <c r="AL47" s="23" t="n"/>
      <c r="AM47" s="23" t="n"/>
      <c r="AN47" s="23" t="n"/>
      <c r="AO47" s="23" t="n"/>
      <c r="AP47" s="23" t="n"/>
      <c r="AQ47" s="23" t="n"/>
      <c r="AR47" s="23" t="n"/>
      <c r="AS47" s="23" t="n"/>
      <c r="AT47" s="23" t="n"/>
    </row>
    <row r="48" ht="15" customHeight="1">
      <c r="A48" s="56" t="inlineStr"/>
      <c r="B48" s="57" t="n"/>
      <c r="I48" s="58" t="inlineStr">
        <is>
          <t>restrição 2</t>
        </is>
      </c>
      <c r="W48" s="23" t="n"/>
      <c r="X48" s="23" t="n"/>
      <c r="Y48" s="23" t="n"/>
      <c r="Z48" s="23" t="n"/>
      <c r="AA48" s="23" t="n"/>
      <c r="AB48" s="23" t="n"/>
      <c r="AC48" s="23" t="n"/>
      <c r="AD48" s="23" t="n"/>
      <c r="AE48" s="23" t="n"/>
      <c r="AF48" s="23" t="n"/>
      <c r="AG48" s="23" t="n"/>
      <c r="AH48" s="23" t="n"/>
      <c r="AI48" s="23" t="n"/>
      <c r="AJ48" s="23" t="n"/>
      <c r="AK48" s="23" t="n"/>
      <c r="AL48" s="23" t="n"/>
      <c r="AM48" s="23" t="n"/>
      <c r="AN48" s="23" t="n"/>
      <c r="AO48" s="23" t="n"/>
      <c r="AP48" s="23" t="n"/>
      <c r="AQ48" s="23" t="n"/>
      <c r="AR48" s="23" t="n"/>
      <c r="AS48" s="23" t="n"/>
      <c r="AT48" s="23" t="n"/>
    </row>
    <row r="49" ht="15" customHeight="1">
      <c r="A49" s="56" t="inlineStr"/>
      <c r="B49" s="57" t="n"/>
      <c r="I49" s="58" t="inlineStr">
        <is>
          <t>ação</t>
        </is>
      </c>
      <c r="W49" s="23" t="n"/>
      <c r="X49" s="23" t="n"/>
      <c r="Y49" s="23" t="n"/>
      <c r="Z49" s="23" t="n"/>
      <c r="AA49" s="23" t="n"/>
      <c r="AB49" s="23" t="n"/>
      <c r="AC49" s="23" t="n"/>
      <c r="AD49" s="23" t="n"/>
      <c r="AE49" s="23" t="n"/>
      <c r="AF49" s="23" t="n"/>
      <c r="AG49" s="23" t="n"/>
      <c r="AH49" s="23" t="n"/>
      <c r="AI49" s="23" t="n"/>
      <c r="AJ49" s="23" t="n"/>
      <c r="AK49" s="23" t="n"/>
      <c r="AL49" s="23" t="n"/>
      <c r="AM49" s="23" t="n"/>
      <c r="AN49" s="23" t="n"/>
      <c r="AO49" s="23" t="n"/>
      <c r="AP49" s="23" t="n"/>
      <c r="AQ49" s="23" t="n"/>
      <c r="AR49" s="23" t="n"/>
      <c r="AS49" s="23" t="n"/>
      <c r="AT49" s="23" t="n"/>
    </row>
    <row r="50" ht="15" customHeight="1">
      <c r="A50" s="56" t="inlineStr"/>
      <c r="B50" s="57" t="n"/>
      <c r="I50" s="58" t="inlineStr">
        <is>
          <t>alcance</t>
        </is>
      </c>
      <c r="W50" s="23" t="n"/>
      <c r="X50" s="23" t="n"/>
      <c r="Y50" s="23" t="n"/>
      <c r="Z50" s="23" t="n"/>
      <c r="AA50" s="23" t="n"/>
      <c r="AB50" s="23" t="n"/>
      <c r="AC50" s="23" t="n"/>
      <c r="AD50" s="23" t="n"/>
      <c r="AE50" s="23" t="n"/>
      <c r="AF50" s="23" t="n"/>
      <c r="AG50" s="23" t="n"/>
      <c r="AH50" s="23" t="n"/>
      <c r="AI50" s="23" t="n"/>
      <c r="AJ50" s="23" t="n"/>
      <c r="AK50" s="23" t="n"/>
      <c r="AL50" s="23" t="n"/>
      <c r="AM50" s="23" t="n"/>
      <c r="AN50" s="23" t="n"/>
      <c r="AO50" s="23" t="n"/>
      <c r="AP50" s="23" t="n"/>
      <c r="AQ50" s="23" t="n"/>
      <c r="AR50" s="23" t="n"/>
      <c r="AS50" s="23" t="n"/>
      <c r="AT50" s="23" t="n"/>
    </row>
    <row r="51" ht="15" customHeight="1">
      <c r="A51" s="56" t="inlineStr"/>
      <c r="B51" s="57" t="n"/>
      <c r="I51" s="58" t="inlineStr">
        <is>
          <t>alvo</t>
        </is>
      </c>
      <c r="W51" s="23" t="n"/>
      <c r="X51" s="23" t="n"/>
      <c r="Y51" s="23" t="n"/>
      <c r="Z51" s="23" t="n"/>
      <c r="AA51" s="23" t="n"/>
      <c r="AB51" s="23" t="n"/>
      <c r="AC51" s="23" t="n"/>
      <c r="AD51" s="23" t="n"/>
      <c r="AE51" s="23" t="n"/>
      <c r="AF51" s="23" t="n"/>
      <c r="AG51" s="23" t="n"/>
      <c r="AH51" s="23" t="n"/>
      <c r="AI51" s="23" t="n"/>
      <c r="AJ51" s="23" t="n"/>
      <c r="AK51" s="23" t="n"/>
      <c r="AL51" s="23" t="n"/>
      <c r="AM51" s="23" t="n"/>
      <c r="AN51" s="23" t="n"/>
      <c r="AO51" s="23" t="n"/>
      <c r="AP51" s="23" t="n"/>
      <c r="AQ51" s="23" t="n"/>
      <c r="AR51" s="23" t="n"/>
      <c r="AS51" s="23" t="n"/>
      <c r="AT51" s="23" t="n"/>
    </row>
    <row r="52" ht="15" customHeight="1">
      <c r="A52" s="56" t="inlineStr"/>
      <c r="B52" s="57" t="n"/>
      <c r="I52" s="58" t="inlineStr">
        <is>
          <t>dano</t>
        </is>
      </c>
      <c r="W52" s="23" t="n"/>
      <c r="X52" s="23" t="n"/>
      <c r="Y52" s="23" t="n"/>
      <c r="Z52" s="23" t="n"/>
      <c r="AA52" s="23" t="n"/>
      <c r="AB52" s="23" t="n"/>
      <c r="AC52" s="23" t="n"/>
      <c r="AD52" s="23" t="n"/>
      <c r="AE52" s="23" t="n"/>
      <c r="AF52" s="23" t="n"/>
      <c r="AG52" s="23" t="n"/>
      <c r="AH52" s="23" t="n"/>
      <c r="AI52" s="23" t="n"/>
      <c r="AJ52" s="23" t="n"/>
      <c r="AK52" s="23" t="n"/>
      <c r="AL52" s="23" t="n"/>
      <c r="AM52" s="23" t="n"/>
      <c r="AN52" s="23" t="n"/>
      <c r="AO52" s="23" t="n"/>
      <c r="AP52" s="23" t="n"/>
      <c r="AQ52" s="23" t="n"/>
      <c r="AR52" s="23" t="n"/>
      <c r="AS52" s="23" t="n"/>
      <c r="AT52" s="23" t="n"/>
    </row>
    <row r="53" ht="15" customHeight="1">
      <c r="A53" s="56" t="inlineStr"/>
      <c r="B53" s="57" t="n"/>
      <c r="I53" s="58" t="inlineStr">
        <is>
          <t>pe</t>
        </is>
      </c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</row>
    <row r="54" ht="15" customHeight="1">
      <c r="A54" s="54" t="inlineStr"/>
      <c r="B54" s="59" t="n"/>
      <c r="I54" s="60" t="inlineStr">
        <is>
          <t>nome</t>
        </is>
      </c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54" t="inlineStr"/>
      <c r="B55" s="59" t="n"/>
      <c r="I55" s="60" t="inlineStr">
        <is>
          <t>forma</t>
        </is>
      </c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54" t="inlineStr"/>
      <c r="B56" s="59" t="n"/>
      <c r="I56" s="60" t="inlineStr">
        <is>
          <t>classe</t>
        </is>
      </c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54" t="inlineStr"/>
      <c r="B57" s="59" t="n"/>
      <c r="I57" s="60" t="inlineStr">
        <is>
          <t>melhoria 1</t>
        </is>
      </c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54" t="inlineStr"/>
      <c r="B58" s="59" t="n"/>
      <c r="I58" s="60" t="inlineStr">
        <is>
          <t>melhoria 2</t>
        </is>
      </c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54" t="inlineStr"/>
      <c r="B59" s="59" t="n"/>
      <c r="I59" s="60" t="inlineStr">
        <is>
          <t>restrição 1</t>
        </is>
      </c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54" t="inlineStr"/>
      <c r="B60" s="59" t="n"/>
      <c r="I60" s="60" t="inlineStr">
        <is>
          <t>restrição 2</t>
        </is>
      </c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54" t="inlineStr"/>
      <c r="B61" s="59" t="n"/>
      <c r="I61" s="60" t="inlineStr">
        <is>
          <t>ação</t>
        </is>
      </c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54" t="inlineStr"/>
      <c r="B62" s="59" t="n"/>
      <c r="I62" s="60" t="inlineStr">
        <is>
          <t>alcance</t>
        </is>
      </c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54" t="inlineStr"/>
      <c r="B63" s="59" t="n"/>
      <c r="I63" s="60" t="inlineStr">
        <is>
          <t>alvo</t>
        </is>
      </c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54" t="inlineStr"/>
      <c r="B64" s="59" t="n"/>
      <c r="I64" s="60" t="inlineStr">
        <is>
          <t>dano</t>
        </is>
      </c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54" t="inlineStr"/>
      <c r="B65" s="59" t="n"/>
      <c r="I65" s="60" t="inlineStr">
        <is>
          <t>pe</t>
        </is>
      </c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56" t="inlineStr"/>
      <c r="B66" s="57" t="n"/>
      <c r="I66" s="58" t="inlineStr">
        <is>
          <t>nome</t>
        </is>
      </c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56" t="inlineStr"/>
      <c r="B67" s="57" t="n"/>
      <c r="I67" s="58" t="inlineStr">
        <is>
          <t>forma</t>
        </is>
      </c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56" t="inlineStr"/>
      <c r="B68" s="57" t="n"/>
      <c r="I68" s="58" t="inlineStr">
        <is>
          <t>classe</t>
        </is>
      </c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56" t="inlineStr"/>
      <c r="B69" s="57" t="n"/>
      <c r="I69" s="58" t="inlineStr">
        <is>
          <t>melhoria 1</t>
        </is>
      </c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56" t="inlineStr"/>
      <c r="B70" s="57" t="n"/>
      <c r="I70" s="58" t="inlineStr">
        <is>
          <t>melhoria 2</t>
        </is>
      </c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56" t="inlineStr"/>
      <c r="B71" s="57" t="n"/>
      <c r="I71" s="58" t="inlineStr">
        <is>
          <t>restrição 1</t>
        </is>
      </c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56" t="inlineStr"/>
      <c r="B72" s="57" t="n"/>
      <c r="I72" s="58" t="inlineStr">
        <is>
          <t>restrição 2</t>
        </is>
      </c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56" t="inlineStr"/>
      <c r="B73" s="57" t="n"/>
      <c r="I73" s="58" t="inlineStr">
        <is>
          <t>ação</t>
        </is>
      </c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56" t="inlineStr"/>
      <c r="B74" s="57" t="n"/>
      <c r="I74" s="58" t="inlineStr">
        <is>
          <t>alcance</t>
        </is>
      </c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56" t="inlineStr"/>
      <c r="B75" s="57" t="n"/>
      <c r="I75" s="58" t="inlineStr">
        <is>
          <t>alvo</t>
        </is>
      </c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56" t="inlineStr"/>
      <c r="B76" s="57" t="n"/>
      <c r="I76" s="58" t="inlineStr">
        <is>
          <t>dano</t>
        </is>
      </c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56" t="inlineStr"/>
      <c r="B77" s="57" t="n"/>
      <c r="I77" s="58" t="inlineStr">
        <is>
          <t>pe</t>
        </is>
      </c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1">
    <mergeCell ref="I69:V69"/>
    <mergeCell ref="B40:H40"/>
    <mergeCell ref="I30:V30"/>
    <mergeCell ref="B49:H49"/>
    <mergeCell ref="B55:H55"/>
    <mergeCell ref="I77:V77"/>
    <mergeCell ref="B24:H24"/>
    <mergeCell ref="I46:V46"/>
    <mergeCell ref="B64:H64"/>
    <mergeCell ref="B33:H33"/>
    <mergeCell ref="B51:H51"/>
    <mergeCell ref="I61:V61"/>
    <mergeCell ref="B32:H32"/>
    <mergeCell ref="I70:V70"/>
    <mergeCell ref="B26:H26"/>
    <mergeCell ref="B41:H41"/>
    <mergeCell ref="B35:H35"/>
    <mergeCell ref="I57:V57"/>
    <mergeCell ref="I54:V54"/>
    <mergeCell ref="I32:V32"/>
    <mergeCell ref="I72:V72"/>
    <mergeCell ref="B25:H25"/>
    <mergeCell ref="I41:V41"/>
    <mergeCell ref="AK5:AR5"/>
    <mergeCell ref="B66:H66"/>
    <mergeCell ref="I56:V56"/>
    <mergeCell ref="B18:H18"/>
    <mergeCell ref="B27:H27"/>
    <mergeCell ref="B58:H58"/>
    <mergeCell ref="B52:H52"/>
    <mergeCell ref="I43:V43"/>
    <mergeCell ref="I24:V24"/>
    <mergeCell ref="A5:H5"/>
    <mergeCell ref="I33:V33"/>
    <mergeCell ref="B42:H42"/>
    <mergeCell ref="B60:H60"/>
    <mergeCell ref="B44:H44"/>
    <mergeCell ref="I35:V35"/>
    <mergeCell ref="B53:H53"/>
    <mergeCell ref="B29:H29"/>
    <mergeCell ref="I50:V50"/>
    <mergeCell ref="I19:V19"/>
    <mergeCell ref="B37:H37"/>
    <mergeCell ref="I59:V59"/>
    <mergeCell ref="I60:V60"/>
    <mergeCell ref="I74:V74"/>
    <mergeCell ref="J5:Q5"/>
    <mergeCell ref="AB5:AI5"/>
    <mergeCell ref="I45:V45"/>
    <mergeCell ref="A1:AT2"/>
    <mergeCell ref="I47:V47"/>
    <mergeCell ref="B54:H54"/>
    <mergeCell ref="B72:H72"/>
    <mergeCell ref="AB6:AI7"/>
    <mergeCell ref="I37:V37"/>
    <mergeCell ref="B56:H56"/>
    <mergeCell ref="B71:H71"/>
    <mergeCell ref="I21:V21"/>
    <mergeCell ref="B43:H43"/>
    <mergeCell ref="I62:V62"/>
    <mergeCell ref="I23:V23"/>
    <mergeCell ref="B57:H57"/>
    <mergeCell ref="I64:V64"/>
    <mergeCell ref="I73:V73"/>
    <mergeCell ref="I51:V51"/>
    <mergeCell ref="A6:H7"/>
    <mergeCell ref="I63:V63"/>
    <mergeCell ref="B19:H19"/>
    <mergeCell ref="B34:H34"/>
    <mergeCell ref="B28:H28"/>
    <mergeCell ref="B74:H74"/>
    <mergeCell ref="I65:V65"/>
    <mergeCell ref="I34:V34"/>
    <mergeCell ref="B68:H68"/>
    <mergeCell ref="B30:H30"/>
    <mergeCell ref="S6:Z7"/>
    <mergeCell ref="I49:V49"/>
    <mergeCell ref="B20:H20"/>
    <mergeCell ref="I27:V27"/>
    <mergeCell ref="B76:H76"/>
    <mergeCell ref="B45:H45"/>
    <mergeCell ref="I36:V36"/>
    <mergeCell ref="I76:V76"/>
    <mergeCell ref="B75:H75"/>
    <mergeCell ref="B47:H47"/>
    <mergeCell ref="B62:H62"/>
    <mergeCell ref="B59:H59"/>
    <mergeCell ref="I66:V66"/>
    <mergeCell ref="I75:V75"/>
    <mergeCell ref="B31:H31"/>
    <mergeCell ref="I22:V22"/>
    <mergeCell ref="I28:V28"/>
    <mergeCell ref="B46:H46"/>
    <mergeCell ref="I53:V53"/>
    <mergeCell ref="B21:H21"/>
    <mergeCell ref="I68:V68"/>
    <mergeCell ref="B39:H39"/>
    <mergeCell ref="B70:H70"/>
    <mergeCell ref="B48:H48"/>
    <mergeCell ref="I55:V55"/>
    <mergeCell ref="I67:V67"/>
    <mergeCell ref="B23:H23"/>
    <mergeCell ref="I39:V39"/>
    <mergeCell ref="I48:V48"/>
    <mergeCell ref="I29:V29"/>
    <mergeCell ref="J6:Q7"/>
    <mergeCell ref="B73:H73"/>
    <mergeCell ref="I38:V38"/>
    <mergeCell ref="S5:Z5"/>
    <mergeCell ref="I31:V31"/>
    <mergeCell ref="I40:V40"/>
    <mergeCell ref="B65:H65"/>
    <mergeCell ref="AK6:AR7"/>
    <mergeCell ref="B63:H63"/>
    <mergeCell ref="B36:H36"/>
    <mergeCell ref="I26:V26"/>
    <mergeCell ref="B50:H50"/>
    <mergeCell ref="I25:V25"/>
    <mergeCell ref="I71:V71"/>
    <mergeCell ref="B22:H22"/>
    <mergeCell ref="I18:V18"/>
    <mergeCell ref="I58:V58"/>
    <mergeCell ref="B77:H77"/>
    <mergeCell ref="I42:V42"/>
    <mergeCell ref="B67:H67"/>
    <mergeCell ref="B61:H61"/>
    <mergeCell ref="I52:V52"/>
    <mergeCell ref="I44:V44"/>
    <mergeCell ref="I20:V20"/>
    <mergeCell ref="B69:H69"/>
    <mergeCell ref="B38:H38"/>
  </mergeCells>
  <dataValidations count="23">
    <dataValidation sqref="A6:H6" showDropDown="0" showInputMessage="0" showErrorMessage="0" allowBlank="1" type="list">
      <formula1>DADOS!$D$4:$D$12</formula1>
    </dataValidation>
    <dataValidation sqref="J6:Q6" showDropDown="0" showInputMessage="0" showErrorMessage="0" allowBlank="1" type="list">
      <formula1>DADOS!$D$4:$D$12</formula1>
    </dataValidation>
    <dataValidation sqref="S6:Z6" showDropDown="0" showInputMessage="0" showErrorMessage="0" allowBlank="1" type="list">
      <formula1>DADOS!$D$4:$D$12</formula1>
    </dataValidation>
    <dataValidation sqref="AB6:AI6" showDropDown="0" showInputMessage="0" showErrorMessage="0" allowBlank="1" type="list">
      <formula1>DADOS!$D$4:$D$12</formula1>
    </dataValidation>
    <dataValidation sqref="AK6:AR6" showDropDown="0" showInputMessage="0" showErrorMessage="0" allowBlank="1" type="list">
      <formula1>DADOS!$D$4:$D$12</formula1>
    </dataValidation>
    <dataValidation sqref="B19:H19" showDropDown="0" showInputMessage="0" showErrorMessage="0" allowBlank="1" type="list">
      <formula1>DADOS!$E$4:$E$13</formula1>
    </dataValidation>
    <dataValidation sqref="B21:H22" showDropDown="0" showInputMessage="0" showErrorMessage="0" allowBlank="1" type="list">
      <formula1>DADOS!$F$4:$F$69</formula1>
    </dataValidation>
    <dataValidation sqref="B23:H24" showDropDown="0" showInputMessage="0" showErrorMessage="0" allowBlank="1" type="list">
      <formula1>DADOS!$G$4:$G$22</formula1>
    </dataValidation>
    <dataValidation sqref="B19:H19" showDropDown="0" showInputMessage="0" showErrorMessage="0" allowBlank="1" type="list">
      <formula1>DADOS!$E$4:$E$13</formula1>
    </dataValidation>
    <dataValidation sqref="B21:H22" showDropDown="0" showInputMessage="0" showErrorMessage="0" allowBlank="1" type="list">
      <formula1>DADOS!$F$4:$F$69</formula1>
    </dataValidation>
    <dataValidation sqref="B23:H24" showDropDown="0" showInputMessage="0" showErrorMessage="0" allowBlank="1" type="list">
      <formula1>DADOS!$G$4:$G$22</formula1>
    </dataValidation>
    <dataValidation sqref="B31:H31" showDropDown="0" showInputMessage="0" showErrorMessage="0" allowBlank="1" type="list">
      <formula1>DADOS!$E$4:$E$13</formula1>
    </dataValidation>
    <dataValidation sqref="B33:H34" showDropDown="0" showInputMessage="0" showErrorMessage="0" allowBlank="1" type="list">
      <formula1>DADOS!$F$4:$F$69</formula1>
    </dataValidation>
    <dataValidation sqref="B35:H36" showDropDown="0" showInputMessage="0" showErrorMessage="0" allowBlank="1" type="list">
      <formula1>DADOS!$G$4:$G$22</formula1>
    </dataValidation>
    <dataValidation sqref="B43:H43" showDropDown="0" showInputMessage="0" showErrorMessage="0" allowBlank="1" type="list">
      <formula1>DADOS!$E$4:$E$13</formula1>
    </dataValidation>
    <dataValidation sqref="B45:H46" showDropDown="0" showInputMessage="0" showErrorMessage="0" allowBlank="1" type="list">
      <formula1>DADOS!$F$4:$F$69</formula1>
    </dataValidation>
    <dataValidation sqref="B47:H48" showDropDown="0" showInputMessage="0" showErrorMessage="0" allowBlank="1" type="list">
      <formula1>DADOS!$G$4:$G$22</formula1>
    </dataValidation>
    <dataValidation sqref="B55:H55" showDropDown="0" showInputMessage="0" showErrorMessage="0" allowBlank="1" type="list">
      <formula1>DADOS!$E$4:$E$13</formula1>
    </dataValidation>
    <dataValidation sqref="B57:H58" showDropDown="0" showInputMessage="0" showErrorMessage="0" allowBlank="1" type="list">
      <formula1>DADOS!$F$4:$F$69</formula1>
    </dataValidation>
    <dataValidation sqref="B59:H60" showDropDown="0" showInputMessage="0" showErrorMessage="0" allowBlank="1" type="list">
      <formula1>DADOS!$G$4:$G$22</formula1>
    </dataValidation>
    <dataValidation sqref="B67:H67" showDropDown="0" showInputMessage="0" showErrorMessage="0" allowBlank="1" type="list">
      <formula1>DADOS!$E$4:$E$13</formula1>
    </dataValidation>
    <dataValidation sqref="B69:H70" showDropDown="0" showInputMessage="0" showErrorMessage="0" allowBlank="1" type="list">
      <formula1>DADOS!$F$4:$F$69</formula1>
    </dataValidation>
    <dataValidation sqref="B71:H72" showDropDown="0" showInputMessage="0" showErrorMessage="0" allowBlank="1" type="list">
      <formula1>DADOS!$G$4:$G$22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</cols>
  <sheetData>
    <row r="1" ht="15" customHeight="1">
      <c r="A1" s="61">
        <f>FICHA!D3</f>
        <v/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</row>
    <row r="4" ht="15" customHeight="1">
      <c r="A4" s="62" t="inlineStr">
        <is>
          <t>VIDA</t>
        </is>
      </c>
      <c r="F4" s="23" t="n"/>
      <c r="G4" s="62" t="inlineStr">
        <is>
          <t>ENERGIA</t>
        </is>
      </c>
      <c r="L4" s="23" t="n"/>
    </row>
    <row r="5" ht="15" customHeight="1">
      <c r="A5" s="63">
        <f>FICHA!D23</f>
        <v/>
      </c>
      <c r="F5" s="23" t="n"/>
      <c r="G5" s="63">
        <f>FICHA!D27</f>
        <v/>
      </c>
      <c r="L5" s="23" t="n"/>
    </row>
    <row r="6" ht="15" customHeight="1">
      <c r="F6" s="23" t="n"/>
      <c r="L6" s="23" t="n"/>
    </row>
    <row r="7" ht="15" customHeight="1">
      <c r="F7" s="23" t="n"/>
      <c r="L7" s="23" t="n"/>
    </row>
    <row r="8" ht="15" customHeight="1">
      <c r="A8" s="62">
        <f>"de "&amp;FICHA!J23</f>
        <v/>
      </c>
      <c r="F8" s="23" t="n"/>
      <c r="G8" s="62">
        <f>"de "&amp;FICHA!J27</f>
        <v/>
      </c>
      <c r="L8" s="23" t="n"/>
    </row>
    <row r="9" ht="15" customHeight="1">
      <c r="A9" s="23" t="n"/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</row>
    <row r="10" ht="15" customHeight="1">
      <c r="A10" s="62" t="inlineStr">
        <is>
          <t>DEFESA</t>
        </is>
      </c>
      <c r="F10" s="23" t="n"/>
      <c r="G10" s="62" t="inlineStr">
        <is>
          <t>INICIATIVA</t>
        </is>
      </c>
      <c r="L10" s="23" t="n"/>
    </row>
    <row r="11" ht="15" customHeight="1">
      <c r="A11" s="64">
        <f>FICHA!D40</f>
        <v/>
      </c>
      <c r="F11" s="23" t="n"/>
      <c r="G11" s="64">
        <f>FICHA!AK40</f>
        <v/>
      </c>
      <c r="L11" s="23" t="n"/>
    </row>
    <row r="12" ht="15" customHeight="1">
      <c r="F12" s="23" t="n"/>
      <c r="L12" s="23" t="n"/>
    </row>
    <row r="13" ht="15" customHeight="1">
      <c r="A13" s="65" t="inlineStr">
        <is>
          <t>CORPO A CORPO</t>
        </is>
      </c>
      <c r="F13" s="23" t="n"/>
      <c r="G13" s="65" t="inlineStr">
        <is>
          <t>À DISTÂNCIA</t>
        </is>
      </c>
      <c r="L13" s="23" t="n"/>
    </row>
    <row r="14" ht="15" customHeight="1">
      <c r="A14" s="66">
        <f>FICHA!Z44</f>
        <v/>
      </c>
      <c r="F14" s="23" t="n"/>
      <c r="G14" s="66">
        <f>FICHA!AK44</f>
        <v/>
      </c>
      <c r="L14" s="23" t="n"/>
    </row>
    <row r="15" ht="15" customHeight="1">
      <c r="F15" s="23" t="n"/>
      <c r="L15" s="23" t="n"/>
    </row>
    <row r="16" ht="15" customHeight="1">
      <c r="A16" s="62" t="inlineStr">
        <is>
          <t>CONJURAÇÃO</t>
        </is>
      </c>
      <c r="F16" s="23" t="n"/>
      <c r="G16" s="62" t="inlineStr">
        <is>
          <t>CD DE FEITIÇO</t>
        </is>
      </c>
      <c r="L16" s="23" t="n"/>
    </row>
    <row r="17" ht="15" customHeight="1">
      <c r="A17" s="64">
        <f>FICHA!O44</f>
        <v/>
      </c>
      <c r="F17" s="23" t="n"/>
      <c r="G17" s="64">
        <f>FICHA!D44</f>
        <v/>
      </c>
      <c r="L17" s="23" t="n"/>
    </row>
    <row r="18" ht="15" customHeight="1">
      <c r="F18" s="23" t="n"/>
      <c r="L18" s="23" t="n"/>
    </row>
    <row r="19" ht="15" customHeight="1">
      <c r="A19" s="65" t="inlineStr">
        <is>
          <t>DESLOCAMENTO</t>
        </is>
      </c>
      <c r="F19" s="23" t="n"/>
      <c r="G19" s="65" t="inlineStr">
        <is>
          <t>MAESTRIA</t>
        </is>
      </c>
      <c r="L19" s="23" t="n"/>
    </row>
    <row r="20" ht="15" customHeight="1">
      <c r="A20" s="66">
        <f>FICHA!O48</f>
        <v/>
      </c>
      <c r="F20" s="23" t="n"/>
      <c r="G20" s="66">
        <f>FICHA!D48</f>
        <v/>
      </c>
      <c r="L20" s="23" t="n"/>
    </row>
    <row r="21" ht="15" customHeight="1">
      <c r="F21" s="23" t="n"/>
      <c r="L21" s="23" t="n"/>
    </row>
    <row r="22" ht="15" customHeight="1">
      <c r="A22" s="23" t="n"/>
      <c r="B22" s="23" t="n"/>
      <c r="C22" s="23" t="n"/>
      <c r="D22" s="23" t="n"/>
      <c r="E22" s="23" t="n"/>
      <c r="F22" s="23" t="n"/>
      <c r="G22" s="23" t="n"/>
      <c r="H22" s="23" t="n"/>
      <c r="I22" s="23" t="n"/>
      <c r="J22" s="23" t="n"/>
      <c r="K22" s="23" t="n"/>
      <c r="L22" s="23" t="n"/>
    </row>
    <row r="23" ht="15" customHeight="1">
      <c r="A23" s="65" t="inlineStr">
        <is>
          <t>ESTADO DA ALMA</t>
        </is>
      </c>
    </row>
    <row r="24" ht="15" customHeight="1">
      <c r="A24" s="58">
        <f>FICHA!D34</f>
        <v/>
      </c>
    </row>
    <row r="25" ht="15" customHeight="1">
      <c r="A25" s="23" t="n"/>
      <c r="B25" s="23" t="n"/>
      <c r="C25" s="23" t="n"/>
      <c r="D25" s="23" t="n"/>
      <c r="E25" s="23" t="n"/>
      <c r="F25" s="23" t="n"/>
      <c r="G25" s="23" t="n"/>
      <c r="H25" s="23" t="n"/>
      <c r="I25" s="23" t="n"/>
      <c r="J25" s="23" t="n"/>
      <c r="K25" s="23" t="n"/>
      <c r="L25" s="23" t="n"/>
    </row>
    <row r="26" ht="15" customHeight="1">
      <c r="A26" s="67" t="inlineStr">
        <is>
          <t>FEITIÇOS</t>
        </is>
      </c>
      <c r="B26" s="23" t="n"/>
      <c r="C26" s="23" t="n"/>
      <c r="D26" s="23" t="n"/>
      <c r="E26" s="23" t="n"/>
      <c r="F26" s="23" t="n"/>
      <c r="G26" s="23" t="n"/>
      <c r="H26" s="23" t="n"/>
      <c r="I26" s="23" t="n"/>
      <c r="J26" s="23" t="n"/>
      <c r="K26" s="23" t="n"/>
      <c r="L26" s="23" t="n"/>
    </row>
    <row r="27" ht="15" customHeight="1">
      <c r="A27" s="68" t="inlineStr">
        <is>
          <t>NOME</t>
        </is>
      </c>
      <c r="E27" s="68" t="inlineStr">
        <is>
          <t>CL</t>
        </is>
      </c>
      <c r="F27" s="68" t="inlineStr">
        <is>
          <t>DANO</t>
        </is>
      </c>
      <c r="H27" s="68" t="inlineStr">
        <is>
          <t>PE</t>
        </is>
      </c>
      <c r="I27" s="68" t="inlineStr">
        <is>
          <t>ALCANCE</t>
        </is>
      </c>
      <c r="K27" s="68" t="inlineStr">
        <is>
          <t>RESOLVE</t>
        </is>
      </c>
    </row>
    <row r="28" ht="15" customHeight="1">
      <c r="A28" s="69">
        <f>IF(TÉCNICA!B6="","",TÉCNICA!B6)</f>
        <v/>
      </c>
      <c r="E28" s="70" t="n"/>
      <c r="F28" s="70" t="n"/>
      <c r="H28" s="70" t="n"/>
      <c r="I28" s="70" t="n"/>
      <c r="K28" s="70" t="n"/>
    </row>
    <row r="29" ht="15" customHeight="1">
      <c r="A29" s="71">
        <f>IF(TÉCNICA!B18="","",TÉCNICA!B18)</f>
        <v/>
      </c>
      <c r="E29" s="72" t="n"/>
      <c r="F29" s="72" t="n"/>
      <c r="H29" s="72" t="n"/>
      <c r="I29" s="72" t="n"/>
      <c r="K29" s="72" t="n"/>
    </row>
    <row r="30" ht="15" customHeight="1">
      <c r="A30" s="69">
        <f>IF(TÉCNICA!B30="","",TÉCNICA!B30)</f>
        <v/>
      </c>
      <c r="E30" s="70" t="n"/>
      <c r="F30" s="70" t="n"/>
      <c r="H30" s="70" t="n"/>
      <c r="I30" s="70" t="n"/>
      <c r="K30" s="70" t="n"/>
    </row>
    <row r="31" ht="15" customHeight="1">
      <c r="A31" s="71">
        <f>IF(TÉCNICA!B42="","",TÉCNICA!B42)</f>
        <v/>
      </c>
      <c r="E31" s="72" t="n"/>
      <c r="F31" s="72" t="n"/>
      <c r="H31" s="72" t="n"/>
      <c r="I31" s="72" t="n"/>
      <c r="K31" s="72" t="n"/>
    </row>
    <row r="32" ht="15" customHeight="1">
      <c r="A32" s="69">
        <f>IF(TÉCNICA!B54="","",TÉCNICA!B54)</f>
        <v/>
      </c>
      <c r="E32" s="70" t="n"/>
      <c r="F32" s="70" t="n"/>
      <c r="H32" s="70" t="n"/>
      <c r="I32" s="70" t="n"/>
      <c r="K32" s="70" t="n"/>
    </row>
    <row r="33" ht="15" customHeight="1">
      <c r="A33" s="71">
        <f>IF(TÉCNICA!B66="","",TÉCNICA!B66)</f>
        <v/>
      </c>
      <c r="E33" s="72" t="n"/>
      <c r="F33" s="72" t="n"/>
      <c r="H33" s="72" t="n"/>
      <c r="I33" s="72" t="n"/>
      <c r="K33" s="72" t="n"/>
    </row>
    <row r="34" ht="15" customHeight="1">
      <c r="A34" s="23" t="n"/>
      <c r="B34" s="23" t="n"/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</row>
    <row r="35" ht="15" customHeight="1">
      <c r="A35" s="23" t="n"/>
      <c r="B35" s="23" t="n"/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</row>
    <row r="36" ht="15" customHeight="1">
      <c r="A36" s="23" t="n"/>
      <c r="B36" s="23" t="n"/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</row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</row>
    <row r="38" ht="15" customHeight="1">
      <c r="A38" s="23" t="n"/>
      <c r="B38" s="23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</row>
    <row r="39" ht="15" customHeigh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</row>
    <row r="40" ht="15" customHeigh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</row>
    <row r="41" ht="15" customHeigh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</row>
    <row r="42" ht="15" customHeigh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</row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</row>
    <row r="44" ht="15" customHeigh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</row>
    <row r="45" ht="15" customHeigh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</row>
    <row r="46" ht="15" customHeigh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</row>
    <row r="47" ht="15" customHeigh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</row>
    <row r="48" ht="15" customHeight="1">
      <c r="A48" s="23" t="n"/>
      <c r="B48" s="23" t="n"/>
      <c r="C48" s="23" t="n"/>
      <c r="D48" s="23" t="n"/>
      <c r="E48" s="23" t="n"/>
      <c r="F48" s="23" t="n"/>
      <c r="G48" s="23" t="n"/>
      <c r="H48" s="23" t="n"/>
      <c r="I48" s="23" t="n"/>
      <c r="J48" s="23" t="n"/>
      <c r="K48" s="23" t="n"/>
      <c r="L48" s="23" t="n"/>
    </row>
    <row r="49" ht="15" customHeight="1">
      <c r="A49" s="23" t="n"/>
      <c r="B49" s="23" t="n"/>
      <c r="C49" s="23" t="n"/>
      <c r="D49" s="23" t="n"/>
      <c r="E49" s="23" t="n"/>
      <c r="F49" s="23" t="n"/>
      <c r="G49" s="23" t="n"/>
      <c r="H49" s="23" t="n"/>
      <c r="I49" s="23" t="n"/>
      <c r="J49" s="23" t="n"/>
      <c r="K49" s="23" t="n"/>
      <c r="L49" s="23" t="n"/>
    </row>
    <row r="50" ht="15" customHeight="1">
      <c r="A50" s="23" t="n"/>
      <c r="B50" s="23" t="n"/>
      <c r="C50" s="23" t="n"/>
      <c r="D50" s="23" t="n"/>
      <c r="E50" s="23" t="n"/>
      <c r="F50" s="23" t="n"/>
      <c r="G50" s="23" t="n"/>
      <c r="H50" s="23" t="n"/>
      <c r="I50" s="23" t="n"/>
      <c r="J50" s="23" t="n"/>
      <c r="K50" s="23" t="n"/>
      <c r="L50" s="23" t="n"/>
    </row>
    <row r="51" ht="15" customHeight="1">
      <c r="A51" s="23" t="n"/>
      <c r="B51" s="23" t="n"/>
      <c r="C51" s="23" t="n"/>
      <c r="D51" s="23" t="n"/>
      <c r="E51" s="23" t="n"/>
      <c r="F51" s="23" t="n"/>
      <c r="G51" s="23" t="n"/>
      <c r="H51" s="23" t="n"/>
      <c r="I51" s="23" t="n"/>
      <c r="J51" s="23" t="n"/>
      <c r="K51" s="23" t="n"/>
      <c r="L51" s="23" t="n"/>
    </row>
    <row r="52" ht="15" customHeight="1">
      <c r="A52" s="23" t="n"/>
      <c r="B52" s="23" t="n"/>
      <c r="C52" s="23" t="n"/>
      <c r="D52" s="23" t="n"/>
      <c r="E52" s="23" t="n"/>
      <c r="F52" s="23" t="n"/>
      <c r="G52" s="23" t="n"/>
      <c r="H52" s="23" t="n"/>
      <c r="I52" s="23" t="n"/>
      <c r="J52" s="23" t="n"/>
      <c r="K52" s="23" t="n"/>
      <c r="L52" s="23" t="n"/>
    </row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</row>
  </sheetData>
  <mergeCells count="53">
    <mergeCell ref="I30:J30"/>
    <mergeCell ref="K30:L30"/>
    <mergeCell ref="F29:G29"/>
    <mergeCell ref="K33:L33"/>
    <mergeCell ref="G20:K21"/>
    <mergeCell ref="I27:J27"/>
    <mergeCell ref="A29:D29"/>
    <mergeCell ref="G14:K15"/>
    <mergeCell ref="A14:E15"/>
    <mergeCell ref="A28:D28"/>
    <mergeCell ref="G8:K8"/>
    <mergeCell ref="A17:E18"/>
    <mergeCell ref="K29:L29"/>
    <mergeCell ref="F30:G30"/>
    <mergeCell ref="A31:D31"/>
    <mergeCell ref="A16:E16"/>
    <mergeCell ref="A20:E21"/>
    <mergeCell ref="I32:J32"/>
    <mergeCell ref="K32:L32"/>
    <mergeCell ref="A23:L23"/>
    <mergeCell ref="A1:L2"/>
    <mergeCell ref="G10:K10"/>
    <mergeCell ref="A30:D30"/>
    <mergeCell ref="F33:G33"/>
    <mergeCell ref="G13:K13"/>
    <mergeCell ref="G19:K19"/>
    <mergeCell ref="K31:L31"/>
    <mergeCell ref="I28:J28"/>
    <mergeCell ref="F32:G32"/>
    <mergeCell ref="I33:J33"/>
    <mergeCell ref="K27:L27"/>
    <mergeCell ref="F31:G31"/>
    <mergeCell ref="A11:E12"/>
    <mergeCell ref="G11:K12"/>
    <mergeCell ref="F28:G28"/>
    <mergeCell ref="A8:E8"/>
    <mergeCell ref="F27:G27"/>
    <mergeCell ref="G4:K4"/>
    <mergeCell ref="A24:L24"/>
    <mergeCell ref="G17:K18"/>
    <mergeCell ref="A4:E4"/>
    <mergeCell ref="A27:D27"/>
    <mergeCell ref="I29:J29"/>
    <mergeCell ref="A5:E7"/>
    <mergeCell ref="G5:K7"/>
    <mergeCell ref="A10:E10"/>
    <mergeCell ref="G16:K16"/>
    <mergeCell ref="A19:E19"/>
    <mergeCell ref="K28:L28"/>
    <mergeCell ref="A13:E13"/>
    <mergeCell ref="I31:J31"/>
    <mergeCell ref="A33:D33"/>
    <mergeCell ref="A32:D3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T9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2" t="inlineStr">
        <is>
          <t>QUEM É · a ficção</t>
        </is>
      </c>
    </row>
    <row r="2" ht="15" customHeight="1"/>
    <row r="3" ht="15" customHeight="1">
      <c r="A3" s="23" t="n"/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  <c r="AE3" s="23" t="n"/>
      <c r="AF3" s="23" t="n"/>
      <c r="AG3" s="23" t="n"/>
      <c r="AH3" s="23" t="n"/>
      <c r="AI3" s="23" t="n"/>
      <c r="AJ3" s="23" t="n"/>
      <c r="AK3" s="23" t="n"/>
      <c r="AL3" s="23" t="n"/>
      <c r="AM3" s="23" t="n"/>
      <c r="AN3" s="23" t="n"/>
      <c r="AO3" s="23" t="n"/>
      <c r="AP3" s="23" t="n"/>
      <c r="AQ3" s="23" t="n"/>
      <c r="AR3" s="23" t="n"/>
      <c r="AS3" s="23" t="n"/>
      <c r="AT3" s="23" t="n"/>
    </row>
    <row r="4" ht="15" customHeight="1">
      <c r="A4" s="54" t="inlineStr">
        <is>
          <t>APARÊNCIA</t>
        </is>
      </c>
    </row>
    <row r="5" ht="15" customHeight="1">
      <c r="A5" s="73" t="n"/>
    </row>
    <row r="6" ht="15" customHeight="1"/>
    <row r="7" ht="15" customHeight="1"/>
    <row r="8" ht="15" customHeight="1"/>
    <row r="9" ht="15" customHeight="1"/>
    <row r="10" ht="15" customHeight="1"/>
    <row r="11" ht="15" customHeight="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23" t="n"/>
      <c r="X11" s="23" t="n"/>
      <c r="Y11" s="23" t="n"/>
      <c r="Z11" s="23" t="n"/>
      <c r="AA11" s="23" t="n"/>
      <c r="AB11" s="23" t="n"/>
      <c r="AC11" s="23" t="n"/>
      <c r="AD11" s="23" t="n"/>
      <c r="AE11" s="23" t="n"/>
      <c r="AF11" s="23" t="n"/>
      <c r="AG11" s="23" t="n"/>
      <c r="AH11" s="23" t="n"/>
      <c r="AI11" s="23" t="n"/>
      <c r="AJ11" s="23" t="n"/>
      <c r="AK11" s="23" t="n"/>
      <c r="AL11" s="23" t="n"/>
      <c r="AM11" s="23" t="n"/>
      <c r="AN11" s="23" t="n"/>
      <c r="AO11" s="23" t="n"/>
      <c r="AP11" s="23" t="n"/>
      <c r="AQ11" s="23" t="n"/>
      <c r="AR11" s="23" t="n"/>
      <c r="AS11" s="23" t="n"/>
      <c r="AT11" s="23" t="n"/>
    </row>
    <row r="12" ht="15" customHeight="1">
      <c r="A12" s="54" t="inlineStr">
        <is>
          <t>HISTÓRIA</t>
        </is>
      </c>
    </row>
    <row r="13" ht="15" customHeight="1">
      <c r="A13" s="73" t="n"/>
    </row>
    <row r="14" ht="15" customHeight="1"/>
    <row r="15" ht="15" customHeight="1"/>
    <row r="16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>
      <c r="A23" s="23" t="n"/>
      <c r="B23" s="23" t="n"/>
      <c r="C23" s="23" t="n"/>
      <c r="D23" s="23" t="n"/>
      <c r="E23" s="23" t="n"/>
      <c r="F23" s="23" t="n"/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23" t="n"/>
      <c r="AC23" s="23" t="n"/>
      <c r="AD23" s="23" t="n"/>
      <c r="AE23" s="23" t="n"/>
      <c r="AF23" s="23" t="n"/>
      <c r="AG23" s="23" t="n"/>
      <c r="AH23" s="23" t="n"/>
      <c r="AI23" s="23" t="n"/>
      <c r="AJ23" s="23" t="n"/>
      <c r="AK23" s="23" t="n"/>
      <c r="AL23" s="23" t="n"/>
      <c r="AM23" s="23" t="n"/>
      <c r="AN23" s="23" t="n"/>
      <c r="AO23" s="23" t="n"/>
      <c r="AP23" s="23" t="n"/>
      <c r="AQ23" s="23" t="n"/>
      <c r="AR23" s="23" t="n"/>
      <c r="AS23" s="23" t="n"/>
      <c r="AT23" s="23" t="n"/>
    </row>
    <row r="24" ht="15" customHeight="1">
      <c r="A24" s="54" t="inlineStr">
        <is>
          <t>LAÇOS</t>
        </is>
      </c>
    </row>
    <row r="25" ht="15" customHeight="1">
      <c r="A25" s="73" t="n"/>
    </row>
    <row r="26" ht="15" customHeight="1"/>
    <row r="27" ht="15" customHeight="1"/>
    <row r="28" ht="15" customHeight="1"/>
    <row r="29" ht="15" customHeight="1"/>
    <row r="30" ht="15" customHeight="1"/>
    <row r="31" ht="15" customHeight="1">
      <c r="A31" s="23" t="n"/>
      <c r="B31" s="23" t="n"/>
      <c r="C31" s="23" t="n"/>
      <c r="D31" s="23" t="n"/>
      <c r="E31" s="23" t="n"/>
      <c r="F31" s="23" t="n"/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AE31" s="23" t="n"/>
      <c r="AF31" s="23" t="n"/>
      <c r="AG31" s="23" t="n"/>
      <c r="AH31" s="23" t="n"/>
      <c r="AI31" s="23" t="n"/>
      <c r="AJ31" s="23" t="n"/>
      <c r="AK31" s="23" t="n"/>
      <c r="AL31" s="23" t="n"/>
      <c r="AM31" s="23" t="n"/>
      <c r="AN31" s="23" t="n"/>
      <c r="AO31" s="23" t="n"/>
      <c r="AP31" s="23" t="n"/>
      <c r="AQ31" s="23" t="n"/>
      <c r="AR31" s="23" t="n"/>
      <c r="AS31" s="23" t="n"/>
      <c r="AT31" s="23" t="n"/>
    </row>
    <row r="32" ht="15" customHeight="1">
      <c r="A32" s="54" t="inlineStr">
        <is>
          <t>O QUE ELE QUER</t>
        </is>
      </c>
    </row>
    <row r="33" ht="15" customHeight="1">
      <c r="A33" s="73" t="n"/>
    </row>
    <row r="34" ht="15" customHeight="1"/>
    <row r="35" ht="15" customHeight="1"/>
    <row r="36" ht="15" customHeight="1"/>
    <row r="37" ht="15" customHeight="1">
      <c r="A37" s="23" t="n"/>
      <c r="B37" s="23" t="n"/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  <c r="AJ37" s="23" t="n"/>
      <c r="AK37" s="23" t="n"/>
      <c r="AL37" s="23" t="n"/>
      <c r="AM37" s="23" t="n"/>
      <c r="AN37" s="23" t="n"/>
      <c r="AO37" s="23" t="n"/>
      <c r="AP37" s="23" t="n"/>
      <c r="AQ37" s="23" t="n"/>
      <c r="AR37" s="23" t="n"/>
      <c r="AS37" s="23" t="n"/>
      <c r="AT37" s="23" t="n"/>
    </row>
    <row r="38" ht="15" customHeight="1">
      <c r="A38" s="54" t="inlineStr">
        <is>
          <t>O QUE ELE ESCONDE</t>
        </is>
      </c>
    </row>
    <row r="39" ht="15" customHeight="1">
      <c r="A39" s="73" t="n"/>
    </row>
    <row r="40" ht="15" customHeight="1"/>
    <row r="41" ht="15" customHeight="1"/>
    <row r="42" ht="15" customHeight="1"/>
    <row r="43" ht="15" customHeigh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  <c r="AE43" s="23" t="n"/>
      <c r="AF43" s="23" t="n"/>
      <c r="AG43" s="23" t="n"/>
      <c r="AH43" s="23" t="n"/>
      <c r="AI43" s="23" t="n"/>
      <c r="AJ43" s="23" t="n"/>
      <c r="AK43" s="23" t="n"/>
      <c r="AL43" s="23" t="n"/>
      <c r="AM43" s="23" t="n"/>
      <c r="AN43" s="23" t="n"/>
      <c r="AO43" s="23" t="n"/>
      <c r="AP43" s="23" t="n"/>
      <c r="AQ43" s="23" t="n"/>
      <c r="AR43" s="23" t="n"/>
      <c r="AS43" s="23" t="n"/>
      <c r="AT43" s="23" t="n"/>
    </row>
    <row r="44" ht="15" customHeight="1">
      <c r="A44" s="54" t="inlineStr">
        <is>
          <t>NOTAS DE MESA</t>
        </is>
      </c>
    </row>
    <row r="45" ht="15" customHeight="1">
      <c r="A45" s="73" t="n"/>
    </row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>
      <c r="A53" s="23" t="n"/>
      <c r="B53" s="23" t="n"/>
      <c r="C53" s="23" t="n"/>
      <c r="D53" s="23" t="n"/>
      <c r="E53" s="23" t="n"/>
      <c r="F53" s="23" t="n"/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  <c r="AE53" s="23" t="n"/>
      <c r="AF53" s="23" t="n"/>
      <c r="AG53" s="23" t="n"/>
      <c r="AH53" s="23" t="n"/>
      <c r="AI53" s="23" t="n"/>
      <c r="AJ53" s="23" t="n"/>
      <c r="AK53" s="23" t="n"/>
      <c r="AL53" s="23" t="n"/>
      <c r="AM53" s="23" t="n"/>
      <c r="AN53" s="23" t="n"/>
      <c r="AO53" s="23" t="n"/>
      <c r="AP53" s="23" t="n"/>
      <c r="AQ53" s="23" t="n"/>
      <c r="AR53" s="23" t="n"/>
      <c r="AS53" s="23" t="n"/>
      <c r="AT53" s="23" t="n"/>
    </row>
    <row r="54" ht="15" customHeight="1">
      <c r="A54" s="23" t="n"/>
      <c r="B54" s="23" t="n"/>
      <c r="C54" s="23" t="n"/>
      <c r="D54" s="23" t="n"/>
      <c r="E54" s="23" t="n"/>
      <c r="F54" s="23" t="n"/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  <c r="AE54" s="23" t="n"/>
      <c r="AF54" s="23" t="n"/>
      <c r="AG54" s="23" t="n"/>
      <c r="AH54" s="23" t="n"/>
      <c r="AI54" s="23" t="n"/>
      <c r="AJ54" s="23" t="n"/>
      <c r="AK54" s="23" t="n"/>
      <c r="AL54" s="23" t="n"/>
      <c r="AM54" s="23" t="n"/>
      <c r="AN54" s="23" t="n"/>
      <c r="AO54" s="23" t="n"/>
      <c r="AP54" s="23" t="n"/>
      <c r="AQ54" s="23" t="n"/>
      <c r="AR54" s="23" t="n"/>
      <c r="AS54" s="23" t="n"/>
      <c r="AT54" s="23" t="n"/>
    </row>
    <row r="55" ht="15" customHeight="1">
      <c r="A55" s="23" t="n"/>
      <c r="B55" s="23" t="n"/>
      <c r="C55" s="23" t="n"/>
      <c r="D55" s="23" t="n"/>
      <c r="E55" s="23" t="n"/>
      <c r="F55" s="23" t="n"/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  <c r="AE55" s="23" t="n"/>
      <c r="AF55" s="23" t="n"/>
      <c r="AG55" s="23" t="n"/>
      <c r="AH55" s="23" t="n"/>
      <c r="AI55" s="23" t="n"/>
      <c r="AJ55" s="23" t="n"/>
      <c r="AK55" s="23" t="n"/>
      <c r="AL55" s="23" t="n"/>
      <c r="AM55" s="23" t="n"/>
      <c r="AN55" s="23" t="n"/>
      <c r="AO55" s="23" t="n"/>
      <c r="AP55" s="23" t="n"/>
      <c r="AQ55" s="23" t="n"/>
      <c r="AR55" s="23" t="n"/>
      <c r="AS55" s="23" t="n"/>
      <c r="AT55" s="23" t="n"/>
    </row>
    <row r="56" ht="15" customHeight="1">
      <c r="A56" s="23" t="n"/>
      <c r="B56" s="23" t="n"/>
      <c r="C56" s="23" t="n"/>
      <c r="D56" s="23" t="n"/>
      <c r="E56" s="23" t="n"/>
      <c r="F56" s="23" t="n"/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  <c r="AE56" s="23" t="n"/>
      <c r="AF56" s="23" t="n"/>
      <c r="AG56" s="23" t="n"/>
      <c r="AH56" s="23" t="n"/>
      <c r="AI56" s="23" t="n"/>
      <c r="AJ56" s="23" t="n"/>
      <c r="AK56" s="23" t="n"/>
      <c r="AL56" s="23" t="n"/>
      <c r="AM56" s="23" t="n"/>
      <c r="AN56" s="23" t="n"/>
      <c r="AO56" s="23" t="n"/>
      <c r="AP56" s="23" t="n"/>
      <c r="AQ56" s="23" t="n"/>
      <c r="AR56" s="23" t="n"/>
      <c r="AS56" s="23" t="n"/>
      <c r="AT56" s="23" t="n"/>
    </row>
    <row r="57" ht="15" customHeight="1">
      <c r="A57" s="23" t="n"/>
      <c r="B57" s="23" t="n"/>
      <c r="C57" s="23" t="n"/>
      <c r="D57" s="23" t="n"/>
      <c r="E57" s="23" t="n"/>
      <c r="F57" s="23" t="n"/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  <c r="AE57" s="23" t="n"/>
      <c r="AF57" s="23" t="n"/>
      <c r="AG57" s="23" t="n"/>
      <c r="AH57" s="23" t="n"/>
      <c r="AI57" s="23" t="n"/>
      <c r="AJ57" s="23" t="n"/>
      <c r="AK57" s="23" t="n"/>
      <c r="AL57" s="23" t="n"/>
      <c r="AM57" s="23" t="n"/>
      <c r="AN57" s="23" t="n"/>
      <c r="AO57" s="23" t="n"/>
      <c r="AP57" s="23" t="n"/>
      <c r="AQ57" s="23" t="n"/>
      <c r="AR57" s="23" t="n"/>
      <c r="AS57" s="23" t="n"/>
      <c r="AT57" s="23" t="n"/>
    </row>
    <row r="58" ht="15" customHeight="1">
      <c r="A58" s="23" t="n"/>
      <c r="B58" s="23" t="n"/>
      <c r="C58" s="23" t="n"/>
      <c r="D58" s="23" t="n"/>
      <c r="E58" s="23" t="n"/>
      <c r="F58" s="23" t="n"/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  <c r="AE58" s="23" t="n"/>
      <c r="AF58" s="23" t="n"/>
      <c r="AG58" s="23" t="n"/>
      <c r="AH58" s="23" t="n"/>
      <c r="AI58" s="23" t="n"/>
      <c r="AJ58" s="23" t="n"/>
      <c r="AK58" s="23" t="n"/>
      <c r="AL58" s="23" t="n"/>
      <c r="AM58" s="23" t="n"/>
      <c r="AN58" s="23" t="n"/>
      <c r="AO58" s="23" t="n"/>
      <c r="AP58" s="23" t="n"/>
      <c r="AQ58" s="23" t="n"/>
      <c r="AR58" s="23" t="n"/>
      <c r="AS58" s="23" t="n"/>
      <c r="AT58" s="23" t="n"/>
    </row>
    <row r="59" ht="15" customHeight="1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  <c r="AE59" s="23" t="n"/>
      <c r="AF59" s="23" t="n"/>
      <c r="AG59" s="23" t="n"/>
      <c r="AH59" s="23" t="n"/>
      <c r="AI59" s="23" t="n"/>
      <c r="AJ59" s="23" t="n"/>
      <c r="AK59" s="23" t="n"/>
      <c r="AL59" s="23" t="n"/>
      <c r="AM59" s="23" t="n"/>
      <c r="AN59" s="23" t="n"/>
      <c r="AO59" s="23" t="n"/>
      <c r="AP59" s="23" t="n"/>
      <c r="AQ59" s="23" t="n"/>
      <c r="AR59" s="23" t="n"/>
      <c r="AS59" s="23" t="n"/>
      <c r="AT59" s="23" t="n"/>
    </row>
    <row r="60" ht="15" customHeight="1">
      <c r="A60" s="23" t="n"/>
      <c r="B60" s="23" t="n"/>
      <c r="C60" s="23" t="n"/>
      <c r="D60" s="23" t="n"/>
      <c r="E60" s="23" t="n"/>
      <c r="F60" s="23" t="n"/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  <c r="AE60" s="23" t="n"/>
      <c r="AF60" s="23" t="n"/>
      <c r="AG60" s="23" t="n"/>
      <c r="AH60" s="23" t="n"/>
      <c r="AI60" s="23" t="n"/>
      <c r="AJ60" s="23" t="n"/>
      <c r="AK60" s="23" t="n"/>
      <c r="AL60" s="23" t="n"/>
      <c r="AM60" s="23" t="n"/>
      <c r="AN60" s="23" t="n"/>
      <c r="AO60" s="23" t="n"/>
      <c r="AP60" s="23" t="n"/>
      <c r="AQ60" s="23" t="n"/>
      <c r="AR60" s="23" t="n"/>
      <c r="AS60" s="23" t="n"/>
      <c r="AT60" s="23" t="n"/>
    </row>
    <row r="61" ht="15" customHeight="1">
      <c r="A61" s="23" t="n"/>
      <c r="B61" s="23" t="n"/>
      <c r="C61" s="23" t="n"/>
      <c r="D61" s="23" t="n"/>
      <c r="E61" s="23" t="n"/>
      <c r="F61" s="23" t="n"/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  <c r="AE61" s="23" t="n"/>
      <c r="AF61" s="23" t="n"/>
      <c r="AG61" s="23" t="n"/>
      <c r="AH61" s="23" t="n"/>
      <c r="AI61" s="23" t="n"/>
      <c r="AJ61" s="23" t="n"/>
      <c r="AK61" s="23" t="n"/>
      <c r="AL61" s="23" t="n"/>
      <c r="AM61" s="23" t="n"/>
      <c r="AN61" s="23" t="n"/>
      <c r="AO61" s="23" t="n"/>
      <c r="AP61" s="23" t="n"/>
      <c r="AQ61" s="23" t="n"/>
      <c r="AR61" s="23" t="n"/>
      <c r="AS61" s="23" t="n"/>
      <c r="AT61" s="23" t="n"/>
    </row>
    <row r="62" ht="15" customHeight="1">
      <c r="A62" s="23" t="n"/>
      <c r="B62" s="23" t="n"/>
      <c r="C62" s="23" t="n"/>
      <c r="D62" s="23" t="n"/>
      <c r="E62" s="23" t="n"/>
      <c r="F62" s="23" t="n"/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  <c r="AE62" s="23" t="n"/>
      <c r="AF62" s="23" t="n"/>
      <c r="AG62" s="23" t="n"/>
      <c r="AH62" s="23" t="n"/>
      <c r="AI62" s="23" t="n"/>
      <c r="AJ62" s="23" t="n"/>
      <c r="AK62" s="23" t="n"/>
      <c r="AL62" s="23" t="n"/>
      <c r="AM62" s="23" t="n"/>
      <c r="AN62" s="23" t="n"/>
      <c r="AO62" s="23" t="n"/>
      <c r="AP62" s="23" t="n"/>
      <c r="AQ62" s="23" t="n"/>
      <c r="AR62" s="23" t="n"/>
      <c r="AS62" s="23" t="n"/>
      <c r="AT62" s="23" t="n"/>
    </row>
    <row r="63" ht="15" customHeight="1">
      <c r="A63" s="23" t="n"/>
      <c r="B63" s="23" t="n"/>
      <c r="C63" s="23" t="n"/>
      <c r="D63" s="23" t="n"/>
      <c r="E63" s="23" t="n"/>
      <c r="F63" s="23" t="n"/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  <c r="AE63" s="23" t="n"/>
      <c r="AF63" s="23" t="n"/>
      <c r="AG63" s="23" t="n"/>
      <c r="AH63" s="23" t="n"/>
      <c r="AI63" s="23" t="n"/>
      <c r="AJ63" s="23" t="n"/>
      <c r="AK63" s="23" t="n"/>
      <c r="AL63" s="23" t="n"/>
      <c r="AM63" s="23" t="n"/>
      <c r="AN63" s="23" t="n"/>
      <c r="AO63" s="23" t="n"/>
      <c r="AP63" s="23" t="n"/>
      <c r="AQ63" s="23" t="n"/>
      <c r="AR63" s="23" t="n"/>
      <c r="AS63" s="23" t="n"/>
      <c r="AT63" s="23" t="n"/>
    </row>
    <row r="64" ht="15" customHeight="1">
      <c r="A64" s="23" t="n"/>
      <c r="B64" s="23" t="n"/>
      <c r="C64" s="23" t="n"/>
      <c r="D64" s="23" t="n"/>
      <c r="E64" s="23" t="n"/>
      <c r="F64" s="23" t="n"/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  <c r="AE64" s="23" t="n"/>
      <c r="AF64" s="23" t="n"/>
      <c r="AG64" s="23" t="n"/>
      <c r="AH64" s="23" t="n"/>
      <c r="AI64" s="23" t="n"/>
      <c r="AJ64" s="23" t="n"/>
      <c r="AK64" s="23" t="n"/>
      <c r="AL64" s="23" t="n"/>
      <c r="AM64" s="23" t="n"/>
      <c r="AN64" s="23" t="n"/>
      <c r="AO64" s="23" t="n"/>
      <c r="AP64" s="23" t="n"/>
      <c r="AQ64" s="23" t="n"/>
      <c r="AR64" s="23" t="n"/>
      <c r="AS64" s="23" t="n"/>
      <c r="AT64" s="23" t="n"/>
    </row>
    <row r="65" ht="15" customHeight="1">
      <c r="A65" s="23" t="n"/>
      <c r="B65" s="23" t="n"/>
      <c r="C65" s="23" t="n"/>
      <c r="D65" s="23" t="n"/>
      <c r="E65" s="23" t="n"/>
      <c r="F65" s="23" t="n"/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  <c r="AE65" s="23" t="n"/>
      <c r="AF65" s="23" t="n"/>
      <c r="AG65" s="23" t="n"/>
      <c r="AH65" s="23" t="n"/>
      <c r="AI65" s="23" t="n"/>
      <c r="AJ65" s="23" t="n"/>
      <c r="AK65" s="23" t="n"/>
      <c r="AL65" s="23" t="n"/>
      <c r="AM65" s="23" t="n"/>
      <c r="AN65" s="23" t="n"/>
      <c r="AO65" s="23" t="n"/>
      <c r="AP65" s="23" t="n"/>
      <c r="AQ65" s="23" t="n"/>
      <c r="AR65" s="23" t="n"/>
      <c r="AS65" s="23" t="n"/>
      <c r="AT65" s="23" t="n"/>
    </row>
    <row r="66" ht="15" customHeight="1">
      <c r="A66" s="23" t="n"/>
      <c r="B66" s="23" t="n"/>
      <c r="C66" s="23" t="n"/>
      <c r="D66" s="23" t="n"/>
      <c r="E66" s="23" t="n"/>
      <c r="F66" s="23" t="n"/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  <c r="AE66" s="23" t="n"/>
      <c r="AF66" s="23" t="n"/>
      <c r="AG66" s="23" t="n"/>
      <c r="AH66" s="23" t="n"/>
      <c r="AI66" s="23" t="n"/>
      <c r="AJ66" s="23" t="n"/>
      <c r="AK66" s="23" t="n"/>
      <c r="AL66" s="23" t="n"/>
      <c r="AM66" s="23" t="n"/>
      <c r="AN66" s="23" t="n"/>
      <c r="AO66" s="23" t="n"/>
      <c r="AP66" s="23" t="n"/>
      <c r="AQ66" s="23" t="n"/>
      <c r="AR66" s="23" t="n"/>
      <c r="AS66" s="23" t="n"/>
      <c r="AT66" s="23" t="n"/>
    </row>
    <row r="67" ht="15" customHeight="1">
      <c r="A67" s="23" t="n"/>
      <c r="B67" s="23" t="n"/>
      <c r="C67" s="23" t="n"/>
      <c r="D67" s="23" t="n"/>
      <c r="E67" s="23" t="n"/>
      <c r="F67" s="23" t="n"/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  <c r="AE67" s="23" t="n"/>
      <c r="AF67" s="23" t="n"/>
      <c r="AG67" s="23" t="n"/>
      <c r="AH67" s="23" t="n"/>
      <c r="AI67" s="23" t="n"/>
      <c r="AJ67" s="23" t="n"/>
      <c r="AK67" s="23" t="n"/>
      <c r="AL67" s="23" t="n"/>
      <c r="AM67" s="23" t="n"/>
      <c r="AN67" s="23" t="n"/>
      <c r="AO67" s="23" t="n"/>
      <c r="AP67" s="23" t="n"/>
      <c r="AQ67" s="23" t="n"/>
      <c r="AR67" s="23" t="n"/>
      <c r="AS67" s="23" t="n"/>
      <c r="AT67" s="23" t="n"/>
    </row>
    <row r="68" ht="15" customHeight="1">
      <c r="A68" s="23" t="n"/>
      <c r="B68" s="23" t="n"/>
      <c r="C68" s="23" t="n"/>
      <c r="D68" s="23" t="n"/>
      <c r="E68" s="23" t="n"/>
      <c r="F68" s="23" t="n"/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  <c r="AE68" s="23" t="n"/>
      <c r="AF68" s="23" t="n"/>
      <c r="AG68" s="23" t="n"/>
      <c r="AH68" s="23" t="n"/>
      <c r="AI68" s="23" t="n"/>
      <c r="AJ68" s="23" t="n"/>
      <c r="AK68" s="23" t="n"/>
      <c r="AL68" s="23" t="n"/>
      <c r="AM68" s="23" t="n"/>
      <c r="AN68" s="23" t="n"/>
      <c r="AO68" s="23" t="n"/>
      <c r="AP68" s="23" t="n"/>
      <c r="AQ68" s="23" t="n"/>
      <c r="AR68" s="23" t="n"/>
      <c r="AS68" s="23" t="n"/>
      <c r="AT68" s="23" t="n"/>
    </row>
    <row r="69" ht="15" customHeight="1">
      <c r="A69" s="23" t="n"/>
      <c r="B69" s="23" t="n"/>
      <c r="C69" s="23" t="n"/>
      <c r="D69" s="23" t="n"/>
      <c r="E69" s="23" t="n"/>
      <c r="F69" s="23" t="n"/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  <c r="AE69" s="23" t="n"/>
      <c r="AF69" s="23" t="n"/>
      <c r="AG69" s="23" t="n"/>
      <c r="AH69" s="23" t="n"/>
      <c r="AI69" s="23" t="n"/>
      <c r="AJ69" s="23" t="n"/>
      <c r="AK69" s="23" t="n"/>
      <c r="AL69" s="23" t="n"/>
      <c r="AM69" s="23" t="n"/>
      <c r="AN69" s="23" t="n"/>
      <c r="AO69" s="23" t="n"/>
      <c r="AP69" s="23" t="n"/>
      <c r="AQ69" s="23" t="n"/>
      <c r="AR69" s="23" t="n"/>
      <c r="AS69" s="23" t="n"/>
      <c r="AT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  <c r="AE70" s="23" t="n"/>
      <c r="AF70" s="23" t="n"/>
      <c r="AG70" s="23" t="n"/>
      <c r="AH70" s="23" t="n"/>
      <c r="AI70" s="23" t="n"/>
      <c r="AJ70" s="23" t="n"/>
      <c r="AK70" s="23" t="n"/>
      <c r="AL70" s="23" t="n"/>
      <c r="AM70" s="23" t="n"/>
      <c r="AN70" s="23" t="n"/>
      <c r="AO70" s="23" t="n"/>
      <c r="AP70" s="23" t="n"/>
      <c r="AQ70" s="23" t="n"/>
      <c r="AR70" s="23" t="n"/>
      <c r="AS70" s="23" t="n"/>
      <c r="AT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  <c r="AE71" s="23" t="n"/>
      <c r="AF71" s="23" t="n"/>
      <c r="AG71" s="23" t="n"/>
      <c r="AH71" s="23" t="n"/>
      <c r="AI71" s="23" t="n"/>
      <c r="AJ71" s="23" t="n"/>
      <c r="AK71" s="23" t="n"/>
      <c r="AL71" s="23" t="n"/>
      <c r="AM71" s="23" t="n"/>
      <c r="AN71" s="23" t="n"/>
      <c r="AO71" s="23" t="n"/>
      <c r="AP71" s="23" t="n"/>
      <c r="AQ71" s="23" t="n"/>
      <c r="AR71" s="23" t="n"/>
      <c r="AS71" s="23" t="n"/>
      <c r="AT71" s="23" t="n"/>
    </row>
    <row r="72" ht="15" customHeight="1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  <c r="AE72" s="23" t="n"/>
      <c r="AF72" s="23" t="n"/>
      <c r="AG72" s="23" t="n"/>
      <c r="AH72" s="23" t="n"/>
      <c r="AI72" s="23" t="n"/>
      <c r="AJ72" s="23" t="n"/>
      <c r="AK72" s="23" t="n"/>
      <c r="AL72" s="23" t="n"/>
      <c r="AM72" s="23" t="n"/>
      <c r="AN72" s="23" t="n"/>
      <c r="AO72" s="23" t="n"/>
      <c r="AP72" s="23" t="n"/>
      <c r="AQ72" s="23" t="n"/>
      <c r="AR72" s="23" t="n"/>
      <c r="AS72" s="23" t="n"/>
      <c r="AT72" s="23" t="n"/>
    </row>
    <row r="73" ht="15" customHeight="1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  <c r="AE73" s="23" t="n"/>
      <c r="AF73" s="23" t="n"/>
      <c r="AG73" s="23" t="n"/>
      <c r="AH73" s="23" t="n"/>
      <c r="AI73" s="23" t="n"/>
      <c r="AJ73" s="23" t="n"/>
      <c r="AK73" s="23" t="n"/>
      <c r="AL73" s="23" t="n"/>
      <c r="AM73" s="23" t="n"/>
      <c r="AN73" s="23" t="n"/>
      <c r="AO73" s="23" t="n"/>
      <c r="AP73" s="23" t="n"/>
      <c r="AQ73" s="23" t="n"/>
      <c r="AR73" s="23" t="n"/>
      <c r="AS73" s="23" t="n"/>
      <c r="AT73" s="23" t="n"/>
    </row>
    <row r="74" ht="15" customHeight="1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3" t="n"/>
      <c r="K74" s="23" t="n"/>
      <c r="L74" s="23" t="n"/>
      <c r="M74" s="23" t="n"/>
      <c r="N74" s="23" t="n"/>
      <c r="O74" s="23" t="n"/>
      <c r="P74" s="23" t="n"/>
      <c r="Q74" s="23" t="n"/>
      <c r="R74" s="23" t="n"/>
      <c r="S74" s="23" t="n"/>
      <c r="T74" s="23" t="n"/>
      <c r="U74" s="23" t="n"/>
      <c r="V74" s="23" t="n"/>
      <c r="W74" s="23" t="n"/>
      <c r="X74" s="23" t="n"/>
      <c r="Y74" s="23" t="n"/>
      <c r="Z74" s="23" t="n"/>
      <c r="AA74" s="23" t="n"/>
      <c r="AB74" s="23" t="n"/>
      <c r="AC74" s="23" t="n"/>
      <c r="AD74" s="23" t="n"/>
      <c r="AE74" s="23" t="n"/>
      <c r="AF74" s="23" t="n"/>
      <c r="AG74" s="23" t="n"/>
      <c r="AH74" s="23" t="n"/>
      <c r="AI74" s="23" t="n"/>
      <c r="AJ74" s="23" t="n"/>
      <c r="AK74" s="23" t="n"/>
      <c r="AL74" s="23" t="n"/>
      <c r="AM74" s="23" t="n"/>
      <c r="AN74" s="23" t="n"/>
      <c r="AO74" s="23" t="n"/>
      <c r="AP74" s="23" t="n"/>
      <c r="AQ74" s="23" t="n"/>
      <c r="AR74" s="23" t="n"/>
      <c r="AS74" s="23" t="n"/>
      <c r="AT74" s="23" t="n"/>
    </row>
    <row r="75" ht="15" customHeight="1">
      <c r="A75" s="23" t="n"/>
      <c r="B75" s="23" t="n"/>
      <c r="C75" s="23" t="n"/>
      <c r="D75" s="23" t="n"/>
      <c r="E75" s="23" t="n"/>
      <c r="F75" s="23" t="n"/>
      <c r="G75" s="23" t="n"/>
      <c r="H75" s="23" t="n"/>
      <c r="I75" s="23" t="n"/>
      <c r="J75" s="23" t="n"/>
      <c r="K75" s="23" t="n"/>
      <c r="L75" s="23" t="n"/>
      <c r="M75" s="23" t="n"/>
      <c r="N75" s="23" t="n"/>
      <c r="O75" s="23" t="n"/>
      <c r="P75" s="23" t="n"/>
      <c r="Q75" s="23" t="n"/>
      <c r="R75" s="23" t="n"/>
      <c r="S75" s="23" t="n"/>
      <c r="T75" s="23" t="n"/>
      <c r="U75" s="23" t="n"/>
      <c r="V75" s="23" t="n"/>
      <c r="W75" s="23" t="n"/>
      <c r="X75" s="23" t="n"/>
      <c r="Y75" s="23" t="n"/>
      <c r="Z75" s="23" t="n"/>
      <c r="AA75" s="23" t="n"/>
      <c r="AB75" s="23" t="n"/>
      <c r="AC75" s="23" t="n"/>
      <c r="AD75" s="23" t="n"/>
      <c r="AE75" s="23" t="n"/>
      <c r="AF75" s="23" t="n"/>
      <c r="AG75" s="23" t="n"/>
      <c r="AH75" s="23" t="n"/>
      <c r="AI75" s="23" t="n"/>
      <c r="AJ75" s="23" t="n"/>
      <c r="AK75" s="23" t="n"/>
      <c r="AL75" s="23" t="n"/>
      <c r="AM75" s="23" t="n"/>
      <c r="AN75" s="23" t="n"/>
      <c r="AO75" s="23" t="n"/>
      <c r="AP75" s="23" t="n"/>
      <c r="AQ75" s="23" t="n"/>
      <c r="AR75" s="23" t="n"/>
      <c r="AS75" s="23" t="n"/>
      <c r="AT75" s="23" t="n"/>
    </row>
    <row r="76" ht="15" customHeight="1">
      <c r="A76" s="23" t="n"/>
      <c r="B76" s="23" t="n"/>
      <c r="C76" s="23" t="n"/>
      <c r="D76" s="23" t="n"/>
      <c r="E76" s="23" t="n"/>
      <c r="F76" s="23" t="n"/>
      <c r="G76" s="23" t="n"/>
      <c r="H76" s="23" t="n"/>
      <c r="I76" s="23" t="n"/>
      <c r="J76" s="23" t="n"/>
      <c r="K76" s="23" t="n"/>
      <c r="L76" s="23" t="n"/>
      <c r="M76" s="23" t="n"/>
      <c r="N76" s="23" t="n"/>
      <c r="O76" s="23" t="n"/>
      <c r="P76" s="23" t="n"/>
      <c r="Q76" s="23" t="n"/>
      <c r="R76" s="23" t="n"/>
      <c r="S76" s="23" t="n"/>
      <c r="T76" s="23" t="n"/>
      <c r="U76" s="23" t="n"/>
      <c r="V76" s="23" t="n"/>
      <c r="W76" s="23" t="n"/>
      <c r="X76" s="23" t="n"/>
      <c r="Y76" s="23" t="n"/>
      <c r="Z76" s="23" t="n"/>
      <c r="AA76" s="23" t="n"/>
      <c r="AB76" s="23" t="n"/>
      <c r="AC76" s="23" t="n"/>
      <c r="AD76" s="23" t="n"/>
      <c r="AE76" s="23" t="n"/>
      <c r="AF76" s="23" t="n"/>
      <c r="AG76" s="23" t="n"/>
      <c r="AH76" s="23" t="n"/>
      <c r="AI76" s="23" t="n"/>
      <c r="AJ76" s="23" t="n"/>
      <c r="AK76" s="23" t="n"/>
      <c r="AL76" s="23" t="n"/>
      <c r="AM76" s="23" t="n"/>
      <c r="AN76" s="23" t="n"/>
      <c r="AO76" s="23" t="n"/>
      <c r="AP76" s="23" t="n"/>
      <c r="AQ76" s="23" t="n"/>
      <c r="AR76" s="23" t="n"/>
      <c r="AS76" s="23" t="n"/>
      <c r="AT76" s="23" t="n"/>
    </row>
    <row r="77" ht="15" customHeight="1">
      <c r="A77" s="23" t="n"/>
      <c r="B77" s="23" t="n"/>
      <c r="C77" s="23" t="n"/>
      <c r="D77" s="23" t="n"/>
      <c r="E77" s="23" t="n"/>
      <c r="F77" s="23" t="n"/>
      <c r="G77" s="23" t="n"/>
      <c r="H77" s="23" t="n"/>
      <c r="I77" s="23" t="n"/>
      <c r="J77" s="23" t="n"/>
      <c r="K77" s="23" t="n"/>
      <c r="L77" s="23" t="n"/>
      <c r="M77" s="23" t="n"/>
      <c r="N77" s="23" t="n"/>
      <c r="O77" s="23" t="n"/>
      <c r="P77" s="23" t="n"/>
      <c r="Q77" s="23" t="n"/>
      <c r="R77" s="23" t="n"/>
      <c r="S77" s="23" t="n"/>
      <c r="T77" s="23" t="n"/>
      <c r="U77" s="23" t="n"/>
      <c r="V77" s="23" t="n"/>
      <c r="W77" s="23" t="n"/>
      <c r="X77" s="23" t="n"/>
      <c r="Y77" s="23" t="n"/>
      <c r="Z77" s="23" t="n"/>
      <c r="AA77" s="23" t="n"/>
      <c r="AB77" s="23" t="n"/>
      <c r="AC77" s="23" t="n"/>
      <c r="AD77" s="23" t="n"/>
      <c r="AE77" s="23" t="n"/>
      <c r="AF77" s="23" t="n"/>
      <c r="AG77" s="23" t="n"/>
      <c r="AH77" s="23" t="n"/>
      <c r="AI77" s="23" t="n"/>
      <c r="AJ77" s="23" t="n"/>
      <c r="AK77" s="23" t="n"/>
      <c r="AL77" s="23" t="n"/>
      <c r="AM77" s="23" t="n"/>
      <c r="AN77" s="23" t="n"/>
      <c r="AO77" s="23" t="n"/>
      <c r="AP77" s="23" t="n"/>
      <c r="AQ77" s="23" t="n"/>
      <c r="AR77" s="23" t="n"/>
      <c r="AS77" s="23" t="n"/>
      <c r="AT77" s="23" t="n"/>
    </row>
    <row r="78" ht="15" customHeight="1">
      <c r="A78" s="23" t="n"/>
      <c r="B78" s="23" t="n"/>
      <c r="C78" s="23" t="n"/>
      <c r="D78" s="23" t="n"/>
      <c r="E78" s="23" t="n"/>
      <c r="F78" s="23" t="n"/>
      <c r="G78" s="23" t="n"/>
      <c r="H78" s="23" t="n"/>
      <c r="I78" s="23" t="n"/>
      <c r="J78" s="23" t="n"/>
      <c r="K78" s="23" t="n"/>
      <c r="L78" s="23" t="n"/>
      <c r="M78" s="23" t="n"/>
      <c r="N78" s="23" t="n"/>
      <c r="O78" s="23" t="n"/>
      <c r="P78" s="23" t="n"/>
      <c r="Q78" s="23" t="n"/>
      <c r="R78" s="23" t="n"/>
      <c r="S78" s="23" t="n"/>
      <c r="T78" s="23" t="n"/>
      <c r="U78" s="23" t="n"/>
      <c r="V78" s="23" t="n"/>
      <c r="W78" s="23" t="n"/>
      <c r="X78" s="23" t="n"/>
      <c r="Y78" s="23" t="n"/>
      <c r="Z78" s="23" t="n"/>
      <c r="AA78" s="23" t="n"/>
      <c r="AB78" s="23" t="n"/>
      <c r="AC78" s="23" t="n"/>
      <c r="AD78" s="23" t="n"/>
      <c r="AE78" s="23" t="n"/>
      <c r="AF78" s="23" t="n"/>
      <c r="AG78" s="23" t="n"/>
      <c r="AH78" s="23" t="n"/>
      <c r="AI78" s="23" t="n"/>
      <c r="AJ78" s="23" t="n"/>
      <c r="AK78" s="23" t="n"/>
      <c r="AL78" s="23" t="n"/>
      <c r="AM78" s="23" t="n"/>
      <c r="AN78" s="23" t="n"/>
      <c r="AO78" s="23" t="n"/>
      <c r="AP78" s="23" t="n"/>
      <c r="AQ78" s="23" t="n"/>
      <c r="AR78" s="23" t="n"/>
      <c r="AS78" s="23" t="n"/>
      <c r="AT78" s="23" t="n"/>
    </row>
    <row r="79" ht="15" customHeight="1">
      <c r="A79" s="23" t="n"/>
      <c r="B79" s="23" t="n"/>
      <c r="C79" s="23" t="n"/>
      <c r="D79" s="23" t="n"/>
      <c r="E79" s="23" t="n"/>
      <c r="F79" s="23" t="n"/>
      <c r="G79" s="23" t="n"/>
      <c r="H79" s="23" t="n"/>
      <c r="I79" s="23" t="n"/>
      <c r="J79" s="23" t="n"/>
      <c r="K79" s="23" t="n"/>
      <c r="L79" s="23" t="n"/>
      <c r="M79" s="23" t="n"/>
      <c r="N79" s="23" t="n"/>
      <c r="O79" s="23" t="n"/>
      <c r="P79" s="23" t="n"/>
      <c r="Q79" s="23" t="n"/>
      <c r="R79" s="23" t="n"/>
      <c r="S79" s="23" t="n"/>
      <c r="T79" s="23" t="n"/>
      <c r="U79" s="23" t="n"/>
      <c r="V79" s="23" t="n"/>
      <c r="W79" s="23" t="n"/>
      <c r="X79" s="23" t="n"/>
      <c r="Y79" s="23" t="n"/>
      <c r="Z79" s="23" t="n"/>
      <c r="AA79" s="23" t="n"/>
      <c r="AB79" s="23" t="n"/>
      <c r="AC79" s="23" t="n"/>
      <c r="AD79" s="23" t="n"/>
      <c r="AE79" s="23" t="n"/>
      <c r="AF79" s="23" t="n"/>
      <c r="AG79" s="23" t="n"/>
      <c r="AH79" s="23" t="n"/>
      <c r="AI79" s="23" t="n"/>
      <c r="AJ79" s="23" t="n"/>
      <c r="AK79" s="23" t="n"/>
      <c r="AL79" s="23" t="n"/>
      <c r="AM79" s="23" t="n"/>
      <c r="AN79" s="23" t="n"/>
      <c r="AO79" s="23" t="n"/>
      <c r="AP79" s="23" t="n"/>
      <c r="AQ79" s="23" t="n"/>
      <c r="AR79" s="23" t="n"/>
      <c r="AS79" s="23" t="n"/>
      <c r="AT79" s="23" t="n"/>
    </row>
    <row r="80" ht="15" customHeight="1">
      <c r="A80" s="23" t="n"/>
      <c r="B80" s="23" t="n"/>
      <c r="C80" s="23" t="n"/>
      <c r="D80" s="23" t="n"/>
      <c r="E80" s="23" t="n"/>
      <c r="F80" s="23" t="n"/>
      <c r="G80" s="23" t="n"/>
      <c r="H80" s="23" t="n"/>
      <c r="I80" s="23" t="n"/>
      <c r="J80" s="23" t="n"/>
      <c r="K80" s="23" t="n"/>
      <c r="L80" s="23" t="n"/>
      <c r="M80" s="23" t="n"/>
      <c r="N80" s="23" t="n"/>
      <c r="O80" s="23" t="n"/>
      <c r="P80" s="23" t="n"/>
      <c r="Q80" s="23" t="n"/>
      <c r="R80" s="23" t="n"/>
      <c r="S80" s="23" t="n"/>
      <c r="T80" s="23" t="n"/>
      <c r="U80" s="23" t="n"/>
      <c r="V80" s="23" t="n"/>
      <c r="W80" s="23" t="n"/>
      <c r="X80" s="23" t="n"/>
      <c r="Y80" s="23" t="n"/>
      <c r="Z80" s="23" t="n"/>
      <c r="AA80" s="23" t="n"/>
      <c r="AB80" s="23" t="n"/>
      <c r="AC80" s="23" t="n"/>
      <c r="AD80" s="23" t="n"/>
      <c r="AE80" s="23" t="n"/>
      <c r="AF80" s="23" t="n"/>
      <c r="AG80" s="23" t="n"/>
      <c r="AH80" s="23" t="n"/>
      <c r="AI80" s="23" t="n"/>
      <c r="AJ80" s="23" t="n"/>
      <c r="AK80" s="23" t="n"/>
      <c r="AL80" s="23" t="n"/>
      <c r="AM80" s="23" t="n"/>
      <c r="AN80" s="23" t="n"/>
      <c r="AO80" s="23" t="n"/>
      <c r="AP80" s="23" t="n"/>
      <c r="AQ80" s="23" t="n"/>
      <c r="AR80" s="23" t="n"/>
      <c r="AS80" s="23" t="n"/>
      <c r="AT80" s="23" t="n"/>
    </row>
    <row r="81" ht="15" customHeight="1">
      <c r="A81" s="23" t="n"/>
      <c r="B81" s="23" t="n"/>
      <c r="C81" s="23" t="n"/>
      <c r="D81" s="23" t="n"/>
      <c r="E81" s="23" t="n"/>
      <c r="F81" s="23" t="n"/>
      <c r="G81" s="23" t="n"/>
      <c r="H81" s="23" t="n"/>
      <c r="I81" s="23" t="n"/>
      <c r="J81" s="23" t="n"/>
      <c r="K81" s="23" t="n"/>
      <c r="L81" s="23" t="n"/>
      <c r="M81" s="23" t="n"/>
      <c r="N81" s="23" t="n"/>
      <c r="O81" s="23" t="n"/>
      <c r="P81" s="23" t="n"/>
      <c r="Q81" s="23" t="n"/>
      <c r="R81" s="23" t="n"/>
      <c r="S81" s="23" t="n"/>
      <c r="T81" s="23" t="n"/>
      <c r="U81" s="23" t="n"/>
      <c r="V81" s="23" t="n"/>
      <c r="W81" s="23" t="n"/>
      <c r="X81" s="23" t="n"/>
      <c r="Y81" s="23" t="n"/>
      <c r="Z81" s="23" t="n"/>
      <c r="AA81" s="23" t="n"/>
      <c r="AB81" s="23" t="n"/>
      <c r="AC81" s="23" t="n"/>
      <c r="AD81" s="23" t="n"/>
      <c r="AE81" s="23" t="n"/>
      <c r="AF81" s="23" t="n"/>
      <c r="AG81" s="23" t="n"/>
      <c r="AH81" s="23" t="n"/>
      <c r="AI81" s="23" t="n"/>
      <c r="AJ81" s="23" t="n"/>
      <c r="AK81" s="23" t="n"/>
      <c r="AL81" s="23" t="n"/>
      <c r="AM81" s="23" t="n"/>
      <c r="AN81" s="23" t="n"/>
      <c r="AO81" s="23" t="n"/>
      <c r="AP81" s="23" t="n"/>
      <c r="AQ81" s="23" t="n"/>
      <c r="AR81" s="23" t="n"/>
      <c r="AS81" s="23" t="n"/>
      <c r="AT81" s="23" t="n"/>
    </row>
    <row r="82" ht="15" customHeight="1">
      <c r="A82" s="23" t="n"/>
      <c r="B82" s="23" t="n"/>
      <c r="C82" s="23" t="n"/>
      <c r="D82" s="23" t="n"/>
      <c r="E82" s="23" t="n"/>
      <c r="F82" s="23" t="n"/>
      <c r="G82" s="23" t="n"/>
      <c r="H82" s="23" t="n"/>
      <c r="I82" s="23" t="n"/>
      <c r="J82" s="23" t="n"/>
      <c r="K82" s="23" t="n"/>
      <c r="L82" s="23" t="n"/>
      <c r="M82" s="23" t="n"/>
      <c r="N82" s="23" t="n"/>
      <c r="O82" s="23" t="n"/>
      <c r="P82" s="23" t="n"/>
      <c r="Q82" s="23" t="n"/>
      <c r="R82" s="23" t="n"/>
      <c r="S82" s="23" t="n"/>
      <c r="T82" s="23" t="n"/>
      <c r="U82" s="23" t="n"/>
      <c r="V82" s="23" t="n"/>
      <c r="W82" s="23" t="n"/>
      <c r="X82" s="23" t="n"/>
      <c r="Y82" s="23" t="n"/>
      <c r="Z82" s="23" t="n"/>
      <c r="AA82" s="23" t="n"/>
      <c r="AB82" s="23" t="n"/>
      <c r="AC82" s="23" t="n"/>
      <c r="AD82" s="23" t="n"/>
      <c r="AE82" s="23" t="n"/>
      <c r="AF82" s="23" t="n"/>
      <c r="AG82" s="23" t="n"/>
      <c r="AH82" s="23" t="n"/>
      <c r="AI82" s="23" t="n"/>
      <c r="AJ82" s="23" t="n"/>
      <c r="AK82" s="23" t="n"/>
      <c r="AL82" s="23" t="n"/>
      <c r="AM82" s="23" t="n"/>
      <c r="AN82" s="23" t="n"/>
      <c r="AO82" s="23" t="n"/>
      <c r="AP82" s="23" t="n"/>
      <c r="AQ82" s="23" t="n"/>
      <c r="AR82" s="23" t="n"/>
      <c r="AS82" s="23" t="n"/>
      <c r="AT82" s="23" t="n"/>
    </row>
    <row r="83" ht="15" customHeight="1">
      <c r="A83" s="23" t="n"/>
      <c r="B83" s="23" t="n"/>
      <c r="C83" s="23" t="n"/>
      <c r="D83" s="23" t="n"/>
      <c r="E83" s="23" t="n"/>
      <c r="F83" s="23" t="n"/>
      <c r="G83" s="23" t="n"/>
      <c r="H83" s="23" t="n"/>
      <c r="I83" s="23" t="n"/>
      <c r="J83" s="23" t="n"/>
      <c r="K83" s="23" t="n"/>
      <c r="L83" s="23" t="n"/>
      <c r="M83" s="23" t="n"/>
      <c r="N83" s="23" t="n"/>
      <c r="O83" s="23" t="n"/>
      <c r="P83" s="23" t="n"/>
      <c r="Q83" s="23" t="n"/>
      <c r="R83" s="23" t="n"/>
      <c r="S83" s="23" t="n"/>
      <c r="T83" s="23" t="n"/>
      <c r="U83" s="23" t="n"/>
      <c r="V83" s="23" t="n"/>
      <c r="W83" s="23" t="n"/>
      <c r="X83" s="23" t="n"/>
      <c r="Y83" s="23" t="n"/>
      <c r="Z83" s="23" t="n"/>
      <c r="AA83" s="23" t="n"/>
      <c r="AB83" s="23" t="n"/>
      <c r="AC83" s="23" t="n"/>
      <c r="AD83" s="23" t="n"/>
      <c r="AE83" s="23" t="n"/>
      <c r="AF83" s="23" t="n"/>
      <c r="AG83" s="23" t="n"/>
      <c r="AH83" s="23" t="n"/>
      <c r="AI83" s="23" t="n"/>
      <c r="AJ83" s="23" t="n"/>
      <c r="AK83" s="23" t="n"/>
      <c r="AL83" s="23" t="n"/>
      <c r="AM83" s="23" t="n"/>
      <c r="AN83" s="23" t="n"/>
      <c r="AO83" s="23" t="n"/>
      <c r="AP83" s="23" t="n"/>
      <c r="AQ83" s="23" t="n"/>
      <c r="AR83" s="23" t="n"/>
      <c r="AS83" s="23" t="n"/>
      <c r="AT83" s="23" t="n"/>
    </row>
    <row r="84" ht="15" customHeight="1">
      <c r="A84" s="23" t="n"/>
      <c r="B84" s="23" t="n"/>
      <c r="C84" s="23" t="n"/>
      <c r="D84" s="23" t="n"/>
      <c r="E84" s="23" t="n"/>
      <c r="F84" s="23" t="n"/>
      <c r="G84" s="23" t="n"/>
      <c r="H84" s="23" t="n"/>
      <c r="I84" s="23" t="n"/>
      <c r="J84" s="23" t="n"/>
      <c r="K84" s="23" t="n"/>
      <c r="L84" s="23" t="n"/>
      <c r="M84" s="23" t="n"/>
      <c r="N84" s="23" t="n"/>
      <c r="O84" s="23" t="n"/>
      <c r="P84" s="23" t="n"/>
      <c r="Q84" s="23" t="n"/>
      <c r="R84" s="23" t="n"/>
      <c r="S84" s="23" t="n"/>
      <c r="T84" s="23" t="n"/>
      <c r="U84" s="23" t="n"/>
      <c r="V84" s="23" t="n"/>
      <c r="W84" s="23" t="n"/>
      <c r="X84" s="23" t="n"/>
      <c r="Y84" s="23" t="n"/>
      <c r="Z84" s="23" t="n"/>
      <c r="AA84" s="23" t="n"/>
      <c r="AB84" s="23" t="n"/>
      <c r="AC84" s="23" t="n"/>
      <c r="AD84" s="23" t="n"/>
      <c r="AE84" s="23" t="n"/>
      <c r="AF84" s="23" t="n"/>
      <c r="AG84" s="23" t="n"/>
      <c r="AH84" s="23" t="n"/>
      <c r="AI84" s="23" t="n"/>
      <c r="AJ84" s="23" t="n"/>
      <c r="AK84" s="23" t="n"/>
      <c r="AL84" s="23" t="n"/>
      <c r="AM84" s="23" t="n"/>
      <c r="AN84" s="23" t="n"/>
      <c r="AO84" s="23" t="n"/>
      <c r="AP84" s="23" t="n"/>
      <c r="AQ84" s="23" t="n"/>
      <c r="AR84" s="23" t="n"/>
      <c r="AS84" s="23" t="n"/>
      <c r="AT84" s="23" t="n"/>
    </row>
    <row r="85" ht="15" customHeight="1">
      <c r="A85" s="23" t="n"/>
      <c r="B85" s="23" t="n"/>
      <c r="C85" s="23" t="n"/>
      <c r="D85" s="23" t="n"/>
      <c r="E85" s="23" t="n"/>
      <c r="F85" s="23" t="n"/>
      <c r="G85" s="23" t="n"/>
      <c r="H85" s="23" t="n"/>
      <c r="I85" s="23" t="n"/>
      <c r="J85" s="23" t="n"/>
      <c r="K85" s="23" t="n"/>
      <c r="L85" s="23" t="n"/>
      <c r="M85" s="23" t="n"/>
      <c r="N85" s="23" t="n"/>
      <c r="O85" s="23" t="n"/>
      <c r="P85" s="23" t="n"/>
      <c r="Q85" s="23" t="n"/>
      <c r="R85" s="23" t="n"/>
      <c r="S85" s="23" t="n"/>
      <c r="T85" s="23" t="n"/>
      <c r="U85" s="23" t="n"/>
      <c r="V85" s="23" t="n"/>
      <c r="W85" s="23" t="n"/>
      <c r="X85" s="23" t="n"/>
      <c r="Y85" s="23" t="n"/>
      <c r="Z85" s="23" t="n"/>
      <c r="AA85" s="23" t="n"/>
      <c r="AB85" s="23" t="n"/>
      <c r="AC85" s="23" t="n"/>
      <c r="AD85" s="23" t="n"/>
      <c r="AE85" s="23" t="n"/>
      <c r="AF85" s="23" t="n"/>
      <c r="AG85" s="23" t="n"/>
      <c r="AH85" s="23" t="n"/>
      <c r="AI85" s="23" t="n"/>
      <c r="AJ85" s="23" t="n"/>
      <c r="AK85" s="23" t="n"/>
      <c r="AL85" s="23" t="n"/>
      <c r="AM85" s="23" t="n"/>
      <c r="AN85" s="23" t="n"/>
      <c r="AO85" s="23" t="n"/>
      <c r="AP85" s="23" t="n"/>
      <c r="AQ85" s="23" t="n"/>
      <c r="AR85" s="23" t="n"/>
      <c r="AS85" s="23" t="n"/>
      <c r="AT85" s="23" t="n"/>
    </row>
    <row r="86" ht="15" customHeight="1">
      <c r="A86" s="23" t="n"/>
      <c r="B86" s="23" t="n"/>
      <c r="C86" s="23" t="n"/>
      <c r="D86" s="23" t="n"/>
      <c r="E86" s="23" t="n"/>
      <c r="F86" s="23" t="n"/>
      <c r="G86" s="23" t="n"/>
      <c r="H86" s="23" t="n"/>
      <c r="I86" s="23" t="n"/>
      <c r="J86" s="23" t="n"/>
      <c r="K86" s="23" t="n"/>
      <c r="L86" s="23" t="n"/>
      <c r="M86" s="23" t="n"/>
      <c r="N86" s="23" t="n"/>
      <c r="O86" s="23" t="n"/>
      <c r="P86" s="23" t="n"/>
      <c r="Q86" s="23" t="n"/>
      <c r="R86" s="23" t="n"/>
      <c r="S86" s="23" t="n"/>
      <c r="T86" s="23" t="n"/>
      <c r="U86" s="23" t="n"/>
      <c r="V86" s="23" t="n"/>
      <c r="W86" s="23" t="n"/>
      <c r="X86" s="23" t="n"/>
      <c r="Y86" s="23" t="n"/>
      <c r="Z86" s="23" t="n"/>
      <c r="AA86" s="23" t="n"/>
      <c r="AB86" s="23" t="n"/>
      <c r="AC86" s="23" t="n"/>
      <c r="AD86" s="23" t="n"/>
      <c r="AE86" s="23" t="n"/>
      <c r="AF86" s="23" t="n"/>
      <c r="AG86" s="23" t="n"/>
      <c r="AH86" s="23" t="n"/>
      <c r="AI86" s="23" t="n"/>
      <c r="AJ86" s="23" t="n"/>
      <c r="AK86" s="23" t="n"/>
      <c r="AL86" s="23" t="n"/>
      <c r="AM86" s="23" t="n"/>
      <c r="AN86" s="23" t="n"/>
      <c r="AO86" s="23" t="n"/>
      <c r="AP86" s="23" t="n"/>
      <c r="AQ86" s="23" t="n"/>
      <c r="AR86" s="23" t="n"/>
      <c r="AS86" s="23" t="n"/>
      <c r="AT86" s="23" t="n"/>
    </row>
    <row r="87" ht="15" customHeight="1">
      <c r="A87" s="23" t="n"/>
      <c r="B87" s="23" t="n"/>
      <c r="C87" s="23" t="n"/>
      <c r="D87" s="23" t="n"/>
      <c r="E87" s="23" t="n"/>
      <c r="F87" s="23" t="n"/>
      <c r="G87" s="23" t="n"/>
      <c r="H87" s="23" t="n"/>
      <c r="I87" s="23" t="n"/>
      <c r="J87" s="23" t="n"/>
      <c r="K87" s="23" t="n"/>
      <c r="L87" s="23" t="n"/>
      <c r="M87" s="23" t="n"/>
      <c r="N87" s="23" t="n"/>
      <c r="O87" s="23" t="n"/>
      <c r="P87" s="23" t="n"/>
      <c r="Q87" s="23" t="n"/>
      <c r="R87" s="23" t="n"/>
      <c r="S87" s="23" t="n"/>
      <c r="T87" s="23" t="n"/>
      <c r="U87" s="23" t="n"/>
      <c r="V87" s="23" t="n"/>
      <c r="W87" s="23" t="n"/>
      <c r="X87" s="23" t="n"/>
      <c r="Y87" s="23" t="n"/>
      <c r="Z87" s="23" t="n"/>
      <c r="AA87" s="23" t="n"/>
      <c r="AB87" s="23" t="n"/>
      <c r="AC87" s="23" t="n"/>
      <c r="AD87" s="23" t="n"/>
      <c r="AE87" s="23" t="n"/>
      <c r="AF87" s="23" t="n"/>
      <c r="AG87" s="23" t="n"/>
      <c r="AH87" s="23" t="n"/>
      <c r="AI87" s="23" t="n"/>
      <c r="AJ87" s="23" t="n"/>
      <c r="AK87" s="23" t="n"/>
      <c r="AL87" s="23" t="n"/>
      <c r="AM87" s="23" t="n"/>
      <c r="AN87" s="23" t="n"/>
      <c r="AO87" s="23" t="n"/>
      <c r="AP87" s="23" t="n"/>
      <c r="AQ87" s="23" t="n"/>
      <c r="AR87" s="23" t="n"/>
      <c r="AS87" s="23" t="n"/>
      <c r="AT87" s="23" t="n"/>
    </row>
    <row r="88" ht="15" customHeight="1">
      <c r="A88" s="23" t="n"/>
      <c r="B88" s="23" t="n"/>
      <c r="C88" s="23" t="n"/>
      <c r="D88" s="23" t="n"/>
      <c r="E88" s="23" t="n"/>
      <c r="F88" s="23" t="n"/>
      <c r="G88" s="23" t="n"/>
      <c r="H88" s="23" t="n"/>
      <c r="I88" s="23" t="n"/>
      <c r="J88" s="23" t="n"/>
      <c r="K88" s="23" t="n"/>
      <c r="L88" s="23" t="n"/>
      <c r="M88" s="23" t="n"/>
      <c r="N88" s="23" t="n"/>
      <c r="O88" s="23" t="n"/>
      <c r="P88" s="23" t="n"/>
      <c r="Q88" s="23" t="n"/>
      <c r="R88" s="23" t="n"/>
      <c r="S88" s="23" t="n"/>
      <c r="T88" s="23" t="n"/>
      <c r="U88" s="23" t="n"/>
      <c r="V88" s="23" t="n"/>
      <c r="W88" s="23" t="n"/>
      <c r="X88" s="23" t="n"/>
      <c r="Y88" s="23" t="n"/>
      <c r="Z88" s="23" t="n"/>
      <c r="AA88" s="23" t="n"/>
      <c r="AB88" s="23" t="n"/>
      <c r="AC88" s="23" t="n"/>
      <c r="AD88" s="23" t="n"/>
      <c r="AE88" s="23" t="n"/>
      <c r="AF88" s="23" t="n"/>
      <c r="AG88" s="23" t="n"/>
      <c r="AH88" s="23" t="n"/>
      <c r="AI88" s="23" t="n"/>
      <c r="AJ88" s="23" t="n"/>
      <c r="AK88" s="23" t="n"/>
      <c r="AL88" s="23" t="n"/>
      <c r="AM88" s="23" t="n"/>
      <c r="AN88" s="23" t="n"/>
      <c r="AO88" s="23" t="n"/>
      <c r="AP88" s="23" t="n"/>
      <c r="AQ88" s="23" t="n"/>
      <c r="AR88" s="23" t="n"/>
      <c r="AS88" s="23" t="n"/>
      <c r="AT88" s="23" t="n"/>
    </row>
    <row r="89" ht="15" customHeight="1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3" t="n"/>
      <c r="K89" s="23" t="n"/>
      <c r="L89" s="23" t="n"/>
      <c r="M89" s="23" t="n"/>
      <c r="N89" s="23" t="n"/>
      <c r="O89" s="23" t="n"/>
      <c r="P89" s="23" t="n"/>
      <c r="Q89" s="23" t="n"/>
      <c r="R89" s="23" t="n"/>
      <c r="S89" s="23" t="n"/>
      <c r="T89" s="23" t="n"/>
      <c r="U89" s="23" t="n"/>
      <c r="V89" s="23" t="n"/>
      <c r="W89" s="23" t="n"/>
      <c r="X89" s="23" t="n"/>
      <c r="Y89" s="23" t="n"/>
      <c r="Z89" s="23" t="n"/>
      <c r="AA89" s="23" t="n"/>
      <c r="AB89" s="23" t="n"/>
      <c r="AC89" s="23" t="n"/>
      <c r="AD89" s="23" t="n"/>
      <c r="AE89" s="23" t="n"/>
      <c r="AF89" s="23" t="n"/>
      <c r="AG89" s="23" t="n"/>
      <c r="AH89" s="23" t="n"/>
      <c r="AI89" s="23" t="n"/>
      <c r="AJ89" s="23" t="n"/>
      <c r="AK89" s="23" t="n"/>
      <c r="AL89" s="23" t="n"/>
      <c r="AM89" s="23" t="n"/>
      <c r="AN89" s="23" t="n"/>
      <c r="AO89" s="23" t="n"/>
      <c r="AP89" s="23" t="n"/>
      <c r="AQ89" s="23" t="n"/>
      <c r="AR89" s="23" t="n"/>
      <c r="AS89" s="23" t="n"/>
      <c r="AT89" s="23" t="n"/>
    </row>
    <row r="90">
      <c r="A90" s="23" t="n"/>
      <c r="B90" s="23" t="n"/>
      <c r="C90" s="23" t="n"/>
      <c r="D90" s="23" t="n"/>
      <c r="E90" s="23" t="n"/>
      <c r="F90" s="23" t="n"/>
      <c r="G90" s="23" t="n"/>
      <c r="H90" s="23" t="n"/>
      <c r="I90" s="23" t="n"/>
      <c r="J90" s="23" t="n"/>
      <c r="K90" s="23" t="n"/>
      <c r="L90" s="23" t="n"/>
      <c r="M90" s="23" t="n"/>
      <c r="N90" s="23" t="n"/>
      <c r="O90" s="23" t="n"/>
      <c r="P90" s="23" t="n"/>
      <c r="Q90" s="23" t="n"/>
      <c r="R90" s="23" t="n"/>
      <c r="S90" s="23" t="n"/>
      <c r="T90" s="23" t="n"/>
      <c r="U90" s="23" t="n"/>
      <c r="V90" s="23" t="n"/>
      <c r="W90" s="23" t="n"/>
      <c r="X90" s="23" t="n"/>
      <c r="Y90" s="23" t="n"/>
      <c r="Z90" s="23" t="n"/>
      <c r="AA90" s="23" t="n"/>
      <c r="AB90" s="23" t="n"/>
      <c r="AC90" s="23" t="n"/>
      <c r="AD90" s="23" t="n"/>
      <c r="AE90" s="23" t="n"/>
      <c r="AF90" s="23" t="n"/>
      <c r="AG90" s="23" t="n"/>
      <c r="AH90" s="23" t="n"/>
      <c r="AI90" s="23" t="n"/>
      <c r="AJ90" s="23" t="n"/>
      <c r="AK90" s="23" t="n"/>
      <c r="AL90" s="23" t="n"/>
      <c r="AM90" s="23" t="n"/>
      <c r="AN90" s="23" t="n"/>
      <c r="AO90" s="23" t="n"/>
      <c r="AP90" s="23" t="n"/>
      <c r="AQ90" s="23" t="n"/>
      <c r="AR90" s="23" t="n"/>
      <c r="AS90" s="23" t="n"/>
      <c r="AT90" s="23" t="n"/>
    </row>
  </sheetData>
  <mergeCells count="13">
    <mergeCell ref="A45:AT52"/>
    <mergeCell ref="A32:AT32"/>
    <mergeCell ref="A12:AT12"/>
    <mergeCell ref="A4:AT4"/>
    <mergeCell ref="A25:AT30"/>
    <mergeCell ref="A24:AT24"/>
    <mergeCell ref="A38:AT38"/>
    <mergeCell ref="A39:AT42"/>
    <mergeCell ref="A13:AT22"/>
    <mergeCell ref="A33:AT36"/>
    <mergeCell ref="A44:AT44"/>
    <mergeCell ref="A5:AT10"/>
    <mergeCell ref="A1:AT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B7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6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0" customWidth="1" min="23" max="23"/>
    <col width="10" customWidth="1" min="24" max="24"/>
    <col width="10" customWidth="1" min="25" max="25"/>
    <col width="10" customWidth="1" min="26" max="26"/>
    <col width="22" customWidth="1" min="28" max="28"/>
    <col width="16" customWidth="1" min="29" max="29"/>
    <col width="22" customWidth="1" min="53" max="53"/>
    <col width="14" customWidth="1" min="54" max="54"/>
  </cols>
  <sheetData>
    <row r="1" ht="15" customHeight="1">
      <c r="A1" s="74" t="inlineStr">
        <is>
          <t>VERSÃO DO CATÁLOGO</t>
        </is>
      </c>
      <c r="B1" s="75" t="inlineStr">
        <is>
          <t>0.104</t>
        </is>
      </c>
      <c r="C1" s="76" t="inlineStr">
        <is>
          <t>versão corrente (puxada da central)</t>
        </is>
      </c>
      <c r="D1" s="75" t="inlineStr">
        <is>
          <t>0.104</t>
        </is>
      </c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  <c r="O1" s="23" t="n"/>
      <c r="P1" s="23" t="n"/>
      <c r="Q1" s="23" t="n"/>
      <c r="R1" s="23" t="n"/>
      <c r="S1" s="23" t="n"/>
      <c r="T1" s="23" t="n"/>
      <c r="U1" s="23" t="n"/>
      <c r="V1" s="23" t="n"/>
      <c r="W1" s="23" t="n"/>
      <c r="X1" s="23" t="n"/>
      <c r="Y1" s="23" t="n"/>
      <c r="Z1" s="23" t="n"/>
      <c r="AA1" s="23" t="n"/>
      <c r="AB1" s="23" t="n"/>
      <c r="AC1" s="23" t="n"/>
      <c r="AD1" s="23" t="n"/>
    </row>
    <row r="2" ht="15" customHeight="1">
      <c r="A2" s="76" t="inlineStr">
        <is>
          <t>cole aqui o IMPORTRANGE da central em D1 quando ela existir; enquanto não existir, D1 fica igual a B1 e o aviso some</t>
        </is>
      </c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  <c r="O2" s="23" t="n"/>
      <c r="P2" s="23" t="n"/>
      <c r="Q2" s="23" t="n"/>
      <c r="R2" s="23" t="n"/>
      <c r="S2" s="23" t="n"/>
      <c r="T2" s="23" t="n"/>
      <c r="U2" s="23" t="n"/>
      <c r="V2" s="23" t="n"/>
      <c r="W2" s="23" t="n"/>
      <c r="X2" s="23" t="n"/>
      <c r="Y2" s="23" t="n"/>
      <c r="Z2" s="23" t="n"/>
      <c r="AA2" s="23" t="n"/>
      <c r="AB2" s="23" t="n"/>
      <c r="AC2" s="23" t="n"/>
      <c r="AD2" s="23" t="n"/>
    </row>
    <row r="3" ht="15" customHeight="1">
      <c r="A3" s="77" t="inlineStr">
        <is>
          <t>Caminhos</t>
        </is>
      </c>
      <c r="B3" s="77" t="inlineStr">
        <is>
          <t>Perícias</t>
        </is>
      </c>
      <c r="C3" s="77" t="inlineStr">
        <is>
          <t>Ofícios</t>
        </is>
      </c>
      <c r="D3" s="77" t="inlineStr">
        <is>
          <t>Famílias</t>
        </is>
      </c>
      <c r="E3" s="77" t="inlineStr">
        <is>
          <t>Formas</t>
        </is>
      </c>
      <c r="F3" s="77" t="inlineStr">
        <is>
          <t>Melhorias</t>
        </is>
      </c>
      <c r="G3" s="77" t="inlineStr">
        <is>
          <t>Restrições</t>
        </is>
      </c>
      <c r="H3" s="77" t="inlineStr">
        <is>
          <t>Condições</t>
        </is>
      </c>
      <c r="I3" s="77" t="inlineStr">
        <is>
          <t>Origens</t>
        </is>
      </c>
      <c r="J3" s="77" t="inlineStr">
        <is>
          <t>Testes</t>
        </is>
      </c>
      <c r="K3" s="77" t="inlineStr">
        <is>
          <t>Atributos</t>
        </is>
      </c>
      <c r="L3" s="77" t="inlineStr">
        <is>
          <t>Trilhas</t>
        </is>
      </c>
      <c r="M3" s="23" t="n"/>
      <c r="N3" s="77" t="inlineStr">
        <is>
          <t>tabela dos Caminhos</t>
        </is>
      </c>
      <c r="O3" s="23" t="n"/>
      <c r="P3" s="23" t="n"/>
      <c r="Q3" s="23" t="n"/>
      <c r="R3" s="23" t="n"/>
      <c r="S3" s="23" t="n"/>
      <c r="T3" s="23" t="n"/>
      <c r="U3" s="23" t="n"/>
      <c r="V3" s="23" t="n"/>
      <c r="W3" s="23" t="n"/>
      <c r="X3" s="23" t="n"/>
      <c r="Y3" s="23" t="n"/>
      <c r="Z3" s="23" t="n"/>
      <c r="AA3" s="23" t="n"/>
      <c r="AB3" s="23" t="n"/>
      <c r="AC3" s="23" t="n"/>
      <c r="AD3" s="23" t="n"/>
    </row>
    <row r="4" ht="15" customHeight="1">
      <c r="A4" s="78" t="inlineStr">
        <is>
          <t>Bastião</t>
        </is>
      </c>
      <c r="B4" s="78" t="inlineStr">
        <is>
          <t>Atletismo</t>
        </is>
      </c>
      <c r="C4" s="78" t="inlineStr">
        <is>
          <t>Condução</t>
        </is>
      </c>
      <c r="D4" s="78" t="inlineStr">
        <is>
          <t>Alcance</t>
        </is>
      </c>
      <c r="E4" s="78" t="inlineStr">
        <is>
          <t>Projétil</t>
        </is>
      </c>
      <c r="F4" s="78" t="inlineStr">
        <is>
          <t>Longe</t>
        </is>
      </c>
      <c r="G4" s="78" t="inlineStr">
        <is>
          <t>Corpo a Corpo</t>
        </is>
      </c>
      <c r="H4" s="78" t="inlineStr">
        <is>
          <t>Lento</t>
        </is>
      </c>
      <c r="I4" s="78" t="inlineStr">
        <is>
          <t>Latente</t>
        </is>
      </c>
      <c r="J4" s="78" t="inlineStr">
        <is>
          <t>Físico</t>
        </is>
      </c>
      <c r="K4" s="78" t="inlineStr">
        <is>
          <t>lista</t>
        </is>
      </c>
      <c r="L4" s="78" t="inlineStr">
        <is>
          <t>Muro</t>
        </is>
      </c>
      <c r="M4" s="23" t="n"/>
      <c r="N4" s="68" t="inlineStr">
        <is>
          <t>Caminho</t>
        </is>
      </c>
      <c r="O4" s="68" t="inlineStr">
        <is>
          <t>dado</t>
        </is>
      </c>
      <c r="P4" s="68" t="inlineStr">
        <is>
          <t>vida inicial</t>
        </is>
      </c>
      <c r="Q4" s="68" t="inlineStr">
        <is>
          <t>vida por nível</t>
        </is>
      </c>
      <c r="R4" s="68" t="inlineStr">
        <is>
          <t>PE por nível</t>
        </is>
      </c>
      <c r="S4" s="68" t="inlineStr">
        <is>
          <t>perícia fixa 1</t>
        </is>
      </c>
      <c r="T4" s="68" t="inlineStr">
        <is>
          <t>perícia fixa 2</t>
        </is>
      </c>
      <c r="U4" s="68" t="inlineStr">
        <is>
          <t>ofício fixo</t>
        </is>
      </c>
      <c r="V4" s="23" t="n"/>
      <c r="W4" s="68" t="inlineStr">
        <is>
          <t>marcos</t>
        </is>
      </c>
      <c r="X4" s="68" t="inlineStr">
        <is>
          <t>maestria</t>
        </is>
      </c>
      <c r="Y4" s="68" t="inlineStr">
        <is>
          <t>classe</t>
        </is>
      </c>
      <c r="Z4" s="68" t="inlineStr">
        <is>
          <t>classe 0</t>
        </is>
      </c>
      <c r="AA4" s="23" t="n"/>
      <c r="AB4" s="68" t="inlineStr">
        <is>
          <t>perícia</t>
        </is>
      </c>
      <c r="AC4" s="68" t="inlineStr">
        <is>
          <t>atributo</t>
        </is>
      </c>
      <c r="AD4" s="23" t="n"/>
      <c r="BA4" s="79" t="inlineStr">
        <is>
          <t>campo</t>
        </is>
      </c>
      <c r="BB4" s="79" t="inlineStr">
        <is>
          <t>célula</t>
        </is>
      </c>
    </row>
    <row r="5" ht="15" customHeight="1">
      <c r="A5" s="78" t="inlineStr">
        <is>
          <t>Vanguarda</t>
        </is>
      </c>
      <c r="B5" s="78" t="inlineStr">
        <is>
          <t>Acrobacia</t>
        </is>
      </c>
      <c r="C5" s="78" t="inlineStr">
        <is>
          <t>Arrombamento</t>
        </is>
      </c>
      <c r="D5" s="78" t="inlineStr">
        <is>
          <t>Área</t>
        </is>
      </c>
      <c r="E5" s="78" t="inlineStr">
        <is>
          <t>Toque</t>
        </is>
      </c>
      <c r="F5" s="78" t="inlineStr">
        <is>
          <t>Muito Longe</t>
        </is>
      </c>
      <c r="G5" s="78" t="inlineStr">
        <is>
          <t>Lento</t>
        </is>
      </c>
      <c r="H5" s="78" t="inlineStr">
        <is>
          <t>Incapacitado</t>
        </is>
      </c>
      <c r="I5" s="78" t="inlineStr">
        <is>
          <t>Receptáculo</t>
        </is>
      </c>
      <c r="J5" s="78" t="inlineStr">
        <is>
          <t>Vigor</t>
        </is>
      </c>
      <c r="K5" s="78" t="inlineStr">
        <is>
          <t>escala</t>
        </is>
      </c>
      <c r="L5" s="78" t="inlineStr">
        <is>
          <t>Punho</t>
        </is>
      </c>
      <c r="M5" s="23" t="n"/>
      <c r="N5" s="78" t="inlineStr">
        <is>
          <t>Bastião</t>
        </is>
      </c>
      <c r="O5" s="78" t="inlineStr">
        <is>
          <t>d12</t>
        </is>
      </c>
      <c r="P5" s="78" t="n">
        <v>12</v>
      </c>
      <c r="Q5" s="78" t="n">
        <v>7</v>
      </c>
      <c r="R5" s="78" t="n">
        <v>4</v>
      </c>
      <c r="S5" s="78" t="inlineStr">
        <is>
          <t>Atletismo</t>
        </is>
      </c>
      <c r="T5" s="78" t="inlineStr">
        <is>
          <t>Intimidação</t>
        </is>
      </c>
      <c r="U5" s="78" t="inlineStr">
        <is>
          <t>Forja</t>
        </is>
      </c>
      <c r="V5" s="23" t="n"/>
      <c r="W5" s="80" t="n">
        <v>6</v>
      </c>
      <c r="X5" s="80" t="n">
        <v>10</v>
      </c>
      <c r="Y5" s="80" t="n">
        <v>1</v>
      </c>
      <c r="Z5" s="80" t="n">
        <v>5</v>
      </c>
      <c r="AA5" s="23" t="n"/>
      <c r="AB5" s="78" t="inlineStr">
        <is>
          <t>Atletismo</t>
        </is>
      </c>
      <c r="AC5" s="78" t="inlineStr">
        <is>
          <t>Força</t>
        </is>
      </c>
      <c r="AD5" s="23" t="n"/>
      <c r="BA5" s="81" t="inlineStr">
        <is>
          <t>nome</t>
        </is>
      </c>
      <c r="BB5" s="81" t="inlineStr">
        <is>
          <t>D3</t>
        </is>
      </c>
    </row>
    <row r="6" ht="15" customHeight="1">
      <c r="A6" s="78" t="inlineStr">
        <is>
          <t>Guia</t>
        </is>
      </c>
      <c r="B6" s="78" t="inlineStr">
        <is>
          <t>Furtividade</t>
        </is>
      </c>
      <c r="C6" s="78" t="inlineStr">
        <is>
          <t>Herbalismo</t>
        </is>
      </c>
      <c r="D6" s="78" t="inlineStr">
        <is>
          <t>Mira</t>
        </is>
      </c>
      <c r="E6" s="78" t="inlineStr">
        <is>
          <t>Explosão</t>
        </is>
      </c>
      <c r="F6" s="78" t="inlineStr">
        <is>
          <t>Sem Ver</t>
        </is>
      </c>
      <c r="G6" s="78" t="inlineStr">
        <is>
          <t>Parado</t>
        </is>
      </c>
      <c r="H6" s="78" t="inlineStr">
        <is>
          <t>Derrubado</t>
        </is>
      </c>
      <c r="I6" s="78" t="inlineStr">
        <is>
          <t>Descendente</t>
        </is>
      </c>
      <c r="J6" s="78" t="inlineStr">
        <is>
          <t>Intelecto</t>
        </is>
      </c>
      <c r="K6" s="78" t="inlineStr">
        <is>
          <t>criacao</t>
        </is>
      </c>
      <c r="L6" s="78" t="inlineStr">
        <is>
          <t>Brasa</t>
        </is>
      </c>
      <c r="M6" s="23" t="n"/>
      <c r="N6" s="78" t="inlineStr">
        <is>
          <t>Vanguarda</t>
        </is>
      </c>
      <c r="O6" s="78" t="inlineStr">
        <is>
          <t>d8</t>
        </is>
      </c>
      <c r="P6" s="78" t="n">
        <v>8</v>
      </c>
      <c r="Q6" s="78" t="n">
        <v>5</v>
      </c>
      <c r="R6" s="78" t="n">
        <v>5</v>
      </c>
      <c r="S6" s="78" t="inlineStr">
        <is>
          <t>Acrobacia</t>
        </is>
      </c>
      <c r="T6" s="78" t="inlineStr">
        <is>
          <t>Percepção</t>
        </is>
      </c>
      <c r="U6" s="78" t="inlineStr">
        <is>
          <t>Arrombamento</t>
        </is>
      </c>
      <c r="V6" s="23" t="n"/>
      <c r="W6" s="80" t="n">
        <v>10</v>
      </c>
      <c r="X6" s="80" t="n">
        <v>18</v>
      </c>
      <c r="Y6" s="80" t="n">
        <v>5</v>
      </c>
      <c r="Z6" s="80" t="n">
        <v>11</v>
      </c>
      <c r="AA6" s="23" t="n"/>
      <c r="AB6" s="78" t="inlineStr">
        <is>
          <t>Acrobacia</t>
        </is>
      </c>
      <c r="AC6" s="78" t="inlineStr">
        <is>
          <t>Destreza</t>
        </is>
      </c>
      <c r="AD6" s="23" t="n"/>
      <c r="BA6" s="81" t="inlineStr">
        <is>
          <t>caminho</t>
        </is>
      </c>
      <c r="BB6" s="81" t="inlineStr">
        <is>
          <t>D11</t>
        </is>
      </c>
    </row>
    <row r="7" ht="15" customHeight="1">
      <c r="A7" s="78" t="inlineStr">
        <is>
          <t>Emanador</t>
        </is>
      </c>
      <c r="B7" s="78" t="inlineStr">
        <is>
          <t>Pontaria</t>
        </is>
      </c>
      <c r="C7" s="78" t="inlineStr">
        <is>
          <t>Forja</t>
        </is>
      </c>
      <c r="D7" s="78" t="inlineStr">
        <is>
          <t>Controle</t>
        </is>
      </c>
      <c r="E7" s="78" t="inlineStr">
        <is>
          <t>Aura</t>
        </is>
      </c>
      <c r="F7" s="78" t="inlineStr">
        <is>
          <t>Passo</t>
        </is>
      </c>
      <c r="G7" s="78" t="inlineStr">
        <is>
          <t>Gesto</t>
        </is>
      </c>
      <c r="H7" s="78" t="inlineStr">
        <is>
          <t>Agarrado</t>
        </is>
      </c>
      <c r="I7" s="78" t="inlineStr">
        <is>
          <t>Reencarnado</t>
        </is>
      </c>
      <c r="J7" s="78" t="inlineStr">
        <is>
          <t>Espírito</t>
        </is>
      </c>
      <c r="K7" s="78" t="inlineStr">
        <is>
          <t>nota</t>
        </is>
      </c>
      <c r="L7" s="78" t="inlineStr">
        <is>
          <t>Estocada</t>
        </is>
      </c>
      <c r="M7" s="23" t="n"/>
      <c r="N7" s="78" t="inlineStr">
        <is>
          <t>Guia</t>
        </is>
      </c>
      <c r="O7" s="78" t="inlineStr">
        <is>
          <t>d8</t>
        </is>
      </c>
      <c r="P7" s="78" t="n">
        <v>8</v>
      </c>
      <c r="Q7" s="78" t="n">
        <v>5</v>
      </c>
      <c r="R7" s="78" t="n">
        <v>5</v>
      </c>
      <c r="S7" s="78" t="inlineStr">
        <is>
          <t>Persuasão</t>
        </is>
      </c>
      <c r="T7" s="78" t="inlineStr">
        <is>
          <t>Medicina</t>
        </is>
      </c>
      <c r="U7" s="78" t="inlineStr">
        <is>
          <t>Herbalismo</t>
        </is>
      </c>
      <c r="V7" s="23" t="n"/>
      <c r="W7" s="80" t="n">
        <v>14</v>
      </c>
      <c r="X7" s="80" t="n">
        <v>26</v>
      </c>
      <c r="Y7" s="80" t="n">
        <v>9</v>
      </c>
      <c r="Z7" s="80" t="n">
        <v>17</v>
      </c>
      <c r="AA7" s="23" t="n"/>
      <c r="AB7" s="78" t="inlineStr">
        <is>
          <t>Furtividade</t>
        </is>
      </c>
      <c r="AC7" s="78" t="inlineStr">
        <is>
          <t>Destreza</t>
        </is>
      </c>
      <c r="AD7" s="23" t="n"/>
      <c r="BA7" s="81" t="inlineStr">
        <is>
          <t>trilha</t>
        </is>
      </c>
      <c r="BB7" s="81" t="inlineStr">
        <is>
          <t>N11</t>
        </is>
      </c>
    </row>
    <row r="8" ht="15" customHeight="1">
      <c r="A8" s="23" t="n"/>
      <c r="B8" s="78" t="inlineStr">
        <is>
          <t>Prestidigitação</t>
        </is>
      </c>
      <c r="C8" s="78" t="inlineStr">
        <is>
          <t>Caligrafia</t>
        </is>
      </c>
      <c r="D8" s="78" t="inlineStr">
        <is>
          <t>Auxiliares</t>
        </is>
      </c>
      <c r="E8" s="78" t="inlineStr">
        <is>
          <t>Cone</t>
        </is>
      </c>
      <c r="F8" s="78" t="inlineStr">
        <is>
          <t>Empurrão</t>
        </is>
      </c>
      <c r="G8" s="78" t="inlineStr">
        <is>
          <t>Sangra</t>
        </is>
      </c>
      <c r="H8" s="78" t="inlineStr">
        <is>
          <t>Desarmado</t>
        </is>
      </c>
      <c r="I8" s="78" t="inlineStr">
        <is>
          <t>Feto</t>
        </is>
      </c>
      <c r="J8" s="23" t="n"/>
      <c r="K8" s="78" t="inlineStr">
        <is>
          <t>pagina</t>
        </is>
      </c>
      <c r="L8" s="78" t="inlineStr">
        <is>
          <t>Batedor</t>
        </is>
      </c>
      <c r="M8" s="23" t="n"/>
      <c r="N8" s="78" t="inlineStr">
        <is>
          <t>Evocador</t>
        </is>
      </c>
      <c r="O8" s="78" t="inlineStr">
        <is>
          <t>d6</t>
        </is>
      </c>
      <c r="P8" s="78" t="n">
        <v>6</v>
      </c>
      <c r="Q8" s="78" t="n">
        <v>4</v>
      </c>
      <c r="R8" s="78" t="n">
        <v>6</v>
      </c>
      <c r="S8" s="78" t="inlineStr">
        <is>
          <t>Religião</t>
        </is>
      </c>
      <c r="T8" s="78" t="inlineStr">
        <is>
          <t>Lidar com Animais</t>
        </is>
      </c>
      <c r="U8" s="78" t="inlineStr">
        <is>
          <t>Entalhador</t>
        </is>
      </c>
      <c r="V8" s="23" t="n"/>
      <c r="W8" s="80" t="n">
        <v>18</v>
      </c>
      <c r="X8" s="23" t="n"/>
      <c r="Y8" s="80" t="n">
        <v>13</v>
      </c>
      <c r="Z8" s="23" t="n"/>
      <c r="AA8" s="23" t="n"/>
      <c r="AB8" s="78" t="inlineStr">
        <is>
          <t>Pontaria</t>
        </is>
      </c>
      <c r="AC8" s="78" t="inlineStr">
        <is>
          <t>Destreza</t>
        </is>
      </c>
      <c r="AD8" s="23" t="n"/>
      <c r="BA8" s="81" t="inlineStr">
        <is>
          <t>origem</t>
        </is>
      </c>
      <c r="BB8" s="81" t="inlineStr">
        <is>
          <t>X11</t>
        </is>
      </c>
    </row>
    <row r="9" ht="15" customHeight="1">
      <c r="A9" s="23" t="n"/>
      <c r="B9" s="78" t="inlineStr">
        <is>
          <t>Investigação</t>
        </is>
      </c>
      <c r="C9" s="78" t="inlineStr">
        <is>
          <t>Burocracia</t>
        </is>
      </c>
      <c r="D9" s="78" t="inlineStr">
        <is>
          <t>Castigo</t>
        </is>
      </c>
      <c r="E9" s="78" t="inlineStr">
        <is>
          <t>Linha</t>
        </is>
      </c>
      <c r="F9" s="78" t="inlineStr">
        <is>
          <t>Troca</t>
        </is>
      </c>
      <c r="G9" s="78" t="inlineStr">
        <is>
          <t>Recuo</t>
        </is>
      </c>
      <c r="H9" s="78" t="inlineStr">
        <is>
          <t>Surdo</t>
        </is>
      </c>
      <c r="I9" s="78" t="inlineStr">
        <is>
          <t>Corpo Amaldiçoado</t>
        </is>
      </c>
      <c r="J9" s="23" t="n"/>
      <c r="K9" s="23" t="n"/>
      <c r="L9" s="78" t="inlineStr">
        <is>
          <t>Executor</t>
        </is>
      </c>
      <c r="M9" s="23" t="n"/>
      <c r="N9" s="78" t="inlineStr">
        <is>
          <t>Emanador</t>
        </is>
      </c>
      <c r="O9" s="78" t="inlineStr">
        <is>
          <t>d6</t>
        </is>
      </c>
      <c r="P9" s="78" t="n">
        <v>6</v>
      </c>
      <c r="Q9" s="78" t="n">
        <v>4</v>
      </c>
      <c r="R9" s="78" t="n">
        <v>6</v>
      </c>
      <c r="S9" s="78" t="inlineStr">
        <is>
          <t>Ocultismo</t>
        </is>
      </c>
      <c r="T9" s="78" t="inlineStr">
        <is>
          <t>Investigação</t>
        </is>
      </c>
      <c r="U9" s="78" t="inlineStr">
        <is>
          <t>Caligrafia</t>
        </is>
      </c>
      <c r="V9" s="23" t="n"/>
      <c r="W9" s="80" t="n">
        <v>22</v>
      </c>
      <c r="X9" s="23" t="n"/>
      <c r="Y9" s="80" t="n">
        <v>17</v>
      </c>
      <c r="Z9" s="23" t="n"/>
      <c r="AA9" s="23" t="n"/>
      <c r="AB9" s="78" t="inlineStr">
        <is>
          <t>Prestidigitação</t>
        </is>
      </c>
      <c r="AC9" s="78" t="inlineStr">
        <is>
          <t>Destreza</t>
        </is>
      </c>
      <c r="AD9" s="23" t="n"/>
      <c r="BA9" s="81" t="inlineStr">
        <is>
          <t>nivel</t>
        </is>
      </c>
      <c r="BB9" s="81" t="inlineStr">
        <is>
          <t>AH11</t>
        </is>
      </c>
    </row>
    <row r="10" ht="15" customHeight="1">
      <c r="A10" s="23" t="n"/>
      <c r="B10" s="78" t="inlineStr">
        <is>
          <t>Intuição</t>
        </is>
      </c>
      <c r="C10" s="78" t="inlineStr">
        <is>
          <t>Entalhador</t>
        </is>
      </c>
      <c r="D10" s="78" t="inlineStr">
        <is>
          <t>Tempo</t>
        </is>
      </c>
      <c r="E10" s="78" t="inlineStr">
        <is>
          <t>Cura</t>
        </is>
      </c>
      <c r="F10" s="78" t="inlineStr">
        <is>
          <t>Perseguir</t>
        </is>
      </c>
      <c r="G10" s="78" t="inlineStr">
        <is>
          <t>Carregar</t>
        </is>
      </c>
      <c r="H10" s="78" t="inlineStr">
        <is>
          <t>Calado</t>
        </is>
      </c>
      <c r="I10" s="78" t="inlineStr">
        <is>
          <t>Restrição Celestial</t>
        </is>
      </c>
      <c r="J10" s="23" t="n"/>
      <c r="K10" s="23" t="n"/>
      <c r="L10" s="78" t="inlineStr">
        <is>
          <t>Elo</t>
        </is>
      </c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80" t="n">
        <v>26</v>
      </c>
      <c r="X10" s="23" t="n"/>
      <c r="Y10" s="80" t="n">
        <v>21</v>
      </c>
      <c r="Z10" s="23" t="n"/>
      <c r="AA10" s="23" t="n"/>
      <c r="AB10" s="78" t="inlineStr">
        <is>
          <t>Investigação</t>
        </is>
      </c>
      <c r="AC10" s="78" t="inlineStr">
        <is>
          <t>Inteligência</t>
        </is>
      </c>
      <c r="AD10" s="23" t="n"/>
      <c r="BA10" s="81" t="inlineStr">
        <is>
          <t>xp</t>
        </is>
      </c>
      <c r="BB10" s="81" t="inlineStr">
        <is>
          <t>AN11</t>
        </is>
      </c>
    </row>
    <row r="11" ht="15" customHeight="1">
      <c r="A11" s="23" t="n"/>
      <c r="B11" s="78" t="inlineStr">
        <is>
          <t>Ocultismo</t>
        </is>
      </c>
      <c r="C11" s="78" t="inlineStr">
        <is>
          <t>Alfaiate</t>
        </is>
      </c>
      <c r="D11" s="78" t="inlineStr">
        <is>
          <t>Marca</t>
        </is>
      </c>
      <c r="E11" s="78" t="inlineStr">
        <is>
          <t>Apoio</t>
        </is>
      </c>
      <c r="F11" s="78" t="inlineStr">
        <is>
          <t>Maior</t>
        </is>
      </c>
      <c r="G11" s="78" t="inlineStr">
        <is>
          <t>Tudo ou Nada</t>
        </is>
      </c>
      <c r="H11" s="78" t="inlineStr">
        <is>
          <t>Enfeitiçado</t>
        </is>
      </c>
      <c r="I11" s="23" t="n"/>
      <c r="J11" s="23" t="n"/>
      <c r="K11" s="23" t="n"/>
      <c r="L11" s="78" t="inlineStr">
        <is>
          <t>Sutura</t>
        </is>
      </c>
      <c r="M11" s="23" t="n"/>
      <c r="N11" s="23" t="n"/>
      <c r="O11" s="23" t="n"/>
      <c r="P11" s="23" t="n"/>
      <c r="Q11" s="23" t="n"/>
      <c r="R11" s="23" t="n"/>
      <c r="S11" s="23" t="n"/>
      <c r="T11" s="23" t="n"/>
      <c r="U11" s="23" t="n"/>
      <c r="V11" s="23" t="n"/>
      <c r="W11" s="80" t="n">
        <v>30</v>
      </c>
      <c r="X11" s="23" t="n"/>
      <c r="Y11" s="80" t="n">
        <v>26</v>
      </c>
      <c r="Z11" s="23" t="n"/>
      <c r="AA11" s="23" t="n"/>
      <c r="AB11" s="78" t="inlineStr">
        <is>
          <t>Intuição</t>
        </is>
      </c>
      <c r="AC11" s="78" t="inlineStr">
        <is>
          <t>Inteligência</t>
        </is>
      </c>
      <c r="AD11" s="23" t="n"/>
      <c r="BA11" s="81" t="inlineStr">
        <is>
          <t>atr_Força</t>
        </is>
      </c>
      <c r="BB11" s="81" t="inlineStr">
        <is>
          <t>D17</t>
        </is>
      </c>
    </row>
    <row r="12" ht="15" customHeight="1">
      <c r="A12" s="23" t="n"/>
      <c r="B12" s="78" t="inlineStr">
        <is>
          <t>Religião</t>
        </is>
      </c>
      <c r="C12" s="78" t="inlineStr">
        <is>
          <t>Culinária</t>
        </is>
      </c>
      <c r="D12" s="78" t="inlineStr">
        <is>
          <t>Amparo</t>
        </is>
      </c>
      <c r="E12" s="78" t="inlineStr">
        <is>
          <t>Onda</t>
        </is>
      </c>
      <c r="F12" s="78" t="inlineStr">
        <is>
          <t>Muito Maior</t>
        </is>
      </c>
      <c r="G12" s="78" t="inlineStr">
        <is>
          <t>Uma Vez</t>
        </is>
      </c>
      <c r="H12" s="78" t="inlineStr">
        <is>
          <t>Petrificado</t>
        </is>
      </c>
      <c r="I12" s="23" t="n"/>
      <c r="J12" s="23" t="n"/>
      <c r="K12" s="23" t="n"/>
      <c r="L12" s="78" t="inlineStr">
        <is>
          <t>Perímetro</t>
        </is>
      </c>
      <c r="M12" s="23" t="n"/>
      <c r="N12" s="23" t="n"/>
      <c r="O12" s="23" t="n"/>
      <c r="P12" s="23" t="n"/>
      <c r="Q12" s="23" t="n"/>
      <c r="R12" s="23" t="n"/>
      <c r="S12" s="23" t="n"/>
      <c r="T12" s="23" t="n"/>
      <c r="U12" s="23" t="n"/>
      <c r="V12" s="23" t="n"/>
      <c r="W12" s="23" t="n"/>
      <c r="X12" s="23" t="n"/>
      <c r="Y12" s="23" t="n"/>
      <c r="Z12" s="23" t="n"/>
      <c r="AA12" s="23" t="n"/>
      <c r="AB12" s="78" t="inlineStr">
        <is>
          <t>Ocultismo</t>
        </is>
      </c>
      <c r="AC12" s="78" t="inlineStr">
        <is>
          <t>Inteligência</t>
        </is>
      </c>
      <c r="AD12" s="23" t="n"/>
      <c r="BA12" s="81" t="inlineStr">
        <is>
          <t>atr_Destreza</t>
        </is>
      </c>
      <c r="BB12" s="81" t="inlineStr">
        <is>
          <t>L17</t>
        </is>
      </c>
    </row>
    <row r="13" ht="15" customHeight="1">
      <c r="A13" s="23" t="n"/>
      <c r="B13" s="78" t="inlineStr">
        <is>
          <t>História</t>
        </is>
      </c>
      <c r="C13" s="78" t="inlineStr">
        <is>
          <t>Instrumento</t>
        </is>
      </c>
      <c r="D13" s="23" t="n"/>
      <c r="E13" s="78" t="inlineStr">
        <is>
          <t>Efeito</t>
        </is>
      </c>
      <c r="F13" s="78" t="inlineStr">
        <is>
          <t>Escolher</t>
        </is>
      </c>
      <c r="G13" s="78" t="inlineStr">
        <is>
          <t>Condicional</t>
        </is>
      </c>
      <c r="H13" s="78" t="inlineStr">
        <is>
          <t>Impedido</t>
        </is>
      </c>
      <c r="I13" s="23" t="n"/>
      <c r="J13" s="23" t="n"/>
      <c r="K13" s="23" t="n"/>
      <c r="L13" s="78" t="inlineStr">
        <is>
          <t>Torrente</t>
        </is>
      </c>
      <c r="M13" s="23" t="n"/>
      <c r="N13" s="23" t="n"/>
      <c r="O13" s="23" t="n"/>
      <c r="P13" s="23" t="n"/>
      <c r="Q13" s="23" t="n"/>
      <c r="R13" s="23" t="n"/>
      <c r="S13" s="23" t="n"/>
      <c r="T13" s="23" t="n"/>
      <c r="U13" s="23" t="n"/>
      <c r="V13" s="23" t="n"/>
      <c r="W13" s="23" t="n"/>
      <c r="X13" s="23" t="n"/>
      <c r="Y13" s="23" t="n"/>
      <c r="Z13" s="23" t="n"/>
      <c r="AA13" s="23" t="n"/>
      <c r="AB13" s="78" t="inlineStr">
        <is>
          <t>Religião</t>
        </is>
      </c>
      <c r="AC13" s="78" t="inlineStr">
        <is>
          <t>Inteligência</t>
        </is>
      </c>
      <c r="AD13" s="23" t="n"/>
      <c r="BA13" s="81" t="inlineStr">
        <is>
          <t>atr_Constituição</t>
        </is>
      </c>
      <c r="BB13" s="81" t="inlineStr">
        <is>
          <t>T17</t>
        </is>
      </c>
    </row>
    <row r="14" ht="15" customHeight="1">
      <c r="A14" s="23" t="n"/>
      <c r="B14" s="78" t="inlineStr">
        <is>
          <t>Hierarquia</t>
        </is>
      </c>
      <c r="C14" s="78" t="inlineStr">
        <is>
          <t>Jogatina</t>
        </is>
      </c>
      <c r="D14" s="23" t="n"/>
      <c r="E14" s="23" t="n"/>
      <c r="F14" s="78" t="inlineStr">
        <is>
          <t>Fica</t>
        </is>
      </c>
      <c r="G14" s="78" t="inlineStr">
        <is>
          <t>Fraqueza</t>
        </is>
      </c>
      <c r="H14" s="78" t="inlineStr">
        <is>
          <t>Cego</t>
        </is>
      </c>
      <c r="I14" s="23" t="n"/>
      <c r="J14" s="23" t="n"/>
      <c r="K14" s="23" t="n"/>
      <c r="L14" s="78" t="inlineStr">
        <is>
          <t>Explosivo</t>
        </is>
      </c>
      <c r="M14" s="23" t="n"/>
      <c r="N14" s="23" t="n"/>
      <c r="O14" s="23" t="n"/>
      <c r="P14" s="23" t="n"/>
      <c r="Q14" s="23" t="n"/>
      <c r="R14" s="23" t="n"/>
      <c r="S14" s="23" t="n"/>
      <c r="T14" s="23" t="n"/>
      <c r="U14" s="23" t="n"/>
      <c r="V14" s="23" t="n"/>
      <c r="W14" s="23" t="n"/>
      <c r="X14" s="23" t="n"/>
      <c r="Y14" s="23" t="n"/>
      <c r="Z14" s="23" t="n"/>
      <c r="AA14" s="23" t="n"/>
      <c r="AB14" s="78" t="inlineStr">
        <is>
          <t>História</t>
        </is>
      </c>
      <c r="AC14" s="78" t="inlineStr">
        <is>
          <t>Inteligência</t>
        </is>
      </c>
      <c r="AD14" s="23" t="n"/>
      <c r="BA14" s="81" t="inlineStr">
        <is>
          <t>atr_Inteligência</t>
        </is>
      </c>
      <c r="BB14" s="81" t="inlineStr">
        <is>
          <t>AB17</t>
        </is>
      </c>
    </row>
    <row r="15" ht="15" customHeight="1">
      <c r="A15" s="23" t="n"/>
      <c r="B15" s="78" t="inlineStr">
        <is>
          <t>Medicina</t>
        </is>
      </c>
      <c r="C15" s="23" t="n"/>
      <c r="D15" s="23" t="n"/>
      <c r="E15" s="23" t="n"/>
      <c r="F15" s="78" t="inlineStr">
        <is>
          <t>Mais Um</t>
        </is>
      </c>
      <c r="G15" s="78" t="inlineStr">
        <is>
          <t>Frágil</t>
        </is>
      </c>
      <c r="H15" s="78" t="inlineStr">
        <is>
          <t>Amedrontado</t>
        </is>
      </c>
      <c r="I15" s="23" t="n"/>
      <c r="J15" s="23" t="n"/>
      <c r="K15" s="23" t="n"/>
      <c r="L15" s="78" t="inlineStr">
        <is>
          <t>Arremate</t>
        </is>
      </c>
      <c r="M15" s="23" t="n"/>
      <c r="N15" s="23" t="n"/>
      <c r="O15" s="23" t="n"/>
      <c r="P15" s="23" t="n"/>
      <c r="Q15" s="23" t="n"/>
      <c r="R15" s="23" t="n"/>
      <c r="S15" s="23" t="n"/>
      <c r="T15" s="23" t="n"/>
      <c r="U15" s="23" t="n"/>
      <c r="V15" s="23" t="n"/>
      <c r="W15" s="23" t="n"/>
      <c r="X15" s="23" t="n"/>
      <c r="Y15" s="23" t="n"/>
      <c r="Z15" s="23" t="n"/>
      <c r="AA15" s="23" t="n"/>
      <c r="AB15" s="78" t="inlineStr">
        <is>
          <t>Hierarquia</t>
        </is>
      </c>
      <c r="AC15" s="78" t="inlineStr">
        <is>
          <t>Inteligência</t>
        </is>
      </c>
      <c r="AD15" s="23" t="n"/>
      <c r="BA15" s="81" t="inlineStr">
        <is>
          <t>atr_Essência</t>
        </is>
      </c>
      <c r="BB15" s="81" t="inlineStr">
        <is>
          <t>AJ17</t>
        </is>
      </c>
    </row>
    <row r="16" ht="15" customHeight="1">
      <c r="A16" s="23" t="n"/>
      <c r="B16" s="78" t="inlineStr">
        <is>
          <t>Sobrevivência</t>
        </is>
      </c>
      <c r="C16" s="23" t="n"/>
      <c r="D16" s="23" t="n"/>
      <c r="E16" s="23" t="n"/>
      <c r="F16" s="78" t="inlineStr">
        <is>
          <t>Rajada</t>
        </is>
      </c>
      <c r="G16" s="78" t="inlineStr">
        <is>
          <t>Barulho</t>
        </is>
      </c>
      <c r="H16" s="78" t="inlineStr">
        <is>
          <t>Envenenado</t>
        </is>
      </c>
      <c r="I16" s="23" t="n"/>
      <c r="J16" s="23" t="n"/>
      <c r="K16" s="23" t="n"/>
      <c r="L16" s="78" t="inlineStr">
        <is>
          <t>Servo</t>
        </is>
      </c>
      <c r="M16" s="23" t="n"/>
      <c r="N16" s="23" t="n"/>
      <c r="O16" s="23" t="n"/>
      <c r="P16" s="23" t="n"/>
      <c r="Q16" s="23" t="n"/>
      <c r="R16" s="23" t="n"/>
      <c r="S16" s="23" t="n"/>
      <c r="T16" s="23" t="n"/>
      <c r="U16" s="23" t="n"/>
      <c r="V16" s="23" t="n"/>
      <c r="W16" s="23" t="n"/>
      <c r="X16" s="23" t="n"/>
      <c r="Y16" s="23" t="n"/>
      <c r="Z16" s="23" t="n"/>
      <c r="AA16" s="23" t="n"/>
      <c r="AB16" s="78" t="inlineStr">
        <is>
          <t>Medicina</t>
        </is>
      </c>
      <c r="AC16" s="78" t="inlineStr">
        <is>
          <t>Inteligência</t>
        </is>
      </c>
      <c r="AD16" s="23" t="n"/>
      <c r="BA16" s="81" t="inlineStr">
        <is>
          <t>vida</t>
        </is>
      </c>
      <c r="BB16" s="81" t="inlineStr">
        <is>
          <t>D23</t>
        </is>
      </c>
    </row>
    <row r="17" ht="15" customHeight="1">
      <c r="A17" s="23" t="n"/>
      <c r="B17" s="78" t="inlineStr">
        <is>
          <t>Natureza</t>
        </is>
      </c>
      <c r="C17" s="23" t="n"/>
      <c r="D17" s="23" t="n"/>
      <c r="E17" s="23" t="n"/>
      <c r="F17" s="78" t="inlineStr">
        <is>
          <t>Salto</t>
        </is>
      </c>
      <c r="G17" s="78" t="inlineStr">
        <is>
          <t>Assinatura</t>
        </is>
      </c>
      <c r="H17" s="78" t="inlineStr">
        <is>
          <t>Atordoado</t>
        </is>
      </c>
      <c r="I17" s="23" t="n"/>
      <c r="J17" s="23" t="n"/>
      <c r="K17" s="23" t="n"/>
      <c r="L17" s="78" t="inlineStr">
        <is>
          <t>Matilha</t>
        </is>
      </c>
      <c r="M17" s="23" t="n"/>
      <c r="N17" s="23" t="n"/>
      <c r="O17" s="23" t="n"/>
      <c r="P17" s="23" t="n"/>
      <c r="Q17" s="23" t="n"/>
      <c r="R17" s="23" t="n"/>
      <c r="S17" s="23" t="n"/>
      <c r="T17" s="23" t="n"/>
      <c r="U17" s="23" t="n"/>
      <c r="V17" s="23" t="n"/>
      <c r="W17" s="23" t="n"/>
      <c r="X17" s="23" t="n"/>
      <c r="Y17" s="23" t="n"/>
      <c r="Z17" s="23" t="n"/>
      <c r="AA17" s="23" t="n"/>
      <c r="AB17" s="78" t="inlineStr">
        <is>
          <t>Sobrevivência</t>
        </is>
      </c>
      <c r="AC17" s="78" t="inlineStr">
        <is>
          <t>Inteligência</t>
        </is>
      </c>
      <c r="AD17" s="23" t="n"/>
      <c r="BA17" s="81" t="inlineStr">
        <is>
          <t>vida_max</t>
        </is>
      </c>
      <c r="BB17" s="81" t="inlineStr">
        <is>
          <t>J23</t>
        </is>
      </c>
    </row>
    <row r="18" ht="15" customHeight="1">
      <c r="A18" s="23" t="n"/>
      <c r="B18" s="78" t="inlineStr">
        <is>
          <t>Lidar com Animais</t>
        </is>
      </c>
      <c r="C18" s="23" t="n"/>
      <c r="D18" s="23" t="n"/>
      <c r="E18" s="23" t="n"/>
      <c r="F18" s="78" t="inlineStr">
        <is>
          <t>Contorno</t>
        </is>
      </c>
      <c r="G18" s="78" t="inlineStr">
        <is>
          <t>Aquecer</t>
        </is>
      </c>
      <c r="H18" s="23" t="n"/>
      <c r="I18" s="23" t="n"/>
      <c r="J18" s="23" t="n"/>
      <c r="K18" s="23" t="n"/>
      <c r="L18" s="78" t="inlineStr">
        <is>
          <t>Coro</t>
        </is>
      </c>
      <c r="M18" s="23" t="n"/>
      <c r="N18" s="23" t="n"/>
      <c r="O18" s="23" t="n"/>
      <c r="P18" s="23" t="n"/>
      <c r="Q18" s="23" t="n"/>
      <c r="R18" s="23" t="n"/>
      <c r="S18" s="23" t="n"/>
      <c r="T18" s="23" t="n"/>
      <c r="U18" s="23" t="n"/>
      <c r="V18" s="23" t="n"/>
      <c r="W18" s="23" t="n"/>
      <c r="X18" s="23" t="n"/>
      <c r="Y18" s="23" t="n"/>
      <c r="Z18" s="23" t="n"/>
      <c r="AA18" s="23" t="n"/>
      <c r="AB18" s="78" t="inlineStr">
        <is>
          <t>Natureza</t>
        </is>
      </c>
      <c r="AC18" s="78" t="inlineStr">
        <is>
          <t>Inteligência</t>
        </is>
      </c>
      <c r="AD18" s="23" t="n"/>
      <c r="BA18" s="81" t="inlineStr">
        <is>
          <t>vida_temp</t>
        </is>
      </c>
      <c r="BB18" s="81" t="inlineStr">
        <is>
          <t>AF23</t>
        </is>
      </c>
    </row>
    <row r="19" ht="15" customHeight="1">
      <c r="A19" s="23" t="n"/>
      <c r="B19" s="78" t="inlineStr">
        <is>
          <t>Tecnologia</t>
        </is>
      </c>
      <c r="C19" s="23" t="n"/>
      <c r="D19" s="23" t="n"/>
      <c r="E19" s="23" t="n"/>
      <c r="F19" s="78" t="inlineStr">
        <is>
          <t>Precisão</t>
        </is>
      </c>
      <c r="G19" s="78" t="inlineStr">
        <is>
          <t>Dívida</t>
        </is>
      </c>
      <c r="H19" s="23" t="n"/>
      <c r="I19" s="23" t="n"/>
      <c r="J19" s="23" t="n"/>
      <c r="K19" s="23" t="n"/>
      <c r="L19" s="23" t="n"/>
      <c r="M19" s="23" t="n"/>
      <c r="N19" s="23" t="n"/>
      <c r="O19" s="23" t="n"/>
      <c r="P19" s="23" t="n"/>
      <c r="Q19" s="23" t="n"/>
      <c r="R19" s="23" t="n"/>
      <c r="S19" s="23" t="n"/>
      <c r="T19" s="23" t="n"/>
      <c r="U19" s="23" t="n"/>
      <c r="V19" s="23" t="n"/>
      <c r="W19" s="23" t="n"/>
      <c r="X19" s="23" t="n"/>
      <c r="Y19" s="23" t="n"/>
      <c r="Z19" s="23" t="n"/>
      <c r="AA19" s="23" t="n"/>
      <c r="AB19" s="78" t="inlineStr">
        <is>
          <t>Lidar com Animais</t>
        </is>
      </c>
      <c r="AC19" s="78" t="inlineStr">
        <is>
          <t>Inteligência</t>
        </is>
      </c>
      <c r="AD19" s="23" t="n"/>
      <c r="BA19" s="81" t="inlineStr">
        <is>
          <t>vida_delta</t>
        </is>
      </c>
      <c r="BB19" s="81" t="inlineStr">
        <is>
          <t>AM23</t>
        </is>
      </c>
    </row>
    <row r="20" ht="15" customHeight="1">
      <c r="A20" s="23" t="n"/>
      <c r="B20" s="78" t="inlineStr">
        <is>
          <t>Sentir Energia</t>
        </is>
      </c>
      <c r="C20" s="23" t="n"/>
      <c r="D20" s="23" t="n"/>
      <c r="E20" s="23" t="n"/>
      <c r="F20" s="78" t="inlineStr">
        <is>
          <t>Certeiro</t>
        </is>
      </c>
      <c r="G20" s="78" t="inlineStr">
        <is>
          <t>Peso Morto</t>
        </is>
      </c>
      <c r="H20" s="23" t="n"/>
      <c r="I20" s="23" t="n"/>
      <c r="J20" s="23" t="n"/>
      <c r="K20" s="23" t="n"/>
      <c r="L20" s="23" t="n"/>
      <c r="M20" s="23" t="n"/>
      <c r="N20" s="23" t="n"/>
      <c r="O20" s="23" t="n"/>
      <c r="P20" s="23" t="n"/>
      <c r="Q20" s="23" t="n"/>
      <c r="R20" s="23" t="n"/>
      <c r="S20" s="23" t="n"/>
      <c r="T20" s="23" t="n"/>
      <c r="U20" s="23" t="n"/>
      <c r="V20" s="23" t="n"/>
      <c r="W20" s="23" t="n"/>
      <c r="X20" s="23" t="n"/>
      <c r="Y20" s="23" t="n"/>
      <c r="Z20" s="23" t="n"/>
      <c r="AA20" s="23" t="n"/>
      <c r="AB20" s="78" t="inlineStr">
        <is>
          <t>Tecnologia</t>
        </is>
      </c>
      <c r="AC20" s="78" t="inlineStr">
        <is>
          <t>Inteligência</t>
        </is>
      </c>
      <c r="AD20" s="23" t="n"/>
      <c r="BA20" s="81" t="inlineStr">
        <is>
          <t>energia</t>
        </is>
      </c>
      <c r="BB20" s="81" t="inlineStr">
        <is>
          <t>D27</t>
        </is>
      </c>
    </row>
    <row r="21" ht="15" customHeight="1">
      <c r="A21" s="23" t="n"/>
      <c r="B21" s="78" t="inlineStr">
        <is>
          <t>Percepção</t>
        </is>
      </c>
      <c r="C21" s="23" t="n"/>
      <c r="D21" s="23" t="n"/>
      <c r="E21" s="23" t="n"/>
      <c r="F21" s="78" t="inlineStr">
        <is>
          <t>Inescapável</t>
        </is>
      </c>
      <c r="G21" s="78" t="inlineStr">
        <is>
          <t>Sem Volta</t>
        </is>
      </c>
      <c r="H21" s="23" t="n"/>
      <c r="I21" s="23" t="n"/>
      <c r="J21" s="23" t="n"/>
      <c r="K21" s="23" t="n"/>
      <c r="L21" s="23" t="n"/>
      <c r="M21" s="23" t="n"/>
      <c r="N21" s="23" t="n"/>
      <c r="O21" s="23" t="n"/>
      <c r="P21" s="23" t="n"/>
      <c r="Q21" s="23" t="n"/>
      <c r="R21" s="23" t="n"/>
      <c r="S21" s="23" t="n"/>
      <c r="T21" s="23" t="n"/>
      <c r="U21" s="23" t="n"/>
      <c r="V21" s="23" t="n"/>
      <c r="W21" s="23" t="n"/>
      <c r="X21" s="23" t="n"/>
      <c r="Y21" s="23" t="n"/>
      <c r="Z21" s="23" t="n"/>
      <c r="AA21" s="23" t="n"/>
      <c r="AB21" s="78" t="inlineStr">
        <is>
          <t>Sentir Energia</t>
        </is>
      </c>
      <c r="AC21" s="78" t="inlineStr">
        <is>
          <t>Essência</t>
        </is>
      </c>
      <c r="AD21" s="23" t="n"/>
      <c r="BA21" s="81" t="inlineStr">
        <is>
          <t>energia_max</t>
        </is>
      </c>
      <c r="BB21" s="81" t="inlineStr">
        <is>
          <t>J27</t>
        </is>
      </c>
    </row>
    <row r="22" ht="15" customHeight="1">
      <c r="A22" s="23" t="n"/>
      <c r="B22" s="78" t="inlineStr">
        <is>
          <t>Persuasão</t>
        </is>
      </c>
      <c r="C22" s="23" t="n"/>
      <c r="D22" s="23" t="n"/>
      <c r="E22" s="23" t="n"/>
      <c r="F22" s="78" t="inlineStr">
        <is>
          <t>Fura</t>
        </is>
      </c>
      <c r="G22" s="78" t="inlineStr">
        <is>
          <t>Restrição Própria</t>
        </is>
      </c>
      <c r="H22" s="23" t="n"/>
      <c r="I22" s="23" t="n"/>
      <c r="J22" s="23" t="n"/>
      <c r="K22" s="23" t="n"/>
      <c r="L22" s="23" t="n"/>
      <c r="M22" s="23" t="n"/>
      <c r="N22" s="23" t="n"/>
      <c r="O22" s="23" t="n"/>
      <c r="P22" s="23" t="n"/>
      <c r="Q22" s="23" t="n"/>
      <c r="R22" s="23" t="n"/>
      <c r="S22" s="23" t="n"/>
      <c r="T22" s="23" t="n"/>
      <c r="U22" s="23" t="n"/>
      <c r="V22" s="23" t="n"/>
      <c r="W22" s="23" t="n"/>
      <c r="X22" s="23" t="n"/>
      <c r="Y22" s="23" t="n"/>
      <c r="Z22" s="23" t="n"/>
      <c r="AA22" s="23" t="n"/>
      <c r="AB22" s="78" t="inlineStr">
        <is>
          <t>Percepção</t>
        </is>
      </c>
      <c r="AC22" s="78" t="inlineStr">
        <is>
          <t>Essência</t>
        </is>
      </c>
      <c r="AD22" s="23" t="n"/>
      <c r="BA22" s="81" t="inlineStr">
        <is>
          <t>energia_temp</t>
        </is>
      </c>
      <c r="BB22" s="81" t="inlineStr">
        <is>
          <t>AF27</t>
        </is>
      </c>
    </row>
    <row r="23" ht="15" customHeight="1">
      <c r="A23" s="23" t="n"/>
      <c r="B23" s="78" t="inlineStr">
        <is>
          <t>Enganação</t>
        </is>
      </c>
      <c r="C23" s="23" t="n"/>
      <c r="D23" s="23" t="n"/>
      <c r="E23" s="23" t="n"/>
      <c r="F23" s="78" t="inlineStr">
        <is>
          <t>Corrói</t>
        </is>
      </c>
      <c r="G23" s="23" t="n"/>
      <c r="H23" s="23" t="n"/>
      <c r="I23" s="23" t="n"/>
      <c r="J23" s="23" t="n"/>
      <c r="K23" s="23" t="n"/>
      <c r="L23" s="23" t="n"/>
      <c r="M23" s="23" t="n"/>
      <c r="N23" s="23" t="n"/>
      <c r="O23" s="23" t="n"/>
      <c r="P23" s="23" t="n"/>
      <c r="Q23" s="23" t="n"/>
      <c r="R23" s="23" t="n"/>
      <c r="S23" s="23" t="n"/>
      <c r="T23" s="23" t="n"/>
      <c r="U23" s="23" t="n"/>
      <c r="V23" s="23" t="n"/>
      <c r="W23" s="23" t="n"/>
      <c r="X23" s="23" t="n"/>
      <c r="Y23" s="23" t="n"/>
      <c r="Z23" s="23" t="n"/>
      <c r="AA23" s="23" t="n"/>
      <c r="AB23" s="78" t="inlineStr">
        <is>
          <t>Persuasão</t>
        </is>
      </c>
      <c r="AC23" s="78" t="inlineStr">
        <is>
          <t>Essência</t>
        </is>
      </c>
      <c r="AD23" s="23" t="n"/>
      <c r="BA23" s="81" t="inlineStr">
        <is>
          <t>energia_delta</t>
        </is>
      </c>
      <c r="BB23" s="81" t="inlineStr">
        <is>
          <t>AM27</t>
        </is>
      </c>
    </row>
    <row r="24" ht="15" customHeight="1">
      <c r="A24" s="23" t="n"/>
      <c r="B24" s="78" t="inlineStr">
        <is>
          <t>Intimidação</t>
        </is>
      </c>
      <c r="C24" s="23" t="n"/>
      <c r="D24" s="23" t="n"/>
      <c r="E24" s="23" t="n"/>
      <c r="F24" s="78" t="inlineStr">
        <is>
          <t>Sem Cobertura</t>
        </is>
      </c>
      <c r="G24" s="23" t="n"/>
      <c r="H24" s="23" t="n"/>
      <c r="I24" s="23" t="n"/>
      <c r="J24" s="23" t="n"/>
      <c r="K24" s="23" t="n"/>
      <c r="L24" s="23" t="n"/>
      <c r="M24" s="23" t="n"/>
      <c r="N24" s="23" t="n"/>
      <c r="O24" s="23" t="n"/>
      <c r="P24" s="23" t="n"/>
      <c r="Q24" s="23" t="n"/>
      <c r="R24" s="23" t="n"/>
      <c r="S24" s="23" t="n"/>
      <c r="T24" s="23" t="n"/>
      <c r="U24" s="23" t="n"/>
      <c r="V24" s="23" t="n"/>
      <c r="W24" s="23" t="n"/>
      <c r="X24" s="23" t="n"/>
      <c r="Y24" s="23" t="n"/>
      <c r="Z24" s="23" t="n"/>
      <c r="AA24" s="23" t="n"/>
      <c r="AB24" s="78" t="inlineStr">
        <is>
          <t>Enganação</t>
        </is>
      </c>
      <c r="AC24" s="78" t="inlineStr">
        <is>
          <t>Essência</t>
        </is>
      </c>
      <c r="AD24" s="23" t="n"/>
      <c r="BA24" s="81" t="inlineStr">
        <is>
          <t>integridade</t>
        </is>
      </c>
      <c r="BB24" s="81" t="inlineStr">
        <is>
          <t>D31</t>
        </is>
      </c>
    </row>
    <row r="25" ht="15" customHeight="1">
      <c r="A25" s="23" t="n"/>
      <c r="B25" s="78" t="inlineStr">
        <is>
          <t>Atuação</t>
        </is>
      </c>
      <c r="C25" s="23" t="n"/>
      <c r="D25" s="23" t="n"/>
      <c r="E25" s="23" t="n"/>
      <c r="F25" s="78" t="inlineStr">
        <is>
          <t>De Novo</t>
        </is>
      </c>
      <c r="G25" s="23" t="n"/>
      <c r="H25" s="23" t="n"/>
      <c r="I25" s="23" t="n"/>
      <c r="J25" s="23" t="n"/>
      <c r="K25" s="23" t="n"/>
      <c r="L25" s="23" t="n"/>
      <c r="M25" s="23" t="n"/>
      <c r="N25" s="23" t="n"/>
      <c r="O25" s="23" t="n"/>
      <c r="P25" s="23" t="n"/>
      <c r="Q25" s="23" t="n"/>
      <c r="R25" s="23" t="n"/>
      <c r="S25" s="23" t="n"/>
      <c r="T25" s="23" t="n"/>
      <c r="U25" s="23" t="n"/>
      <c r="V25" s="23" t="n"/>
      <c r="W25" s="23" t="n"/>
      <c r="X25" s="23" t="n"/>
      <c r="Y25" s="23" t="n"/>
      <c r="Z25" s="23" t="n"/>
      <c r="AA25" s="23" t="n"/>
      <c r="AB25" s="78" t="inlineStr">
        <is>
          <t>Intimidação</t>
        </is>
      </c>
      <c r="AC25" s="78" t="inlineStr">
        <is>
          <t>Essência</t>
        </is>
      </c>
      <c r="AD25" s="23" t="n"/>
      <c r="BA25" s="81" t="inlineStr">
        <is>
          <t>integridade_max</t>
        </is>
      </c>
      <c r="BB25" s="81" t="inlineStr">
        <is>
          <t>J31</t>
        </is>
      </c>
    </row>
    <row r="26" ht="15" customHeight="1">
      <c r="A26" s="23" t="n"/>
      <c r="B26" s="78" t="inlineStr">
        <is>
          <t>Provocar</t>
        </is>
      </c>
      <c r="C26" s="23" t="n"/>
      <c r="D26" s="23" t="n"/>
      <c r="E26" s="23" t="n"/>
      <c r="F26" s="78" t="inlineStr">
        <is>
          <t>Toca a Alma</t>
        </is>
      </c>
      <c r="G26" s="23" t="n"/>
      <c r="H26" s="23" t="n"/>
      <c r="I26" s="23" t="n"/>
      <c r="J26" s="23" t="n"/>
      <c r="K26" s="23" t="n"/>
      <c r="L26" s="23" t="n"/>
      <c r="M26" s="23" t="n"/>
      <c r="N26" s="23" t="n"/>
      <c r="O26" s="23" t="n"/>
      <c r="P26" s="23" t="n"/>
      <c r="Q26" s="23" t="n"/>
      <c r="R26" s="23" t="n"/>
      <c r="S26" s="23" t="n"/>
      <c r="T26" s="23" t="n"/>
      <c r="U26" s="23" t="n"/>
      <c r="V26" s="23" t="n"/>
      <c r="W26" s="23" t="n"/>
      <c r="X26" s="23" t="n"/>
      <c r="Y26" s="23" t="n"/>
      <c r="Z26" s="23" t="n"/>
      <c r="AA26" s="23" t="n"/>
      <c r="AB26" s="78" t="inlineStr">
        <is>
          <t>Atuação</t>
        </is>
      </c>
      <c r="AC26" s="78" t="inlineStr">
        <is>
          <t>Essência</t>
        </is>
      </c>
      <c r="AD26" s="23" t="n"/>
      <c r="BA26" s="81" t="inlineStr">
        <is>
          <t>integridade_temp</t>
        </is>
      </c>
      <c r="BB26" s="81" t="inlineStr">
        <is>
          <t>AF31</t>
        </is>
      </c>
    </row>
    <row r="27" ht="15" customHeight="1">
      <c r="A27" s="23" t="n"/>
      <c r="B27" s="23" t="n"/>
      <c r="C27" s="23" t="n"/>
      <c r="D27" s="23" t="n"/>
      <c r="E27" s="23" t="n"/>
      <c r="F27" s="78" t="inlineStr">
        <is>
          <t>Terreno</t>
        </is>
      </c>
      <c r="G27" s="23" t="n"/>
      <c r="H27" s="23" t="n"/>
      <c r="I27" s="23" t="n"/>
      <c r="J27" s="23" t="n"/>
      <c r="K27" s="23" t="n"/>
      <c r="L27" s="23" t="n"/>
      <c r="M27" s="23" t="n"/>
      <c r="N27" s="23" t="n"/>
      <c r="O27" s="23" t="n"/>
      <c r="P27" s="23" t="n"/>
      <c r="Q27" s="23" t="n"/>
      <c r="R27" s="23" t="n"/>
      <c r="S27" s="23" t="n"/>
      <c r="T27" s="23" t="n"/>
      <c r="U27" s="23" t="n"/>
      <c r="V27" s="23" t="n"/>
      <c r="W27" s="23" t="n"/>
      <c r="X27" s="23" t="n"/>
      <c r="Y27" s="23" t="n"/>
      <c r="Z27" s="23" t="n"/>
      <c r="AA27" s="23" t="n"/>
      <c r="AB27" s="78" t="inlineStr">
        <is>
          <t>Provocar</t>
        </is>
      </c>
      <c r="AC27" s="78" t="inlineStr">
        <is>
          <t>Essência</t>
        </is>
      </c>
      <c r="AD27" s="23" t="n"/>
      <c r="BA27" s="81" t="inlineStr">
        <is>
          <t>integridade_delta</t>
        </is>
      </c>
      <c r="BB27" s="81" t="inlineStr">
        <is>
          <t>AM31</t>
        </is>
      </c>
    </row>
    <row r="28" ht="15" customHeight="1">
      <c r="A28" s="23" t="n"/>
      <c r="B28" s="23" t="n"/>
      <c r="C28" s="23" t="n"/>
      <c r="D28" s="23" t="n"/>
      <c r="E28" s="23" t="n"/>
      <c r="F28" s="78" t="inlineStr">
        <is>
          <t>Anteparo</t>
        </is>
      </c>
      <c r="G28" s="23" t="n"/>
      <c r="H28" s="23" t="n"/>
      <c r="I28" s="23" t="n"/>
      <c r="J28" s="23" t="n"/>
      <c r="K28" s="23" t="n"/>
      <c r="L28" s="23" t="n"/>
      <c r="M28" s="23" t="n"/>
      <c r="N28" s="23" t="n"/>
      <c r="O28" s="23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3" t="n"/>
      <c r="Z28" s="23" t="n"/>
      <c r="AA28" s="23" t="n"/>
      <c r="AB28" s="23" t="n"/>
      <c r="AC28" s="23" t="n"/>
      <c r="AD28" s="23" t="n"/>
      <c r="BA28" s="81" t="inlineStr">
        <is>
          <t>estagio_alma</t>
        </is>
      </c>
      <c r="BB28" s="81" t="inlineStr">
        <is>
          <t>D34</t>
        </is>
      </c>
    </row>
    <row r="29" ht="15" customHeight="1">
      <c r="A29" s="23" t="n"/>
      <c r="B29" s="23" t="n"/>
      <c r="C29" s="23" t="n"/>
      <c r="D29" s="23" t="n"/>
      <c r="E29" s="23" t="n"/>
      <c r="F29" s="78" t="inlineStr">
        <is>
          <t>Prende</t>
        </is>
      </c>
      <c r="G29" s="23" t="n"/>
      <c r="H29" s="23" t="n"/>
      <c r="I29" s="23" t="n"/>
      <c r="J29" s="23" t="n"/>
      <c r="K29" s="23" t="n"/>
      <c r="L29" s="23" t="n"/>
      <c r="M29" s="23" t="n"/>
      <c r="N29" s="23" t="n"/>
      <c r="O29" s="23" t="n"/>
      <c r="P29" s="23" t="n"/>
      <c r="Q29" s="23" t="n"/>
      <c r="R29" s="23" t="n"/>
      <c r="S29" s="23" t="n"/>
      <c r="T29" s="23" t="n"/>
      <c r="U29" s="23" t="n"/>
      <c r="V29" s="23" t="n"/>
      <c r="W29" s="23" t="n"/>
      <c r="X29" s="23" t="n"/>
      <c r="Y29" s="23" t="n"/>
      <c r="Z29" s="23" t="n"/>
      <c r="AA29" s="23" t="n"/>
      <c r="AB29" s="23" t="n"/>
      <c r="AC29" s="23" t="n"/>
      <c r="AD29" s="23" t="n"/>
      <c r="BA29" s="81" t="inlineStr">
        <is>
          <t>defesa</t>
        </is>
      </c>
      <c r="BB29" s="81" t="inlineStr">
        <is>
          <t>D40</t>
        </is>
      </c>
    </row>
    <row r="30" ht="15" customHeight="1">
      <c r="A30" s="23" t="n"/>
      <c r="B30" s="23" t="n"/>
      <c r="C30" s="23" t="n"/>
      <c r="D30" s="23" t="n"/>
      <c r="E30" s="23" t="n"/>
      <c r="F30" s="78" t="inlineStr">
        <is>
          <t>Cerca</t>
        </is>
      </c>
      <c r="G30" s="23" t="n"/>
      <c r="H30" s="23" t="n"/>
      <c r="I30" s="23" t="n"/>
      <c r="J30" s="23" t="n"/>
      <c r="K30" s="23" t="n"/>
      <c r="L30" s="23" t="n"/>
      <c r="M30" s="23" t="n"/>
      <c r="N30" s="23" t="n"/>
      <c r="O30" s="23" t="n"/>
      <c r="P30" s="23" t="n"/>
      <c r="Q30" s="23" t="n"/>
      <c r="R30" s="23" t="n"/>
      <c r="S30" s="23" t="n"/>
      <c r="T30" s="23" t="n"/>
      <c r="U30" s="23" t="n"/>
      <c r="V30" s="23" t="n"/>
      <c r="W30" s="23" t="n"/>
      <c r="X30" s="23" t="n"/>
      <c r="Y30" s="23" t="n"/>
      <c r="Z30" s="23" t="n"/>
      <c r="AA30" s="23" t="n"/>
      <c r="AB30" s="23" t="n"/>
      <c r="AC30" s="23" t="n"/>
      <c r="AD30" s="23" t="n"/>
      <c r="BA30" s="81" t="inlineStr">
        <is>
          <t>proteção</t>
        </is>
      </c>
      <c r="BB30" s="81" t="inlineStr">
        <is>
          <t>O40</t>
        </is>
      </c>
    </row>
    <row r="31" ht="15" customHeight="1">
      <c r="A31" s="23" t="n"/>
      <c r="B31" s="23" t="n"/>
      <c r="C31" s="23" t="n"/>
      <c r="D31" s="23" t="n"/>
      <c r="E31" s="23" t="n"/>
      <c r="F31" s="78" t="inlineStr">
        <is>
          <t>Puxa</t>
        </is>
      </c>
      <c r="G31" s="23" t="n"/>
      <c r="H31" s="23" t="n"/>
      <c r="I31" s="23" t="n"/>
      <c r="J31" s="23" t="n"/>
      <c r="K31" s="23" t="n"/>
      <c r="L31" s="23" t="n"/>
      <c r="M31" s="23" t="n"/>
      <c r="N31" s="23" t="n"/>
      <c r="O31" s="23" t="n"/>
      <c r="P31" s="23" t="n"/>
      <c r="Q31" s="23" t="n"/>
      <c r="R31" s="23" t="n"/>
      <c r="S31" s="23" t="n"/>
      <c r="T31" s="23" t="n"/>
      <c r="U31" s="23" t="n"/>
      <c r="V31" s="23" t="n"/>
      <c r="W31" s="23" t="n"/>
      <c r="X31" s="23" t="n"/>
      <c r="Y31" s="23" t="n"/>
      <c r="Z31" s="23" t="n"/>
      <c r="AA31" s="23" t="n"/>
      <c r="AB31" s="23" t="n"/>
      <c r="AC31" s="23" t="n"/>
      <c r="AD31" s="23" t="n"/>
      <c r="BA31" s="81" t="inlineStr">
        <is>
          <t>equipamento</t>
        </is>
      </c>
      <c r="BB31" s="81" t="inlineStr">
        <is>
          <t>Z40</t>
        </is>
      </c>
    </row>
    <row r="32" ht="15" customHeight="1">
      <c r="A32" s="23" t="n"/>
      <c r="B32" s="23" t="n"/>
      <c r="C32" s="23" t="n"/>
      <c r="D32" s="23" t="n"/>
      <c r="E32" s="23" t="n"/>
      <c r="F32" s="78" t="inlineStr">
        <is>
          <t>Desarma o Feitiço</t>
        </is>
      </c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BA32" s="81" t="inlineStr">
        <is>
          <t>iniciativa</t>
        </is>
      </c>
      <c r="BB32" s="81" t="inlineStr">
        <is>
          <t>AK40</t>
        </is>
      </c>
    </row>
    <row r="33" ht="15" customHeight="1">
      <c r="A33" s="23" t="n"/>
      <c r="B33" s="23" t="n"/>
      <c r="C33" s="23" t="n"/>
      <c r="D33" s="23" t="n"/>
      <c r="E33" s="23" t="n"/>
      <c r="F33" s="78" t="inlineStr">
        <is>
          <t>Nível</t>
        </is>
      </c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BA33" s="81" t="inlineStr">
        <is>
          <t>cd de feitiço</t>
        </is>
      </c>
      <c r="BB33" s="81" t="inlineStr">
        <is>
          <t>D44</t>
        </is>
      </c>
    </row>
    <row r="34" ht="15" customHeight="1">
      <c r="A34" s="23" t="n"/>
      <c r="B34" s="23" t="n"/>
      <c r="C34" s="23" t="n"/>
      <c r="D34" s="23" t="n"/>
      <c r="E34" s="23" t="n"/>
      <c r="F34" s="78" t="inlineStr">
        <is>
          <t>Impulso</t>
        </is>
      </c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BA34" s="81" t="inlineStr">
        <is>
          <t>conjuração</t>
        </is>
      </c>
      <c r="BB34" s="81" t="inlineStr">
        <is>
          <t>O44</t>
        </is>
      </c>
    </row>
    <row r="35" ht="15" customHeight="1">
      <c r="A35" s="23" t="n"/>
      <c r="B35" s="23" t="n"/>
      <c r="C35" s="23" t="n"/>
      <c r="D35" s="23" t="n"/>
      <c r="E35" s="23" t="n"/>
      <c r="F35" s="78" t="inlineStr">
        <is>
          <t>Trava</t>
        </is>
      </c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BA35" s="81" t="inlineStr">
        <is>
          <t>corpo a corpo</t>
        </is>
      </c>
      <c r="BB35" s="81" t="inlineStr">
        <is>
          <t>Z44</t>
        </is>
      </c>
    </row>
    <row r="36" ht="15" customHeight="1">
      <c r="A36" s="23" t="n"/>
      <c r="B36" s="23" t="n"/>
      <c r="C36" s="23" t="n"/>
      <c r="D36" s="23" t="n"/>
      <c r="E36" s="23" t="n"/>
      <c r="F36" s="78" t="inlineStr">
        <is>
          <t>Abre Ferida</t>
        </is>
      </c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BA36" s="81" t="inlineStr">
        <is>
          <t>à distância</t>
        </is>
      </c>
      <c r="BB36" s="81" t="inlineStr">
        <is>
          <t>AK44</t>
        </is>
      </c>
    </row>
    <row r="37" ht="15" customHeight="1">
      <c r="A37" s="23" t="n"/>
      <c r="B37" s="23" t="n"/>
      <c r="C37" s="23" t="n"/>
      <c r="D37" s="23" t="n"/>
      <c r="E37" s="23" t="n"/>
      <c r="F37" s="78" t="inlineStr">
        <is>
          <t>Sobrecarga</t>
        </is>
      </c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BA37" s="81" t="inlineStr">
        <is>
          <t>maestria</t>
        </is>
      </c>
      <c r="BB37" s="81" t="inlineStr">
        <is>
          <t>D48</t>
        </is>
      </c>
    </row>
    <row r="38" ht="15" customHeight="1">
      <c r="A38" s="23" t="n"/>
      <c r="B38" s="23" t="n"/>
      <c r="C38" s="23" t="n"/>
      <c r="D38" s="23" t="n"/>
      <c r="E38" s="23" t="n"/>
      <c r="F38" s="78" t="inlineStr">
        <is>
          <t>Firmeza</t>
        </is>
      </c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BA38" s="81" t="inlineStr">
        <is>
          <t>deslocamento</t>
        </is>
      </c>
      <c r="BB38" s="81" t="inlineStr">
        <is>
          <t>O48</t>
        </is>
      </c>
    </row>
    <row r="39" ht="15" customHeight="1">
      <c r="A39" s="23" t="n"/>
      <c r="B39" s="23" t="n"/>
      <c r="C39" s="23" t="n"/>
      <c r="D39" s="23" t="n"/>
      <c r="E39" s="23" t="n"/>
      <c r="F39" s="78" t="inlineStr">
        <is>
          <t>Guarda</t>
        </is>
      </c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BA39" s="81" t="inlineStr">
        <is>
          <t>espaços de feitiço</t>
        </is>
      </c>
      <c r="BB39" s="81" t="inlineStr">
        <is>
          <t>D54</t>
        </is>
      </c>
    </row>
    <row r="40" ht="15" customHeight="1">
      <c r="A40" s="23" t="n"/>
      <c r="B40" s="23" t="n"/>
      <c r="C40" s="23" t="n"/>
      <c r="D40" s="23" t="n"/>
      <c r="E40" s="23" t="n"/>
      <c r="F40" s="78" t="inlineStr">
        <is>
          <t>Pressa</t>
        </is>
      </c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  <c r="BA40" s="81" t="inlineStr">
        <is>
          <t>refino de graça</t>
        </is>
      </c>
      <c r="BB40" s="81" t="inlineStr">
        <is>
          <t>O54</t>
        </is>
      </c>
    </row>
    <row r="41" ht="15" customHeight="1">
      <c r="A41" s="23" t="n"/>
      <c r="B41" s="23" t="n"/>
      <c r="C41" s="23" t="n"/>
      <c r="D41" s="23" t="n"/>
      <c r="E41" s="23" t="n"/>
      <c r="F41" s="78" t="inlineStr">
        <is>
          <t>Enfraquece</t>
        </is>
      </c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  <c r="BA41" s="81" t="inlineStr">
        <is>
          <t>classe máxima</t>
        </is>
      </c>
      <c r="BB41" s="81" t="inlineStr">
        <is>
          <t>Z54</t>
        </is>
      </c>
    </row>
    <row r="42" ht="15" customHeight="1">
      <c r="A42" s="23" t="n"/>
      <c r="B42" s="23" t="n"/>
      <c r="C42" s="23" t="n"/>
      <c r="D42" s="23" t="n"/>
      <c r="E42" s="23" t="n"/>
      <c r="F42" s="78" t="inlineStr">
        <is>
          <t>Ecoa</t>
        </is>
      </c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  <c r="BA42" s="81" t="inlineStr">
        <is>
          <t>classe 0 grátis</t>
        </is>
      </c>
      <c r="BB42" s="81" t="inlineStr">
        <is>
          <t>AK54</t>
        </is>
      </c>
    </row>
    <row r="43" ht="15" customHeight="1">
      <c r="A43" s="23" t="n"/>
      <c r="B43" s="23" t="n"/>
      <c r="C43" s="23" t="n"/>
      <c r="D43" s="23" t="n"/>
      <c r="E43" s="23" t="n"/>
      <c r="F43" s="78" t="inlineStr">
        <is>
          <t>Queima</t>
        </is>
      </c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" customHeight="1">
      <c r="A44" s="23" t="n"/>
      <c r="B44" s="23" t="n"/>
      <c r="C44" s="23" t="n"/>
      <c r="D44" s="23" t="n"/>
      <c r="E44" s="23" t="n"/>
      <c r="F44" s="78" t="inlineStr">
        <is>
          <t>Acúmulo</t>
        </is>
      </c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  <c r="AD44" s="23" t="n"/>
    </row>
    <row r="45" ht="15" customHeight="1">
      <c r="A45" s="23" t="n"/>
      <c r="B45" s="23" t="n"/>
      <c r="C45" s="23" t="n"/>
      <c r="D45" s="23" t="n"/>
      <c r="E45" s="23" t="n"/>
      <c r="F45" s="78" t="inlineStr">
        <is>
          <t>Remate</t>
        </is>
      </c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  <c r="AD45" s="23" t="n"/>
    </row>
    <row r="46" ht="15" customHeight="1">
      <c r="A46" s="23" t="n"/>
      <c r="B46" s="23" t="n"/>
      <c r="C46" s="23" t="n"/>
      <c r="D46" s="23" t="n"/>
      <c r="E46" s="23" t="n"/>
      <c r="F46" s="78" t="inlineStr">
        <is>
          <t>Estilhaço</t>
        </is>
      </c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  <c r="AD46" s="23" t="n"/>
    </row>
    <row r="47" ht="15" customHeight="1">
      <c r="A47" s="23" t="n"/>
      <c r="B47" s="23" t="n"/>
      <c r="C47" s="23" t="n"/>
      <c r="D47" s="23" t="n"/>
      <c r="E47" s="23" t="n"/>
      <c r="F47" s="78" t="inlineStr">
        <is>
          <t>Quebra Coisa</t>
        </is>
      </c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  <c r="AD47" s="23" t="n"/>
    </row>
    <row r="48" ht="15" customHeight="1">
      <c r="A48" s="23" t="n"/>
      <c r="B48" s="23" t="n"/>
      <c r="C48" s="23" t="n"/>
      <c r="D48" s="23" t="n"/>
      <c r="E48" s="23" t="n"/>
      <c r="F48" s="78" t="inlineStr">
        <is>
          <t>Rasga Escudo</t>
        </is>
      </c>
      <c r="G48" s="23" t="n"/>
      <c r="H48" s="23" t="n"/>
      <c r="I48" s="23" t="n"/>
      <c r="J48" s="23" t="n"/>
      <c r="K48" s="23" t="n"/>
      <c r="L48" s="23" t="n"/>
      <c r="M48" s="23" t="n"/>
      <c r="N48" s="23" t="n"/>
      <c r="O48" s="23" t="n"/>
      <c r="P48" s="23" t="n"/>
      <c r="Q48" s="23" t="n"/>
      <c r="R48" s="23" t="n"/>
      <c r="S48" s="23" t="n"/>
      <c r="T48" s="23" t="n"/>
      <c r="U48" s="23" t="n"/>
      <c r="V48" s="23" t="n"/>
      <c r="W48" s="23" t="n"/>
      <c r="X48" s="23" t="n"/>
      <c r="Y48" s="23" t="n"/>
      <c r="Z48" s="23" t="n"/>
      <c r="AA48" s="23" t="n"/>
      <c r="AB48" s="23" t="n"/>
      <c r="AC48" s="23" t="n"/>
      <c r="AD48" s="23" t="n"/>
    </row>
    <row r="49" ht="15" customHeight="1">
      <c r="A49" s="23" t="n"/>
      <c r="B49" s="23" t="n"/>
      <c r="C49" s="23" t="n"/>
      <c r="D49" s="23" t="n"/>
      <c r="E49" s="23" t="n"/>
      <c r="F49" s="78" t="inlineStr">
        <is>
          <t>Sem Cura</t>
        </is>
      </c>
      <c r="G49" s="23" t="n"/>
      <c r="H49" s="23" t="n"/>
      <c r="I49" s="23" t="n"/>
      <c r="J49" s="23" t="n"/>
      <c r="K49" s="23" t="n"/>
      <c r="L49" s="23" t="n"/>
      <c r="M49" s="23" t="n"/>
      <c r="N49" s="23" t="n"/>
      <c r="O49" s="23" t="n"/>
      <c r="P49" s="23" t="n"/>
      <c r="Q49" s="23" t="n"/>
      <c r="R49" s="23" t="n"/>
      <c r="S49" s="23" t="n"/>
      <c r="T49" s="23" t="n"/>
      <c r="U49" s="23" t="n"/>
      <c r="V49" s="23" t="n"/>
      <c r="W49" s="23" t="n"/>
      <c r="X49" s="23" t="n"/>
      <c r="Y49" s="23" t="n"/>
      <c r="Z49" s="23" t="n"/>
      <c r="AA49" s="23" t="n"/>
      <c r="AB49" s="23" t="n"/>
      <c r="AC49" s="23" t="n"/>
      <c r="AD49" s="23" t="n"/>
    </row>
    <row r="50" ht="15" customHeight="1">
      <c r="A50" s="23" t="n"/>
      <c r="B50" s="23" t="n"/>
      <c r="C50" s="23" t="n"/>
      <c r="D50" s="23" t="n"/>
      <c r="E50" s="23" t="n"/>
      <c r="F50" s="78" t="inlineStr">
        <is>
          <t>Rápido</t>
        </is>
      </c>
      <c r="G50" s="23" t="n"/>
      <c r="H50" s="23" t="n"/>
      <c r="I50" s="23" t="n"/>
      <c r="J50" s="23" t="n"/>
      <c r="K50" s="23" t="n"/>
      <c r="L50" s="23" t="n"/>
      <c r="M50" s="23" t="n"/>
      <c r="N50" s="23" t="n"/>
      <c r="O50" s="23" t="n"/>
      <c r="P50" s="23" t="n"/>
      <c r="Q50" s="23" t="n"/>
      <c r="R50" s="23" t="n"/>
      <c r="S50" s="23" t="n"/>
      <c r="T50" s="23" t="n"/>
      <c r="U50" s="23" t="n"/>
      <c r="V50" s="23" t="n"/>
      <c r="W50" s="23" t="n"/>
      <c r="X50" s="23" t="n"/>
      <c r="Y50" s="23" t="n"/>
      <c r="Z50" s="23" t="n"/>
      <c r="AA50" s="23" t="n"/>
      <c r="AB50" s="23" t="n"/>
      <c r="AC50" s="23" t="n"/>
      <c r="AD50" s="23" t="n"/>
    </row>
    <row r="51" ht="15" customHeight="1">
      <c r="A51" s="23" t="n"/>
      <c r="B51" s="23" t="n"/>
      <c r="C51" s="23" t="n"/>
      <c r="D51" s="23" t="n"/>
      <c r="E51" s="23" t="n"/>
      <c r="F51" s="78" t="inlineStr">
        <is>
          <t>Reação</t>
        </is>
      </c>
      <c r="G51" s="23" t="n"/>
      <c r="H51" s="23" t="n"/>
      <c r="I51" s="23" t="n"/>
      <c r="J51" s="23" t="n"/>
      <c r="K51" s="23" t="n"/>
      <c r="L51" s="23" t="n"/>
      <c r="M51" s="23" t="n"/>
      <c r="N51" s="23" t="n"/>
      <c r="O51" s="23" t="n"/>
      <c r="P51" s="23" t="n"/>
      <c r="Q51" s="23" t="n"/>
      <c r="R51" s="23" t="n"/>
      <c r="S51" s="23" t="n"/>
      <c r="T51" s="23" t="n"/>
      <c r="U51" s="23" t="n"/>
      <c r="V51" s="23" t="n"/>
      <c r="W51" s="23" t="n"/>
      <c r="X51" s="23" t="n"/>
      <c r="Y51" s="23" t="n"/>
      <c r="Z51" s="23" t="n"/>
      <c r="AA51" s="23" t="n"/>
      <c r="AB51" s="23" t="n"/>
      <c r="AC51" s="23" t="n"/>
      <c r="AD51" s="23" t="n"/>
    </row>
    <row r="52" ht="15" customHeight="1">
      <c r="A52" s="23" t="n"/>
      <c r="B52" s="23" t="n"/>
      <c r="C52" s="23" t="n"/>
      <c r="D52" s="23" t="n"/>
      <c r="E52" s="23" t="n"/>
      <c r="F52" s="78" t="inlineStr">
        <is>
          <t>Armado</t>
        </is>
      </c>
      <c r="G52" s="23" t="n"/>
      <c r="H52" s="23" t="n"/>
      <c r="I52" s="23" t="n"/>
      <c r="J52" s="23" t="n"/>
      <c r="K52" s="23" t="n"/>
      <c r="L52" s="23" t="n"/>
      <c r="M52" s="23" t="n"/>
      <c r="N52" s="23" t="n"/>
      <c r="O52" s="23" t="n"/>
      <c r="P52" s="23" t="n"/>
      <c r="Q52" s="23" t="n"/>
      <c r="R52" s="23" t="n"/>
      <c r="S52" s="23" t="n"/>
      <c r="T52" s="23" t="n"/>
      <c r="U52" s="23" t="n"/>
      <c r="V52" s="23" t="n"/>
      <c r="W52" s="23" t="n"/>
      <c r="X52" s="23" t="n"/>
      <c r="Y52" s="23" t="n"/>
      <c r="Z52" s="23" t="n"/>
      <c r="AA52" s="23" t="n"/>
      <c r="AB52" s="23" t="n"/>
      <c r="AC52" s="23" t="n"/>
      <c r="AD52" s="23" t="n"/>
    </row>
    <row r="53" ht="15" customHeight="1">
      <c r="A53" s="23" t="n"/>
      <c r="B53" s="23" t="n"/>
      <c r="C53" s="23" t="n"/>
      <c r="D53" s="23" t="n"/>
      <c r="E53" s="23" t="n"/>
      <c r="F53" s="78" t="inlineStr">
        <is>
          <t>Silencioso</t>
        </is>
      </c>
      <c r="G53" s="23" t="n"/>
      <c r="H53" s="23" t="n"/>
      <c r="I53" s="23" t="n"/>
      <c r="J53" s="23" t="n"/>
      <c r="K53" s="23" t="n"/>
      <c r="L53" s="23" t="n"/>
      <c r="M53" s="23" t="n"/>
      <c r="N53" s="23" t="n"/>
      <c r="O53" s="23" t="n"/>
      <c r="P53" s="23" t="n"/>
      <c r="Q53" s="23" t="n"/>
      <c r="R53" s="23" t="n"/>
      <c r="S53" s="23" t="n"/>
      <c r="T53" s="23" t="n"/>
      <c r="U53" s="23" t="n"/>
      <c r="V53" s="23" t="n"/>
      <c r="W53" s="23" t="n"/>
      <c r="X53" s="23" t="n"/>
      <c r="Y53" s="23" t="n"/>
      <c r="Z53" s="23" t="n"/>
      <c r="AA53" s="23" t="n"/>
      <c r="AB53" s="23" t="n"/>
      <c r="AC53" s="23" t="n"/>
      <c r="AD53" s="23" t="n"/>
    </row>
    <row r="54" ht="15" customHeight="1">
      <c r="A54" s="23" t="n"/>
      <c r="B54" s="23" t="n"/>
      <c r="C54" s="23" t="n"/>
      <c r="D54" s="23" t="n"/>
      <c r="E54" s="23" t="n"/>
      <c r="F54" s="78" t="inlineStr">
        <is>
          <t>Adianta</t>
        </is>
      </c>
      <c r="G54" s="23" t="n"/>
      <c r="H54" s="23" t="n"/>
      <c r="I54" s="23" t="n"/>
      <c r="J54" s="23" t="n"/>
      <c r="K54" s="23" t="n"/>
      <c r="L54" s="23" t="n"/>
      <c r="M54" s="23" t="n"/>
      <c r="N54" s="23" t="n"/>
      <c r="O54" s="23" t="n"/>
      <c r="P54" s="23" t="n"/>
      <c r="Q54" s="23" t="n"/>
      <c r="R54" s="23" t="n"/>
      <c r="S54" s="23" t="n"/>
      <c r="T54" s="23" t="n"/>
      <c r="U54" s="23" t="n"/>
      <c r="V54" s="23" t="n"/>
      <c r="W54" s="23" t="n"/>
      <c r="X54" s="23" t="n"/>
      <c r="Y54" s="23" t="n"/>
      <c r="Z54" s="23" t="n"/>
      <c r="AA54" s="23" t="n"/>
      <c r="AB54" s="23" t="n"/>
      <c r="AC54" s="23" t="n"/>
      <c r="AD54" s="23" t="n"/>
    </row>
    <row r="55" ht="15" customHeight="1">
      <c r="A55" s="23" t="n"/>
      <c r="B55" s="23" t="n"/>
      <c r="C55" s="23" t="n"/>
      <c r="D55" s="23" t="n"/>
      <c r="E55" s="23" t="n"/>
      <c r="F55" s="78" t="inlineStr">
        <is>
          <t>Segura</t>
        </is>
      </c>
      <c r="G55" s="23" t="n"/>
      <c r="H55" s="23" t="n"/>
      <c r="I55" s="23" t="n"/>
      <c r="J55" s="23" t="n"/>
      <c r="K55" s="23" t="n"/>
      <c r="L55" s="23" t="n"/>
      <c r="M55" s="23" t="n"/>
      <c r="N55" s="23" t="n"/>
      <c r="O55" s="23" t="n"/>
      <c r="P55" s="23" t="n"/>
      <c r="Q55" s="23" t="n"/>
      <c r="R55" s="23" t="n"/>
      <c r="S55" s="23" t="n"/>
      <c r="T55" s="23" t="n"/>
      <c r="U55" s="23" t="n"/>
      <c r="V55" s="23" t="n"/>
      <c r="W55" s="23" t="n"/>
      <c r="X55" s="23" t="n"/>
      <c r="Y55" s="23" t="n"/>
      <c r="Z55" s="23" t="n"/>
      <c r="AA55" s="23" t="n"/>
      <c r="AB55" s="23" t="n"/>
      <c r="AC55" s="23" t="n"/>
      <c r="AD55" s="23" t="n"/>
    </row>
    <row r="56" ht="15" customHeight="1">
      <c r="A56" s="23" t="n"/>
      <c r="B56" s="23" t="n"/>
      <c r="C56" s="23" t="n"/>
      <c r="D56" s="23" t="n"/>
      <c r="E56" s="23" t="n"/>
      <c r="F56" s="78" t="inlineStr">
        <is>
          <t>Marca</t>
        </is>
      </c>
      <c r="G56" s="23" t="n"/>
      <c r="H56" s="23" t="n"/>
      <c r="I56" s="23" t="n"/>
      <c r="J56" s="23" t="n"/>
      <c r="K56" s="23" t="n"/>
      <c r="L56" s="23" t="n"/>
      <c r="M56" s="23" t="n"/>
      <c r="N56" s="23" t="n"/>
      <c r="O56" s="23" t="n"/>
      <c r="P56" s="23" t="n"/>
      <c r="Q56" s="23" t="n"/>
      <c r="R56" s="23" t="n"/>
      <c r="S56" s="23" t="n"/>
      <c r="T56" s="23" t="n"/>
      <c r="U56" s="23" t="n"/>
      <c r="V56" s="23" t="n"/>
      <c r="W56" s="23" t="n"/>
      <c r="X56" s="23" t="n"/>
      <c r="Y56" s="23" t="n"/>
      <c r="Z56" s="23" t="n"/>
      <c r="AA56" s="23" t="n"/>
      <c r="AB56" s="23" t="n"/>
      <c r="AC56" s="23" t="n"/>
      <c r="AD56" s="23" t="n"/>
    </row>
    <row r="57" ht="15" customHeight="1">
      <c r="A57" s="23" t="n"/>
      <c r="B57" s="23" t="n"/>
      <c r="C57" s="23" t="n"/>
      <c r="D57" s="23" t="n"/>
      <c r="E57" s="23" t="n"/>
      <c r="F57" s="78" t="inlineStr">
        <is>
          <t>Rastro</t>
        </is>
      </c>
      <c r="G57" s="23" t="n"/>
      <c r="H57" s="23" t="n"/>
      <c r="I57" s="23" t="n"/>
      <c r="J57" s="23" t="n"/>
      <c r="K57" s="23" t="n"/>
      <c r="L57" s="23" t="n"/>
      <c r="M57" s="23" t="n"/>
      <c r="N57" s="23" t="n"/>
      <c r="O57" s="23" t="n"/>
      <c r="P57" s="23" t="n"/>
      <c r="Q57" s="23" t="n"/>
      <c r="R57" s="23" t="n"/>
      <c r="S57" s="23" t="n"/>
      <c r="T57" s="23" t="n"/>
      <c r="U57" s="23" t="n"/>
      <c r="V57" s="23" t="n"/>
      <c r="W57" s="23" t="n"/>
      <c r="X57" s="23" t="n"/>
      <c r="Y57" s="23" t="n"/>
      <c r="Z57" s="23" t="n"/>
      <c r="AA57" s="23" t="n"/>
      <c r="AB57" s="23" t="n"/>
      <c r="AC57" s="23" t="n"/>
      <c r="AD57" s="23" t="n"/>
    </row>
    <row r="58" ht="15" customHeight="1">
      <c r="A58" s="23" t="n"/>
      <c r="B58" s="23" t="n"/>
      <c r="C58" s="23" t="n"/>
      <c r="D58" s="23" t="n"/>
      <c r="E58" s="23" t="n"/>
      <c r="F58" s="78" t="inlineStr">
        <is>
          <t>Sugar</t>
        </is>
      </c>
      <c r="G58" s="23" t="n"/>
      <c r="H58" s="23" t="n"/>
      <c r="I58" s="23" t="n"/>
      <c r="J58" s="23" t="n"/>
      <c r="K58" s="23" t="n"/>
      <c r="L58" s="23" t="n"/>
      <c r="M58" s="23" t="n"/>
      <c r="N58" s="23" t="n"/>
      <c r="O58" s="23" t="n"/>
      <c r="P58" s="23" t="n"/>
      <c r="Q58" s="23" t="n"/>
      <c r="R58" s="23" t="n"/>
      <c r="S58" s="23" t="n"/>
      <c r="T58" s="23" t="n"/>
      <c r="U58" s="23" t="n"/>
      <c r="V58" s="23" t="n"/>
      <c r="W58" s="23" t="n"/>
      <c r="X58" s="23" t="n"/>
      <c r="Y58" s="23" t="n"/>
      <c r="Z58" s="23" t="n"/>
      <c r="AA58" s="23" t="n"/>
      <c r="AB58" s="23" t="n"/>
      <c r="AC58" s="23" t="n"/>
      <c r="AD58" s="23" t="n"/>
    </row>
    <row r="59" ht="15" customHeight="1">
      <c r="A59" s="23" t="n"/>
      <c r="B59" s="23" t="n"/>
      <c r="C59" s="23" t="n"/>
      <c r="D59" s="23" t="n"/>
      <c r="E59" s="23" t="n"/>
      <c r="F59" s="78" t="inlineStr">
        <is>
          <t>Isca</t>
        </is>
      </c>
      <c r="G59" s="23" t="n"/>
      <c r="H59" s="23" t="n"/>
      <c r="I59" s="23" t="n"/>
      <c r="J59" s="23" t="n"/>
      <c r="K59" s="23" t="n"/>
      <c r="L59" s="23" t="n"/>
      <c r="M59" s="23" t="n"/>
      <c r="N59" s="23" t="n"/>
      <c r="O59" s="23" t="n"/>
      <c r="P59" s="23" t="n"/>
      <c r="Q59" s="23" t="n"/>
      <c r="R59" s="23" t="n"/>
      <c r="S59" s="23" t="n"/>
      <c r="T59" s="23" t="n"/>
      <c r="U59" s="23" t="n"/>
      <c r="V59" s="23" t="n"/>
      <c r="W59" s="23" t="n"/>
      <c r="X59" s="23" t="n"/>
      <c r="Y59" s="23" t="n"/>
      <c r="Z59" s="23" t="n"/>
      <c r="AA59" s="23" t="n"/>
      <c r="AB59" s="23" t="n"/>
      <c r="AC59" s="23" t="n"/>
      <c r="AD59" s="23" t="n"/>
    </row>
    <row r="60" ht="15" customHeight="1">
      <c r="A60" s="23" t="n"/>
      <c r="B60" s="23" t="n"/>
      <c r="C60" s="23" t="n"/>
      <c r="D60" s="23" t="n"/>
      <c r="E60" s="23" t="n"/>
      <c r="F60" s="78" t="inlineStr">
        <is>
          <t>Cobrança</t>
        </is>
      </c>
      <c r="G60" s="23" t="n"/>
      <c r="H60" s="23" t="n"/>
      <c r="I60" s="23" t="n"/>
      <c r="J60" s="23" t="n"/>
      <c r="K60" s="23" t="n"/>
      <c r="L60" s="23" t="n"/>
      <c r="M60" s="23" t="n"/>
      <c r="N60" s="23" t="n"/>
      <c r="O60" s="23" t="n"/>
      <c r="P60" s="23" t="n"/>
      <c r="Q60" s="23" t="n"/>
      <c r="R60" s="23" t="n"/>
      <c r="S60" s="23" t="n"/>
      <c r="T60" s="23" t="n"/>
      <c r="U60" s="23" t="n"/>
      <c r="V60" s="23" t="n"/>
      <c r="W60" s="23" t="n"/>
      <c r="X60" s="23" t="n"/>
      <c r="Y60" s="23" t="n"/>
      <c r="Z60" s="23" t="n"/>
      <c r="AA60" s="23" t="n"/>
      <c r="AB60" s="23" t="n"/>
      <c r="AC60" s="23" t="n"/>
      <c r="AD60" s="23" t="n"/>
    </row>
    <row r="61" ht="15" customHeight="1">
      <c r="A61" s="23" t="n"/>
      <c r="B61" s="23" t="n"/>
      <c r="C61" s="23" t="n"/>
      <c r="D61" s="23" t="n"/>
      <c r="E61" s="23" t="n"/>
      <c r="F61" s="78" t="inlineStr">
        <is>
          <t>Aviso</t>
        </is>
      </c>
      <c r="G61" s="23" t="n"/>
      <c r="H61" s="23" t="n"/>
      <c r="I61" s="23" t="n"/>
      <c r="J61" s="23" t="n"/>
      <c r="K61" s="23" t="n"/>
      <c r="L61" s="23" t="n"/>
      <c r="M61" s="23" t="n"/>
      <c r="N61" s="23" t="n"/>
      <c r="O61" s="23" t="n"/>
      <c r="P61" s="23" t="n"/>
      <c r="Q61" s="23" t="n"/>
      <c r="R61" s="23" t="n"/>
      <c r="S61" s="23" t="n"/>
      <c r="T61" s="23" t="n"/>
      <c r="U61" s="23" t="n"/>
      <c r="V61" s="23" t="n"/>
      <c r="W61" s="23" t="n"/>
      <c r="X61" s="23" t="n"/>
      <c r="Y61" s="23" t="n"/>
      <c r="Z61" s="23" t="n"/>
      <c r="AA61" s="23" t="n"/>
      <c r="AB61" s="23" t="n"/>
      <c r="AC61" s="23" t="n"/>
      <c r="AD61" s="23" t="n"/>
    </row>
    <row r="62" ht="15" customHeight="1">
      <c r="A62" s="23" t="n"/>
      <c r="B62" s="23" t="n"/>
      <c r="C62" s="23" t="n"/>
      <c r="D62" s="23" t="n"/>
      <c r="E62" s="23" t="n"/>
      <c r="F62" s="78" t="inlineStr">
        <is>
          <t>Limpa</t>
        </is>
      </c>
      <c r="G62" s="23" t="n"/>
      <c r="H62" s="23" t="n"/>
      <c r="I62" s="23" t="n"/>
      <c r="J62" s="23" t="n"/>
      <c r="K62" s="23" t="n"/>
      <c r="L62" s="23" t="n"/>
      <c r="M62" s="23" t="n"/>
      <c r="N62" s="23" t="n"/>
      <c r="O62" s="23" t="n"/>
      <c r="P62" s="23" t="n"/>
      <c r="Q62" s="23" t="n"/>
      <c r="R62" s="23" t="n"/>
      <c r="S62" s="23" t="n"/>
      <c r="T62" s="23" t="n"/>
      <c r="U62" s="23" t="n"/>
      <c r="V62" s="23" t="n"/>
      <c r="W62" s="23" t="n"/>
      <c r="X62" s="23" t="n"/>
      <c r="Y62" s="23" t="n"/>
      <c r="Z62" s="23" t="n"/>
      <c r="AA62" s="23" t="n"/>
      <c r="AB62" s="23" t="n"/>
      <c r="AC62" s="23" t="n"/>
      <c r="AD62" s="23" t="n"/>
    </row>
    <row r="63" ht="15" customHeight="1">
      <c r="A63" s="23" t="n"/>
      <c r="B63" s="23" t="n"/>
      <c r="C63" s="23" t="n"/>
      <c r="D63" s="23" t="n"/>
      <c r="E63" s="23" t="n"/>
      <c r="F63" s="78" t="inlineStr">
        <is>
          <t>Limpa Fundo</t>
        </is>
      </c>
      <c r="G63" s="23" t="n"/>
      <c r="H63" s="23" t="n"/>
      <c r="I63" s="23" t="n"/>
      <c r="J63" s="23" t="n"/>
      <c r="K63" s="23" t="n"/>
      <c r="L63" s="23" t="n"/>
      <c r="M63" s="23" t="n"/>
      <c r="N63" s="23" t="n"/>
      <c r="O63" s="23" t="n"/>
      <c r="P63" s="23" t="n"/>
      <c r="Q63" s="23" t="n"/>
      <c r="R63" s="23" t="n"/>
      <c r="S63" s="23" t="n"/>
      <c r="T63" s="23" t="n"/>
      <c r="U63" s="23" t="n"/>
      <c r="V63" s="23" t="n"/>
      <c r="W63" s="23" t="n"/>
      <c r="X63" s="23" t="n"/>
      <c r="Y63" s="23" t="n"/>
      <c r="Z63" s="23" t="n"/>
      <c r="AA63" s="23" t="n"/>
      <c r="AB63" s="23" t="n"/>
      <c r="AC63" s="23" t="n"/>
      <c r="AD63" s="23" t="n"/>
    </row>
    <row r="64" ht="15" customHeight="1">
      <c r="A64" s="23" t="n"/>
      <c r="B64" s="23" t="n"/>
      <c r="C64" s="23" t="n"/>
      <c r="D64" s="23" t="n"/>
      <c r="E64" s="23" t="n"/>
      <c r="F64" s="78" t="inlineStr">
        <is>
          <t>Levanta</t>
        </is>
      </c>
      <c r="G64" s="23" t="n"/>
      <c r="H64" s="23" t="n"/>
      <c r="I64" s="23" t="n"/>
      <c r="J64" s="23" t="n"/>
      <c r="K64" s="23" t="n"/>
      <c r="L64" s="23" t="n"/>
      <c r="M64" s="23" t="n"/>
      <c r="N64" s="23" t="n"/>
      <c r="O64" s="23" t="n"/>
      <c r="P64" s="23" t="n"/>
      <c r="Q64" s="23" t="n"/>
      <c r="R64" s="23" t="n"/>
      <c r="S64" s="23" t="n"/>
      <c r="T64" s="23" t="n"/>
      <c r="U64" s="23" t="n"/>
      <c r="V64" s="23" t="n"/>
      <c r="W64" s="23" t="n"/>
      <c r="X64" s="23" t="n"/>
      <c r="Y64" s="23" t="n"/>
      <c r="Z64" s="23" t="n"/>
      <c r="AA64" s="23" t="n"/>
      <c r="AB64" s="23" t="n"/>
      <c r="AC64" s="23" t="n"/>
      <c r="AD64" s="23" t="n"/>
    </row>
    <row r="65" ht="15" customHeight="1">
      <c r="A65" s="23" t="n"/>
      <c r="B65" s="23" t="n"/>
      <c r="C65" s="23" t="n"/>
      <c r="D65" s="23" t="n"/>
      <c r="E65" s="23" t="n"/>
      <c r="F65" s="78" t="inlineStr">
        <is>
          <t>Divide</t>
        </is>
      </c>
      <c r="G65" s="23" t="n"/>
      <c r="H65" s="23" t="n"/>
      <c r="I65" s="23" t="n"/>
      <c r="J65" s="23" t="n"/>
      <c r="K65" s="23" t="n"/>
      <c r="L65" s="23" t="n"/>
      <c r="M65" s="23" t="n"/>
      <c r="N65" s="23" t="n"/>
      <c r="O65" s="23" t="n"/>
      <c r="P65" s="23" t="n"/>
      <c r="Q65" s="23" t="n"/>
      <c r="R65" s="23" t="n"/>
      <c r="S65" s="23" t="n"/>
      <c r="T65" s="23" t="n"/>
      <c r="U65" s="23" t="n"/>
      <c r="V65" s="23" t="n"/>
      <c r="W65" s="23" t="n"/>
      <c r="X65" s="23" t="n"/>
      <c r="Y65" s="23" t="n"/>
      <c r="Z65" s="23" t="n"/>
      <c r="AA65" s="23" t="n"/>
      <c r="AB65" s="23" t="n"/>
      <c r="AC65" s="23" t="n"/>
      <c r="AD65" s="23" t="n"/>
    </row>
    <row r="66" ht="15" customHeight="1">
      <c r="A66" s="23" t="n"/>
      <c r="B66" s="23" t="n"/>
      <c r="C66" s="23" t="n"/>
      <c r="D66" s="23" t="n"/>
      <c r="E66" s="23" t="n"/>
      <c r="F66" s="78" t="inlineStr">
        <is>
          <t>Junto</t>
        </is>
      </c>
      <c r="G66" s="23" t="n"/>
      <c r="H66" s="23" t="n"/>
      <c r="I66" s="23" t="n"/>
      <c r="J66" s="23" t="n"/>
      <c r="K66" s="23" t="n"/>
      <c r="L66" s="23" t="n"/>
      <c r="M66" s="23" t="n"/>
      <c r="N66" s="23" t="n"/>
      <c r="O66" s="23" t="n"/>
      <c r="P66" s="23" t="n"/>
      <c r="Q66" s="23" t="n"/>
      <c r="R66" s="23" t="n"/>
      <c r="S66" s="23" t="n"/>
      <c r="T66" s="23" t="n"/>
      <c r="U66" s="23" t="n"/>
      <c r="V66" s="23" t="n"/>
      <c r="W66" s="23" t="n"/>
      <c r="X66" s="23" t="n"/>
      <c r="Y66" s="23" t="n"/>
      <c r="Z66" s="23" t="n"/>
      <c r="AA66" s="23" t="n"/>
      <c r="AB66" s="23" t="n"/>
      <c r="AC66" s="23" t="n"/>
      <c r="AD66" s="23" t="n"/>
    </row>
    <row r="67" ht="15" customHeight="1">
      <c r="A67" s="23" t="n"/>
      <c r="B67" s="23" t="n"/>
      <c r="C67" s="23" t="n"/>
      <c r="D67" s="23" t="n"/>
      <c r="E67" s="23" t="n"/>
      <c r="F67" s="78" t="inlineStr">
        <is>
          <t>Reserva</t>
        </is>
      </c>
      <c r="G67" s="23" t="n"/>
      <c r="H67" s="23" t="n"/>
      <c r="I67" s="23" t="n"/>
      <c r="J67" s="23" t="n"/>
      <c r="K67" s="23" t="n"/>
      <c r="L67" s="23" t="n"/>
      <c r="M67" s="23" t="n"/>
      <c r="N67" s="23" t="n"/>
      <c r="O67" s="23" t="n"/>
      <c r="P67" s="23" t="n"/>
      <c r="Q67" s="23" t="n"/>
      <c r="R67" s="23" t="n"/>
      <c r="S67" s="23" t="n"/>
      <c r="T67" s="23" t="n"/>
      <c r="U67" s="23" t="n"/>
      <c r="V67" s="23" t="n"/>
      <c r="W67" s="23" t="n"/>
      <c r="X67" s="23" t="n"/>
      <c r="Y67" s="23" t="n"/>
      <c r="Z67" s="23" t="n"/>
      <c r="AA67" s="23" t="n"/>
      <c r="AB67" s="23" t="n"/>
      <c r="AC67" s="23" t="n"/>
      <c r="AD67" s="23" t="n"/>
    </row>
    <row r="68" ht="15" customHeight="1">
      <c r="A68" s="23" t="n"/>
      <c r="B68" s="23" t="n"/>
      <c r="C68" s="23" t="n"/>
      <c r="D68" s="23" t="n"/>
      <c r="E68" s="23" t="n"/>
      <c r="F68" s="78" t="inlineStr">
        <is>
          <t>Remenda</t>
        </is>
      </c>
      <c r="G68" s="23" t="n"/>
      <c r="H68" s="23" t="n"/>
      <c r="I68" s="23" t="n"/>
      <c r="J68" s="23" t="n"/>
      <c r="K68" s="23" t="n"/>
      <c r="L68" s="23" t="n"/>
      <c r="M68" s="23" t="n"/>
      <c r="N68" s="23" t="n"/>
      <c r="O68" s="23" t="n"/>
      <c r="P68" s="23" t="n"/>
      <c r="Q68" s="23" t="n"/>
      <c r="R68" s="23" t="n"/>
      <c r="S68" s="23" t="n"/>
      <c r="T68" s="23" t="n"/>
      <c r="U68" s="23" t="n"/>
      <c r="V68" s="23" t="n"/>
      <c r="W68" s="23" t="n"/>
      <c r="X68" s="23" t="n"/>
      <c r="Y68" s="23" t="n"/>
      <c r="Z68" s="23" t="n"/>
      <c r="AA68" s="23" t="n"/>
      <c r="AB68" s="23" t="n"/>
      <c r="AC68" s="23" t="n"/>
      <c r="AD68" s="23" t="n"/>
    </row>
    <row r="69" ht="15" customHeight="1">
      <c r="A69" s="23" t="n"/>
      <c r="B69" s="23" t="n"/>
      <c r="C69" s="23" t="n"/>
      <c r="D69" s="23" t="n"/>
      <c r="E69" s="23" t="n"/>
      <c r="F69" s="78" t="inlineStr">
        <is>
          <t>Condicao</t>
        </is>
      </c>
      <c r="G69" s="23" t="n"/>
      <c r="H69" s="23" t="n"/>
      <c r="I69" s="23" t="n"/>
      <c r="J69" s="23" t="n"/>
      <c r="K69" s="23" t="n"/>
      <c r="L69" s="23" t="n"/>
      <c r="M69" s="23" t="n"/>
      <c r="N69" s="23" t="n"/>
      <c r="O69" s="23" t="n"/>
      <c r="P69" s="23" t="n"/>
      <c r="Q69" s="23" t="n"/>
      <c r="R69" s="23" t="n"/>
      <c r="S69" s="23" t="n"/>
      <c r="T69" s="23" t="n"/>
      <c r="U69" s="23" t="n"/>
      <c r="V69" s="23" t="n"/>
      <c r="W69" s="23" t="n"/>
      <c r="X69" s="23" t="n"/>
      <c r="Y69" s="23" t="n"/>
      <c r="Z69" s="23" t="n"/>
      <c r="AA69" s="23" t="n"/>
      <c r="AB69" s="23" t="n"/>
      <c r="AC69" s="23" t="n"/>
      <c r="AD69" s="23" t="n"/>
    </row>
    <row r="70" ht="15" customHeight="1">
      <c r="A70" s="23" t="n"/>
      <c r="B70" s="23" t="n"/>
      <c r="C70" s="23" t="n"/>
      <c r="D70" s="23" t="n"/>
      <c r="E70" s="23" t="n"/>
      <c r="F70" s="23" t="n"/>
      <c r="G70" s="23" t="n"/>
      <c r="H70" s="23" t="n"/>
      <c r="I70" s="23" t="n"/>
      <c r="J70" s="23" t="n"/>
      <c r="K70" s="23" t="n"/>
      <c r="L70" s="23" t="n"/>
      <c r="M70" s="23" t="n"/>
      <c r="N70" s="23" t="n"/>
      <c r="O70" s="23" t="n"/>
      <c r="P70" s="23" t="n"/>
      <c r="Q70" s="23" t="n"/>
      <c r="R70" s="23" t="n"/>
      <c r="S70" s="23" t="n"/>
      <c r="T70" s="23" t="n"/>
      <c r="U70" s="23" t="n"/>
      <c r="V70" s="23" t="n"/>
      <c r="W70" s="23" t="n"/>
      <c r="X70" s="23" t="n"/>
      <c r="Y70" s="23" t="n"/>
      <c r="Z70" s="23" t="n"/>
      <c r="AA70" s="23" t="n"/>
      <c r="AB70" s="23" t="n"/>
      <c r="AC70" s="23" t="n"/>
      <c r="AD70" s="23" t="n"/>
    </row>
    <row r="71" ht="15" customHeight="1">
      <c r="A71" s="23" t="n"/>
      <c r="B71" s="23" t="n"/>
      <c r="C71" s="23" t="n"/>
      <c r="D71" s="23" t="n"/>
      <c r="E71" s="23" t="n"/>
      <c r="F71" s="23" t="n"/>
      <c r="G71" s="23" t="n"/>
      <c r="H71" s="23" t="n"/>
      <c r="I71" s="23" t="n"/>
      <c r="J71" s="23" t="n"/>
      <c r="K71" s="23" t="n"/>
      <c r="L71" s="23" t="n"/>
      <c r="M71" s="23" t="n"/>
      <c r="N71" s="23" t="n"/>
      <c r="O71" s="23" t="n"/>
      <c r="P71" s="23" t="n"/>
      <c r="Q71" s="23" t="n"/>
      <c r="R71" s="23" t="n"/>
      <c r="S71" s="23" t="n"/>
      <c r="T71" s="23" t="n"/>
      <c r="U71" s="23" t="n"/>
      <c r="V71" s="23" t="n"/>
      <c r="W71" s="23" t="n"/>
      <c r="X71" s="23" t="n"/>
      <c r="Y71" s="23" t="n"/>
      <c r="Z71" s="23" t="n"/>
      <c r="AA71" s="23" t="n"/>
      <c r="AB71" s="23" t="n"/>
      <c r="AC71" s="23" t="n"/>
      <c r="AD71" s="23" t="n"/>
    </row>
    <row r="72">
      <c r="A72" s="23" t="n"/>
      <c r="B72" s="23" t="n"/>
      <c r="C72" s="23" t="n"/>
      <c r="D72" s="23" t="n"/>
      <c r="E72" s="23" t="n"/>
      <c r="F72" s="23" t="n"/>
      <c r="G72" s="23" t="n"/>
      <c r="H72" s="23" t="n"/>
      <c r="I72" s="23" t="n"/>
      <c r="J72" s="23" t="n"/>
      <c r="K72" s="23" t="n"/>
      <c r="L72" s="23" t="n"/>
      <c r="M72" s="23" t="n"/>
      <c r="N72" s="23" t="n"/>
      <c r="O72" s="23" t="n"/>
      <c r="P72" s="23" t="n"/>
      <c r="Q72" s="23" t="n"/>
      <c r="R72" s="23" t="n"/>
      <c r="S72" s="23" t="n"/>
      <c r="T72" s="23" t="n"/>
      <c r="U72" s="23" t="n"/>
      <c r="V72" s="23" t="n"/>
      <c r="W72" s="23" t="n"/>
      <c r="X72" s="23" t="n"/>
      <c r="Y72" s="23" t="n"/>
      <c r="Z72" s="23" t="n"/>
      <c r="AA72" s="23" t="n"/>
      <c r="AB72" s="23" t="n"/>
      <c r="AC72" s="23" t="n"/>
      <c r="AD72" s="23" t="n"/>
    </row>
    <row r="73">
      <c r="A73" s="23" t="n"/>
      <c r="B73" s="23" t="n"/>
      <c r="C73" s="23" t="n"/>
      <c r="D73" s="23" t="n"/>
      <c r="E73" s="23" t="n"/>
      <c r="F73" s="23" t="n"/>
      <c r="G73" s="23" t="n"/>
      <c r="H73" s="23" t="n"/>
      <c r="I73" s="23" t="n"/>
      <c r="J73" s="23" t="n"/>
      <c r="K73" s="23" t="n"/>
      <c r="L73" s="23" t="n"/>
      <c r="M73" s="23" t="n"/>
      <c r="N73" s="23" t="n"/>
      <c r="O73" s="23" t="n"/>
      <c r="P73" s="23" t="n"/>
      <c r="Q73" s="23" t="n"/>
      <c r="R73" s="23" t="n"/>
      <c r="S73" s="23" t="n"/>
      <c r="T73" s="23" t="n"/>
      <c r="U73" s="23" t="n"/>
      <c r="V73" s="23" t="n"/>
      <c r="W73" s="23" t="n"/>
      <c r="X73" s="23" t="n"/>
      <c r="Y73" s="23" t="n"/>
      <c r="Z73" s="23" t="n"/>
      <c r="AA73" s="23" t="n"/>
      <c r="AB73" s="23" t="n"/>
      <c r="AC73" s="23" t="n"/>
      <c r="AD73" s="2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2026-08-19T02:08:15Z</dcterms:created>
  <dcterms:modified xmlns:dcterms="http://purl.org/dc/terms/" xmlns:xsi="http://www.w3.org/2001/XMLSchema-instance" xsi:type="dcterms:W3CDTF">2026-08-19T02:08:17Z</dcterms:modified>
</cp:coreProperties>
</file>
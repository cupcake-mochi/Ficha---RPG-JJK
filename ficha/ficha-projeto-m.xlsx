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MESA" sheetId="3" state="visible" r:id="rId3"/>
    <sheet xmlns:r="http://schemas.openxmlformats.org/officeDocument/2006/relationships" name="QUEM É" sheetId="4" state="visible" r:id="rId4"/>
    <sheet xmlns:r="http://schemas.openxmlformats.org/officeDocument/2006/relationships" name="DAD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Roboto"/>
      <color rgb="00F4F1F7"/>
      <sz val="12"/>
    </font>
    <font>
      <name val="Oswald"/>
      <color rgb="00998BA9"/>
      <sz val="9"/>
    </font>
    <font>
      <name val="Roboto"/>
      <b val="1"/>
      <color rgb="00F4F1F7"/>
      <sz val="12"/>
    </font>
    <font>
      <name val="Roboto"/>
      <color rgb="00998BA9"/>
      <sz val="9"/>
    </font>
    <font>
      <name val="Roboto"/>
      <color rgb="00F4F1F7"/>
      <sz val="12"/>
    </font>
    <font>
      <name val="Oswald"/>
      <color rgb="00493F54"/>
      <sz val="11"/>
    </font>
    <font>
      <name val="Oswald"/>
      <color rgb="00756588"/>
      <sz val="9"/>
    </font>
    <font>
      <name val="Castor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0294D"/>
      <sz val="22"/>
    </font>
    <font>
      <name val="Oswald"/>
      <color rgb="00756588"/>
      <sz val="12"/>
    </font>
    <font>
      <name val="Castoro"/>
      <color rgb="00F4F1F7"/>
      <sz val="16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Roboto"/>
      <color rgb="00E8DCD4"/>
      <sz val="12"/>
    </font>
    <font>
      <name val="Castor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Castoro"/>
      <color rgb="00E8DCD4"/>
      <sz val="30"/>
    </font>
    <font>
      <name val="Castoro"/>
      <color rgb="00998BA9"/>
      <sz val="12"/>
    </font>
    <font>
      <name val="Castoro"/>
      <color rgb="00F4F1F7"/>
      <sz val="15"/>
    </font>
    <font>
      <name val="Castoro"/>
      <color rgb="00E8DCD4"/>
      <sz val="17"/>
    </font>
    <font>
      <name val="Courier New"/>
      <color rgb="00493F5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0" fillId="4" borderId="0" pivotButton="0" quotePrefix="0" xfId="0"/>
    <xf numFmtId="0" fontId="26" fillId="4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29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0" fillId="3" borderId="0" applyAlignment="1" pivotButton="0" quotePrefix="0" xfId="0">
      <alignment horizontal="left" vertical="center"/>
    </xf>
    <xf numFmtId="0" fontId="3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3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right" vertical="center"/>
    </xf>
    <xf numFmtId="0" fontId="22" fillId="2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4" fillId="2" borderId="2" applyAlignment="1" pivotButton="0" quotePrefix="0" xfId="0">
      <alignment horizontal="left" vertical="center"/>
    </xf>
    <xf numFmtId="0" fontId="25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35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36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5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indent="1"/>
    </xf>
    <xf numFmtId="0" fontId="37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38" fillId="6" borderId="0" applyAlignment="1" pivotButton="0" quotePrefix="0" xfId="0">
      <alignment horizontal="left" vertical="center" indent="1"/>
    </xf>
    <xf numFmtId="0" fontId="38" fillId="6" borderId="0" applyAlignment="1" pivotButton="0" quotePrefix="0" xfId="0">
      <alignment horizontal="center" vertical="center"/>
    </xf>
    <xf numFmtId="0" fontId="38" fillId="5" borderId="0" applyAlignment="1" pivotButton="0" quotePrefix="0" xfId="0">
      <alignment horizontal="left" vertical="center" indent="1"/>
    </xf>
    <xf numFmtId="0" fontId="38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8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80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8" t="inlineStr">
        <is>
          <t>TÉCNICA DECLARADA</t>
        </is>
      </c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15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16" t="inlineStr">
        <is>
          <t>uma linha sobre o que a técnica é. o resto está na aba TÉCNICA.</t>
        </is>
      </c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16" t="inlineStr">
        <is>
          <t>cole a sua foto por cima desta moldura</t>
        </is>
      </c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17" t="inlineStr">
        <is>
          <t>SELO REGISTRADO</t>
        </is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9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6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IFERROR(SPARKLINE($D$23,{"charttype","bar";"max",$J$23;"color1",IF(N($J$23)=0,"#E8DCD4",IF($D$23/$J$23&lt;=0.25,"#C2334D",IF($D$23/$J$23&lt;=0.5,"#D89B3A","#E8DCD4")))}),"")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IFERROR(SPARKLINE($D$27,{"charttype","bar";"max",$J$27;"color1",IF(N($J$27)=0,"#E8DCD4",IF($D$27/$J$27&lt;=0.25,"#C2334D",IF($D$27/$J$27&lt;=0.5,"#D89B3A","#E8DCD4")))}),"")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20+8*($AH$11-1)</f>
        <v/>
      </c>
      <c r="O31" s="23" t="n"/>
      <c r="P31" s="36">
        <f>IFERROR(SPARKLINE($D$31,{"charttype","bar";"max",$J$31;"color1",IF(N($J$31)=0,"#E8DCD4",IF($D$31/$J$31&lt;=0.25,"#C2334D",IF($D$31/$J$31&lt;=0.5,"#D89B3A","#E8DCD4")))}),"")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28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3" t="n"/>
      <c r="AA47" s="23" t="n"/>
      <c r="AB47" s="23" t="n"/>
      <c r="AC47" s="23" t="n"/>
      <c r="AD47" s="23" t="n"/>
      <c r="AE47" s="23" t="n"/>
      <c r="AF47" s="23" t="n"/>
      <c r="AG47" s="23" t="n"/>
      <c r="AH47" s="23" t="n"/>
      <c r="AI47" s="23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23" t="n"/>
      <c r="AA48" s="23" t="n"/>
      <c r="AB48" s="23" t="n"/>
      <c r="AC48" s="23" t="n"/>
      <c r="AD48" s="23" t="n"/>
      <c r="AE48" s="23" t="n"/>
      <c r="AF48" s="23" t="n"/>
      <c r="AG48" s="23" t="n"/>
      <c r="AH48" s="23" t="n"/>
      <c r="AI48" s="23" t="n"/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23" t="n"/>
      <c r="AA49" s="23" t="n"/>
      <c r="AB49" s="23" t="n"/>
      <c r="AC49" s="23" t="n"/>
      <c r="AD49" s="23" t="n"/>
      <c r="AE49" s="23" t="n"/>
      <c r="AF49" s="23" t="n"/>
      <c r="AG49" s="23" t="n"/>
      <c r="AH49" s="23" t="n"/>
      <c r="AI49" s="23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1" t="n"/>
      <c r="E59" s="42" t="inlineStr">
        <is>
          <t>Atletismo</t>
        </is>
      </c>
      <c r="M59" s="43" t="inlineStr">
        <is>
          <t>For</t>
        </is>
      </c>
      <c r="O59" s="44">
        <f>$D$17+IF($D$59=TRUE,(1+COUNTIF(DADOS!$X$5:$X$7,"&lt;="&amp;$AH$11)),0)</f>
        <v/>
      </c>
      <c r="Q59" s="23" t="n"/>
      <c r="R59" s="41" t="n"/>
      <c r="S59" s="42" t="inlineStr">
        <is>
          <t>Sobrevivência</t>
        </is>
      </c>
      <c r="AA59" s="43" t="inlineStr">
        <is>
          <t>Int</t>
        </is>
      </c>
      <c r="AC59" s="44">
        <f>$AB$17+IF($R$59=TRUE,(1+COUNTIF(DADOS!$X$5:$X$7,"&lt;="&amp;$AH$11)),0)</f>
        <v/>
      </c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5" t="n"/>
      <c r="E60" s="46" t="inlineStr">
        <is>
          <t>Acrobacia</t>
        </is>
      </c>
      <c r="F60" s="47" t="n"/>
      <c r="G60" s="47" t="n"/>
      <c r="H60" s="47" t="n"/>
      <c r="I60" s="47" t="n"/>
      <c r="J60" s="47" t="n"/>
      <c r="K60" s="47" t="n"/>
      <c r="L60" s="47" t="n"/>
      <c r="M60" s="48" t="inlineStr">
        <is>
          <t>Des</t>
        </is>
      </c>
      <c r="N60" s="47" t="n"/>
      <c r="O60" s="49">
        <f>$L$17+IF($D$60=TRUE,(1+COUNTIF(DADOS!$X$5:$X$7,"&lt;="&amp;$AH$11)),0)</f>
        <v/>
      </c>
      <c r="P60" s="47" t="n"/>
      <c r="Q60" s="23" t="n"/>
      <c r="R60" s="45" t="n"/>
      <c r="S60" s="46" t="inlineStr">
        <is>
          <t>Natureza</t>
        </is>
      </c>
      <c r="T60" s="47" t="n"/>
      <c r="U60" s="47" t="n"/>
      <c r="V60" s="47" t="n"/>
      <c r="W60" s="47" t="n"/>
      <c r="X60" s="47" t="n"/>
      <c r="Y60" s="47" t="n"/>
      <c r="Z60" s="47" t="n"/>
      <c r="AA60" s="48" t="inlineStr">
        <is>
          <t>Int</t>
        </is>
      </c>
      <c r="AB60" s="47" t="n"/>
      <c r="AC60" s="49">
        <f>$AB$17+IF($R$60=TRUE,(1+COUNTIF(DADOS!$X$5:$X$7,"&lt;="&amp;$AH$11)),0)</f>
        <v/>
      </c>
      <c r="AD60" s="47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5" t="n"/>
      <c r="E61" s="46" t="inlineStr">
        <is>
          <t>Furtividade</t>
        </is>
      </c>
      <c r="F61" s="47" t="n"/>
      <c r="G61" s="47" t="n"/>
      <c r="H61" s="47" t="n"/>
      <c r="I61" s="47" t="n"/>
      <c r="J61" s="47" t="n"/>
      <c r="K61" s="47" t="n"/>
      <c r="L61" s="47" t="n"/>
      <c r="M61" s="48" t="inlineStr">
        <is>
          <t>Des</t>
        </is>
      </c>
      <c r="N61" s="47" t="n"/>
      <c r="O61" s="49">
        <f>$L$17+IF($D$61=TRUE,(1+COUNTIF(DADOS!$X$5:$X$7,"&lt;="&amp;$AH$11)),0)</f>
        <v/>
      </c>
      <c r="P61" s="47" t="n"/>
      <c r="Q61" s="23" t="n"/>
      <c r="R61" s="45" t="n"/>
      <c r="S61" s="46" t="inlineStr">
        <is>
          <t>Lidar com Animais</t>
        </is>
      </c>
      <c r="T61" s="47" t="n"/>
      <c r="U61" s="47" t="n"/>
      <c r="V61" s="47" t="n"/>
      <c r="W61" s="47" t="n"/>
      <c r="X61" s="47" t="n"/>
      <c r="Y61" s="47" t="n"/>
      <c r="Z61" s="47" t="n"/>
      <c r="AA61" s="48" t="inlineStr">
        <is>
          <t>Int</t>
        </is>
      </c>
      <c r="AB61" s="47" t="n"/>
      <c r="AC61" s="49">
        <f>$AB$17+IF($R$61=TRUE,(1+COUNTIF(DADOS!$X$5:$X$7,"&lt;="&amp;$AH$11)),0)</f>
        <v/>
      </c>
      <c r="AD61" s="47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5" t="n"/>
      <c r="E62" s="46" t="inlineStr">
        <is>
          <t>Pontaria</t>
        </is>
      </c>
      <c r="F62" s="47" t="n"/>
      <c r="G62" s="47" t="n"/>
      <c r="H62" s="47" t="n"/>
      <c r="I62" s="47" t="n"/>
      <c r="J62" s="47" t="n"/>
      <c r="K62" s="47" t="n"/>
      <c r="L62" s="47" t="n"/>
      <c r="M62" s="48" t="inlineStr">
        <is>
          <t>Des</t>
        </is>
      </c>
      <c r="N62" s="47" t="n"/>
      <c r="O62" s="49">
        <f>$L$17+IF($D$62=TRUE,(1+COUNTIF(DADOS!$X$5:$X$7,"&lt;="&amp;$AH$11)),0)</f>
        <v/>
      </c>
      <c r="P62" s="47" t="n"/>
      <c r="Q62" s="23" t="n"/>
      <c r="R62" s="45" t="n"/>
      <c r="S62" s="46" t="inlineStr">
        <is>
          <t>Tecnologia</t>
        </is>
      </c>
      <c r="T62" s="47" t="n"/>
      <c r="U62" s="47" t="n"/>
      <c r="V62" s="47" t="n"/>
      <c r="W62" s="47" t="n"/>
      <c r="X62" s="47" t="n"/>
      <c r="Y62" s="47" t="n"/>
      <c r="Z62" s="47" t="n"/>
      <c r="AA62" s="48" t="inlineStr">
        <is>
          <t>Int</t>
        </is>
      </c>
      <c r="AB62" s="47" t="n"/>
      <c r="AC62" s="49">
        <f>$AB$17+IF($R$62=TRUE,(1+COUNTIF(DADOS!$X$5:$X$7,"&lt;="&amp;$AH$11)),0)</f>
        <v/>
      </c>
      <c r="AD62" s="47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5" t="n"/>
      <c r="E63" s="46" t="inlineStr">
        <is>
          <t>Prestidigitação</t>
        </is>
      </c>
      <c r="F63" s="47" t="n"/>
      <c r="G63" s="47" t="n"/>
      <c r="H63" s="47" t="n"/>
      <c r="I63" s="47" t="n"/>
      <c r="J63" s="47" t="n"/>
      <c r="K63" s="47" t="n"/>
      <c r="L63" s="47" t="n"/>
      <c r="M63" s="48" t="inlineStr">
        <is>
          <t>Des</t>
        </is>
      </c>
      <c r="N63" s="47" t="n"/>
      <c r="O63" s="49">
        <f>$L$17+IF($D$63=TRUE,(1+COUNTIF(DADOS!$X$5:$X$7,"&lt;="&amp;$AH$11)),0)</f>
        <v/>
      </c>
      <c r="P63" s="47" t="n"/>
      <c r="Q63" s="23" t="n"/>
      <c r="R63" s="45" t="n"/>
      <c r="S63" s="46" t="inlineStr">
        <is>
          <t>Sentir Energia</t>
        </is>
      </c>
      <c r="T63" s="47" t="n"/>
      <c r="U63" s="47" t="n"/>
      <c r="V63" s="47" t="n"/>
      <c r="W63" s="47" t="n"/>
      <c r="X63" s="47" t="n"/>
      <c r="Y63" s="47" t="n"/>
      <c r="Z63" s="47" t="n"/>
      <c r="AA63" s="48" t="inlineStr">
        <is>
          <t>Ess</t>
        </is>
      </c>
      <c r="AB63" s="47" t="n"/>
      <c r="AC63" s="49">
        <f>$AJ$17+IF($R$63=TRUE,(1+COUNTIF(DADOS!$X$5:$X$7,"&lt;="&amp;$AH$11)),0)</f>
        <v/>
      </c>
      <c r="AD63" s="47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5" t="n"/>
      <c r="E64" s="46" t="inlineStr">
        <is>
          <t>Investigação</t>
        </is>
      </c>
      <c r="F64" s="47" t="n"/>
      <c r="G64" s="47" t="n"/>
      <c r="H64" s="47" t="n"/>
      <c r="I64" s="47" t="n"/>
      <c r="J64" s="47" t="n"/>
      <c r="K64" s="47" t="n"/>
      <c r="L64" s="47" t="n"/>
      <c r="M64" s="48" t="inlineStr">
        <is>
          <t>Int</t>
        </is>
      </c>
      <c r="N64" s="47" t="n"/>
      <c r="O64" s="49">
        <f>$AB$17+IF($D$64=TRUE,(1+COUNTIF(DADOS!$X$5:$X$7,"&lt;="&amp;$AH$11)),0)</f>
        <v/>
      </c>
      <c r="P64" s="47" t="n"/>
      <c r="Q64" s="23" t="n"/>
      <c r="R64" s="45" t="n"/>
      <c r="S64" s="46" t="inlineStr">
        <is>
          <t>Percepção</t>
        </is>
      </c>
      <c r="T64" s="47" t="n"/>
      <c r="U64" s="47" t="n"/>
      <c r="V64" s="47" t="n"/>
      <c r="W64" s="47" t="n"/>
      <c r="X64" s="47" t="n"/>
      <c r="Y64" s="47" t="n"/>
      <c r="Z64" s="47" t="n"/>
      <c r="AA64" s="48" t="inlineStr">
        <is>
          <t>Ess</t>
        </is>
      </c>
      <c r="AB64" s="47" t="n"/>
      <c r="AC64" s="49">
        <f>$AJ$17+IF($R$64=TRUE,(1+COUNTIF(DADOS!$X$5:$X$7,"&lt;="&amp;$AH$11)),0)</f>
        <v/>
      </c>
      <c r="AD64" s="47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5" t="n"/>
      <c r="E65" s="46" t="inlineStr">
        <is>
          <t>Intuição</t>
        </is>
      </c>
      <c r="F65" s="47" t="n"/>
      <c r="G65" s="47" t="n"/>
      <c r="H65" s="47" t="n"/>
      <c r="I65" s="47" t="n"/>
      <c r="J65" s="47" t="n"/>
      <c r="K65" s="47" t="n"/>
      <c r="L65" s="47" t="n"/>
      <c r="M65" s="48" t="inlineStr">
        <is>
          <t>Int</t>
        </is>
      </c>
      <c r="N65" s="47" t="n"/>
      <c r="O65" s="49">
        <f>$AB$17+IF($D$65=TRUE,(1+COUNTIF(DADOS!$X$5:$X$7,"&lt;="&amp;$AH$11)),0)</f>
        <v/>
      </c>
      <c r="P65" s="47" t="n"/>
      <c r="Q65" s="23" t="n"/>
      <c r="R65" s="45" t="n"/>
      <c r="S65" s="46" t="inlineStr">
        <is>
          <t>Persuasão</t>
        </is>
      </c>
      <c r="T65" s="47" t="n"/>
      <c r="U65" s="47" t="n"/>
      <c r="V65" s="47" t="n"/>
      <c r="W65" s="47" t="n"/>
      <c r="X65" s="47" t="n"/>
      <c r="Y65" s="47" t="n"/>
      <c r="Z65" s="47" t="n"/>
      <c r="AA65" s="48" t="inlineStr">
        <is>
          <t>Ess</t>
        </is>
      </c>
      <c r="AB65" s="47" t="n"/>
      <c r="AC65" s="49">
        <f>$AJ$17+IF($R$65=TRUE,(1+COUNTIF(DADOS!$X$5:$X$7,"&lt;="&amp;$AH$11)),0)</f>
        <v/>
      </c>
      <c r="AD65" s="47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5" t="n"/>
      <c r="E66" s="46" t="inlineStr">
        <is>
          <t>Ocultismo</t>
        </is>
      </c>
      <c r="F66" s="47" t="n"/>
      <c r="G66" s="47" t="n"/>
      <c r="H66" s="47" t="n"/>
      <c r="I66" s="47" t="n"/>
      <c r="J66" s="47" t="n"/>
      <c r="K66" s="47" t="n"/>
      <c r="L66" s="47" t="n"/>
      <c r="M66" s="48" t="inlineStr">
        <is>
          <t>Int</t>
        </is>
      </c>
      <c r="N66" s="47" t="n"/>
      <c r="O66" s="49">
        <f>$AB$17+IF($D$66=TRUE,(1+COUNTIF(DADOS!$X$5:$X$7,"&lt;="&amp;$AH$11)),0)</f>
        <v/>
      </c>
      <c r="P66" s="47" t="n"/>
      <c r="Q66" s="23" t="n"/>
      <c r="R66" s="45" t="n"/>
      <c r="S66" s="46" t="inlineStr">
        <is>
          <t>Enganação</t>
        </is>
      </c>
      <c r="T66" s="47" t="n"/>
      <c r="U66" s="47" t="n"/>
      <c r="V66" s="47" t="n"/>
      <c r="W66" s="47" t="n"/>
      <c r="X66" s="47" t="n"/>
      <c r="Y66" s="47" t="n"/>
      <c r="Z66" s="47" t="n"/>
      <c r="AA66" s="48" t="inlineStr">
        <is>
          <t>Ess</t>
        </is>
      </c>
      <c r="AB66" s="47" t="n"/>
      <c r="AC66" s="49">
        <f>$AJ$17+IF($R$66=TRUE,(1+COUNTIF(DADOS!$X$5:$X$7,"&lt;="&amp;$AH$11)),0)</f>
        <v/>
      </c>
      <c r="AD66" s="47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5" t="n"/>
      <c r="E67" s="46" t="inlineStr">
        <is>
          <t>Religião</t>
        </is>
      </c>
      <c r="F67" s="47" t="n"/>
      <c r="G67" s="47" t="n"/>
      <c r="H67" s="47" t="n"/>
      <c r="I67" s="47" t="n"/>
      <c r="J67" s="47" t="n"/>
      <c r="K67" s="47" t="n"/>
      <c r="L67" s="47" t="n"/>
      <c r="M67" s="48" t="inlineStr">
        <is>
          <t>Int</t>
        </is>
      </c>
      <c r="N67" s="47" t="n"/>
      <c r="O67" s="49">
        <f>$AB$17+IF($D$67=TRUE,(1+COUNTIF(DADOS!$X$5:$X$7,"&lt;="&amp;$AH$11)),0)</f>
        <v/>
      </c>
      <c r="P67" s="47" t="n"/>
      <c r="Q67" s="23" t="n"/>
      <c r="R67" s="45" t="n"/>
      <c r="S67" s="46" t="inlineStr">
        <is>
          <t>Intimidação</t>
        </is>
      </c>
      <c r="T67" s="47" t="n"/>
      <c r="U67" s="47" t="n"/>
      <c r="V67" s="47" t="n"/>
      <c r="W67" s="47" t="n"/>
      <c r="X67" s="47" t="n"/>
      <c r="Y67" s="47" t="n"/>
      <c r="Z67" s="47" t="n"/>
      <c r="AA67" s="48" t="inlineStr">
        <is>
          <t>Ess</t>
        </is>
      </c>
      <c r="AB67" s="47" t="n"/>
      <c r="AC67" s="49">
        <f>$AJ$17+IF($R$67=TRUE,(1+COUNTIF(DADOS!$X$5:$X$7,"&lt;="&amp;$AH$11)),0)</f>
        <v/>
      </c>
      <c r="AD67" s="47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5" t="n"/>
      <c r="E68" s="46" t="inlineStr">
        <is>
          <t>História</t>
        </is>
      </c>
      <c r="F68" s="47" t="n"/>
      <c r="G68" s="47" t="n"/>
      <c r="H68" s="47" t="n"/>
      <c r="I68" s="47" t="n"/>
      <c r="J68" s="47" t="n"/>
      <c r="K68" s="47" t="n"/>
      <c r="L68" s="47" t="n"/>
      <c r="M68" s="48" t="inlineStr">
        <is>
          <t>Int</t>
        </is>
      </c>
      <c r="N68" s="47" t="n"/>
      <c r="O68" s="49">
        <f>$AB$17+IF($D$68=TRUE,(1+COUNTIF(DADOS!$X$5:$X$7,"&lt;="&amp;$AH$11)),0)</f>
        <v/>
      </c>
      <c r="P68" s="47" t="n"/>
      <c r="Q68" s="23" t="n"/>
      <c r="R68" s="45" t="n"/>
      <c r="S68" s="46" t="inlineStr">
        <is>
          <t>Atuação</t>
        </is>
      </c>
      <c r="T68" s="47" t="n"/>
      <c r="U68" s="47" t="n"/>
      <c r="V68" s="47" t="n"/>
      <c r="W68" s="47" t="n"/>
      <c r="X68" s="47" t="n"/>
      <c r="Y68" s="47" t="n"/>
      <c r="Z68" s="47" t="n"/>
      <c r="AA68" s="48" t="inlineStr">
        <is>
          <t>Ess</t>
        </is>
      </c>
      <c r="AB68" s="47" t="n"/>
      <c r="AC68" s="49">
        <f>$AJ$17+IF($R$68=TRUE,(1+COUNTIF(DADOS!$X$5:$X$7,"&lt;="&amp;$AH$11)),0)</f>
        <v/>
      </c>
      <c r="AD68" s="47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5" t="n"/>
      <c r="E69" s="46" t="inlineStr">
        <is>
          <t>Hierarquia</t>
        </is>
      </c>
      <c r="F69" s="47" t="n"/>
      <c r="G69" s="47" t="n"/>
      <c r="H69" s="47" t="n"/>
      <c r="I69" s="47" t="n"/>
      <c r="J69" s="47" t="n"/>
      <c r="K69" s="47" t="n"/>
      <c r="L69" s="47" t="n"/>
      <c r="M69" s="48" t="inlineStr">
        <is>
          <t>Int</t>
        </is>
      </c>
      <c r="N69" s="47" t="n"/>
      <c r="O69" s="49">
        <f>$AB$17+IF($D$69=TRUE,(1+COUNTIF(DADOS!$X$5:$X$7,"&lt;="&amp;$AH$11)),0)</f>
        <v/>
      </c>
      <c r="P69" s="47" t="n"/>
      <c r="Q69" s="23" t="n"/>
      <c r="R69" s="45" t="n"/>
      <c r="S69" s="46" t="inlineStr">
        <is>
          <t>Provocar</t>
        </is>
      </c>
      <c r="T69" s="47" t="n"/>
      <c r="U69" s="47" t="n"/>
      <c r="V69" s="47" t="n"/>
      <c r="W69" s="47" t="n"/>
      <c r="X69" s="47" t="n"/>
      <c r="Y69" s="47" t="n"/>
      <c r="Z69" s="47" t="n"/>
      <c r="AA69" s="48" t="inlineStr">
        <is>
          <t>Ess</t>
        </is>
      </c>
      <c r="AB69" s="47" t="n"/>
      <c r="AC69" s="49">
        <f>$AJ$17+IF($R$69=TRUE,(1+COUNTIF(DADOS!$X$5:$X$7,"&lt;="&amp;$AH$11)),0)</f>
        <v/>
      </c>
      <c r="AD69" s="47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5" t="n"/>
      <c r="E70" s="46" t="inlineStr">
        <is>
          <t>Medicina</t>
        </is>
      </c>
      <c r="F70" s="47" t="n"/>
      <c r="G70" s="47" t="n"/>
      <c r="H70" s="47" t="n"/>
      <c r="I70" s="47" t="n"/>
      <c r="J70" s="47" t="n"/>
      <c r="K70" s="47" t="n"/>
      <c r="L70" s="47" t="n"/>
      <c r="M70" s="48" t="inlineStr">
        <is>
          <t>Int</t>
        </is>
      </c>
      <c r="N70" s="47" t="n"/>
      <c r="O70" s="49">
        <f>$AB$17+IF($D$70=TRUE,(1+COUNTIF(DADOS!$X$5:$X$7,"&lt;="&amp;$AH$11)),0)</f>
        <v/>
      </c>
      <c r="P70" s="47" t="n"/>
      <c r="Q70" s="23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25" t="inlineStr">
        <is>
          <t>06</t>
        </is>
      </c>
      <c r="G72" s="26" t="inlineStr">
        <is>
          <t>OFÍCIOS E TESTES DE RESISTÊNCIA</t>
        </is>
      </c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D74" s="41" t="n"/>
      <c r="E74" s="42" t="inlineStr">
        <is>
          <t>Condução</t>
        </is>
      </c>
      <c r="N74" s="23" t="n"/>
      <c r="O74" s="41" t="n"/>
      <c r="P74" s="42" t="inlineStr">
        <is>
          <t>Entalhador</t>
        </is>
      </c>
      <c r="Y74" s="23" t="n"/>
      <c r="Z74" s="23" t="n"/>
      <c r="AA74" s="23" t="n"/>
      <c r="AB74" s="41" t="n"/>
      <c r="AC74" s="42" t="inlineStr">
        <is>
          <t>Físico</t>
        </is>
      </c>
      <c r="AK74" s="43" t="inlineStr">
        <is>
          <t>For ou Des</t>
        </is>
      </c>
      <c r="AP74" s="44">
        <f>$D$17+IF($AB$74=TRUE,2,0)</f>
        <v/>
      </c>
    </row>
    <row r="75" ht="15" customHeight="1">
      <c r="A75" s="7" t="n"/>
      <c r="B75" s="7" t="n"/>
      <c r="C75" s="23" t="n"/>
      <c r="D75" s="45" t="n"/>
      <c r="E75" s="46" t="inlineStr">
        <is>
          <t>Arrombamento</t>
        </is>
      </c>
      <c r="F75" s="47" t="n"/>
      <c r="G75" s="47" t="n"/>
      <c r="H75" s="47" t="n"/>
      <c r="I75" s="47" t="n"/>
      <c r="J75" s="47" t="n"/>
      <c r="K75" s="47" t="n"/>
      <c r="L75" s="47" t="n"/>
      <c r="M75" s="47" t="n"/>
      <c r="N75" s="23" t="n"/>
      <c r="O75" s="45" t="n"/>
      <c r="P75" s="46" t="inlineStr">
        <is>
          <t>Alfaiate</t>
        </is>
      </c>
      <c r="Q75" s="47" t="n"/>
      <c r="R75" s="47" t="n"/>
      <c r="S75" s="47" t="n"/>
      <c r="T75" s="47" t="n"/>
      <c r="U75" s="47" t="n"/>
      <c r="V75" s="47" t="n"/>
      <c r="W75" s="47" t="n"/>
      <c r="X75" s="47" t="n"/>
      <c r="Y75" s="23" t="n"/>
      <c r="Z75" s="23" t="n"/>
      <c r="AA75" s="23" t="n"/>
      <c r="AB75" s="45" t="n"/>
      <c r="AC75" s="46" t="inlineStr">
        <is>
          <t>Vigor</t>
        </is>
      </c>
      <c r="AD75" s="47" t="n"/>
      <c r="AE75" s="47" t="n"/>
      <c r="AF75" s="47" t="n"/>
      <c r="AG75" s="47" t="n"/>
      <c r="AH75" s="47" t="n"/>
      <c r="AI75" s="47" t="n"/>
      <c r="AJ75" s="47" t="n"/>
      <c r="AK75" s="48" t="inlineStr">
        <is>
          <t>Con</t>
        </is>
      </c>
      <c r="AL75" s="47" t="n"/>
      <c r="AM75" s="47" t="n"/>
      <c r="AN75" s="47" t="n"/>
      <c r="AO75" s="47" t="n"/>
      <c r="AP75" s="49">
        <f>$T$17+IF($AB$75=TRUE,2,0)</f>
        <v/>
      </c>
      <c r="AQ75" s="47" t="n"/>
      <c r="AR75" s="47" t="n"/>
      <c r="AS75" s="47" t="n"/>
      <c r="AT75" s="47" t="n"/>
    </row>
    <row r="76" ht="15" customHeight="1">
      <c r="A76" s="7" t="n"/>
      <c r="B76" s="7" t="n"/>
      <c r="C76" s="23" t="n"/>
      <c r="D76" s="45" t="n"/>
      <c r="E76" s="46" t="inlineStr">
        <is>
          <t>Herbalismo</t>
        </is>
      </c>
      <c r="F76" s="47" t="n"/>
      <c r="G76" s="47" t="n"/>
      <c r="H76" s="47" t="n"/>
      <c r="I76" s="47" t="n"/>
      <c r="J76" s="47" t="n"/>
      <c r="K76" s="47" t="n"/>
      <c r="L76" s="47" t="n"/>
      <c r="M76" s="47" t="n"/>
      <c r="N76" s="23" t="n"/>
      <c r="O76" s="45" t="n"/>
      <c r="P76" s="46" t="inlineStr">
        <is>
          <t>Culinária</t>
        </is>
      </c>
      <c r="Q76" s="47" t="n"/>
      <c r="R76" s="47" t="n"/>
      <c r="S76" s="47" t="n"/>
      <c r="T76" s="47" t="n"/>
      <c r="U76" s="47" t="n"/>
      <c r="V76" s="47" t="n"/>
      <c r="W76" s="47" t="n"/>
      <c r="X76" s="47" t="n"/>
      <c r="Y76" s="23" t="n"/>
      <c r="Z76" s="23" t="n"/>
      <c r="AA76" s="23" t="n"/>
      <c r="AB76" s="45" t="n"/>
      <c r="AC76" s="46" t="inlineStr">
        <is>
          <t>Intelecto</t>
        </is>
      </c>
      <c r="AD76" s="47" t="n"/>
      <c r="AE76" s="47" t="n"/>
      <c r="AF76" s="47" t="n"/>
      <c r="AG76" s="47" t="n"/>
      <c r="AH76" s="47" t="n"/>
      <c r="AI76" s="47" t="n"/>
      <c r="AJ76" s="47" t="n"/>
      <c r="AK76" s="48" t="inlineStr">
        <is>
          <t>Int</t>
        </is>
      </c>
      <c r="AL76" s="47" t="n"/>
      <c r="AM76" s="47" t="n"/>
      <c r="AN76" s="47" t="n"/>
      <c r="AO76" s="47" t="n"/>
      <c r="AP76" s="49">
        <f>$AB$17+IF($AB$76=TRUE,2,0)</f>
        <v/>
      </c>
      <c r="AQ76" s="47" t="n"/>
      <c r="AR76" s="47" t="n"/>
      <c r="AS76" s="47" t="n"/>
      <c r="AT76" s="47" t="n"/>
    </row>
    <row r="77" ht="15" customHeight="1">
      <c r="A77" s="7" t="n"/>
      <c r="B77" s="7" t="n"/>
      <c r="C77" s="23" t="n"/>
      <c r="D77" s="45" t="n"/>
      <c r="E77" s="46" t="inlineStr">
        <is>
          <t>Forja</t>
        </is>
      </c>
      <c r="F77" s="47" t="n"/>
      <c r="G77" s="47" t="n"/>
      <c r="H77" s="47" t="n"/>
      <c r="I77" s="47" t="n"/>
      <c r="J77" s="47" t="n"/>
      <c r="K77" s="47" t="n"/>
      <c r="L77" s="47" t="n"/>
      <c r="M77" s="47" t="n"/>
      <c r="N77" s="23" t="n"/>
      <c r="O77" s="45" t="n"/>
      <c r="P77" s="46" t="inlineStr">
        <is>
          <t>Instrumento</t>
        </is>
      </c>
      <c r="Q77" s="47" t="n"/>
      <c r="R77" s="47" t="n"/>
      <c r="S77" s="47" t="n"/>
      <c r="T77" s="47" t="n"/>
      <c r="U77" s="47" t="n"/>
      <c r="V77" s="47" t="n"/>
      <c r="W77" s="47" t="n"/>
      <c r="X77" s="47" t="n"/>
      <c r="Y77" s="23" t="n"/>
      <c r="Z77" s="23" t="n"/>
      <c r="AA77" s="23" t="n"/>
      <c r="AB77" s="45" t="n"/>
      <c r="AC77" s="46" t="inlineStr">
        <is>
          <t>Espírito</t>
        </is>
      </c>
      <c r="AD77" s="47" t="n"/>
      <c r="AE77" s="47" t="n"/>
      <c r="AF77" s="47" t="n"/>
      <c r="AG77" s="47" t="n"/>
      <c r="AH77" s="47" t="n"/>
      <c r="AI77" s="47" t="n"/>
      <c r="AJ77" s="47" t="n"/>
      <c r="AK77" s="48" t="inlineStr">
        <is>
          <t>Ess</t>
        </is>
      </c>
      <c r="AL77" s="47" t="n"/>
      <c r="AM77" s="47" t="n"/>
      <c r="AN77" s="47" t="n"/>
      <c r="AO77" s="47" t="n"/>
      <c r="AP77" s="49">
        <f>$AJ$17+IF($AB$77=TRUE,2,0)</f>
        <v/>
      </c>
      <c r="AQ77" s="47" t="n"/>
      <c r="AR77" s="47" t="n"/>
      <c r="AS77" s="47" t="n"/>
      <c r="AT77" s="47" t="n"/>
    </row>
    <row r="78" ht="15" customHeight="1">
      <c r="A78" s="7" t="n"/>
      <c r="B78" s="7" t="n"/>
      <c r="C78" s="23" t="n"/>
      <c r="D78" s="45" t="n"/>
      <c r="E78" s="46" t="inlineStr">
        <is>
          <t>Caligrafia</t>
        </is>
      </c>
      <c r="F78" s="47" t="n"/>
      <c r="G78" s="47" t="n"/>
      <c r="H78" s="47" t="n"/>
      <c r="I78" s="47" t="n"/>
      <c r="J78" s="47" t="n"/>
      <c r="K78" s="47" t="n"/>
      <c r="L78" s="47" t="n"/>
      <c r="M78" s="47" t="n"/>
      <c r="N78" s="23" t="n"/>
      <c r="O78" s="45" t="n"/>
      <c r="P78" s="46" t="inlineStr">
        <is>
          <t>Jogatina</t>
        </is>
      </c>
      <c r="Q78" s="47" t="n"/>
      <c r="R78" s="47" t="n"/>
      <c r="S78" s="47" t="n"/>
      <c r="T78" s="47" t="n"/>
      <c r="U78" s="47" t="n"/>
      <c r="V78" s="47" t="n"/>
      <c r="W78" s="47" t="n"/>
      <c r="X78" s="47" t="n"/>
      <c r="Y78" s="23" t="n"/>
      <c r="Z78" s="23" t="n"/>
      <c r="AA78" s="23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</row>
    <row r="79" ht="15" customHeight="1">
      <c r="A79" s="7" t="n"/>
      <c r="B79" s="7" t="n"/>
      <c r="C79" s="23" t="n"/>
      <c r="D79" s="45" t="n"/>
      <c r="E79" s="46" t="inlineStr">
        <is>
          <t>Burocracia</t>
        </is>
      </c>
      <c r="F79" s="47" t="n"/>
      <c r="G79" s="47" t="n"/>
      <c r="H79" s="47" t="n"/>
      <c r="I79" s="47" t="n"/>
      <c r="J79" s="47" t="n"/>
      <c r="K79" s="47" t="n"/>
      <c r="L79" s="47" t="n"/>
      <c r="M79" s="47" t="n"/>
      <c r="N79" s="23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  <c r="AB91" s="23" t="n"/>
      <c r="AC91" s="23" t="n"/>
      <c r="AD91" s="23" t="n"/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</sheetData>
  <mergeCells count="189">
    <mergeCell ref="O47:X47"/>
    <mergeCell ref="AK75:AO75"/>
    <mergeCell ref="M59:N59"/>
    <mergeCell ref="D2:X2"/>
    <mergeCell ref="D39:M39"/>
    <mergeCell ref="D22:N22"/>
    <mergeCell ref="AC62:AD62"/>
    <mergeCell ref="AH2:AT2"/>
    <mergeCell ref="E74:M74"/>
    <mergeCell ref="M70:N70"/>
    <mergeCell ref="M60:N60"/>
    <mergeCell ref="AC77:AJ77"/>
    <mergeCell ref="AC74:AJ74"/>
    <mergeCell ref="AA60:AB60"/>
    <mergeCell ref="AF23:AK23"/>
    <mergeCell ref="O63:P63"/>
    <mergeCell ref="S67:Z67"/>
    <mergeCell ref="AH10:AL10"/>
    <mergeCell ref="AM31:AR31"/>
    <mergeCell ref="D19:J19"/>
    <mergeCell ref="L16:R16"/>
    <mergeCell ref="E60:L60"/>
    <mergeCell ref="E69:L69"/>
    <mergeCell ref="A8:B26"/>
    <mergeCell ref="AP74:AT74"/>
    <mergeCell ref="AA63:AB63"/>
    <mergeCell ref="S69:Z69"/>
    <mergeCell ref="E59:L59"/>
    <mergeCell ref="AC63:AD63"/>
    <mergeCell ref="E75:M75"/>
    <mergeCell ref="D34:AT34"/>
    <mergeCell ref="O39:X39"/>
    <mergeCell ref="AA68:AB68"/>
    <mergeCell ref="AF22:AK22"/>
    <mergeCell ref="AM26:AR26"/>
    <mergeCell ref="AC60:AD60"/>
    <mergeCell ref="E61:L61"/>
    <mergeCell ref="D10:L10"/>
    <mergeCell ref="O60:P60"/>
    <mergeCell ref="AM23:AR23"/>
    <mergeCell ref="M62:N62"/>
    <mergeCell ref="AK54:AT54"/>
    <mergeCell ref="O66:P66"/>
    <mergeCell ref="D43:M43"/>
    <mergeCell ref="D8:F9"/>
    <mergeCell ref="D26:N26"/>
    <mergeCell ref="AN11:AT11"/>
    <mergeCell ref="D11:L11"/>
    <mergeCell ref="O68:P68"/>
    <mergeCell ref="AK40:AT40"/>
    <mergeCell ref="Z44:AI44"/>
    <mergeCell ref="O48:X48"/>
    <mergeCell ref="S62:Z62"/>
    <mergeCell ref="P77:X77"/>
    <mergeCell ref="D51:F52"/>
    <mergeCell ref="M64:N64"/>
    <mergeCell ref="D54:M54"/>
    <mergeCell ref="O65:P65"/>
    <mergeCell ref="J31:N32"/>
    <mergeCell ref="E63:L63"/>
    <mergeCell ref="AC76:AJ76"/>
    <mergeCell ref="AF26:AK26"/>
    <mergeCell ref="P78:X78"/>
    <mergeCell ref="S66:Z66"/>
    <mergeCell ref="E65:L65"/>
    <mergeCell ref="AC64:AD64"/>
    <mergeCell ref="M65:N65"/>
    <mergeCell ref="E76:M76"/>
    <mergeCell ref="D40:M40"/>
    <mergeCell ref="J23:N24"/>
    <mergeCell ref="S68:Z68"/>
    <mergeCell ref="O62:P62"/>
    <mergeCell ref="P27:AD28"/>
    <mergeCell ref="AF27:AK27"/>
    <mergeCell ref="AB16:AH16"/>
    <mergeCell ref="AC65:AD65"/>
    <mergeCell ref="D72:F73"/>
    <mergeCell ref="AP77:AT77"/>
    <mergeCell ref="M66:N66"/>
    <mergeCell ref="L17:R18"/>
    <mergeCell ref="M63:N63"/>
    <mergeCell ref="O43:X43"/>
    <mergeCell ref="D37:F38"/>
    <mergeCell ref="D5:Z5"/>
    <mergeCell ref="AP75:AT75"/>
    <mergeCell ref="M68:N68"/>
    <mergeCell ref="AK44:AT44"/>
    <mergeCell ref="AJ17:AP18"/>
    <mergeCell ref="G37:X37"/>
    <mergeCell ref="E62:L62"/>
    <mergeCell ref="M67:N67"/>
    <mergeCell ref="AC66:AD66"/>
    <mergeCell ref="E78:M78"/>
    <mergeCell ref="G57:AD57"/>
    <mergeCell ref="AF30:AK30"/>
    <mergeCell ref="T19:Z19"/>
    <mergeCell ref="S61:Z61"/>
    <mergeCell ref="E77:M77"/>
    <mergeCell ref="S63:Z63"/>
    <mergeCell ref="E64:L64"/>
    <mergeCell ref="AC68:AD68"/>
    <mergeCell ref="M69:N69"/>
    <mergeCell ref="N10:V10"/>
    <mergeCell ref="AK74:AO74"/>
    <mergeCell ref="D44:M44"/>
    <mergeCell ref="P75:X75"/>
    <mergeCell ref="AC67:AD67"/>
    <mergeCell ref="AF31:AK31"/>
    <mergeCell ref="G72:AH72"/>
    <mergeCell ref="O53:X53"/>
    <mergeCell ref="G51:X51"/>
    <mergeCell ref="D23:H24"/>
    <mergeCell ref="O59:P59"/>
    <mergeCell ref="AA65:AB65"/>
    <mergeCell ref="AC69:AD69"/>
    <mergeCell ref="P31:AD32"/>
    <mergeCell ref="D57:F58"/>
    <mergeCell ref="AA59:AB59"/>
    <mergeCell ref="AK43:AT43"/>
    <mergeCell ref="Z53:AI53"/>
    <mergeCell ref="O61:P61"/>
    <mergeCell ref="S65:Z65"/>
    <mergeCell ref="O70:P70"/>
    <mergeCell ref="D27:H28"/>
    <mergeCell ref="O54:X54"/>
    <mergeCell ref="D30:N30"/>
    <mergeCell ref="D48:M48"/>
    <mergeCell ref="AK77:AO77"/>
    <mergeCell ref="AA62:AB62"/>
    <mergeCell ref="D16:J16"/>
    <mergeCell ref="AP76:AT76"/>
    <mergeCell ref="E66:L66"/>
    <mergeCell ref="Z39:AI39"/>
    <mergeCell ref="A30:B48"/>
    <mergeCell ref="J27:N28"/>
    <mergeCell ref="S60:Z60"/>
    <mergeCell ref="O40:X40"/>
    <mergeCell ref="D14:F15"/>
    <mergeCell ref="E68:L68"/>
    <mergeCell ref="T16:Z16"/>
    <mergeCell ref="S59:Z59"/>
    <mergeCell ref="E67:L67"/>
    <mergeCell ref="AC75:AJ75"/>
    <mergeCell ref="D3:Z4"/>
    <mergeCell ref="D17:J18"/>
    <mergeCell ref="AB19:AH19"/>
    <mergeCell ref="AJ16:AP16"/>
    <mergeCell ref="AN10:AT10"/>
    <mergeCell ref="Z40:AI40"/>
    <mergeCell ref="AM30:AR30"/>
    <mergeCell ref="G14:X14"/>
    <mergeCell ref="AH3:AT3"/>
    <mergeCell ref="AB17:AH18"/>
    <mergeCell ref="AK53:AT53"/>
    <mergeCell ref="T17:Z18"/>
    <mergeCell ref="O69:P69"/>
    <mergeCell ref="X10:AF10"/>
    <mergeCell ref="Z54:AI54"/>
    <mergeCell ref="L19:R19"/>
    <mergeCell ref="AA69:AB69"/>
    <mergeCell ref="D31:H32"/>
    <mergeCell ref="AM27:AR27"/>
    <mergeCell ref="P74:X74"/>
    <mergeCell ref="AA66:AB66"/>
    <mergeCell ref="AH11:AL11"/>
    <mergeCell ref="AK76:AO76"/>
    <mergeCell ref="AK39:AT39"/>
    <mergeCell ref="M61:N61"/>
    <mergeCell ref="E70:L70"/>
    <mergeCell ref="Z43:AI43"/>
    <mergeCell ref="O64:P64"/>
    <mergeCell ref="N11:V11"/>
    <mergeCell ref="AJ19:AP19"/>
    <mergeCell ref="P23:AD24"/>
    <mergeCell ref="P76:X76"/>
    <mergeCell ref="AC59:AD59"/>
    <mergeCell ref="X11:AF11"/>
    <mergeCell ref="O44:X44"/>
    <mergeCell ref="S64:Z64"/>
    <mergeCell ref="AA64:AB64"/>
    <mergeCell ref="O67:P67"/>
    <mergeCell ref="D53:M53"/>
    <mergeCell ref="AA67:AB67"/>
    <mergeCell ref="AM22:AR22"/>
    <mergeCell ref="D47:M47"/>
    <mergeCell ref="AA61:AB61"/>
    <mergeCell ref="E79:M79"/>
    <mergeCell ref="AC61:AD61"/>
    <mergeCell ref="G8:X8"/>
  </mergeCells>
  <dataValidations count="3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5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52" t="inlineStr">
        <is>
          <t>VIDA</t>
        </is>
      </c>
      <c r="F4" s="23" t="n"/>
      <c r="G4" s="52" t="inlineStr">
        <is>
          <t>ENERGIA</t>
        </is>
      </c>
      <c r="L4" s="23" t="n"/>
    </row>
    <row r="5" ht="15" customHeight="1">
      <c r="A5" s="53">
        <f>FICHA!D23</f>
        <v/>
      </c>
      <c r="F5" s="23" t="n"/>
      <c r="G5" s="5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52">
        <f>"de "&amp;FICHA!J23</f>
        <v/>
      </c>
      <c r="F8" s="23" t="n"/>
      <c r="G8" s="5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52" t="inlineStr">
        <is>
          <t>DEFESA</t>
        </is>
      </c>
      <c r="F10" s="23" t="n"/>
      <c r="G10" s="52" t="inlineStr">
        <is>
          <t>INICIATIVA</t>
        </is>
      </c>
      <c r="L10" s="23" t="n"/>
    </row>
    <row r="11" ht="15" customHeight="1">
      <c r="A11" s="54">
        <f>FICHA!D40</f>
        <v/>
      </c>
      <c r="F11" s="23" t="n"/>
      <c r="G11" s="54">
        <f>FICHA!AK40</f>
        <v/>
      </c>
      <c r="L11" s="23" t="n"/>
    </row>
    <row r="12" ht="15" customHeight="1">
      <c r="F12" s="23" t="n"/>
      <c r="L12" s="23" t="n"/>
    </row>
    <row r="13" ht="15" customHeight="1">
      <c r="A13" s="55" t="inlineStr">
        <is>
          <t>CORPO A CORPO</t>
        </is>
      </c>
      <c r="F13" s="23" t="n"/>
      <c r="G13" s="55" t="inlineStr">
        <is>
          <t>À DISTÂNCIA</t>
        </is>
      </c>
      <c r="L13" s="23" t="n"/>
    </row>
    <row r="14" ht="15" customHeight="1">
      <c r="A14" s="56">
        <f>FICHA!Z44</f>
        <v/>
      </c>
      <c r="F14" s="23" t="n"/>
      <c r="G14" s="56">
        <f>FICHA!AK44</f>
        <v/>
      </c>
      <c r="L14" s="23" t="n"/>
    </row>
    <row r="15" ht="15" customHeight="1">
      <c r="F15" s="23" t="n"/>
      <c r="L15" s="23" t="n"/>
    </row>
    <row r="16" ht="15" customHeight="1">
      <c r="A16" s="52" t="inlineStr">
        <is>
          <t>CONJURAÇÃO</t>
        </is>
      </c>
      <c r="F16" s="23" t="n"/>
      <c r="G16" s="52" t="inlineStr">
        <is>
          <t>CD DE FEITIÇO</t>
        </is>
      </c>
      <c r="L16" s="23" t="n"/>
    </row>
    <row r="17" ht="15" customHeight="1">
      <c r="A17" s="54">
        <f>FICHA!O44</f>
        <v/>
      </c>
      <c r="F17" s="23" t="n"/>
      <c r="G17" s="54">
        <f>FICHA!D44</f>
        <v/>
      </c>
      <c r="L17" s="23" t="n"/>
    </row>
    <row r="18" ht="15" customHeight="1">
      <c r="F18" s="23" t="n"/>
      <c r="L18" s="23" t="n"/>
    </row>
    <row r="19" ht="15" customHeight="1">
      <c r="A19" s="55" t="inlineStr">
        <is>
          <t>DESLOCAMENTO</t>
        </is>
      </c>
      <c r="F19" s="23" t="n"/>
      <c r="G19" s="55" t="inlineStr">
        <is>
          <t>MAESTRIA</t>
        </is>
      </c>
      <c r="L19" s="23" t="n"/>
    </row>
    <row r="20" ht="15" customHeight="1">
      <c r="A20" s="56">
        <f>FICHA!O48</f>
        <v/>
      </c>
      <c r="F20" s="23" t="n"/>
      <c r="G20" s="5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55" t="inlineStr">
        <is>
          <t>ESTADO DA ALMA</t>
        </is>
      </c>
    </row>
    <row r="24" ht="15" customHeight="1">
      <c r="A24" s="57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58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59" t="inlineStr">
        <is>
          <t>NOME</t>
        </is>
      </c>
      <c r="E27" s="59" t="inlineStr">
        <is>
          <t>CL</t>
        </is>
      </c>
      <c r="F27" s="59" t="inlineStr">
        <is>
          <t>DANO</t>
        </is>
      </c>
      <c r="H27" s="59" t="inlineStr">
        <is>
          <t>PE</t>
        </is>
      </c>
      <c r="I27" s="59" t="inlineStr">
        <is>
          <t>ALCANCE</t>
        </is>
      </c>
      <c r="K27" s="59" t="inlineStr">
        <is>
          <t>RESOLVE</t>
        </is>
      </c>
    </row>
    <row r="28" ht="15" customHeight="1">
      <c r="A28" s="60" t="n"/>
      <c r="E28" s="61" t="n"/>
      <c r="F28" s="61" t="n"/>
      <c r="H28" s="61" t="n"/>
      <c r="I28" s="61" t="n"/>
      <c r="K28" s="61" t="n"/>
    </row>
    <row r="29" ht="15" customHeight="1">
      <c r="A29" s="62" t="n"/>
      <c r="E29" s="63" t="n"/>
      <c r="F29" s="63" t="n"/>
      <c r="H29" s="63" t="n"/>
      <c r="I29" s="63" t="n"/>
      <c r="K29" s="63" t="n"/>
    </row>
    <row r="30" ht="15" customHeight="1">
      <c r="A30" s="60" t="n"/>
      <c r="E30" s="61" t="n"/>
      <c r="F30" s="61" t="n"/>
      <c r="H30" s="61" t="n"/>
      <c r="I30" s="61" t="n"/>
      <c r="K30" s="61" t="n"/>
    </row>
    <row r="31" ht="15" customHeight="1">
      <c r="A31" s="62" t="n"/>
      <c r="E31" s="63" t="n"/>
      <c r="F31" s="63" t="n"/>
      <c r="H31" s="63" t="n"/>
      <c r="I31" s="63" t="n"/>
      <c r="K31" s="63" t="n"/>
    </row>
    <row r="32" ht="15" customHeight="1">
      <c r="A32" s="60" t="n"/>
      <c r="E32" s="61" t="n"/>
      <c r="F32" s="61" t="n"/>
      <c r="H32" s="61" t="n"/>
      <c r="I32" s="61" t="n"/>
      <c r="K32" s="61" t="n"/>
    </row>
    <row r="33" ht="15" customHeight="1">
      <c r="A33" s="62" t="n"/>
      <c r="E33" s="63" t="n"/>
      <c r="F33" s="63" t="n"/>
      <c r="H33" s="63" t="n"/>
      <c r="I33" s="63" t="n"/>
      <c r="K33" s="63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64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23" t="n"/>
      <c r="B4" s="23" t="n"/>
      <c r="C4" s="65" t="inlineStr">
        <is>
          <t>APARÊNCIA</t>
        </is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  <c r="AQ4" s="66" t="n"/>
      <c r="AR4" s="66" t="n"/>
      <c r="AS4" s="66" t="n"/>
      <c r="AT4" s="66" t="n"/>
    </row>
    <row r="5" ht="15" customHeight="1">
      <c r="A5" s="23" t="n"/>
      <c r="B5" s="23" t="n"/>
      <c r="C5" s="67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  <c r="AE5" s="66" t="n"/>
      <c r="AF5" s="66" t="n"/>
      <c r="AG5" s="66" t="n"/>
      <c r="AH5" s="66" t="n"/>
      <c r="AI5" s="66" t="n"/>
      <c r="AJ5" s="66" t="n"/>
      <c r="AK5" s="66" t="n"/>
      <c r="AL5" s="66" t="n"/>
      <c r="AM5" s="66" t="n"/>
      <c r="AN5" s="66" t="n"/>
      <c r="AO5" s="66" t="n"/>
      <c r="AP5" s="66" t="n"/>
      <c r="AQ5" s="66" t="n"/>
      <c r="AR5" s="66" t="n"/>
      <c r="AS5" s="66" t="n"/>
      <c r="AT5" s="66" t="n"/>
    </row>
    <row r="6" ht="15" customHeight="1">
      <c r="A6" s="23" t="n"/>
      <c r="B6" s="23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</row>
    <row r="7" ht="15" customHeight="1">
      <c r="A7" s="23" t="n"/>
      <c r="B7" s="23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  <c r="AE7" s="66" t="n"/>
      <c r="AF7" s="66" t="n"/>
      <c r="AG7" s="66" t="n"/>
      <c r="AH7" s="66" t="n"/>
      <c r="AI7" s="66" t="n"/>
      <c r="AJ7" s="66" t="n"/>
      <c r="AK7" s="66" t="n"/>
      <c r="AL7" s="66" t="n"/>
      <c r="AM7" s="66" t="n"/>
      <c r="AN7" s="66" t="n"/>
      <c r="AO7" s="66" t="n"/>
      <c r="AP7" s="66" t="n"/>
      <c r="AQ7" s="66" t="n"/>
      <c r="AR7" s="66" t="n"/>
      <c r="AS7" s="66" t="n"/>
      <c r="AT7" s="66" t="n"/>
    </row>
    <row r="8" ht="15" customHeight="1">
      <c r="A8" s="23" t="n"/>
      <c r="B8" s="23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</row>
    <row r="9" ht="15" customHeight="1">
      <c r="A9" s="23" t="n"/>
      <c r="B9" s="23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  <c r="AE9" s="66" t="n"/>
      <c r="AF9" s="66" t="n"/>
      <c r="AG9" s="66" t="n"/>
      <c r="AH9" s="66" t="n"/>
      <c r="AI9" s="66" t="n"/>
      <c r="AJ9" s="66" t="n"/>
      <c r="AK9" s="66" t="n"/>
      <c r="AL9" s="66" t="n"/>
      <c r="AM9" s="66" t="n"/>
      <c r="AN9" s="66" t="n"/>
      <c r="AO9" s="66" t="n"/>
      <c r="AP9" s="66" t="n"/>
      <c r="AQ9" s="66" t="n"/>
      <c r="AR9" s="66" t="n"/>
      <c r="AS9" s="66" t="n"/>
      <c r="AT9" s="66" t="n"/>
    </row>
    <row r="10" ht="15" customHeight="1">
      <c r="A10" s="23" t="n"/>
      <c r="B10" s="23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</row>
    <row r="11" ht="15" customHeight="1">
      <c r="A11" s="23" t="n"/>
      <c r="B11" s="23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</row>
    <row r="12" ht="15" customHeight="1">
      <c r="A12" s="23" t="n"/>
      <c r="B12" s="23" t="n"/>
      <c r="C12" s="65" t="inlineStr">
        <is>
          <t>HISTÓRIA</t>
        </is>
      </c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</row>
    <row r="13" ht="15" customHeight="1">
      <c r="A13" s="23" t="n"/>
      <c r="B13" s="23" t="n"/>
      <c r="C13" s="67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  <c r="AE13" s="66" t="n"/>
      <c r="AF13" s="66" t="n"/>
      <c r="AG13" s="66" t="n"/>
      <c r="AH13" s="66" t="n"/>
      <c r="AI13" s="66" t="n"/>
      <c r="AJ13" s="66" t="n"/>
      <c r="AK13" s="66" t="n"/>
      <c r="AL13" s="66" t="n"/>
      <c r="AM13" s="66" t="n"/>
      <c r="AN13" s="66" t="n"/>
      <c r="AO13" s="66" t="n"/>
      <c r="AP13" s="66" t="n"/>
      <c r="AQ13" s="66" t="n"/>
      <c r="AR13" s="66" t="n"/>
      <c r="AS13" s="66" t="n"/>
      <c r="AT13" s="66" t="n"/>
    </row>
    <row r="14" ht="15" customHeight="1">
      <c r="A14" s="23" t="n"/>
      <c r="B14" s="23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</row>
    <row r="15" ht="15" customHeight="1">
      <c r="A15" s="23" t="n"/>
      <c r="B15" s="23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  <c r="AE15" s="66" t="n"/>
      <c r="AF15" s="66" t="n"/>
      <c r="AG15" s="66" t="n"/>
      <c r="AH15" s="66" t="n"/>
      <c r="AI15" s="66" t="n"/>
      <c r="AJ15" s="66" t="n"/>
      <c r="AK15" s="66" t="n"/>
      <c r="AL15" s="66" t="n"/>
      <c r="AM15" s="66" t="n"/>
      <c r="AN15" s="66" t="n"/>
      <c r="AO15" s="66" t="n"/>
      <c r="AP15" s="66" t="n"/>
      <c r="AQ15" s="66" t="n"/>
      <c r="AR15" s="66" t="n"/>
      <c r="AS15" s="66" t="n"/>
      <c r="AT15" s="66" t="n"/>
    </row>
    <row r="16" ht="15" customHeight="1">
      <c r="A16" s="23" t="n"/>
      <c r="B16" s="23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</row>
    <row r="17" ht="15" customHeight="1">
      <c r="A17" s="23" t="n"/>
      <c r="B17" s="23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  <c r="AE17" s="66" t="n"/>
      <c r="AF17" s="66" t="n"/>
      <c r="AG17" s="66" t="n"/>
      <c r="AH17" s="66" t="n"/>
      <c r="AI17" s="66" t="n"/>
      <c r="AJ17" s="66" t="n"/>
      <c r="AK17" s="66" t="n"/>
      <c r="AL17" s="66" t="n"/>
      <c r="AM17" s="66" t="n"/>
      <c r="AN17" s="66" t="n"/>
      <c r="AO17" s="66" t="n"/>
      <c r="AP17" s="66" t="n"/>
      <c r="AQ17" s="66" t="n"/>
      <c r="AR17" s="66" t="n"/>
      <c r="AS17" s="66" t="n"/>
      <c r="AT17" s="66" t="n"/>
    </row>
    <row r="18" ht="15" customHeight="1">
      <c r="A18" s="23" t="n"/>
      <c r="B18" s="23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</row>
    <row r="19" ht="15" customHeight="1">
      <c r="A19" s="23" t="n"/>
      <c r="B19" s="23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  <c r="AE19" s="66" t="n"/>
      <c r="AF19" s="66" t="n"/>
      <c r="AG19" s="66" t="n"/>
      <c r="AH19" s="66" t="n"/>
      <c r="AI19" s="66" t="n"/>
      <c r="AJ19" s="66" t="n"/>
      <c r="AK19" s="66" t="n"/>
      <c r="AL19" s="66" t="n"/>
      <c r="AM19" s="66" t="n"/>
      <c r="AN19" s="66" t="n"/>
      <c r="AO19" s="66" t="n"/>
      <c r="AP19" s="66" t="n"/>
      <c r="AQ19" s="66" t="n"/>
      <c r="AR19" s="66" t="n"/>
      <c r="AS19" s="66" t="n"/>
      <c r="AT19" s="66" t="n"/>
    </row>
    <row r="20" ht="15" customHeight="1">
      <c r="A20" s="23" t="n"/>
      <c r="B20" s="23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</row>
    <row r="21" ht="15" customHeight="1">
      <c r="A21" s="23" t="n"/>
      <c r="B21" s="23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</row>
    <row r="22" ht="15" customHeight="1">
      <c r="A22" s="23" t="n"/>
      <c r="B22" s="23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</row>
    <row r="23" ht="15" customHeight="1">
      <c r="A23" s="23" t="n"/>
      <c r="B23" s="23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</row>
    <row r="24" ht="15" customHeight="1">
      <c r="A24" s="23" t="n"/>
      <c r="B24" s="23" t="n"/>
      <c r="C24" s="65" t="inlineStr">
        <is>
          <t>LAÇOS</t>
        </is>
      </c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</row>
    <row r="25" ht="15" customHeight="1">
      <c r="A25" s="23" t="n"/>
      <c r="B25" s="23" t="n"/>
      <c r="C25" s="67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F25" s="66" t="n"/>
      <c r="AG25" s="66" t="n"/>
      <c r="AH25" s="66" t="n"/>
      <c r="AI25" s="66" t="n"/>
      <c r="AJ25" s="66" t="n"/>
      <c r="AK25" s="66" t="n"/>
      <c r="AL25" s="66" t="n"/>
      <c r="AM25" s="66" t="n"/>
      <c r="AN25" s="66" t="n"/>
      <c r="AO25" s="66" t="n"/>
      <c r="AP25" s="66" t="n"/>
      <c r="AQ25" s="66" t="n"/>
      <c r="AR25" s="66" t="n"/>
      <c r="AS25" s="66" t="n"/>
      <c r="AT25" s="66" t="n"/>
    </row>
    <row r="26" ht="15" customHeight="1">
      <c r="A26" s="23" t="n"/>
      <c r="B26" s="23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</row>
    <row r="27" ht="15" customHeight="1">
      <c r="A27" s="23" t="n"/>
      <c r="B27" s="23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  <c r="AE27" s="66" t="n"/>
      <c r="AF27" s="66" t="n"/>
      <c r="AG27" s="66" t="n"/>
      <c r="AH27" s="66" t="n"/>
      <c r="AI27" s="66" t="n"/>
      <c r="AJ27" s="66" t="n"/>
      <c r="AK27" s="66" t="n"/>
      <c r="AL27" s="66" t="n"/>
      <c r="AM27" s="66" t="n"/>
      <c r="AN27" s="66" t="n"/>
      <c r="AO27" s="66" t="n"/>
      <c r="AP27" s="66" t="n"/>
      <c r="AQ27" s="66" t="n"/>
      <c r="AR27" s="66" t="n"/>
      <c r="AS27" s="66" t="n"/>
      <c r="AT27" s="66" t="n"/>
    </row>
    <row r="28" ht="15" customHeight="1">
      <c r="A28" s="23" t="n"/>
      <c r="B28" s="23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  <c r="AE28" s="66" t="n"/>
      <c r="AF28" s="66" t="n"/>
      <c r="AG28" s="66" t="n"/>
      <c r="AH28" s="66" t="n"/>
      <c r="AI28" s="66" t="n"/>
      <c r="AJ28" s="66" t="n"/>
      <c r="AK28" s="66" t="n"/>
      <c r="AL28" s="66" t="n"/>
      <c r="AM28" s="66" t="n"/>
      <c r="AN28" s="66" t="n"/>
      <c r="AO28" s="66" t="n"/>
      <c r="AP28" s="66" t="n"/>
      <c r="AQ28" s="66" t="n"/>
      <c r="AR28" s="66" t="n"/>
      <c r="AS28" s="66" t="n"/>
      <c r="AT28" s="66" t="n"/>
    </row>
    <row r="29" ht="15" customHeight="1">
      <c r="A29" s="23" t="n"/>
      <c r="B29" s="23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  <c r="AE29" s="66" t="n"/>
      <c r="AF29" s="66" t="n"/>
      <c r="AG29" s="66" t="n"/>
      <c r="AH29" s="66" t="n"/>
      <c r="AI29" s="66" t="n"/>
      <c r="AJ29" s="66" t="n"/>
      <c r="AK29" s="66" t="n"/>
      <c r="AL29" s="66" t="n"/>
      <c r="AM29" s="66" t="n"/>
      <c r="AN29" s="66" t="n"/>
      <c r="AO29" s="66" t="n"/>
      <c r="AP29" s="66" t="n"/>
      <c r="AQ29" s="66" t="n"/>
      <c r="AR29" s="66" t="n"/>
      <c r="AS29" s="66" t="n"/>
      <c r="AT29" s="66" t="n"/>
    </row>
    <row r="30" ht="15" customHeight="1">
      <c r="A30" s="23" t="n"/>
      <c r="B30" s="23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  <c r="AE30" s="66" t="n"/>
      <c r="AF30" s="66" t="n"/>
      <c r="AG30" s="66" t="n"/>
      <c r="AH30" s="66" t="n"/>
      <c r="AI30" s="66" t="n"/>
      <c r="AJ30" s="66" t="n"/>
      <c r="AK30" s="66" t="n"/>
      <c r="AL30" s="66" t="n"/>
      <c r="AM30" s="66" t="n"/>
      <c r="AN30" s="66" t="n"/>
      <c r="AO30" s="66" t="n"/>
      <c r="AP30" s="66" t="n"/>
      <c r="AQ30" s="66" t="n"/>
      <c r="AR30" s="66" t="n"/>
      <c r="AS30" s="66" t="n"/>
      <c r="AT30" s="66" t="n"/>
    </row>
    <row r="31" ht="15" customHeight="1">
      <c r="A31" s="23" t="n"/>
      <c r="B31" s="23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</row>
    <row r="32" ht="15" customHeight="1">
      <c r="A32" s="23" t="n"/>
      <c r="B32" s="23" t="n"/>
      <c r="C32" s="65" t="inlineStr">
        <is>
          <t>O QUE ELE QUER</t>
        </is>
      </c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  <c r="AE32" s="66" t="n"/>
      <c r="AF32" s="66" t="n"/>
      <c r="AG32" s="66" t="n"/>
      <c r="AH32" s="66" t="n"/>
      <c r="AI32" s="66" t="n"/>
      <c r="AJ32" s="66" t="n"/>
      <c r="AK32" s="66" t="n"/>
      <c r="AL32" s="66" t="n"/>
      <c r="AM32" s="66" t="n"/>
      <c r="AN32" s="66" t="n"/>
      <c r="AO32" s="66" t="n"/>
      <c r="AP32" s="66" t="n"/>
      <c r="AQ32" s="66" t="n"/>
      <c r="AR32" s="66" t="n"/>
      <c r="AS32" s="66" t="n"/>
      <c r="AT32" s="66" t="n"/>
    </row>
    <row r="33" ht="15" customHeight="1">
      <c r="A33" s="23" t="n"/>
      <c r="B33" s="23" t="n"/>
      <c r="C33" s="67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  <c r="AE33" s="66" t="n"/>
      <c r="AF33" s="66" t="n"/>
      <c r="AG33" s="66" t="n"/>
      <c r="AH33" s="66" t="n"/>
      <c r="AI33" s="66" t="n"/>
      <c r="AJ33" s="66" t="n"/>
      <c r="AK33" s="66" t="n"/>
      <c r="AL33" s="66" t="n"/>
      <c r="AM33" s="66" t="n"/>
      <c r="AN33" s="66" t="n"/>
      <c r="AO33" s="66" t="n"/>
      <c r="AP33" s="66" t="n"/>
      <c r="AQ33" s="66" t="n"/>
      <c r="AR33" s="66" t="n"/>
      <c r="AS33" s="66" t="n"/>
      <c r="AT33" s="66" t="n"/>
    </row>
    <row r="34" ht="15" customHeight="1">
      <c r="A34" s="23" t="n"/>
      <c r="B34" s="23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  <c r="AE34" s="66" t="n"/>
      <c r="AF34" s="66" t="n"/>
      <c r="AG34" s="66" t="n"/>
      <c r="AH34" s="66" t="n"/>
      <c r="AI34" s="66" t="n"/>
      <c r="AJ34" s="66" t="n"/>
      <c r="AK34" s="66" t="n"/>
      <c r="AL34" s="66" t="n"/>
      <c r="AM34" s="66" t="n"/>
      <c r="AN34" s="66" t="n"/>
      <c r="AO34" s="66" t="n"/>
      <c r="AP34" s="66" t="n"/>
      <c r="AQ34" s="66" t="n"/>
      <c r="AR34" s="66" t="n"/>
      <c r="AS34" s="66" t="n"/>
      <c r="AT34" s="66" t="n"/>
    </row>
    <row r="35" ht="15" customHeight="1">
      <c r="A35" s="23" t="n"/>
      <c r="B35" s="23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  <c r="AE35" s="66" t="n"/>
      <c r="AF35" s="66" t="n"/>
      <c r="AG35" s="66" t="n"/>
      <c r="AH35" s="66" t="n"/>
      <c r="AI35" s="66" t="n"/>
      <c r="AJ35" s="66" t="n"/>
      <c r="AK35" s="66" t="n"/>
      <c r="AL35" s="66" t="n"/>
      <c r="AM35" s="66" t="n"/>
      <c r="AN35" s="66" t="n"/>
      <c r="AO35" s="66" t="n"/>
      <c r="AP35" s="66" t="n"/>
      <c r="AQ35" s="66" t="n"/>
      <c r="AR35" s="66" t="n"/>
      <c r="AS35" s="66" t="n"/>
      <c r="AT35" s="66" t="n"/>
    </row>
    <row r="36" ht="15" customHeight="1">
      <c r="A36" s="23" t="n"/>
      <c r="B36" s="23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</row>
    <row r="37" ht="15" customHeight="1">
      <c r="A37" s="23" t="n"/>
      <c r="B37" s="23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</row>
    <row r="38" ht="15" customHeight="1">
      <c r="A38" s="23" t="n"/>
      <c r="B38" s="23" t="n"/>
      <c r="C38" s="65" t="inlineStr">
        <is>
          <t>O QUE ELE ESCONDE</t>
        </is>
      </c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  <c r="AE38" s="66" t="n"/>
      <c r="AF38" s="66" t="n"/>
      <c r="AG38" s="66" t="n"/>
      <c r="AH38" s="66" t="n"/>
      <c r="AI38" s="66" t="n"/>
      <c r="AJ38" s="66" t="n"/>
      <c r="AK38" s="66" t="n"/>
      <c r="AL38" s="66" t="n"/>
      <c r="AM38" s="66" t="n"/>
      <c r="AN38" s="66" t="n"/>
      <c r="AO38" s="66" t="n"/>
      <c r="AP38" s="66" t="n"/>
      <c r="AQ38" s="66" t="n"/>
      <c r="AR38" s="66" t="n"/>
      <c r="AS38" s="66" t="n"/>
      <c r="AT38" s="66" t="n"/>
    </row>
    <row r="39" ht="15" customHeight="1">
      <c r="A39" s="23" t="n"/>
      <c r="B39" s="23" t="n"/>
      <c r="C39" s="67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  <c r="AE39" s="66" t="n"/>
      <c r="AF39" s="66" t="n"/>
      <c r="AG39" s="66" t="n"/>
      <c r="AH39" s="66" t="n"/>
      <c r="AI39" s="66" t="n"/>
      <c r="AJ39" s="66" t="n"/>
      <c r="AK39" s="66" t="n"/>
      <c r="AL39" s="66" t="n"/>
      <c r="AM39" s="66" t="n"/>
      <c r="AN39" s="66" t="n"/>
      <c r="AO39" s="66" t="n"/>
      <c r="AP39" s="66" t="n"/>
      <c r="AQ39" s="66" t="n"/>
      <c r="AR39" s="66" t="n"/>
      <c r="AS39" s="66" t="n"/>
      <c r="AT39" s="66" t="n"/>
    </row>
    <row r="40" ht="15" customHeight="1">
      <c r="A40" s="23" t="n"/>
      <c r="B40" s="23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  <c r="AE40" s="66" t="n"/>
      <c r="AF40" s="66" t="n"/>
      <c r="AG40" s="66" t="n"/>
      <c r="AH40" s="66" t="n"/>
      <c r="AI40" s="66" t="n"/>
      <c r="AJ40" s="66" t="n"/>
      <c r="AK40" s="66" t="n"/>
      <c r="AL40" s="66" t="n"/>
      <c r="AM40" s="66" t="n"/>
      <c r="AN40" s="66" t="n"/>
      <c r="AO40" s="66" t="n"/>
      <c r="AP40" s="66" t="n"/>
      <c r="AQ40" s="66" t="n"/>
      <c r="AR40" s="66" t="n"/>
      <c r="AS40" s="66" t="n"/>
      <c r="AT40" s="66" t="n"/>
    </row>
    <row r="41" ht="15" customHeight="1">
      <c r="A41" s="23" t="n"/>
      <c r="B41" s="23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  <c r="AE41" s="66" t="n"/>
      <c r="AF41" s="66" t="n"/>
      <c r="AG41" s="66" t="n"/>
      <c r="AH41" s="66" t="n"/>
      <c r="AI41" s="66" t="n"/>
      <c r="AJ41" s="66" t="n"/>
      <c r="AK41" s="66" t="n"/>
      <c r="AL41" s="66" t="n"/>
      <c r="AM41" s="66" t="n"/>
      <c r="AN41" s="66" t="n"/>
      <c r="AO41" s="66" t="n"/>
      <c r="AP41" s="66" t="n"/>
      <c r="AQ41" s="66" t="n"/>
      <c r="AR41" s="66" t="n"/>
      <c r="AS41" s="66" t="n"/>
      <c r="AT41" s="66" t="n"/>
    </row>
    <row r="42" ht="15" customHeight="1">
      <c r="A42" s="23" t="n"/>
      <c r="B42" s="23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  <c r="AG42" s="66" t="n"/>
      <c r="AH42" s="66" t="n"/>
      <c r="AI42" s="66" t="n"/>
      <c r="AJ42" s="66" t="n"/>
      <c r="AK42" s="66" t="n"/>
      <c r="AL42" s="66" t="n"/>
      <c r="AM42" s="66" t="n"/>
      <c r="AN42" s="66" t="n"/>
      <c r="AO42" s="66" t="n"/>
      <c r="AP42" s="66" t="n"/>
      <c r="AQ42" s="66" t="n"/>
      <c r="AR42" s="66" t="n"/>
      <c r="AS42" s="66" t="n"/>
      <c r="AT42" s="66" t="n"/>
    </row>
    <row r="43" ht="15" customHeight="1">
      <c r="A43" s="23" t="n"/>
      <c r="B43" s="23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</row>
    <row r="44" ht="15" customHeight="1">
      <c r="A44" s="23" t="n"/>
      <c r="B44" s="23" t="n"/>
      <c r="C44" s="65" t="inlineStr">
        <is>
          <t>NOTAS DE MESA</t>
        </is>
      </c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  <c r="AG44" s="66" t="n"/>
      <c r="AH44" s="66" t="n"/>
      <c r="AI44" s="66" t="n"/>
      <c r="AJ44" s="66" t="n"/>
      <c r="AK44" s="66" t="n"/>
      <c r="AL44" s="66" t="n"/>
      <c r="AM44" s="66" t="n"/>
      <c r="AN44" s="66" t="n"/>
      <c r="AO44" s="66" t="n"/>
      <c r="AP44" s="66" t="n"/>
      <c r="AQ44" s="66" t="n"/>
      <c r="AR44" s="66" t="n"/>
      <c r="AS44" s="66" t="n"/>
      <c r="AT44" s="66" t="n"/>
    </row>
    <row r="45" ht="15" customHeight="1">
      <c r="A45" s="23" t="n"/>
      <c r="B45" s="23" t="n"/>
      <c r="C45" s="67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  <c r="AG45" s="66" t="n"/>
      <c r="AH45" s="66" t="n"/>
      <c r="AI45" s="66" t="n"/>
      <c r="AJ45" s="66" t="n"/>
      <c r="AK45" s="66" t="n"/>
      <c r="AL45" s="66" t="n"/>
      <c r="AM45" s="66" t="n"/>
      <c r="AN45" s="66" t="n"/>
      <c r="AO45" s="66" t="n"/>
      <c r="AP45" s="66" t="n"/>
      <c r="AQ45" s="66" t="n"/>
      <c r="AR45" s="66" t="n"/>
      <c r="AS45" s="66" t="n"/>
      <c r="AT45" s="66" t="n"/>
    </row>
    <row r="46" ht="15" customHeight="1">
      <c r="A46" s="23" t="n"/>
      <c r="B46" s="23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  <c r="AG46" s="66" t="n"/>
      <c r="AH46" s="66" t="n"/>
      <c r="AI46" s="66" t="n"/>
      <c r="AJ46" s="66" t="n"/>
      <c r="AK46" s="66" t="n"/>
      <c r="AL46" s="66" t="n"/>
      <c r="AM46" s="66" t="n"/>
      <c r="AN46" s="66" t="n"/>
      <c r="AO46" s="66" t="n"/>
      <c r="AP46" s="66" t="n"/>
      <c r="AQ46" s="66" t="n"/>
      <c r="AR46" s="66" t="n"/>
      <c r="AS46" s="66" t="n"/>
      <c r="AT46" s="66" t="n"/>
    </row>
    <row r="47" ht="15" customHeight="1">
      <c r="A47" s="23" t="n"/>
      <c r="B47" s="23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  <c r="AG47" s="66" t="n"/>
      <c r="AH47" s="66" t="n"/>
      <c r="AI47" s="66" t="n"/>
      <c r="AJ47" s="66" t="n"/>
      <c r="AK47" s="66" t="n"/>
      <c r="AL47" s="66" t="n"/>
      <c r="AM47" s="66" t="n"/>
      <c r="AN47" s="66" t="n"/>
      <c r="AO47" s="66" t="n"/>
      <c r="AP47" s="66" t="n"/>
      <c r="AQ47" s="66" t="n"/>
      <c r="AR47" s="66" t="n"/>
      <c r="AS47" s="66" t="n"/>
      <c r="AT47" s="66" t="n"/>
    </row>
    <row r="48" ht="15" customHeight="1">
      <c r="A48" s="23" t="n"/>
      <c r="B48" s="23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  <c r="AG48" s="66" t="n"/>
      <c r="AH48" s="66" t="n"/>
      <c r="AI48" s="66" t="n"/>
      <c r="AJ48" s="66" t="n"/>
      <c r="AK48" s="66" t="n"/>
      <c r="AL48" s="66" t="n"/>
      <c r="AM48" s="66" t="n"/>
      <c r="AN48" s="66" t="n"/>
      <c r="AO48" s="66" t="n"/>
      <c r="AP48" s="66" t="n"/>
      <c r="AQ48" s="66" t="n"/>
      <c r="AR48" s="66" t="n"/>
      <c r="AS48" s="66" t="n"/>
      <c r="AT48" s="66" t="n"/>
    </row>
    <row r="49" ht="15" customHeight="1">
      <c r="A49" s="23" t="n"/>
      <c r="B49" s="23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  <c r="AG49" s="66" t="n"/>
      <c r="AH49" s="66" t="n"/>
      <c r="AI49" s="66" t="n"/>
      <c r="AJ49" s="66" t="n"/>
      <c r="AK49" s="66" t="n"/>
      <c r="AL49" s="66" t="n"/>
      <c r="AM49" s="66" t="n"/>
      <c r="AN49" s="66" t="n"/>
      <c r="AO49" s="66" t="n"/>
      <c r="AP49" s="66" t="n"/>
      <c r="AQ49" s="66" t="n"/>
      <c r="AR49" s="66" t="n"/>
      <c r="AS49" s="66" t="n"/>
      <c r="AT49" s="66" t="n"/>
    </row>
    <row r="50" ht="15" customHeight="1">
      <c r="A50" s="23" t="n"/>
      <c r="B50" s="23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  <c r="AG50" s="66" t="n"/>
      <c r="AH50" s="66" t="n"/>
      <c r="AI50" s="66" t="n"/>
      <c r="AJ50" s="66" t="n"/>
      <c r="AK50" s="66" t="n"/>
      <c r="AL50" s="66" t="n"/>
      <c r="AM50" s="66" t="n"/>
      <c r="AN50" s="66" t="n"/>
      <c r="AO50" s="66" t="n"/>
      <c r="AP50" s="66" t="n"/>
      <c r="AQ50" s="66" t="n"/>
      <c r="AR50" s="66" t="n"/>
      <c r="AS50" s="66" t="n"/>
      <c r="AT50" s="66" t="n"/>
    </row>
    <row r="51" ht="15" customHeight="1">
      <c r="A51" s="23" t="n"/>
      <c r="B51" s="23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  <c r="AE51" s="66" t="n"/>
      <c r="AF51" s="66" t="n"/>
      <c r="AG51" s="66" t="n"/>
      <c r="AH51" s="66" t="n"/>
      <c r="AI51" s="66" t="n"/>
      <c r="AJ51" s="66" t="n"/>
      <c r="AK51" s="66" t="n"/>
      <c r="AL51" s="66" t="n"/>
      <c r="AM51" s="66" t="n"/>
      <c r="AN51" s="66" t="n"/>
      <c r="AO51" s="66" t="n"/>
      <c r="AP51" s="66" t="n"/>
      <c r="AQ51" s="66" t="n"/>
      <c r="AR51" s="66" t="n"/>
      <c r="AS51" s="66" t="n"/>
      <c r="AT51" s="66" t="n"/>
    </row>
    <row r="52" ht="15" customHeight="1">
      <c r="A52" s="23" t="n"/>
      <c r="B52" s="23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  <c r="AE52" s="66" t="n"/>
      <c r="AF52" s="66" t="n"/>
      <c r="AG52" s="66" t="n"/>
      <c r="AH52" s="66" t="n"/>
      <c r="AI52" s="66" t="n"/>
      <c r="AJ52" s="66" t="n"/>
      <c r="AK52" s="66" t="n"/>
      <c r="AL52" s="66" t="n"/>
      <c r="AM52" s="66" t="n"/>
      <c r="AN52" s="66" t="n"/>
      <c r="AO52" s="66" t="n"/>
      <c r="AP52" s="66" t="n"/>
      <c r="AQ52" s="66" t="n"/>
      <c r="AR52" s="66" t="n"/>
      <c r="AS52" s="66" t="n"/>
      <c r="AT52" s="66" t="n"/>
    </row>
    <row r="53" ht="15" customHeight="1">
      <c r="A53" s="23" t="n"/>
      <c r="B53" s="23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C39:AT42"/>
    <mergeCell ref="C33:AT36"/>
    <mergeCell ref="C25:AT30"/>
    <mergeCell ref="C32:AT32"/>
    <mergeCell ref="C24:AT24"/>
    <mergeCell ref="C38:AT38"/>
    <mergeCell ref="C44:AT44"/>
    <mergeCell ref="C5:AT10"/>
    <mergeCell ref="C13:AT22"/>
    <mergeCell ref="C45:AT52"/>
    <mergeCell ref="C4:AT4"/>
    <mergeCell ref="C12:AT12"/>
    <mergeCell ref="A1:A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68" t="inlineStr">
        <is>
          <t>VERSÃO DO CATÁLOGO</t>
        </is>
      </c>
      <c r="B1" s="69" t="inlineStr">
        <is>
          <t>0.104</t>
        </is>
      </c>
      <c r="C1" s="70" t="inlineStr">
        <is>
          <t>versão corrente (puxada da central)</t>
        </is>
      </c>
      <c r="D1" s="69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70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71" t="inlineStr">
        <is>
          <t>Caminhos</t>
        </is>
      </c>
      <c r="B3" s="71" t="inlineStr">
        <is>
          <t>Perícias</t>
        </is>
      </c>
      <c r="C3" s="71" t="inlineStr">
        <is>
          <t>Ofícios</t>
        </is>
      </c>
      <c r="D3" s="71" t="inlineStr">
        <is>
          <t>Famílias</t>
        </is>
      </c>
      <c r="E3" s="71" t="inlineStr">
        <is>
          <t>Formas</t>
        </is>
      </c>
      <c r="F3" s="71" t="inlineStr">
        <is>
          <t>Melhorias</t>
        </is>
      </c>
      <c r="G3" s="71" t="inlineStr">
        <is>
          <t>Restrições</t>
        </is>
      </c>
      <c r="H3" s="71" t="inlineStr">
        <is>
          <t>Condições</t>
        </is>
      </c>
      <c r="I3" s="71" t="inlineStr">
        <is>
          <t>Origens</t>
        </is>
      </c>
      <c r="J3" s="71" t="inlineStr">
        <is>
          <t>Testes</t>
        </is>
      </c>
      <c r="K3" s="71" t="inlineStr">
        <is>
          <t>Atributos</t>
        </is>
      </c>
      <c r="L3" s="71" t="inlineStr">
        <is>
          <t>Trilhas</t>
        </is>
      </c>
      <c r="M3" s="23" t="n"/>
      <c r="N3" s="71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72" t="inlineStr">
        <is>
          <t>Bastião</t>
        </is>
      </c>
      <c r="B4" s="72" t="inlineStr">
        <is>
          <t>Atletismo</t>
        </is>
      </c>
      <c r="C4" s="72" t="inlineStr">
        <is>
          <t>Condução</t>
        </is>
      </c>
      <c r="D4" s="72" t="inlineStr">
        <is>
          <t>Alcance</t>
        </is>
      </c>
      <c r="E4" s="72" t="inlineStr">
        <is>
          <t>Projétil</t>
        </is>
      </c>
      <c r="F4" s="72" t="inlineStr">
        <is>
          <t>Longe</t>
        </is>
      </c>
      <c r="G4" s="72" t="inlineStr">
        <is>
          <t>Corpo a Corpo</t>
        </is>
      </c>
      <c r="H4" s="72" t="inlineStr">
        <is>
          <t>Lento (condição)</t>
        </is>
      </c>
      <c r="I4" s="72" t="inlineStr">
        <is>
          <t>Latente</t>
        </is>
      </c>
      <c r="J4" s="72" t="inlineStr">
        <is>
          <t>Físico</t>
        </is>
      </c>
      <c r="K4" s="72" t="inlineStr">
        <is>
          <t>lista</t>
        </is>
      </c>
      <c r="L4" s="72" t="inlineStr">
        <is>
          <t>Muro</t>
        </is>
      </c>
      <c r="M4" s="23" t="n"/>
      <c r="N4" s="59" t="inlineStr">
        <is>
          <t>Caminho</t>
        </is>
      </c>
      <c r="O4" s="59" t="inlineStr">
        <is>
          <t>dado</t>
        </is>
      </c>
      <c r="P4" s="59" t="inlineStr">
        <is>
          <t>vida inicial</t>
        </is>
      </c>
      <c r="Q4" s="59" t="inlineStr">
        <is>
          <t>vida por nível</t>
        </is>
      </c>
      <c r="R4" s="59" t="inlineStr">
        <is>
          <t>PE por nível</t>
        </is>
      </c>
      <c r="S4" s="59" t="inlineStr">
        <is>
          <t>perícia fixa 1</t>
        </is>
      </c>
      <c r="T4" s="59" t="inlineStr">
        <is>
          <t>perícia fixa 2</t>
        </is>
      </c>
      <c r="U4" s="59" t="inlineStr">
        <is>
          <t>ofício fixo</t>
        </is>
      </c>
      <c r="V4" s="23" t="n"/>
      <c r="W4" s="59" t="inlineStr">
        <is>
          <t>marcos</t>
        </is>
      </c>
      <c r="X4" s="59" t="inlineStr">
        <is>
          <t>maestria</t>
        </is>
      </c>
      <c r="Y4" s="59" t="inlineStr">
        <is>
          <t>classe</t>
        </is>
      </c>
      <c r="Z4" s="59" t="inlineStr">
        <is>
          <t>classe 0</t>
        </is>
      </c>
      <c r="AA4" s="23" t="n"/>
      <c r="AB4" s="59" t="inlineStr">
        <is>
          <t>perícia</t>
        </is>
      </c>
      <c r="AC4" s="59" t="inlineStr">
        <is>
          <t>atributo</t>
        </is>
      </c>
      <c r="AD4" s="23" t="n"/>
      <c r="BA4" s="73" t="inlineStr">
        <is>
          <t>campo</t>
        </is>
      </c>
      <c r="BB4" s="73" t="inlineStr">
        <is>
          <t>célula</t>
        </is>
      </c>
    </row>
    <row r="5" ht="15" customHeight="1">
      <c r="A5" s="72" t="inlineStr">
        <is>
          <t>Vanguarda</t>
        </is>
      </c>
      <c r="B5" s="72" t="inlineStr">
        <is>
          <t>Acrobacia</t>
        </is>
      </c>
      <c r="C5" s="72" t="inlineStr">
        <is>
          <t>Arrombamento</t>
        </is>
      </c>
      <c r="D5" s="72" t="inlineStr">
        <is>
          <t>Área</t>
        </is>
      </c>
      <c r="E5" s="72" t="inlineStr">
        <is>
          <t>Toque</t>
        </is>
      </c>
      <c r="F5" s="72" t="inlineStr">
        <is>
          <t>Muito Longe</t>
        </is>
      </c>
      <c r="G5" s="72" t="inlineStr">
        <is>
          <t>Lento (restrição)</t>
        </is>
      </c>
      <c r="H5" s="72" t="inlineStr">
        <is>
          <t>Incapacitado</t>
        </is>
      </c>
      <c r="I5" s="72" t="inlineStr">
        <is>
          <t>Receptáculo</t>
        </is>
      </c>
      <c r="J5" s="72" t="inlineStr">
        <is>
          <t>Vigor</t>
        </is>
      </c>
      <c r="K5" s="72" t="inlineStr">
        <is>
          <t>escala</t>
        </is>
      </c>
      <c r="L5" s="72" t="inlineStr">
        <is>
          <t>Punho</t>
        </is>
      </c>
      <c r="M5" s="23" t="n"/>
      <c r="N5" s="72" t="inlineStr">
        <is>
          <t>Bastião</t>
        </is>
      </c>
      <c r="O5" s="72" t="inlineStr">
        <is>
          <t>d12</t>
        </is>
      </c>
      <c r="P5" s="72" t="n">
        <v>12</v>
      </c>
      <c r="Q5" s="72" t="n">
        <v>7</v>
      </c>
      <c r="R5" s="72" t="n">
        <v>4</v>
      </c>
      <c r="S5" s="72" t="inlineStr">
        <is>
          <t>Atletismo</t>
        </is>
      </c>
      <c r="T5" s="72" t="inlineStr">
        <is>
          <t>Intimidação</t>
        </is>
      </c>
      <c r="U5" s="72" t="inlineStr">
        <is>
          <t>Forja</t>
        </is>
      </c>
      <c r="V5" s="23" t="n"/>
      <c r="W5" s="74" t="n">
        <v>6</v>
      </c>
      <c r="X5" s="74" t="n">
        <v>10</v>
      </c>
      <c r="Y5" s="74" t="n">
        <v>1</v>
      </c>
      <c r="Z5" s="74" t="n">
        <v>5</v>
      </c>
      <c r="AA5" s="23" t="n"/>
      <c r="AB5" s="72" t="inlineStr">
        <is>
          <t>Atletismo</t>
        </is>
      </c>
      <c r="AC5" s="72" t="inlineStr">
        <is>
          <t>Força</t>
        </is>
      </c>
      <c r="AD5" s="23" t="n"/>
      <c r="BA5" s="75" t="inlineStr">
        <is>
          <t>nome</t>
        </is>
      </c>
      <c r="BB5" s="75" t="inlineStr">
        <is>
          <t>D3</t>
        </is>
      </c>
    </row>
    <row r="6" ht="15" customHeight="1">
      <c r="A6" s="72" t="inlineStr">
        <is>
          <t>Guia</t>
        </is>
      </c>
      <c r="B6" s="72" t="inlineStr">
        <is>
          <t>Furtividade</t>
        </is>
      </c>
      <c r="C6" s="72" t="inlineStr">
        <is>
          <t>Herbalismo</t>
        </is>
      </c>
      <c r="D6" s="72" t="inlineStr">
        <is>
          <t>Mira</t>
        </is>
      </c>
      <c r="E6" s="72" t="inlineStr">
        <is>
          <t>Explosão</t>
        </is>
      </c>
      <c r="F6" s="72" t="inlineStr">
        <is>
          <t>Sem Ver</t>
        </is>
      </c>
      <c r="G6" s="72" t="inlineStr">
        <is>
          <t>Parado</t>
        </is>
      </c>
      <c r="H6" s="72" t="inlineStr">
        <is>
          <t>Derrubado</t>
        </is>
      </c>
      <c r="I6" s="72" t="inlineStr">
        <is>
          <t>Descendente</t>
        </is>
      </c>
      <c r="J6" s="72" t="inlineStr">
        <is>
          <t>Intelecto</t>
        </is>
      </c>
      <c r="K6" s="72" t="inlineStr">
        <is>
          <t>criacao</t>
        </is>
      </c>
      <c r="L6" s="72" t="inlineStr">
        <is>
          <t>Brasa</t>
        </is>
      </c>
      <c r="M6" s="23" t="n"/>
      <c r="N6" s="72" t="inlineStr">
        <is>
          <t>Vanguarda</t>
        </is>
      </c>
      <c r="O6" s="72" t="inlineStr">
        <is>
          <t>d8</t>
        </is>
      </c>
      <c r="P6" s="72" t="n">
        <v>8</v>
      </c>
      <c r="Q6" s="72" t="n">
        <v>5</v>
      </c>
      <c r="R6" s="72" t="n">
        <v>5</v>
      </c>
      <c r="S6" s="72" t="inlineStr">
        <is>
          <t>Acrobacia</t>
        </is>
      </c>
      <c r="T6" s="72" t="inlineStr">
        <is>
          <t>Percepção</t>
        </is>
      </c>
      <c r="U6" s="72" t="inlineStr">
        <is>
          <t>Arrombamento</t>
        </is>
      </c>
      <c r="V6" s="23" t="n"/>
      <c r="W6" s="74" t="n">
        <v>10</v>
      </c>
      <c r="X6" s="74" t="n">
        <v>18</v>
      </c>
      <c r="Y6" s="74" t="n">
        <v>5</v>
      </c>
      <c r="Z6" s="74" t="n">
        <v>11</v>
      </c>
      <c r="AA6" s="23" t="n"/>
      <c r="AB6" s="72" t="inlineStr">
        <is>
          <t>Acrobacia</t>
        </is>
      </c>
      <c r="AC6" s="72" t="inlineStr">
        <is>
          <t>Destreza</t>
        </is>
      </c>
      <c r="AD6" s="23" t="n"/>
      <c r="BA6" s="75" t="inlineStr">
        <is>
          <t>caminho</t>
        </is>
      </c>
      <c r="BB6" s="75" t="inlineStr">
        <is>
          <t>D11</t>
        </is>
      </c>
    </row>
    <row r="7" ht="15" customHeight="1">
      <c r="A7" s="72" t="inlineStr">
        <is>
          <t>Emanador</t>
        </is>
      </c>
      <c r="B7" s="72" t="inlineStr">
        <is>
          <t>Pontaria</t>
        </is>
      </c>
      <c r="C7" s="72" t="inlineStr">
        <is>
          <t>Forja</t>
        </is>
      </c>
      <c r="D7" s="72" t="inlineStr">
        <is>
          <t>Controle</t>
        </is>
      </c>
      <c r="E7" s="72" t="inlineStr">
        <is>
          <t>Aura</t>
        </is>
      </c>
      <c r="F7" s="72" t="inlineStr">
        <is>
          <t>Passo</t>
        </is>
      </c>
      <c r="G7" s="72" t="inlineStr">
        <is>
          <t>Gesto</t>
        </is>
      </c>
      <c r="H7" s="72" t="inlineStr">
        <is>
          <t>Agarrado</t>
        </is>
      </c>
      <c r="I7" s="72" t="inlineStr">
        <is>
          <t>Reencarnado</t>
        </is>
      </c>
      <c r="J7" s="72" t="inlineStr">
        <is>
          <t>Espírito</t>
        </is>
      </c>
      <c r="K7" s="72" t="inlineStr">
        <is>
          <t>nota</t>
        </is>
      </c>
      <c r="L7" s="72" t="inlineStr">
        <is>
          <t>Estocada</t>
        </is>
      </c>
      <c r="M7" s="23" t="n"/>
      <c r="N7" s="72" t="inlineStr">
        <is>
          <t>Guia</t>
        </is>
      </c>
      <c r="O7" s="72" t="inlineStr">
        <is>
          <t>d8</t>
        </is>
      </c>
      <c r="P7" s="72" t="n">
        <v>8</v>
      </c>
      <c r="Q7" s="72" t="n">
        <v>5</v>
      </c>
      <c r="R7" s="72" t="n">
        <v>5</v>
      </c>
      <c r="S7" s="72" t="inlineStr">
        <is>
          <t>Persuasão</t>
        </is>
      </c>
      <c r="T7" s="72" t="inlineStr">
        <is>
          <t>Medicina</t>
        </is>
      </c>
      <c r="U7" s="72" t="inlineStr">
        <is>
          <t>Herbalismo</t>
        </is>
      </c>
      <c r="V7" s="23" t="n"/>
      <c r="W7" s="74" t="n">
        <v>14</v>
      </c>
      <c r="X7" s="74" t="n">
        <v>26</v>
      </c>
      <c r="Y7" s="74" t="n">
        <v>9</v>
      </c>
      <c r="Z7" s="74" t="n">
        <v>17</v>
      </c>
      <c r="AA7" s="23" t="n"/>
      <c r="AB7" s="72" t="inlineStr">
        <is>
          <t>Furtividade</t>
        </is>
      </c>
      <c r="AC7" s="72" t="inlineStr">
        <is>
          <t>Destreza</t>
        </is>
      </c>
      <c r="AD7" s="23" t="n"/>
      <c r="BA7" s="75" t="inlineStr">
        <is>
          <t>trilha</t>
        </is>
      </c>
      <c r="BB7" s="75" t="inlineStr">
        <is>
          <t>N11</t>
        </is>
      </c>
    </row>
    <row r="8" ht="15" customHeight="1">
      <c r="A8" s="23" t="n"/>
      <c r="B8" s="72" t="inlineStr">
        <is>
          <t>Prestidigitação</t>
        </is>
      </c>
      <c r="C8" s="72" t="inlineStr">
        <is>
          <t>Caligrafia</t>
        </is>
      </c>
      <c r="D8" s="72" t="inlineStr">
        <is>
          <t>Auxiliares</t>
        </is>
      </c>
      <c r="E8" s="72" t="inlineStr">
        <is>
          <t>Cone</t>
        </is>
      </c>
      <c r="F8" s="72" t="inlineStr">
        <is>
          <t>Empurrão</t>
        </is>
      </c>
      <c r="G8" s="72" t="inlineStr">
        <is>
          <t>Sangra</t>
        </is>
      </c>
      <c r="H8" s="72" t="inlineStr">
        <is>
          <t>Desarmado</t>
        </is>
      </c>
      <c r="I8" s="72" t="inlineStr">
        <is>
          <t>Feto</t>
        </is>
      </c>
      <c r="J8" s="23" t="n"/>
      <c r="K8" s="72" t="inlineStr">
        <is>
          <t>pagina</t>
        </is>
      </c>
      <c r="L8" s="72" t="inlineStr">
        <is>
          <t>Batedor</t>
        </is>
      </c>
      <c r="M8" s="23" t="n"/>
      <c r="N8" s="72" t="inlineStr">
        <is>
          <t>Evocador</t>
        </is>
      </c>
      <c r="O8" s="72" t="inlineStr">
        <is>
          <t>d6</t>
        </is>
      </c>
      <c r="P8" s="72" t="n">
        <v>6</v>
      </c>
      <c r="Q8" s="72" t="n">
        <v>4</v>
      </c>
      <c r="R8" s="72" t="n">
        <v>6</v>
      </c>
      <c r="S8" s="72" t="inlineStr">
        <is>
          <t>Religião</t>
        </is>
      </c>
      <c r="T8" s="72" t="inlineStr">
        <is>
          <t>Lidar com Animais</t>
        </is>
      </c>
      <c r="U8" s="72" t="inlineStr">
        <is>
          <t>Entalhador</t>
        </is>
      </c>
      <c r="V8" s="23" t="n"/>
      <c r="W8" s="74" t="n">
        <v>18</v>
      </c>
      <c r="X8" s="23" t="n"/>
      <c r="Y8" s="74" t="n">
        <v>13</v>
      </c>
      <c r="Z8" s="23" t="n"/>
      <c r="AA8" s="23" t="n"/>
      <c r="AB8" s="72" t="inlineStr">
        <is>
          <t>Pontaria</t>
        </is>
      </c>
      <c r="AC8" s="72" t="inlineStr">
        <is>
          <t>Destreza</t>
        </is>
      </c>
      <c r="AD8" s="23" t="n"/>
      <c r="BA8" s="75" t="inlineStr">
        <is>
          <t>origem</t>
        </is>
      </c>
      <c r="BB8" s="75" t="inlineStr">
        <is>
          <t>X11</t>
        </is>
      </c>
    </row>
    <row r="9" ht="15" customHeight="1">
      <c r="A9" s="23" t="n"/>
      <c r="B9" s="72" t="inlineStr">
        <is>
          <t>Investigação</t>
        </is>
      </c>
      <c r="C9" s="72" t="inlineStr">
        <is>
          <t>Burocracia</t>
        </is>
      </c>
      <c r="D9" s="72" t="inlineStr">
        <is>
          <t>Castigo</t>
        </is>
      </c>
      <c r="E9" s="72" t="inlineStr">
        <is>
          <t>Linha</t>
        </is>
      </c>
      <c r="F9" s="72" t="inlineStr">
        <is>
          <t>Troca</t>
        </is>
      </c>
      <c r="G9" s="72" t="inlineStr">
        <is>
          <t>Recuo</t>
        </is>
      </c>
      <c r="H9" s="72" t="inlineStr">
        <is>
          <t>Surdo</t>
        </is>
      </c>
      <c r="I9" s="72" t="inlineStr">
        <is>
          <t>Corpo Amaldiçoado</t>
        </is>
      </c>
      <c r="J9" s="23" t="n"/>
      <c r="K9" s="23" t="n"/>
      <c r="L9" s="72" t="inlineStr">
        <is>
          <t>Executor</t>
        </is>
      </c>
      <c r="M9" s="23" t="n"/>
      <c r="N9" s="72" t="inlineStr">
        <is>
          <t>Emanador</t>
        </is>
      </c>
      <c r="O9" s="72" t="inlineStr">
        <is>
          <t>d6</t>
        </is>
      </c>
      <c r="P9" s="72" t="n">
        <v>6</v>
      </c>
      <c r="Q9" s="72" t="n">
        <v>4</v>
      </c>
      <c r="R9" s="72" t="n">
        <v>6</v>
      </c>
      <c r="S9" s="72" t="inlineStr">
        <is>
          <t>Ocultismo</t>
        </is>
      </c>
      <c r="T9" s="72" t="inlineStr">
        <is>
          <t>Investigação</t>
        </is>
      </c>
      <c r="U9" s="72" t="inlineStr">
        <is>
          <t>Caligrafia</t>
        </is>
      </c>
      <c r="V9" s="23" t="n"/>
      <c r="W9" s="74" t="n">
        <v>22</v>
      </c>
      <c r="X9" s="23" t="n"/>
      <c r="Y9" s="74" t="n">
        <v>17</v>
      </c>
      <c r="Z9" s="23" t="n"/>
      <c r="AA9" s="23" t="n"/>
      <c r="AB9" s="72" t="inlineStr">
        <is>
          <t>Prestidigitação</t>
        </is>
      </c>
      <c r="AC9" s="72" t="inlineStr">
        <is>
          <t>Destreza</t>
        </is>
      </c>
      <c r="AD9" s="23" t="n"/>
      <c r="BA9" s="75" t="inlineStr">
        <is>
          <t>nivel</t>
        </is>
      </c>
      <c r="BB9" s="75" t="inlineStr">
        <is>
          <t>AH11</t>
        </is>
      </c>
    </row>
    <row r="10" ht="15" customHeight="1">
      <c r="A10" s="23" t="n"/>
      <c r="B10" s="72" t="inlineStr">
        <is>
          <t>Intuição</t>
        </is>
      </c>
      <c r="C10" s="72" t="inlineStr">
        <is>
          <t>Entalhador</t>
        </is>
      </c>
      <c r="D10" s="72" t="inlineStr">
        <is>
          <t>Tempo</t>
        </is>
      </c>
      <c r="E10" s="72" t="inlineStr">
        <is>
          <t>Cura</t>
        </is>
      </c>
      <c r="F10" s="72" t="inlineStr">
        <is>
          <t>Perseguir</t>
        </is>
      </c>
      <c r="G10" s="72" t="inlineStr">
        <is>
          <t>Carregar</t>
        </is>
      </c>
      <c r="H10" s="72" t="inlineStr">
        <is>
          <t>Calado</t>
        </is>
      </c>
      <c r="I10" s="72" t="inlineStr">
        <is>
          <t>Restrição Celestial</t>
        </is>
      </c>
      <c r="J10" s="23" t="n"/>
      <c r="K10" s="23" t="n"/>
      <c r="L10" s="72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74" t="n">
        <v>26</v>
      </c>
      <c r="X10" s="23" t="n"/>
      <c r="Y10" s="74" t="n">
        <v>21</v>
      </c>
      <c r="Z10" s="23" t="n"/>
      <c r="AA10" s="23" t="n"/>
      <c r="AB10" s="72" t="inlineStr">
        <is>
          <t>Investigação</t>
        </is>
      </c>
      <c r="AC10" s="72" t="inlineStr">
        <is>
          <t>Inteligência</t>
        </is>
      </c>
      <c r="AD10" s="23" t="n"/>
      <c r="BA10" s="75" t="inlineStr">
        <is>
          <t>xp</t>
        </is>
      </c>
      <c r="BB10" s="75" t="inlineStr">
        <is>
          <t>AN11</t>
        </is>
      </c>
    </row>
    <row r="11" ht="15" customHeight="1">
      <c r="A11" s="23" t="n"/>
      <c r="B11" s="72" t="inlineStr">
        <is>
          <t>Ocultismo</t>
        </is>
      </c>
      <c r="C11" s="72" t="inlineStr">
        <is>
          <t>Alfaiate</t>
        </is>
      </c>
      <c r="D11" s="72" t="inlineStr">
        <is>
          <t>Marca</t>
        </is>
      </c>
      <c r="E11" s="72" t="inlineStr">
        <is>
          <t>Apoio</t>
        </is>
      </c>
      <c r="F11" s="72" t="inlineStr">
        <is>
          <t>Maior</t>
        </is>
      </c>
      <c r="G11" s="72" t="inlineStr">
        <is>
          <t>Tudo ou Nada</t>
        </is>
      </c>
      <c r="H11" s="72" t="inlineStr">
        <is>
          <t>Enfeitiçado</t>
        </is>
      </c>
      <c r="I11" s="23" t="n"/>
      <c r="J11" s="23" t="n"/>
      <c r="K11" s="23" t="n"/>
      <c r="L11" s="72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74" t="n">
        <v>30</v>
      </c>
      <c r="X11" s="23" t="n"/>
      <c r="Y11" s="74" t="n">
        <v>26</v>
      </c>
      <c r="Z11" s="23" t="n"/>
      <c r="AA11" s="23" t="n"/>
      <c r="AB11" s="72" t="inlineStr">
        <is>
          <t>Intuição</t>
        </is>
      </c>
      <c r="AC11" s="72" t="inlineStr">
        <is>
          <t>Inteligência</t>
        </is>
      </c>
      <c r="AD11" s="23" t="n"/>
      <c r="BA11" s="75" t="inlineStr">
        <is>
          <t>atr_Força</t>
        </is>
      </c>
      <c r="BB11" s="75" t="inlineStr">
        <is>
          <t>D17</t>
        </is>
      </c>
    </row>
    <row r="12" ht="15" customHeight="1">
      <c r="A12" s="23" t="n"/>
      <c r="B12" s="72" t="inlineStr">
        <is>
          <t>Religião</t>
        </is>
      </c>
      <c r="C12" s="72" t="inlineStr">
        <is>
          <t>Culinária</t>
        </is>
      </c>
      <c r="D12" s="72" t="inlineStr">
        <is>
          <t>Amparo</t>
        </is>
      </c>
      <c r="E12" s="72" t="inlineStr">
        <is>
          <t>Onda</t>
        </is>
      </c>
      <c r="F12" s="72" t="inlineStr">
        <is>
          <t>Muito Maior</t>
        </is>
      </c>
      <c r="G12" s="72" t="inlineStr">
        <is>
          <t>Uma Vez</t>
        </is>
      </c>
      <c r="H12" s="72" t="inlineStr">
        <is>
          <t>Petrificado</t>
        </is>
      </c>
      <c r="I12" s="23" t="n"/>
      <c r="J12" s="23" t="n"/>
      <c r="K12" s="23" t="n"/>
      <c r="L12" s="72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72" t="inlineStr">
        <is>
          <t>Ocultismo</t>
        </is>
      </c>
      <c r="AC12" s="72" t="inlineStr">
        <is>
          <t>Inteligência</t>
        </is>
      </c>
      <c r="AD12" s="23" t="n"/>
      <c r="BA12" s="75" t="inlineStr">
        <is>
          <t>atr_Destreza</t>
        </is>
      </c>
      <c r="BB12" s="75" t="inlineStr">
        <is>
          <t>L17</t>
        </is>
      </c>
    </row>
    <row r="13" ht="15" customHeight="1">
      <c r="A13" s="23" t="n"/>
      <c r="B13" s="72" t="inlineStr">
        <is>
          <t>História</t>
        </is>
      </c>
      <c r="C13" s="72" t="inlineStr">
        <is>
          <t>Instrumento</t>
        </is>
      </c>
      <c r="D13" s="23" t="n"/>
      <c r="E13" s="72" t="inlineStr">
        <is>
          <t>Efeito</t>
        </is>
      </c>
      <c r="F13" s="72" t="inlineStr">
        <is>
          <t>Escolher</t>
        </is>
      </c>
      <c r="G13" s="72" t="inlineStr">
        <is>
          <t>Condicional</t>
        </is>
      </c>
      <c r="H13" s="72" t="inlineStr">
        <is>
          <t>Impedido</t>
        </is>
      </c>
      <c r="I13" s="23" t="n"/>
      <c r="J13" s="23" t="n"/>
      <c r="K13" s="23" t="n"/>
      <c r="L13" s="72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72" t="inlineStr">
        <is>
          <t>Religião</t>
        </is>
      </c>
      <c r="AC13" s="72" t="inlineStr">
        <is>
          <t>Inteligência</t>
        </is>
      </c>
      <c r="AD13" s="23" t="n"/>
      <c r="BA13" s="75" t="inlineStr">
        <is>
          <t>atr_Constituição</t>
        </is>
      </c>
      <c r="BB13" s="75" t="inlineStr">
        <is>
          <t>T17</t>
        </is>
      </c>
    </row>
    <row r="14" ht="15" customHeight="1">
      <c r="A14" s="23" t="n"/>
      <c r="B14" s="72" t="inlineStr">
        <is>
          <t>Hierarquia</t>
        </is>
      </c>
      <c r="C14" s="72" t="inlineStr">
        <is>
          <t>Jogatina</t>
        </is>
      </c>
      <c r="D14" s="23" t="n"/>
      <c r="E14" s="23" t="n"/>
      <c r="F14" s="72" t="inlineStr">
        <is>
          <t>Fica</t>
        </is>
      </c>
      <c r="G14" s="72" t="inlineStr">
        <is>
          <t>Fraqueza</t>
        </is>
      </c>
      <c r="H14" s="72" t="inlineStr">
        <is>
          <t>Cego</t>
        </is>
      </c>
      <c r="I14" s="23" t="n"/>
      <c r="J14" s="23" t="n"/>
      <c r="K14" s="23" t="n"/>
      <c r="L14" s="72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72" t="inlineStr">
        <is>
          <t>História</t>
        </is>
      </c>
      <c r="AC14" s="72" t="inlineStr">
        <is>
          <t>Inteligência</t>
        </is>
      </c>
      <c r="AD14" s="23" t="n"/>
      <c r="BA14" s="75" t="inlineStr">
        <is>
          <t>atr_Inteligência</t>
        </is>
      </c>
      <c r="BB14" s="75" t="inlineStr">
        <is>
          <t>AB17</t>
        </is>
      </c>
    </row>
    <row r="15" ht="15" customHeight="1">
      <c r="A15" s="23" t="n"/>
      <c r="B15" s="72" t="inlineStr">
        <is>
          <t>Medicina</t>
        </is>
      </c>
      <c r="C15" s="23" t="n"/>
      <c r="D15" s="23" t="n"/>
      <c r="E15" s="23" t="n"/>
      <c r="F15" s="72" t="inlineStr">
        <is>
          <t>Mais Um</t>
        </is>
      </c>
      <c r="G15" s="72" t="inlineStr">
        <is>
          <t>Frágil</t>
        </is>
      </c>
      <c r="H15" s="72" t="inlineStr">
        <is>
          <t>Amedrontado</t>
        </is>
      </c>
      <c r="I15" s="23" t="n"/>
      <c r="J15" s="23" t="n"/>
      <c r="K15" s="23" t="n"/>
      <c r="L15" s="72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72" t="inlineStr">
        <is>
          <t>Hierarquia</t>
        </is>
      </c>
      <c r="AC15" s="72" t="inlineStr">
        <is>
          <t>Inteligência</t>
        </is>
      </c>
      <c r="AD15" s="23" t="n"/>
      <c r="BA15" s="75" t="inlineStr">
        <is>
          <t>atr_Essência</t>
        </is>
      </c>
      <c r="BB15" s="75" t="inlineStr">
        <is>
          <t>AJ17</t>
        </is>
      </c>
    </row>
    <row r="16" ht="15" customHeight="1">
      <c r="A16" s="23" t="n"/>
      <c r="B16" s="72" t="inlineStr">
        <is>
          <t>Sobrevivência</t>
        </is>
      </c>
      <c r="C16" s="23" t="n"/>
      <c r="D16" s="23" t="n"/>
      <c r="E16" s="23" t="n"/>
      <c r="F16" s="72" t="inlineStr">
        <is>
          <t>Rajada</t>
        </is>
      </c>
      <c r="G16" s="72" t="inlineStr">
        <is>
          <t>Barulho</t>
        </is>
      </c>
      <c r="H16" s="72" t="inlineStr">
        <is>
          <t>Envenenado</t>
        </is>
      </c>
      <c r="I16" s="23" t="n"/>
      <c r="J16" s="23" t="n"/>
      <c r="K16" s="23" t="n"/>
      <c r="L16" s="72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72" t="inlineStr">
        <is>
          <t>Medicina</t>
        </is>
      </c>
      <c r="AC16" s="72" t="inlineStr">
        <is>
          <t>Inteligência</t>
        </is>
      </c>
      <c r="AD16" s="23" t="n"/>
      <c r="BA16" s="75" t="inlineStr">
        <is>
          <t>vida</t>
        </is>
      </c>
      <c r="BB16" s="75" t="inlineStr">
        <is>
          <t>D23</t>
        </is>
      </c>
    </row>
    <row r="17" ht="15" customHeight="1">
      <c r="A17" s="23" t="n"/>
      <c r="B17" s="72" t="inlineStr">
        <is>
          <t>Natureza</t>
        </is>
      </c>
      <c r="C17" s="23" t="n"/>
      <c r="D17" s="23" t="n"/>
      <c r="E17" s="23" t="n"/>
      <c r="F17" s="72" t="inlineStr">
        <is>
          <t>Salto</t>
        </is>
      </c>
      <c r="G17" s="72" t="inlineStr">
        <is>
          <t>Assinatura</t>
        </is>
      </c>
      <c r="H17" s="72" t="inlineStr">
        <is>
          <t>Atordoado</t>
        </is>
      </c>
      <c r="I17" s="23" t="n"/>
      <c r="J17" s="23" t="n"/>
      <c r="K17" s="23" t="n"/>
      <c r="L17" s="72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72" t="inlineStr">
        <is>
          <t>Sobrevivência</t>
        </is>
      </c>
      <c r="AC17" s="72" t="inlineStr">
        <is>
          <t>Inteligência</t>
        </is>
      </c>
      <c r="AD17" s="23" t="n"/>
      <c r="BA17" s="75" t="inlineStr">
        <is>
          <t>vida_max</t>
        </is>
      </c>
      <c r="BB17" s="75" t="inlineStr">
        <is>
          <t>J23</t>
        </is>
      </c>
    </row>
    <row r="18" ht="15" customHeight="1">
      <c r="A18" s="23" t="n"/>
      <c r="B18" s="72" t="inlineStr">
        <is>
          <t>Lidar com Animais</t>
        </is>
      </c>
      <c r="C18" s="23" t="n"/>
      <c r="D18" s="23" t="n"/>
      <c r="E18" s="23" t="n"/>
      <c r="F18" s="72" t="inlineStr">
        <is>
          <t>Contorno</t>
        </is>
      </c>
      <c r="G18" s="72" t="inlineStr">
        <is>
          <t>Aquecer</t>
        </is>
      </c>
      <c r="H18" s="23" t="n"/>
      <c r="I18" s="23" t="n"/>
      <c r="J18" s="23" t="n"/>
      <c r="K18" s="23" t="n"/>
      <c r="L18" s="72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72" t="inlineStr">
        <is>
          <t>Natureza</t>
        </is>
      </c>
      <c r="AC18" s="72" t="inlineStr">
        <is>
          <t>Inteligência</t>
        </is>
      </c>
      <c r="AD18" s="23" t="n"/>
      <c r="BA18" s="75" t="inlineStr">
        <is>
          <t>vida_temp</t>
        </is>
      </c>
      <c r="BB18" s="75" t="inlineStr">
        <is>
          <t>AF23</t>
        </is>
      </c>
    </row>
    <row r="19" ht="15" customHeight="1">
      <c r="A19" s="23" t="n"/>
      <c r="B19" s="72" t="inlineStr">
        <is>
          <t>Tecnologia</t>
        </is>
      </c>
      <c r="C19" s="23" t="n"/>
      <c r="D19" s="23" t="n"/>
      <c r="E19" s="23" t="n"/>
      <c r="F19" s="72" t="inlineStr">
        <is>
          <t>Precisão</t>
        </is>
      </c>
      <c r="G19" s="72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72" t="inlineStr">
        <is>
          <t>Lidar com Animais</t>
        </is>
      </c>
      <c r="AC19" s="72" t="inlineStr">
        <is>
          <t>Inteligência</t>
        </is>
      </c>
      <c r="AD19" s="23" t="n"/>
      <c r="BA19" s="75" t="inlineStr">
        <is>
          <t>vida_delta</t>
        </is>
      </c>
      <c r="BB19" s="75" t="inlineStr">
        <is>
          <t>AM23</t>
        </is>
      </c>
    </row>
    <row r="20" ht="15" customHeight="1">
      <c r="A20" s="23" t="n"/>
      <c r="B20" s="72" t="inlineStr">
        <is>
          <t>Sentir Energia</t>
        </is>
      </c>
      <c r="C20" s="23" t="n"/>
      <c r="D20" s="23" t="n"/>
      <c r="E20" s="23" t="n"/>
      <c r="F20" s="72" t="inlineStr">
        <is>
          <t>Certeiro</t>
        </is>
      </c>
      <c r="G20" s="72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72" t="inlineStr">
        <is>
          <t>Tecnologia</t>
        </is>
      </c>
      <c r="AC20" s="72" t="inlineStr">
        <is>
          <t>Inteligência</t>
        </is>
      </c>
      <c r="AD20" s="23" t="n"/>
      <c r="BA20" s="75" t="inlineStr">
        <is>
          <t>energia</t>
        </is>
      </c>
      <c r="BB20" s="75" t="inlineStr">
        <is>
          <t>D27</t>
        </is>
      </c>
    </row>
    <row r="21" ht="15" customHeight="1">
      <c r="A21" s="23" t="n"/>
      <c r="B21" s="72" t="inlineStr">
        <is>
          <t>Percepção</t>
        </is>
      </c>
      <c r="C21" s="23" t="n"/>
      <c r="D21" s="23" t="n"/>
      <c r="E21" s="23" t="n"/>
      <c r="F21" s="72" t="inlineStr">
        <is>
          <t>Inescapável</t>
        </is>
      </c>
      <c r="G21" s="72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72" t="inlineStr">
        <is>
          <t>Sentir Energia</t>
        </is>
      </c>
      <c r="AC21" s="72" t="inlineStr">
        <is>
          <t>Essência</t>
        </is>
      </c>
      <c r="AD21" s="23" t="n"/>
      <c r="BA21" s="75" t="inlineStr">
        <is>
          <t>energia_max</t>
        </is>
      </c>
      <c r="BB21" s="75" t="inlineStr">
        <is>
          <t>J27</t>
        </is>
      </c>
    </row>
    <row r="22" ht="15" customHeight="1">
      <c r="A22" s="23" t="n"/>
      <c r="B22" s="72" t="inlineStr">
        <is>
          <t>Persuasão</t>
        </is>
      </c>
      <c r="C22" s="23" t="n"/>
      <c r="D22" s="23" t="n"/>
      <c r="E22" s="23" t="n"/>
      <c r="F22" s="72" t="inlineStr">
        <is>
          <t>Fura</t>
        </is>
      </c>
      <c r="G22" s="72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72" t="inlineStr">
        <is>
          <t>Percepção</t>
        </is>
      </c>
      <c r="AC22" s="72" t="inlineStr">
        <is>
          <t>Essência</t>
        </is>
      </c>
      <c r="AD22" s="23" t="n"/>
      <c r="BA22" s="75" t="inlineStr">
        <is>
          <t>energia_temp</t>
        </is>
      </c>
      <c r="BB22" s="75" t="inlineStr">
        <is>
          <t>AF27</t>
        </is>
      </c>
    </row>
    <row r="23" ht="15" customHeight="1">
      <c r="A23" s="23" t="n"/>
      <c r="B23" s="72" t="inlineStr">
        <is>
          <t>Enganação</t>
        </is>
      </c>
      <c r="C23" s="23" t="n"/>
      <c r="D23" s="23" t="n"/>
      <c r="E23" s="23" t="n"/>
      <c r="F23" s="72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72" t="inlineStr">
        <is>
          <t>Persuasão</t>
        </is>
      </c>
      <c r="AC23" s="72" t="inlineStr">
        <is>
          <t>Essência</t>
        </is>
      </c>
      <c r="AD23" s="23" t="n"/>
      <c r="BA23" s="75" t="inlineStr">
        <is>
          <t>energia_delta</t>
        </is>
      </c>
      <c r="BB23" s="75" t="inlineStr">
        <is>
          <t>AM27</t>
        </is>
      </c>
    </row>
    <row r="24" ht="15" customHeight="1">
      <c r="A24" s="23" t="n"/>
      <c r="B24" s="72" t="inlineStr">
        <is>
          <t>Intimidação</t>
        </is>
      </c>
      <c r="C24" s="23" t="n"/>
      <c r="D24" s="23" t="n"/>
      <c r="E24" s="23" t="n"/>
      <c r="F24" s="72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72" t="inlineStr">
        <is>
          <t>Enganação</t>
        </is>
      </c>
      <c r="AC24" s="72" t="inlineStr">
        <is>
          <t>Essência</t>
        </is>
      </c>
      <c r="AD24" s="23" t="n"/>
      <c r="BA24" s="75" t="inlineStr">
        <is>
          <t>integridade</t>
        </is>
      </c>
      <c r="BB24" s="75" t="inlineStr">
        <is>
          <t>D31</t>
        </is>
      </c>
    </row>
    <row r="25" ht="15" customHeight="1">
      <c r="A25" s="23" t="n"/>
      <c r="B25" s="72" t="inlineStr">
        <is>
          <t>Atuação</t>
        </is>
      </c>
      <c r="C25" s="23" t="n"/>
      <c r="D25" s="23" t="n"/>
      <c r="E25" s="23" t="n"/>
      <c r="F25" s="72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72" t="inlineStr">
        <is>
          <t>Intimidação</t>
        </is>
      </c>
      <c r="AC25" s="72" t="inlineStr">
        <is>
          <t>Essência</t>
        </is>
      </c>
      <c r="AD25" s="23" t="n"/>
      <c r="BA25" s="75" t="inlineStr">
        <is>
          <t>integridade_max</t>
        </is>
      </c>
      <c r="BB25" s="75" t="inlineStr">
        <is>
          <t>J31</t>
        </is>
      </c>
    </row>
    <row r="26" ht="15" customHeight="1">
      <c r="A26" s="23" t="n"/>
      <c r="B26" s="72" t="inlineStr">
        <is>
          <t>Provocar</t>
        </is>
      </c>
      <c r="C26" s="23" t="n"/>
      <c r="D26" s="23" t="n"/>
      <c r="E26" s="23" t="n"/>
      <c r="F26" s="72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72" t="inlineStr">
        <is>
          <t>Atuação</t>
        </is>
      </c>
      <c r="AC26" s="72" t="inlineStr">
        <is>
          <t>Essência</t>
        </is>
      </c>
      <c r="AD26" s="23" t="n"/>
      <c r="BA26" s="75" t="inlineStr">
        <is>
          <t>integridade_temp</t>
        </is>
      </c>
      <c r="BB26" s="75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72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72" t="inlineStr">
        <is>
          <t>Provocar</t>
        </is>
      </c>
      <c r="AC27" s="72" t="inlineStr">
        <is>
          <t>Essência</t>
        </is>
      </c>
      <c r="AD27" s="23" t="n"/>
      <c r="BA27" s="75" t="inlineStr">
        <is>
          <t>integridade_delta</t>
        </is>
      </c>
      <c r="BB27" s="75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72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75" t="inlineStr">
        <is>
          <t>estagio_alma</t>
        </is>
      </c>
      <c r="BB28" s="75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72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75" t="inlineStr">
        <is>
          <t>defesa</t>
        </is>
      </c>
      <c r="BB29" s="75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72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75" t="inlineStr">
        <is>
          <t>proteção</t>
        </is>
      </c>
      <c r="BB30" s="75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72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75" t="inlineStr">
        <is>
          <t>equipamento</t>
        </is>
      </c>
      <c r="BB31" s="75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72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75" t="inlineStr">
        <is>
          <t>iniciativa</t>
        </is>
      </c>
      <c r="BB32" s="75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72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75" t="inlineStr">
        <is>
          <t>cd de feitiço</t>
        </is>
      </c>
      <c r="BB33" s="75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72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75" t="inlineStr">
        <is>
          <t>conjuração</t>
        </is>
      </c>
      <c r="BB34" s="75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72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75" t="inlineStr">
        <is>
          <t>corpo a corpo</t>
        </is>
      </c>
      <c r="BB35" s="75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72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75" t="inlineStr">
        <is>
          <t>à distância</t>
        </is>
      </c>
      <c r="BB36" s="75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72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75" t="inlineStr">
        <is>
          <t>maestria</t>
        </is>
      </c>
      <c r="BB37" s="75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72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75" t="inlineStr">
        <is>
          <t>deslocamento</t>
        </is>
      </c>
      <c r="BB38" s="75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72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75" t="inlineStr">
        <is>
          <t>espaços de feitiço</t>
        </is>
      </c>
      <c r="BB39" s="75" t="inlineStr">
        <is>
          <t>D54</t>
        </is>
      </c>
    </row>
    <row r="40" ht="15" customHeight="1">
      <c r="A40" s="23" t="n"/>
      <c r="B40" s="23" t="n"/>
      <c r="C40" s="23" t="n"/>
      <c r="D40" s="23" t="n"/>
      <c r="E40" s="23" t="n"/>
      <c r="F40" s="72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75" t="inlineStr">
        <is>
          <t>refino de graça</t>
        </is>
      </c>
      <c r="BB40" s="75" t="inlineStr">
        <is>
          <t>O54</t>
        </is>
      </c>
    </row>
    <row r="41" ht="15" customHeight="1">
      <c r="A41" s="23" t="n"/>
      <c r="B41" s="23" t="n"/>
      <c r="C41" s="23" t="n"/>
      <c r="D41" s="23" t="n"/>
      <c r="E41" s="23" t="n"/>
      <c r="F41" s="72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75" t="inlineStr">
        <is>
          <t>classe máxima</t>
        </is>
      </c>
      <c r="BB41" s="75" t="inlineStr">
        <is>
          <t>Z54</t>
        </is>
      </c>
    </row>
    <row r="42" ht="15" customHeight="1">
      <c r="A42" s="23" t="n"/>
      <c r="B42" s="23" t="n"/>
      <c r="C42" s="23" t="n"/>
      <c r="D42" s="23" t="n"/>
      <c r="E42" s="23" t="n"/>
      <c r="F42" s="72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75" t="inlineStr">
        <is>
          <t>classe 0 grátis</t>
        </is>
      </c>
      <c r="BB42" s="75" t="inlineStr">
        <is>
          <t>AK54</t>
        </is>
      </c>
    </row>
    <row r="43" ht="15" customHeight="1">
      <c r="A43" s="23" t="n"/>
      <c r="B43" s="23" t="n"/>
      <c r="C43" s="23" t="n"/>
      <c r="D43" s="23" t="n"/>
      <c r="E43" s="23" t="n"/>
      <c r="F43" s="72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" customHeight="1">
      <c r="A44" s="23" t="n"/>
      <c r="B44" s="23" t="n"/>
      <c r="C44" s="23" t="n"/>
      <c r="D44" s="23" t="n"/>
      <c r="E44" s="23" t="n"/>
      <c r="F44" s="72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72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72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72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72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72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72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72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72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72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72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72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72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72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72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72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72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72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72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72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72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72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72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72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72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72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2026-09-02T21:45:12Z</dcterms:created>
  <dcterms:modified xmlns:dcterms="http://purl.org/dc/terms/" xmlns:xsi="http://www.w3.org/2001/XMLSchema-instance" xsi:type="dcterms:W3CDTF">2026-09-02T21:45:13Z</dcterms:modified>
</cp:coreProperties>
</file>
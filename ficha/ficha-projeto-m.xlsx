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CHA" sheetId="1" state="visible" r:id="rId3"/>
    <sheet name="TÉCNICA" sheetId="2" state="visible" r:id="rId4"/>
    <sheet name="QUEM É" sheetId="3" state="visible" r:id="rId5"/>
    <sheet name="DADOS" sheetId="4" state="hidden" r:id="rId6"/>
  </sheets>
  <definedNames>
    <definedName function="false" hidden="false" localSheetId="0" name="_xlnm.Print_Area" vbProcedure="false">FICHA!$A$1:$AZ$86</definedName>
    <definedName function="false" hidden="false" localSheetId="2" name="_xlnm.Print_Area" vbProcedure="false">'QUEM É'!$A$1:$AZ$86</definedName>
    <definedName function="false" hidden="false" localSheetId="1" name="_xlnm.Print_Area" vbProcedure="false">TÉCNICA!$A$1:$AZ$86</definedName>
    <definedName function="false" hidden="false" name="caminho_nome" vbProcedure="false">DADOS!$A$2:$A$6</definedName>
    <definedName function="false" hidden="false" name="caminho_peN" vbProcedure="false">DADOS!$D$2:$D$6</definedName>
    <definedName function="false" hidden="false" name="caminho_vida1" vbProcedure="false">DADOS!$B$2:$B$6</definedName>
    <definedName function="false" hidden="false" name="caminho_vidaN" vbProcedure="false">DADOS!$C$2:$C$6</definedName>
    <definedName function="false" hidden="false" name="origem_nome" vbProcedure="false">DADOS!$G$2:$G$10</definedName>
    <definedName function="false" hidden="false" name="trilha_nome" vbProcedure="false">DADOS!$F$2:$F$16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<sst xmlns="http://schemas.openxmlformats.org/spreadsheetml/2006/main" count="208" uniqueCount="179">
  <si>
    <t xml:space="preserve">呪</t>
  </si>
  <si>
    <t xml:space="preserve">  PROJETO M</t>
  </si>
  <si>
    <t xml:space="preserve">F I C H A   D E   P E R S O N A G E M</t>
  </si>
  <si>
    <t xml:space="preserve">NÍVEL 2  ·  GRAU 4</t>
  </si>
  <si>
    <t xml:space="preserve">  RPG DE MESA DE JUJUTSU KAISEN</t>
  </si>
  <si>
    <t xml:space="preserve">PERSONAGEM</t>
  </si>
  <si>
    <t xml:space="preserve">JOGADOR</t>
  </si>
  <si>
    <t xml:space="preserve">PATENTE</t>
  </si>
  <si>
    <t xml:space="preserve">NÍVEL</t>
  </si>
  <si>
    <t xml:space="preserve">Kaori</t>
  </si>
  <si>
    <t xml:space="preserve">Grau 4</t>
  </si>
  <si>
    <t xml:space="preserve">A T R I B U T O S</t>
  </si>
  <si>
    <t xml:space="preserve">O S   N Ú M E R O S</t>
  </si>
  <si>
    <t xml:space="preserve">O   Q U E   E L E   É</t>
  </si>
  <si>
    <t xml:space="preserve"> FORÇA</t>
  </si>
  <si>
    <t xml:space="preserve">VIDA</t>
  </si>
  <si>
    <t xml:space="preserve">ENERGIA · PE</t>
  </si>
  <si>
    <t xml:space="preserve"> CAMINHO</t>
  </si>
  <si>
    <t xml:space="preserve">Bastião</t>
  </si>
  <si>
    <t xml:space="preserve"> DESTREZA</t>
  </si>
  <si>
    <t xml:space="preserve"> TRILHA</t>
  </si>
  <si>
    <t xml:space="preserve">Muro</t>
  </si>
  <si>
    <t xml:space="preserve"> CONSTITUIÇÃO</t>
  </si>
  <si>
    <t xml:space="preserve"> ORIGEM</t>
  </si>
  <si>
    <t xml:space="preserve">Latente</t>
  </si>
  <si>
    <t xml:space="preserve">DEFESA</t>
  </si>
  <si>
    <t xml:space="preserve">INTEGRIDADE</t>
  </si>
  <si>
    <t xml:space="preserve"> INTELIGÊNCIA</t>
  </si>
  <si>
    <t xml:space="preserve">P E R Í C I A S       ·       2 3 ,   E   V O C Ê   T R E I N A   8   O U   9</t>
  </si>
  <si>
    <t xml:space="preserve">INICIATIVA</t>
  </si>
  <si>
    <t xml:space="preserve">DESLOCAMENTO</t>
  </si>
  <si>
    <t xml:space="preserve"> ESSÊNCIA</t>
  </si>
  <si>
    <t xml:space="preserve"> ■  Atletismo</t>
  </si>
  <si>
    <t xml:space="preserve"> ☐  Acrobacia</t>
  </si>
  <si>
    <t xml:space="preserve"> ☐  Furtividade</t>
  </si>
  <si>
    <t xml:space="preserve"> ☐  Pontaria</t>
  </si>
  <si>
    <t xml:space="preserve">9 PONTOS · NENHUM ACIMA DE 3</t>
  </si>
  <si>
    <t xml:space="preserve"> ☐  Prestidigitação</t>
  </si>
  <si>
    <t xml:space="preserve">MAESTRIA</t>
  </si>
  <si>
    <t xml:space="preserve">CD DE FEITIÇO</t>
  </si>
  <si>
    <t xml:space="preserve">R E S I S T Ê N C I A</t>
  </si>
  <si>
    <t xml:space="preserve"> ☐  Investigação</t>
  </si>
  <si>
    <t xml:space="preserve"> ■  Intuição</t>
  </si>
  <si>
    <t xml:space="preserve"> ☐  Ocultismo</t>
  </si>
  <si>
    <t xml:space="preserve"> ☐  Religião</t>
  </si>
  <si>
    <t xml:space="preserve"> ■  História</t>
  </si>
  <si>
    <t xml:space="preserve"> ■  Hierarquia</t>
  </si>
  <si>
    <t xml:space="preserve">■</t>
  </si>
  <si>
    <t xml:space="preserve">Físico</t>
  </si>
  <si>
    <t xml:space="preserve">FOR</t>
  </si>
  <si>
    <t xml:space="preserve"> ☐  Medicina</t>
  </si>
  <si>
    <t xml:space="preserve"> ■  Sobrevivência</t>
  </si>
  <si>
    <t xml:space="preserve"> ☐  Natureza</t>
  </si>
  <si>
    <t xml:space="preserve"> ☐  Lidar com Animais</t>
  </si>
  <si>
    <t xml:space="preserve"> ☐  Tecnologia</t>
  </si>
  <si>
    <t xml:space="preserve">Vigor</t>
  </si>
  <si>
    <t xml:space="preserve">CON</t>
  </si>
  <si>
    <t xml:space="preserve">A T A Q U E S</t>
  </si>
  <si>
    <t xml:space="preserve"> ■  Sentir Energia</t>
  </si>
  <si>
    <t xml:space="preserve"> ■  Percepção</t>
  </si>
  <si>
    <t xml:space="preserve"> ☐  Persuasão</t>
  </si>
  <si>
    <t xml:space="preserve"> CONJURAÇÃO</t>
  </si>
  <si>
    <t xml:space="preserve"> ☐  Enganação</t>
  </si>
  <si>
    <t xml:space="preserve"> ■  Intimidação</t>
  </si>
  <si>
    <t xml:space="preserve"> ☐  Atuação</t>
  </si>
  <si>
    <t xml:space="preserve">☐</t>
  </si>
  <si>
    <t xml:space="preserve">Intelecto</t>
  </si>
  <si>
    <t xml:space="preserve">INT</t>
  </si>
  <si>
    <t xml:space="preserve"> ☐  Provocar</t>
  </si>
  <si>
    <t xml:space="preserve"> CORPO A CORPO</t>
  </si>
  <si>
    <t xml:space="preserve">O F Í C I O S       ·       1 1 ,   E   V O C Ê   T R E I N A   2   O U   3</t>
  </si>
  <si>
    <t xml:space="preserve">Espírito</t>
  </si>
  <si>
    <t xml:space="preserve">ESS</t>
  </si>
  <si>
    <t xml:space="preserve"> ☐  Condução</t>
  </si>
  <si>
    <t xml:space="preserve"> ☐  Arrombamento</t>
  </si>
  <si>
    <t xml:space="preserve"> ☐  Herbalismo</t>
  </si>
  <si>
    <t xml:space="preserve"> À DISTÂNCIA</t>
  </si>
  <si>
    <t xml:space="preserve"> ☐  Forja</t>
  </si>
  <si>
    <t xml:space="preserve"> ☐  Caligrafia</t>
  </si>
  <si>
    <t xml:space="preserve"> ☐  Burocracia</t>
  </si>
  <si>
    <t xml:space="preserve"> ☐  Entalhador</t>
  </si>
  <si>
    <t xml:space="preserve"> ☐  Alfaiate</t>
  </si>
  <si>
    <t xml:space="preserve"> ☐  Culinária</t>
  </si>
  <si>
    <t xml:space="preserve">■ TREINADO · SOMA +2</t>
  </si>
  <si>
    <t xml:space="preserve"> ☐  Instrumento</t>
  </si>
  <si>
    <t xml:space="preserve"> ☐  Jogatina</t>
  </si>
  <si>
    <t xml:space="preserve">  O FUNDAMENTO</t>
  </si>
  <si>
    <t xml:space="preserve">  A SUA TÉCNICA INATA</t>
  </si>
  <si>
    <t xml:space="preserve">A REGRA   ·   UMA FRASE, VERIFICÁVEL PELA MESA, SEM NÚMERO</t>
  </si>
  <si>
    <t xml:space="preserve">Tudo que eu prendo entre as minhas mãos fica mais pesado.</t>
  </si>
  <si>
    <t xml:space="preserve">SELO   ·   O GESTO OU A CONDIÇÃO OBRIGATÓRIA</t>
  </si>
  <si>
    <t xml:space="preserve">PASSIVA LIVRE   ·   UMA, DE GRAÇA</t>
  </si>
  <si>
    <t xml:space="preserve">As duas mãos precisam se tocar antes.</t>
  </si>
  <si>
    <t xml:space="preserve">F A M Í L I A S       ·       D U A S   L I V R E S ,   T R Ê S   F E C H A D A S ,   Q U A T R O   N O   P R E Ç O   N O R M A L</t>
  </si>
  <si>
    <t xml:space="preserve">FAMÍLIA</t>
  </si>
  <si>
    <t xml:space="preserve">LIVRE</t>
  </si>
  <si>
    <t xml:space="preserve">FECHADA</t>
  </si>
  <si>
    <t xml:space="preserve"> Alcance</t>
  </si>
  <si>
    <t xml:space="preserve"> chegar longe, se mexer, mexer o inimigo de lugar</t>
  </si>
  <si>
    <t xml:space="preserve"> Área</t>
  </si>
  <si>
    <t xml:space="preserve"> pegar mais de um alvo, aumentar tamanho, dividir o ataque</t>
  </si>
  <si>
    <t xml:space="preserve"> Mira</t>
  </si>
  <si>
    <t xml:space="preserve"> acertar, não errar, atravessar defesa</t>
  </si>
  <si>
    <t xml:space="preserve"> Controle</t>
  </si>
  <si>
    <t xml:space="preserve"> derrubar, prender, calar, barreira, terreno</t>
  </si>
  <si>
    <t xml:space="preserve"> Auxiliares</t>
  </si>
  <si>
    <t xml:space="preserve"> somar e tirar número: vantagem, defesa, CD, deslocamento</t>
  </si>
  <si>
    <t xml:space="preserve"> Castigo</t>
  </si>
  <si>
    <t xml:space="preserve"> fazer o dano render mais</t>
  </si>
  <si>
    <t xml:space="preserve"> Tempo</t>
  </si>
  <si>
    <t xml:space="preserve"> ação bônus, reação, deixar armado, conjurar escondido</t>
  </si>
  <si>
    <t xml:space="preserve"> Marca</t>
  </si>
  <si>
    <t xml:space="preserve"> preparar o próximo golpe, roubar vida, rastrear</t>
  </si>
  <si>
    <t xml:space="preserve"> Amparo</t>
  </si>
  <si>
    <t xml:space="preserve"> curar, limpar condição, levantar aliado</t>
  </si>
  <si>
    <t xml:space="preserve">LIVRE: A MELHORIA CUSTA METADE DA CLASSE A MENOS, MÍNIMO 1   ·   FECHADA: VOCÊ NUNCA COMPRA NADA DELA</t>
  </si>
  <si>
    <t xml:space="preserve">F E I T I Ç O S       ·       N Í V E L   2 :   C L A S S E   1 ,   T R Ê S   C O N H E C I D O S ,   M A I S   D O I S   D E   C L A S S E   0</t>
  </si>
  <si>
    <t xml:space="preserve">NOME DO FEITIÇO</t>
  </si>
  <si>
    <t xml:space="preserve">FORMA</t>
  </si>
  <si>
    <t xml:space="preserve">PONTOS</t>
  </si>
  <si>
    <t xml:space="preserve">PE</t>
  </si>
  <si>
    <t xml:space="preserve">MELHORIAS E RESTRIÇÕES</t>
  </si>
  <si>
    <t xml:space="preserve">CLASSE 0   ·   DOIS, GRÁTIS, NÃO OCUPAM ESPAÇO</t>
  </si>
  <si>
    <t xml:space="preserve">  ORÇAMENTO = 3 × CLASSE   ·   PE = 3 × CLASSE   ·   TETO DE DANO = 4 × CLASSE SOMANDO ALVOS E REPETIÇÕES
  RESTRIÇÃO PAGA MELHORIA E NUNCA VIRA DADO   ·   DEVOLVE NO MÁXIMO 2 × CLASSE   ·   PONTO NÃO GASTO VIRA 1d8</t>
  </si>
  <si>
    <t xml:space="preserve">  QUEM É ESSA PESSOA</t>
  </si>
  <si>
    <t xml:space="preserve">  NADA AQUI ROLA DADO</t>
  </si>
  <si>
    <t xml:space="preserve">APARÊNCIA</t>
  </si>
  <si>
    <t xml:space="preserve">HISTÓRIA</t>
  </si>
  <si>
    <t xml:space="preserve">O QUE A ORIGEM TE DEU</t>
  </si>
  <si>
    <t xml:space="preserve">O TRAÇO</t>
  </si>
  <si>
    <t xml:space="preserve">O S   D O I S   L E G A D O S       ·       U M   D E S T R A N C A   O B R I G A T Ó R I O ,   M A I S   U M   D E   Q U A L Q U E R   F O R M A T O</t>
  </si>
  <si>
    <t xml:space="preserve"> LEGADO 1</t>
  </si>
  <si>
    <t xml:space="preserve">  DESTRANCA, OBRIGATÓRIO</t>
  </si>
  <si>
    <t xml:space="preserve"> LEGADO 2</t>
  </si>
  <si>
    <t xml:space="preserve">  QUALQUER FORMATO</t>
  </si>
  <si>
    <t xml:space="preserve">LAÇOS   ·   QUEM VOCÊ CONHECE, QUEM TE DEVE, QUEM TE COBRA</t>
  </si>
  <si>
    <t xml:space="preserve">A INSTITUIÇÃO   ·   O QUE ELA SABE SOBRE VOCÊ</t>
  </si>
  <si>
    <t xml:space="preserve">PACTO   ·   OPCIONAL, SÓ COM APROVAÇÃO DO MESTRE E PREÇO ESCRITO</t>
  </si>
  <si>
    <t xml:space="preserve">R E F E R Ê N C I A   R Á P I D A</t>
  </si>
  <si>
    <t xml:space="preserve"> O turno</t>
  </si>
  <si>
    <t xml:space="preserve">movimento 9 m + ação padrão + ação bônus + reação</t>
  </si>
  <si>
    <t xml:space="preserve"> Arredondamento</t>
  </si>
  <si>
    <t xml:space="preserve">sempre para o lado que não te favorece; o que você ganha nunca fica abaixo de 1</t>
  </si>
  <si>
    <t xml:space="preserve"> Crítico</t>
  </si>
  <si>
    <t xml:space="preserve">20 natural, e dobra os dados. Não dobra Força, nem dado de Melhoria, nem dano fixo</t>
  </si>
  <si>
    <t xml:space="preserve"> Os dois golpes</t>
  </si>
  <si>
    <t xml:space="preserve">feitiço de Toque = os dados da Classe e nada mais, um por turno. Simples = arma + Força</t>
  </si>
  <si>
    <t xml:space="preserve"> Os dois descansos</t>
  </si>
  <si>
    <t xml:space="preserve">curto devolve 25% do PE máximo em ambiente propício; longo zera o relógio e a exaustão</t>
  </si>
  <si>
    <t xml:space="preserve">caminho</t>
  </si>
  <si>
    <t xml:space="preserve">vida1</t>
  </si>
  <si>
    <t xml:space="preserve">vidaN</t>
  </si>
  <si>
    <t xml:space="preserve">peN</t>
  </si>
  <si>
    <t xml:space="preserve">Vanguarda</t>
  </si>
  <si>
    <t xml:space="preserve">Punho</t>
  </si>
  <si>
    <t xml:space="preserve">Receptáculo</t>
  </si>
  <si>
    <t xml:space="preserve">Guia</t>
  </si>
  <si>
    <t xml:space="preserve">Brasa</t>
  </si>
  <si>
    <t xml:space="preserve">Descendente</t>
  </si>
  <si>
    <t xml:space="preserve">Evocador</t>
  </si>
  <si>
    <t xml:space="preserve">Estocada</t>
  </si>
  <si>
    <t xml:space="preserve">Reencarnado</t>
  </si>
  <si>
    <t xml:space="preserve">Emanador</t>
  </si>
  <si>
    <t xml:space="preserve">Batedor</t>
  </si>
  <si>
    <t xml:space="preserve">Feto</t>
  </si>
  <si>
    <t xml:space="preserve">Executor</t>
  </si>
  <si>
    <t xml:space="preserve">Restrição Celestial · corpo pela técnica</t>
  </si>
  <si>
    <t xml:space="preserve">Elo</t>
  </si>
  <si>
    <t xml:space="preserve">qualquer uma + Sem Técnica</t>
  </si>
  <si>
    <t xml:space="preserve">Sutura</t>
  </si>
  <si>
    <t xml:space="preserve">Corpo Amaldiçoado</t>
  </si>
  <si>
    <t xml:space="preserve">Perímetro</t>
  </si>
  <si>
    <t xml:space="preserve">Restrição Celestial · energia pelo corpo</t>
  </si>
  <si>
    <t xml:space="preserve">Torrente</t>
  </si>
  <si>
    <t xml:space="preserve">Explosivo</t>
  </si>
  <si>
    <t xml:space="preserve">Arremate</t>
  </si>
  <si>
    <t xml:space="preserve">Servo</t>
  </si>
  <si>
    <t xml:space="preserve">Matilha</t>
  </si>
  <si>
    <t xml:space="preserve">Coro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</si>
</sst>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E8DCD4"/>
      <name val="Noto Sans CJK SC"/>
      <family val="2"/>
    </font>
    <font>
      <b val="true"/>
      <sz val="13"/>
      <color rgb="FFE8DCD4"/>
      <name val="Oswald"/>
      <family val="0"/>
      <charset val="1"/>
    </font>
    <font>
      <sz val="6"/>
      <color rgb="FF8A7580"/>
      <name val="Lexend"/>
      <family val="0"/>
      <charset val="1"/>
    </font>
    <font>
      <b val="true"/>
      <sz val="9"/>
      <color rgb="FFE8DCD4"/>
      <name val="Oswald"/>
      <family val="0"/>
      <charset val="1"/>
    </font>
    <font>
      <sz val="6"/>
      <color rgb="FFA8306A"/>
      <name val="Lexend"/>
      <family val="0"/>
      <charset val="1"/>
    </font>
    <font>
      <b val="true"/>
      <sz val="6"/>
      <color rgb="FFA8306A"/>
      <name val="Oswald"/>
      <family val="0"/>
      <charset val="1"/>
    </font>
    <font>
      <b val="true"/>
      <sz val="6"/>
      <color rgb="FF8A7580"/>
      <name val="Oswald"/>
      <family val="0"/>
      <charset val="1"/>
    </font>
    <font>
      <b val="true"/>
      <sz val="18"/>
      <color rgb="FFE8DCD4"/>
      <name val="Oswald"/>
      <family val="0"/>
      <charset val="1"/>
    </font>
    <font>
      <b val="true"/>
      <sz val="11"/>
      <color rgb="FFE8DCD4"/>
      <name val="Oswald"/>
      <family val="0"/>
      <charset val="1"/>
    </font>
    <font>
      <b val="true"/>
      <sz val="10"/>
      <color rgb="FFE8DCD4"/>
      <name val="Oswald"/>
      <family val="0"/>
      <charset val="1"/>
    </font>
    <font>
      <b val="true"/>
      <sz val="15"/>
      <color rgb="FFE8DCD4"/>
      <name val="Oswald"/>
      <family val="0"/>
      <charset val="1"/>
    </font>
    <font>
      <b val="true"/>
      <sz val="7"/>
      <color rgb="FFE8DCD4"/>
      <name val="Oswald"/>
      <family val="0"/>
      <charset val="1"/>
    </font>
    <font>
      <b val="true"/>
      <sz val="7"/>
      <color rgb="FF8A7580"/>
      <name val="Oswald"/>
      <family val="0"/>
      <charset val="1"/>
    </font>
    <font>
      <b val="true"/>
      <sz val="6"/>
      <color rgb="FFB02840"/>
      <name val="Oswald"/>
      <family val="0"/>
      <charset val="1"/>
    </font>
    <font>
      <b val="true"/>
      <sz val="6"/>
      <color rgb="FF7B3FBF"/>
      <name val="Oswald"/>
      <family val="0"/>
      <charset val="1"/>
    </font>
    <font>
      <b val="true"/>
      <sz val="8"/>
      <color rgb="FF8A7580"/>
      <name val="Oswald"/>
      <family val="0"/>
      <charset val="1"/>
    </font>
    <font>
      <sz val="9"/>
      <color rgb="FFE8DCD4"/>
      <name val="Lexend"/>
      <family val="0"/>
      <charset val="1"/>
    </font>
    <font>
      <b val="true"/>
      <sz val="22"/>
      <color rgb="FFB02840"/>
      <name val="Oswald"/>
      <family val="0"/>
      <charset val="1"/>
    </font>
    <font>
      <b val="true"/>
      <sz val="22"/>
      <color rgb="FF7B3FBF"/>
      <name val="Oswald"/>
      <family val="0"/>
      <charset val="1"/>
    </font>
    <font>
      <b val="true"/>
      <sz val="12"/>
      <color rgb="FFE8DCD4"/>
      <name val="Oswald"/>
      <family val="0"/>
      <charset val="1"/>
    </font>
    <font>
      <sz val="6"/>
      <color rgb="FFE8DCD4"/>
      <name val="Lexend"/>
      <family val="0"/>
      <charset val="1"/>
    </font>
    <font>
      <sz val="5"/>
      <color rgb="FF8A7580"/>
      <name val="Lexend"/>
      <family val="0"/>
      <charset val="1"/>
    </font>
    <font>
      <sz val="8"/>
      <color rgb="FFA8306A"/>
      <name val="Lexend"/>
      <family val="0"/>
      <charset val="1"/>
    </font>
    <font>
      <sz val="7"/>
      <color rgb="FFE8DCD4"/>
      <name val="Lexend"/>
      <family val="0"/>
      <charset val="1"/>
    </font>
    <font>
      <b val="true"/>
      <sz val="11"/>
      <color rgb="FFA8306A"/>
      <name val="Oswald"/>
      <family val="0"/>
      <charset val="1"/>
    </font>
    <font>
      <i val="true"/>
      <sz val="10"/>
      <color rgb="FFE8DCD4"/>
      <name val="Lexend"/>
      <family val="0"/>
      <charset val="1"/>
    </font>
    <font>
      <b val="true"/>
      <sz val="5"/>
      <color rgb="FFA8306A"/>
      <name val="Oswald"/>
      <family val="0"/>
      <charset val="1"/>
    </font>
    <font>
      <sz val="8"/>
      <color rgb="FFE8DCD4"/>
      <name val="Lexend"/>
      <family val="0"/>
      <charset val="1"/>
    </font>
    <font>
      <b val="true"/>
      <sz val="5"/>
      <color rgb="FF8A7580"/>
      <name val="Oswald"/>
      <family val="0"/>
      <charset val="1"/>
    </font>
    <font>
      <sz val="8"/>
      <color rgb="FFF2E9EC"/>
      <name val="Lexend"/>
      <family val="0"/>
      <charset val="1"/>
    </font>
    <font>
      <sz val="9"/>
      <color rgb="FF8A7580"/>
      <name val="Lexend"/>
      <family val="0"/>
      <charset val="1"/>
    </font>
    <font>
      <sz val="9"/>
      <color rgb="FFB02840"/>
      <name val="Lexend"/>
      <family val="0"/>
      <charset val="1"/>
    </font>
    <font>
      <sz val="9"/>
      <color rgb="FF7B3FBF"/>
      <name val="Lexend"/>
      <family val="0"/>
      <charset val="1"/>
    </font>
    <font>
      <b val="true"/>
      <sz val="8"/>
      <color rgb="FFE8DCD4"/>
      <name val="Oswald"/>
      <family val="0"/>
      <charset val="1"/>
    </font>
    <font>
      <b val="true"/>
      <sz val="7"/>
      <color rgb="FFA8306A"/>
      <name val="Oswald"/>
      <family val="0"/>
      <charset val="1"/>
    </font>
    <font>
      <sz val="6"/>
      <color rgb="FFF2E9EC"/>
      <name val="Lexend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C0A0D"/>
        <bgColor rgb="FF17121A"/>
      </patternFill>
    </fill>
    <fill>
      <patternFill patternType="solid">
        <fgColor rgb="FF741B47"/>
        <bgColor rgb="FF4A1130"/>
      </patternFill>
    </fill>
    <fill>
      <patternFill patternType="solid">
        <fgColor rgb="FF000000"/>
        <bgColor rgb="FF0C0A0D"/>
      </patternFill>
    </fill>
    <fill>
      <patternFill patternType="solid">
        <fgColor rgb="FF4A1130"/>
        <bgColor rgb="FF1F1822"/>
      </patternFill>
    </fill>
    <fill>
      <patternFill patternType="solid">
        <fgColor rgb="FF1F1822"/>
        <bgColor rgb="FF17121A"/>
      </patternFill>
    </fill>
    <fill>
      <patternFill patternType="solid">
        <fgColor rgb="FF17121A"/>
        <bgColor rgb="FF1F182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A8306A"/>
      </left>
      <right style="thin">
        <color rgb="FFA8306A"/>
      </right>
      <top style="thin">
        <color rgb="FFA8306A"/>
      </top>
      <bottom style="thin">
        <color rgb="FFA8306A"/>
      </bottom>
      <diagonal/>
    </border>
    <border diagonalUp="false" diagonalDown="false">
      <left style="thin">
        <color rgb="FF4A1130"/>
      </left>
      <right style="thin">
        <color rgb="FF4A1130"/>
      </right>
      <top style="thin">
        <color rgb="FF4A1130"/>
      </top>
      <bottom style="thin">
        <color rgb="FF4A1130"/>
      </bottom>
      <diagonal/>
    </border>
    <border diagonalUp="false" diagonalDown="false">
      <left style="thin">
        <color rgb="FF741B47"/>
      </left>
      <right style="thin">
        <color rgb="FF741B47"/>
      </right>
      <top style="thin">
        <color rgb="FF741B47"/>
      </top>
      <bottom style="thin">
        <color rgb="FF741B47"/>
      </bottom>
      <diagonal/>
    </border>
    <border diagonalUp="false" diagonalDown="false">
      <left style="thin">
        <color rgb="FFB02840"/>
      </left>
      <right style="thin">
        <color rgb="FFB02840"/>
      </right>
      <top style="thin">
        <color rgb="FFB02840"/>
      </top>
      <bottom style="thin">
        <color rgb="FFB02840"/>
      </bottom>
      <diagonal/>
    </border>
    <border diagonalUp="false" diagonalDown="false">
      <left style="thin">
        <color rgb="FF7B3FBF"/>
      </left>
      <right style="thin">
        <color rgb="FF7B3FBF"/>
      </right>
      <top style="thin">
        <color rgb="FF7B3FBF"/>
      </top>
      <bottom style="thin">
        <color rgb="FF7B3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4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3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3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7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7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E9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C0A0D"/>
      <rgbColor rgb="FF808000"/>
      <rgbColor rgb="FF800080"/>
      <rgbColor rgb="FF008080"/>
      <rgbColor rgb="FFC0C0C0"/>
      <rgbColor rgb="FF8A7580"/>
      <rgbColor rgb="FF9999FF"/>
      <rgbColor rgb="FFA8306A"/>
      <rgbColor rgb="FFFFFFCC"/>
      <rgbColor rgb="FFCCFFFF"/>
      <rgbColor rgb="FF741B47"/>
      <rgbColor rgb="FFFF8080"/>
      <rgbColor rgb="FF0066CC"/>
      <rgbColor rgb="FFE8DC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B3FBF"/>
      <rgbColor rgb="FF969696"/>
      <rgbColor rgb="FF003366"/>
      <rgbColor rgb="FF339966"/>
      <rgbColor rgb="FF17121A"/>
      <rgbColor rgb="FF4A1130"/>
      <rgbColor rgb="FF993300"/>
      <rgbColor rgb="FFB02840"/>
      <rgbColor rgb="FF333399"/>
      <rgbColor rgb="FF1F18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41B47"/>
    <pageSetUpPr fitToPage="true"/>
  </sheetPr>
  <dimension ref="A1:AZ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2" min="1" style="0" width="2.35"/>
  </cols>
  <sheetData>
    <row r="1" customFormat="false" ht="14.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customFormat="false" ht="14.25" hidden="false" customHeight="true" outlineLevel="0" collapsed="false">
      <c r="A2" s="1"/>
      <c r="B2" s="2" t="s">
        <v>0</v>
      </c>
      <c r="C2" s="2"/>
      <c r="D2" s="2"/>
      <c r="E2" s="3" t="s">
        <v>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4"/>
      <c r="V2" s="5" t="s">
        <v>2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4"/>
      <c r="AN2" s="6" t="s">
        <v>3</v>
      </c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1"/>
    </row>
    <row r="3" customFormat="false" ht="14.25" hidden="false" customHeight="true" outlineLevel="0" collapsed="false">
      <c r="A3" s="1"/>
      <c r="B3" s="2"/>
      <c r="C3" s="2"/>
      <c r="D3" s="2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4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4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1"/>
    </row>
    <row r="4" customFormat="false" ht="14.25" hidden="false" customHeight="true" outlineLevel="0" collapsed="false">
      <c r="A4" s="1"/>
      <c r="B4" s="2"/>
      <c r="C4" s="2"/>
      <c r="D4" s="2"/>
      <c r="E4" s="7" t="s">
        <v>4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4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4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1"/>
    </row>
    <row r="5" customFormat="false" ht="14.25" hidden="false" customHeight="true" outlineLevel="0" collapsed="false">
      <c r="A5" s="1"/>
      <c r="B5" s="2"/>
      <c r="C5" s="2"/>
      <c r="D5" s="2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4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4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1"/>
    </row>
    <row r="6" customFormat="false" ht="14.25" hidden="false" customHeight="tru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customFormat="false" ht="14.25" hidden="false" customHeight="true" outlineLevel="0" collapsed="false">
      <c r="A7" s="1"/>
      <c r="B7" s="8" t="s">
        <v>5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1"/>
      <c r="AC7" s="9" t="s">
        <v>6</v>
      </c>
      <c r="AD7" s="9"/>
      <c r="AE7" s="9"/>
      <c r="AF7" s="9"/>
      <c r="AG7" s="9"/>
      <c r="AH7" s="9"/>
      <c r="AI7" s="9"/>
      <c r="AJ7" s="9"/>
      <c r="AK7" s="9"/>
      <c r="AL7" s="1"/>
      <c r="AM7" s="9" t="s">
        <v>7</v>
      </c>
      <c r="AN7" s="9"/>
      <c r="AO7" s="9"/>
      <c r="AP7" s="9"/>
      <c r="AQ7" s="9"/>
      <c r="AR7" s="9"/>
      <c r="AS7" s="1"/>
      <c r="AT7" s="9" t="s">
        <v>8</v>
      </c>
      <c r="AU7" s="9"/>
      <c r="AV7" s="9"/>
      <c r="AW7" s="9"/>
      <c r="AX7" s="9"/>
      <c r="AY7" s="9"/>
      <c r="AZ7" s="1"/>
    </row>
    <row r="8" customFormat="false" ht="14.25" hidden="false" customHeight="true" outlineLevel="0" collapsed="false">
      <c r="A8" s="1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1"/>
      <c r="AC8" s="9"/>
      <c r="AD8" s="9"/>
      <c r="AE8" s="9"/>
      <c r="AF8" s="9"/>
      <c r="AG8" s="9"/>
      <c r="AH8" s="9"/>
      <c r="AI8" s="9"/>
      <c r="AJ8" s="9"/>
      <c r="AK8" s="9"/>
      <c r="AL8" s="1"/>
      <c r="AM8" s="9"/>
      <c r="AN8" s="9"/>
      <c r="AO8" s="9"/>
      <c r="AP8" s="9"/>
      <c r="AQ8" s="9"/>
      <c r="AR8" s="9"/>
      <c r="AS8" s="1"/>
      <c r="AT8" s="9"/>
      <c r="AU8" s="9"/>
      <c r="AV8" s="9"/>
      <c r="AW8" s="9"/>
      <c r="AX8" s="9"/>
      <c r="AY8" s="9"/>
      <c r="AZ8" s="1"/>
    </row>
    <row r="9" customFormat="false" ht="14.25" hidden="false" customHeight="true" outlineLevel="0" collapsed="false">
      <c r="A9" s="1"/>
      <c r="B9" s="10" t="s">
        <v>9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"/>
      <c r="AC9" s="11"/>
      <c r="AD9" s="11"/>
      <c r="AE9" s="11"/>
      <c r="AF9" s="11"/>
      <c r="AG9" s="11"/>
      <c r="AH9" s="11"/>
      <c r="AI9" s="11"/>
      <c r="AJ9" s="11"/>
      <c r="AK9" s="11"/>
      <c r="AL9" s="1"/>
      <c r="AM9" s="12" t="s">
        <v>10</v>
      </c>
      <c r="AN9" s="12"/>
      <c r="AO9" s="12"/>
      <c r="AP9" s="12"/>
      <c r="AQ9" s="12"/>
      <c r="AR9" s="12"/>
      <c r="AS9" s="1"/>
      <c r="AT9" s="13" t="n">
        <v>2</v>
      </c>
      <c r="AU9" s="13"/>
      <c r="AV9" s="13"/>
      <c r="AW9" s="13"/>
      <c r="AX9" s="13"/>
      <c r="AY9" s="13"/>
      <c r="AZ9" s="1"/>
    </row>
    <row r="10" customFormat="false" ht="14.25" hidden="false" customHeight="true" outlineLevel="0" collapsed="false">
      <c r="A10" s="1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"/>
      <c r="AC10" s="11"/>
      <c r="AD10" s="11"/>
      <c r="AE10" s="11"/>
      <c r="AF10" s="11"/>
      <c r="AG10" s="11"/>
      <c r="AH10" s="11"/>
      <c r="AI10" s="11"/>
      <c r="AJ10" s="11"/>
      <c r="AK10" s="11"/>
      <c r="AL10" s="1"/>
      <c r="AM10" s="12"/>
      <c r="AN10" s="12"/>
      <c r="AO10" s="12"/>
      <c r="AP10" s="12"/>
      <c r="AQ10" s="12"/>
      <c r="AR10" s="12"/>
      <c r="AS10" s="1"/>
      <c r="AT10" s="13"/>
      <c r="AU10" s="13"/>
      <c r="AV10" s="13"/>
      <c r="AW10" s="13"/>
      <c r="AX10" s="13"/>
      <c r="AY10" s="13"/>
      <c r="AZ10" s="1"/>
    </row>
    <row r="11" customFormat="false" ht="14.25" hidden="false" customHeight="true" outlineLevel="0" collapsed="false">
      <c r="A11" s="1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"/>
      <c r="AC11" s="11"/>
      <c r="AD11" s="11"/>
      <c r="AE11" s="11"/>
      <c r="AF11" s="11"/>
      <c r="AG11" s="11"/>
      <c r="AH11" s="11"/>
      <c r="AI11" s="11"/>
      <c r="AJ11" s="11"/>
      <c r="AK11" s="11"/>
      <c r="AL11" s="1"/>
      <c r="AM11" s="12"/>
      <c r="AN11" s="12"/>
      <c r="AO11" s="12"/>
      <c r="AP11" s="12"/>
      <c r="AQ11" s="12"/>
      <c r="AR11" s="12"/>
      <c r="AS11" s="1"/>
      <c r="AT11" s="13"/>
      <c r="AU11" s="13"/>
      <c r="AV11" s="13"/>
      <c r="AW11" s="13"/>
      <c r="AX11" s="13"/>
      <c r="AY11" s="13"/>
      <c r="AZ11" s="1"/>
    </row>
    <row r="12" customFormat="false" ht="14.25" hidden="false" customHeight="true" outlineLevel="0" collapsed="false">
      <c r="A12" s="1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"/>
      <c r="AC12" s="11"/>
      <c r="AD12" s="11"/>
      <c r="AE12" s="11"/>
      <c r="AF12" s="11"/>
      <c r="AG12" s="11"/>
      <c r="AH12" s="11"/>
      <c r="AI12" s="11"/>
      <c r="AJ12" s="11"/>
      <c r="AK12" s="11"/>
      <c r="AL12" s="1"/>
      <c r="AM12" s="12"/>
      <c r="AN12" s="12"/>
      <c r="AO12" s="12"/>
      <c r="AP12" s="12"/>
      <c r="AQ12" s="12"/>
      <c r="AR12" s="12"/>
      <c r="AS12" s="1"/>
      <c r="AT12" s="13"/>
      <c r="AU12" s="13"/>
      <c r="AV12" s="13"/>
      <c r="AW12" s="13"/>
      <c r="AX12" s="13"/>
      <c r="AY12" s="13"/>
      <c r="AZ12" s="1"/>
    </row>
    <row r="13" customFormat="false" ht="14.2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customFormat="false" ht="14.25" hidden="false" customHeight="true" outlineLevel="0" collapsed="false">
      <c r="A14" s="1"/>
      <c r="B14" s="14" t="s">
        <v>11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"/>
      <c r="O14" s="14" t="s">
        <v>12</v>
      </c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"/>
      <c r="AC14" s="14" t="s">
        <v>13</v>
      </c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"/>
    </row>
    <row r="15" customFormat="false" ht="14.25" hidden="false" customHeight="true" outlineLevel="0" collapsed="false">
      <c r="A15" s="1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"/>
    </row>
    <row r="16" customFormat="false" ht="14.25" hidden="false" customHeight="true" outlineLevel="0" collapsed="false">
      <c r="A16" s="1"/>
      <c r="B16" s="15" t="s">
        <v>14</v>
      </c>
      <c r="C16" s="15"/>
      <c r="D16" s="15"/>
      <c r="E16" s="15"/>
      <c r="F16" s="15"/>
      <c r="G16" s="15"/>
      <c r="H16" s="15"/>
      <c r="I16" s="16" t="n">
        <v>3</v>
      </c>
      <c r="J16" s="16"/>
      <c r="K16" s="16"/>
      <c r="L16" s="16"/>
      <c r="M16" s="16"/>
      <c r="N16" s="1"/>
      <c r="O16" s="17" t="s">
        <v>15</v>
      </c>
      <c r="P16" s="17"/>
      <c r="Q16" s="17"/>
      <c r="R16" s="17"/>
      <c r="S16" s="17"/>
      <c r="T16" s="17"/>
      <c r="U16" s="1"/>
      <c r="V16" s="18" t="s">
        <v>16</v>
      </c>
      <c r="W16" s="18"/>
      <c r="X16" s="18"/>
      <c r="Y16" s="18"/>
      <c r="Z16" s="18"/>
      <c r="AA16" s="18"/>
      <c r="AB16" s="1"/>
      <c r="AC16" s="19" t="s">
        <v>17</v>
      </c>
      <c r="AD16" s="19"/>
      <c r="AE16" s="19"/>
      <c r="AF16" s="19"/>
      <c r="AG16" s="19"/>
      <c r="AH16" s="19"/>
      <c r="AI16" s="19"/>
      <c r="AJ16" s="19"/>
      <c r="AK16" s="19"/>
      <c r="AL16" s="1"/>
      <c r="AM16" s="20" t="s">
        <v>18</v>
      </c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1"/>
    </row>
    <row r="17" customFormat="false" ht="14.25" hidden="false" customHeight="true" outlineLevel="0" collapsed="false">
      <c r="A17" s="1"/>
      <c r="B17" s="15"/>
      <c r="C17" s="15"/>
      <c r="D17" s="15"/>
      <c r="E17" s="15"/>
      <c r="F17" s="15"/>
      <c r="G17" s="15"/>
      <c r="H17" s="15"/>
      <c r="I17" s="16"/>
      <c r="J17" s="16"/>
      <c r="K17" s="16"/>
      <c r="L17" s="16"/>
      <c r="M17" s="16"/>
      <c r="N17" s="1"/>
      <c r="O17" s="17"/>
      <c r="P17" s="17"/>
      <c r="Q17" s="17"/>
      <c r="R17" s="17"/>
      <c r="S17" s="17"/>
      <c r="T17" s="17"/>
      <c r="U17" s="1"/>
      <c r="V17" s="18"/>
      <c r="W17" s="18"/>
      <c r="X17" s="18"/>
      <c r="Y17" s="18"/>
      <c r="Z17" s="18"/>
      <c r="AA17" s="18"/>
      <c r="AB17" s="1"/>
      <c r="AC17" s="19"/>
      <c r="AD17" s="19"/>
      <c r="AE17" s="19"/>
      <c r="AF17" s="19"/>
      <c r="AG17" s="19"/>
      <c r="AH17" s="19"/>
      <c r="AI17" s="19"/>
      <c r="AJ17" s="19"/>
      <c r="AK17" s="19"/>
      <c r="AL17" s="1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1"/>
    </row>
    <row r="18" customFormat="false" ht="14.25" hidden="false" customHeight="true" outlineLevel="0" collapsed="false">
      <c r="A18" s="1"/>
      <c r="B18" s="15"/>
      <c r="C18" s="15"/>
      <c r="D18" s="15"/>
      <c r="E18" s="15"/>
      <c r="F18" s="15"/>
      <c r="G18" s="15"/>
      <c r="H18" s="15"/>
      <c r="I18" s="16"/>
      <c r="J18" s="16"/>
      <c r="K18" s="16"/>
      <c r="L18" s="16"/>
      <c r="M18" s="16"/>
      <c r="N18" s="1"/>
      <c r="O18" s="21" t="n">
        <f aca="false">(INDEX(caminho_vida1,MATCH($AM$16,caminho_nome,0))+$I$24)+(INDEX(caminho_vidaN,MATCH($AM$16,caminho_nome,0))+$I$24)*($AT$9-1)</f>
        <v>23</v>
      </c>
      <c r="P18" s="21"/>
      <c r="Q18" s="21"/>
      <c r="R18" s="21"/>
      <c r="S18" s="21"/>
      <c r="T18" s="21"/>
      <c r="U18" s="1"/>
      <c r="V18" s="22" t="n">
        <f aca="false">INDEX(caminho_peN,MATCH($AM$16,caminho_nome,0))*$AT$9</f>
        <v>8</v>
      </c>
      <c r="W18" s="22"/>
      <c r="X18" s="22"/>
      <c r="Y18" s="22"/>
      <c r="Z18" s="22"/>
      <c r="AA18" s="22"/>
      <c r="AB18" s="1"/>
      <c r="AC18" s="19"/>
      <c r="AD18" s="19"/>
      <c r="AE18" s="19"/>
      <c r="AF18" s="19"/>
      <c r="AG18" s="19"/>
      <c r="AH18" s="19"/>
      <c r="AI18" s="19"/>
      <c r="AJ18" s="19"/>
      <c r="AK18" s="19"/>
      <c r="AL18" s="1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1"/>
    </row>
    <row r="19" customFormat="false" ht="14.2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1"/>
      <c r="P19" s="21"/>
      <c r="Q19" s="21"/>
      <c r="R19" s="21"/>
      <c r="S19" s="21"/>
      <c r="T19" s="21"/>
      <c r="U19" s="1"/>
      <c r="V19" s="22"/>
      <c r="W19" s="22"/>
      <c r="X19" s="22"/>
      <c r="Y19" s="22"/>
      <c r="Z19" s="22"/>
      <c r="AA19" s="22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customFormat="false" ht="14.25" hidden="false" customHeight="true" outlineLevel="0" collapsed="false">
      <c r="A20" s="1"/>
      <c r="B20" s="15" t="s">
        <v>19</v>
      </c>
      <c r="C20" s="15"/>
      <c r="D20" s="15"/>
      <c r="E20" s="15"/>
      <c r="F20" s="15"/>
      <c r="G20" s="15"/>
      <c r="H20" s="15"/>
      <c r="I20" s="16" t="n">
        <v>2</v>
      </c>
      <c r="J20" s="16"/>
      <c r="K20" s="16"/>
      <c r="L20" s="16"/>
      <c r="M20" s="16"/>
      <c r="N20" s="1"/>
      <c r="O20" s="21"/>
      <c r="P20" s="21"/>
      <c r="Q20" s="21"/>
      <c r="R20" s="21"/>
      <c r="S20" s="21"/>
      <c r="T20" s="21"/>
      <c r="U20" s="1"/>
      <c r="V20" s="22"/>
      <c r="W20" s="22"/>
      <c r="X20" s="22"/>
      <c r="Y20" s="22"/>
      <c r="Z20" s="22"/>
      <c r="AA20" s="22"/>
      <c r="AB20" s="1"/>
      <c r="AC20" s="19" t="s">
        <v>20</v>
      </c>
      <c r="AD20" s="19"/>
      <c r="AE20" s="19"/>
      <c r="AF20" s="19"/>
      <c r="AG20" s="19"/>
      <c r="AH20" s="19"/>
      <c r="AI20" s="19"/>
      <c r="AJ20" s="19"/>
      <c r="AK20" s="19"/>
      <c r="AL20" s="1"/>
      <c r="AM20" s="20" t="s">
        <v>21</v>
      </c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1"/>
    </row>
    <row r="21" customFormat="false" ht="14.25" hidden="false" customHeight="true" outlineLevel="0" collapsed="false">
      <c r="A21" s="1"/>
      <c r="B21" s="15"/>
      <c r="C21" s="15"/>
      <c r="D21" s="15"/>
      <c r="E21" s="15"/>
      <c r="F21" s="15"/>
      <c r="G21" s="15"/>
      <c r="H21" s="15"/>
      <c r="I21" s="16"/>
      <c r="J21" s="16"/>
      <c r="K21" s="16"/>
      <c r="L21" s="16"/>
      <c r="M21" s="16"/>
      <c r="N21" s="1"/>
      <c r="O21" s="21"/>
      <c r="P21" s="21"/>
      <c r="Q21" s="21"/>
      <c r="R21" s="21"/>
      <c r="S21" s="21"/>
      <c r="T21" s="21"/>
      <c r="U21" s="1"/>
      <c r="V21" s="22"/>
      <c r="W21" s="22"/>
      <c r="X21" s="22"/>
      <c r="Y21" s="22"/>
      <c r="Z21" s="22"/>
      <c r="AA21" s="22"/>
      <c r="AB21" s="1"/>
      <c r="AC21" s="19"/>
      <c r="AD21" s="19"/>
      <c r="AE21" s="19"/>
      <c r="AF21" s="19"/>
      <c r="AG21" s="19"/>
      <c r="AH21" s="19"/>
      <c r="AI21" s="19"/>
      <c r="AJ21" s="19"/>
      <c r="AK21" s="19"/>
      <c r="AL21" s="1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1"/>
    </row>
    <row r="22" customFormat="false" ht="14.25" hidden="false" customHeight="true" outlineLevel="0" collapsed="false">
      <c r="A22" s="1"/>
      <c r="B22" s="15"/>
      <c r="C22" s="15"/>
      <c r="D22" s="15"/>
      <c r="E22" s="15"/>
      <c r="F22" s="15"/>
      <c r="G22" s="15"/>
      <c r="H22" s="15"/>
      <c r="I22" s="16"/>
      <c r="J22" s="16"/>
      <c r="K22" s="16"/>
      <c r="L22" s="16"/>
      <c r="M22" s="16"/>
      <c r="N22" s="1"/>
      <c r="O22" s="21"/>
      <c r="P22" s="21"/>
      <c r="Q22" s="21"/>
      <c r="R22" s="21"/>
      <c r="S22" s="21"/>
      <c r="T22" s="21"/>
      <c r="U22" s="1"/>
      <c r="V22" s="22"/>
      <c r="W22" s="22"/>
      <c r="X22" s="22"/>
      <c r="Y22" s="22"/>
      <c r="Z22" s="22"/>
      <c r="AA22" s="22"/>
      <c r="AB22" s="1"/>
      <c r="AC22" s="19"/>
      <c r="AD22" s="19"/>
      <c r="AE22" s="19"/>
      <c r="AF22" s="19"/>
      <c r="AG22" s="19"/>
      <c r="AH22" s="19"/>
      <c r="AI22" s="19"/>
      <c r="AJ22" s="19"/>
      <c r="AK22" s="19"/>
      <c r="AL22" s="1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1"/>
    </row>
    <row r="23" customFormat="false" ht="14.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1"/>
      <c r="P23" s="21"/>
      <c r="Q23" s="21"/>
      <c r="R23" s="21"/>
      <c r="S23" s="21"/>
      <c r="T23" s="21"/>
      <c r="U23" s="1"/>
      <c r="V23" s="22"/>
      <c r="W23" s="22"/>
      <c r="X23" s="22"/>
      <c r="Y23" s="22"/>
      <c r="Z23" s="22"/>
      <c r="AA23" s="22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customFormat="false" ht="14.25" hidden="false" customHeight="true" outlineLevel="0" collapsed="false">
      <c r="A24" s="1"/>
      <c r="B24" s="15" t="s">
        <v>22</v>
      </c>
      <c r="C24" s="15"/>
      <c r="D24" s="15"/>
      <c r="E24" s="15"/>
      <c r="F24" s="15"/>
      <c r="G24" s="15"/>
      <c r="H24" s="15"/>
      <c r="I24" s="16" t="n">
        <v>2</v>
      </c>
      <c r="J24" s="16"/>
      <c r="K24" s="16"/>
      <c r="L24" s="16"/>
      <c r="M24" s="16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9" t="s">
        <v>23</v>
      </c>
      <c r="AD24" s="19"/>
      <c r="AE24" s="19"/>
      <c r="AF24" s="19"/>
      <c r="AG24" s="19"/>
      <c r="AH24" s="19"/>
      <c r="AI24" s="19"/>
      <c r="AJ24" s="19"/>
      <c r="AK24" s="19"/>
      <c r="AL24" s="1"/>
      <c r="AM24" s="20" t="s">
        <v>24</v>
      </c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1"/>
    </row>
    <row r="25" customFormat="false" ht="14.25" hidden="false" customHeight="true" outlineLevel="0" collapsed="false">
      <c r="A25" s="1"/>
      <c r="B25" s="15"/>
      <c r="C25" s="15"/>
      <c r="D25" s="15"/>
      <c r="E25" s="15"/>
      <c r="F25" s="15"/>
      <c r="G25" s="15"/>
      <c r="H25" s="15"/>
      <c r="I25" s="16"/>
      <c r="J25" s="16"/>
      <c r="K25" s="16"/>
      <c r="L25" s="16"/>
      <c r="M25" s="16"/>
      <c r="N25" s="1"/>
      <c r="O25" s="9" t="s">
        <v>25</v>
      </c>
      <c r="P25" s="9"/>
      <c r="Q25" s="9"/>
      <c r="R25" s="9"/>
      <c r="S25" s="9"/>
      <c r="T25" s="9"/>
      <c r="U25" s="1"/>
      <c r="V25" s="9" t="s">
        <v>26</v>
      </c>
      <c r="W25" s="9"/>
      <c r="X25" s="9"/>
      <c r="Y25" s="9"/>
      <c r="Z25" s="9"/>
      <c r="AA25" s="9"/>
      <c r="AB25" s="1"/>
      <c r="AC25" s="19"/>
      <c r="AD25" s="19"/>
      <c r="AE25" s="19"/>
      <c r="AF25" s="19"/>
      <c r="AG25" s="19"/>
      <c r="AH25" s="19"/>
      <c r="AI25" s="19"/>
      <c r="AJ25" s="19"/>
      <c r="AK25" s="19"/>
      <c r="AL25" s="1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1"/>
    </row>
    <row r="26" customFormat="false" ht="14.25" hidden="false" customHeight="true" outlineLevel="0" collapsed="false">
      <c r="A26" s="1"/>
      <c r="B26" s="15"/>
      <c r="C26" s="15"/>
      <c r="D26" s="15"/>
      <c r="E26" s="15"/>
      <c r="F26" s="15"/>
      <c r="G26" s="15"/>
      <c r="H26" s="15"/>
      <c r="I26" s="16"/>
      <c r="J26" s="16"/>
      <c r="K26" s="16"/>
      <c r="L26" s="16"/>
      <c r="M26" s="16"/>
      <c r="N26" s="1"/>
      <c r="O26" s="9"/>
      <c r="P26" s="9"/>
      <c r="Q26" s="9"/>
      <c r="R26" s="9"/>
      <c r="S26" s="9"/>
      <c r="T26" s="9"/>
      <c r="U26" s="1"/>
      <c r="V26" s="9"/>
      <c r="W26" s="9"/>
      <c r="X26" s="9"/>
      <c r="Y26" s="9"/>
      <c r="Z26" s="9"/>
      <c r="AA26" s="9"/>
      <c r="AB26" s="1"/>
      <c r="AC26" s="19"/>
      <c r="AD26" s="19"/>
      <c r="AE26" s="19"/>
      <c r="AF26" s="19"/>
      <c r="AG26" s="19"/>
      <c r="AH26" s="19"/>
      <c r="AI26" s="19"/>
      <c r="AJ26" s="19"/>
      <c r="AK26" s="19"/>
      <c r="AL26" s="1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1"/>
    </row>
    <row r="27" customFormat="false" ht="14.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3" t="n">
        <f aca="false">10+$I$20+1</f>
        <v>13</v>
      </c>
      <c r="P27" s="23"/>
      <c r="Q27" s="23"/>
      <c r="R27" s="23"/>
      <c r="S27" s="23"/>
      <c r="T27" s="23"/>
      <c r="U27" s="1"/>
      <c r="V27" s="23" t="n">
        <f aca="false">20+8*($AT$9-1)</f>
        <v>28</v>
      </c>
      <c r="W27" s="23"/>
      <c r="X27" s="23"/>
      <c r="Y27" s="23"/>
      <c r="Z27" s="23"/>
      <c r="AA27" s="23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customFormat="false" ht="14.25" hidden="false" customHeight="true" outlineLevel="0" collapsed="false">
      <c r="A28" s="1"/>
      <c r="B28" s="15" t="s">
        <v>27</v>
      </c>
      <c r="C28" s="15"/>
      <c r="D28" s="15"/>
      <c r="E28" s="15"/>
      <c r="F28" s="15"/>
      <c r="G28" s="15"/>
      <c r="H28" s="15"/>
      <c r="I28" s="16" t="n">
        <v>1</v>
      </c>
      <c r="J28" s="16"/>
      <c r="K28" s="16"/>
      <c r="L28" s="16"/>
      <c r="M28" s="16"/>
      <c r="N28" s="1"/>
      <c r="O28" s="23"/>
      <c r="P28" s="23"/>
      <c r="Q28" s="23"/>
      <c r="R28" s="23"/>
      <c r="S28" s="23"/>
      <c r="T28" s="23"/>
      <c r="U28" s="1"/>
      <c r="V28" s="23"/>
      <c r="W28" s="23"/>
      <c r="X28" s="23"/>
      <c r="Y28" s="23"/>
      <c r="Z28" s="23"/>
      <c r="AA28" s="23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customFormat="false" ht="14.25" hidden="false" customHeight="true" outlineLevel="0" collapsed="false">
      <c r="A29" s="1"/>
      <c r="B29" s="15"/>
      <c r="C29" s="15"/>
      <c r="D29" s="15"/>
      <c r="E29" s="15"/>
      <c r="F29" s="15"/>
      <c r="G29" s="15"/>
      <c r="H29" s="15"/>
      <c r="I29" s="16"/>
      <c r="J29" s="16"/>
      <c r="K29" s="16"/>
      <c r="L29" s="16"/>
      <c r="M29" s="16"/>
      <c r="N29" s="1"/>
      <c r="O29" s="23"/>
      <c r="P29" s="23"/>
      <c r="Q29" s="23"/>
      <c r="R29" s="23"/>
      <c r="S29" s="23"/>
      <c r="T29" s="23"/>
      <c r="U29" s="1"/>
      <c r="V29" s="23"/>
      <c r="W29" s="23"/>
      <c r="X29" s="23"/>
      <c r="Y29" s="23"/>
      <c r="Z29" s="23"/>
      <c r="AA29" s="23"/>
      <c r="AB29" s="1"/>
      <c r="AC29" s="14" t="s">
        <v>28</v>
      </c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"/>
    </row>
    <row r="30" customFormat="false" ht="14.25" hidden="false" customHeight="true" outlineLevel="0" collapsed="false">
      <c r="A30" s="1"/>
      <c r="B30" s="15"/>
      <c r="C30" s="15"/>
      <c r="D30" s="15"/>
      <c r="E30" s="15"/>
      <c r="F30" s="15"/>
      <c r="G30" s="15"/>
      <c r="H30" s="15"/>
      <c r="I30" s="16"/>
      <c r="J30" s="16"/>
      <c r="K30" s="16"/>
      <c r="L30" s="16"/>
      <c r="M30" s="16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"/>
    </row>
    <row r="31" customFormat="false" ht="14.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9" t="s">
        <v>29</v>
      </c>
      <c r="P31" s="9"/>
      <c r="Q31" s="9"/>
      <c r="R31" s="9"/>
      <c r="S31" s="9"/>
      <c r="T31" s="9"/>
      <c r="U31" s="1"/>
      <c r="V31" s="9" t="s">
        <v>30</v>
      </c>
      <c r="W31" s="9"/>
      <c r="X31" s="9"/>
      <c r="Y31" s="9"/>
      <c r="Z31" s="9"/>
      <c r="AA31" s="9"/>
      <c r="AB31" s="1"/>
      <c r="AC31" s="24" t="s">
        <v>14</v>
      </c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1"/>
    </row>
    <row r="32" customFormat="false" ht="14.25" hidden="false" customHeight="true" outlineLevel="0" collapsed="false">
      <c r="A32" s="1"/>
      <c r="B32" s="15" t="s">
        <v>31</v>
      </c>
      <c r="C32" s="15"/>
      <c r="D32" s="15"/>
      <c r="E32" s="15"/>
      <c r="F32" s="15"/>
      <c r="G32" s="15"/>
      <c r="H32" s="15"/>
      <c r="I32" s="16" t="n">
        <v>1</v>
      </c>
      <c r="J32" s="16"/>
      <c r="K32" s="16"/>
      <c r="L32" s="16"/>
      <c r="M32" s="16"/>
      <c r="N32" s="1"/>
      <c r="O32" s="9"/>
      <c r="P32" s="9"/>
      <c r="Q32" s="9"/>
      <c r="R32" s="9"/>
      <c r="S32" s="9"/>
      <c r="T32" s="9"/>
      <c r="U32" s="1"/>
      <c r="V32" s="9"/>
      <c r="W32" s="9"/>
      <c r="X32" s="9"/>
      <c r="Y32" s="9"/>
      <c r="Z32" s="9"/>
      <c r="AA32" s="9"/>
      <c r="AB32" s="1"/>
      <c r="AC32" s="25" t="s">
        <v>32</v>
      </c>
      <c r="AD32" s="25"/>
      <c r="AE32" s="25"/>
      <c r="AF32" s="25"/>
      <c r="AG32" s="25"/>
      <c r="AH32" s="25"/>
      <c r="AI32" s="25"/>
      <c r="AJ32" s="25"/>
      <c r="AK32" s="25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customFormat="false" ht="14.25" hidden="false" customHeight="true" outlineLevel="0" collapsed="false">
      <c r="A33" s="1"/>
      <c r="B33" s="15"/>
      <c r="C33" s="15"/>
      <c r="D33" s="15"/>
      <c r="E33" s="15"/>
      <c r="F33" s="15"/>
      <c r="G33" s="15"/>
      <c r="H33" s="15"/>
      <c r="I33" s="16"/>
      <c r="J33" s="16"/>
      <c r="K33" s="16"/>
      <c r="L33" s="16"/>
      <c r="M33" s="16"/>
      <c r="N33" s="1"/>
      <c r="O33" s="23" t="str">
        <f aca="false">"d20 +"&amp;$I$20</f>
        <v>d20 +2</v>
      </c>
      <c r="P33" s="23"/>
      <c r="Q33" s="23"/>
      <c r="R33" s="23"/>
      <c r="S33" s="23"/>
      <c r="T33" s="23"/>
      <c r="U33" s="1"/>
      <c r="V33" s="23" t="str">
        <f aca="false">"9 m"</f>
        <v>9 m</v>
      </c>
      <c r="W33" s="23"/>
      <c r="X33" s="23"/>
      <c r="Y33" s="23"/>
      <c r="Z33" s="23"/>
      <c r="AA33" s="23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customFormat="false" ht="14.25" hidden="false" customHeight="true" outlineLevel="0" collapsed="false">
      <c r="A34" s="1"/>
      <c r="B34" s="15"/>
      <c r="C34" s="15"/>
      <c r="D34" s="15"/>
      <c r="E34" s="15"/>
      <c r="F34" s="15"/>
      <c r="G34" s="15"/>
      <c r="H34" s="15"/>
      <c r="I34" s="16"/>
      <c r="J34" s="16"/>
      <c r="K34" s="16"/>
      <c r="L34" s="16"/>
      <c r="M34" s="16"/>
      <c r="N34" s="1"/>
      <c r="O34" s="23"/>
      <c r="P34" s="23"/>
      <c r="Q34" s="23"/>
      <c r="R34" s="23"/>
      <c r="S34" s="23"/>
      <c r="T34" s="23"/>
      <c r="U34" s="1"/>
      <c r="V34" s="23"/>
      <c r="W34" s="23"/>
      <c r="X34" s="23"/>
      <c r="Y34" s="23"/>
      <c r="Z34" s="23"/>
      <c r="AA34" s="23"/>
      <c r="AB34" s="1"/>
      <c r="AC34" s="24" t="s">
        <v>19</v>
      </c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1"/>
    </row>
    <row r="35" customFormat="false" ht="14.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23"/>
      <c r="P35" s="23"/>
      <c r="Q35" s="23"/>
      <c r="R35" s="23"/>
      <c r="S35" s="23"/>
      <c r="T35" s="23"/>
      <c r="U35" s="1"/>
      <c r="V35" s="23"/>
      <c r="W35" s="23"/>
      <c r="X35" s="23"/>
      <c r="Y35" s="23"/>
      <c r="Z35" s="23"/>
      <c r="AA35" s="23"/>
      <c r="AB35" s="1"/>
      <c r="AC35" s="26" t="s">
        <v>33</v>
      </c>
      <c r="AD35" s="26"/>
      <c r="AE35" s="26"/>
      <c r="AF35" s="26"/>
      <c r="AG35" s="26"/>
      <c r="AH35" s="26"/>
      <c r="AI35" s="26"/>
      <c r="AJ35" s="26"/>
      <c r="AK35" s="26"/>
      <c r="AL35" s="26" t="s">
        <v>34</v>
      </c>
      <c r="AM35" s="26"/>
      <c r="AN35" s="26"/>
      <c r="AO35" s="26"/>
      <c r="AP35" s="26"/>
      <c r="AQ35" s="26"/>
      <c r="AR35" s="26"/>
      <c r="AS35" s="26"/>
      <c r="AT35" s="26"/>
      <c r="AU35" s="26" t="s">
        <v>35</v>
      </c>
      <c r="AV35" s="26"/>
      <c r="AW35" s="26"/>
      <c r="AX35" s="26"/>
      <c r="AY35" s="26"/>
      <c r="AZ35" s="1"/>
    </row>
    <row r="36" customFormat="false" ht="14.25" hidden="false" customHeight="true" outlineLevel="0" collapsed="false">
      <c r="A36" s="1"/>
      <c r="B36" s="27" t="s">
        <v>36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28" t="s">
        <v>37</v>
      </c>
      <c r="AD36" s="28"/>
      <c r="AE36" s="28"/>
      <c r="AF36" s="28"/>
      <c r="AG36" s="28"/>
      <c r="AH36" s="28"/>
      <c r="AI36" s="28"/>
      <c r="AJ36" s="28"/>
      <c r="AK36" s="28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customFormat="false" ht="14.25" hidden="false" customHeight="true" outlineLevel="0" collapsed="false">
      <c r="A37" s="1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1"/>
      <c r="O37" s="9" t="s">
        <v>38</v>
      </c>
      <c r="P37" s="9"/>
      <c r="Q37" s="9"/>
      <c r="R37" s="9"/>
      <c r="S37" s="9"/>
      <c r="T37" s="9"/>
      <c r="U37" s="1"/>
      <c r="V37" s="9" t="s">
        <v>39</v>
      </c>
      <c r="W37" s="9"/>
      <c r="X37" s="9"/>
      <c r="Y37" s="9"/>
      <c r="Z37" s="9"/>
      <c r="AA37" s="9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customFormat="false" ht="14.2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9"/>
      <c r="P38" s="9"/>
      <c r="Q38" s="9"/>
      <c r="R38" s="9"/>
      <c r="S38" s="9"/>
      <c r="T38" s="9"/>
      <c r="U38" s="1"/>
      <c r="V38" s="9"/>
      <c r="W38" s="9"/>
      <c r="X38" s="9"/>
      <c r="Y38" s="9"/>
      <c r="Z38" s="9"/>
      <c r="AA38" s="9"/>
      <c r="AB38" s="1"/>
      <c r="AC38" s="24" t="s">
        <v>27</v>
      </c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1"/>
    </row>
    <row r="39" customFormat="false" ht="14.25" hidden="false" customHeight="true" outlineLevel="0" collapsed="false">
      <c r="A39" s="1"/>
      <c r="B39" s="14" t="s">
        <v>40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"/>
      <c r="O39" s="23" t="n">
        <f aca="false">1+(($AT$9&gt;=10)+($AT$9&gt;=18)+($AT$9&gt;=26))</f>
        <v>1</v>
      </c>
      <c r="P39" s="23"/>
      <c r="Q39" s="23"/>
      <c r="R39" s="23"/>
      <c r="S39" s="23"/>
      <c r="T39" s="23"/>
      <c r="U39" s="1"/>
      <c r="V39" s="23" t="n">
        <f aca="false">12+1+(($AT$9&gt;=10)+($AT$9&gt;=18)+($AT$9&gt;=26))</f>
        <v>13</v>
      </c>
      <c r="W39" s="23"/>
      <c r="X39" s="23"/>
      <c r="Y39" s="23"/>
      <c r="Z39" s="23"/>
      <c r="AA39" s="23"/>
      <c r="AB39" s="1"/>
      <c r="AC39" s="26" t="s">
        <v>41</v>
      </c>
      <c r="AD39" s="26"/>
      <c r="AE39" s="26"/>
      <c r="AF39" s="26"/>
      <c r="AG39" s="26"/>
      <c r="AH39" s="26"/>
      <c r="AI39" s="26"/>
      <c r="AJ39" s="26"/>
      <c r="AK39" s="26"/>
      <c r="AL39" s="25" t="s">
        <v>42</v>
      </c>
      <c r="AM39" s="25"/>
      <c r="AN39" s="25"/>
      <c r="AO39" s="25"/>
      <c r="AP39" s="25"/>
      <c r="AQ39" s="25"/>
      <c r="AR39" s="25"/>
      <c r="AS39" s="25"/>
      <c r="AT39" s="25"/>
      <c r="AU39" s="26" t="s">
        <v>43</v>
      </c>
      <c r="AV39" s="26"/>
      <c r="AW39" s="26"/>
      <c r="AX39" s="26"/>
      <c r="AY39" s="26"/>
      <c r="AZ39" s="1"/>
    </row>
    <row r="40" customFormat="false" ht="14.25" hidden="false" customHeight="true" outlineLevel="0" collapsed="false">
      <c r="A40" s="1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"/>
      <c r="O40" s="23"/>
      <c r="P40" s="23"/>
      <c r="Q40" s="23"/>
      <c r="R40" s="23"/>
      <c r="S40" s="23"/>
      <c r="T40" s="23"/>
      <c r="U40" s="1"/>
      <c r="V40" s="23"/>
      <c r="W40" s="23"/>
      <c r="X40" s="23"/>
      <c r="Y40" s="23"/>
      <c r="Z40" s="23"/>
      <c r="AA40" s="23"/>
      <c r="AB40" s="1"/>
      <c r="AC40" s="28" t="s">
        <v>44</v>
      </c>
      <c r="AD40" s="28"/>
      <c r="AE40" s="28"/>
      <c r="AF40" s="28"/>
      <c r="AG40" s="28"/>
      <c r="AH40" s="28"/>
      <c r="AI40" s="28"/>
      <c r="AJ40" s="28"/>
      <c r="AK40" s="28"/>
      <c r="AL40" s="29" t="s">
        <v>45</v>
      </c>
      <c r="AM40" s="29"/>
      <c r="AN40" s="29"/>
      <c r="AO40" s="29"/>
      <c r="AP40" s="29"/>
      <c r="AQ40" s="29"/>
      <c r="AR40" s="29"/>
      <c r="AS40" s="29"/>
      <c r="AT40" s="29"/>
      <c r="AU40" s="29" t="s">
        <v>46</v>
      </c>
      <c r="AV40" s="29"/>
      <c r="AW40" s="29"/>
      <c r="AX40" s="29"/>
      <c r="AY40" s="29"/>
      <c r="AZ40" s="1"/>
    </row>
    <row r="41" customFormat="false" ht="14.25" hidden="false" customHeight="true" outlineLevel="0" collapsed="false">
      <c r="A41" s="1"/>
      <c r="B41" s="30" t="s">
        <v>47</v>
      </c>
      <c r="C41" s="30"/>
      <c r="D41" s="31" t="s">
        <v>48</v>
      </c>
      <c r="E41" s="31"/>
      <c r="F41" s="31"/>
      <c r="G41" s="31"/>
      <c r="H41" s="31"/>
      <c r="I41" s="32" t="s">
        <v>49</v>
      </c>
      <c r="J41" s="32"/>
      <c r="K41" s="32"/>
      <c r="L41" s="32"/>
      <c r="M41" s="32"/>
      <c r="N41" s="1"/>
      <c r="O41" s="23"/>
      <c r="P41" s="23"/>
      <c r="Q41" s="23"/>
      <c r="R41" s="23"/>
      <c r="S41" s="23"/>
      <c r="T41" s="23"/>
      <c r="U41" s="1"/>
      <c r="V41" s="23"/>
      <c r="W41" s="23"/>
      <c r="X41" s="23"/>
      <c r="Y41" s="23"/>
      <c r="Z41" s="23"/>
      <c r="AA41" s="23"/>
      <c r="AB41" s="1"/>
      <c r="AC41" s="26" t="s">
        <v>50</v>
      </c>
      <c r="AD41" s="26"/>
      <c r="AE41" s="26"/>
      <c r="AF41" s="26"/>
      <c r="AG41" s="26"/>
      <c r="AH41" s="26"/>
      <c r="AI41" s="26"/>
      <c r="AJ41" s="26"/>
      <c r="AK41" s="26"/>
      <c r="AL41" s="25" t="s">
        <v>51</v>
      </c>
      <c r="AM41" s="25"/>
      <c r="AN41" s="25"/>
      <c r="AO41" s="25"/>
      <c r="AP41" s="25"/>
      <c r="AQ41" s="25"/>
      <c r="AR41" s="25"/>
      <c r="AS41" s="25"/>
      <c r="AT41" s="25"/>
      <c r="AU41" s="26" t="s">
        <v>52</v>
      </c>
      <c r="AV41" s="26"/>
      <c r="AW41" s="26"/>
      <c r="AX41" s="26"/>
      <c r="AY41" s="26"/>
      <c r="AZ41" s="1"/>
    </row>
    <row r="42" customFormat="false" ht="14.25" hidden="false" customHeight="true" outlineLevel="0" collapsed="false">
      <c r="A42" s="1"/>
      <c r="B42" s="30"/>
      <c r="C42" s="30"/>
      <c r="D42" s="31"/>
      <c r="E42" s="31"/>
      <c r="F42" s="31"/>
      <c r="G42" s="31"/>
      <c r="H42" s="31"/>
      <c r="I42" s="32"/>
      <c r="J42" s="32"/>
      <c r="K42" s="32"/>
      <c r="L42" s="32"/>
      <c r="M42" s="32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28" t="s">
        <v>53</v>
      </c>
      <c r="AD42" s="28"/>
      <c r="AE42" s="28"/>
      <c r="AF42" s="28"/>
      <c r="AG42" s="28"/>
      <c r="AH42" s="28"/>
      <c r="AI42" s="28"/>
      <c r="AJ42" s="28"/>
      <c r="AK42" s="28"/>
      <c r="AL42" s="28" t="s">
        <v>54</v>
      </c>
      <c r="AM42" s="28"/>
      <c r="AN42" s="28"/>
      <c r="AO42" s="28"/>
      <c r="AP42" s="28"/>
      <c r="AQ42" s="28"/>
      <c r="AR42" s="28"/>
      <c r="AS42" s="28"/>
      <c r="AT42" s="28"/>
      <c r="AU42" s="1"/>
      <c r="AV42" s="1"/>
      <c r="AW42" s="1"/>
      <c r="AX42" s="1"/>
      <c r="AY42" s="1"/>
      <c r="AZ42" s="1"/>
    </row>
    <row r="43" customFormat="false" ht="14.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customFormat="false" ht="14.25" hidden="false" customHeight="true" outlineLevel="0" collapsed="false">
      <c r="A44" s="1"/>
      <c r="B44" s="30" t="s">
        <v>47</v>
      </c>
      <c r="C44" s="30"/>
      <c r="D44" s="31" t="s">
        <v>55</v>
      </c>
      <c r="E44" s="31"/>
      <c r="F44" s="31"/>
      <c r="G44" s="31"/>
      <c r="H44" s="31"/>
      <c r="I44" s="32" t="s">
        <v>56</v>
      </c>
      <c r="J44" s="32"/>
      <c r="K44" s="32"/>
      <c r="L44" s="32"/>
      <c r="M44" s="32"/>
      <c r="N44" s="1"/>
      <c r="O44" s="14" t="s">
        <v>57</v>
      </c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"/>
      <c r="AC44" s="24" t="s">
        <v>31</v>
      </c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1"/>
    </row>
    <row r="45" customFormat="false" ht="14.25" hidden="false" customHeight="true" outlineLevel="0" collapsed="false">
      <c r="A45" s="1"/>
      <c r="B45" s="30"/>
      <c r="C45" s="30"/>
      <c r="D45" s="31"/>
      <c r="E45" s="31"/>
      <c r="F45" s="31"/>
      <c r="G45" s="31"/>
      <c r="H45" s="31"/>
      <c r="I45" s="32"/>
      <c r="J45" s="32"/>
      <c r="K45" s="32"/>
      <c r="L45" s="32"/>
      <c r="M45" s="32"/>
      <c r="N45" s="1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"/>
      <c r="AC45" s="25" t="s">
        <v>58</v>
      </c>
      <c r="AD45" s="25"/>
      <c r="AE45" s="25"/>
      <c r="AF45" s="25"/>
      <c r="AG45" s="25"/>
      <c r="AH45" s="25"/>
      <c r="AI45" s="25"/>
      <c r="AJ45" s="25"/>
      <c r="AK45" s="25"/>
      <c r="AL45" s="25" t="s">
        <v>59</v>
      </c>
      <c r="AM45" s="25"/>
      <c r="AN45" s="25"/>
      <c r="AO45" s="25"/>
      <c r="AP45" s="25"/>
      <c r="AQ45" s="25"/>
      <c r="AR45" s="25"/>
      <c r="AS45" s="25"/>
      <c r="AT45" s="25"/>
      <c r="AU45" s="26" t="s">
        <v>60</v>
      </c>
      <c r="AV45" s="26"/>
      <c r="AW45" s="26"/>
      <c r="AX45" s="26"/>
      <c r="AY45" s="26"/>
      <c r="AZ45" s="1"/>
    </row>
    <row r="46" customFormat="false" ht="14.2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5" t="s">
        <v>61</v>
      </c>
      <c r="P46" s="15"/>
      <c r="Q46" s="15"/>
      <c r="R46" s="15"/>
      <c r="S46" s="15"/>
      <c r="T46" s="15"/>
      <c r="U46" s="15"/>
      <c r="V46" s="15"/>
      <c r="W46" s="11" t="str">
        <f aca="false">"d20 +"&amp;(2+1+(($AT$9&gt;=10)+($AT$9&gt;=18)+($AT$9&gt;=26)))</f>
        <v>d20 +3</v>
      </c>
      <c r="X46" s="11"/>
      <c r="Y46" s="11"/>
      <c r="Z46" s="11"/>
      <c r="AA46" s="11"/>
      <c r="AB46" s="1"/>
      <c r="AC46" s="28" t="s">
        <v>62</v>
      </c>
      <c r="AD46" s="28"/>
      <c r="AE46" s="28"/>
      <c r="AF46" s="28"/>
      <c r="AG46" s="28"/>
      <c r="AH46" s="28"/>
      <c r="AI46" s="28"/>
      <c r="AJ46" s="28"/>
      <c r="AK46" s="28"/>
      <c r="AL46" s="29" t="s">
        <v>63</v>
      </c>
      <c r="AM46" s="29"/>
      <c r="AN46" s="29"/>
      <c r="AO46" s="29"/>
      <c r="AP46" s="29"/>
      <c r="AQ46" s="29"/>
      <c r="AR46" s="29"/>
      <c r="AS46" s="29"/>
      <c r="AT46" s="29"/>
      <c r="AU46" s="28" t="s">
        <v>64</v>
      </c>
      <c r="AV46" s="28"/>
      <c r="AW46" s="28"/>
      <c r="AX46" s="28"/>
      <c r="AY46" s="28"/>
      <c r="AZ46" s="1"/>
    </row>
    <row r="47" customFormat="false" ht="14.25" hidden="false" customHeight="true" outlineLevel="0" collapsed="false">
      <c r="A47" s="1"/>
      <c r="B47" s="30" t="s">
        <v>65</v>
      </c>
      <c r="C47" s="30"/>
      <c r="D47" s="31" t="s">
        <v>66</v>
      </c>
      <c r="E47" s="31"/>
      <c r="F47" s="31"/>
      <c r="G47" s="31"/>
      <c r="H47" s="31"/>
      <c r="I47" s="32" t="s">
        <v>67</v>
      </c>
      <c r="J47" s="32"/>
      <c r="K47" s="32"/>
      <c r="L47" s="32"/>
      <c r="M47" s="32"/>
      <c r="N47" s="1"/>
      <c r="O47" s="15"/>
      <c r="P47" s="15"/>
      <c r="Q47" s="15"/>
      <c r="R47" s="15"/>
      <c r="S47" s="15"/>
      <c r="T47" s="15"/>
      <c r="U47" s="15"/>
      <c r="V47" s="15"/>
      <c r="W47" s="11"/>
      <c r="X47" s="11"/>
      <c r="Y47" s="11"/>
      <c r="Z47" s="11"/>
      <c r="AA47" s="11"/>
      <c r="AB47" s="1"/>
      <c r="AC47" s="26" t="s">
        <v>68</v>
      </c>
      <c r="AD47" s="26"/>
      <c r="AE47" s="26"/>
      <c r="AF47" s="26"/>
      <c r="AG47" s="26"/>
      <c r="AH47" s="26"/>
      <c r="AI47" s="26"/>
      <c r="AJ47" s="26"/>
      <c r="AK47" s="26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customFormat="false" ht="14.25" hidden="false" customHeight="true" outlineLevel="0" collapsed="false">
      <c r="A48" s="1"/>
      <c r="B48" s="30"/>
      <c r="C48" s="30"/>
      <c r="D48" s="31"/>
      <c r="E48" s="31"/>
      <c r="F48" s="31"/>
      <c r="G48" s="31"/>
      <c r="H48" s="31"/>
      <c r="I48" s="32"/>
      <c r="J48" s="32"/>
      <c r="K48" s="32"/>
      <c r="L48" s="32"/>
      <c r="M48" s="32"/>
      <c r="N48" s="1"/>
      <c r="O48" s="15"/>
      <c r="P48" s="15"/>
      <c r="Q48" s="15"/>
      <c r="R48" s="15"/>
      <c r="S48" s="15"/>
      <c r="T48" s="15"/>
      <c r="U48" s="15"/>
      <c r="V48" s="15"/>
      <c r="W48" s="11"/>
      <c r="X48" s="11"/>
      <c r="Y48" s="11"/>
      <c r="Z48" s="11"/>
      <c r="AA48" s="1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customFormat="false" ht="14.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5" t="s">
        <v>69</v>
      </c>
      <c r="P49" s="15"/>
      <c r="Q49" s="15"/>
      <c r="R49" s="15"/>
      <c r="S49" s="15"/>
      <c r="T49" s="15"/>
      <c r="U49" s="15"/>
      <c r="V49" s="15"/>
      <c r="W49" s="11" t="str">
        <f aca="false">"d20 +"&amp;$I$16</f>
        <v>d20 +3</v>
      </c>
      <c r="X49" s="11"/>
      <c r="Y49" s="11"/>
      <c r="Z49" s="11"/>
      <c r="AA49" s="11"/>
      <c r="AB49" s="1"/>
      <c r="AC49" s="14" t="s">
        <v>70</v>
      </c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"/>
    </row>
    <row r="50" customFormat="false" ht="14.25" hidden="false" customHeight="true" outlineLevel="0" collapsed="false">
      <c r="A50" s="1"/>
      <c r="B50" s="30" t="s">
        <v>65</v>
      </c>
      <c r="C50" s="30"/>
      <c r="D50" s="31" t="s">
        <v>71</v>
      </c>
      <c r="E50" s="31"/>
      <c r="F50" s="31"/>
      <c r="G50" s="31"/>
      <c r="H50" s="31"/>
      <c r="I50" s="32" t="s">
        <v>72</v>
      </c>
      <c r="J50" s="32"/>
      <c r="K50" s="32"/>
      <c r="L50" s="32"/>
      <c r="M50" s="32"/>
      <c r="N50" s="1"/>
      <c r="O50" s="15"/>
      <c r="P50" s="15"/>
      <c r="Q50" s="15"/>
      <c r="R50" s="15"/>
      <c r="S50" s="15"/>
      <c r="T50" s="15"/>
      <c r="U50" s="15"/>
      <c r="V50" s="15"/>
      <c r="W50" s="11"/>
      <c r="X50" s="11"/>
      <c r="Y50" s="11"/>
      <c r="Z50" s="11"/>
      <c r="AA50" s="11"/>
      <c r="AB50" s="1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"/>
    </row>
    <row r="51" customFormat="false" ht="14.25" hidden="false" customHeight="true" outlineLevel="0" collapsed="false">
      <c r="A51" s="1"/>
      <c r="B51" s="30"/>
      <c r="C51" s="30"/>
      <c r="D51" s="31"/>
      <c r="E51" s="31"/>
      <c r="F51" s="31"/>
      <c r="G51" s="31"/>
      <c r="H51" s="31"/>
      <c r="I51" s="32"/>
      <c r="J51" s="32"/>
      <c r="K51" s="32"/>
      <c r="L51" s="32"/>
      <c r="M51" s="32"/>
      <c r="N51" s="1"/>
      <c r="O51" s="15"/>
      <c r="P51" s="15"/>
      <c r="Q51" s="15"/>
      <c r="R51" s="15"/>
      <c r="S51" s="15"/>
      <c r="T51" s="15"/>
      <c r="U51" s="15"/>
      <c r="V51" s="15"/>
      <c r="W51" s="11"/>
      <c r="X51" s="11"/>
      <c r="Y51" s="11"/>
      <c r="Z51" s="11"/>
      <c r="AA51" s="11"/>
      <c r="AB51" s="1"/>
      <c r="AC51" s="26" t="s">
        <v>73</v>
      </c>
      <c r="AD51" s="26"/>
      <c r="AE51" s="26"/>
      <c r="AF51" s="26"/>
      <c r="AG51" s="26"/>
      <c r="AH51" s="26"/>
      <c r="AI51" s="26"/>
      <c r="AJ51" s="26"/>
      <c r="AK51" s="26"/>
      <c r="AL51" s="26" t="s">
        <v>74</v>
      </c>
      <c r="AM51" s="26"/>
      <c r="AN51" s="26"/>
      <c r="AO51" s="26"/>
      <c r="AP51" s="26"/>
      <c r="AQ51" s="26"/>
      <c r="AR51" s="26"/>
      <c r="AS51" s="26"/>
      <c r="AT51" s="26"/>
      <c r="AU51" s="26" t="s">
        <v>75</v>
      </c>
      <c r="AV51" s="26"/>
      <c r="AW51" s="26"/>
      <c r="AX51" s="26"/>
      <c r="AY51" s="26"/>
      <c r="AZ51" s="1"/>
    </row>
    <row r="52" customFormat="false" ht="14.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5" t="s">
        <v>76</v>
      </c>
      <c r="P52" s="15"/>
      <c r="Q52" s="15"/>
      <c r="R52" s="15"/>
      <c r="S52" s="15"/>
      <c r="T52" s="15"/>
      <c r="U52" s="15"/>
      <c r="V52" s="15"/>
      <c r="W52" s="11" t="str">
        <f aca="false">"d20 +"&amp;$I$20</f>
        <v>d20 +2</v>
      </c>
      <c r="X52" s="11"/>
      <c r="Y52" s="11"/>
      <c r="Z52" s="11"/>
      <c r="AA52" s="11"/>
      <c r="AB52" s="1"/>
      <c r="AC52" s="28" t="s">
        <v>77</v>
      </c>
      <c r="AD52" s="28"/>
      <c r="AE52" s="28"/>
      <c r="AF52" s="28"/>
      <c r="AG52" s="28"/>
      <c r="AH52" s="28"/>
      <c r="AI52" s="28"/>
      <c r="AJ52" s="28"/>
      <c r="AK52" s="28"/>
      <c r="AL52" s="28" t="s">
        <v>78</v>
      </c>
      <c r="AM52" s="28"/>
      <c r="AN52" s="28"/>
      <c r="AO52" s="28"/>
      <c r="AP52" s="28"/>
      <c r="AQ52" s="28"/>
      <c r="AR52" s="28"/>
      <c r="AS52" s="28"/>
      <c r="AT52" s="28"/>
      <c r="AU52" s="28" t="s">
        <v>79</v>
      </c>
      <c r="AV52" s="28"/>
      <c r="AW52" s="28"/>
      <c r="AX52" s="28"/>
      <c r="AY52" s="28"/>
      <c r="AZ52" s="1"/>
    </row>
    <row r="53" customFormat="false" ht="14.2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5"/>
      <c r="P53" s="15"/>
      <c r="Q53" s="15"/>
      <c r="R53" s="15"/>
      <c r="S53" s="15"/>
      <c r="T53" s="15"/>
      <c r="U53" s="15"/>
      <c r="V53" s="15"/>
      <c r="W53" s="11"/>
      <c r="X53" s="11"/>
      <c r="Y53" s="11"/>
      <c r="Z53" s="11"/>
      <c r="AA53" s="11"/>
      <c r="AB53" s="1"/>
      <c r="AC53" s="26" t="s">
        <v>80</v>
      </c>
      <c r="AD53" s="26"/>
      <c r="AE53" s="26"/>
      <c r="AF53" s="26"/>
      <c r="AG53" s="26"/>
      <c r="AH53" s="26"/>
      <c r="AI53" s="26"/>
      <c r="AJ53" s="26"/>
      <c r="AK53" s="26"/>
      <c r="AL53" s="26" t="s">
        <v>81</v>
      </c>
      <c r="AM53" s="26"/>
      <c r="AN53" s="26"/>
      <c r="AO53" s="26"/>
      <c r="AP53" s="26"/>
      <c r="AQ53" s="26"/>
      <c r="AR53" s="26"/>
      <c r="AS53" s="26"/>
      <c r="AT53" s="26"/>
      <c r="AU53" s="26" t="s">
        <v>82</v>
      </c>
      <c r="AV53" s="26"/>
      <c r="AW53" s="26"/>
      <c r="AX53" s="26"/>
      <c r="AY53" s="26"/>
      <c r="AZ53" s="1"/>
    </row>
    <row r="54" customFormat="false" ht="14.25" hidden="false" customHeight="true" outlineLevel="0" collapsed="false">
      <c r="A54" s="1"/>
      <c r="B54" s="27" t="s">
        <v>83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1"/>
      <c r="O54" s="15"/>
      <c r="P54" s="15"/>
      <c r="Q54" s="15"/>
      <c r="R54" s="15"/>
      <c r="S54" s="15"/>
      <c r="T54" s="15"/>
      <c r="U54" s="15"/>
      <c r="V54" s="15"/>
      <c r="W54" s="11"/>
      <c r="X54" s="11"/>
      <c r="Y54" s="11"/>
      <c r="Z54" s="11"/>
      <c r="AA54" s="11"/>
      <c r="AB54" s="1"/>
      <c r="AC54" s="28" t="s">
        <v>84</v>
      </c>
      <c r="AD54" s="28"/>
      <c r="AE54" s="28"/>
      <c r="AF54" s="28"/>
      <c r="AG54" s="28"/>
      <c r="AH54" s="28"/>
      <c r="AI54" s="28"/>
      <c r="AJ54" s="28"/>
      <c r="AK54" s="28"/>
      <c r="AL54" s="28" t="s">
        <v>85</v>
      </c>
      <c r="AM54" s="28"/>
      <c r="AN54" s="28"/>
      <c r="AO54" s="28"/>
      <c r="AP54" s="28"/>
      <c r="AQ54" s="28"/>
      <c r="AR54" s="28"/>
      <c r="AS54" s="28"/>
      <c r="AT54" s="28"/>
      <c r="AU54" s="1"/>
      <c r="AV54" s="1"/>
      <c r="AW54" s="1"/>
      <c r="AX54" s="1"/>
      <c r="AY54" s="1"/>
      <c r="AZ54" s="1"/>
    </row>
    <row r="55" customFormat="false" ht="14.25" hidden="false" customHeight="true" outlineLevel="0" collapsed="false">
      <c r="A55" s="1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customFormat="false" ht="14.2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customFormat="false" ht="14.2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customFormat="false" ht="14.2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customFormat="false" ht="14.2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customFormat="false" ht="14.2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customFormat="false" ht="14.2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customFormat="false" ht="14.2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customFormat="false" ht="14.2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customFormat="false" ht="14.2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customFormat="false" ht="14.2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customFormat="false" ht="14.2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customFormat="false" ht="14.2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customFormat="false" ht="14.2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customFormat="false" ht="14.2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customFormat="false" ht="14.2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customFormat="false" ht="14.2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customFormat="false" ht="14.2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customFormat="false" ht="14.2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customFormat="false" ht="14.2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customFormat="false" ht="14.2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customFormat="false" ht="14.2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customFormat="false" ht="14.2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4.2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customFormat="false" ht="14.2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customFormat="false" ht="14.2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customFormat="false" ht="14.2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customFormat="false" ht="14.2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customFormat="false" ht="14.2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customFormat="false" ht="14.2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customFormat="false" ht="14.2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customFormat="false" ht="14.2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</sheetData>
  <mergeCells count="110">
    <mergeCell ref="B2:D5"/>
    <mergeCell ref="E2:T3"/>
    <mergeCell ref="V2:AL5"/>
    <mergeCell ref="AN2:AY5"/>
    <mergeCell ref="E4:T5"/>
    <mergeCell ref="B7:AA8"/>
    <mergeCell ref="AC7:AK8"/>
    <mergeCell ref="AM7:AR8"/>
    <mergeCell ref="AT7:AY8"/>
    <mergeCell ref="B9:AA12"/>
    <mergeCell ref="AC9:AK12"/>
    <mergeCell ref="AM9:AR12"/>
    <mergeCell ref="AT9:AY12"/>
    <mergeCell ref="B14:M15"/>
    <mergeCell ref="O14:AA15"/>
    <mergeCell ref="AC14:AY15"/>
    <mergeCell ref="B16:H18"/>
    <mergeCell ref="I16:M18"/>
    <mergeCell ref="O16:T17"/>
    <mergeCell ref="V16:AA17"/>
    <mergeCell ref="AC16:AK18"/>
    <mergeCell ref="AM16:AY18"/>
    <mergeCell ref="O18:T23"/>
    <mergeCell ref="V18:AA23"/>
    <mergeCell ref="B20:H22"/>
    <mergeCell ref="I20:M22"/>
    <mergeCell ref="AC20:AK22"/>
    <mergeCell ref="AM20:AY22"/>
    <mergeCell ref="B24:H26"/>
    <mergeCell ref="I24:M26"/>
    <mergeCell ref="AC24:AK26"/>
    <mergeCell ref="AM24:AY26"/>
    <mergeCell ref="O25:T26"/>
    <mergeCell ref="V25:AA26"/>
    <mergeCell ref="O27:T29"/>
    <mergeCell ref="V27:AA29"/>
    <mergeCell ref="B28:H30"/>
    <mergeCell ref="I28:M30"/>
    <mergeCell ref="AC29:AY30"/>
    <mergeCell ref="O31:T32"/>
    <mergeCell ref="V31:AA32"/>
    <mergeCell ref="AC31:AY31"/>
    <mergeCell ref="B32:H34"/>
    <mergeCell ref="I32:M34"/>
    <mergeCell ref="AC32:AK32"/>
    <mergeCell ref="O33:T35"/>
    <mergeCell ref="V33:AA35"/>
    <mergeCell ref="AC34:AY34"/>
    <mergeCell ref="AC35:AK35"/>
    <mergeCell ref="AL35:AT35"/>
    <mergeCell ref="AU35:AY35"/>
    <mergeCell ref="B36:M37"/>
    <mergeCell ref="AC36:AK36"/>
    <mergeCell ref="O37:T38"/>
    <mergeCell ref="V37:AA38"/>
    <mergeCell ref="AC38:AY38"/>
    <mergeCell ref="B39:M40"/>
    <mergeCell ref="O39:T41"/>
    <mergeCell ref="V39:AA41"/>
    <mergeCell ref="AC39:AK39"/>
    <mergeCell ref="AL39:AT39"/>
    <mergeCell ref="AU39:AY39"/>
    <mergeCell ref="AC40:AK40"/>
    <mergeCell ref="AL40:AT40"/>
    <mergeCell ref="AU40:AY40"/>
    <mergeCell ref="B41:C42"/>
    <mergeCell ref="D41:H42"/>
    <mergeCell ref="I41:M42"/>
    <mergeCell ref="AC41:AK41"/>
    <mergeCell ref="AL41:AT41"/>
    <mergeCell ref="AU41:AY41"/>
    <mergeCell ref="AC42:AK42"/>
    <mergeCell ref="AL42:AT42"/>
    <mergeCell ref="B44:C45"/>
    <mergeCell ref="D44:H45"/>
    <mergeCell ref="I44:M45"/>
    <mergeCell ref="O44:AA45"/>
    <mergeCell ref="AC44:AY44"/>
    <mergeCell ref="AC45:AK45"/>
    <mergeCell ref="AL45:AT45"/>
    <mergeCell ref="AU45:AY45"/>
    <mergeCell ref="O46:V48"/>
    <mergeCell ref="W46:AA48"/>
    <mergeCell ref="AC46:AK46"/>
    <mergeCell ref="AL46:AT46"/>
    <mergeCell ref="AU46:AY46"/>
    <mergeCell ref="B47:C48"/>
    <mergeCell ref="D47:H48"/>
    <mergeCell ref="I47:M48"/>
    <mergeCell ref="AC47:AK47"/>
    <mergeCell ref="O49:V51"/>
    <mergeCell ref="W49:AA51"/>
    <mergeCell ref="AC49:AY50"/>
    <mergeCell ref="B50:C51"/>
    <mergeCell ref="D50:H51"/>
    <mergeCell ref="I50:M51"/>
    <mergeCell ref="AC51:AK51"/>
    <mergeCell ref="AL51:AT51"/>
    <mergeCell ref="AU51:AY51"/>
    <mergeCell ref="O52:V54"/>
    <mergeCell ref="W52:AA54"/>
    <mergeCell ref="AC52:AK52"/>
    <mergeCell ref="AL52:AT52"/>
    <mergeCell ref="AU52:AY52"/>
    <mergeCell ref="AC53:AK53"/>
    <mergeCell ref="AL53:AT53"/>
    <mergeCell ref="AU53:AY53"/>
    <mergeCell ref="B54:M55"/>
    <mergeCell ref="AC54:AK54"/>
    <mergeCell ref="AL54:AT54"/>
  </mergeCells>
  <dataValidations count="4">
    <dataValidation allowBlank="true" error="Escolha um da lista do manual" errorStyle="stop" errorTitle="Fora do catálogo" operator="between" showDropDown="false" showErrorMessage="false" showInputMessage="false" sqref="AM16" type="list">
      <formula1>caminho_nome</formula1>
      <formula2>0</formula2>
    </dataValidation>
    <dataValidation allowBlank="true" error="Escolha um da lista do manual" errorStyle="stop" errorTitle="Fora do catálogo" operator="between" showDropDown="false" showErrorMessage="false" showInputMessage="false" sqref="AM20" type="list">
      <formula1>trilha_nome</formula1>
      <formula2>0</formula2>
    </dataValidation>
    <dataValidation allowBlank="true" error="Escolha um da lista do manual" errorStyle="stop" errorTitle="Fora do catálogo" operator="between" showDropDown="false" showErrorMessage="false" showInputMessage="false" sqref="AM24" type="list">
      <formula1>origem_nome</formula1>
      <formula2>0</formula2>
    </dataValidation>
    <dataValidation allowBlank="true" error="Atributo vai de 0 a 6. Na criação, nenhum passa de 3" errorStyle="stop" errorTitle="Fora da escala" operator="between" showDropDown="false" showErrorMessage="false" showInputMessage="false" sqref="I16 I20 I24 I28 I32" type="whole">
      <formula1>0</formula1>
      <formula2>6</formula2>
    </dataValidation>
  </dataValidations>
  <printOptions headings="false" gridLines="false" gridLinesSet="true" horizontalCentered="false" verticalCentered="false"/>
  <pageMargins left="0.15" right="0.15" top="0.15" bottom="0.1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41B47"/>
    <pageSetUpPr fitToPage="true"/>
  </sheetPr>
  <dimension ref="A1:AZ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2" min="1" style="0" width="2.35"/>
  </cols>
  <sheetData>
    <row r="1" customFormat="false" ht="14.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customFormat="false" ht="14.25" hidden="false" customHeight="true" outlineLevel="0" collapsed="false">
      <c r="A2" s="1"/>
      <c r="B2" s="2" t="s">
        <v>0</v>
      </c>
      <c r="C2" s="2"/>
      <c r="D2" s="2"/>
      <c r="E2" s="3" t="s">
        <v>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33" t="str">
        <f aca="false">FICHA!B9</f>
        <v>Kaori</v>
      </c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1"/>
    </row>
    <row r="3" customFormat="false" ht="14.25" hidden="false" customHeight="true" outlineLevel="0" collapsed="false">
      <c r="A3" s="1"/>
      <c r="B3" s="2"/>
      <c r="C3" s="2"/>
      <c r="D3" s="2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1"/>
    </row>
    <row r="4" customFormat="false" ht="14.25" hidden="false" customHeight="true" outlineLevel="0" collapsed="false">
      <c r="A4" s="1"/>
      <c r="B4" s="2"/>
      <c r="C4" s="2"/>
      <c r="D4" s="2"/>
      <c r="E4" s="7" t="s">
        <v>87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1"/>
    </row>
    <row r="5" customFormat="false" ht="14.25" hidden="false" customHeight="true" outlineLevel="0" collapsed="false">
      <c r="A5" s="1"/>
      <c r="B5" s="2"/>
      <c r="C5" s="2"/>
      <c r="D5" s="2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1"/>
    </row>
    <row r="6" customFormat="false" ht="14.25" hidden="false" customHeight="tru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customFormat="false" ht="14.25" hidden="false" customHeight="true" outlineLevel="0" collapsed="false">
      <c r="A7" s="1"/>
      <c r="B7" s="8" t="s">
        <v>88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1"/>
    </row>
    <row r="8" customFormat="false" ht="14.25" hidden="false" customHeight="true" outlineLevel="0" collapsed="false">
      <c r="A8" s="1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1"/>
    </row>
    <row r="9" customFormat="false" ht="14.25" hidden="false" customHeight="true" outlineLevel="0" collapsed="false">
      <c r="A9" s="1"/>
      <c r="B9" s="34" t="s">
        <v>89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1"/>
    </row>
    <row r="10" customFormat="false" ht="14.25" hidden="false" customHeight="true" outlineLevel="0" collapsed="false">
      <c r="A10" s="1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1"/>
    </row>
    <row r="11" customFormat="false" ht="14.25" hidden="false" customHeight="true" outlineLevel="0" collapsed="false">
      <c r="A11" s="1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1"/>
    </row>
    <row r="12" customFormat="false" ht="14.25" hidden="false" customHeight="true" outlineLevel="0" collapsed="false">
      <c r="A12" s="1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1"/>
    </row>
    <row r="13" customFormat="false" ht="14.2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customFormat="false" ht="14.25" hidden="false" customHeight="true" outlineLevel="0" collapsed="false">
      <c r="A14" s="1"/>
      <c r="B14" s="35" t="s">
        <v>90</v>
      </c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1"/>
      <c r="AC14" s="35" t="s">
        <v>91</v>
      </c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1"/>
    </row>
    <row r="15" customFormat="false" ht="14.25" hidden="false" customHeight="true" outlineLevel="0" collapsed="false">
      <c r="A15" s="1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1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1"/>
    </row>
    <row r="16" customFormat="false" ht="14.25" hidden="false" customHeight="true" outlineLevel="0" collapsed="false">
      <c r="A16" s="1"/>
      <c r="B16" s="36" t="s">
        <v>92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1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1"/>
    </row>
    <row r="17" customFormat="false" ht="14.25" hidden="false" customHeight="true" outlineLevel="0" collapsed="false">
      <c r="A17" s="1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1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1"/>
    </row>
    <row r="18" customFormat="false" ht="14.25" hidden="false" customHeight="true" outlineLevel="0" collapsed="false">
      <c r="A18" s="1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1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1"/>
    </row>
    <row r="19" customFormat="false" ht="14.25" hidden="false" customHeight="true" outlineLevel="0" collapsed="false">
      <c r="A19" s="1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1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1"/>
    </row>
    <row r="20" customFormat="false" ht="14.2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customFormat="false" ht="14.25" hidden="false" customHeight="true" outlineLevel="0" collapsed="false">
      <c r="A21" s="1"/>
      <c r="B21" s="14" t="s">
        <v>93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"/>
    </row>
    <row r="22" customFormat="false" ht="14.25" hidden="false" customHeight="true" outlineLevel="0" collapsed="false">
      <c r="A22" s="1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"/>
    </row>
    <row r="23" customFormat="false" ht="14.25" hidden="false" customHeight="true" outlineLevel="0" collapsed="false">
      <c r="A23" s="1"/>
      <c r="B23" s="37" t="s">
        <v>94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1"/>
      <c r="O23" s="38" t="s">
        <v>95</v>
      </c>
      <c r="P23" s="38"/>
      <c r="Q23" s="38"/>
      <c r="R23" s="38"/>
      <c r="S23" s="38"/>
      <c r="T23" s="1"/>
      <c r="U23" s="38" t="s">
        <v>96</v>
      </c>
      <c r="V23" s="38"/>
      <c r="W23" s="38"/>
      <c r="X23" s="38"/>
      <c r="Y23" s="38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customFormat="false" ht="14.25" hidden="false" customHeight="true" outlineLevel="0" collapsed="false">
      <c r="A24" s="1"/>
      <c r="B24" s="39" t="s">
        <v>97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1"/>
      <c r="O24" s="40" t="s">
        <v>65</v>
      </c>
      <c r="P24" s="40"/>
      <c r="Q24" s="40"/>
      <c r="R24" s="40"/>
      <c r="S24" s="40"/>
      <c r="T24" s="1"/>
      <c r="U24" s="40" t="s">
        <v>65</v>
      </c>
      <c r="V24" s="40"/>
      <c r="W24" s="40"/>
      <c r="X24" s="40"/>
      <c r="Y24" s="40"/>
      <c r="Z24" s="1"/>
      <c r="AA24" s="26" t="s">
        <v>98</v>
      </c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1"/>
    </row>
    <row r="25" customFormat="false" ht="14.25" hidden="false" customHeight="true" outlineLevel="0" collapsed="false">
      <c r="A25" s="1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1"/>
      <c r="O25" s="40"/>
      <c r="P25" s="40"/>
      <c r="Q25" s="40"/>
      <c r="R25" s="40"/>
      <c r="S25" s="40"/>
      <c r="T25" s="1"/>
      <c r="U25" s="40"/>
      <c r="V25" s="40"/>
      <c r="W25" s="40"/>
      <c r="X25" s="40"/>
      <c r="Y25" s="40"/>
      <c r="Z25" s="1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1"/>
    </row>
    <row r="26" customFormat="false" ht="14.25" hidden="false" customHeight="true" outlineLevel="0" collapsed="false">
      <c r="A26" s="1"/>
      <c r="B26" s="41" t="s">
        <v>99</v>
      </c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1"/>
      <c r="O26" s="42" t="s">
        <v>65</v>
      </c>
      <c r="P26" s="42"/>
      <c r="Q26" s="42"/>
      <c r="R26" s="42"/>
      <c r="S26" s="42"/>
      <c r="T26" s="1"/>
      <c r="U26" s="43" t="s">
        <v>47</v>
      </c>
      <c r="V26" s="43"/>
      <c r="W26" s="43"/>
      <c r="X26" s="43"/>
      <c r="Y26" s="43"/>
      <c r="Z26" s="1"/>
      <c r="AA26" s="28" t="s">
        <v>100</v>
      </c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1"/>
    </row>
    <row r="27" customFormat="false" ht="14.25" hidden="false" customHeight="true" outlineLevel="0" collapsed="false">
      <c r="A27" s="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1"/>
      <c r="O27" s="42"/>
      <c r="P27" s="42"/>
      <c r="Q27" s="42"/>
      <c r="R27" s="42"/>
      <c r="S27" s="42"/>
      <c r="T27" s="1"/>
      <c r="U27" s="43"/>
      <c r="V27" s="43"/>
      <c r="W27" s="43"/>
      <c r="X27" s="43"/>
      <c r="Y27" s="43"/>
      <c r="Z27" s="1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1"/>
    </row>
    <row r="28" customFormat="false" ht="14.25" hidden="false" customHeight="true" outlineLevel="0" collapsed="false">
      <c r="A28" s="1"/>
      <c r="B28" s="39" t="s">
        <v>101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1"/>
      <c r="O28" s="40" t="s">
        <v>65</v>
      </c>
      <c r="P28" s="40"/>
      <c r="Q28" s="40"/>
      <c r="R28" s="40"/>
      <c r="S28" s="40"/>
      <c r="T28" s="1"/>
      <c r="U28" s="40" t="s">
        <v>65</v>
      </c>
      <c r="V28" s="40"/>
      <c r="W28" s="40"/>
      <c r="X28" s="40"/>
      <c r="Y28" s="40"/>
      <c r="Z28" s="1"/>
      <c r="AA28" s="26" t="s">
        <v>102</v>
      </c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1"/>
    </row>
    <row r="29" customFormat="false" ht="14.25" hidden="false" customHeight="true" outlineLevel="0" collapsed="false">
      <c r="A29" s="1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1"/>
      <c r="O29" s="40"/>
      <c r="P29" s="40"/>
      <c r="Q29" s="40"/>
      <c r="R29" s="40"/>
      <c r="S29" s="40"/>
      <c r="T29" s="1"/>
      <c r="U29" s="40"/>
      <c r="V29" s="40"/>
      <c r="W29" s="40"/>
      <c r="X29" s="40"/>
      <c r="Y29" s="40"/>
      <c r="Z29" s="1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1"/>
    </row>
    <row r="30" customFormat="false" ht="14.25" hidden="false" customHeight="true" outlineLevel="0" collapsed="false">
      <c r="A30" s="1"/>
      <c r="B30" s="44" t="s">
        <v>103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1"/>
      <c r="O30" s="45" t="s">
        <v>47</v>
      </c>
      <c r="P30" s="45"/>
      <c r="Q30" s="45"/>
      <c r="R30" s="45"/>
      <c r="S30" s="45"/>
      <c r="T30" s="1"/>
      <c r="U30" s="46" t="s">
        <v>65</v>
      </c>
      <c r="V30" s="46"/>
      <c r="W30" s="46"/>
      <c r="X30" s="46"/>
      <c r="Y30" s="46"/>
      <c r="Z30" s="1"/>
      <c r="AA30" s="47" t="s">
        <v>104</v>
      </c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47"/>
      <c r="AW30" s="47"/>
      <c r="AX30" s="47"/>
      <c r="AY30" s="47"/>
      <c r="AZ30" s="1"/>
    </row>
    <row r="31" customFormat="false" ht="14.25" hidden="false" customHeight="true" outlineLevel="0" collapsed="false">
      <c r="A31" s="1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1"/>
      <c r="O31" s="45"/>
      <c r="P31" s="45"/>
      <c r="Q31" s="45"/>
      <c r="R31" s="45"/>
      <c r="S31" s="45"/>
      <c r="T31" s="1"/>
      <c r="U31" s="46"/>
      <c r="V31" s="46"/>
      <c r="W31" s="46"/>
      <c r="X31" s="46"/>
      <c r="Y31" s="46"/>
      <c r="Z31" s="1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47"/>
      <c r="AW31" s="47"/>
      <c r="AX31" s="47"/>
      <c r="AY31" s="47"/>
      <c r="AZ31" s="1"/>
    </row>
    <row r="32" customFormat="false" ht="14.25" hidden="false" customHeight="true" outlineLevel="0" collapsed="false">
      <c r="A32" s="1"/>
      <c r="B32" s="41" t="s">
        <v>105</v>
      </c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1"/>
      <c r="O32" s="42" t="s">
        <v>65</v>
      </c>
      <c r="P32" s="42"/>
      <c r="Q32" s="42"/>
      <c r="R32" s="42"/>
      <c r="S32" s="42"/>
      <c r="T32" s="1"/>
      <c r="U32" s="43" t="s">
        <v>47</v>
      </c>
      <c r="V32" s="43"/>
      <c r="W32" s="43"/>
      <c r="X32" s="43"/>
      <c r="Y32" s="43"/>
      <c r="Z32" s="1"/>
      <c r="AA32" s="28" t="s">
        <v>106</v>
      </c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1"/>
    </row>
    <row r="33" customFormat="false" ht="14.25" hidden="false" customHeight="true" outlineLevel="0" collapsed="false">
      <c r="A33" s="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1"/>
      <c r="O33" s="42"/>
      <c r="P33" s="42"/>
      <c r="Q33" s="42"/>
      <c r="R33" s="42"/>
      <c r="S33" s="42"/>
      <c r="T33" s="1"/>
      <c r="U33" s="43"/>
      <c r="V33" s="43"/>
      <c r="W33" s="43"/>
      <c r="X33" s="43"/>
      <c r="Y33" s="43"/>
      <c r="Z33" s="1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1"/>
    </row>
    <row r="34" customFormat="false" ht="14.25" hidden="false" customHeight="true" outlineLevel="0" collapsed="false">
      <c r="A34" s="1"/>
      <c r="B34" s="44" t="s">
        <v>107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1"/>
      <c r="O34" s="45" t="s">
        <v>47</v>
      </c>
      <c r="P34" s="45"/>
      <c r="Q34" s="45"/>
      <c r="R34" s="45"/>
      <c r="S34" s="45"/>
      <c r="T34" s="1"/>
      <c r="U34" s="46" t="s">
        <v>65</v>
      </c>
      <c r="V34" s="46"/>
      <c r="W34" s="46"/>
      <c r="X34" s="46"/>
      <c r="Y34" s="46"/>
      <c r="Z34" s="1"/>
      <c r="AA34" s="47" t="s">
        <v>108</v>
      </c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1"/>
    </row>
    <row r="35" customFormat="false" ht="14.25" hidden="false" customHeight="true" outlineLevel="0" collapsed="false">
      <c r="A35" s="1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1"/>
      <c r="O35" s="45"/>
      <c r="P35" s="45"/>
      <c r="Q35" s="45"/>
      <c r="R35" s="45"/>
      <c r="S35" s="45"/>
      <c r="T35" s="1"/>
      <c r="U35" s="46"/>
      <c r="V35" s="46"/>
      <c r="W35" s="46"/>
      <c r="X35" s="46"/>
      <c r="Y35" s="46"/>
      <c r="Z35" s="1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1"/>
    </row>
    <row r="36" customFormat="false" ht="14.25" hidden="false" customHeight="true" outlineLevel="0" collapsed="false">
      <c r="A36" s="1"/>
      <c r="B36" s="39" t="s">
        <v>109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1"/>
      <c r="O36" s="40" t="s">
        <v>65</v>
      </c>
      <c r="P36" s="40"/>
      <c r="Q36" s="40"/>
      <c r="R36" s="40"/>
      <c r="S36" s="40"/>
      <c r="T36" s="1"/>
      <c r="U36" s="40" t="s">
        <v>65</v>
      </c>
      <c r="V36" s="40"/>
      <c r="W36" s="40"/>
      <c r="X36" s="40"/>
      <c r="Y36" s="40"/>
      <c r="Z36" s="1"/>
      <c r="AA36" s="26" t="s">
        <v>110</v>
      </c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1"/>
    </row>
    <row r="37" customFormat="false" ht="14.25" hidden="false" customHeight="true" outlineLevel="0" collapsed="false">
      <c r="A37" s="1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1"/>
      <c r="O37" s="40"/>
      <c r="P37" s="40"/>
      <c r="Q37" s="40"/>
      <c r="R37" s="40"/>
      <c r="S37" s="40"/>
      <c r="T37" s="1"/>
      <c r="U37" s="40"/>
      <c r="V37" s="40"/>
      <c r="W37" s="40"/>
      <c r="X37" s="40"/>
      <c r="Y37" s="40"/>
      <c r="Z37" s="1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1"/>
    </row>
    <row r="38" customFormat="false" ht="14.25" hidden="false" customHeight="true" outlineLevel="0" collapsed="false">
      <c r="A38" s="1"/>
      <c r="B38" s="39" t="s">
        <v>111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1"/>
      <c r="O38" s="40" t="s">
        <v>65</v>
      </c>
      <c r="P38" s="40"/>
      <c r="Q38" s="40"/>
      <c r="R38" s="40"/>
      <c r="S38" s="40"/>
      <c r="T38" s="1"/>
      <c r="U38" s="40" t="s">
        <v>65</v>
      </c>
      <c r="V38" s="40"/>
      <c r="W38" s="40"/>
      <c r="X38" s="40"/>
      <c r="Y38" s="40"/>
      <c r="Z38" s="1"/>
      <c r="AA38" s="26" t="s">
        <v>112</v>
      </c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1"/>
    </row>
    <row r="39" customFormat="false" ht="14.25" hidden="false" customHeight="true" outlineLevel="0" collapsed="false">
      <c r="A39" s="1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1"/>
      <c r="O39" s="40"/>
      <c r="P39" s="40"/>
      <c r="Q39" s="40"/>
      <c r="R39" s="40"/>
      <c r="S39" s="40"/>
      <c r="T39" s="1"/>
      <c r="U39" s="40"/>
      <c r="V39" s="40"/>
      <c r="W39" s="40"/>
      <c r="X39" s="40"/>
      <c r="Y39" s="40"/>
      <c r="Z39" s="1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1"/>
    </row>
    <row r="40" customFormat="false" ht="14.25" hidden="false" customHeight="true" outlineLevel="0" collapsed="false">
      <c r="A40" s="1"/>
      <c r="B40" s="41" t="s">
        <v>113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1"/>
      <c r="O40" s="42" t="s">
        <v>65</v>
      </c>
      <c r="P40" s="42"/>
      <c r="Q40" s="42"/>
      <c r="R40" s="42"/>
      <c r="S40" s="42"/>
      <c r="T40" s="1"/>
      <c r="U40" s="43" t="s">
        <v>47</v>
      </c>
      <c r="V40" s="43"/>
      <c r="W40" s="43"/>
      <c r="X40" s="43"/>
      <c r="Y40" s="43"/>
      <c r="Z40" s="1"/>
      <c r="AA40" s="28" t="s">
        <v>114</v>
      </c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1"/>
    </row>
    <row r="41" customFormat="false" ht="14.25" hidden="false" customHeight="true" outlineLevel="0" collapsed="false">
      <c r="A41" s="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1"/>
      <c r="O41" s="42"/>
      <c r="P41" s="42"/>
      <c r="Q41" s="42"/>
      <c r="R41" s="42"/>
      <c r="S41" s="42"/>
      <c r="T41" s="1"/>
      <c r="U41" s="43"/>
      <c r="V41" s="43"/>
      <c r="W41" s="43"/>
      <c r="X41" s="43"/>
      <c r="Y41" s="43"/>
      <c r="Z41" s="1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1"/>
    </row>
    <row r="42" customFormat="false" ht="14.25" hidden="false" customHeight="true" outlineLevel="0" collapsed="false">
      <c r="A42" s="1"/>
      <c r="B42" s="48" t="s">
        <v>115</v>
      </c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1"/>
    </row>
    <row r="43" customFormat="false" ht="14.25" hidden="false" customHeight="true" outlineLevel="0" collapsed="false">
      <c r="A43" s="1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1"/>
    </row>
    <row r="44" customFormat="false" ht="14.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customFormat="false" ht="14.25" hidden="false" customHeight="true" outlineLevel="0" collapsed="false">
      <c r="A45" s="1"/>
      <c r="B45" s="14" t="s">
        <v>116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"/>
    </row>
    <row r="46" customFormat="false" ht="14.25" hidden="false" customHeight="true" outlineLevel="0" collapsed="false">
      <c r="A46" s="1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"/>
    </row>
    <row r="47" customFormat="false" ht="14.25" hidden="false" customHeight="true" outlineLevel="0" collapsed="false">
      <c r="A47" s="1"/>
      <c r="B47" s="37" t="s">
        <v>117</v>
      </c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1"/>
      <c r="P47" s="38" t="s">
        <v>118</v>
      </c>
      <c r="Q47" s="38"/>
      <c r="R47" s="38"/>
      <c r="S47" s="38"/>
      <c r="T47" s="38"/>
      <c r="U47" s="38"/>
      <c r="V47" s="38"/>
      <c r="W47" s="1"/>
      <c r="X47" s="38" t="s">
        <v>119</v>
      </c>
      <c r="Y47" s="38"/>
      <c r="Z47" s="38"/>
      <c r="AA47" s="38"/>
      <c r="AB47" s="38"/>
      <c r="AC47" s="1"/>
      <c r="AD47" s="38" t="s">
        <v>120</v>
      </c>
      <c r="AE47" s="38"/>
      <c r="AF47" s="38"/>
      <c r="AG47" s="38"/>
      <c r="AH47" s="38"/>
      <c r="AI47" s="1"/>
      <c r="AJ47" s="37" t="s">
        <v>121</v>
      </c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1"/>
    </row>
    <row r="48" customFormat="false" ht="14.25" hidden="false" customHeight="true" outlineLevel="0" collapsed="false">
      <c r="A48" s="1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1"/>
      <c r="P48" s="50"/>
      <c r="Q48" s="50"/>
      <c r="R48" s="50"/>
      <c r="S48" s="50"/>
      <c r="T48" s="50"/>
      <c r="U48" s="50"/>
      <c r="V48" s="50"/>
      <c r="W48" s="1"/>
      <c r="X48" s="50" t="n">
        <v>3</v>
      </c>
      <c r="Y48" s="50"/>
      <c r="Z48" s="50"/>
      <c r="AA48" s="50"/>
      <c r="AB48" s="50"/>
      <c r="AC48" s="1"/>
      <c r="AD48" s="50" t="n">
        <v>3</v>
      </c>
      <c r="AE48" s="50"/>
      <c r="AF48" s="50"/>
      <c r="AG48" s="50"/>
      <c r="AH48" s="50"/>
      <c r="AI48" s="1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1"/>
    </row>
    <row r="49" customFormat="false" ht="14.25" hidden="false" customHeight="true" outlineLevel="0" collapsed="false">
      <c r="A49" s="1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1"/>
      <c r="P49" s="50"/>
      <c r="Q49" s="50"/>
      <c r="R49" s="50"/>
      <c r="S49" s="50"/>
      <c r="T49" s="50"/>
      <c r="U49" s="50"/>
      <c r="V49" s="50"/>
      <c r="W49" s="1"/>
      <c r="X49" s="50"/>
      <c r="Y49" s="50"/>
      <c r="Z49" s="50"/>
      <c r="AA49" s="50"/>
      <c r="AB49" s="50"/>
      <c r="AC49" s="1"/>
      <c r="AD49" s="50"/>
      <c r="AE49" s="50"/>
      <c r="AF49" s="50"/>
      <c r="AG49" s="50"/>
      <c r="AH49" s="50"/>
      <c r="AI49" s="1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1"/>
    </row>
    <row r="50" customFormat="false" ht="14.2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customFormat="false" ht="14.25" hidden="false" customHeight="true" outlineLevel="0" collapsed="false">
      <c r="A51" s="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1"/>
      <c r="P51" s="52"/>
      <c r="Q51" s="52"/>
      <c r="R51" s="52"/>
      <c r="S51" s="52"/>
      <c r="T51" s="52"/>
      <c r="U51" s="52"/>
      <c r="V51" s="52"/>
      <c r="W51" s="1"/>
      <c r="X51" s="52" t="n">
        <v>3</v>
      </c>
      <c r="Y51" s="52"/>
      <c r="Z51" s="52"/>
      <c r="AA51" s="52"/>
      <c r="AB51" s="52"/>
      <c r="AC51" s="1"/>
      <c r="AD51" s="52" t="n">
        <v>3</v>
      </c>
      <c r="AE51" s="52"/>
      <c r="AF51" s="52"/>
      <c r="AG51" s="52"/>
      <c r="AH51" s="52"/>
      <c r="AI51" s="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1"/>
    </row>
    <row r="52" customFormat="false" ht="14.25" hidden="false" customHeight="true" outlineLevel="0" collapsed="false">
      <c r="A52" s="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1"/>
      <c r="P52" s="52"/>
      <c r="Q52" s="52"/>
      <c r="R52" s="52"/>
      <c r="S52" s="52"/>
      <c r="T52" s="52"/>
      <c r="U52" s="52"/>
      <c r="V52" s="52"/>
      <c r="W52" s="1"/>
      <c r="X52" s="52"/>
      <c r="Y52" s="52"/>
      <c r="Z52" s="52"/>
      <c r="AA52" s="52"/>
      <c r="AB52" s="52"/>
      <c r="AC52" s="1"/>
      <c r="AD52" s="52"/>
      <c r="AE52" s="52"/>
      <c r="AF52" s="52"/>
      <c r="AG52" s="52"/>
      <c r="AH52" s="52"/>
      <c r="AI52" s="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1"/>
    </row>
    <row r="53" customFormat="false" ht="14.2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customFormat="false" ht="14.25" hidden="false" customHeight="true" outlineLevel="0" collapsed="false">
      <c r="A54" s="1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1"/>
      <c r="P54" s="50"/>
      <c r="Q54" s="50"/>
      <c r="R54" s="50"/>
      <c r="S54" s="50"/>
      <c r="T54" s="50"/>
      <c r="U54" s="50"/>
      <c r="V54" s="50"/>
      <c r="W54" s="1"/>
      <c r="X54" s="50" t="n">
        <v>3</v>
      </c>
      <c r="Y54" s="50"/>
      <c r="Z54" s="50"/>
      <c r="AA54" s="50"/>
      <c r="AB54" s="50"/>
      <c r="AC54" s="1"/>
      <c r="AD54" s="50" t="n">
        <v>3</v>
      </c>
      <c r="AE54" s="50"/>
      <c r="AF54" s="50"/>
      <c r="AG54" s="50"/>
      <c r="AH54" s="50"/>
      <c r="AI54" s="1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1"/>
    </row>
    <row r="55" customFormat="false" ht="14.25" hidden="false" customHeight="true" outlineLevel="0" collapsed="false">
      <c r="A55" s="1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1"/>
      <c r="P55" s="50"/>
      <c r="Q55" s="50"/>
      <c r="R55" s="50"/>
      <c r="S55" s="50"/>
      <c r="T55" s="50"/>
      <c r="U55" s="50"/>
      <c r="V55" s="50"/>
      <c r="W55" s="1"/>
      <c r="X55" s="50"/>
      <c r="Y55" s="50"/>
      <c r="Z55" s="50"/>
      <c r="AA55" s="50"/>
      <c r="AB55" s="50"/>
      <c r="AC55" s="1"/>
      <c r="AD55" s="50"/>
      <c r="AE55" s="50"/>
      <c r="AF55" s="50"/>
      <c r="AG55" s="50"/>
      <c r="AH55" s="50"/>
      <c r="AI55" s="1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1"/>
    </row>
    <row r="56" customFormat="false" ht="14.2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customFormat="false" ht="14.2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customFormat="false" ht="14.25" hidden="false" customHeight="true" outlineLevel="0" collapsed="false">
      <c r="A58" s="1"/>
      <c r="B58" s="35" t="s">
        <v>122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1"/>
    </row>
    <row r="59" customFormat="false" ht="14.25" hidden="false" customHeight="true" outlineLevel="0" collapsed="false">
      <c r="A59" s="1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  <c r="AZ59" s="1"/>
    </row>
    <row r="60" customFormat="false" ht="14.25" hidden="false" customHeight="true" outlineLevel="0" collapsed="false">
      <c r="A60" s="1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1"/>
    </row>
    <row r="61" customFormat="false" ht="14.25" hidden="false" customHeight="true" outlineLevel="0" collapsed="false">
      <c r="A61" s="1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1"/>
    </row>
    <row r="62" customFormat="false" ht="14.25" hidden="false" customHeight="true" outlineLevel="0" collapsed="false">
      <c r="A62" s="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1"/>
    </row>
    <row r="63" customFormat="false" ht="14.25" hidden="false" customHeight="true" outlineLevel="0" collapsed="false">
      <c r="A63" s="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1"/>
    </row>
    <row r="64" customFormat="false" ht="14.2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customFormat="false" ht="14.25" hidden="false" customHeight="true" outlineLevel="0" collapsed="false">
      <c r="A65" s="1"/>
      <c r="B65" s="53" t="s">
        <v>123</v>
      </c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  <c r="AZ65" s="1"/>
    </row>
    <row r="66" customFormat="false" ht="14.25" hidden="false" customHeight="true" outlineLevel="0" collapsed="false">
      <c r="A66" s="1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1"/>
    </row>
    <row r="67" customFormat="false" ht="14.25" hidden="false" customHeight="true" outlineLevel="0" collapsed="false">
      <c r="A67" s="1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1"/>
    </row>
    <row r="68" customFormat="false" ht="14.2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customFormat="false" ht="14.2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customFormat="false" ht="14.2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customFormat="false" ht="14.2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customFormat="false" ht="14.2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customFormat="false" ht="14.2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customFormat="false" ht="14.2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customFormat="false" ht="14.2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customFormat="false" ht="14.2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customFormat="false" ht="14.2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4.2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customFormat="false" ht="14.2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customFormat="false" ht="14.2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customFormat="false" ht="14.2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customFormat="false" ht="14.2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customFormat="false" ht="14.2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customFormat="false" ht="14.2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customFormat="false" ht="14.2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customFormat="false" ht="14.2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</sheetData>
  <mergeCells count="76">
    <mergeCell ref="B2:D5"/>
    <mergeCell ref="E2:T3"/>
    <mergeCell ref="AN2:AY5"/>
    <mergeCell ref="E4:T5"/>
    <mergeCell ref="B7:AY8"/>
    <mergeCell ref="B9:AY12"/>
    <mergeCell ref="B14:AA15"/>
    <mergeCell ref="AC14:AY15"/>
    <mergeCell ref="B16:AA19"/>
    <mergeCell ref="AC16:AY19"/>
    <mergeCell ref="B21:AY22"/>
    <mergeCell ref="B23:M23"/>
    <mergeCell ref="O23:S23"/>
    <mergeCell ref="U23:Y23"/>
    <mergeCell ref="B24:M25"/>
    <mergeCell ref="O24:S25"/>
    <mergeCell ref="U24:Y25"/>
    <mergeCell ref="AA24:AY25"/>
    <mergeCell ref="B26:M27"/>
    <mergeCell ref="O26:S27"/>
    <mergeCell ref="U26:Y27"/>
    <mergeCell ref="AA26:AY27"/>
    <mergeCell ref="B28:M29"/>
    <mergeCell ref="O28:S29"/>
    <mergeCell ref="U28:Y29"/>
    <mergeCell ref="AA28:AY29"/>
    <mergeCell ref="B30:M31"/>
    <mergeCell ref="O30:S31"/>
    <mergeCell ref="U30:Y31"/>
    <mergeCell ref="AA30:AY31"/>
    <mergeCell ref="B32:M33"/>
    <mergeCell ref="O32:S33"/>
    <mergeCell ref="U32:Y33"/>
    <mergeCell ref="AA32:AY33"/>
    <mergeCell ref="B34:M35"/>
    <mergeCell ref="O34:S35"/>
    <mergeCell ref="U34:Y35"/>
    <mergeCell ref="AA34:AY35"/>
    <mergeCell ref="B36:M37"/>
    <mergeCell ref="O36:S37"/>
    <mergeCell ref="U36:Y37"/>
    <mergeCell ref="AA36:AY37"/>
    <mergeCell ref="B38:M39"/>
    <mergeCell ref="O38:S39"/>
    <mergeCell ref="U38:Y39"/>
    <mergeCell ref="AA38:AY39"/>
    <mergeCell ref="B40:M41"/>
    <mergeCell ref="O40:S41"/>
    <mergeCell ref="U40:Y41"/>
    <mergeCell ref="AA40:AY41"/>
    <mergeCell ref="B42:AY43"/>
    <mergeCell ref="B45:AY46"/>
    <mergeCell ref="B47:N47"/>
    <mergeCell ref="P47:V47"/>
    <mergeCell ref="X47:AB47"/>
    <mergeCell ref="AD47:AH47"/>
    <mergeCell ref="AJ47:AY47"/>
    <mergeCell ref="B48:N49"/>
    <mergeCell ref="P48:V49"/>
    <mergeCell ref="X48:AB49"/>
    <mergeCell ref="AD48:AH49"/>
    <mergeCell ref="AJ48:AY49"/>
    <mergeCell ref="B51:N52"/>
    <mergeCell ref="P51:V52"/>
    <mergeCell ref="X51:AB52"/>
    <mergeCell ref="AD51:AH52"/>
    <mergeCell ref="AJ51:AY52"/>
    <mergeCell ref="B54:N55"/>
    <mergeCell ref="P54:V55"/>
    <mergeCell ref="X54:AB55"/>
    <mergeCell ref="AD54:AH55"/>
    <mergeCell ref="AJ54:AY55"/>
    <mergeCell ref="B58:AY59"/>
    <mergeCell ref="B60:AY61"/>
    <mergeCell ref="B62:AY63"/>
    <mergeCell ref="B65:AY67"/>
  </mergeCells>
  <printOptions headings="false" gridLines="false" gridLinesSet="true" horizontalCentered="false" verticalCentered="false"/>
  <pageMargins left="0.15" right="0.15" top="0.15" bottom="0.1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41B47"/>
    <pageSetUpPr fitToPage="true"/>
  </sheetPr>
  <dimension ref="A1:AZ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2" min="1" style="0" width="2.35"/>
  </cols>
  <sheetData>
    <row r="1" customFormat="false" ht="14.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customFormat="false" ht="14.25" hidden="false" customHeight="true" outlineLevel="0" collapsed="false">
      <c r="A2" s="1"/>
      <c r="B2" s="2" t="s">
        <v>0</v>
      </c>
      <c r="C2" s="2"/>
      <c r="D2" s="2"/>
      <c r="E2" s="3" t="s">
        <v>124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33" t="str">
        <f aca="false">FICHA!B9</f>
        <v>Kaori</v>
      </c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1"/>
    </row>
    <row r="3" customFormat="false" ht="14.25" hidden="false" customHeight="true" outlineLevel="0" collapsed="false">
      <c r="A3" s="1"/>
      <c r="B3" s="2"/>
      <c r="C3" s="2"/>
      <c r="D3" s="2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1"/>
    </row>
    <row r="4" customFormat="false" ht="14.25" hidden="false" customHeight="true" outlineLevel="0" collapsed="false">
      <c r="A4" s="1"/>
      <c r="B4" s="2"/>
      <c r="C4" s="2"/>
      <c r="D4" s="2"/>
      <c r="E4" s="7" t="s">
        <v>125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1"/>
    </row>
    <row r="5" customFormat="false" ht="14.25" hidden="false" customHeight="true" outlineLevel="0" collapsed="false">
      <c r="A5" s="1"/>
      <c r="B5" s="2"/>
      <c r="C5" s="2"/>
      <c r="D5" s="2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1"/>
    </row>
    <row r="6" customFormat="false" ht="14.25" hidden="false" customHeight="tru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customFormat="false" ht="14.25" hidden="false" customHeight="true" outlineLevel="0" collapsed="false">
      <c r="A7" s="1"/>
      <c r="B7" s="35" t="s">
        <v>126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1"/>
      <c r="AC7" s="35" t="s">
        <v>127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1"/>
    </row>
    <row r="8" customFormat="false" ht="14.25" hidden="false" customHeight="true" outlineLevel="0" collapsed="false">
      <c r="A8" s="1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1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1"/>
    </row>
    <row r="9" customFormat="false" ht="14.25" hidden="false" customHeight="true" outlineLevel="0" collapsed="false">
      <c r="A9" s="1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1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1"/>
    </row>
    <row r="10" customFormat="false" ht="14.25" hidden="false" customHeight="true" outlineLevel="0" collapsed="false">
      <c r="A10" s="1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1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1"/>
    </row>
    <row r="11" customFormat="false" ht="14.25" hidden="false" customHeight="true" outlineLevel="0" collapsed="false">
      <c r="A11" s="1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1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1"/>
    </row>
    <row r="12" customFormat="false" ht="14.25" hidden="false" customHeight="true" outlineLevel="0" collapsed="false">
      <c r="A12" s="1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1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1"/>
    </row>
    <row r="13" customFormat="false" ht="14.25" hidden="false" customHeight="true" outlineLevel="0" collapsed="false">
      <c r="A13" s="1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1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1"/>
    </row>
    <row r="14" customFormat="false" ht="14.25" hidden="false" customHeight="true" outlineLevel="0" collapsed="false">
      <c r="A14" s="1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1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1"/>
    </row>
    <row r="15" customFormat="false" ht="14.25" hidden="false" customHeight="true" outlineLevel="0" collapsed="false">
      <c r="A15" s="1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1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1"/>
    </row>
    <row r="16" customFormat="false" ht="14.2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customFormat="false" ht="14.25" hidden="false" customHeight="true" outlineLevel="0" collapsed="false">
      <c r="A17" s="1"/>
      <c r="B17" s="35" t="s">
        <v>128</v>
      </c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1"/>
      <c r="AC17" s="35" t="s">
        <v>129</v>
      </c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1"/>
    </row>
    <row r="18" customFormat="false" ht="14.25" hidden="false" customHeight="true" outlineLevel="0" collapsed="false">
      <c r="A18" s="1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1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1"/>
    </row>
    <row r="19" customFormat="false" ht="14.25" hidden="false" customHeight="true" outlineLevel="0" collapsed="false">
      <c r="A19" s="1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1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1"/>
    </row>
    <row r="20" customFormat="false" ht="14.25" hidden="false" customHeight="true" outlineLevel="0" collapsed="false">
      <c r="A20" s="1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1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1"/>
    </row>
    <row r="21" customFormat="false" ht="14.25" hidden="false" customHeight="true" outlineLevel="0" collapsed="false">
      <c r="A21" s="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1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1"/>
    </row>
    <row r="22" customFormat="false" ht="14.25" hidden="false" customHeight="true" outlineLevel="0" collapsed="false">
      <c r="A22" s="1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1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1"/>
    </row>
    <row r="23" customFormat="false" ht="14.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customFormat="false" ht="14.25" hidden="false" customHeight="true" outlineLevel="0" collapsed="false">
      <c r="A24" s="1"/>
      <c r="B24" s="14" t="s">
        <v>130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"/>
    </row>
    <row r="25" customFormat="false" ht="14.25" hidden="false" customHeight="true" outlineLevel="0" collapsed="false">
      <c r="A25" s="1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"/>
    </row>
    <row r="26" customFormat="false" ht="14.25" hidden="false" customHeight="true" outlineLevel="0" collapsed="false">
      <c r="A26" s="1"/>
      <c r="B26" s="55" t="s">
        <v>131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1"/>
    </row>
    <row r="27" customFormat="false" ht="14.25" hidden="false" customHeight="true" outlineLevel="0" collapsed="false">
      <c r="A27" s="1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1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1"/>
    </row>
    <row r="28" customFormat="false" ht="14.25" hidden="false" customHeight="true" outlineLevel="0" collapsed="false">
      <c r="A28" s="1"/>
      <c r="B28" s="57" t="s">
        <v>132</v>
      </c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1"/>
    </row>
    <row r="29" customFormat="false" ht="14.25" hidden="false" customHeight="true" outlineLevel="0" collapsed="false">
      <c r="A29" s="1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1"/>
    </row>
    <row r="30" customFormat="false" ht="14.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customFormat="false" ht="14.25" hidden="false" customHeight="true" outlineLevel="0" collapsed="false">
      <c r="A31" s="1"/>
      <c r="B31" s="55" t="s">
        <v>133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1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1"/>
    </row>
    <row r="32" customFormat="false" ht="14.25" hidden="false" customHeight="true" outlineLevel="0" collapsed="false">
      <c r="A32" s="1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1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1"/>
    </row>
    <row r="33" customFormat="false" ht="14.25" hidden="false" customHeight="true" outlineLevel="0" collapsed="false">
      <c r="A33" s="1"/>
      <c r="B33" s="57" t="s">
        <v>134</v>
      </c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1"/>
    </row>
    <row r="34" customFormat="false" ht="14.25" hidden="false" customHeight="true" outlineLevel="0" collapsed="false">
      <c r="A34" s="1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1"/>
    </row>
    <row r="35" customFormat="false" ht="14.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customFormat="false" ht="14.2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customFormat="false" ht="14.25" hidden="false" customHeight="true" outlineLevel="0" collapsed="false">
      <c r="A37" s="1"/>
      <c r="B37" s="35" t="s">
        <v>135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1"/>
    </row>
    <row r="38" customFormat="false" ht="14.25" hidden="false" customHeight="true" outlineLevel="0" collapsed="false">
      <c r="A38" s="1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1"/>
    </row>
    <row r="39" customFormat="false" ht="14.25" hidden="false" customHeight="true" outlineLevel="0" collapsed="false">
      <c r="A39" s="1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1"/>
    </row>
    <row r="40" customFormat="false" ht="14.25" hidden="false" customHeight="true" outlineLevel="0" collapsed="false">
      <c r="A40" s="1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1"/>
    </row>
    <row r="41" customFormat="false" ht="14.25" hidden="false" customHeight="true" outlineLevel="0" collapsed="false">
      <c r="A41" s="1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1"/>
    </row>
    <row r="42" customFormat="false" ht="14.25" hidden="false" customHeight="true" outlineLevel="0" collapsed="false">
      <c r="A42" s="1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1"/>
    </row>
    <row r="43" customFormat="false" ht="14.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customFormat="false" ht="14.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customFormat="false" ht="14.25" hidden="false" customHeight="true" outlineLevel="0" collapsed="false">
      <c r="A45" s="1"/>
      <c r="B45" s="35" t="s">
        <v>136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1"/>
    </row>
    <row r="46" customFormat="false" ht="14.25" hidden="false" customHeight="true" outlineLevel="0" collapsed="false">
      <c r="A46" s="1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1"/>
    </row>
    <row r="47" customFormat="false" ht="14.25" hidden="false" customHeight="true" outlineLevel="0" collapsed="false">
      <c r="A47" s="1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  <c r="AT47" s="54"/>
      <c r="AU47" s="54"/>
      <c r="AV47" s="54"/>
      <c r="AW47" s="54"/>
      <c r="AX47" s="54"/>
      <c r="AY47" s="54"/>
      <c r="AZ47" s="1"/>
    </row>
    <row r="48" customFormat="false" ht="14.25" hidden="false" customHeight="true" outlineLevel="0" collapsed="false">
      <c r="A48" s="1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  <c r="AT48" s="54"/>
      <c r="AU48" s="54"/>
      <c r="AV48" s="54"/>
      <c r="AW48" s="54"/>
      <c r="AX48" s="54"/>
      <c r="AY48" s="54"/>
      <c r="AZ48" s="1"/>
    </row>
    <row r="49" customFormat="false" ht="14.25" hidden="false" customHeight="true" outlineLevel="0" collapsed="false">
      <c r="A49" s="1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4"/>
      <c r="AN49" s="54"/>
      <c r="AO49" s="54"/>
      <c r="AP49" s="54"/>
      <c r="AQ49" s="54"/>
      <c r="AR49" s="54"/>
      <c r="AS49" s="54"/>
      <c r="AT49" s="54"/>
      <c r="AU49" s="54"/>
      <c r="AV49" s="54"/>
      <c r="AW49" s="54"/>
      <c r="AX49" s="54"/>
      <c r="AY49" s="54"/>
      <c r="AZ49" s="1"/>
    </row>
    <row r="50" customFormat="false" ht="14.2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customFormat="false" ht="14.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customFormat="false" ht="14.25" hidden="false" customHeight="true" outlineLevel="0" collapsed="false">
      <c r="A52" s="1"/>
      <c r="B52" s="35" t="s">
        <v>137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1"/>
    </row>
    <row r="53" customFormat="false" ht="14.25" hidden="false" customHeight="true" outlineLevel="0" collapsed="false">
      <c r="A53" s="1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1"/>
    </row>
    <row r="54" customFormat="false" ht="14.25" hidden="false" customHeight="true" outlineLevel="0" collapsed="false">
      <c r="A54" s="1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AL54" s="54"/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1"/>
    </row>
    <row r="55" customFormat="false" ht="14.25" hidden="false" customHeight="true" outlineLevel="0" collapsed="false">
      <c r="A55" s="1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1"/>
    </row>
    <row r="56" customFormat="false" ht="14.2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customFormat="false" ht="14.2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customFormat="false" ht="14.25" hidden="false" customHeight="true" outlineLevel="0" collapsed="false">
      <c r="A58" s="1"/>
      <c r="B58" s="14" t="s">
        <v>138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"/>
    </row>
    <row r="59" customFormat="false" ht="14.25" hidden="false" customHeight="true" outlineLevel="0" collapsed="false">
      <c r="A59" s="1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"/>
    </row>
    <row r="60" customFormat="false" ht="14.25" hidden="false" customHeight="true" outlineLevel="0" collapsed="false">
      <c r="A60" s="1"/>
      <c r="B60" s="58" t="s">
        <v>139</v>
      </c>
      <c r="C60" s="58"/>
      <c r="D60" s="58"/>
      <c r="E60" s="58"/>
      <c r="F60" s="58"/>
      <c r="G60" s="58"/>
      <c r="H60" s="58"/>
      <c r="I60" s="58"/>
      <c r="J60" s="58"/>
      <c r="K60" s="58"/>
      <c r="L60" s="1"/>
      <c r="M60" s="59" t="s">
        <v>140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1"/>
    </row>
    <row r="61" customFormat="false" ht="14.25" hidden="false" customHeight="true" outlineLevel="0" collapsed="false">
      <c r="A61" s="1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1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  <c r="AT61" s="59"/>
      <c r="AU61" s="59"/>
      <c r="AV61" s="59"/>
      <c r="AW61" s="59"/>
      <c r="AX61" s="59"/>
      <c r="AY61" s="59"/>
      <c r="AZ61" s="1"/>
    </row>
    <row r="62" customFormat="false" ht="14.25" hidden="false" customHeight="true" outlineLevel="0" collapsed="false">
      <c r="A62" s="1"/>
      <c r="B62" s="60" t="s">
        <v>141</v>
      </c>
      <c r="C62" s="60"/>
      <c r="D62" s="60"/>
      <c r="E62" s="60"/>
      <c r="F62" s="60"/>
      <c r="G62" s="60"/>
      <c r="H62" s="60"/>
      <c r="I62" s="60"/>
      <c r="J62" s="60"/>
      <c r="K62" s="60"/>
      <c r="L62" s="1"/>
      <c r="M62" s="61" t="s">
        <v>142</v>
      </c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61"/>
      <c r="AX62" s="61"/>
      <c r="AY62" s="61"/>
      <c r="AZ62" s="1"/>
    </row>
    <row r="63" customFormat="false" ht="14.25" hidden="false" customHeight="true" outlineLevel="0" collapsed="false">
      <c r="A63" s="1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1"/>
    </row>
    <row r="64" customFormat="false" ht="14.25" hidden="false" customHeight="true" outlineLevel="0" collapsed="false">
      <c r="A64" s="1"/>
      <c r="B64" s="58" t="s">
        <v>143</v>
      </c>
      <c r="C64" s="58"/>
      <c r="D64" s="58"/>
      <c r="E64" s="58"/>
      <c r="F64" s="58"/>
      <c r="G64" s="58"/>
      <c r="H64" s="58"/>
      <c r="I64" s="58"/>
      <c r="J64" s="58"/>
      <c r="K64" s="58"/>
      <c r="L64" s="1"/>
      <c r="M64" s="59" t="s">
        <v>144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1"/>
    </row>
    <row r="65" customFormat="false" ht="14.25" hidden="false" customHeight="true" outlineLevel="0" collapsed="false">
      <c r="A65" s="1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1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1"/>
    </row>
    <row r="66" customFormat="false" ht="14.25" hidden="false" customHeight="true" outlineLevel="0" collapsed="false">
      <c r="A66" s="1"/>
      <c r="B66" s="60" t="s">
        <v>145</v>
      </c>
      <c r="C66" s="60"/>
      <c r="D66" s="60"/>
      <c r="E66" s="60"/>
      <c r="F66" s="60"/>
      <c r="G66" s="60"/>
      <c r="H66" s="60"/>
      <c r="I66" s="60"/>
      <c r="J66" s="60"/>
      <c r="K66" s="60"/>
      <c r="L66" s="1"/>
      <c r="M66" s="61" t="s">
        <v>146</v>
      </c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1"/>
    </row>
    <row r="67" customFormat="false" ht="14.25" hidden="false" customHeight="true" outlineLevel="0" collapsed="false">
      <c r="A67" s="1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1"/>
    </row>
    <row r="68" customFormat="false" ht="14.25" hidden="false" customHeight="true" outlineLevel="0" collapsed="false">
      <c r="A68" s="1"/>
      <c r="B68" s="58" t="s">
        <v>147</v>
      </c>
      <c r="C68" s="58"/>
      <c r="D68" s="58"/>
      <c r="E68" s="58"/>
      <c r="F68" s="58"/>
      <c r="G68" s="58"/>
      <c r="H68" s="58"/>
      <c r="I68" s="58"/>
      <c r="J68" s="58"/>
      <c r="K68" s="58"/>
      <c r="L68" s="1"/>
      <c r="M68" s="59" t="s">
        <v>148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1"/>
    </row>
    <row r="69" customFormat="false" ht="14.25" hidden="false" customHeight="true" outlineLevel="0" collapsed="false">
      <c r="A69" s="1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1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1"/>
    </row>
    <row r="70" customFormat="false" ht="14.2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customFormat="false" ht="14.2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customFormat="false" ht="14.2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customFormat="false" ht="14.2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customFormat="false" ht="14.2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customFormat="false" ht="14.2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customFormat="false" ht="14.2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customFormat="false" ht="14.2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4.2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customFormat="false" ht="14.2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customFormat="false" ht="14.2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customFormat="false" ht="14.2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customFormat="false" ht="14.2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customFormat="false" ht="14.2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customFormat="false" ht="14.2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customFormat="false" ht="14.2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customFormat="false" ht="14.2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</sheetData>
  <mergeCells count="36">
    <mergeCell ref="B2:D5"/>
    <mergeCell ref="E2:T3"/>
    <mergeCell ref="AN2:AY5"/>
    <mergeCell ref="E4:T5"/>
    <mergeCell ref="B7:AA8"/>
    <mergeCell ref="AC7:AY8"/>
    <mergeCell ref="B9:AA15"/>
    <mergeCell ref="AC9:AY15"/>
    <mergeCell ref="B17:AA18"/>
    <mergeCell ref="AC17:AY18"/>
    <mergeCell ref="B19:AA22"/>
    <mergeCell ref="AC19:AY22"/>
    <mergeCell ref="B24:AY25"/>
    <mergeCell ref="B26:M27"/>
    <mergeCell ref="O26:AY27"/>
    <mergeCell ref="B28:AY29"/>
    <mergeCell ref="B31:M32"/>
    <mergeCell ref="O31:AY32"/>
    <mergeCell ref="B33:AY34"/>
    <mergeCell ref="B37:AY38"/>
    <mergeCell ref="B39:AY42"/>
    <mergeCell ref="B45:AY46"/>
    <mergeCell ref="B47:AY49"/>
    <mergeCell ref="B52:AY53"/>
    <mergeCell ref="B54:AY55"/>
    <mergeCell ref="B58:AY59"/>
    <mergeCell ref="B60:K61"/>
    <mergeCell ref="M60:AY61"/>
    <mergeCell ref="B62:K63"/>
    <mergeCell ref="M62:AY63"/>
    <mergeCell ref="B64:K65"/>
    <mergeCell ref="M64:AY65"/>
    <mergeCell ref="B66:K67"/>
    <mergeCell ref="M66:AY67"/>
    <mergeCell ref="B68:K69"/>
    <mergeCell ref="M68:AY69"/>
  </mergeCells>
  <printOptions headings="false" gridLines="false" gridLinesSet="true" horizontalCentered="false" verticalCentered="false"/>
  <pageMargins left="0.15" right="0.15" top="0.15" bottom="0.1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149</v>
      </c>
      <c r="B1" s="0" t="s">
        <v>150</v>
      </c>
      <c r="C1" s="0" t="s">
        <v>151</v>
      </c>
      <c r="D1" s="0" t="s">
        <v>152</v>
      </c>
    </row>
    <row r="2" customFormat="false" ht="15" hidden="false" customHeight="false" outlineLevel="0" collapsed="false">
      <c r="A2" s="0" t="s">
        <v>18</v>
      </c>
      <c r="B2" s="0" t="n">
        <v>12</v>
      </c>
      <c r="C2" s="0" t="n">
        <v>7</v>
      </c>
      <c r="D2" s="0" t="n">
        <v>4</v>
      </c>
      <c r="F2" s="0" t="s">
        <v>21</v>
      </c>
      <c r="G2" s="0" t="s">
        <v>24</v>
      </c>
    </row>
    <row r="3" customFormat="false" ht="15" hidden="false" customHeight="false" outlineLevel="0" collapsed="false">
      <c r="A3" s="0" t="s">
        <v>153</v>
      </c>
      <c r="B3" s="0" t="n">
        <v>8</v>
      </c>
      <c r="C3" s="0" t="n">
        <v>5</v>
      </c>
      <c r="D3" s="0" t="n">
        <v>5</v>
      </c>
      <c r="F3" s="0" t="s">
        <v>154</v>
      </c>
      <c r="G3" s="0" t="s">
        <v>155</v>
      </c>
    </row>
    <row r="4" customFormat="false" ht="15" hidden="false" customHeight="false" outlineLevel="0" collapsed="false">
      <c r="A4" s="0" t="s">
        <v>156</v>
      </c>
      <c r="B4" s="0" t="n">
        <v>8</v>
      </c>
      <c r="C4" s="0" t="n">
        <v>5</v>
      </c>
      <c r="D4" s="0" t="n">
        <v>5</v>
      </c>
      <c r="F4" s="0" t="s">
        <v>157</v>
      </c>
      <c r="G4" s="0" t="s">
        <v>158</v>
      </c>
    </row>
    <row r="5" customFormat="false" ht="15" hidden="false" customHeight="false" outlineLevel="0" collapsed="false">
      <c r="A5" s="0" t="s">
        <v>159</v>
      </c>
      <c r="B5" s="0" t="n">
        <v>6</v>
      </c>
      <c r="C5" s="0" t="n">
        <v>4</v>
      </c>
      <c r="D5" s="0" t="n">
        <v>6</v>
      </c>
      <c r="F5" s="0" t="s">
        <v>160</v>
      </c>
      <c r="G5" s="0" t="s">
        <v>161</v>
      </c>
    </row>
    <row r="6" customFormat="false" ht="15" hidden="false" customHeight="false" outlineLevel="0" collapsed="false">
      <c r="A6" s="0" t="s">
        <v>162</v>
      </c>
      <c r="B6" s="0" t="n">
        <v>6</v>
      </c>
      <c r="C6" s="0" t="n">
        <v>4</v>
      </c>
      <c r="D6" s="0" t="n">
        <v>6</v>
      </c>
      <c r="F6" s="0" t="s">
        <v>163</v>
      </c>
      <c r="G6" s="0" t="s">
        <v>164</v>
      </c>
    </row>
    <row r="7" customFormat="false" ht="15" hidden="false" customHeight="false" outlineLevel="0" collapsed="false">
      <c r="F7" s="0" t="s">
        <v>165</v>
      </c>
      <c r="G7" s="0" t="s">
        <v>166</v>
      </c>
    </row>
    <row r="8" customFormat="false" ht="15" hidden="false" customHeight="false" outlineLevel="0" collapsed="false">
      <c r="F8" s="0" t="s">
        <v>167</v>
      </c>
      <c r="G8" s="0" t="s">
        <v>168</v>
      </c>
    </row>
    <row r="9" customFormat="false" ht="15" hidden="false" customHeight="false" outlineLevel="0" collapsed="false">
      <c r="F9" s="0" t="s">
        <v>169</v>
      </c>
      <c r="G9" s="0" t="s">
        <v>170</v>
      </c>
    </row>
    <row r="10" customFormat="false" ht="15" hidden="false" customHeight="false" outlineLevel="0" collapsed="false">
      <c r="F10" s="0" t="s">
        <v>171</v>
      </c>
      <c r="G10" s="0" t="s">
        <v>172</v>
      </c>
    </row>
    <row r="11" customFormat="false" ht="15" hidden="false" customHeight="false" outlineLevel="0" collapsed="false">
      <c r="F11" s="0" t="s">
        <v>173</v>
      </c>
    </row>
    <row r="12" customFormat="false" ht="15" hidden="false" customHeight="false" outlineLevel="0" collapsed="false">
      <c r="F12" s="0" t="s">
        <v>174</v>
      </c>
    </row>
    <row r="13" customFormat="false" ht="15" hidden="false" customHeight="false" outlineLevel="0" collapsed="false">
      <c r="F13" s="0" t="s">
        <v>175</v>
      </c>
    </row>
    <row r="14" customFormat="false" ht="15" hidden="false" customHeight="false" outlineLevel="0" collapsed="false">
      <c r="F14" s="0" t="s">
        <v>176</v>
      </c>
    </row>
    <row r="15" customFormat="false" ht="15" hidden="false" customHeight="false" outlineLevel="0" collapsed="false">
      <c r="F15" s="0" t="s">
        <v>177</v>
      </c>
    </row>
    <row r="16" customFormat="false" ht="15" hidden="false" customHeight="false" outlineLevel="0" collapsed="false">
      <c r="F16" s="0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2026-08-19T00:36:08Z</dcterms:created>
  <dc:creator>openpyxl</dc:creator>
  <dc:description/>
  <dc:language>en-US</dc:language>
  <cp:lastModifiedBy/>
  <dcterms:modified xsi:type="dcterms:W3CDTF">2026-08-19T00:36:09Z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
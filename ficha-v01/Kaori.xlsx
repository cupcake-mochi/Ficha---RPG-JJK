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EIRA" sheetId="1" r:id="rId5"/>
    <sheet state="visible" name="FICHA" sheetId="2" r:id="rId6"/>
    <sheet state="hidden" name="DADOS" sheetId="3" r:id="rId7"/>
    <sheet state="visible" name="GLOSSÁRIO" sheetId="4" r:id="rId8"/>
    <sheet state="visible" name="INVOCAÇÃO" sheetId="5" r:id="rId9"/>
    <sheet state="visible" name="CATÁLOGO" sheetId="6" r:id="rId10"/>
    <sheet state="hidden" name="DADOS_INV" sheetId="7" r:id="rId11"/>
  </sheets>
  <definedNames>
    <definedName name="PALETA_ESCOLHIDA">CARTEIRA!$C$27:$M$28</definedName>
    <definedName name="PALETA_AVISO">CARTEIRA!$C$29:$M$29</definedName>
    <definedName name="PALETA_ROTULO">CARTEIRA!$C$26:$I$26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21">
      <text>
        <t xml:space="preserve">O seu nick, o do jogador.</t>
      </text>
    </comment>
    <comment authorId="0" ref="Z21">
      <text>
        <t xml:space="preserve">O servidor onde esta ficha é usada.</t>
      </text>
    </comment>
    <comment authorId="0" ref="O8">
      <text>
        <t xml:space="preserve">O nome do personagem. A FICHA puxa o nome daqui.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6">
      <text>
        <t xml:space="preserve">Ataque de conjuração = d20 + o atributo da sua técnica + maestria. O atributo é o que você escolhe em ATRIBUTO DE CONJURAÇÃO.</t>
      </text>
    </comment>
    <comment authorId="0" ref="AO39">
      <text>
        <t xml:space="preserve">Quantas vezes você escolheu Refino num marco. Cada escolha dá +1 além do +1 de graça do marco. Conta no máximo uma por marco que você já passou, e o refino para em 10.</t>
      </text>
    </comment>
    <comment authorId="0" ref="L42">
      <text>
        <t xml:space="preserve">Soma na Defesa o que nenhuma outra caixa cobre, como a Couraça (+1 vestindo uniforme) ou um efeito que dura. Número negativo reduz.</t>
      </text>
    </comment>
    <comment authorId="0" ref="AF29">
      <text>
        <t xml:space="preserve">Energia temporária não acumula: fica a maior, com teto de metade do PE máximo (o Braseiro e o Trindade dão 2). Some no fim da cena, e a caixinha de ± queima daqui antes do seu PE.</t>
      </text>
    </comment>
    <comment authorId="0" ref="AQ39">
      <text>
        <t xml:space="preserve">Quantas vezes você escolheu Corpo num marco. Cada uma dá +1 ponto de atributo, e +1 perícia ou ofício treinado. Do nível 10 em diante, pode especializar um que já treina no lugar. Marque em Pontos de Marco de Corpo em qual atributo o ponto foi.</t>
      </text>
    </comment>
    <comment authorId="0" ref="O42">
      <text>
        <t xml:space="preserve">Traje e Revestimento DESLIGAM a proteção do cobrir-se e entregam a deles no lugar. Escudo soma por cima de qualquer uma das duas.</t>
      </text>
    </comment>
    <comment authorId="0" ref="W50">
      <text>
        <t xml:space="preserve">Soma no deslocamento, em metros, o que nenhuma outra caixa cobre. Número negativo reduz.</t>
      </text>
    </comment>
    <comment authorId="0" ref="AS39">
      <text>
        <t xml:space="preserve">Quantas vezes você escolheu Leque num marco. Cada uma dá +1 espaço de feitiço, e uma Passiva que não custa espaço. Anote essa Passiva na coluna Passivas do Leque.</t>
      </text>
    </comment>
    <comment authorId="0" ref="AF25">
      <text>
        <t xml:space="preserve">Vida temporária não acumula: fica a maior, com teto de metade da vida máxima. Some no fim da cena, e é gasta antes da vida normal — a caixinha de ± desconta daqui primeiro e só o que sobrar desce na vida. Dano com Rasga Escudo ignora isto: edite a vida na mão.</t>
      </text>
    </comment>
    <comment authorId="0" ref="AK62">
      <text>
        <t xml:space="preserve">Automático pelo Caminho, sem escolha: Bastião e Vanguarda treinam todas as armas; Guia, Emanador e Evocador treinam só Arma de Fogo e Balestra.</t>
      </text>
    </comment>
    <comment authorId="0" ref="W46">
      <text>
        <t xml:space="preserve">Soma no número do lado o que nenhuma outra caixa cobre, como um efeito que dura. Número negativo reduz.</t>
      </text>
    </comment>
    <comment authorId="0" ref="Z46">
      <text>
        <t xml:space="preserve">Ataque corpo a corpo = d20 + Força + maestria. A ficha usa o atributo de ATRIBUTO DE ATAQUE - CORPO A CORPO: troque só se uma regra mandar.</t>
      </text>
    </comment>
    <comment authorId="0" ref="X137">
      <text>
        <t xml:space="preserve">Passiva é efeito que fica ligado sozinho, e custa espaço de feitiço: a Classe dela, de Livre a 3, diz quantos espaços cobra, e sai de Feitiços - Disponível. A Passiva que veio de uma escolha de Leque vai na coluna do lado, e não custa espaço.</t>
      </text>
    </comment>
    <comment authorId="0" ref="Z42">
      <text>
        <t xml:space="preserve">Escolha o que você veste: uniforme, escudo, ou os dois. Vazio = nem uniforme nem escudo, e vale a proteção do cobrir-se. Todo feiticeiro registrado recebe o Traje 1 na matrícula. Com dois tetos de Destreza, vale o menor.</t>
      </text>
    </comment>
    <comment authorId="0" ref="AH46">
      <text>
        <t xml:space="preserve">Soma no número do lado o que nenhuma outra caixa cobre, como um efeito que dura. Número negativo reduz.</t>
      </text>
    </comment>
    <comment authorId="0" ref="AK46">
      <text>
        <t xml:space="preserve">Ataque à distância = d20 + Destreza + maestria. A ficha usa o atributo de ATRIBUTO DE ATAQUE - À DISTÂNCIA: troque só se uma regra mandar.</t>
      </text>
    </comment>
    <comment authorId="0" ref="AF137">
      <text>
        <t xml:space="preserve">Cada escolha de Leque dá uma Passiva que não custa espaço de feitiço. As Passivas da coluna da esquerda custam, e entram na conta de Feitiços.</t>
      </text>
    </comment>
    <comment authorId="0" ref="V125">
      <text>
        <t xml:space="preserve">De graça no refino 1. O seu ataque com arma ou soco vem imbuído de energia amaldiçoada, e fere maldição. Com arma: 1d4 de dano a mais no refino 1, 2d4 no 3, 3d4 no 6, 4d4 no 9, e 4d6 no 10. Não entra em feitiço.</t>
      </text>
    </comment>
    <comment authorId="0" ref="D10">
      <text>
        <t xml:space="preserve">Ao escolher o Caminho, as duas perícias fixas dele são marcadas sozinhas. Ofício e Teste de Resistência são à sua escolha. Se a Trilha escolhida não for do Caminho novo, ela volta para Escolha sua Trilha.</t>
      </text>
    </comment>
    <comment authorId="0" ref="AK42">
      <text>
        <t xml:space="preserve">Iniciativa = d20 + Destreza. Quem tirar mais age primeiro. O Buff/Debuff do lado soma por cima.</t>
      </text>
    </comment>
    <comment authorId="0" ref="AS46">
      <text>
        <t xml:space="preserve">Soma no número do lado o que nenhuma outra caixa cobre, como um efeito que dura. Número negativo reduz.</t>
      </text>
    </comment>
    <comment authorId="0" ref="AK69">
      <text>
        <t xml:space="preserve">Só a Empunhadura do Arremate (Emanador, nível 2) preenche sozinha: um grupo de arma à escolha, treinado, com o acerto e o dano por Inteligência ou Essência. Qual grupo é você quem escreve.</t>
      </text>
    </comment>
    <comment authorId="0" ref="AS42">
      <text>
        <t xml:space="preserve">Soma no número do lado o que nenhuma outra caixa cobre, como um efeito que dura. Número negativo reduz.</t>
      </text>
    </comment>
    <comment authorId="0" ref="N10">
      <text>
        <t xml:space="preserve">O menu mostra só as Trilhas do Caminho escolhido.</t>
      </text>
    </comment>
    <comment authorId="0" ref="AK65">
      <text>
        <t xml:space="preserve">Só vale pra Guia, Emanador e Evocador. Cada troca é 2 das 5 perícias livres do Caminho por treino numa arma específica — não a categoria, não o tipo, uma arma da lista. Pode repetir até 2 vezes.</t>
      </text>
    </comment>
    <comment authorId="0" ref="Z14">
      <text>
        <t xml:space="preserve">Quantos pontos de atributo faltam distribuir nas caixas pequenas, de quantos você tem: 9 da criação, e +1 por marco que já passou. Avisa se passou, se um atributo passou de 6, ou se algum passou de 3 antes do primeiro marco.</t>
      </text>
    </comment>
    <comment authorId="0" ref="AF84">
      <text>
        <t xml:space="preserve">Na criação: 2 ofícios, ou nenhum trocando os dois por mais uma perícia. Cada marco de Corpo dá +1 perícia ou ofício, e a ficha deduz para qual lista ele foi.</t>
      </text>
    </comment>
    <comment authorId="0" ref="F122">
      <text>
        <t xml:space="preserve">Disponível: os espaços de feitiço, menos cada feitiço anotado com Classe acima de 0, menos a Classe das Passivas da coluna Passivas - Regras. Conhecidos (Total): os espaços de feitiço. Classe 0: quantos feitiços de Classe 0 grátis ainda cabem.</t>
      </text>
    </comment>
    <comment authorId="0" ref="D50">
      <text>
        <t xml:space="preserve">Vira 2 no nível 10, 3 no 18, 4 no 26. Não é "a cada oito níveis".</t>
      </text>
    </comment>
    <comment authorId="0" ref="AN84">
      <text>
        <t xml:space="preserve">Dois treinados: um do Caminho e um da Origem, os dois à sua escolha.</t>
      </text>
    </comment>
    <comment authorId="0" ref="D46">
      <text>
        <t xml:space="preserve">CD de feitiço = 8 + o atributo da sua técnica + maestria. O atributo é o que você escolhe em ATRIBUTO DE CONJURAÇÃO.</t>
      </text>
    </comment>
    <comment authorId="0" ref="AK14">
      <text>
        <t xml:space="preserve">Cada escolha de Corpo no Marco Escolhido é um ponto de Corpo: marque embaixo em qual atributo ele foi. Ele soma no número grande.</t>
      </text>
    </comment>
    <comment authorId="0" ref="AH10">
      <text>
        <t xml:space="preserve">Editável a qualquer hora, sem aviso. Digitar XP na caixa ao lado calcula e escreve o nível sozinho, pela curva do capítulo 18 — mas quem não usa XP sobe aqui na mão.</t>
      </text>
    </comment>
    <comment authorId="0" ref="AK76">
      <text>
        <t xml:space="preserve">O que ainda falta marcar: as perícias e os ofícios da criação, e as escolhas dos marcos de Corpo (+1 perícia, +1 ofício, ou uma especialização do nível 10 em diante). A ficha começa contando 9 perícias e 2 ofícios, e só passa para 10 e nenhum quando você marca a décima perícia.</t>
      </text>
    </comment>
    <comment authorId="0" ref="D42">
      <text>
        <t xml:space="preserve">Defesa = 10 + Destreza + proteção. Com uniforme ou escudo no EQUIPAMENTO, a Destreza para no teto dele. O Buff/Debuff do lado soma por cima.</t>
      </text>
    </comment>
    <comment authorId="0" ref="V124">
      <text>
        <t xml:space="preserve">De graça no refino 1. Sem Traje e sem Revestimento, a sua proteção é 1/3 do refino + 1. Escudo soma com ela. Como Reação, por 2 PE: Redução de Dano de 1,5 × refino num golpe, e você fica sem proteção até o fim do seu próximo turno.</t>
      </text>
    </comment>
    <comment authorId="0" ref="V122">
      <text>
        <t xml:space="preserve">Duas de graça no refino 1, +1 por escolha de Refino, e duas quando o refino já está em 10 na hora de escolher. A ficha conta como se as escolhas de Refino tivessem sido as últimas: se você escolheu Refino cedo, no nível 26 ou 30 confira com o mestre. As duas de graça já vêm anotadas nas duas primeiras linhas.</t>
      </text>
    </comment>
    <comment authorId="0" ref="O50">
      <text>
        <t xml:space="preserve">O seu deslocamento base é 9 metros, e você corta esse total em quantos pedaços quiser dentro do turno. O Buff/Debuff do lado soma em metros.</t>
      </text>
    </comment>
    <comment authorId="0" ref="AK72">
      <text>
        <t xml:space="preserve">Na criação: 9 perícias e 2 ofícios, ou 10 perícias e nenhum ofício. Cada marco de Corpo dá +1 perícia ou ofício, ou uma especialização do nível 10 em diante. A ficha deduz para qual lista ele foi; se passar nas duas, as duas caixas avisam. Guia, Emanador e Evocador podem trocar 2 perícias por treino numa arma, até duas vezes: é a caixa de Treinamento em Armas que desconta.</t>
      </text>
    </comment>
    <comment authorId="0" ref="AN10">
      <text>
        <t xml:space="preserve">Some o total acumulado, não o gasto na última missão. Ao digitar aqui, o nível ao lado sobe sozinho pra curva do capítulo 18. Apagar esta caixa não mexe no nível.</t>
      </text>
    </comment>
    <comment authorId="0" ref="AK39">
      <text>
        <t xml:space="preserve">Os marcos caem nos níveis 6, 10, 14, 18, 22, 26 e 30. Em cada um, escolha Refino, Corpo ou Leque, e marque embaixo quantas vezes escolheu cada.</t>
      </text>
    </comment>
    <comment authorId="0" ref="L46">
      <text>
        <t xml:space="preserve">Soma no número do lado o que nenhuma outra caixa cobre, como um efeito que dura. Número negativo reduz.</t>
      </text>
    </comment>
    <comment authorId="0" ref="AF33">
      <text>
        <t xml:space="preserve">Nenhuma regra do manual concede integridade temporária. Se algo conceder, vale a regra das outras duas: não acumula, e o teto é metade da Integridade máxima.</t>
      </text>
    </comment>
  </commentList>
</comments>
</file>

<file path=xl/sharedStrings.xml><?xml version="1.0" encoding="utf-8"?>
<sst xmlns="http://schemas.openxmlformats.org/spreadsheetml/2006/main" count="1319" uniqueCount="845">
  <si>
    <t>VERSÃO DO CATÁLOGO</t>
  </si>
  <si>
    <t>0.246</t>
  </si>
  <si>
    <t>versão corrente (puxada da central)</t>
  </si>
  <si>
    <t>NOME DO SISTEMA</t>
  </si>
  <si>
    <t>Projeto M</t>
  </si>
  <si>
    <t>呪術廻戦</t>
  </si>
  <si>
    <t>O GLOSSÁRIO — o que cada coisa da ficha quer dizer</t>
  </si>
  <si>
    <t>Capítulo 1 · 2 · 13</t>
  </si>
  <si>
    <t>cole aqui o IMPORTRANGE da central em D1 quando ela existir; enquanto não existir, D1 fica igual a B1 e o aviso some</t>
  </si>
  <si>
    <t>Caminhos</t>
  </si>
  <si>
    <t>Perícias</t>
  </si>
  <si>
    <t>Ofícios</t>
  </si>
  <si>
    <t>Famílias</t>
  </si>
  <si>
    <t>Formas</t>
  </si>
  <si>
    <t>Melhorias</t>
  </si>
  <si>
    <t>Restrições</t>
  </si>
  <si>
    <t>Condições</t>
  </si>
  <si>
    <t>Origens</t>
  </si>
  <si>
    <t>Testes</t>
  </si>
  <si>
    <t>Atributos</t>
  </si>
  <si>
    <t>Trilhas</t>
  </si>
  <si>
    <t>tabela dos Caminhos</t>
  </si>
  <si>
    <t>Bastião</t>
  </si>
  <si>
    <t>Atletismo</t>
  </si>
  <si>
    <t>Condução</t>
  </si>
  <si>
    <t>Alcance</t>
  </si>
  <si>
    <t>Projétil</t>
  </si>
  <si>
    <t>Longe</t>
  </si>
  <si>
    <t>Corpo a Corpo</t>
  </si>
  <si>
    <t>Lento</t>
  </si>
  <si>
    <t>Latente</t>
  </si>
  <si>
    <t>Físico</t>
  </si>
  <si>
    <t>Força</t>
  </si>
  <si>
    <t>Muro</t>
  </si>
  <si>
    <t>Caminho</t>
  </si>
  <si>
    <t>ATRIBUTOS</t>
  </si>
  <si>
    <t>Carteira de registro · Documento oficial</t>
  </si>
  <si>
    <t>dado</t>
  </si>
  <si>
    <t>vida inicial</t>
  </si>
  <si>
    <t>vida por nível</t>
  </si>
  <si>
    <t>PE por nível</t>
  </si>
  <si>
    <t>perícia fixa 1</t>
  </si>
  <si>
    <t>perícia fixa 2</t>
  </si>
  <si>
    <t>CATÁLOGO</t>
  </si>
  <si>
    <t>marcos</t>
  </si>
  <si>
    <t>maestria</t>
  </si>
  <si>
    <t>classe</t>
  </si>
  <si>
    <t>classe 0</t>
  </si>
  <si>
    <t>perícia</t>
  </si>
  <si>
    <t>atributo</t>
  </si>
  <si>
    <t>equipamento</t>
  </si>
  <si>
    <t>proteção</t>
  </si>
  <si>
    <t>teto de destreza</t>
  </si>
  <si>
    <t>desliga a passiva</t>
  </si>
  <si>
    <t>contas da ficha</t>
  </si>
  <si>
    <t>valor</t>
  </si>
  <si>
    <t>menu de Caminho</t>
  </si>
  <si>
    <t>Trilha</t>
  </si>
  <si>
    <t>Caminho da Trilha</t>
  </si>
  <si>
    <t>menu de Trilha</t>
  </si>
  <si>
    <t>nível</t>
  </si>
  <si>
    <t>xp acumulado</t>
  </si>
  <si>
    <t>campo</t>
  </si>
  <si>
    <t>célula</t>
  </si>
  <si>
    <t>Vanguarda</t>
  </si>
  <si>
    <t>Acrobacia</t>
  </si>
  <si>
    <t>Arrombamento</t>
  </si>
  <si>
    <t>Área</t>
  </si>
  <si>
    <t>Toque</t>
  </si>
  <si>
    <t>Muito Longe</t>
  </si>
  <si>
    <t>Atrasar</t>
  </si>
  <si>
    <t>Incapacitado</t>
  </si>
  <si>
    <t>Receptáculo</t>
  </si>
  <si>
    <t>Vigor</t>
  </si>
  <si>
    <t>Destreza</t>
  </si>
  <si>
    <t>Punho</t>
  </si>
  <si>
    <t>d12</t>
  </si>
  <si>
    <t>Intimidação</t>
  </si>
  <si>
    <t>O número é o modificador. Escala de 0 a 6, sem tabela de conversão.</t>
  </si>
  <si>
    <t>Traje 1</t>
  </si>
  <si>
    <t>—</t>
  </si>
  <si>
    <t>sim</t>
  </si>
  <si>
    <t>marcos que já passou</t>
  </si>
  <si>
    <t>ATRIBUTO</t>
  </si>
  <si>
    <t>O QUE GOVERNA</t>
  </si>
  <si>
    <t>Escolha seu Caminho</t>
  </si>
  <si>
    <t>PORTADOR</t>
  </si>
  <si>
    <t>Escolha sua Trilha</t>
  </si>
  <si>
    <t>nome</t>
  </si>
  <si>
    <t>Coloque o nome do personagem aqui</t>
  </si>
  <si>
    <t>Guia</t>
  </si>
  <si>
    <t>Furtividade</t>
  </si>
  <si>
    <t>Herbalismo</t>
  </si>
  <si>
    <t>Mira</t>
  </si>
  <si>
    <t>Explosão</t>
  </si>
  <si>
    <t>Quanto o seu corpo aguenta e impõe, na base do músculo. Governa: ataque corpo a corpo, agarrar, quebrar, carregar</t>
  </si>
  <si>
    <t>Sem Ver</t>
  </si>
  <si>
    <t>Parado</t>
  </si>
  <si>
    <t>Derrubado</t>
  </si>
  <si>
    <t>Descendente</t>
  </si>
  <si>
    <t>Intelecto</t>
  </si>
  <si>
    <t>Constituição</t>
  </si>
  <si>
    <t>Brasa</t>
  </si>
  <si>
    <t>d8</t>
  </si>
  <si>
    <t>Percepção</t>
  </si>
  <si>
    <t>Traje 2</t>
  </si>
  <si>
    <t>pontos de atributo</t>
  </si>
  <si>
    <t>Sua velocidade e precisão — o corpo respondendo rápido, a mira certa. Governa: ataque à distância, Defesa, iniciativa, furtividade</t>
  </si>
  <si>
    <t>caminho</t>
  </si>
  <si>
    <t>Emanador</t>
  </si>
  <si>
    <t>Pontaria</t>
  </si>
  <si>
    <t>Forja</t>
  </si>
  <si>
    <t>Controle</t>
  </si>
  <si>
    <t>Aura</t>
  </si>
  <si>
    <t>Passo</t>
  </si>
  <si>
    <t>Gesto</t>
  </si>
  <si>
    <t>Agarrado</t>
  </si>
  <si>
    <t>Reencarnado</t>
  </si>
  <si>
    <t>Espírito</t>
  </si>
  <si>
    <t>Inteligência</t>
  </si>
  <si>
    <t>Estocada</t>
  </si>
  <si>
    <t>Persuasão</t>
  </si>
  <si>
    <t>Medicina</t>
  </si>
  <si>
    <t>Traje 3</t>
  </si>
  <si>
    <t>pontos distribuídos</t>
  </si>
  <si>
    <t>CAMINHO</t>
  </si>
  <si>
    <t>Sua resistência bruta a dano e a desgaste. Governa: pontos de vida</t>
  </si>
  <si>
    <t>TRILHA</t>
  </si>
  <si>
    <t>PROJETO M</t>
  </si>
  <si>
    <t>ORIGEM</t>
  </si>
  <si>
    <t>O que você sabe e deduz — o raciocínio frio. Governa: conhecimento, investigação, reconhecer uma técnica pelo catálogo</t>
  </si>
  <si>
    <t>trilha</t>
  </si>
  <si>
    <t>PERFIL AMALDIÇOADO</t>
  </si>
  <si>
    <t>Essência</t>
  </si>
  <si>
    <t>Evocador</t>
  </si>
  <si>
    <t>Sua sensibilidade à energia amaldiçoada e às pessoas — o que você sente, não o que você calcula. Governa: perceber energia amaldiçoada, trato social, hierarquia, negociar Pactos</t>
  </si>
  <si>
    <t>Prestidigitação</t>
  </si>
  <si>
    <t>Caligrafia</t>
  </si>
  <si>
    <t>Auxiliares</t>
  </si>
  <si>
    <t>Cone</t>
  </si>
  <si>
    <t>Empurrão</t>
  </si>
  <si>
    <t>Sangra</t>
  </si>
  <si>
    <t>Desarmado</t>
  </si>
  <si>
    <t>Feto</t>
  </si>
  <si>
    <t>Batedor</t>
  </si>
  <si>
    <t>d6</t>
  </si>
  <si>
    <t>Religião</t>
  </si>
  <si>
    <t>Lidar com Animais</t>
  </si>
  <si>
    <t>Revestimento 1</t>
  </si>
  <si>
    <t>maior atributo</t>
  </si>
  <si>
    <t>PERÍCIAS</t>
  </si>
  <si>
    <t>origem</t>
  </si>
  <si>
    <t>9 de 23 na criação — ou 10, trocando os dois ofícios da Origem.</t>
  </si>
  <si>
    <t>Investigação</t>
  </si>
  <si>
    <t>Burocracia</t>
  </si>
  <si>
    <t>Castigo</t>
  </si>
  <si>
    <t>Linha</t>
  </si>
  <si>
    <t>Troca</t>
  </si>
  <si>
    <t>Recuo</t>
  </si>
  <si>
    <t>Surdo</t>
  </si>
  <si>
    <t>Restrição Celestial · corpo pela técnica</t>
  </si>
  <si>
    <t>Executor</t>
  </si>
  <si>
    <t>Ocultismo</t>
  </si>
  <si>
    <t>Revestimento 2</t>
  </si>
  <si>
    <t>maior atributo pequeno</t>
  </si>
  <si>
    <t>NOME</t>
  </si>
  <si>
    <t>O QUE FAZ</t>
  </si>
  <si>
    <t>NÍVEL</t>
  </si>
  <si>
    <t>XP</t>
  </si>
  <si>
    <t>nivel</t>
  </si>
  <si>
    <t>Mede seu equilíbrio e o controle fino do próprio corpo em movimento. Exemplo: equilíbrio, cair sem se machucar, escapar de um agarrão, passar por espaço 3 apertado.</t>
  </si>
  <si>
    <t>Intuição</t>
  </si>
  <si>
    <t>Entalhador</t>
  </si>
  <si>
    <t>Tempo</t>
  </si>
  <si>
    <t>Cura</t>
  </si>
  <si>
    <t>Perseguir</t>
  </si>
  <si>
    <t>Carregar</t>
  </si>
  <si>
    <t>Calado</t>
  </si>
  <si>
    <t>Latente · Sem Técnica</t>
  </si>
  <si>
    <t>Elo</t>
  </si>
  <si>
    <t>Revestimento 3</t>
  </si>
  <si>
    <t>marcos de Corpo</t>
  </si>
  <si>
    <t>Mede seu corpo em esforço físico direto. Exemplo: correr, escalar, nadar, saltar, carregar alguém que não consegue andar.</t>
  </si>
  <si>
    <t>SERVIDOR USADO</t>
  </si>
  <si>
    <t>xp</t>
  </si>
  <si>
    <t>REGISTRADO POR</t>
  </si>
  <si>
    <t>Atuação</t>
  </si>
  <si>
    <t>Mede sua capacidade de performar ou sustentar um papel diante de alguém. Exemplo: representar, cantar, tocar para uma plateia, sustentar um personagem que não é você.</t>
  </si>
  <si>
    <t>Alfaiate</t>
  </si>
  <si>
    <t>Marca</t>
  </si>
  <si>
    <t>Apoio</t>
  </si>
  <si>
    <t>Maior</t>
  </si>
  <si>
    <t>Tudo ou Nada</t>
  </si>
  <si>
    <t>Enfeitiçado</t>
  </si>
  <si>
    <t>Receptáculo · Sem Técnica</t>
  </si>
  <si>
    <t>Sutura</t>
  </si>
  <si>
    <t>Enganação</t>
  </si>
  <si>
    <t>Broquel</t>
  </si>
  <si>
    <t>não</t>
  </si>
  <si>
    <t>pontos de Corpo usados</t>
  </si>
  <si>
    <t>Mede sua capacidade de mentir de um jeito convincente. Exemplo: mentir, blefar, se passar por outro.</t>
  </si>
  <si>
    <t>Nick do jogador</t>
  </si>
  <si>
    <t>Mede sua capacidade de passar despercebido. Exemplo: mover-se sem ser visto nem ouvido.</t>
  </si>
  <si>
    <t>atr_Força</t>
  </si>
  <si>
    <t>Hierarquia</t>
  </si>
  <si>
    <t>Culinária</t>
  </si>
  <si>
    <t>Amparo</t>
  </si>
  <si>
    <t>Onda</t>
  </si>
  <si>
    <t>Muito Maior</t>
  </si>
  <si>
    <t>Uma Vez</t>
  </si>
  <si>
    <t>Impedido</t>
  </si>
  <si>
    <t>Descendente · Sem Técnica</t>
  </si>
  <si>
    <t>Perímetro</t>
  </si>
  <si>
    <t>Mede seu conhecimento da política entre clãs e feiticeiros — quem manda em quem. Exemplo: os clãs, a política, quem manda em quem e quem deve o quê a quem. Diz o que você pode pedir, a quem, e o que vai custar.</t>
  </si>
  <si>
    <t>Médio</t>
  </si>
  <si>
    <t>marcos escolhidos</t>
  </si>
  <si>
    <t>História</t>
  </si>
  <si>
    <t>Pontos Disponíveis</t>
  </si>
  <si>
    <t>Mede sua memória do que já aconteceu e de quem estava lá. Exemplo: o que aconteceu e quem estava lá, no mundo comum e no registro das famílias.</t>
  </si>
  <si>
    <t>PALETA</t>
  </si>
  <si>
    <t>atr_Destreza</t>
  </si>
  <si>
    <t>Instrumento</t>
  </si>
  <si>
    <t>Efeito</t>
  </si>
  <si>
    <t>Escolher</t>
  </si>
  <si>
    <t>Condicional</t>
  </si>
  <si>
    <t>Cego</t>
  </si>
  <si>
    <t>Reencarnado · Sem Técnica</t>
  </si>
  <si>
    <t>Torrente</t>
  </si>
  <si>
    <t>Mede sua capacidade de fazer alguém recuar pela ameaça ou pela presença. Exemplo: ameaçar, dominar pela presença, fazer alguém recuar.</t>
  </si>
  <si>
    <t>Torre</t>
  </si>
  <si>
    <t>perícias treinadas</t>
  </si>
  <si>
    <t>Mede sua leitura racional do comportamento alheio — dedução sobre gente. Exemplo: ler a pessoa pelo que ela faz: a inconsistência na história, o detalhe que não fecha, a motivação atrás do pedido. É dedução sobre gente, e por isso é Inteligência.</t>
  </si>
  <si>
    <t>VALORES</t>
  </si>
  <si>
    <t>atr_Constituição</t>
  </si>
  <si>
    <t>Jogatina</t>
  </si>
  <si>
    <t>Fica</t>
  </si>
  <si>
    <t>Fraqueza</t>
  </si>
  <si>
    <t>Amedrontado</t>
  </si>
  <si>
    <t>Feto · Sem Técnica</t>
  </si>
  <si>
    <t>Explosivo</t>
  </si>
  <si>
    <t>Traje 1 + Broquel</t>
  </si>
  <si>
    <t>ofícios treinados</t>
  </si>
  <si>
    <t>Mede sua capacidade de vasculhar um lugar e ligar pistas soltas. Exemplo: vasculhar, deduzir, ligar duas pistas que ninguém tinha ligado.</t>
  </si>
  <si>
    <t>atr_Inteligência</t>
  </si>
  <si>
    <t>Mede sua capacidade de acalmar, montar ou conduzir um animal. Exemplo: acalmar, montar, conduzir, mandar num bicho. Vale para o que não é bicho mas se comporta como um.</t>
  </si>
  <si>
    <t>Mais Um</t>
  </si>
  <si>
    <t>Frágil</t>
  </si>
  <si>
    <t>Envenenado</t>
  </si>
  <si>
    <t>Corpo Amaldiçoado</t>
  </si>
  <si>
    <t>Arremate</t>
  </si>
  <si>
    <t>Traje 1 + Médio</t>
  </si>
  <si>
    <t>especializações</t>
  </si>
  <si>
    <t>Mede seu conhecimento teórico de ferimento, veneno e doença. Exemplo: ferimento, veneno, doença, corpo. É o saber; a prática de campo é o ofício Herbalismo .</t>
  </si>
  <si>
    <t>Mizuki · Escuro</t>
  </si>
  <si>
    <t>Natureza</t>
  </si>
  <si>
    <t>Mede seu conhecimento do mundo natural — planta, bicho, clima, terreno. Exemplo: planta, bicho, clima, terreno. O que é o quê, o que é venenoso, quando a chuva vem.</t>
  </si>
  <si>
    <t>atr_Essência</t>
  </si>
  <si>
    <t>Sobrevivência</t>
  </si>
  <si>
    <t>Rajada</t>
  </si>
  <si>
    <t>Barulho</t>
  </si>
  <si>
    <t>Atordoado</t>
  </si>
  <si>
    <t>Restrição Celestial · sem energia</t>
  </si>
  <si>
    <t>Servo</t>
  </si>
  <si>
    <t>FOR</t>
  </si>
  <si>
    <t>DEX</t>
  </si>
  <si>
    <t>Traje 1 + Torre</t>
  </si>
  <si>
    <t>Corpo que sobra</t>
  </si>
  <si>
    <t>CON</t>
  </si>
  <si>
    <t>INT</t>
  </si>
  <si>
    <t>ESS</t>
  </si>
  <si>
    <t>Mede seu conhecimento técnico de maldições e do funcionamento da energia amaldiçoada. Exemplo: maldições, técnicas conhecidas, barreiras, o funcionamento da energia amaldiçoada. O lado técnico.</t>
  </si>
  <si>
    <t>Aguarde de 30 a 40 segundos para ver o tema inteiro — depende do tema.</t>
  </si>
  <si>
    <t>atr_base_Força</t>
  </si>
  <si>
    <t>Salto</t>
  </si>
  <si>
    <t>Assinatura</t>
  </si>
  <si>
    <t>Matilha</t>
  </si>
  <si>
    <t>DES</t>
  </si>
  <si>
    <t>Mede sua atenção ao que os cinco sentidos comuns captam — o lado mundano. Exemplo: notar o mundano: som, cheiro, movimento, a coisa que está fora do lugar, a pessoa suando frio.</t>
  </si>
  <si>
    <t>Traje 2 + Broquel</t>
  </si>
  <si>
    <t>rota do ofício</t>
  </si>
  <si>
    <t>Mede sua capacidade de convencer alguém a fazer o que você quer porque quer. Exemplo: convencer, negociar, conseguir que façam o que você quer porque querem.</t>
  </si>
  <si>
    <t>Mede sua precisão ao mirar num alvo específico, fora de uma rolagem de ataque. Exemplo: acertar o que é pequeno, o que está longe ou o que se mexe, fora de uma rolagem de ataque.</t>
  </si>
  <si>
    <t>SELO REGISTRADO</t>
  </si>
  <si>
    <t>atr_base_Destreza</t>
  </si>
  <si>
    <t>Mede a destreza manual fina — mão rápida, gesto discreto. Exemplo: mão rápida: esconder um objeto, tirar do bolso alheio, trocar uma coisa por outra na frente de quem está olhando.</t>
  </si>
  <si>
    <t>Contorno</t>
  </si>
  <si>
    <t>Aquecer</t>
  </si>
  <si>
    <t>Coro</t>
  </si>
  <si>
    <t>Traje 2 + Médio</t>
  </si>
  <si>
    <t>perícias por arma</t>
  </si>
  <si>
    <t>Provocar</t>
  </si>
  <si>
    <t>Mede sua capacidade de tirar alguém do sério e puxá-lo pra cima de você — o oposto de Intimidação. Exemplo: tirar alguém do sério, fazer perder a linha, forçar a vir para cima de você. É o oposto de Intimidação : uma faz recuar, a outra faz avançar.</t>
  </si>
  <si>
    <t>atr_base_Constituição</t>
  </si>
  <si>
    <t>Mede seu conhecimento do lado sagrado e ritual do jujutsu. Exemplo: xintoísmo, budismo, exorcismo, templo, ritual, o que os selos querem dizer. O lado sagrado, que é de onde o jujutsu veio antes de virar instituição.</t>
  </si>
  <si>
    <t>Tecnologia</t>
  </si>
  <si>
    <t>Precisão</t>
  </si>
  <si>
    <t>Dívida</t>
  </si>
  <si>
    <t>Sentir Energia</t>
  </si>
  <si>
    <t>Traje 2 + Torre</t>
  </si>
  <si>
    <t>perícias da rota</t>
  </si>
  <si>
    <t>Mede sua sensibilidade direta à energia amaldiçoada. Exemplo: perceber energia amaldiçoada. Notar o feiticeiro escondido, medir o tamanho de uma maldição antes de encostar nela, sacar que alguém está prestes a conjurar.</t>
  </si>
  <si>
    <t>Mede sua capacidade de aguentar e se orientar num ambiente hostil. Exemplo: aguentar o ambiente, achar água e abrigo, se orientar, e seguir um rastro, seja pegada ou resíduo de energia.</t>
  </si>
  <si>
    <t>atr_base_Inteligência</t>
  </si>
  <si>
    <t>Certeiro</t>
  </si>
  <si>
    <t>Peso Morto</t>
  </si>
  <si>
    <t>Mede seu domínio de equipamento e sistema moderno. Exemplo: computador, câmera, rede, equipamento moderno.</t>
  </si>
  <si>
    <t>Traje 3 + Broquel</t>
  </si>
  <si>
    <t>ofícios da rota</t>
  </si>
  <si>
    <t>atr_base_Essência</t>
  </si>
  <si>
    <t>OFÍCIOS</t>
  </si>
  <si>
    <t>Inescapável</t>
  </si>
  <si>
    <t>2 de 11 na criação. O atributo é do mestre, na hora — não é fixo.</t>
  </si>
  <si>
    <t>Sem Volta</t>
  </si>
  <si>
    <t>Traje 3 + Médio</t>
  </si>
  <si>
    <t>Corpo nas perícias</t>
  </si>
  <si>
    <t>vida</t>
  </si>
  <si>
    <t>Fura</t>
  </si>
  <si>
    <t>Restrição Própria</t>
  </si>
  <si>
    <t>Traje 3 + Torre</t>
  </si>
  <si>
    <t>Corpo nos ofícios</t>
  </si>
  <si>
    <t>Mede sua capacidade de cortar, costurar e remendar tecido. Exemplo: tecido, corte, remendo. O uniforme que aguenta energia amaldiçoada sai daqui, e o traje sob medida também.</t>
  </si>
  <si>
    <t>VIDA - Atual/Máxima</t>
  </si>
  <si>
    <t>vida_max</t>
  </si>
  <si>
    <t>Mede sua capacidade de vencer uma trava sem ter a chave. Exemplo: tranca, alarme, cofre, janela que não devia abrir.</t>
  </si>
  <si>
    <t>Corrói</t>
  </si>
  <si>
    <t>Revestimento 1 + Broquel</t>
  </si>
  <si>
    <t>Corpo por escolher</t>
  </si>
  <si>
    <t>TEMPORÁRIO</t>
  </si>
  <si>
    <t>± PERDA &amp;/ou GANHO</t>
  </si>
  <si>
    <t>Mede seu domínio da máquina administrativa jujutsu por dentro. Exemplo: a máquina jujutsu por dentro: relatório, requisição, quem assina o quê, como se pede uma janela e como se encobre o que não devia ter sido visto.</t>
  </si>
  <si>
    <t>vida_temp</t>
  </si>
  <si>
    <t>Sem Cobertura</t>
  </si>
  <si>
    <t>Revestimento 1 + Médio</t>
  </si>
  <si>
    <t>treinos a mais</t>
  </si>
  <si>
    <t>Mede sua capacidade de produzir documento escrito, oficial ou falsificado. Exemplo: talismã, papel de barreira, documento oficial. E documento oficial que não é oficial.</t>
  </si>
  <si>
    <t>vida_delta</t>
  </si>
  <si>
    <t>Mede sua capacidade de operar um veículo. Exemplo: carro, moto, van, o que estiver na garagem.</t>
  </si>
  <si>
    <t>De Novo</t>
  </si>
  <si>
    <t>Revestimento 1 + Torre</t>
  </si>
  <si>
    <t>perícias que faltam</t>
  </si>
  <si>
    <t>energia</t>
  </si>
  <si>
    <t>Mede sua capacidade de cozinhar de verdade. Exemplo: cozinhar de verdade, para gente ou para o que aceitar comida.</t>
  </si>
  <si>
    <t>Toca a Alma</t>
  </si>
  <si>
    <t>Revestimento 2 + Broquel</t>
  </si>
  <si>
    <t>ofícios que faltam</t>
  </si>
  <si>
    <t>Mede sua capacidade de moldar madeira, pedra ou osso. Exemplo: madeira, pedra, osso. Fazer o corpo que vai receber alguma coisa.</t>
  </si>
  <si>
    <t>energia_max</t>
  </si>
  <si>
    <t>Terreno</t>
  </si>
  <si>
    <t>Mede sua capacidade de fabricar, afiar e manter arma e ferramenta. Exemplo: fazer, afiar e manter arma, e cuidar de ferramenta amaldiçoada sem estragar o que tem dentro.</t>
  </si>
  <si>
    <t>Revestimento 2 + Médio</t>
  </si>
  <si>
    <t>perícias que faltam sem ofício</t>
  </si>
  <si>
    <t>energia_temp</t>
  </si>
  <si>
    <t>Mede seu conhecimento prático de planta, aplicado a cura e a veneno. Exemplo: planta que cura, planta que mata, chá, unguento, e o que dá para fazer no mato quando não tem hospital.</t>
  </si>
  <si>
    <t>ENERGIA - Atual/Máxima</t>
  </si>
  <si>
    <t>Anteparo</t>
  </si>
  <si>
    <t>Revestimento 2 + Torre</t>
  </si>
  <si>
    <t>Corpo por escolher sem ofício</t>
  </si>
  <si>
    <t>Mede sua capacidade de tocar um instrumento musical. Exemplo: um instrumento, escolhido no treino.</t>
  </si>
  <si>
    <t>energia_delta</t>
  </si>
  <si>
    <t>Mede sua capacidade de jogar um jogo de aposta e ler quem está na mesa. Exemplo: carta, dado, aposta, e ler a mesa enquanto joga.</t>
  </si>
  <si>
    <t>Prende</t>
  </si>
  <si>
    <t>Revestimento 3 + Broquel</t>
  </si>
  <si>
    <t>testes treinados</t>
  </si>
  <si>
    <t>CONCEITOS</t>
  </si>
  <si>
    <t>integridade</t>
  </si>
  <si>
    <t>TERMO</t>
  </si>
  <si>
    <t>Cerca</t>
  </si>
  <si>
    <t>O QUE SIGNIFICA</t>
  </si>
  <si>
    <t>Revestimento 3 + Médio</t>
  </si>
  <si>
    <t>sem energia</t>
  </si>
  <si>
    <t>integridade_max</t>
  </si>
  <si>
    <t>Puxa</t>
  </si>
  <si>
    <t>Revestimento 3 + Torre</t>
  </si>
  <si>
    <t>sem técnica</t>
  </si>
  <si>
    <t>Treino</t>
  </si>
  <si>
    <t>FICHA DE REGISTRO</t>
  </si>
  <si>
    <t>Ter a perícia ou o ofício marcado na ficha. O mestre põe uma CD; com Destreza 3 e maestria 1, uma Furtividade treinada rola d20 + 4, sem treino d20 + 3 (capítulo 2).</t>
  </si>
  <si>
    <t>INTEGRIDADE - Atual/Máxima</t>
  </si>
  <si>
    <t>integridade_temp</t>
  </si>
  <si>
    <t>Maestria</t>
  </si>
  <si>
    <t>Desarma o Feitiço</t>
  </si>
  <si>
    <t>O bônus que mede o tempo de estrada do personagem: começa em 1 e sobe um ponto a cada oito níveis. Entra em toda rolagem de ataque, na CD dos seus feitiços, e no que você treinou (capítulo 1).</t>
  </si>
  <si>
    <t>técnica marcial</t>
  </si>
  <si>
    <t>integridade_delta</t>
  </si>
  <si>
    <t>Refino</t>
  </si>
  <si>
    <t>Impulso</t>
  </si>
  <si>
    <t>A FICHA DA INVOCAÇÃO</t>
  </si>
  <si>
    <t>refino escolhido</t>
  </si>
  <si>
    <t>O eixo de controle da ficha: é o refino que compra as suas Aptidões. Poder é quanto você tem — Refino é quanto você não desperdiça (capítulo 13).</t>
  </si>
  <si>
    <t>estagio_alma</t>
  </si>
  <si>
    <t>Trava</t>
  </si>
  <si>
    <t>refino atual</t>
  </si>
  <si>
    <t>Capítulo 16 · Projeto - M</t>
  </si>
  <si>
    <t>defesa</t>
  </si>
  <si>
    <t>Abre Ferida</t>
  </si>
  <si>
    <t>aptidões a mais no teto</t>
  </si>
  <si>
    <t>1</t>
  </si>
  <si>
    <t>Sobrecarga</t>
  </si>
  <si>
    <t>O DONO</t>
  </si>
  <si>
    <t>máximo de aptidões</t>
  </si>
  <si>
    <t>O CATÁLOGO — o que dá para comprar</t>
  </si>
  <si>
    <t>Firmeza</t>
  </si>
  <si>
    <t>aptidões anotadas</t>
  </si>
  <si>
    <t>NÍVEL DO DONO</t>
  </si>
  <si>
    <t>ESSÊNCIA DO DONO</t>
  </si>
  <si>
    <t>Capítulo 16</t>
  </si>
  <si>
    <t>INTELIGÊNCIA DO DONO</t>
  </si>
  <si>
    <t>iniciativa</t>
  </si>
  <si>
    <t>MAESTRIA</t>
  </si>
  <si>
    <t>Guarda</t>
  </si>
  <si>
    <t>escolhas de Leque</t>
  </si>
  <si>
    <t>cd de feitiço</t>
  </si>
  <si>
    <t>Pressa</t>
  </si>
  <si>
    <t>Passivas do Leque anotadas</t>
  </si>
  <si>
    <t>BLOQUEAR</t>
  </si>
  <si>
    <t>conjuração</t>
  </si>
  <si>
    <t>Marco Escolhido</t>
  </si>
  <si>
    <t>INVOCAÇÃO</t>
  </si>
  <si>
    <t>Enfraquece</t>
  </si>
  <si>
    <t>Corpo</t>
  </si>
  <si>
    <t>Leque</t>
  </si>
  <si>
    <t>corpo a corpo</t>
  </si>
  <si>
    <t>REGISTRO</t>
  </si>
  <si>
    <t>Ecoa</t>
  </si>
  <si>
    <t>MARCOS</t>
  </si>
  <si>
    <t>TRAÇO</t>
  </si>
  <si>
    <t>à distância</t>
  </si>
  <si>
    <t>MAIOR CLASSE</t>
  </si>
  <si>
    <t>Queima</t>
  </si>
  <si>
    <t>O corpo dela. Vale sempre, sem gastar ação.</t>
  </si>
  <si>
    <t>PONTOS</t>
  </si>
  <si>
    <t>Acúmulo</t>
  </si>
  <si>
    <t>deslocamento</t>
  </si>
  <si>
    <t>Remate</t>
  </si>
  <si>
    <t>espaços de feitiço</t>
  </si>
  <si>
    <t>Escalada</t>
  </si>
  <si>
    <t>Estilhaço</t>
  </si>
  <si>
    <t>refino de graça</t>
  </si>
  <si>
    <t>Sobe parede e teto sem teste</t>
  </si>
  <si>
    <t>DEFESA</t>
  </si>
  <si>
    <t>Quebra Coisa</t>
  </si>
  <si>
    <t>2</t>
  </si>
  <si>
    <t>A INVOCAÇÃO</t>
  </si>
  <si>
    <t>Buff/Debuff</t>
  </si>
  <si>
    <t>classe máxima</t>
  </si>
  <si>
    <t>PROTEÇÃO</t>
  </si>
  <si>
    <t>Rasga Escudo</t>
  </si>
  <si>
    <t>EQUIPAMENTO</t>
  </si>
  <si>
    <t>classe 0 grátis</t>
  </si>
  <si>
    <t>Nado</t>
  </si>
  <si>
    <t>Move na água sem penalidade. Rio, cisterna, tanque alagado de estação</t>
  </si>
  <si>
    <t>Sem Cura</t>
  </si>
  <si>
    <t>TIPO</t>
  </si>
  <si>
    <t>INICIATIVA</t>
  </si>
  <si>
    <t>Rápido</t>
  </si>
  <si>
    <t>Fala</t>
  </si>
  <si>
    <t>marco corpo</t>
  </si>
  <si>
    <t>Ela fala, e dá para conversar com ela</t>
  </si>
  <si>
    <t>Reação</t>
  </si>
  <si>
    <t>Técnica</t>
  </si>
  <si>
    <t>marco leque</t>
  </si>
  <si>
    <t>Faro</t>
  </si>
  <si>
    <t>Armado</t>
  </si>
  <si>
    <t>Rastreia por cheiro e por energia. Pega rastro velho de horas</t>
  </si>
  <si>
    <t>Silencioso</t>
  </si>
  <si>
    <t>SINTONIA</t>
  </si>
  <si>
    <t>Vigia</t>
  </si>
  <si>
    <t>buff de defesa</t>
  </si>
  <si>
    <t>O que ela vê e ouve, você vê e ouve também</t>
  </si>
  <si>
    <t>Adianta</t>
  </si>
  <si>
    <t>buff de iniciativa</t>
  </si>
  <si>
    <t>Presa</t>
  </si>
  <si>
    <t>Miúdo</t>
  </si>
  <si>
    <t>Segura</t>
  </si>
  <si>
    <t>buff de cd de feitiço</t>
  </si>
  <si>
    <t>Ocupa espaço menor e passa por vão. Duto, grade de bueiro, folga embaixo da porta</t>
  </si>
  <si>
    <t>buff de conjuração</t>
  </si>
  <si>
    <t>Voo</t>
  </si>
  <si>
    <t>3</t>
  </si>
  <si>
    <t>O deslocamento dela passa a ser de voo também</t>
  </si>
  <si>
    <t>OS ATRIBUTOS DELA</t>
  </si>
  <si>
    <t>Rastro</t>
  </si>
  <si>
    <t>buff de corpo a corpo</t>
  </si>
  <si>
    <t>Sugar</t>
  </si>
  <si>
    <t>Montaria</t>
  </si>
  <si>
    <t>Carrega uma pessoa ou mais, dependendo do tamanho</t>
  </si>
  <si>
    <t>buff de à distância</t>
  </si>
  <si>
    <t>Isca</t>
  </si>
  <si>
    <t>CD DE FEITIÇO</t>
  </si>
  <si>
    <t>buff de deslocamento</t>
  </si>
  <si>
    <t>Fisgada</t>
  </si>
  <si>
    <t>PROJETO - M</t>
  </si>
  <si>
    <t>Prende à distância. Ela alcança, engancha, e quem ia fugir para de conseguir</t>
  </si>
  <si>
    <t>Cobrança</t>
  </si>
  <si>
    <t>CONJURAÇÃO</t>
  </si>
  <si>
    <t>corpo_Força</t>
  </si>
  <si>
    <t>CORPO A CORPO</t>
  </si>
  <si>
    <t>Emboscada</t>
  </si>
  <si>
    <t>Aviso</t>
  </si>
  <si>
    <t>À DISTÂNCIA</t>
  </si>
  <si>
    <t>Surge do chão, fora do alcance de visão</t>
  </si>
  <si>
    <t>corpo_Destreza</t>
  </si>
  <si>
    <t>Limpa</t>
  </si>
  <si>
    <t>Jorro</t>
  </si>
  <si>
    <t>corpo_Constituição</t>
  </si>
  <si>
    <t>Ataca em linha ou em área</t>
  </si>
  <si>
    <t>Limpa Fundo</t>
  </si>
  <si>
    <t>corpo_Inteligência</t>
  </si>
  <si>
    <t>Graúdo</t>
  </si>
  <si>
    <t>Ocupa espaço maior e barra passagem</t>
  </si>
  <si>
    <t>Levanta</t>
  </si>
  <si>
    <t>PONTOS GASTOS</t>
  </si>
  <si>
    <t>DISPONÍVEIS</t>
  </si>
  <si>
    <t>corpo_Essência</t>
  </si>
  <si>
    <t>CONFERÊNCIA</t>
  </si>
  <si>
    <t>Remoto</t>
  </si>
  <si>
    <t>Funciona além dos 18 metros da amarra. Dentro da cena, para qualquer um; fora da cena, com requisito</t>
  </si>
  <si>
    <t>Divide</t>
  </si>
  <si>
    <t>pontos de corpo</t>
  </si>
  <si>
    <t>Junto</t>
  </si>
  <si>
    <t>COMANDO</t>
  </si>
  <si>
    <t>pontos disponíveis</t>
  </si>
  <si>
    <t>O que ela faz quando você gasta a Ação Padrão comandando.</t>
  </si>
  <si>
    <t>Reserva</t>
  </si>
  <si>
    <t>perícias disponíveis</t>
  </si>
  <si>
    <t>Remenda</t>
  </si>
  <si>
    <t>ofícios disponíveis</t>
  </si>
  <si>
    <t>Investir</t>
  </si>
  <si>
    <t>Condição</t>
  </si>
  <si>
    <t>O ataque. Toda invocação tem</t>
  </si>
  <si>
    <t>Distribua 9 pontos, nenhum acima de 3. A cada marco ela ganha 1 ponto, até o teto de 6. É a mesma regra da sua ficha.</t>
  </si>
  <si>
    <t>testes disponíveis</t>
  </si>
  <si>
    <t>Agarrar</t>
  </si>
  <si>
    <t>Efeito Próprio</t>
  </si>
  <si>
    <t>Prende o alvo</t>
  </si>
  <si>
    <t>4</t>
  </si>
  <si>
    <t>ACERTO, DEFESA E TESTES DE RESISTÊNCIA</t>
  </si>
  <si>
    <t>DESLOCAMENTO</t>
  </si>
  <si>
    <t>escolhas de perícia</t>
  </si>
  <si>
    <t>Arrastar</t>
  </si>
  <si>
    <t xml:space="preserve">ATRIBUTO DE CONJURAÇÃO </t>
  </si>
  <si>
    <t>Move o alvo, ou se move levando ele. Tira alguém de cima de uma beirada, ou põe</t>
  </si>
  <si>
    <t>ATRIBUTO DE ATAQUE - CORPO A CORPO</t>
  </si>
  <si>
    <t>feitiços disponíveis</t>
  </si>
  <si>
    <t>ATRIBUTO DO ACERTO</t>
  </si>
  <si>
    <t>Buscar</t>
  </si>
  <si>
    <t>ACERTO</t>
  </si>
  <si>
    <t>Pega um objeto, ou rastreia de forma ativa</t>
  </si>
  <si>
    <t>DEFESA USA, DO DONO</t>
  </si>
  <si>
    <t>passivas</t>
  </si>
  <si>
    <t>Cavar</t>
  </si>
  <si>
    <t>Abre buraco, desenterra, revira o terreno. Faz rota onde não havia rota</t>
  </si>
  <si>
    <t>aptidão de graça 1</t>
  </si>
  <si>
    <t>Interpor</t>
  </si>
  <si>
    <t>ESSÊNCIA</t>
  </si>
  <si>
    <t>Se põe entre você e o golpe. O corpo dela recebe o que ia em você</t>
  </si>
  <si>
    <t>FORÇA</t>
  </si>
  <si>
    <t>aptidão de graça 2</t>
  </si>
  <si>
    <t>Chamariz</t>
  </si>
  <si>
    <t>O alvo tem de vir para cima dela. Você escolhe em quem a coisa está prestando atenção</t>
  </si>
  <si>
    <t>aptidões disponíveis</t>
  </si>
  <si>
    <t xml:space="preserve">ATRIBUTO DE ATAQUE - À DISTÂNCIA </t>
  </si>
  <si>
    <t>passivas do leque</t>
  </si>
  <si>
    <t>INVENTAR O SEU</t>
  </si>
  <si>
    <t>Escreva o efeito, ache na régua o preço, e leve para o mestre aprovar</t>
  </si>
  <si>
    <t>Régua de TRAÇO</t>
  </si>
  <si>
    <t>PROGRESSÃO</t>
  </si>
  <si>
    <t>treinado em armas</t>
  </si>
  <si>
    <t>DESTREZA</t>
  </si>
  <si>
    <t>Muda como ela anda, e só ela</t>
  </si>
  <si>
    <t>trocou por arma</t>
  </si>
  <si>
    <t>Muda o que ela comunica</t>
  </si>
  <si>
    <t>ESPAÇOS DE FEITIÇO</t>
  </si>
  <si>
    <t>CRÍTICO COM</t>
  </si>
  <si>
    <t>REFINO DE GRAÇA</t>
  </si>
  <si>
    <t>grupo de arma da trilha</t>
  </si>
  <si>
    <t>Muda o que ela percebe</t>
  </si>
  <si>
    <t>QUAL TR ELA TREINA</t>
  </si>
  <si>
    <t>CLASSE MÁXIMA</t>
  </si>
  <si>
    <t>O FÍSICO DELA USA</t>
  </si>
  <si>
    <t xml:space="preserve">CLASSE 0 </t>
  </si>
  <si>
    <t>Muda que espaço ela ocupa, a um passo de mexer no tabuleiro</t>
  </si>
  <si>
    <t>Encosta em outra criatura ou no ambiente: carrega, prende, empurra, barra, alcança além do alcance, aparece onde não dava</t>
  </si>
  <si>
    <t>Régua de COMANDO</t>
  </si>
  <si>
    <t>TESTES DE RESISTÊNCIA · ela treina um, e você escolhe qual no campo acima</t>
  </si>
  <si>
    <t>É o ataque</t>
  </si>
  <si>
    <t>TESTE</t>
  </si>
  <si>
    <t>Extra</t>
  </si>
  <si>
    <t>USA</t>
  </si>
  <si>
    <t>d20 +</t>
  </si>
  <si>
    <t>Faz uma coisa com um alvo ou um objeto</t>
  </si>
  <si>
    <t>For ou Des</t>
  </si>
  <si>
    <t>Protege você, ou nega a ação de outro</t>
  </si>
  <si>
    <t>tipos</t>
  </si>
  <si>
    <t>trilhas</t>
  </si>
  <si>
    <t>O QUE O ORÇAMENTO NÃO COMPRA</t>
  </si>
  <si>
    <t>atributos</t>
  </si>
  <si>
    <t>trs</t>
  </si>
  <si>
    <t>sintonia</t>
  </si>
  <si>
    <t>defesa_de</t>
  </si>
  <si>
    <t>fisico_de</t>
  </si>
  <si>
    <t>traco</t>
  </si>
  <si>
    <t>comando</t>
  </si>
  <si>
    <t>tab_tipos</t>
  </si>
  <si>
    <t>tab_trilhas</t>
  </si>
  <si>
    <t>tab_traco</t>
  </si>
  <si>
    <t>Trein</t>
  </si>
  <si>
    <t>tab_comando</t>
  </si>
  <si>
    <t>tab_investir</t>
  </si>
  <si>
    <t>Dado de dano</t>
  </si>
  <si>
    <t>tab_trs</t>
  </si>
  <si>
    <t>Espec</t>
  </si>
  <si>
    <t>O teto de uma Rotina já governa a saída. Um Traço que dê +1d6 não existe</t>
  </si>
  <si>
    <t>degrau_traco</t>
  </si>
  <si>
    <t>TREINAMENTO EM ARMAS</t>
  </si>
  <si>
    <t>Con</t>
  </si>
  <si>
    <t>degrau_comando</t>
  </si>
  <si>
    <t>talismã</t>
  </si>
  <si>
    <t>tipo</t>
  </si>
  <si>
    <t>base</t>
  </si>
  <si>
    <t>corpos</t>
  </si>
  <si>
    <t>mult</t>
  </si>
  <si>
    <t>corpo</t>
  </si>
  <si>
    <t>area</t>
  </si>
  <si>
    <t>traço</t>
  </si>
  <si>
    <t>pontos</t>
  </si>
  <si>
    <t>de</t>
  </si>
  <si>
    <t>Qualquer coisa que cresça com refino</t>
  </si>
  <si>
    <t>uma</t>
  </si>
  <si>
    <t>matilha</t>
  </si>
  <si>
    <t>tr</t>
  </si>
  <si>
    <t>e_marcos</t>
  </si>
  <si>
    <t>e_maestria</t>
  </si>
  <si>
    <t>e_classe</t>
  </si>
  <si>
    <t>espelho</t>
  </si>
  <si>
    <t>Refino cresce muito mais rápido que a ficha dela, e ela passaria de você</t>
  </si>
  <si>
    <t>corpo amaldiçoado</t>
  </si>
  <si>
    <t>forte</t>
  </si>
  <si>
    <t>Int</t>
  </si>
  <si>
    <t>1d6</t>
  </si>
  <si>
    <t>Atributo</t>
  </si>
  <si>
    <t>Os cinco já saem do arranjo dela, e comprar de novo é pagar duas vezes</t>
  </si>
  <si>
    <t>D7</t>
  </si>
  <si>
    <t>técnica</t>
  </si>
  <si>
    <t>Parrudo</t>
  </si>
  <si>
    <t>4d6</t>
  </si>
  <si>
    <t>Defesa, acerto ou vida direto</t>
  </si>
  <si>
    <t>ess_dono</t>
  </si>
  <si>
    <t>O7</t>
  </si>
  <si>
    <t>Os três saem dos atributos dela</t>
  </si>
  <si>
    <t>maldição domada</t>
  </si>
  <si>
    <t>Voz</t>
  </si>
  <si>
    <t>cru</t>
  </si>
  <si>
    <t>6d6</t>
  </si>
  <si>
    <t>2d6</t>
  </si>
  <si>
    <t>Ess</t>
  </si>
  <si>
    <t>int_dono</t>
  </si>
  <si>
    <t>Z7</t>
  </si>
  <si>
    <t>For</t>
  </si>
  <si>
    <t>8d6</t>
  </si>
  <si>
    <t>3d6</t>
  </si>
  <si>
    <t>AK7</t>
  </si>
  <si>
    <t>10d6</t>
  </si>
  <si>
    <t>D11</t>
  </si>
  <si>
    <t>13d6</t>
  </si>
  <si>
    <t>5d6</t>
  </si>
  <si>
    <t>O11</t>
  </si>
  <si>
    <t>Des</t>
  </si>
  <si>
    <t>5</t>
  </si>
  <si>
    <t>15d6</t>
  </si>
  <si>
    <t>VIDA E MORTE</t>
  </si>
  <si>
    <t>D19</t>
  </si>
  <si>
    <t>Z19</t>
  </si>
  <si>
    <t>VIDA MÁXIMA</t>
  </si>
  <si>
    <t>AK19</t>
  </si>
  <si>
    <t>Não trocou</t>
  </si>
  <si>
    <t>VIDA AGORA</t>
  </si>
  <si>
    <t>CORPOS EM CAMPO</t>
  </si>
  <si>
    <t>D22</t>
  </si>
  <si>
    <t>ÁREA BATE ×</t>
  </si>
  <si>
    <t>pontos_atributo</t>
  </si>
  <si>
    <t>D35</t>
  </si>
  <si>
    <t>pontos_disp</t>
  </si>
  <si>
    <t>O35</t>
  </si>
  <si>
    <t>aviso_atributo</t>
  </si>
  <si>
    <t>Z35</t>
  </si>
  <si>
    <t>atr_acerto</t>
  </si>
  <si>
    <t>D43</t>
  </si>
  <si>
    <t>acerto</t>
  </si>
  <si>
    <t>O43</t>
  </si>
  <si>
    <t>Z43</t>
  </si>
  <si>
    <t>AK43</t>
  </si>
  <si>
    <t>critico</t>
  </si>
  <si>
    <t>D46</t>
  </si>
  <si>
    <t>tr_treinado</t>
  </si>
  <si>
    <t>O46</t>
  </si>
  <si>
    <t>A BARRA</t>
  </si>
  <si>
    <t>Z46</t>
  </si>
  <si>
    <t>tr_Físico</t>
  </si>
  <si>
    <t>Q50</t>
  </si>
  <si>
    <t>tr_extra_Físico</t>
  </si>
  <si>
    <t>K50</t>
  </si>
  <si>
    <t>tr_Vigor</t>
  </si>
  <si>
    <t>AM50</t>
  </si>
  <si>
    <t>tr_extra_Vigor</t>
  </si>
  <si>
    <t>AG50</t>
  </si>
  <si>
    <t>RÉGUA DA MORTE</t>
  </si>
  <si>
    <t>tr_Intelecto</t>
  </si>
  <si>
    <t>Q51</t>
  </si>
  <si>
    <t>METADE DELA</t>
  </si>
  <si>
    <t>VOLTA COM</t>
  </si>
  <si>
    <t>tr_extra_Intelecto</t>
  </si>
  <si>
    <t>K51</t>
  </si>
  <si>
    <t>tr_Espírito</t>
  </si>
  <si>
    <t>AM51</t>
  </si>
  <si>
    <t>tr_extra_Espírito</t>
  </si>
  <si>
    <t>AG51</t>
  </si>
  <si>
    <t>D59</t>
  </si>
  <si>
    <t>O59</t>
  </si>
  <si>
    <t>Perícias Disponíveis</t>
  </si>
  <si>
    <t>Z59</t>
  </si>
  <si>
    <t>MORRE DE VEZ</t>
  </si>
  <si>
    <t>AK59</t>
  </si>
  <si>
    <t>Quando o dano que passar de zero for maior que a metade da régua, ou quando um golpe só causar a régua inteira. Fora desses dois casos ela só cai, e você reinvoca.</t>
  </si>
  <si>
    <t>regua</t>
  </si>
  <si>
    <t>D65</t>
  </si>
  <si>
    <t>meia_regua</t>
  </si>
  <si>
    <t>O65</t>
  </si>
  <si>
    <t>No zero ela sai do campo. Ela não fica Inconsciente e não ganha Sequela nem Cicatriz. Reinvocar custa os PE de novo, e ela volta com metade da vida; a vida cheia volta no descanso longo.</t>
  </si>
  <si>
    <t>volta_com</t>
  </si>
  <si>
    <t>Z65</t>
  </si>
  <si>
    <t>6</t>
  </si>
  <si>
    <t>orcamento</t>
  </si>
  <si>
    <t>D76</t>
  </si>
  <si>
    <t>O ORÇAMENTO</t>
  </si>
  <si>
    <t>gasto</t>
  </si>
  <si>
    <t>D91</t>
  </si>
  <si>
    <t>ORÇAMENTO</t>
  </si>
  <si>
    <t>sobra</t>
  </si>
  <si>
    <t>O91</t>
  </si>
  <si>
    <t>investir</t>
  </si>
  <si>
    <t>D99</t>
  </si>
  <si>
    <t>cd_pendente</t>
  </si>
  <si>
    <t>D116</t>
  </si>
  <si>
    <t>D30</t>
  </si>
  <si>
    <t>L30</t>
  </si>
  <si>
    <t>TRAÇO · até 9</t>
  </si>
  <si>
    <t>OFÍCIOS E TESTES DE RESISTÊNCIA</t>
  </si>
  <si>
    <t>DEGRAU</t>
  </si>
  <si>
    <t>T30</t>
  </si>
  <si>
    <t>COMANDO · até 6</t>
  </si>
  <si>
    <t>AB30</t>
  </si>
  <si>
    <t>AJ30</t>
  </si>
  <si>
    <t>slot_pontos_1</t>
  </si>
  <si>
    <t>S80</t>
  </si>
  <si>
    <t>slot_pontos_2</t>
  </si>
  <si>
    <t>S81</t>
  </si>
  <si>
    <t>slot_pontos_3</t>
  </si>
  <si>
    <t>S82</t>
  </si>
  <si>
    <t>slot_pontos_4</t>
  </si>
  <si>
    <t>S83</t>
  </si>
  <si>
    <t>slot_pontos_5</t>
  </si>
  <si>
    <t>S84</t>
  </si>
  <si>
    <t>slot_pontos_6</t>
  </si>
  <si>
    <t>S85</t>
  </si>
  <si>
    <t>slot_pontos_7</t>
  </si>
  <si>
    <t>S86</t>
  </si>
  <si>
    <t>slot_pontos_8</t>
  </si>
  <si>
    <t>S87</t>
  </si>
  <si>
    <t>slot_pontos_9</t>
  </si>
  <si>
    <t>S88</t>
  </si>
  <si>
    <t>slot_pontos_10</t>
  </si>
  <si>
    <t>AO80</t>
  </si>
  <si>
    <t>INTELIGÊNCIA</t>
  </si>
  <si>
    <t>slot_pontos_11</t>
  </si>
  <si>
    <t>AO81</t>
  </si>
  <si>
    <t>slot_pontos_12</t>
  </si>
  <si>
    <t>AO82</t>
  </si>
  <si>
    <t>slot_pontos_13</t>
  </si>
  <si>
    <t>AO83</t>
  </si>
  <si>
    <t>slot_pontos_14</t>
  </si>
  <si>
    <t>AO84</t>
  </si>
  <si>
    <t>slot_pontos_15</t>
  </si>
  <si>
    <t>AO85</t>
  </si>
  <si>
    <t>traco_1</t>
  </si>
  <si>
    <t>D80</t>
  </si>
  <si>
    <t>traco_2</t>
  </si>
  <si>
    <t>D81</t>
  </si>
  <si>
    <t>traco_3</t>
  </si>
  <si>
    <t>D82</t>
  </si>
  <si>
    <t>traco_4</t>
  </si>
  <si>
    <t>D83</t>
  </si>
  <si>
    <t>traco_5</t>
  </si>
  <si>
    <t>D84</t>
  </si>
  <si>
    <t xml:space="preserve">Alfaiate </t>
  </si>
  <si>
    <t>traco_6</t>
  </si>
  <si>
    <t>D85</t>
  </si>
  <si>
    <t xml:space="preserve">CONSTITUIÇÃO </t>
  </si>
  <si>
    <t>traco_7</t>
  </si>
  <si>
    <t>D86</t>
  </si>
  <si>
    <t>traco_8</t>
  </si>
  <si>
    <t>D87</t>
  </si>
  <si>
    <t>traco_9</t>
  </si>
  <si>
    <t>D88</t>
  </si>
  <si>
    <t>comando_1</t>
  </si>
  <si>
    <t>Z80</t>
  </si>
  <si>
    <t>comando_2</t>
  </si>
  <si>
    <t>Z81</t>
  </si>
  <si>
    <t>comando_3</t>
  </si>
  <si>
    <t>Z82</t>
  </si>
  <si>
    <t>comando_4</t>
  </si>
  <si>
    <t>Z83</t>
  </si>
  <si>
    <t>comando_5</t>
  </si>
  <si>
    <t>Z84</t>
  </si>
  <si>
    <t>comando_6</t>
  </si>
  <si>
    <t>Z85</t>
  </si>
  <si>
    <t>Ofícios Disponíveis</t>
  </si>
  <si>
    <t>Testes de Resistência Disponíveis</t>
  </si>
  <si>
    <t>GASTO</t>
  </si>
  <si>
    <t>SOBRA</t>
  </si>
  <si>
    <t>ANOTAÇÕES</t>
  </si>
  <si>
    <t>Skill Base de Caminho 1</t>
  </si>
  <si>
    <t>Skill Base de Trilha 1</t>
  </si>
  <si>
    <t>Outras Anotações</t>
  </si>
  <si>
    <t>Escolha Traço e Comando até o orçamento acabar. O Servo tem metade a mais que as outras duas Trilhas. Nada aqui compra dano, Defesa, acerto ou vida — esses saem dos atributos dela.</t>
  </si>
  <si>
    <t>7</t>
  </si>
  <si>
    <t>INVESTIR</t>
  </si>
  <si>
    <t>DANO DO INVESTIR</t>
  </si>
  <si>
    <t>POR CORPO</t>
  </si>
  <si>
    <t>Skill Base de Caminho 2</t>
  </si>
  <si>
    <t>Skill Base de Trilha 2</t>
  </si>
  <si>
    <t>Skill Base de Caminho 3</t>
  </si>
  <si>
    <t>Skill Base de Trilha 3</t>
  </si>
  <si>
    <t>8</t>
  </si>
  <si>
    <t>NA MESA</t>
  </si>
  <si>
    <t>INVOCAR</t>
  </si>
  <si>
    <t>COMANDAR</t>
  </si>
  <si>
    <t>Skill Base de Caminho 4</t>
  </si>
  <si>
    <t>Skill Base de Trilha 4</t>
  </si>
  <si>
    <t>AMARRA</t>
  </si>
  <si>
    <t>9</t>
  </si>
  <si>
    <t>O QUE A FICHA NÃO CALCULA</t>
  </si>
  <si>
    <t>A CD DOS EFEITOS DELA</t>
  </si>
  <si>
    <t>A CD dos efeitos dela não tem fórmula em documento nenhum — nem o capítulo 16, ainda. Enquanto não existir, use a da ficha padrão do invocador.</t>
  </si>
  <si>
    <t>Classe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</si>
</sst>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sz val="10.0"/>
      <color rgb="FF000000"/>
      <name val="Arial"/>
      <scheme val="minor"/>
    </font>
    <font>
      <sz val="11.0"/>
      <color rgb="FFFBE4EF"/>
      <name val="Roboto"/>
    </font>
    <font>
      <sz val="9.0"/>
      <color rgb="FFF1BFD6"/>
      <name val="Oswald"/>
    </font>
    <font>
      <b/>
      <sz val="12.0"/>
      <color rgb="FFFBE4EF"/>
      <name val="Roboto"/>
    </font>
    <font>
      <sz val="9.0"/>
      <color rgb="FFF1BFD6"/>
      <name val="Roboto"/>
    </font>
    <font>
      <sz val="12.0"/>
      <color rgb="FFFBE4EF"/>
      <name val="Roboto"/>
    </font>
    <font>
      <sz val="22.0"/>
      <color rgb="FFD44085"/>
      <name val="Yuji Syuku"/>
    </font>
    <font>
      <sz val="16.0"/>
      <color rgb="FFFBE4EF"/>
      <name val="Oswald"/>
    </font>
    <font/>
    <font>
      <sz val="13.0"/>
      <color rgb="FFFBE4EF"/>
      <name val="Oswald"/>
    </font>
    <font>
      <sz val="8.0"/>
      <color rgb="FFF1BFD6"/>
      <name val="Courier New"/>
    </font>
    <font>
      <sz val="11.0"/>
      <color rgb="FFD44085"/>
      <name val="Courier New"/>
    </font>
    <font>
      <sz val="9.0"/>
      <color rgb="FFD44085"/>
      <name val="Oswald"/>
    </font>
    <font>
      <sz val="8.0"/>
      <color rgb="FFF1BFD6"/>
      <name val="Oswald"/>
    </font>
    <font>
      <sz val="9.0"/>
      <color rgb="FFF1BFD6"/>
      <name val="Courier New"/>
    </font>
    <font>
      <sz val="12.0"/>
      <color rgb="FF000000"/>
      <name val="Oswald"/>
    </font>
    <font>
      <sz val="9.0"/>
      <color rgb="FF000000"/>
      <name val="Roboto"/>
    </font>
    <font>
      <sz val="8.0"/>
      <color rgb="FFFBE4EF"/>
      <name val="Oswald"/>
    </font>
    <font>
      <sz val="26.0"/>
      <color rgb="FFFBE4EF"/>
      <name val="Castoro"/>
    </font>
    <font>
      <sz val="11.0"/>
      <color rgb="FFFBE4EF"/>
      <name val="Oswald"/>
    </font>
    <font>
      <sz val="10.0"/>
      <color rgb="FFFBE4EF"/>
      <name val="Castoro"/>
    </font>
    <font>
      <sz val="15.0"/>
      <color rgb="FFFBE4EF"/>
      <name val="Castoro"/>
    </font>
    <font>
      <sz val="9.0"/>
      <color rgb="FFFBE4EF"/>
      <name val="Roboto"/>
    </font>
    <font>
      <sz val="10.0"/>
      <color rgb="FFD44085"/>
      <name val="Courier New"/>
    </font>
    <font>
      <sz val="8.0"/>
      <color rgb="FFD44085"/>
      <name val="Roboto"/>
    </font>
    <font>
      <sz val="11.0"/>
      <color rgb="FFD44085"/>
      <name val="Oswald"/>
    </font>
    <font>
      <sz val="22.0"/>
      <color rgb="FF000000"/>
      <name val="Oswald"/>
    </font>
    <font>
      <sz val="12.0"/>
      <color rgb="FFFBE4EF"/>
      <name val="Oswald"/>
    </font>
    <font>
      <sz val="20.0"/>
      <color rgb="FFFBE4EF"/>
      <name val="Oswald"/>
    </font>
    <font>
      <sz val="12.0"/>
      <color rgb="FFFBE4EF"/>
      <name val="Courier New"/>
    </font>
    <font>
      <sz val="10.0"/>
      <color rgb="FFFBE4EF"/>
      <name val="Oswald"/>
    </font>
    <font>
      <sz val="7.0"/>
      <color rgb="FFF1BFD6"/>
      <name val="Oswald"/>
    </font>
    <font>
      <sz val="24.0"/>
      <color rgb="FFFBE4EF"/>
      <name val="Oswald"/>
    </font>
    <font>
      <sz val="9.0"/>
      <color rgb="FFD44085"/>
      <name val="Courier New"/>
    </font>
    <font>
      <sz val="8.0"/>
      <color rgb="FFFBE4EF"/>
      <name val="Roboto"/>
    </font>
    <font>
      <sz val="22.0"/>
      <color rgb="FFFBE4EF"/>
      <name val="Oswald"/>
    </font>
    <font>
      <sz val="13.0"/>
      <color rgb="FFFBE4EF"/>
      <name val="Roboto"/>
    </font>
    <font>
      <sz val="12.0"/>
      <color rgb="FFD44085"/>
      <name val="Roboto"/>
    </font>
    <font>
      <sz val="11.0"/>
      <color rgb="FFFBE4EF"/>
      <name val="Courier New"/>
    </font>
    <font>
      <sz val="18.0"/>
      <color rgb="FFFBE4EF"/>
      <name val="Oswald"/>
    </font>
    <font>
      <b/>
      <sz val="9.0"/>
      <color rgb="FFFBE4EF"/>
      <name val="Roboto"/>
    </font>
    <font>
      <sz val="18.0"/>
      <color rgb="FFFBE4EF"/>
      <name val="Castoro"/>
    </font>
    <font>
      <sz val="8.0"/>
      <color rgb="FFD44085"/>
      <name val="Oswald"/>
    </font>
    <font>
      <sz val="14.0"/>
      <color rgb="FFFBE4EF"/>
      <name val="Oswald"/>
    </font>
    <font>
      <sz val="12.0"/>
      <color rgb="FFF8C7DC"/>
      <name val="Oswald"/>
    </font>
    <font>
      <color rgb="FFFBE4EF"/>
      <name val="Roboto"/>
    </font>
    <font>
      <sz val="6.0"/>
      <color rgb="FFFBE4EF"/>
      <name val="Castoro"/>
    </font>
    <font>
      <sz val="8.0"/>
      <color rgb="FFF8C7DC"/>
      <name val="Oswald"/>
    </font>
    <font>
      <color rgb="FFFBE4EF"/>
      <name val="Castoro"/>
    </font>
    <font>
      <color rgb="FFFBE4EF"/>
      <name val="Oswald"/>
    </font>
    <font>
      <sz val="10.0"/>
      <color rgb="FFF1BFD6"/>
      <name val="Oswald"/>
    </font>
    <font>
      <sz val="9.0"/>
      <color rgb="FFFBE4EF"/>
      <name val="Oswald"/>
    </font>
    <font>
      <sz val="8.0"/>
      <color rgb="FFFBE4EF"/>
      <name val="Castoro"/>
    </font>
    <font>
      <sz val="9.0"/>
      <color rgb="FFF8C7DC"/>
      <name val="Roboto"/>
    </font>
    <font>
      <sz val="16.0"/>
      <color rgb="FFF8C7DC"/>
      <name val="Oswald"/>
    </font>
    <font>
      <sz val="8.0"/>
      <color rgb="FFF1BFD6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251727"/>
        <bgColor rgb="FF251727"/>
      </patternFill>
    </fill>
    <fill>
      <patternFill patternType="solid">
        <fgColor rgb="FF1B111D"/>
        <bgColor rgb="FF1B111D"/>
      </patternFill>
    </fill>
    <fill>
      <patternFill patternType="solid">
        <fgColor rgb="FF492D4D"/>
        <bgColor rgb="FF492D4D"/>
      </patternFill>
    </fill>
    <fill>
      <patternFill patternType="solid">
        <fgColor rgb="FF150817"/>
        <bgColor rgb="FF150817"/>
      </patternFill>
    </fill>
    <fill>
      <patternFill patternType="solid">
        <fgColor rgb="FFF8C7DC"/>
        <bgColor rgb="FFF8C7DC"/>
      </patternFill>
    </fill>
    <fill>
      <patternFill patternType="solid">
        <fgColor rgb="FF311E33"/>
        <bgColor rgb="FF311E33"/>
      </patternFill>
    </fill>
    <fill>
      <patternFill patternType="solid">
        <fgColor rgb="FF46244B"/>
        <bgColor rgb="FF46244B"/>
      </patternFill>
    </fill>
  </fills>
  <borders count="14">
    <border/>
    <border>
      <left style="medium">
        <color rgb="FFB377BB"/>
      </left>
      <top style="medium">
        <color rgb="FFB377BB"/>
      </top>
    </border>
    <border>
      <top style="medium">
        <color rgb="FFB377BB"/>
      </top>
    </border>
    <border>
      <right style="medium">
        <color rgb="FFB377BB"/>
      </right>
      <top style="medium">
        <color rgb="FFB377BB"/>
      </top>
    </border>
    <border>
      <left style="medium">
        <color rgb="FFB377BB"/>
      </left>
      <bottom style="medium">
        <color rgb="FFB377BB"/>
      </bottom>
    </border>
    <border>
      <bottom style="medium">
        <color rgb="FFB377BB"/>
      </bottom>
    </border>
    <border>
      <right style="medium">
        <color rgb="FFB377BB"/>
      </right>
      <bottom style="medium">
        <color rgb="FFB377BB"/>
      </bottom>
    </border>
    <border>
      <left style="medium">
        <color rgb="FFB377BB"/>
      </left>
      <top style="medium">
        <color rgb="FFB377BB"/>
      </top>
      <bottom style="medium">
        <color rgb="FFB377BB"/>
      </bottom>
    </border>
    <border>
      <top style="medium">
        <color rgb="FFB377BB"/>
      </top>
      <bottom style="medium">
        <color rgb="FFB377BB"/>
      </bottom>
    </border>
    <border>
      <right style="medium">
        <color rgb="FFB377BB"/>
      </right>
      <top style="medium">
        <color rgb="FFB377BB"/>
      </top>
      <bottom style="medium">
        <color rgb="FFB377BB"/>
      </bottom>
    </border>
    <border>
      <left style="medium">
        <color rgb="FFB377BB"/>
      </left>
    </border>
    <border>
      <right style="medium">
        <color rgb="FFB377BB"/>
      </right>
    </border>
    <border>
      <left style="medium">
        <color rgb="FFB377BB"/>
      </left>
      <right style="medium">
        <color rgb="FFB377BB"/>
      </right>
    </border>
    <border>
      <left style="medium">
        <color rgb="FFB377BB"/>
      </left>
      <right style="medium">
        <color rgb="FFB377BB"/>
      </right>
      <top style="medium">
        <color rgb="FFB377BB"/>
      </top>
      <bottom style="medium">
        <color rgb="FFB377BB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quotePrefix="1" borderId="0" fillId="3" fontId="3" numFmtId="0" xfId="0" applyAlignment="1" applyFill="1" applyFont="1">
      <alignment horizontal="left" readingOrder="0" shrinkToFit="0" vertical="center" wrapText="0"/>
    </xf>
    <xf borderId="0" fillId="3" fontId="4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3" fontId="5" numFmtId="0" xfId="0" applyAlignment="1" applyFill="1" applyFont="1">
      <alignment horizontal="left" shrinkToFit="0" vertical="center" wrapText="0"/>
    </xf>
    <xf borderId="0" fillId="2" fontId="6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left" shrinkToFit="0" vertical="center" wrapText="0"/>
    </xf>
    <xf borderId="1" fillId="4" fontId="7" numFmtId="0" xfId="0" applyAlignment="1" applyBorder="1" applyFill="1" applyFont="1">
      <alignment horizontal="left" readingOrder="0" shrinkToFit="0" vertical="center" wrapText="0"/>
    </xf>
    <xf borderId="2" fillId="0" fontId="8" numFmtId="0" xfId="0" applyBorder="1" applyFont="1"/>
    <xf borderId="0" fillId="5" fontId="1" numFmtId="0" xfId="0" applyAlignment="1" applyFill="1" applyFont="1">
      <alignment horizontal="left" shrinkToFit="0" vertical="center" wrapText="0"/>
    </xf>
    <xf borderId="0" fillId="2" fontId="9" numFmtId="0" xfId="0" applyAlignment="1" applyFill="1" applyFont="1">
      <alignment horizontal="left" shrinkToFit="0" vertical="center" wrapText="0"/>
    </xf>
    <xf borderId="2" fillId="4" fontId="10" numFmtId="0" xfId="0" applyAlignment="1" applyBorder="1" applyFill="1" applyFont="1">
      <alignment horizontal="right" readingOrder="0" shrinkToFit="0" vertical="center" wrapText="0"/>
    </xf>
    <xf borderId="3" fillId="0" fontId="8" numFmtId="0" xfId="0" applyBorder="1" applyFont="1"/>
    <xf borderId="0" fillId="3" fontId="2" numFmtId="0" xfId="0" applyAlignment="1" applyFill="1" applyFont="1">
      <alignment horizontal="center" readingOrder="0" shrinkToFit="0" vertical="center" wrapText="0"/>
    </xf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0" fillId="3" fontId="5" numFmtId="0" xfId="0" applyAlignment="1" applyFill="1" applyFont="1">
      <alignment horizontal="left" readingOrder="0" shrinkToFit="0" vertical="center" wrapText="0"/>
    </xf>
    <xf borderId="0" fillId="2" fontId="11" numFmtId="0" xfId="0" applyAlignment="1" applyFill="1" applyFont="1">
      <alignment horizontal="right" shrinkToFit="0" vertical="center" wrapText="0"/>
    </xf>
    <xf borderId="0" fillId="5" fontId="12" numFmtId="0" xfId="0" applyAlignment="1" applyFill="1" applyFont="1">
      <alignment horizontal="left"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0" fillId="2" fontId="4" numFmtId="0" xfId="0" applyAlignment="1" applyFill="1" applyFont="1">
      <alignment horizontal="left" readingOrder="0" shrinkToFit="0" vertical="center" wrapText="0"/>
    </xf>
    <xf borderId="0" fillId="3" fontId="4" numFmtId="0" xfId="0" applyAlignment="1" applyFill="1" applyFont="1">
      <alignment horizontal="center" shrinkToFit="0" vertical="center" wrapText="0"/>
    </xf>
    <xf borderId="0" fillId="5" fontId="13" numFmtId="0" xfId="0" applyAlignment="1" applyFill="1" applyFont="1">
      <alignment horizontal="right" readingOrder="0" shrinkToFit="0" vertical="center" wrapText="0"/>
    </xf>
    <xf borderId="0" fillId="2" fontId="14" numFmtId="0" xfId="0" applyAlignment="1" applyFill="1" applyFont="1">
      <alignment horizontal="right" shrinkToFit="0" vertical="center" wrapText="0"/>
    </xf>
    <xf borderId="7" fillId="6" fontId="15" numFmtId="0" xfId="0" applyAlignment="1" applyBorder="1" applyFill="1" applyFont="1">
      <alignment horizontal="left" readingOrder="0" shrinkToFit="0" vertical="center" wrapText="0"/>
    </xf>
    <xf borderId="5" fillId="2" fontId="1" numFmtId="0" xfId="0" applyAlignment="1" applyBorder="1" applyFill="1" applyFont="1">
      <alignment horizontal="left" shrinkToFit="0" vertical="center" wrapText="0"/>
    </xf>
    <xf borderId="8" fillId="0" fontId="8" numFmtId="0" xfId="0" applyBorder="1" applyFont="1"/>
    <xf borderId="0" fillId="3" fontId="5" numFmtId="0" xfId="0" applyAlignment="1" applyFill="1" applyFont="1">
      <alignment horizontal="left" readingOrder="0" shrinkToFit="0" vertical="center" wrapText="0"/>
    </xf>
    <xf borderId="9" fillId="0" fontId="8" numFmtId="0" xfId="0" applyBorder="1" applyFont="1"/>
    <xf borderId="0" fillId="3" fontId="5" numFmtId="0" xfId="0" applyAlignment="1" applyFill="1" applyFont="1">
      <alignment horizontal="center" readingOrder="0" shrinkToFit="0" vertical="center" wrapText="0"/>
    </xf>
    <xf borderId="0" fillId="5" fontId="13" numFmtId="0" xfId="0" applyAlignment="1" applyFill="1" applyFont="1">
      <alignment horizontal="right" shrinkToFit="0" vertical="center" wrapText="0"/>
    </xf>
    <xf borderId="7" fillId="6" fontId="16" numFmtId="0" xfId="0" applyAlignment="1" applyBorder="1" applyFill="1" applyFont="1">
      <alignment horizontal="left" readingOrder="0" shrinkToFit="0" vertical="center" wrapText="0"/>
    </xf>
    <xf borderId="0" fillId="3" fontId="5" numFmtId="0" xfId="0" applyAlignment="1" applyFill="1" applyFont="1">
      <alignment horizontal="center" readingOrder="0" shrinkToFit="0" vertical="center" wrapText="0"/>
    </xf>
    <xf borderId="0" fillId="5" fontId="1" numFmtId="0" xfId="0" applyAlignment="1" applyFill="1" applyFont="1">
      <alignment horizontal="center" shrinkToFit="0" vertical="center" wrapText="0"/>
    </xf>
    <xf borderId="7" fillId="4" fontId="17" numFmtId="0" xfId="0" applyAlignment="1" applyBorder="1" applyFill="1" applyFont="1">
      <alignment horizontal="left" readingOrder="0" shrinkToFit="0" vertical="center" wrapText="0"/>
    </xf>
    <xf borderId="0" fillId="3" fontId="5" numFmtId="0" xfId="0" applyAlignment="1" applyFill="1" applyFont="1">
      <alignment horizontal="center" shrinkToFit="0" vertical="center" wrapText="0"/>
    </xf>
    <xf borderId="0" fillId="5" fontId="18" numFmtId="0" xfId="0" applyAlignment="1" applyFill="1" applyFont="1">
      <alignment horizontal="left" shrinkToFit="0" vertical="center" wrapText="0"/>
    </xf>
    <xf borderId="7" fillId="4" fontId="2" numFmtId="0" xfId="0" applyAlignment="1" applyBorder="1" applyFill="1" applyFont="1">
      <alignment horizontal="center" readingOrder="0" shrinkToFit="0" vertical="center" wrapText="0"/>
    </xf>
    <xf borderId="7" fillId="7" fontId="19" numFmtId="0" xfId="0" applyAlignment="1" applyBorder="1" applyFill="1" applyFont="1">
      <alignment horizontal="center" shrinkToFit="0" vertical="center" wrapText="1"/>
    </xf>
    <xf borderId="7" fillId="7" fontId="20" numFmtId="0" xfId="0" applyAlignment="1" applyBorder="1" applyFill="1" applyFont="1">
      <alignment horizontal="left" readingOrder="0" shrinkToFit="0" vertical="center" wrapText="1"/>
    </xf>
    <xf borderId="1" fillId="7" fontId="21" numFmtId="0" xfId="0" applyAlignment="1" applyBorder="1" applyFill="1" applyFont="1">
      <alignment horizontal="center" readingOrder="0" shrinkToFit="0" vertical="center" wrapText="0"/>
    </xf>
    <xf borderId="7" fillId="7" fontId="22" numFmtId="0" xfId="0" applyAlignment="1" applyBorder="1" applyFill="1" applyFont="1">
      <alignment horizontal="left" readingOrder="0" shrinkToFit="0" vertical="center" wrapText="1"/>
    </xf>
    <xf borderId="0" fillId="5" fontId="23" numFmtId="0" xfId="0" applyAlignment="1" applyFill="1" applyFont="1">
      <alignment horizontal="right" shrinkToFit="0" vertical="center" wrapText="0"/>
    </xf>
    <xf borderId="10" fillId="0" fontId="8" numFmtId="0" xfId="0" applyBorder="1" applyFont="1"/>
    <xf borderId="11" fillId="0" fontId="8" numFmtId="0" xfId="0" applyBorder="1" applyFont="1"/>
    <xf borderId="7" fillId="4" fontId="19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ill="1" applyFont="1">
      <alignment horizontal="left" shrinkToFit="0" vertical="center" wrapText="0"/>
    </xf>
    <xf borderId="7" fillId="4" fontId="20" numFmtId="0" xfId="0" applyAlignment="1" applyBorder="1" applyFill="1" applyFont="1">
      <alignment horizontal="left" readingOrder="0" shrinkToFit="0" vertical="center" wrapText="1"/>
    </xf>
    <xf borderId="5" fillId="5" fontId="24" numFmtId="0" xfId="0" applyAlignment="1" applyBorder="1" applyFill="1" applyFont="1">
      <alignment horizontal="left" shrinkToFit="0" vertical="center" wrapText="0"/>
    </xf>
    <xf borderId="7" fillId="4" fontId="22" numFmtId="0" xfId="0" applyAlignment="1" applyBorder="1" applyFill="1" applyFont="1">
      <alignment horizontal="left" readingOrder="0" shrinkToFit="0" vertical="center" wrapText="1"/>
    </xf>
    <xf borderId="11" fillId="5" fontId="1" numFmtId="0" xfId="0" applyAlignment="1" applyBorder="1" applyFill="1" applyFont="1">
      <alignment horizontal="left" shrinkToFit="0" vertical="center" wrapText="0"/>
    </xf>
    <xf borderId="7" fillId="4" fontId="13" numFmtId="0" xfId="0" applyAlignment="1" applyBorder="1" applyFill="1" applyFont="1">
      <alignment horizontal="center" readingOrder="0" shrinkToFit="0" vertical="center" wrapText="0"/>
    </xf>
    <xf borderId="8" fillId="4" fontId="13" numFmtId="0" xfId="0" applyAlignment="1" applyBorder="1" applyFill="1" applyFont="1">
      <alignment horizontal="center" readingOrder="0" shrinkToFit="0" vertical="center" wrapText="0"/>
    </xf>
    <xf borderId="0" fillId="5" fontId="25" numFmtId="0" xfId="0" applyAlignment="1" applyFill="1" applyFont="1">
      <alignment horizontal="center" readingOrder="0" shrinkToFit="0" textRotation="90" vertical="center" wrapText="0"/>
    </xf>
    <xf borderId="1" fillId="6" fontId="26" numFmtId="0" xfId="0" applyAlignment="1" applyBorder="1" applyFill="1" applyFont="1">
      <alignment horizontal="center" readingOrder="0" shrinkToFit="0" vertical="center" wrapText="1"/>
    </xf>
    <xf borderId="1" fillId="4" fontId="27" numFmtId="0" xfId="0" applyAlignment="1" applyBorder="1" applyFill="1" applyFont="1">
      <alignment horizontal="left" readingOrder="0" shrinkToFit="0" vertical="center" wrapText="0"/>
    </xf>
    <xf borderId="1" fillId="7" fontId="21" numFmtId="0" xfId="0" applyAlignment="1" applyBorder="1" applyFill="1" applyFont="1">
      <alignment horizontal="center" shrinkToFit="0" vertical="center" wrapText="0"/>
    </xf>
    <xf borderId="2" fillId="3" fontId="1" numFmtId="0" xfId="0" applyAlignment="1" applyBorder="1" applyFill="1" applyFont="1">
      <alignment horizontal="left" shrinkToFit="0" vertical="center" wrapText="0"/>
    </xf>
    <xf borderId="8" fillId="3" fontId="1" numFmtId="0" xfId="0" applyAlignment="1" applyBorder="1" applyFill="1" applyFont="1">
      <alignment horizontal="left" shrinkToFit="0" vertical="center" wrapText="0"/>
    </xf>
    <xf borderId="5" fillId="3" fontId="1" numFmtId="0" xfId="0" applyAlignment="1" applyBorder="1" applyFill="1" applyFont="1">
      <alignment horizontal="left" shrinkToFit="0" vertical="center" wrapText="0"/>
    </xf>
    <xf borderId="7" fillId="4" fontId="17" numFmtId="0" xfId="0" applyAlignment="1" applyBorder="1" applyFill="1" applyFont="1">
      <alignment horizontal="center" readingOrder="0" shrinkToFit="0" vertical="center" wrapText="0"/>
    </xf>
    <xf borderId="12" fillId="3" fontId="1" numFmtId="0" xfId="0" applyAlignment="1" applyBorder="1" applyFill="1" applyFont="1">
      <alignment horizontal="left" shrinkToFit="0" vertical="center" wrapText="0"/>
    </xf>
    <xf borderId="2" fillId="7" fontId="21" numFmtId="0" xfId="0" applyAlignment="1" applyBorder="1" applyFill="1" applyFont="1">
      <alignment horizontal="center" shrinkToFit="0" vertical="center" wrapText="0"/>
    </xf>
    <xf borderId="4" fillId="4" fontId="17" numFmtId="0" xfId="0" applyAlignment="1" applyBorder="1" applyFill="1" applyFont="1">
      <alignment horizontal="center" readingOrder="0" shrinkToFit="0" vertical="center" wrapText="0"/>
    </xf>
    <xf borderId="1" fillId="7" fontId="20" numFmtId="0" xfId="0" applyAlignment="1" applyBorder="1" applyFill="1" applyFont="1">
      <alignment horizontal="center" shrinkToFit="0" vertical="center" wrapText="0"/>
    </xf>
    <xf borderId="11" fillId="3" fontId="1" numFmtId="0" xfId="0" applyAlignment="1" applyBorder="1" applyFill="1" applyFont="1">
      <alignment horizontal="left" shrinkToFit="0" vertical="center" wrapText="0"/>
    </xf>
    <xf borderId="5" fillId="4" fontId="17" numFmtId="0" xfId="0" applyAlignment="1" applyBorder="1" applyFill="1" applyFont="1">
      <alignment horizontal="center" readingOrder="0" shrinkToFit="0" vertical="center" wrapText="0"/>
    </xf>
    <xf borderId="7" fillId="7" fontId="19" numFmtId="0" xfId="0" applyAlignment="1" applyBorder="1" applyFill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left" shrinkToFit="0" vertical="center" wrapText="0"/>
    </xf>
    <xf borderId="7" fillId="4" fontId="19" numFmtId="0" xfId="0" applyAlignment="1" applyBorder="1" applyFill="1" applyFont="1">
      <alignment horizontal="center" readingOrder="0" shrinkToFit="0" vertical="center" wrapText="1"/>
    </xf>
    <xf borderId="4" fillId="4" fontId="13" numFmtId="0" xfId="0" applyAlignment="1" applyBorder="1" applyFill="1" applyFont="1">
      <alignment horizontal="center" readingOrder="0" shrinkToFit="0" vertical="center" wrapText="0"/>
    </xf>
    <xf borderId="5" fillId="4" fontId="13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7" fillId="7" fontId="21" numFmtId="0" xfId="0" applyAlignment="1" applyBorder="1" applyFill="1" applyFont="1">
      <alignment horizontal="center" shrinkToFit="0" vertical="center" wrapText="0"/>
    </xf>
    <xf borderId="2" fillId="7" fontId="28" numFmtId="0" xfId="0" applyAlignment="1" applyBorder="1" applyFill="1" applyFont="1">
      <alignment horizontal="center" readingOrder="0" shrinkToFit="0" vertical="center" wrapText="0"/>
    </xf>
    <xf borderId="8" fillId="7" fontId="1" numFmtId="0" xfId="0" applyAlignment="1" applyBorder="1" applyFill="1" applyFont="1">
      <alignment horizontal="center" shrinkToFit="0" vertical="center" wrapText="0"/>
    </xf>
    <xf borderId="2" fillId="7" fontId="29" numFmtId="0" xfId="0" applyAlignment="1" applyBorder="1" applyFill="1" applyFont="1">
      <alignment horizontal="center" readingOrder="0" shrinkToFit="0" vertical="center" wrapText="0"/>
    </xf>
    <xf borderId="7" fillId="7" fontId="1" numFmtId="0" xfId="0" applyAlignment="1" applyBorder="1" applyFill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shrinkToFit="0" vertical="center" wrapText="0"/>
    </xf>
    <xf borderId="7" fillId="4" fontId="30" numFmtId="0" xfId="0" applyAlignment="1" applyBorder="1" applyFill="1" applyFont="1">
      <alignment horizontal="center" readingOrder="0" shrinkToFit="0" vertical="center" wrapText="0"/>
    </xf>
    <xf borderId="7" fillId="4" fontId="30" numFmtId="0" xfId="0" applyAlignment="1" applyBorder="1" applyFill="1" applyFont="1">
      <alignment horizontal="center" shrinkToFit="0" vertical="center" wrapText="0"/>
    </xf>
    <xf borderId="7" fillId="4" fontId="2" numFmtId="0" xfId="0" applyAlignment="1" applyBorder="1" applyFill="1" applyFont="1">
      <alignment horizontal="center" shrinkToFit="0" vertical="center" wrapText="0"/>
    </xf>
    <xf borderId="1" fillId="6" fontId="26" numFmtId="0" xfId="0" applyAlignment="1" applyBorder="1" applyFill="1" applyFont="1">
      <alignment horizontal="center" readingOrder="0" shrinkToFit="0" vertical="center" wrapText="0"/>
    </xf>
    <xf borderId="10" fillId="5" fontId="1" numFmtId="0" xfId="0" applyAlignment="1" applyBorder="1" applyFill="1" applyFont="1">
      <alignment horizontal="left" shrinkToFit="0" vertical="center" wrapText="0"/>
    </xf>
    <xf borderId="10" fillId="3" fontId="1" numFmtId="0" xfId="0" applyAlignment="1" applyBorder="1" applyFill="1" applyFont="1">
      <alignment horizontal="left" shrinkToFit="0" vertical="center" wrapText="0"/>
    </xf>
    <xf borderId="7" fillId="7" fontId="19" numFmtId="0" xfId="0" applyAlignment="1" applyBorder="1" applyFill="1" applyFont="1">
      <alignment horizontal="center" shrinkToFit="0" vertical="center" wrapText="0"/>
    </xf>
    <xf borderId="7" fillId="7" fontId="19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shrinkToFit="0" vertical="center" wrapText="0"/>
    </xf>
    <xf borderId="7" fillId="7" fontId="31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5" fontId="24" numFmtId="0" xfId="0" applyAlignment="1" applyFill="1" applyFont="1">
      <alignment horizontal="left" shrinkToFit="0" vertical="center" wrapText="0"/>
    </xf>
    <xf borderId="1" fillId="7" fontId="32" numFmtId="0" xfId="0" applyAlignment="1" applyBorder="1" applyFill="1" applyFont="1">
      <alignment horizontal="center" shrinkToFit="0" vertical="center" wrapText="0"/>
    </xf>
    <xf borderId="2" fillId="7" fontId="32" numFmtId="0" xfId="0" applyAlignment="1" applyBorder="1" applyFill="1" applyFont="1">
      <alignment horizontal="center" shrinkToFit="0" vertical="center" wrapText="0"/>
    </xf>
    <xf borderId="0" fillId="5" fontId="4" numFmtId="0" xfId="0" applyAlignment="1" applyFill="1" applyFont="1">
      <alignment horizontal="left" shrinkToFit="0" vertical="center" wrapText="0"/>
    </xf>
    <xf borderId="0" fillId="5" fontId="33" numFmtId="0" xfId="0" applyAlignment="1" applyFill="1" applyFont="1">
      <alignment horizontal="right" shrinkToFit="0" vertical="center" wrapText="0"/>
    </xf>
    <xf borderId="7" fillId="7" fontId="17" numFmtId="0" xfId="0" applyAlignment="1" applyBorder="1" applyFill="1" applyFont="1">
      <alignment horizontal="center" readingOrder="0" shrinkToFit="0" vertical="center" wrapText="0"/>
    </xf>
    <xf borderId="4" fillId="7" fontId="17" numFmtId="0" xfId="0" applyAlignment="1" applyBorder="1" applyFill="1" applyFont="1">
      <alignment horizontal="center" readingOrder="0" shrinkToFit="0" vertical="center" wrapText="0"/>
    </xf>
    <xf borderId="5" fillId="7" fontId="17" numFmtId="0" xfId="0" applyAlignment="1" applyBorder="1" applyFill="1" applyFont="1">
      <alignment horizontal="center" readingOrder="0" shrinkToFit="0" vertical="center" wrapText="0"/>
    </xf>
    <xf borderId="7" fillId="4" fontId="34" numFmtId="0" xfId="0" applyAlignment="1" applyBorder="1" applyFill="1" applyFont="1">
      <alignment horizontal="center" readingOrder="0" shrinkToFit="0" vertical="center" wrapText="0"/>
    </xf>
    <xf borderId="8" fillId="4" fontId="34" numFmtId="0" xfId="0" applyAlignment="1" applyBorder="1" applyFill="1" applyFont="1">
      <alignment horizontal="center" readingOrder="0" shrinkToFit="0" vertical="center" wrapText="0"/>
    </xf>
    <xf borderId="0" fillId="5" fontId="5" numFmtId="0" xfId="0" applyAlignment="1" applyFill="1" applyFont="1">
      <alignment horizontal="left" shrinkToFit="0" vertical="center" wrapText="0"/>
    </xf>
    <xf borderId="8" fillId="4" fontId="17" numFmtId="0" xfId="0" applyAlignment="1" applyBorder="1" applyFill="1" applyFont="1">
      <alignment horizontal="center" readingOrder="0" shrinkToFit="0" vertical="center" wrapText="1"/>
    </xf>
    <xf borderId="1" fillId="7" fontId="35" numFmtId="0" xfId="0" applyAlignment="1" applyBorder="1" applyFill="1" applyFont="1">
      <alignment horizontal="center" shrinkToFit="0" vertical="center" wrapText="0"/>
    </xf>
    <xf borderId="1" fillId="7" fontId="36" numFmtId="0" xfId="0" applyAlignment="1" applyBorder="1" applyFill="1" applyFont="1">
      <alignment horizontal="center" shrinkToFit="0" vertical="center" wrapText="0"/>
    </xf>
    <xf borderId="1" fillId="7" fontId="37" numFmtId="0" xfId="0" applyAlignment="1" applyBorder="1" applyFill="1" applyFont="1">
      <alignment horizontal="left" shrinkToFit="0" vertical="center" wrapText="0"/>
    </xf>
    <xf borderId="4" fillId="7" fontId="38" numFmtId="0" xfId="0" applyAlignment="1" applyBorder="1" applyFill="1" applyFont="1">
      <alignment horizontal="center" readingOrder="0" shrinkToFit="0" vertical="center" wrapText="0"/>
    </xf>
    <xf borderId="7" fillId="7" fontId="1" numFmtId="0" xfId="0" applyAlignment="1" applyBorder="1" applyFill="1" applyFont="1">
      <alignment horizontal="center" shrinkToFit="0" vertical="center" wrapText="0"/>
    </xf>
    <xf borderId="1" fillId="7" fontId="5" numFmtId="0" xfId="0" applyAlignment="1" applyBorder="1" applyFill="1" applyFont="1">
      <alignment horizontal="left" shrinkToFit="0" vertical="center" wrapText="0"/>
    </xf>
    <xf borderId="11" fillId="5" fontId="5" numFmtId="0" xfId="0" applyAlignment="1" applyBorder="1" applyFill="1" applyFont="1">
      <alignment horizontal="left" shrinkToFit="0" vertical="center" wrapText="0"/>
    </xf>
    <xf borderId="2" fillId="4" fontId="5" numFmtId="0" xfId="0" applyAlignment="1" applyBorder="1" applyFill="1" applyFont="1">
      <alignment horizontal="left" shrinkToFit="0" vertical="center" wrapText="0"/>
    </xf>
    <xf borderId="2" fillId="7" fontId="36" numFmtId="0" xfId="0" applyAlignment="1" applyBorder="1" applyFill="1" applyFont="1">
      <alignment horizontal="center" shrinkToFit="0" vertical="center" wrapText="0"/>
    </xf>
    <xf borderId="2" fillId="4" fontId="39" numFmtId="0" xfId="0" applyAlignment="1" applyBorder="1" applyFill="1" applyFont="1">
      <alignment horizontal="left" readingOrder="0" shrinkToFit="0" vertical="center" wrapText="0"/>
    </xf>
    <xf borderId="0" fillId="7" fontId="1" numFmtId="0" xfId="0" applyAlignment="1" applyFill="1" applyFont="1">
      <alignment horizontal="center" shrinkToFit="0" vertical="center" wrapText="0"/>
    </xf>
    <xf borderId="5" fillId="4" fontId="5" numFmtId="0" xfId="0" applyAlignment="1" applyBorder="1" applyFill="1" applyFont="1">
      <alignment horizontal="left" shrinkToFit="0" vertical="center" wrapText="0"/>
    </xf>
    <xf quotePrefix="1" borderId="1" fillId="6" fontId="26" numFmtId="0" xfId="0" applyAlignment="1" applyBorder="1" applyFill="1" applyFont="1">
      <alignment horizontal="center" readingOrder="0" shrinkToFit="0" vertical="center" wrapText="0"/>
    </xf>
    <xf borderId="7" fillId="4" fontId="27" numFmtId="0" xfId="0" applyAlignment="1" applyBorder="1" applyFill="1" applyFont="1">
      <alignment horizontal="left" readingOrder="0" shrinkToFit="0" vertical="center" wrapText="0"/>
    </xf>
    <xf borderId="1" fillId="4" fontId="5" numFmtId="0" xfId="0" applyAlignment="1" applyBorder="1" applyFill="1" applyFont="1">
      <alignment horizontal="left" shrinkToFit="0" vertical="center" wrapText="0"/>
    </xf>
    <xf borderId="2" fillId="4" fontId="7" numFmtId="0" xfId="0" applyAlignment="1" applyBorder="1" applyFill="1" applyFont="1">
      <alignment horizontal="left" readingOrder="0" shrinkToFit="0" vertical="center" wrapText="0"/>
    </xf>
    <xf borderId="1" fillId="4" fontId="17" numFmtId="0" xfId="0" applyAlignment="1" applyBorder="1" applyFill="1" applyFont="1">
      <alignment horizontal="center" readingOrder="0" shrinkToFit="0" vertical="center" wrapText="0"/>
    </xf>
    <xf borderId="7" fillId="4" fontId="40" numFmtId="0" xfId="0" applyAlignment="1" applyBorder="1" applyFill="1" applyFont="1">
      <alignment horizontal="center" shrinkToFit="0" vertical="center" wrapText="1"/>
    </xf>
    <xf borderId="10" fillId="7" fontId="35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ill="1" applyFont="1">
      <alignment horizontal="left" shrinkToFit="0" vertical="center" wrapText="0"/>
    </xf>
    <xf borderId="10" fillId="7" fontId="7" numFmtId="0" xfId="0" applyAlignment="1" applyBorder="1" applyFill="1" applyFont="1">
      <alignment horizontal="center" shrinkToFit="0" vertical="center" wrapText="0"/>
    </xf>
    <xf borderId="7" fillId="7" fontId="7" numFmtId="0" xfId="0" applyAlignment="1" applyBorder="1" applyFill="1" applyFont="1">
      <alignment horizontal="center" shrinkToFit="0" vertical="center" wrapText="0"/>
    </xf>
    <xf borderId="7" fillId="7" fontId="30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0"/>
    </xf>
    <xf borderId="0" fillId="3" fontId="4" numFmtId="0" xfId="0" applyAlignment="1" applyFill="1" applyFont="1">
      <alignment horizontal="left" shrinkToFit="0" vertical="center" wrapText="0"/>
    </xf>
    <xf borderId="7" fillId="7" fontId="20" numFmtId="0" xfId="0" applyAlignment="1" applyBorder="1" applyFill="1" applyFont="1">
      <alignment horizontal="left" readingOrder="0" shrinkToFit="0" vertical="center" wrapText="0"/>
    </xf>
    <xf borderId="7" fillId="7" fontId="22" numFmtId="0" xfId="0" applyAlignment="1" applyBorder="1" applyFill="1" applyFont="1">
      <alignment horizontal="left" readingOrder="0" shrinkToFit="0" vertical="center" wrapText="0"/>
    </xf>
    <xf borderId="8" fillId="4" fontId="17" numFmtId="0" xfId="0" applyAlignment="1" applyBorder="1" applyFill="1" applyFont="1">
      <alignment horizontal="center" readingOrder="0" shrinkToFit="0" vertical="center" wrapText="0"/>
    </xf>
    <xf borderId="7" fillId="4" fontId="19" numFmtId="0" xfId="0" applyAlignment="1" applyBorder="1" applyFill="1" applyFont="1">
      <alignment horizontal="center" readingOrder="0" shrinkToFit="0" vertical="center" wrapText="0"/>
    </xf>
    <xf borderId="7" fillId="4" fontId="20" numFmtId="0" xfId="0" applyAlignment="1" applyBorder="1" applyFill="1" applyFont="1">
      <alignment horizontal="left" readingOrder="0" shrinkToFit="0" vertical="center" wrapText="0"/>
    </xf>
    <xf borderId="7" fillId="4" fontId="22" numFmtId="0" xfId="0" applyAlignment="1" applyBorder="1" applyFill="1" applyFont="1">
      <alignment horizontal="left" readingOrder="0" shrinkToFit="0" vertical="center" wrapText="0"/>
    </xf>
    <xf borderId="7" fillId="7" fontId="41" numFmtId="0" xfId="0" applyAlignment="1" applyBorder="1" applyFill="1" applyFont="1">
      <alignment horizontal="center" shrinkToFit="0" vertical="center" wrapText="0"/>
    </xf>
    <xf borderId="7" fillId="7" fontId="7" numFmtId="0" xfId="0" applyAlignment="1" applyBorder="1" applyFill="1" applyFont="1">
      <alignment horizontal="center" readingOrder="0" shrinkToFit="0" vertical="center" wrapText="0"/>
    </xf>
    <xf borderId="7" fillId="7" fontId="19" numFmtId="0" xfId="0" applyAlignment="1" applyBorder="1" applyFill="1" applyFont="1">
      <alignment horizontal="center" readingOrder="0" shrinkToFit="0" vertical="center" wrapText="1"/>
    </xf>
    <xf borderId="0" fillId="3" fontId="42" numFmtId="0" xfId="0" applyAlignment="1" applyFill="1" applyFont="1">
      <alignment horizontal="left" shrinkToFit="0" vertical="center" wrapText="0"/>
    </xf>
    <xf borderId="7" fillId="7" fontId="43" numFmtId="0" xfId="0" applyAlignment="1" applyBorder="1" applyFill="1" applyFont="1">
      <alignment horizontal="center" readingOrder="0" shrinkToFit="0" vertical="center" wrapText="0"/>
    </xf>
    <xf borderId="0" fillId="3" fontId="22" numFmtId="0" xfId="0" applyAlignment="1" applyFill="1" applyFont="1">
      <alignment horizontal="left" shrinkToFit="0" vertical="center" wrapText="0"/>
    </xf>
    <xf borderId="1" fillId="7" fontId="32" numFmtId="0" xfId="0" applyAlignment="1" applyBorder="1" applyFill="1" applyFont="1">
      <alignment horizontal="center" readingOrder="0" shrinkToFit="0" vertical="center" wrapText="0"/>
    </xf>
    <xf borderId="7" fillId="7" fontId="27" numFmtId="0" xfId="0" applyAlignment="1" applyBorder="1" applyFill="1" applyFont="1">
      <alignment horizontal="center" shrinkToFit="0" vertical="center" wrapText="0"/>
    </xf>
    <xf borderId="7" fillId="7" fontId="44" numFmtId="0" xfId="0" applyAlignment="1" applyBorder="1" applyFill="1" applyFont="1">
      <alignment horizontal="center" shrinkToFit="0" vertical="center" wrapText="0"/>
    </xf>
    <xf borderId="7" fillId="7" fontId="43" numFmtId="0" xfId="0" applyAlignment="1" applyBorder="1" applyFill="1" applyFont="1">
      <alignment horizontal="center" shrinkToFit="0" vertical="center" wrapText="0"/>
    </xf>
    <xf borderId="0" fillId="3" fontId="45" numFmtId="0" xfId="0" applyAlignment="1" applyFill="1" applyFont="1">
      <alignment horizontal="left" shrinkToFit="0" vertical="bottom" wrapText="0"/>
    </xf>
    <xf borderId="0" fillId="3" fontId="42" numFmtId="0" xfId="0" applyAlignment="1" applyFill="1" applyFont="1">
      <alignment horizontal="left" readingOrder="0" shrinkToFit="0" vertical="center" wrapText="0"/>
    </xf>
    <xf borderId="13" fillId="4" fontId="46" numFmtId="0" xfId="0" applyAlignment="1" applyBorder="1" applyFill="1" applyFont="1">
      <alignment horizontal="center" readingOrder="0" shrinkToFit="0" vertical="center" wrapText="0"/>
    </xf>
    <xf borderId="7" fillId="4" fontId="17" numFmtId="0" xfId="0" applyAlignment="1" applyBorder="1" applyFill="1" applyFont="1">
      <alignment horizontal="right" readingOrder="0" shrinkToFit="0" vertical="center" wrapText="0"/>
    </xf>
    <xf borderId="13" fillId="7" fontId="30" numFmtId="0" xfId="0" applyAlignment="1" applyBorder="1" applyFill="1" applyFont="1">
      <alignment horizontal="center" shrinkToFit="0" vertical="center" wrapText="0"/>
    </xf>
    <xf borderId="7" fillId="7" fontId="13" numFmtId="0" xfId="0" applyAlignment="1" applyBorder="1" applyFill="1" applyFont="1">
      <alignment horizontal="center" readingOrder="0" shrinkToFit="0" vertical="center" wrapText="0"/>
    </xf>
    <xf borderId="0" fillId="3" fontId="45" numFmtId="0" xfId="0" applyAlignment="1" applyFill="1" applyFont="1">
      <alignment horizontal="left" shrinkToFit="0" vertical="center" wrapText="0"/>
    </xf>
    <xf borderId="7" fillId="4" fontId="47" numFmtId="0" xfId="0" applyAlignment="1" applyBorder="1" applyFill="1" applyFont="1">
      <alignment horizontal="left" readingOrder="0" shrinkToFit="0" vertical="center" wrapText="0"/>
    </xf>
    <xf borderId="13" fillId="4" fontId="46" numFmtId="0" xfId="0" applyAlignment="1" applyBorder="1" applyFill="1" applyFont="1">
      <alignment horizontal="center" readingOrder="0" shrinkToFit="0" vertical="center" wrapText="1"/>
    </xf>
    <xf borderId="7" fillId="7" fontId="30" numFmtId="0" xfId="0" applyAlignment="1" applyBorder="1" applyFill="1" applyFont="1">
      <alignment horizontal="right" shrinkToFit="0" vertical="center" wrapText="0"/>
    </xf>
    <xf borderId="0" fillId="3" fontId="45" numFmtId="0" xfId="0" applyAlignment="1" applyFill="1" applyFont="1">
      <alignment horizontal="left" readingOrder="0" shrinkToFit="0" vertical="center" wrapText="0"/>
    </xf>
    <xf borderId="7" fillId="7" fontId="4" numFmtId="0" xfId="0" applyAlignment="1" applyBorder="1" applyFill="1" applyFont="1">
      <alignment horizontal="left" readingOrder="0" shrinkToFit="0" vertical="center" wrapText="0"/>
    </xf>
    <xf borderId="13" fillId="8" fontId="1" numFmtId="0" xfId="0" applyAlignment="1" applyBorder="1" applyFill="1" applyFont="1">
      <alignment horizontal="center" readingOrder="0" shrinkToFit="0" vertical="center" wrapText="0"/>
    </xf>
    <xf borderId="7" fillId="7" fontId="48" numFmtId="0" xfId="0" applyAlignment="1" applyBorder="1" applyFill="1" applyFont="1">
      <alignment horizontal="left" readingOrder="0" shrinkToFit="0" vertical="center" wrapText="0"/>
    </xf>
    <xf borderId="7" fillId="4" fontId="4" numFmtId="0" xfId="0" applyAlignment="1" applyBorder="1" applyFill="1" applyFont="1">
      <alignment horizontal="left" readingOrder="0" shrinkToFit="0" vertical="center" wrapText="0"/>
    </xf>
    <xf borderId="4" fillId="7" fontId="30" numFmtId="0" xfId="0" applyAlignment="1" applyBorder="1" applyFill="1" applyFont="1">
      <alignment horizontal="right" shrinkToFit="0" vertical="center" wrapText="0"/>
    </xf>
    <xf quotePrefix="1" borderId="0" fillId="3" fontId="5" numFmtId="0" xfId="0" applyAlignment="1" applyFill="1" applyFont="1">
      <alignment horizontal="left" readingOrder="0" shrinkToFit="0" vertical="center" wrapText="0"/>
    </xf>
    <xf borderId="7" fillId="7" fontId="17" numFmtId="0" xfId="0" applyAlignment="1" applyBorder="1" applyFill="1" applyFont="1">
      <alignment horizontal="center" readingOrder="0" shrinkToFit="0" vertical="center" wrapText="0"/>
    </xf>
    <xf borderId="13" fillId="4" fontId="30" numFmtId="0" xfId="0" applyAlignment="1" applyBorder="1" applyFill="1" applyFont="1">
      <alignment horizontal="center" shrinkToFit="0" vertical="center" wrapText="0"/>
    </xf>
    <xf borderId="7" fillId="7" fontId="49" numFmtId="0" xfId="0" applyAlignment="1" applyBorder="1" applyFill="1" applyFont="1">
      <alignment horizontal="center" shrinkToFit="0" vertical="center" wrapText="0"/>
    </xf>
    <xf borderId="9" fillId="7" fontId="20" numFmtId="0" xfId="0" applyAlignment="1" applyBorder="1" applyFill="1" applyFont="1">
      <alignment horizontal="center" shrinkToFit="0" vertical="center" wrapText="1"/>
    </xf>
    <xf borderId="7" fillId="4" fontId="30" numFmtId="0" xfId="0" applyAlignment="1" applyBorder="1" applyFill="1" applyFont="1">
      <alignment horizontal="right" shrinkToFit="0" vertical="center" wrapText="0"/>
    </xf>
    <xf borderId="1" fillId="7" fontId="7" numFmtId="0" xfId="0" applyAlignment="1" applyBorder="1" applyFill="1" applyFont="1">
      <alignment horizontal="center" shrinkToFit="0" vertical="center" wrapText="0"/>
    </xf>
    <xf borderId="1" fillId="4" fontId="7" numFmtId="0" xfId="0" applyAlignment="1" applyBorder="1" applyFill="1" applyFont="1">
      <alignment horizontal="center" readingOrder="0" shrinkToFit="0" vertical="center" wrapText="0"/>
    </xf>
    <xf borderId="1" fillId="4" fontId="7" numFmtId="0" xfId="0" applyAlignment="1" applyBorder="1" applyFill="1" applyFont="1">
      <alignment horizontal="center" shrinkToFit="0" vertical="center" wrapText="0"/>
    </xf>
    <xf borderId="7" fillId="7" fontId="5" numFmtId="0" xfId="0" applyAlignment="1" applyBorder="1" applyFill="1" applyFont="1">
      <alignment horizontal="left" shrinkToFit="0" vertical="center" wrapText="0"/>
    </xf>
    <xf borderId="1" fillId="7" fontId="30" numFmtId="0" xfId="0" applyAlignment="1" applyBorder="1" applyFill="1" applyFont="1">
      <alignment horizontal="center" shrinkToFit="0" vertical="center" wrapText="0"/>
    </xf>
    <xf borderId="1" fillId="7" fontId="22" numFmtId="0" xfId="0" applyAlignment="1" applyBorder="1" applyFill="1" applyFont="1">
      <alignment horizontal="left" readingOrder="0" shrinkToFit="0" vertical="center" wrapText="0"/>
    </xf>
    <xf borderId="8" fillId="4" fontId="13" numFmtId="0" xfId="0" applyAlignment="1" applyBorder="1" applyFill="1" applyFont="1">
      <alignment horizontal="left" readingOrder="0" shrinkToFit="0" vertical="center" wrapText="0"/>
    </xf>
    <xf borderId="8" fillId="4" fontId="13" numFmtId="0" xfId="0" applyAlignment="1" applyBorder="1" applyFill="1" applyFont="1">
      <alignment horizontal="right" readingOrder="0" shrinkToFit="0" vertical="center" wrapText="0"/>
    </xf>
    <xf borderId="8" fillId="7" fontId="50" numFmtId="0" xfId="0" applyAlignment="1" applyBorder="1" applyFill="1" applyFont="1">
      <alignment horizontal="center" readingOrder="0" shrinkToFit="0" vertical="center" wrapText="0"/>
    </xf>
    <xf borderId="7" fillId="7" fontId="19" numFmtId="0" xfId="0" applyAlignment="1" applyBorder="1" applyFill="1" applyFont="1">
      <alignment horizontal="right" shrinkToFit="0" vertical="center" wrapText="0"/>
    </xf>
    <xf borderId="8" fillId="4" fontId="50" numFmtId="0" xfId="0" applyAlignment="1" applyBorder="1" applyFill="1" applyFont="1">
      <alignment horizontal="center" readingOrder="0" shrinkToFit="0" vertical="center" wrapText="0"/>
    </xf>
    <xf borderId="7" fillId="4" fontId="19" numFmtId="0" xfId="0" applyAlignment="1" applyBorder="1" applyFill="1" applyFont="1">
      <alignment horizontal="right" shrinkToFit="0" vertical="center" wrapText="0"/>
    </xf>
    <xf borderId="7" fillId="7" fontId="20" numFmtId="0" xfId="0" applyAlignment="1" applyBorder="1" applyFill="1" applyFont="1">
      <alignment horizontal="center" shrinkToFit="0" vertical="center" wrapText="1"/>
    </xf>
    <xf borderId="7" fillId="8" fontId="17" numFmtId="0" xfId="0" applyAlignment="1" applyBorder="1" applyFill="1" applyFont="1">
      <alignment horizontal="left" readingOrder="0" shrinkToFit="0" vertical="center" wrapText="0"/>
    </xf>
    <xf borderId="7" fillId="7" fontId="48" numFmtId="0" xfId="0" applyAlignment="1" applyBorder="1" applyFill="1" applyFont="1">
      <alignment horizontal="center" shrinkToFit="0" vertical="center" wrapText="0"/>
    </xf>
    <xf borderId="13" fillId="7" fontId="20" numFmtId="0" xfId="0" applyAlignment="1" applyBorder="1" applyFill="1" applyFont="1">
      <alignment horizontal="center" shrinkToFit="0" vertical="center" wrapText="1"/>
    </xf>
    <xf borderId="13" fillId="7" fontId="48" numFmtId="0" xfId="0" applyAlignment="1" applyBorder="1" applyFill="1" applyFont="1">
      <alignment horizontal="center" shrinkToFit="0" vertical="center" wrapText="0"/>
    </xf>
    <xf borderId="7" fillId="8" fontId="51" numFmtId="0" xfId="0" applyAlignment="1" applyBorder="1" applyFill="1" applyFont="1">
      <alignment horizontal="left" readingOrder="0" shrinkToFit="0" vertical="center" wrapText="0"/>
    </xf>
    <xf borderId="7" fillId="7" fontId="30" numFmtId="0" xfId="0" applyAlignment="1" applyBorder="1" applyFill="1" applyFont="1">
      <alignment horizontal="center" shrinkToFit="0" vertical="center" wrapText="0"/>
    </xf>
    <xf borderId="7" fillId="4" fontId="52" numFmtId="0" xfId="0" applyAlignment="1" applyBorder="1" applyFill="1" applyFont="1">
      <alignment horizontal="center" readingOrder="0" shrinkToFit="0" vertical="center" wrapText="1"/>
    </xf>
    <xf borderId="8" fillId="4" fontId="52" numFmtId="0" xfId="0" applyAlignment="1" applyBorder="1" applyFill="1" applyFont="1">
      <alignment horizontal="center" readingOrder="0" shrinkToFit="0" vertical="center" wrapText="1"/>
    </xf>
    <xf borderId="7" fillId="7" fontId="52" numFmtId="0" xfId="0" applyAlignment="1" applyBorder="1" applyFill="1" applyFont="1">
      <alignment horizontal="center" shrinkToFit="0" vertical="center" wrapText="1"/>
    </xf>
    <xf borderId="7" fillId="7" fontId="53" numFmtId="0" xfId="0" applyAlignment="1" applyBorder="1" applyFill="1" applyFont="1">
      <alignment horizontal="left" shrinkToFit="0" vertical="center" wrapText="0"/>
    </xf>
    <xf borderId="8" fillId="7" fontId="52" numFmtId="0" xfId="0" applyAlignment="1" applyBorder="1" applyFill="1" applyFont="1">
      <alignment horizontal="center" shrinkToFit="0" vertical="center" wrapText="1"/>
    </xf>
    <xf borderId="7" fillId="4" fontId="40" numFmtId="0" xfId="0" applyAlignment="1" applyBorder="1" applyFill="1" applyFont="1">
      <alignment horizontal="center" readingOrder="0" shrinkToFit="0" vertical="center" wrapText="0"/>
    </xf>
    <xf borderId="7" fillId="7" fontId="54" numFmtId="0" xfId="0" applyAlignment="1" applyBorder="1" applyFill="1" applyFont="1">
      <alignment horizontal="center" shrinkToFit="0" vertical="center" wrapText="0"/>
    </xf>
    <xf borderId="1" fillId="7" fontId="1" numFmtId="0" xfId="0" applyAlignment="1" applyBorder="1" applyFill="1" applyFont="1">
      <alignment horizontal="left" shrinkToFit="0" vertical="center" wrapText="0"/>
    </xf>
    <xf borderId="7" fillId="7" fontId="13" numFmtId="0" xfId="0" applyAlignment="1" applyBorder="1" applyFill="1" applyFont="1">
      <alignment horizontal="left" readingOrder="0" shrinkToFit="0" vertical="center" wrapText="0"/>
    </xf>
    <xf borderId="7" fillId="7" fontId="22" numFmtId="0" xfId="0" applyAlignment="1" applyBorder="1" applyFill="1" applyFont="1">
      <alignment horizontal="left" shrinkToFit="0" vertical="center" wrapText="0"/>
    </xf>
    <xf borderId="7" fillId="4" fontId="13" numFmtId="0" xfId="0" applyAlignment="1" applyBorder="1" applyFill="1" applyFont="1">
      <alignment horizontal="left" readingOrder="0" shrinkToFit="0" vertical="center" wrapText="0"/>
    </xf>
    <xf borderId="7" fillId="4" fontId="22" numFmtId="0" xfId="0" applyAlignment="1" applyBorder="1" applyFill="1" applyFont="1">
      <alignment horizontal="left" shrinkToFit="0" vertical="center" wrapText="0"/>
    </xf>
    <xf borderId="8" fillId="4" fontId="27" numFmtId="0" xfId="0" applyAlignment="1" applyBorder="1" applyFill="1" applyFont="1">
      <alignment horizontal="left" readingOrder="0" shrinkToFit="0" vertical="center" wrapText="0"/>
    </xf>
    <xf borderId="7" fillId="4" fontId="27" numFmtId="0" xfId="0" applyAlignment="1" applyBorder="1" applyFill="1" applyFont="1">
      <alignment horizontal="left" shrinkToFit="0" vertical="center" wrapText="0"/>
    </xf>
    <xf borderId="1" fillId="7" fontId="55" numFmtId="0" xfId="0" applyAlignment="1" applyBorder="1" applyFill="1" applyFont="1">
      <alignment horizontal="left" readingOrder="0" shrinkToFit="0" vertical="center" wrapText="0"/>
    </xf>
    <xf borderId="7" fillId="4" fontId="40" numFmtId="0" xfId="0" applyAlignment="1" applyBorder="1" applyFill="1" applyFont="1">
      <alignment horizontal="center" shrinkToFit="0" vertical="center" wrapText="0"/>
    </xf>
    <xf borderId="7" fillId="8" fontId="17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C2334D"/>
          <bgColor rgb="FFC2334D"/>
        </patternFill>
      </fill>
      <border/>
    </dxf>
    <dxf>
      <font>
        <color rgb="FFD89B3A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276225" cy="0"/>
    <xdr:pic>
      <xdr:nvPicPr>
        <xdr:cNvPr descr="#D44085" id="0" name="image1.png" title="PM-ARTE:carteira-1-1232x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61925" cy="200025"/>
    <xdr:pic>
      <xdr:nvPicPr>
        <xdr:cNvPr descr="#D44085" id="0" name="image4.png" title="PM-ARTE:carteira-2-252x30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276225" cy="9525"/>
    <xdr:pic>
      <xdr:nvPicPr>
        <xdr:cNvPr descr="#F8C7DC" id="0" name="image3.png" title="PM-ARTE:carteira-3-560x2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25</xdr:row>
      <xdr:rowOff>0</xdr:rowOff>
    </xdr:from>
    <xdr:ext cx="209550" cy="200025"/>
    <xdr:pic>
      <xdr:nvPicPr>
        <xdr:cNvPr descr="#B377BB" id="0" name="image2.png" title="PM-ARTE:carteira-4-112x10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276225" cy="0"/>
    <xdr:pic>
      <xdr:nvPicPr>
        <xdr:cNvPr descr="#D44085" id="0" name="image6.png" title="PM-ARTE:ficha-1-1176x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91</xdr:row>
      <xdr:rowOff>0</xdr:rowOff>
    </xdr:from>
    <xdr:ext cx="57150" cy="66675"/>
    <xdr:pic>
      <xdr:nvPicPr>
        <xdr:cNvPr descr="#B377BB" id="0" name="image5.png" title="PM-ARTE:ficha-2-84x9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7" width="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27.0" customHeight="1">
      <c r="A2" s="1"/>
      <c r="B2" s="1"/>
      <c r="C2" s="7" t="s">
        <v>5</v>
      </c>
      <c r="K2" s="1"/>
      <c r="L2" s="12" t="str">
        <f>UPPER(DADOS!$F$1)</f>
        <v>PROJETO M</v>
      </c>
      <c r="AE2" s="1"/>
      <c r="AF2" s="1"/>
      <c r="AG2" s="1"/>
      <c r="AH2" s="20" t="str">
        <f>"Nº M-"&amp;SUBSTITUTE(DADOS!$B$1,".","")&amp;"-"&amp;IF(FICHA!D3="","····",UPPER(LEFT(FICHA!D3,4)))</f>
        <v>Nº M-0246-····</v>
      </c>
      <c r="AU2" s="1"/>
    </row>
    <row r="3">
      <c r="A3" s="1"/>
      <c r="B3" s="1"/>
      <c r="K3" s="1"/>
      <c r="L3" s="23" t="s">
        <v>36</v>
      </c>
      <c r="AE3" s="1"/>
      <c r="AF3" s="1"/>
      <c r="AG3" s="1"/>
      <c r="AH3" s="26" t="str">
        <f>"Emitida "&amp;TEXT(TODAY(),"dd.mm.yyyy")</f>
        <v>Emitida 19.09.2026</v>
      </c>
      <c r="AU3" s="1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</row>
    <row r="5">
      <c r="A5" s="11"/>
      <c r="AS5" s="11"/>
      <c r="AT5" s="11"/>
      <c r="AU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36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>
      <c r="A8" s="11"/>
      <c r="B8" s="11"/>
      <c r="C8" s="11"/>
      <c r="L8" s="11"/>
      <c r="M8" s="11"/>
      <c r="N8" s="11"/>
      <c r="O8" s="40" t="s">
        <v>86</v>
      </c>
      <c r="P8" s="29"/>
      <c r="Q8" s="29"/>
      <c r="R8" s="29"/>
      <c r="S8" s="29"/>
      <c r="T8" s="29"/>
      <c r="U8" s="29"/>
      <c r="V8" s="29"/>
      <c r="W8" s="29"/>
      <c r="X8" s="29"/>
      <c r="Y8" s="3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>
      <c r="A9" s="11"/>
      <c r="B9" s="11"/>
      <c r="L9" s="11"/>
      <c r="M9" s="11"/>
      <c r="N9" s="11"/>
      <c r="O9" s="43" t="s">
        <v>89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4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>
      <c r="A10" s="11"/>
      <c r="B10" s="11"/>
      <c r="L10" s="11"/>
      <c r="M10" s="11"/>
      <c r="N10" s="11"/>
      <c r="O10" s="46"/>
      <c r="AH10" s="47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>
      <c r="A11" s="11"/>
      <c r="B11" s="11"/>
      <c r="L11" s="11"/>
      <c r="M11" s="11"/>
      <c r="N11" s="11"/>
      <c r="O11" s="46"/>
      <c r="AH11" s="47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>
      <c r="A12" s="11"/>
      <c r="B12" s="11"/>
      <c r="L12" s="11"/>
      <c r="M12" s="11"/>
      <c r="N12" s="11"/>
      <c r="O12" s="16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8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>
      <c r="A13" s="11"/>
      <c r="B13" s="11"/>
      <c r="L13" s="11"/>
      <c r="M13" s="11"/>
      <c r="N13" s="11"/>
      <c r="O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>
      <c r="A14" s="11"/>
      <c r="B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>
      <c r="A15" s="11"/>
      <c r="B15" s="11"/>
      <c r="L15" s="11"/>
      <c r="M15" s="11"/>
      <c r="N15" s="11"/>
      <c r="O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>
      <c r="A16" s="11"/>
      <c r="B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>
      <c r="A17" s="11"/>
      <c r="B17" s="11"/>
      <c r="L17" s="11"/>
      <c r="M17" s="11"/>
      <c r="N17" s="11"/>
      <c r="O17" s="54" t="s">
        <v>125</v>
      </c>
      <c r="P17" s="29"/>
      <c r="Q17" s="29"/>
      <c r="R17" s="29"/>
      <c r="S17" s="29"/>
      <c r="T17" s="29"/>
      <c r="U17" s="29"/>
      <c r="V17" s="29"/>
      <c r="W17" s="29"/>
      <c r="X17" s="31"/>
      <c r="Y17" s="53"/>
      <c r="Z17" s="55" t="s">
        <v>127</v>
      </c>
      <c r="AA17" s="29"/>
      <c r="AB17" s="29"/>
      <c r="AC17" s="29"/>
      <c r="AD17" s="29"/>
      <c r="AE17" s="29"/>
      <c r="AF17" s="29"/>
      <c r="AG17" s="29"/>
      <c r="AH17" s="29"/>
      <c r="AI17" s="31"/>
      <c r="AJ17" s="11"/>
      <c r="AK17" s="54" t="s">
        <v>129</v>
      </c>
      <c r="AL17" s="29"/>
      <c r="AM17" s="29"/>
      <c r="AN17" s="29"/>
      <c r="AO17" s="29"/>
      <c r="AP17" s="29"/>
      <c r="AQ17" s="29"/>
      <c r="AR17" s="29"/>
      <c r="AS17" s="29"/>
      <c r="AT17" s="31"/>
      <c r="AU17" s="11"/>
    </row>
    <row r="18" ht="20.25" customHeight="1">
      <c r="A18" s="11"/>
      <c r="B18" s="11"/>
      <c r="L18" s="11"/>
      <c r="M18" s="11"/>
      <c r="N18" s="11"/>
      <c r="O18" s="59" t="str">
        <f>IF(OR(FICHA!D11="",FICHA!D11="Escolha seu Caminho"),"—",FICHA!D11)</f>
        <v>—</v>
      </c>
      <c r="P18" s="10"/>
      <c r="Q18" s="10"/>
      <c r="R18" s="10"/>
      <c r="S18" s="10"/>
      <c r="T18" s="10"/>
      <c r="U18" s="10"/>
      <c r="V18" s="10"/>
      <c r="W18" s="10"/>
      <c r="X18" s="14"/>
      <c r="Y18" s="53"/>
      <c r="Z18" s="65" t="str">
        <f>IF(OR(FICHA!N11="",FICHA!N11="Escolha sua Trilha"),"—",FICHA!N11)</f>
        <v>—</v>
      </c>
      <c r="AA18" s="10"/>
      <c r="AB18" s="10"/>
      <c r="AC18" s="10"/>
      <c r="AD18" s="10"/>
      <c r="AE18" s="10"/>
      <c r="AF18" s="10"/>
      <c r="AG18" s="10"/>
      <c r="AH18" s="10"/>
      <c r="AI18" s="14"/>
      <c r="AJ18" s="11"/>
      <c r="AK18" s="67" t="str">
        <f>IF(FICHA!X11="","—",FICHA!X11)</f>
        <v>Latente</v>
      </c>
      <c r="AL18" s="10"/>
      <c r="AM18" s="10"/>
      <c r="AN18" s="10"/>
      <c r="AO18" s="10"/>
      <c r="AP18" s="10"/>
      <c r="AQ18" s="10"/>
      <c r="AR18" s="10"/>
      <c r="AS18" s="10"/>
      <c r="AT18" s="14"/>
      <c r="AU18" s="11"/>
    </row>
    <row r="19">
      <c r="A19" s="11"/>
      <c r="B19" s="11"/>
      <c r="L19" s="11"/>
      <c r="M19" s="11"/>
      <c r="N19" s="1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1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1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11"/>
    </row>
    <row r="20">
      <c r="A20" s="11"/>
      <c r="B20" s="11"/>
      <c r="L20" s="11"/>
      <c r="M20" s="11"/>
      <c r="N20" s="11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11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11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11"/>
    </row>
    <row r="21">
      <c r="A21" s="11"/>
      <c r="B21" s="11"/>
      <c r="L21" s="11"/>
      <c r="M21" s="11"/>
      <c r="N21" s="11"/>
      <c r="O21" s="73" t="s">
        <v>167</v>
      </c>
      <c r="P21" s="17"/>
      <c r="Q21" s="17"/>
      <c r="R21" s="17"/>
      <c r="S21" s="17"/>
      <c r="T21" s="17"/>
      <c r="U21" s="17"/>
      <c r="V21" s="17"/>
      <c r="W21" s="17"/>
      <c r="X21" s="18"/>
      <c r="Y21" s="53"/>
      <c r="Z21" s="74" t="s">
        <v>183</v>
      </c>
      <c r="AA21" s="17"/>
      <c r="AB21" s="17"/>
      <c r="AC21" s="17"/>
      <c r="AD21" s="17"/>
      <c r="AE21" s="17"/>
      <c r="AF21" s="17"/>
      <c r="AG21" s="17"/>
      <c r="AH21" s="17"/>
      <c r="AI21" s="18"/>
      <c r="AJ21" s="11"/>
      <c r="AK21" s="73" t="s">
        <v>185</v>
      </c>
      <c r="AL21" s="17"/>
      <c r="AM21" s="17"/>
      <c r="AN21" s="17"/>
      <c r="AO21" s="17"/>
      <c r="AP21" s="17"/>
      <c r="AQ21" s="17"/>
      <c r="AR21" s="17"/>
      <c r="AS21" s="17"/>
      <c r="AT21" s="18"/>
      <c r="AU21" s="11"/>
    </row>
    <row r="22" ht="20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77">
        <f>IF(FICHA!AH11="","—",FICHA!AH11)</f>
        <v>2</v>
      </c>
      <c r="P22" s="29"/>
      <c r="Q22" s="29"/>
      <c r="R22" s="29"/>
      <c r="S22" s="29"/>
      <c r="T22" s="29"/>
      <c r="U22" s="29"/>
      <c r="V22" s="29"/>
      <c r="W22" s="29"/>
      <c r="X22" s="31"/>
      <c r="Y22" s="53"/>
      <c r="Z22" s="79"/>
      <c r="AA22" s="29"/>
      <c r="AB22" s="29"/>
      <c r="AC22" s="29"/>
      <c r="AD22" s="29"/>
      <c r="AE22" s="29"/>
      <c r="AF22" s="29"/>
      <c r="AG22" s="29"/>
      <c r="AH22" s="29"/>
      <c r="AI22" s="31"/>
      <c r="AJ22" s="11"/>
      <c r="AK22" s="81" t="s">
        <v>201</v>
      </c>
      <c r="AL22" s="29"/>
      <c r="AM22" s="29"/>
      <c r="AN22" s="29"/>
      <c r="AO22" s="29"/>
      <c r="AP22" s="29"/>
      <c r="AQ22" s="29"/>
      <c r="AR22" s="29"/>
      <c r="AS22" s="29"/>
      <c r="AT22" s="31"/>
      <c r="AU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>
      <c r="A26" s="11"/>
      <c r="B26" s="11"/>
      <c r="C26" s="54" t="s">
        <v>219</v>
      </c>
      <c r="D26" s="29"/>
      <c r="E26" s="29"/>
      <c r="F26" s="29"/>
      <c r="G26" s="29"/>
      <c r="H26" s="29"/>
      <c r="I26" s="31"/>
      <c r="J26" s="11"/>
      <c r="K26" s="11"/>
      <c r="L26" s="11"/>
      <c r="M26" s="11"/>
      <c r="N26" s="11"/>
      <c r="O26" s="85" t="str">
        <f>IF(DADOS!$AK$32=1,"TÉCNICA MARCIAL DECLARADA",IF(DADOS!$AK$31=1,"ESTILO DECLARADO","TÉCNICA AMALDIÇOADA DECLARADA"))</f>
        <v>TÉCNICA AMALDIÇOADA DECLARADA</v>
      </c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1"/>
      <c r="AG26" s="87"/>
      <c r="AH26" s="49"/>
      <c r="AI26" s="11"/>
      <c r="AJ26" s="11"/>
      <c r="AK26" s="11"/>
      <c r="AL26" s="11"/>
      <c r="AP26" s="11"/>
      <c r="AQ26" s="11"/>
      <c r="AR26" s="11"/>
      <c r="AS26" s="11"/>
      <c r="AT26" s="11"/>
      <c r="AU26" s="11"/>
    </row>
    <row r="27">
      <c r="A27" s="11"/>
      <c r="B27" s="11"/>
      <c r="C27" s="43" t="s">
        <v>253</v>
      </c>
      <c r="D27" s="10"/>
      <c r="E27" s="10"/>
      <c r="F27" s="10"/>
      <c r="G27" s="10"/>
      <c r="H27" s="10"/>
      <c r="I27" s="10"/>
      <c r="J27" s="10"/>
      <c r="K27" s="10"/>
      <c r="L27" s="10"/>
      <c r="M27" s="14"/>
      <c r="N27" s="11"/>
      <c r="O27" s="91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4"/>
      <c r="AI27" s="11"/>
      <c r="AJ27" s="11"/>
      <c r="AK27" s="11"/>
      <c r="AP27" s="11"/>
      <c r="AQ27" s="11"/>
      <c r="AR27" s="11"/>
      <c r="AS27" s="11"/>
      <c r="AT27" s="11"/>
      <c r="AU27" s="11"/>
    </row>
    <row r="28">
      <c r="A28" s="11"/>
      <c r="B28" s="11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8"/>
      <c r="N28" s="11"/>
      <c r="O28" s="16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8"/>
      <c r="AI28" s="11"/>
      <c r="AJ28" s="11"/>
      <c r="AK28" s="11"/>
      <c r="AP28" s="11"/>
      <c r="AQ28" s="11"/>
      <c r="AR28" s="11"/>
      <c r="AS28" s="11"/>
      <c r="AT28" s="11"/>
      <c r="AU28" s="11"/>
    </row>
    <row r="29">
      <c r="A29" s="11"/>
      <c r="B29" s="11"/>
      <c r="C29" s="92" t="s">
        <v>271</v>
      </c>
      <c r="D29" s="29"/>
      <c r="E29" s="29"/>
      <c r="F29" s="29"/>
      <c r="G29" s="29"/>
      <c r="H29" s="29"/>
      <c r="I29" s="29"/>
      <c r="J29" s="29"/>
      <c r="K29" s="29"/>
      <c r="L29" s="29"/>
      <c r="M29" s="3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P29" s="11"/>
      <c r="AQ29" s="11"/>
      <c r="AR29" s="11"/>
      <c r="AS29" s="11"/>
      <c r="AT29" s="11"/>
      <c r="AU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AI30" s="11"/>
      <c r="AJ30" s="11"/>
      <c r="AK30" s="11"/>
      <c r="AP30" s="11"/>
      <c r="AQ30" s="11"/>
      <c r="AR30" s="11"/>
      <c r="AS30" s="11"/>
      <c r="AT30" s="11"/>
      <c r="AU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94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>
      <c r="A33" s="11"/>
      <c r="B33" s="11"/>
      <c r="C33" s="11"/>
      <c r="D33" s="94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25" t="s">
        <v>282</v>
      </c>
      <c r="AU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>
      <c r="A38" s="11"/>
      <c r="B38" s="11"/>
      <c r="C38" s="97"/>
      <c r="AE38" s="11"/>
      <c r="AF38" s="11"/>
      <c r="AG38" s="11"/>
      <c r="AH38" s="98" t="str">
        <f>IF(OR(FICHA!D11="",FICHA!D11="Escolha seu Caminho"),"—",UPPER(LEFT(FICHA!D11,3))&amp;"-"&amp;TEXT(FICHA!AH11,"00"))</f>
        <v>—</v>
      </c>
      <c r="AU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</row>
    <row r="48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</row>
    <row r="49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</row>
    <row r="50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</row>
    <row r="5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</row>
    <row r="5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</row>
  </sheetData>
  <mergeCells count="35">
    <mergeCell ref="AK17:AT17"/>
    <mergeCell ref="O18:X18"/>
    <mergeCell ref="Z18:AI18"/>
    <mergeCell ref="AK18:AT18"/>
    <mergeCell ref="O21:X21"/>
    <mergeCell ref="Z21:AI21"/>
    <mergeCell ref="O22:X22"/>
    <mergeCell ref="Z22:AI22"/>
    <mergeCell ref="AK22:AT22"/>
    <mergeCell ref="O26:AF26"/>
    <mergeCell ref="AL26:AO30"/>
    <mergeCell ref="O8:Y8"/>
    <mergeCell ref="O9:AH12"/>
    <mergeCell ref="O13:Y13"/>
    <mergeCell ref="O15:AH15"/>
    <mergeCell ref="O17:X17"/>
    <mergeCell ref="Z17:AI17"/>
    <mergeCell ref="C2:J3"/>
    <mergeCell ref="L2:AD2"/>
    <mergeCell ref="AH2:AT2"/>
    <mergeCell ref="L3:AD3"/>
    <mergeCell ref="AH3:AT3"/>
    <mergeCell ref="A5:AR5"/>
    <mergeCell ref="C8:K21"/>
    <mergeCell ref="AK21:AT21"/>
    <mergeCell ref="C26:I26"/>
    <mergeCell ref="C27:M28"/>
    <mergeCell ref="C29:M29"/>
    <mergeCell ref="D33:M33"/>
    <mergeCell ref="O27:AH28"/>
    <mergeCell ref="O30:AH31"/>
    <mergeCell ref="O32:AH32"/>
    <mergeCell ref="C38:AD38"/>
    <mergeCell ref="AK34:AT34"/>
    <mergeCell ref="AH38:AT38"/>
  </mergeCells>
  <dataValidations>
    <dataValidation type="list" allowBlank="1" sqref="C27">
      <formula1>"Mizuki · Claro,Mizuki · Escuro,Noite · Claro,Noite · Escuro,Blush · Claro,Blush · Escuro,Crepúsculo · Claro,Crepúsculo · Escuro,Alfazema · Claro,Alfazema · Escuro,Meia-Noite · Claro,Meia-Noite · Escuro,Pôr do Sol · Claro,Pôr do Sol · Escuro,Sálvia · Claro"&amp;",Sálvia · Escuro,Recife · Claro,Recife · Escuro,Vinho · Claro,Vinho · Escuro,Neon · Claro,Neon · Escuro,Oceano Profundo · Claro,Oceano Profundo · Escuro,Tropical · Claro,Tropical · Escuro,Obsidiana · Claro,Obsidiana · Escuro,Brasa · Claro,Brasa · Escuro,S"&amp;"angue · Claro,Sangue · Escuro,Abismo · Claro,Abismo · Escuro,Arcano · Claro,Arcano · Escuro,Rubi · Claro,Rubi · Escuro,Ardósia · Claro,Ardósia · Escuro,Musgo · Claro,Musgo · Escuro,Terra · Claro,Terra · Escuro,Eclipse · Claro,Eclipse · Escuro,Oliva · Clar"&amp;"o,Oliva · Escuro,Púrpura Real · Claro,Púrpura Real · Escuro,Céu de Verão · Claro,Céu de Verão · Escuro,Cerâmica · Claro,Cerâmica · Escuro,Algodão-Doce · Claro,Algodão-Doce · Escuro,Eucalipto · Claro,Eucalipto · Escuro,Pêssego · Claro,Pêssego · Escuro,Outo"&amp;"no · Claro,Outono · Escuro,Aquarela · Claro,Aquarela · Escuro,Natal · Claro,Natal · Escuro,Halloween · Claro,Halloween · Escuro,Páscoa · Claro,Páscoa · Escuro,Réveillon · Claro,Réveillon · Escuro,Carnaval · Claro,Carnaval · Escuro,Ano Novo Chinês · Claro,"&amp;"Ano Novo Chinês · Escuro,Tanabata · Claro,Tanabata · Escuro,Hanami · Claro,Hanami · Escuro,Obon · Claro,Obon · Escuro,Setsubun · Claro,Setsubun · Escuro,Kitsune · Claro,Kitsune · Escuro,Tengu · Claro,Tengu · Escuro,Yuki-Onna · Claro,Yuki-Onna · Escuro,Kap"&amp;"pa · Claro,Kappa · Escuro,Nekomata · Claro,Nekomata · Escuro,Ryu · Claro,Ryu · Escuro,Kirin · Claro,Kirin · Escuro,Kyuubi · Claro,Kyuubi · Escuro,Baku · Claro,Baku · Escuro,Jorogumo · Claro,Jorogumo · Escuro,Tanuki · Claro,Tanuki · Escuro,Nurarihyon · Cla"&amp;"ro,Nurarihyon · Escuro,Momotaro · Claro,Momotaro · Escuro,Urashima Tarō · Claro,Urashima Tarō · Escuro,Kaguya-Hime · Claro,Kaguya-Hime · Escuro,Amaterasu · Claro,Amaterasu · Escuro,Vazio Infinito · Claro,Vazio Infinito · Escuro,Santuário Malévolo · Claro,"&amp;"Santuário Malévolo · Escuro,Dez Sombras · Claro,Dez Sombras · Escuro"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7" width="3.63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2">
      <c r="A2" s="11"/>
      <c r="B2" s="11"/>
      <c r="C2" s="11"/>
      <c r="D2" s="21" t="str">
        <f>UPPER(DADOS!$F$1)</f>
        <v>PROJETO M</v>
      </c>
      <c r="Y2" s="11"/>
      <c r="Z2" s="11"/>
      <c r="AA2" s="11"/>
      <c r="AB2" s="11"/>
      <c r="AC2" s="11"/>
      <c r="AD2" s="11"/>
      <c r="AE2" s="11"/>
      <c r="AF2" s="11"/>
      <c r="AG2" s="11"/>
      <c r="AH2" s="25" t="s">
        <v>43</v>
      </c>
      <c r="AU2" s="33"/>
    </row>
    <row r="3" ht="30.75" customHeight="1">
      <c r="A3" s="11"/>
      <c r="B3" s="11"/>
      <c r="C3" s="11"/>
      <c r="D3" s="39" t="str">
        <f>IF(OR(CARTEIRA!$O$9="",CARTEIRA!$O$9="Coloque o nome do personagem aqui"),"",CARTEIRA!$O$9)</f>
        <v/>
      </c>
      <c r="AA3" s="11"/>
      <c r="AB3" s="11"/>
      <c r="AC3" s="11"/>
      <c r="AD3" s="11"/>
      <c r="AE3" s="11"/>
      <c r="AF3" s="11"/>
      <c r="AG3" s="11"/>
      <c r="AH3" s="45" t="str">
        <f>IF(DADOS!$B$1=DADOS!$D$1,"v"&amp;DADOS!$B$1&amp;" · em dia","⚠ v"&amp;DADOS!$B$1&amp;" · a atual é a v"&amp;DADOS!$D$1)</f>
        <v>v0.246 · em dia</v>
      </c>
      <c r="AU3" s="45"/>
    </row>
    <row r="4">
      <c r="A4" s="11"/>
      <c r="B4" s="11"/>
      <c r="C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>
      <c r="A5" s="11"/>
      <c r="B5" s="11"/>
      <c r="C5" s="49"/>
      <c r="D5" s="51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</row>
    <row r="6">
      <c r="A6" s="11"/>
      <c r="B6" s="53"/>
      <c r="C6" s="8"/>
      <c r="AS6" s="8"/>
      <c r="AT6" s="8"/>
      <c r="AU6" s="8"/>
    </row>
    <row r="7">
      <c r="A7" s="11"/>
      <c r="B7" s="5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 ht="27.0" customHeight="1">
      <c r="A8" s="56" t="s">
        <v>128</v>
      </c>
      <c r="B8" s="47"/>
      <c r="C8" s="8"/>
      <c r="D8" s="57">
        <v>1.0</v>
      </c>
      <c r="E8" s="10"/>
      <c r="F8" s="14"/>
      <c r="G8" s="58" t="s">
        <v>132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4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>
      <c r="B9" s="47"/>
      <c r="C9" s="8"/>
      <c r="D9" s="16"/>
      <c r="E9" s="17"/>
      <c r="F9" s="18"/>
      <c r="G9" s="60"/>
      <c r="H9" s="60"/>
      <c r="I9" s="60"/>
      <c r="J9" s="60"/>
      <c r="K9" s="60"/>
      <c r="L9" s="60"/>
      <c r="M9" s="60"/>
      <c r="N9" s="61"/>
      <c r="O9" s="61"/>
      <c r="P9" s="61"/>
      <c r="Q9" s="61"/>
      <c r="R9" s="61"/>
      <c r="S9" s="61"/>
      <c r="T9" s="61"/>
      <c r="U9" s="61"/>
      <c r="V9" s="61"/>
      <c r="W9" s="60"/>
      <c r="X9" s="61"/>
      <c r="Y9" s="8"/>
      <c r="Z9" s="8"/>
      <c r="AA9" s="8"/>
      <c r="AB9" s="8"/>
      <c r="AC9" s="8"/>
      <c r="AD9" s="8"/>
      <c r="AE9" s="8"/>
      <c r="AF9" s="8"/>
      <c r="AG9" s="8"/>
      <c r="AH9" s="62"/>
      <c r="AI9" s="62"/>
      <c r="AJ9" s="62"/>
      <c r="AK9" s="62"/>
      <c r="AL9" s="62"/>
      <c r="AM9" s="8"/>
      <c r="AN9" s="62"/>
      <c r="AO9" s="62"/>
      <c r="AP9" s="62"/>
      <c r="AQ9" s="62"/>
      <c r="AR9" s="62"/>
      <c r="AS9" s="62"/>
      <c r="AT9" s="62"/>
    </row>
    <row r="10">
      <c r="B10" s="47"/>
      <c r="C10" s="8"/>
      <c r="D10" s="63" t="s">
        <v>125</v>
      </c>
      <c r="E10" s="29"/>
      <c r="F10" s="29"/>
      <c r="G10" s="29"/>
      <c r="H10" s="29"/>
      <c r="I10" s="29"/>
      <c r="J10" s="29"/>
      <c r="K10" s="29"/>
      <c r="L10" s="31"/>
      <c r="M10" s="64"/>
      <c r="N10" s="66" t="s">
        <v>127</v>
      </c>
      <c r="O10" s="17"/>
      <c r="P10" s="17"/>
      <c r="Q10" s="17"/>
      <c r="R10" s="17"/>
      <c r="S10" s="17"/>
      <c r="T10" s="17"/>
      <c r="U10" s="17"/>
      <c r="V10" s="18"/>
      <c r="W10" s="64"/>
      <c r="X10" s="63" t="s">
        <v>129</v>
      </c>
      <c r="Y10" s="29"/>
      <c r="Z10" s="29"/>
      <c r="AA10" s="29"/>
      <c r="AB10" s="29"/>
      <c r="AC10" s="29"/>
      <c r="AD10" s="29"/>
      <c r="AE10" s="29"/>
      <c r="AF10" s="31"/>
      <c r="AG10" s="64"/>
      <c r="AH10" s="66" t="s">
        <v>167</v>
      </c>
      <c r="AI10" s="17"/>
      <c r="AJ10" s="17"/>
      <c r="AK10" s="17"/>
      <c r="AL10" s="18"/>
      <c r="AM10" s="68"/>
      <c r="AN10" s="69" t="s">
        <v>168</v>
      </c>
      <c r="AO10" s="17"/>
      <c r="AP10" s="17"/>
      <c r="AQ10" s="17"/>
      <c r="AR10" s="17"/>
      <c r="AS10" s="17"/>
      <c r="AT10" s="18"/>
    </row>
    <row r="11" ht="24.75" customHeight="1">
      <c r="B11" s="47"/>
      <c r="C11" s="8"/>
      <c r="D11" s="75" t="s">
        <v>85</v>
      </c>
      <c r="E11" s="10"/>
      <c r="F11" s="10"/>
      <c r="G11" s="10"/>
      <c r="H11" s="10"/>
      <c r="I11" s="10"/>
      <c r="J11" s="10"/>
      <c r="K11" s="10"/>
      <c r="L11" s="14"/>
      <c r="M11" s="68"/>
      <c r="N11" s="76" t="s">
        <v>87</v>
      </c>
      <c r="O11" s="10"/>
      <c r="P11" s="10"/>
      <c r="Q11" s="10"/>
      <c r="R11" s="10"/>
      <c r="S11" s="10"/>
      <c r="T11" s="10"/>
      <c r="U11" s="10"/>
      <c r="V11" s="14"/>
      <c r="W11" s="68"/>
      <c r="X11" s="76" t="s">
        <v>30</v>
      </c>
      <c r="Y11" s="10"/>
      <c r="Z11" s="10"/>
      <c r="AA11" s="10"/>
      <c r="AB11" s="10"/>
      <c r="AC11" s="10"/>
      <c r="AD11" s="10"/>
      <c r="AE11" s="10"/>
      <c r="AF11" s="14"/>
      <c r="AG11" s="68"/>
      <c r="AH11" s="78">
        <v>2.0</v>
      </c>
      <c r="AI11" s="10"/>
      <c r="AJ11" s="10"/>
      <c r="AK11" s="10"/>
      <c r="AL11" s="14"/>
      <c r="AM11" s="68"/>
      <c r="AN11" s="80">
        <v>0.0</v>
      </c>
      <c r="AO11" s="10"/>
      <c r="AP11" s="10"/>
      <c r="AQ11" s="10"/>
      <c r="AR11" s="10"/>
      <c r="AS11" s="10"/>
      <c r="AT11" s="14"/>
    </row>
    <row r="12">
      <c r="B12" s="47"/>
      <c r="C12" s="8"/>
      <c r="D12" s="60"/>
      <c r="E12" s="60"/>
      <c r="F12" s="60"/>
      <c r="G12" s="60"/>
      <c r="H12" s="60"/>
      <c r="I12" s="60"/>
      <c r="J12" s="60"/>
      <c r="K12" s="60"/>
      <c r="L12" s="60"/>
      <c r="M12" s="8"/>
      <c r="N12" s="60"/>
      <c r="O12" s="60"/>
      <c r="P12" s="60"/>
      <c r="Q12" s="60"/>
      <c r="R12" s="82"/>
      <c r="S12" s="60"/>
      <c r="T12" s="60"/>
      <c r="U12" s="60"/>
      <c r="V12" s="60"/>
      <c r="W12" s="8"/>
      <c r="X12" s="60"/>
      <c r="Y12" s="60"/>
      <c r="Z12" s="60"/>
      <c r="AA12" s="60"/>
      <c r="AB12" s="60"/>
      <c r="AC12" s="60"/>
      <c r="AD12" s="60"/>
      <c r="AE12" s="60"/>
      <c r="AF12" s="60"/>
      <c r="AG12" s="8"/>
      <c r="AH12" s="60"/>
      <c r="AI12" s="60"/>
      <c r="AJ12" s="60"/>
      <c r="AK12" s="60"/>
      <c r="AL12" s="60"/>
      <c r="AM12" s="8"/>
      <c r="AN12" s="60"/>
      <c r="AO12" s="60"/>
      <c r="AP12" s="60"/>
      <c r="AQ12" s="60"/>
      <c r="AR12" s="60"/>
      <c r="AS12" s="60"/>
      <c r="AT12" s="60"/>
    </row>
    <row r="13">
      <c r="B13" s="4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</row>
    <row r="14">
      <c r="B14" s="4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3" t="s">
        <v>217</v>
      </c>
      <c r="AA14" s="29"/>
      <c r="AB14" s="29"/>
      <c r="AC14" s="29"/>
      <c r="AD14" s="29"/>
      <c r="AE14" s="29"/>
      <c r="AF14" s="29"/>
      <c r="AG14" s="29"/>
      <c r="AH14" s="29"/>
      <c r="AI14" s="31"/>
      <c r="AJ14" s="8"/>
      <c r="AK14" s="84" t="str">
        <f>"Pontos de Marco de Corpo Disponíveis - "&amp;IF(DADOS!$AK$11&gt;DADOS!$AK$10,DADOS!$AK$11-DADOS!$AK$10&amp;" a mais",DADOS!$AK$10-DADOS!$AK$11&amp;" de "&amp;DADOS!$AK$10)</f>
        <v>Pontos de Marco de Corpo Disponíveis - 0 de 0</v>
      </c>
      <c r="AL14" s="29"/>
      <c r="AM14" s="29"/>
      <c r="AN14" s="29"/>
      <c r="AO14" s="29"/>
      <c r="AP14" s="29"/>
      <c r="AQ14" s="29"/>
      <c r="AR14" s="29"/>
      <c r="AS14" s="29"/>
      <c r="AT14" s="31"/>
    </row>
    <row r="15" ht="27.0" customHeight="1">
      <c r="B15" s="47"/>
      <c r="C15" s="8"/>
      <c r="D15" s="86">
        <v>2.0</v>
      </c>
      <c r="E15" s="10"/>
      <c r="F15" s="14"/>
      <c r="G15" s="58" t="s">
        <v>232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4"/>
      <c r="Y15" s="88"/>
      <c r="Z15" s="89" t="str">
        <f>IF(DADOS!$AK$7&gt;DADOS!$AK$6,DADOS!$AK$7-DADOS!$AK$6&amp;" a mais",IF(DADOS!$AK$8&gt;6,"Um atributo passou de 6",IF(AND(DADOS!$AK$5=0,DADOS!$AK$9&gt;3),"Na criação, nenhum acima de 3",DADOS!$AK$6-DADOS!$AK$7&amp;" de "&amp;DADOS!$AK$6)))</f>
        <v>9 de 9</v>
      </c>
      <c r="AA15" s="29"/>
      <c r="AB15" s="29"/>
      <c r="AC15" s="29"/>
      <c r="AD15" s="29"/>
      <c r="AE15" s="29"/>
      <c r="AF15" s="29"/>
      <c r="AG15" s="29"/>
      <c r="AH15" s="29"/>
      <c r="AI15" s="31"/>
      <c r="AJ15" s="8"/>
      <c r="AK15" s="90">
        <v>0.0</v>
      </c>
      <c r="AL15" s="31"/>
      <c r="AM15" s="90">
        <v>0.0</v>
      </c>
      <c r="AN15" s="31"/>
      <c r="AO15" s="90">
        <v>0.0</v>
      </c>
      <c r="AP15" s="31"/>
      <c r="AQ15" s="90">
        <v>0.0</v>
      </c>
      <c r="AR15" s="31"/>
      <c r="AS15" s="90">
        <v>0.0</v>
      </c>
      <c r="AT15" s="31"/>
    </row>
    <row r="16">
      <c r="B16" s="47"/>
      <c r="C16" s="8"/>
      <c r="D16" s="46"/>
      <c r="F16" s="47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3" t="s">
        <v>263</v>
      </c>
      <c r="AL16" s="29"/>
      <c r="AM16" s="83" t="s">
        <v>264</v>
      </c>
      <c r="AN16" s="29"/>
      <c r="AO16" s="83" t="s">
        <v>267</v>
      </c>
      <c r="AP16" s="29"/>
      <c r="AQ16" s="83" t="s">
        <v>268</v>
      </c>
      <c r="AR16" s="29"/>
      <c r="AS16" s="83" t="s">
        <v>269</v>
      </c>
      <c r="AT16" s="31"/>
    </row>
    <row r="17">
      <c r="B17" s="47"/>
      <c r="C17" s="8"/>
      <c r="D17" s="16"/>
      <c r="E17" s="17"/>
      <c r="F17" s="18"/>
      <c r="G17" s="8"/>
      <c r="H17" s="8"/>
      <c r="I17" s="8"/>
      <c r="J17" s="8"/>
      <c r="K17" s="8"/>
      <c r="L17" s="62"/>
      <c r="M17" s="62"/>
      <c r="N17" s="62"/>
      <c r="O17" s="62"/>
      <c r="P17" s="62"/>
      <c r="Q17" s="62"/>
      <c r="R17" s="62"/>
      <c r="S17" s="8"/>
      <c r="T17" s="62"/>
      <c r="U17" s="62"/>
      <c r="V17" s="62"/>
      <c r="W17" s="62"/>
      <c r="X17" s="62"/>
      <c r="Y17" s="62"/>
      <c r="Z17" s="62"/>
      <c r="AA17" s="8"/>
      <c r="AB17" s="62"/>
      <c r="AC17" s="62"/>
      <c r="AD17" s="62"/>
      <c r="AE17" s="62"/>
      <c r="AF17" s="62"/>
      <c r="AG17" s="62"/>
      <c r="AH17" s="62"/>
      <c r="AI17" s="8"/>
      <c r="AJ17" s="62"/>
      <c r="AK17" s="62"/>
      <c r="AL17" s="62"/>
      <c r="AM17" s="62"/>
      <c r="AN17" s="62"/>
      <c r="AO17" s="62"/>
      <c r="AP17" s="62"/>
      <c r="AQ17" s="8"/>
      <c r="AR17" s="8"/>
      <c r="AS17" s="8"/>
      <c r="AT17" s="8"/>
    </row>
    <row r="18">
      <c r="B18" s="47"/>
      <c r="C18" s="8"/>
      <c r="D18" s="63" t="s">
        <v>263</v>
      </c>
      <c r="E18" s="29"/>
      <c r="F18" s="29"/>
      <c r="G18" s="29"/>
      <c r="H18" s="29"/>
      <c r="I18" s="29"/>
      <c r="J18" s="31"/>
      <c r="K18" s="64"/>
      <c r="L18" s="66" t="s">
        <v>276</v>
      </c>
      <c r="M18" s="17"/>
      <c r="N18" s="17"/>
      <c r="O18" s="17"/>
      <c r="P18" s="17"/>
      <c r="Q18" s="17"/>
      <c r="R18" s="18"/>
      <c r="S18" s="68"/>
      <c r="T18" s="69" t="s">
        <v>267</v>
      </c>
      <c r="U18" s="17"/>
      <c r="V18" s="17"/>
      <c r="W18" s="17"/>
      <c r="X18" s="17"/>
      <c r="Y18" s="17"/>
      <c r="Z18" s="18"/>
      <c r="AA18" s="68"/>
      <c r="AB18" s="69" t="s">
        <v>268</v>
      </c>
      <c r="AC18" s="17"/>
      <c r="AD18" s="17"/>
      <c r="AE18" s="17"/>
      <c r="AF18" s="17"/>
      <c r="AG18" s="17"/>
      <c r="AH18" s="18"/>
      <c r="AI18" s="68"/>
      <c r="AJ18" s="69" t="s">
        <v>269</v>
      </c>
      <c r="AK18" s="17"/>
      <c r="AL18" s="17"/>
      <c r="AM18" s="17"/>
      <c r="AN18" s="17"/>
      <c r="AO18" s="17"/>
      <c r="AP18" s="18"/>
      <c r="AQ18" s="8"/>
      <c r="AR18" s="93"/>
      <c r="AS18" s="8"/>
      <c r="AT18" s="8"/>
    </row>
    <row r="19">
      <c r="B19" s="47"/>
      <c r="C19" s="8"/>
      <c r="D19" s="95">
        <f>IFERROR(VALUE($D$21&amp;""),0)+IFERROR(VALUE($AK$15&amp;""),0)</f>
        <v>0</v>
      </c>
      <c r="E19" s="10"/>
      <c r="F19" s="10"/>
      <c r="G19" s="10"/>
      <c r="H19" s="10"/>
      <c r="I19" s="10"/>
      <c r="J19" s="14"/>
      <c r="K19" s="68"/>
      <c r="L19" s="96">
        <f>IFERROR(VALUE($L$21&amp;""),0)+IFERROR(VALUE($AM$15&amp;""),0)</f>
        <v>0</v>
      </c>
      <c r="M19" s="10"/>
      <c r="N19" s="10"/>
      <c r="O19" s="10"/>
      <c r="P19" s="10"/>
      <c r="Q19" s="10"/>
      <c r="R19" s="14"/>
      <c r="S19" s="68"/>
      <c r="T19" s="96">
        <f>IFERROR(VALUE($T$21&amp;""),0)+IFERROR(VALUE($AO$15&amp;""),0)</f>
        <v>0</v>
      </c>
      <c r="U19" s="10"/>
      <c r="V19" s="10"/>
      <c r="W19" s="10"/>
      <c r="X19" s="10"/>
      <c r="Y19" s="10"/>
      <c r="Z19" s="14"/>
      <c r="AA19" s="68"/>
      <c r="AB19" s="96">
        <f>IFERROR(VALUE($AB$21&amp;""),0)+IFERROR(VALUE($AQ$15&amp;""),0)</f>
        <v>0</v>
      </c>
      <c r="AC19" s="10"/>
      <c r="AD19" s="10"/>
      <c r="AE19" s="10"/>
      <c r="AF19" s="10"/>
      <c r="AG19" s="10"/>
      <c r="AH19" s="14"/>
      <c r="AI19" s="68"/>
      <c r="AJ19" s="96">
        <f>IFERROR(VALUE($AJ$21&amp;""),0)+IFERROR(VALUE($AS$15&amp;""),0)</f>
        <v>0</v>
      </c>
      <c r="AK19" s="10"/>
      <c r="AL19" s="10"/>
      <c r="AM19" s="10"/>
      <c r="AN19" s="10"/>
      <c r="AO19" s="10"/>
      <c r="AP19" s="14"/>
      <c r="AQ19" s="8"/>
      <c r="AR19" s="93"/>
      <c r="AS19" s="8"/>
      <c r="AT19" s="8"/>
    </row>
    <row r="20" ht="29.25" customHeight="1">
      <c r="B20" s="47"/>
      <c r="C20" s="8"/>
      <c r="D20" s="16"/>
      <c r="E20" s="17"/>
      <c r="F20" s="17"/>
      <c r="G20" s="17"/>
      <c r="H20" s="17"/>
      <c r="I20" s="17"/>
      <c r="J20" s="18"/>
      <c r="K20" s="68"/>
      <c r="L20" s="17"/>
      <c r="M20" s="17"/>
      <c r="N20" s="17"/>
      <c r="O20" s="17"/>
      <c r="P20" s="17"/>
      <c r="Q20" s="17"/>
      <c r="R20" s="18"/>
      <c r="S20" s="68"/>
      <c r="T20" s="17"/>
      <c r="U20" s="17"/>
      <c r="V20" s="17"/>
      <c r="W20" s="17"/>
      <c r="X20" s="17"/>
      <c r="Y20" s="17"/>
      <c r="Z20" s="18"/>
      <c r="AA20" s="68"/>
      <c r="AB20" s="17"/>
      <c r="AC20" s="17"/>
      <c r="AD20" s="17"/>
      <c r="AE20" s="17"/>
      <c r="AF20" s="17"/>
      <c r="AG20" s="17"/>
      <c r="AH20" s="18"/>
      <c r="AI20" s="68"/>
      <c r="AJ20" s="17"/>
      <c r="AK20" s="17"/>
      <c r="AL20" s="17"/>
      <c r="AM20" s="17"/>
      <c r="AN20" s="17"/>
      <c r="AO20" s="17"/>
      <c r="AP20" s="18"/>
      <c r="AQ20" s="8"/>
      <c r="AR20" s="8"/>
      <c r="AS20" s="8"/>
      <c r="AT20" s="8"/>
    </row>
    <row r="21" ht="21.75" customHeight="1">
      <c r="B21" s="47"/>
      <c r="C21" s="8"/>
      <c r="D21" s="99">
        <v>0.0</v>
      </c>
      <c r="E21" s="29"/>
      <c r="F21" s="29"/>
      <c r="G21" s="29"/>
      <c r="H21" s="29"/>
      <c r="I21" s="29"/>
      <c r="J21" s="31"/>
      <c r="K21" s="64"/>
      <c r="L21" s="100">
        <v>0.0</v>
      </c>
      <c r="M21" s="17"/>
      <c r="N21" s="17"/>
      <c r="O21" s="17"/>
      <c r="P21" s="17"/>
      <c r="Q21" s="17"/>
      <c r="R21" s="18"/>
      <c r="S21" s="68"/>
      <c r="T21" s="101">
        <v>0.0</v>
      </c>
      <c r="U21" s="17"/>
      <c r="V21" s="17"/>
      <c r="W21" s="17"/>
      <c r="X21" s="17"/>
      <c r="Y21" s="17"/>
      <c r="Z21" s="18"/>
      <c r="AA21" s="68"/>
      <c r="AB21" s="101">
        <v>0.0</v>
      </c>
      <c r="AC21" s="17"/>
      <c r="AD21" s="17"/>
      <c r="AE21" s="17"/>
      <c r="AF21" s="17"/>
      <c r="AG21" s="17"/>
      <c r="AH21" s="18"/>
      <c r="AI21" s="68"/>
      <c r="AJ21" s="101">
        <v>0.0</v>
      </c>
      <c r="AK21" s="17"/>
      <c r="AL21" s="17"/>
      <c r="AM21" s="17"/>
      <c r="AN21" s="17"/>
      <c r="AO21" s="17"/>
      <c r="AP21" s="18"/>
      <c r="AQ21" s="8"/>
      <c r="AR21" s="8"/>
      <c r="AS21" s="8"/>
      <c r="AT21" s="8"/>
    </row>
    <row r="22">
      <c r="B22" s="47"/>
      <c r="C22" s="8"/>
      <c r="D22" s="102" t="s">
        <v>32</v>
      </c>
      <c r="E22" s="29"/>
      <c r="F22" s="29"/>
      <c r="G22" s="29"/>
      <c r="H22" s="29"/>
      <c r="I22" s="29"/>
      <c r="J22" s="31"/>
      <c r="K22" s="68"/>
      <c r="L22" s="103" t="s">
        <v>74</v>
      </c>
      <c r="M22" s="29"/>
      <c r="N22" s="29"/>
      <c r="O22" s="29"/>
      <c r="P22" s="29"/>
      <c r="Q22" s="29"/>
      <c r="R22" s="31"/>
      <c r="S22" s="68"/>
      <c r="T22" s="103" t="s">
        <v>101</v>
      </c>
      <c r="U22" s="29"/>
      <c r="V22" s="29"/>
      <c r="W22" s="29"/>
      <c r="X22" s="29"/>
      <c r="Y22" s="29"/>
      <c r="Z22" s="31"/>
      <c r="AA22" s="68"/>
      <c r="AB22" s="103" t="s">
        <v>119</v>
      </c>
      <c r="AC22" s="29"/>
      <c r="AD22" s="29"/>
      <c r="AE22" s="29"/>
      <c r="AF22" s="29"/>
      <c r="AG22" s="29"/>
      <c r="AH22" s="31"/>
      <c r="AI22" s="68"/>
      <c r="AJ22" s="103" t="s">
        <v>133</v>
      </c>
      <c r="AK22" s="29"/>
      <c r="AL22" s="29"/>
      <c r="AM22" s="29"/>
      <c r="AN22" s="29"/>
      <c r="AO22" s="29"/>
      <c r="AP22" s="31"/>
      <c r="AQ22" s="8"/>
      <c r="AR22" s="8"/>
      <c r="AS22" s="8"/>
      <c r="AT22" s="8"/>
    </row>
    <row r="23">
      <c r="B23" s="47"/>
      <c r="C23" s="8"/>
      <c r="D23" s="8"/>
      <c r="E23" s="8"/>
      <c r="F23" s="6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</row>
    <row r="24">
      <c r="B24" s="4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</row>
    <row r="25">
      <c r="B25" s="47"/>
      <c r="C25" s="8"/>
      <c r="D25" s="63" t="s">
        <v>321</v>
      </c>
      <c r="E25" s="29"/>
      <c r="F25" s="29"/>
      <c r="G25" s="29"/>
      <c r="H25" s="29"/>
      <c r="I25" s="29"/>
      <c r="J25" s="29"/>
      <c r="K25" s="29"/>
      <c r="L25" s="29"/>
      <c r="M25" s="29"/>
      <c r="N25" s="31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63" t="s">
        <v>327</v>
      </c>
      <c r="AG25" s="29"/>
      <c r="AH25" s="29"/>
      <c r="AI25" s="29"/>
      <c r="AJ25" s="29"/>
      <c r="AK25" s="31"/>
      <c r="AL25" s="68"/>
      <c r="AM25" s="105" t="s">
        <v>328</v>
      </c>
      <c r="AN25" s="29"/>
      <c r="AO25" s="29"/>
      <c r="AP25" s="29"/>
      <c r="AQ25" s="29"/>
      <c r="AR25" s="31"/>
      <c r="AS25" s="8"/>
      <c r="AT25" s="8"/>
    </row>
    <row r="26" ht="27.0" customHeight="1">
      <c r="B26" s="47"/>
      <c r="C26" s="8"/>
      <c r="D26" s="106" t="str">
        <f>J26</f>
        <v/>
      </c>
      <c r="E26" s="10"/>
      <c r="F26" s="10"/>
      <c r="G26" s="10"/>
      <c r="H26" s="14"/>
      <c r="I26" s="8"/>
      <c r="J26" s="107" t="str">
        <f>IFERROR(IF($D$11="","",(VLOOKUP($D$11,DADOS!$N$5:$U$9,3,FALSE)+$T$19)+(VLOOKUP($D$11,DADOS!$N$5:$U$9,4,FALSE)+$T$19)*($AH$11-1)),"")</f>
        <v/>
      </c>
      <c r="K26" s="10"/>
      <c r="L26" s="10"/>
      <c r="M26" s="10"/>
      <c r="N26" s="14"/>
      <c r="O26" s="8"/>
      <c r="P26" s="108" t="str">
        <f>IFERROR(__xludf.DUMMYFUNCTION("IFERROR(SPARKLINE($D$26,{""charttype"",""bar"";""max"",$J$26;""color1"",IF(N($J$26)=0,""#E8DCD4"",IF($D$26/$J$26&lt;=0.25,""#C2334D"",IF($D$26/$J$26&lt;=0.5,""#D89B3A"",""#E8DCD4"")))}),"""")"),"")</f>
        <v/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4"/>
      <c r="AE26" s="8"/>
      <c r="AF26" s="109">
        <v>0.0</v>
      </c>
      <c r="AG26" s="17"/>
      <c r="AH26" s="17"/>
      <c r="AI26" s="17"/>
      <c r="AJ26" s="17"/>
      <c r="AK26" s="18"/>
      <c r="AL26" s="8"/>
      <c r="AM26" s="110"/>
      <c r="AN26" s="29"/>
      <c r="AO26" s="29"/>
      <c r="AP26" s="29"/>
      <c r="AQ26" s="29"/>
      <c r="AR26" s="31"/>
      <c r="AS26" s="8"/>
      <c r="AT26" s="8"/>
    </row>
    <row r="27">
      <c r="B27" s="47"/>
      <c r="C27" s="8"/>
      <c r="D27" s="16"/>
      <c r="E27" s="17"/>
      <c r="F27" s="17"/>
      <c r="G27" s="17"/>
      <c r="H27" s="18"/>
      <c r="I27" s="8"/>
      <c r="J27" s="16"/>
      <c r="K27" s="17"/>
      <c r="L27" s="17"/>
      <c r="M27" s="17"/>
      <c r="N27" s="18"/>
      <c r="O27" s="8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60"/>
      <c r="AS27" s="8"/>
      <c r="AT27" s="8"/>
    </row>
    <row r="28">
      <c r="B28" s="47"/>
      <c r="C28" s="8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62"/>
      <c r="AS28" s="8"/>
      <c r="AT28" s="8"/>
    </row>
    <row r="29">
      <c r="B29" s="47"/>
      <c r="C29" s="8"/>
      <c r="D29" s="66" t="s">
        <v>353</v>
      </c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63" t="s">
        <v>327</v>
      </c>
      <c r="AG29" s="29"/>
      <c r="AH29" s="29"/>
      <c r="AI29" s="29"/>
      <c r="AJ29" s="29"/>
      <c r="AK29" s="31"/>
      <c r="AL29" s="68"/>
      <c r="AM29" s="105" t="s">
        <v>328</v>
      </c>
      <c r="AN29" s="29"/>
      <c r="AO29" s="29"/>
      <c r="AP29" s="29"/>
      <c r="AQ29" s="29"/>
      <c r="AR29" s="31"/>
      <c r="AS29" s="8"/>
      <c r="AT29" s="8"/>
    </row>
    <row r="30" ht="27.0" customHeight="1">
      <c r="A30" s="11"/>
      <c r="B30" s="53"/>
      <c r="C30" s="8"/>
      <c r="D30" s="106" t="str">
        <f>J30</f>
        <v/>
      </c>
      <c r="E30" s="10"/>
      <c r="F30" s="10"/>
      <c r="G30" s="10"/>
      <c r="H30" s="14"/>
      <c r="I30" s="8"/>
      <c r="J30" s="107" t="str">
        <f>IFERROR(IF($D$11="","",VLOOKUP($D$11,DADOS!$N$5:$U$9,5,FALSE)*$AH$11),"")</f>
        <v/>
      </c>
      <c r="K30" s="10"/>
      <c r="L30" s="10"/>
      <c r="M30" s="10"/>
      <c r="N30" s="14"/>
      <c r="O30" s="8"/>
      <c r="P30" s="111" t="str">
        <f>IFERROR(__xludf.DUMMYFUNCTION("IFERROR(SPARKLINE($D$30,{""charttype"",""bar"";""max"",$J$30;""color1"",IF(N($J$30)=0,""#E8DCD4"",IF($D$30/$J$30&lt;=0.25,""#C2334D"",IF($D$30/$J$30&lt;=0.5,""#D89B3A"",""#E8DCD4"")))}),"""")"),"")</f>
        <v/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4"/>
      <c r="AE30" s="8"/>
      <c r="AF30" s="109">
        <v>0.0</v>
      </c>
      <c r="AG30" s="17"/>
      <c r="AH30" s="17"/>
      <c r="AI30" s="17"/>
      <c r="AJ30" s="17"/>
      <c r="AK30" s="18"/>
      <c r="AL30" s="8"/>
      <c r="AM30" s="110"/>
      <c r="AN30" s="29"/>
      <c r="AO30" s="29"/>
      <c r="AP30" s="29"/>
      <c r="AQ30" s="29"/>
      <c r="AR30" s="31"/>
      <c r="AS30" s="8"/>
      <c r="AT30" s="8"/>
    </row>
    <row r="31">
      <c r="A31" s="11"/>
      <c r="B31" s="53"/>
      <c r="C31" s="8"/>
      <c r="D31" s="16"/>
      <c r="E31" s="17"/>
      <c r="F31" s="17"/>
      <c r="G31" s="17"/>
      <c r="H31" s="18"/>
      <c r="I31" s="8"/>
      <c r="J31" s="16"/>
      <c r="K31" s="17"/>
      <c r="L31" s="17"/>
      <c r="M31" s="17"/>
      <c r="N31" s="18"/>
      <c r="O31" s="8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60"/>
      <c r="AS31" s="8"/>
      <c r="AT31" s="8"/>
    </row>
    <row r="32">
      <c r="A32" s="11"/>
      <c r="B32" s="53"/>
      <c r="C32" s="8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62"/>
      <c r="AS32" s="8"/>
      <c r="AT32" s="8"/>
    </row>
    <row r="33">
      <c r="A33" s="56" t="s">
        <v>375</v>
      </c>
      <c r="B33" s="47"/>
      <c r="C33" s="8"/>
      <c r="D33" s="66" t="s">
        <v>377</v>
      </c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63" t="s">
        <v>327</v>
      </c>
      <c r="AG33" s="29"/>
      <c r="AH33" s="29"/>
      <c r="AI33" s="29"/>
      <c r="AJ33" s="29"/>
      <c r="AK33" s="31"/>
      <c r="AL33" s="68"/>
      <c r="AM33" s="105" t="s">
        <v>328</v>
      </c>
      <c r="AN33" s="29"/>
      <c r="AO33" s="29"/>
      <c r="AP33" s="29"/>
      <c r="AQ33" s="29"/>
      <c r="AR33" s="31"/>
      <c r="AS33" s="8"/>
      <c r="AT33" s="8"/>
    </row>
    <row r="34" ht="27.0" customHeight="1">
      <c r="B34" s="47"/>
      <c r="C34" s="8"/>
      <c r="D34" s="106">
        <f>J34</f>
        <v>25</v>
      </c>
      <c r="E34" s="10"/>
      <c r="F34" s="10"/>
      <c r="G34" s="10"/>
      <c r="H34" s="14"/>
      <c r="I34" s="64"/>
      <c r="J34" s="114">
        <f>20+(AJ19+5)*($AH$11-1)</f>
        <v>25</v>
      </c>
      <c r="K34" s="10"/>
      <c r="L34" s="10"/>
      <c r="M34" s="10"/>
      <c r="N34" s="14"/>
      <c r="O34" s="8"/>
      <c r="P34" s="111" t="str">
        <f>IFERROR(__xludf.DUMMYFUNCTION("IFERROR(SPARKLINE($D$34,{""charttype"",""bar"";""max"",$J$34;""color1"",IF(N($J$34)=0,""#E8DCD4"",IF($D$34/$J$34&lt;=0.25,""#C2334D"",IF($D$34/$J$34&lt;=0.5,""#D89B3A"",""#E8DCD4"")))}),"""")"),"")</f>
        <v/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4"/>
      <c r="AE34" s="68"/>
      <c r="AF34" s="109">
        <v>0.0</v>
      </c>
      <c r="AG34" s="17"/>
      <c r="AH34" s="17"/>
      <c r="AI34" s="17"/>
      <c r="AJ34" s="17"/>
      <c r="AK34" s="18"/>
      <c r="AL34" s="64"/>
      <c r="AM34" s="116"/>
      <c r="AR34" s="47"/>
      <c r="AS34" s="8"/>
      <c r="AT34" s="8"/>
    </row>
    <row r="35">
      <c r="B35" s="47"/>
      <c r="C35" s="8"/>
      <c r="D35" s="16"/>
      <c r="E35" s="17"/>
      <c r="F35" s="17"/>
      <c r="G35" s="17"/>
      <c r="H35" s="18"/>
      <c r="I35" s="64"/>
      <c r="J35" s="17"/>
      <c r="K35" s="17"/>
      <c r="L35" s="17"/>
      <c r="M35" s="17"/>
      <c r="N35" s="18"/>
      <c r="O35" s="8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8"/>
      <c r="AE35" s="8"/>
      <c r="AF35" s="60"/>
      <c r="AG35" s="60"/>
      <c r="AH35" s="60"/>
      <c r="AI35" s="60"/>
      <c r="AJ35" s="60"/>
      <c r="AK35" s="60"/>
      <c r="AL35" s="8"/>
      <c r="AM35" s="60"/>
      <c r="AN35" s="60"/>
      <c r="AO35" s="60"/>
      <c r="AP35" s="60"/>
      <c r="AQ35" s="60"/>
      <c r="AR35" s="60"/>
      <c r="AS35" s="8"/>
      <c r="AT35" s="8"/>
    </row>
    <row r="36">
      <c r="B36" s="4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</row>
    <row r="37">
      <c r="B37" s="47"/>
      <c r="C37" s="8"/>
      <c r="D37" s="123" t="str">
        <f>IF($D$34=""," ",IF($D$34&lt;=0,"Estágio 4 · Você não é mais você mesmo",IF($D$34&lt;=$J$34/4,"Estágio 3 · Desvantagem em ataques e TRs",IF($D$34&lt;=$J$34/2,"Estágio 2 · Metade do deslocamento, +1 PE por Classe",IF($D$34&lt;=$J$34*3/4,"Estágio 1 · Desvantagem em perícias","Alma Inteira")))))</f>
        <v>Alma Inteira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31"/>
    </row>
    <row r="38">
      <c r="B38" s="4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B39" s="4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63" t="s">
        <v>414</v>
      </c>
      <c r="AA39" s="29"/>
      <c r="AB39" s="29"/>
      <c r="AC39" s="29"/>
      <c r="AD39" s="29"/>
      <c r="AE39" s="29"/>
      <c r="AF39" s="29"/>
      <c r="AG39" s="29"/>
      <c r="AH39" s="29"/>
      <c r="AI39" s="31"/>
      <c r="AJ39" s="8"/>
      <c r="AK39" s="83" t="s">
        <v>416</v>
      </c>
      <c r="AL39" s="29"/>
      <c r="AM39" s="29"/>
      <c r="AN39" s="29"/>
      <c r="AO39" s="83" t="s">
        <v>384</v>
      </c>
      <c r="AP39" s="29"/>
      <c r="AQ39" s="83" t="s">
        <v>419</v>
      </c>
      <c r="AR39" s="29"/>
      <c r="AS39" s="83" t="s">
        <v>420</v>
      </c>
      <c r="AT39" s="31"/>
    </row>
    <row r="40" ht="27.0" customHeight="1">
      <c r="B40" s="47"/>
      <c r="C40" s="8"/>
      <c r="D40" s="86">
        <v>3.0</v>
      </c>
      <c r="E40" s="10"/>
      <c r="F40" s="14"/>
      <c r="G40" s="119" t="s">
        <v>422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31"/>
      <c r="Y40" s="8"/>
      <c r="Z40" s="110" t="str">
        <f>"2d10 + " &amp; D43-11</f>
        <v>2d10 + 0</v>
      </c>
      <c r="AA40" s="29"/>
      <c r="AB40" s="29"/>
      <c r="AC40" s="29"/>
      <c r="AD40" s="29"/>
      <c r="AE40" s="29"/>
      <c r="AF40" s="29"/>
      <c r="AG40" s="29"/>
      <c r="AH40" s="29"/>
      <c r="AI40" s="31"/>
      <c r="AJ40" s="93"/>
      <c r="AK40" s="128" t="str">
        <f>IF(DADOS!$AK$12&gt;DADOS!$AK$5,DADOS!$AK$12-DADOS!$AK$5&amp;" a mais",IF(DADOS!$AK$5=0,"Escolha 1 a cada 4 Nv",DADOS!$AK$5-DADOS!$AK$12&amp;" de "&amp;DADOS!$AK$5&amp;" para escolher"))</f>
        <v>Escolha 1 a cada 4 Nv</v>
      </c>
      <c r="AL40" s="29"/>
      <c r="AM40" s="29"/>
      <c r="AN40" s="31"/>
      <c r="AO40" s="90">
        <v>0.0</v>
      </c>
      <c r="AP40" s="29"/>
      <c r="AQ40" s="90">
        <v>0.0</v>
      </c>
      <c r="AR40" s="29"/>
      <c r="AS40" s="90">
        <v>0.0</v>
      </c>
      <c r="AT40" s="31"/>
    </row>
    <row r="41">
      <c r="B41" s="47"/>
      <c r="C41" s="8"/>
      <c r="D41" s="16"/>
      <c r="E41" s="17"/>
      <c r="F41" s="1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</row>
    <row r="42">
      <c r="B42" s="47"/>
      <c r="C42" s="8"/>
      <c r="D42" s="63" t="s">
        <v>439</v>
      </c>
      <c r="E42" s="29"/>
      <c r="F42" s="29"/>
      <c r="G42" s="29"/>
      <c r="H42" s="29"/>
      <c r="I42" s="29"/>
      <c r="J42" s="29"/>
      <c r="K42" s="31"/>
      <c r="L42" s="133" t="s">
        <v>443</v>
      </c>
      <c r="M42" s="31"/>
      <c r="N42" s="8"/>
      <c r="O42" s="63" t="s">
        <v>445</v>
      </c>
      <c r="P42" s="29"/>
      <c r="Q42" s="29"/>
      <c r="R42" s="29"/>
      <c r="S42" s="29"/>
      <c r="T42" s="29"/>
      <c r="U42" s="29"/>
      <c r="V42" s="29"/>
      <c r="W42" s="29"/>
      <c r="X42" s="31"/>
      <c r="Y42" s="8"/>
      <c r="Z42" s="63" t="s">
        <v>447</v>
      </c>
      <c r="AA42" s="29"/>
      <c r="AB42" s="29"/>
      <c r="AC42" s="29"/>
      <c r="AD42" s="29"/>
      <c r="AE42" s="29"/>
      <c r="AF42" s="29"/>
      <c r="AG42" s="29"/>
      <c r="AH42" s="29"/>
      <c r="AI42" s="31"/>
      <c r="AJ42" s="8"/>
      <c r="AK42" s="63" t="s">
        <v>453</v>
      </c>
      <c r="AL42" s="29"/>
      <c r="AM42" s="29"/>
      <c r="AN42" s="29"/>
      <c r="AO42" s="29"/>
      <c r="AP42" s="29"/>
      <c r="AQ42" s="29"/>
      <c r="AR42" s="31"/>
      <c r="AS42" s="133" t="s">
        <v>443</v>
      </c>
      <c r="AT42" s="31"/>
    </row>
    <row r="43" ht="21.0" customHeight="1">
      <c r="B43" s="47"/>
      <c r="C43" s="8"/>
      <c r="D43" s="127">
        <f>10+IF($Z$43="",$L$19,MIN($L$19,IFERROR(VALUE(VLOOKUP($Z$43,DADOS!$AE$5:$AH$31,3,FALSE)&amp;""),$L$19)))+$O$43+IFERROR(VALUE($L$43&amp;""),0)</f>
        <v>11</v>
      </c>
      <c r="E43" s="29"/>
      <c r="F43" s="29"/>
      <c r="G43" s="29"/>
      <c r="H43" s="29"/>
      <c r="I43" s="29"/>
      <c r="J43" s="29"/>
      <c r="K43" s="31"/>
      <c r="L43" s="139">
        <v>0.0</v>
      </c>
      <c r="M43" s="31"/>
      <c r="N43" s="8"/>
      <c r="O43" s="127">
        <f>IF($Z$43="",FLOOR(MIN(10,$O$57+MIN($O$57-1,IFERROR(VALUE($AO$40&amp;""),0)))/3,1)+1,IF(VLOOKUP($Z$43,DADOS!$AE$5:$AH$31,4,FALSE)="sim",0,FLOOR(MIN(10,$O$57+MIN($O$57-1,IFERROR(VALUE($AO$40&amp;""),0)))/3,1)+1)+VLOOKUP($Z$43,DADOS!$AE$5:$AH$31,2,FALSE))</f>
        <v>1</v>
      </c>
      <c r="P43" s="29"/>
      <c r="Q43" s="29"/>
      <c r="R43" s="29"/>
      <c r="S43" s="29"/>
      <c r="T43" s="29"/>
      <c r="U43" s="29"/>
      <c r="V43" s="29"/>
      <c r="W43" s="29"/>
      <c r="X43" s="31"/>
      <c r="Y43" s="8"/>
      <c r="Z43" s="110"/>
      <c r="AA43" s="29"/>
      <c r="AB43" s="29"/>
      <c r="AC43" s="29"/>
      <c r="AD43" s="29"/>
      <c r="AE43" s="29"/>
      <c r="AF43" s="29"/>
      <c r="AG43" s="29"/>
      <c r="AH43" s="29"/>
      <c r="AI43" s="31"/>
      <c r="AJ43" s="8"/>
      <c r="AK43" s="127" t="str">
        <f>"d20 + "&amp;($L$19+IFERROR(VALUE($AS$43&amp;""),0))</f>
        <v>d20 + 0</v>
      </c>
      <c r="AL43" s="29"/>
      <c r="AM43" s="29"/>
      <c r="AN43" s="29"/>
      <c r="AO43" s="29"/>
      <c r="AP43" s="29"/>
      <c r="AQ43" s="29"/>
      <c r="AR43" s="31"/>
      <c r="AS43" s="139">
        <v>0.0</v>
      </c>
      <c r="AT43" s="31"/>
    </row>
    <row r="44">
      <c r="B44" s="4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</row>
    <row r="45">
      <c r="B45" s="4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</row>
    <row r="46">
      <c r="B46" s="47"/>
      <c r="C46" s="8"/>
      <c r="D46" s="63" t="s">
        <v>488</v>
      </c>
      <c r="E46" s="29"/>
      <c r="F46" s="29"/>
      <c r="G46" s="29"/>
      <c r="H46" s="29"/>
      <c r="I46" s="29"/>
      <c r="J46" s="29"/>
      <c r="K46" s="31"/>
      <c r="L46" s="133" t="s">
        <v>443</v>
      </c>
      <c r="M46" s="31"/>
      <c r="N46" s="8"/>
      <c r="O46" s="63" t="s">
        <v>494</v>
      </c>
      <c r="P46" s="29"/>
      <c r="Q46" s="29"/>
      <c r="R46" s="29"/>
      <c r="S46" s="29"/>
      <c r="T46" s="29"/>
      <c r="U46" s="29"/>
      <c r="V46" s="31"/>
      <c r="W46" s="133" t="s">
        <v>443</v>
      </c>
      <c r="X46" s="31"/>
      <c r="Y46" s="8"/>
      <c r="Z46" s="63" t="s">
        <v>496</v>
      </c>
      <c r="AA46" s="29"/>
      <c r="AB46" s="29"/>
      <c r="AC46" s="29"/>
      <c r="AD46" s="29"/>
      <c r="AE46" s="29"/>
      <c r="AF46" s="29"/>
      <c r="AG46" s="31"/>
      <c r="AH46" s="133" t="s">
        <v>443</v>
      </c>
      <c r="AI46" s="31"/>
      <c r="AJ46" s="8"/>
      <c r="AK46" s="63" t="s">
        <v>499</v>
      </c>
      <c r="AL46" s="29"/>
      <c r="AM46" s="29"/>
      <c r="AN46" s="29"/>
      <c r="AO46" s="29"/>
      <c r="AP46" s="29"/>
      <c r="AQ46" s="29"/>
      <c r="AR46" s="31"/>
      <c r="AS46" s="133" t="s">
        <v>443</v>
      </c>
      <c r="AT46" s="31"/>
    </row>
    <row r="47" ht="21.0" customHeight="1">
      <c r="B47" s="47"/>
      <c r="C47" s="8"/>
      <c r="D47" s="127">
        <f>8+D51+IFS(Z51="FORÇA",$D$19, Z51="DESTREZA",$L$19, Z51="CONSTITUIÇÃO",$T$19, Z51="INTELIGÊNCIA",$AB$19, Z51="ESSÊNCIA",$AJ$19)+IFERROR(VALUE($L$47&amp;""),0)</f>
        <v>9</v>
      </c>
      <c r="E47" s="29"/>
      <c r="F47" s="29"/>
      <c r="G47" s="29"/>
      <c r="H47" s="29"/>
      <c r="I47" s="29"/>
      <c r="J47" s="29"/>
      <c r="K47" s="31"/>
      <c r="L47" s="139">
        <v>0.0</v>
      </c>
      <c r="M47" s="31"/>
      <c r="N47" s="8"/>
      <c r="O47" s="127" t="str">
        <f>"d20 + "&amp;(D51+IFS(Z51="FORÇA",$D$19, Z51="DESTREZA",$L$19, Z51="CONSTITUIÇÃO",$T$19, Z51="INTELIGÊNCIA",$AB$19, Z51="ESSÊNCIA",$AJ$19)+IFERROR(VALUE($W$47&amp;""),0))</f>
        <v>d20 + 1</v>
      </c>
      <c r="P47" s="29"/>
      <c r="Q47" s="29"/>
      <c r="R47" s="29"/>
      <c r="S47" s="29"/>
      <c r="T47" s="29"/>
      <c r="U47" s="29"/>
      <c r="V47" s="31"/>
      <c r="W47" s="139">
        <v>0.0</v>
      </c>
      <c r="X47" s="31"/>
      <c r="Y47" s="8"/>
      <c r="Z47" s="127" t="str">
        <f>"d20 + "&amp;(D51+IFS(AK51="FORÇA",$D$19, AK51="DESTREZA",$L$19, AK51="CONSTITUIÇÃO",$T$19, AK51="INTELIGÊNCIA",$AB$19, AK51="ESSÊNCIA",$AJ$19)+IFERROR(VALUE($AH$47&amp;""),0))</f>
        <v>d20 + 1</v>
      </c>
      <c r="AA47" s="29"/>
      <c r="AB47" s="29"/>
      <c r="AC47" s="29"/>
      <c r="AD47" s="29"/>
      <c r="AE47" s="29"/>
      <c r="AF47" s="29"/>
      <c r="AG47" s="31"/>
      <c r="AH47" s="139">
        <v>0.0</v>
      </c>
      <c r="AI47" s="31"/>
      <c r="AJ47" s="8"/>
      <c r="AK47" s="127" t="str">
        <f>"d20 + "&amp;(D51+IFS(AE54="FORÇA",$D$19, AE54="DESTREZA",$L$19, AE54="CONSTITUIÇÃO",$T$19, AE54="INTELIGÊNCIA",$AB$19, AE54="ESSÊNCIA",$AJ$19)+IFERROR(VALUE($AS$47&amp;""),0))</f>
        <v>d20 + 1</v>
      </c>
      <c r="AL47" s="29"/>
      <c r="AM47" s="29"/>
      <c r="AN47" s="29"/>
      <c r="AO47" s="29"/>
      <c r="AP47" s="29"/>
      <c r="AQ47" s="29"/>
      <c r="AR47" s="31"/>
      <c r="AS47" s="139">
        <v>0.0</v>
      </c>
      <c r="AT47" s="31"/>
    </row>
    <row r="48">
      <c r="B48" s="4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</row>
    <row r="49">
      <c r="B49" s="4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</row>
    <row r="50">
      <c r="B50" s="47"/>
      <c r="C50" s="8"/>
      <c r="D50" s="63" t="s">
        <v>408</v>
      </c>
      <c r="E50" s="29"/>
      <c r="F50" s="29"/>
      <c r="G50" s="29"/>
      <c r="H50" s="29"/>
      <c r="I50" s="29"/>
      <c r="J50" s="29"/>
      <c r="K50" s="29"/>
      <c r="L50" s="29"/>
      <c r="M50" s="31"/>
      <c r="N50" s="8"/>
      <c r="O50" s="63" t="s">
        <v>537</v>
      </c>
      <c r="P50" s="29"/>
      <c r="Q50" s="29"/>
      <c r="R50" s="29"/>
      <c r="S50" s="29"/>
      <c r="T50" s="29"/>
      <c r="U50" s="29"/>
      <c r="V50" s="31"/>
      <c r="W50" s="133" t="s">
        <v>443</v>
      </c>
      <c r="X50" s="31"/>
      <c r="Y50" s="8"/>
      <c r="Z50" s="63" t="s">
        <v>540</v>
      </c>
      <c r="AA50" s="29"/>
      <c r="AB50" s="29"/>
      <c r="AC50" s="29"/>
      <c r="AD50" s="29"/>
      <c r="AE50" s="29"/>
      <c r="AF50" s="29"/>
      <c r="AG50" s="29"/>
      <c r="AH50" s="29"/>
      <c r="AI50" s="31"/>
      <c r="AJ50" s="8"/>
      <c r="AK50" s="63" t="s">
        <v>542</v>
      </c>
      <c r="AL50" s="29"/>
      <c r="AM50" s="29"/>
      <c r="AN50" s="29"/>
      <c r="AO50" s="29"/>
      <c r="AP50" s="29"/>
      <c r="AQ50" s="29"/>
      <c r="AR50" s="29"/>
      <c r="AS50" s="29"/>
      <c r="AT50" s="31"/>
    </row>
    <row r="51" ht="21.0" customHeight="1">
      <c r="B51" s="47"/>
      <c r="C51" s="8"/>
      <c r="D51" s="127">
        <f>(1+COUNTIF(DADOS!$X$5:$X$7,"&lt;="&amp;$AH$11))</f>
        <v>1</v>
      </c>
      <c r="E51" s="29"/>
      <c r="F51" s="29"/>
      <c r="G51" s="29"/>
      <c r="H51" s="29"/>
      <c r="I51" s="29"/>
      <c r="J51" s="29"/>
      <c r="K51" s="29"/>
      <c r="L51" s="29"/>
      <c r="M51" s="31"/>
      <c r="N51" s="8"/>
      <c r="O51" s="127" t="str">
        <f>(9+IFERROR(VALUE($W$51&amp;""),0))&amp;" m"</f>
        <v>9 m</v>
      </c>
      <c r="P51" s="29"/>
      <c r="Q51" s="29"/>
      <c r="R51" s="29"/>
      <c r="S51" s="29"/>
      <c r="T51" s="29"/>
      <c r="U51" s="29"/>
      <c r="V51" s="31"/>
      <c r="W51" s="139">
        <v>0.0</v>
      </c>
      <c r="X51" s="31"/>
      <c r="Y51" s="8"/>
      <c r="Z51" s="138" t="s">
        <v>554</v>
      </c>
      <c r="AA51" s="29"/>
      <c r="AB51" s="29"/>
      <c r="AC51" s="29"/>
      <c r="AD51" s="29"/>
      <c r="AE51" s="29"/>
      <c r="AF51" s="29"/>
      <c r="AG51" s="29"/>
      <c r="AH51" s="29"/>
      <c r="AI51" s="31"/>
      <c r="AJ51" s="8"/>
      <c r="AK51" s="138" t="s">
        <v>556</v>
      </c>
      <c r="AL51" s="29"/>
      <c r="AM51" s="29"/>
      <c r="AN51" s="29"/>
      <c r="AO51" s="29"/>
      <c r="AP51" s="29"/>
      <c r="AQ51" s="29"/>
      <c r="AR51" s="29"/>
      <c r="AS51" s="29"/>
      <c r="AT51" s="31"/>
    </row>
    <row r="52">
      <c r="A52" s="11"/>
      <c r="B52" s="53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</row>
    <row r="53">
      <c r="A53" s="11"/>
      <c r="B53" s="53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63" t="s">
        <v>561</v>
      </c>
      <c r="AF53" s="29"/>
      <c r="AG53" s="29"/>
      <c r="AH53" s="29"/>
      <c r="AI53" s="29"/>
      <c r="AJ53" s="29"/>
      <c r="AK53" s="29"/>
      <c r="AL53" s="29"/>
      <c r="AM53" s="29"/>
      <c r="AN53" s="29"/>
      <c r="AO53" s="31"/>
      <c r="AP53" s="8"/>
      <c r="AQ53" s="8"/>
      <c r="AR53" s="8"/>
      <c r="AS53" s="8"/>
      <c r="AT53" s="8"/>
    </row>
    <row r="54" ht="27.0" customHeight="1">
      <c r="A54" s="11"/>
      <c r="B54" s="53"/>
      <c r="C54" s="8"/>
      <c r="D54" s="86">
        <v>4.0</v>
      </c>
      <c r="E54" s="10"/>
      <c r="F54" s="14"/>
      <c r="G54" s="119" t="s">
        <v>566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31"/>
      <c r="Y54" s="8"/>
      <c r="Z54" s="8"/>
      <c r="AA54" s="8"/>
      <c r="AB54" s="8"/>
      <c r="AC54" s="8"/>
      <c r="AD54" s="8"/>
      <c r="AE54" s="138" t="s">
        <v>568</v>
      </c>
      <c r="AF54" s="29"/>
      <c r="AG54" s="29"/>
      <c r="AH54" s="29"/>
      <c r="AI54" s="29"/>
      <c r="AJ54" s="29"/>
      <c r="AK54" s="29"/>
      <c r="AL54" s="29"/>
      <c r="AM54" s="29"/>
      <c r="AN54" s="29"/>
      <c r="AO54" s="31"/>
      <c r="AP54" s="8"/>
      <c r="AQ54" s="8"/>
      <c r="AR54" s="8"/>
      <c r="AS54" s="8"/>
      <c r="AT54" s="8"/>
    </row>
    <row r="55">
      <c r="A55" s="11"/>
      <c r="B55" s="53"/>
      <c r="C55" s="8"/>
      <c r="D55" s="16"/>
      <c r="E55" s="17"/>
      <c r="F55" s="1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</row>
    <row r="56">
      <c r="A56" s="11"/>
      <c r="B56" s="53"/>
      <c r="C56" s="8"/>
      <c r="D56" s="63" t="s">
        <v>572</v>
      </c>
      <c r="E56" s="29"/>
      <c r="F56" s="29"/>
      <c r="G56" s="29"/>
      <c r="H56" s="29"/>
      <c r="I56" s="29"/>
      <c r="J56" s="29"/>
      <c r="K56" s="29"/>
      <c r="L56" s="29"/>
      <c r="M56" s="31"/>
      <c r="N56" s="8"/>
      <c r="O56" s="63" t="s">
        <v>574</v>
      </c>
      <c r="P56" s="29"/>
      <c r="Q56" s="29"/>
      <c r="R56" s="29"/>
      <c r="S56" s="29"/>
      <c r="T56" s="29"/>
      <c r="U56" s="29"/>
      <c r="V56" s="29"/>
      <c r="W56" s="29"/>
      <c r="X56" s="31"/>
      <c r="Y56" s="8"/>
      <c r="Z56" s="63" t="s">
        <v>578</v>
      </c>
      <c r="AA56" s="29"/>
      <c r="AB56" s="29"/>
      <c r="AC56" s="29"/>
      <c r="AD56" s="29"/>
      <c r="AE56" s="29"/>
      <c r="AF56" s="29"/>
      <c r="AG56" s="29"/>
      <c r="AH56" s="29"/>
      <c r="AI56" s="31"/>
      <c r="AJ56" s="8"/>
      <c r="AK56" s="63" t="s">
        <v>580</v>
      </c>
      <c r="AL56" s="29"/>
      <c r="AM56" s="29"/>
      <c r="AN56" s="29"/>
      <c r="AO56" s="29"/>
      <c r="AP56" s="29"/>
      <c r="AQ56" s="29"/>
      <c r="AR56" s="29"/>
      <c r="AS56" s="29"/>
      <c r="AT56" s="31"/>
    </row>
    <row r="57" ht="21.0" customHeight="1">
      <c r="A57" s="11"/>
      <c r="B57" s="53"/>
      <c r="C57" s="8"/>
      <c r="D57" s="127">
        <f>2+INT($AH$11/2)+COUNTIF(DADOS!$W$5:$W$11,"&lt;="&amp;$AH$11)+IFERROR(VALUE($AS$40&amp;""),0)</f>
        <v>3</v>
      </c>
      <c r="E57" s="29"/>
      <c r="F57" s="29"/>
      <c r="G57" s="29"/>
      <c r="H57" s="29"/>
      <c r="I57" s="29"/>
      <c r="J57" s="29"/>
      <c r="K57" s="29"/>
      <c r="L57" s="29"/>
      <c r="M57" s="31"/>
      <c r="N57" s="8"/>
      <c r="O57" s="127">
        <f>(1+COUNTIF(DADOS!$W$5:$W$11,"&lt;="&amp;$AH$11))</f>
        <v>1</v>
      </c>
      <c r="P57" s="29"/>
      <c r="Q57" s="29"/>
      <c r="R57" s="29"/>
      <c r="S57" s="29"/>
      <c r="T57" s="29"/>
      <c r="U57" s="29"/>
      <c r="V57" s="29"/>
      <c r="W57" s="29"/>
      <c r="X57" s="31"/>
      <c r="Y57" s="8"/>
      <c r="Z57" s="127">
        <f>COUNTIF(DADOS!$Y$5:$Y$11,"&lt;="&amp;$AH$11)</f>
        <v>1</v>
      </c>
      <c r="AA57" s="29"/>
      <c r="AB57" s="29"/>
      <c r="AC57" s="29"/>
      <c r="AD57" s="29"/>
      <c r="AE57" s="29"/>
      <c r="AF57" s="29"/>
      <c r="AG57" s="29"/>
      <c r="AH57" s="29"/>
      <c r="AI57" s="31"/>
      <c r="AJ57" s="8"/>
      <c r="AK57" s="127">
        <f>2+COUNTIF(DADOS!$Z$5:$Z$7,"&lt;="&amp;$AH$11)</f>
        <v>2</v>
      </c>
      <c r="AL57" s="29"/>
      <c r="AM57" s="29"/>
      <c r="AN57" s="29"/>
      <c r="AO57" s="29"/>
      <c r="AP57" s="29"/>
      <c r="AQ57" s="29"/>
      <c r="AR57" s="29"/>
      <c r="AS57" s="29"/>
      <c r="AT57" s="31"/>
    </row>
    <row r="58">
      <c r="A58" s="11"/>
      <c r="B58" s="53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</row>
    <row r="59">
      <c r="A59" s="11"/>
      <c r="B59" s="53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</row>
    <row r="60" ht="27.0" customHeight="1">
      <c r="A60" s="11"/>
      <c r="B60" s="53"/>
      <c r="C60" s="8"/>
      <c r="D60" s="86">
        <v>5.0</v>
      </c>
      <c r="E60" s="10"/>
      <c r="F60" s="14"/>
      <c r="G60" s="119" t="s">
        <v>150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31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</row>
    <row r="61">
      <c r="A61" s="11"/>
      <c r="B61" s="53"/>
      <c r="C61" s="8"/>
      <c r="D61" s="46"/>
      <c r="F61" s="47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153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</row>
    <row r="62">
      <c r="A62" s="11"/>
      <c r="B62" s="53"/>
      <c r="C62" s="8"/>
      <c r="D62" s="16"/>
      <c r="E62" s="17"/>
      <c r="F62" s="1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155" t="s">
        <v>606</v>
      </c>
      <c r="U62" s="155" t="s">
        <v>611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153"/>
      <c r="AG62" s="8"/>
      <c r="AH62" s="155" t="s">
        <v>587</v>
      </c>
      <c r="AI62" s="8"/>
      <c r="AJ62" s="8"/>
      <c r="AK62" s="63" t="s">
        <v>614</v>
      </c>
      <c r="AL62" s="29"/>
      <c r="AM62" s="29"/>
      <c r="AN62" s="29"/>
      <c r="AO62" s="29"/>
      <c r="AP62" s="29"/>
      <c r="AQ62" s="29"/>
      <c r="AR62" s="29"/>
      <c r="AS62" s="29"/>
      <c r="AT62" s="31"/>
    </row>
    <row r="63">
      <c r="A63" s="11"/>
      <c r="B63" s="53"/>
      <c r="C63" s="8"/>
      <c r="D63" s="155" t="s">
        <v>606</v>
      </c>
      <c r="E63" s="155" t="s">
        <v>611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155" t="s">
        <v>587</v>
      </c>
      <c r="S63" s="8"/>
      <c r="T63" s="159" t="b">
        <v>0</v>
      </c>
      <c r="U63" s="159" t="b">
        <v>0</v>
      </c>
      <c r="V63" s="160" t="s">
        <v>257</v>
      </c>
      <c r="W63" s="29"/>
      <c r="X63" s="29"/>
      <c r="Y63" s="29"/>
      <c r="Z63" s="29"/>
      <c r="AA63" s="29"/>
      <c r="AB63" s="29"/>
      <c r="AC63" s="31"/>
      <c r="AD63" s="164" t="s">
        <v>638</v>
      </c>
      <c r="AE63" s="31"/>
      <c r="AF63" s="166">
        <f t="shared" ref="AF63:AF67" si="1">$AB$19 + IF(U63, $D$51 + INT($D$51 / 2), IF(T63, $D$51, 0)) + AH63</f>
        <v>0</v>
      </c>
      <c r="AG63" s="31"/>
      <c r="AH63" s="167"/>
      <c r="AI63" s="8"/>
      <c r="AJ63" s="8"/>
      <c r="AK63" s="169" t="str">
        <f>IF(FICHA!$D$11="Escolha seu Caminho","—",IF(OR(FICHA!$D$11="Bastião",FICHA!$D$11="Vanguarda"),"Treinado em Todas as Armas","Treinado em Arma de Fogo e Balestra"))</f>
        <v>—</v>
      </c>
      <c r="AL63" s="10"/>
      <c r="AM63" s="10"/>
      <c r="AN63" s="10"/>
      <c r="AO63" s="10"/>
      <c r="AP63" s="10"/>
      <c r="AQ63" s="10"/>
      <c r="AR63" s="10"/>
      <c r="AS63" s="10"/>
      <c r="AT63" s="14"/>
    </row>
    <row r="64">
      <c r="A64" s="11"/>
      <c r="B64" s="53"/>
      <c r="C64" s="8"/>
      <c r="D64" s="159" t="b">
        <v>0</v>
      </c>
      <c r="E64" s="159" t="b">
        <v>0</v>
      </c>
      <c r="F64" s="160" t="s">
        <v>23</v>
      </c>
      <c r="G64" s="29"/>
      <c r="H64" s="29"/>
      <c r="I64" s="29"/>
      <c r="J64" s="29"/>
      <c r="K64" s="29"/>
      <c r="L64" s="29"/>
      <c r="M64" s="31"/>
      <c r="N64" s="164" t="s">
        <v>658</v>
      </c>
      <c r="O64" s="31"/>
      <c r="P64" s="166">
        <f>$D$19 + IF(E64, $D$51 + INT($D$51 / 2), IF(D64, $D$51, 0)) + R64</f>
        <v>0</v>
      </c>
      <c r="Q64" s="31"/>
      <c r="R64" s="167"/>
      <c r="S64" s="8"/>
      <c r="T64" s="159" t="b">
        <v>0</v>
      </c>
      <c r="U64" s="159" t="b">
        <v>0</v>
      </c>
      <c r="V64" s="160" t="s">
        <v>254</v>
      </c>
      <c r="W64" s="29"/>
      <c r="X64" s="29"/>
      <c r="Y64" s="29"/>
      <c r="Z64" s="29"/>
      <c r="AA64" s="29"/>
      <c r="AB64" s="29"/>
      <c r="AC64" s="31"/>
      <c r="AD64" s="164" t="s">
        <v>638</v>
      </c>
      <c r="AE64" s="31"/>
      <c r="AF64" s="166">
        <f t="shared" si="1"/>
        <v>0</v>
      </c>
      <c r="AG64" s="31"/>
      <c r="AH64" s="167"/>
      <c r="AI64" s="8"/>
      <c r="AJ64" s="8"/>
      <c r="AK64" s="16"/>
      <c r="AL64" s="17"/>
      <c r="AM64" s="17"/>
      <c r="AN64" s="17"/>
      <c r="AO64" s="17"/>
      <c r="AP64" s="17"/>
      <c r="AQ64" s="17"/>
      <c r="AR64" s="17"/>
      <c r="AS64" s="17"/>
      <c r="AT64" s="18"/>
    </row>
    <row r="65">
      <c r="A65" s="11"/>
      <c r="B65" s="53"/>
      <c r="C65" s="8"/>
      <c r="D65" s="159" t="b">
        <v>0</v>
      </c>
      <c r="E65" s="159" t="b">
        <v>0</v>
      </c>
      <c r="F65" s="160" t="s">
        <v>65</v>
      </c>
      <c r="G65" s="29"/>
      <c r="H65" s="29"/>
      <c r="I65" s="29"/>
      <c r="J65" s="29"/>
      <c r="K65" s="29"/>
      <c r="L65" s="29"/>
      <c r="M65" s="31"/>
      <c r="N65" s="164" t="s">
        <v>667</v>
      </c>
      <c r="O65" s="31"/>
      <c r="P65" s="166">
        <f t="shared" ref="P65:P68" si="2">$L$19 + IF(E65, $D$51 + INT($D$51 / 2), IF(D65, $D$51, 0)) + R65</f>
        <v>0</v>
      </c>
      <c r="Q65" s="31"/>
      <c r="R65" s="167"/>
      <c r="S65" s="8"/>
      <c r="T65" s="159" t="b">
        <v>0</v>
      </c>
      <c r="U65" s="159" t="b">
        <v>0</v>
      </c>
      <c r="V65" s="160" t="s">
        <v>147</v>
      </c>
      <c r="W65" s="29"/>
      <c r="X65" s="29"/>
      <c r="Y65" s="29"/>
      <c r="Z65" s="29"/>
      <c r="AA65" s="29"/>
      <c r="AB65" s="29"/>
      <c r="AC65" s="31"/>
      <c r="AD65" s="164" t="s">
        <v>638</v>
      </c>
      <c r="AE65" s="31"/>
      <c r="AF65" s="166">
        <f t="shared" si="1"/>
        <v>0</v>
      </c>
      <c r="AG65" s="31"/>
      <c r="AH65" s="167"/>
      <c r="AI65" s="8"/>
      <c r="AJ65" s="8"/>
      <c r="AK65" s="170" t="s">
        <v>675</v>
      </c>
      <c r="AL65" s="10"/>
      <c r="AM65" s="10"/>
      <c r="AN65" s="10"/>
      <c r="AO65" s="10"/>
      <c r="AP65" s="10"/>
      <c r="AQ65" s="10"/>
      <c r="AR65" s="10"/>
      <c r="AS65" s="10"/>
      <c r="AT65" s="14"/>
    </row>
    <row r="66">
      <c r="A66" s="11"/>
      <c r="B66" s="53"/>
      <c r="C66" s="8"/>
      <c r="D66" s="159" t="b">
        <v>0</v>
      </c>
      <c r="E66" s="159" t="b">
        <v>0</v>
      </c>
      <c r="F66" s="160" t="s">
        <v>91</v>
      </c>
      <c r="G66" s="29"/>
      <c r="H66" s="29"/>
      <c r="I66" s="29"/>
      <c r="J66" s="29"/>
      <c r="K66" s="29"/>
      <c r="L66" s="29"/>
      <c r="M66" s="31"/>
      <c r="N66" s="164" t="s">
        <v>667</v>
      </c>
      <c r="O66" s="31"/>
      <c r="P66" s="166">
        <f t="shared" si="2"/>
        <v>0</v>
      </c>
      <c r="Q66" s="31"/>
      <c r="R66" s="167"/>
      <c r="S66" s="8"/>
      <c r="T66" s="159" t="b">
        <v>0</v>
      </c>
      <c r="U66" s="159" t="b">
        <v>0</v>
      </c>
      <c r="V66" s="160" t="s">
        <v>294</v>
      </c>
      <c r="W66" s="29"/>
      <c r="X66" s="29"/>
      <c r="Y66" s="29"/>
      <c r="Z66" s="29"/>
      <c r="AA66" s="29"/>
      <c r="AB66" s="29"/>
      <c r="AC66" s="31"/>
      <c r="AD66" s="164" t="s">
        <v>638</v>
      </c>
      <c r="AE66" s="31"/>
      <c r="AF66" s="166">
        <f t="shared" si="1"/>
        <v>0</v>
      </c>
      <c r="AG66" s="31"/>
      <c r="AH66" s="167"/>
      <c r="AI66" s="8"/>
      <c r="AJ66" s="8"/>
      <c r="AK66" s="16"/>
      <c r="AL66" s="17"/>
      <c r="AM66" s="17"/>
      <c r="AN66" s="17"/>
      <c r="AO66" s="17"/>
      <c r="AP66" s="17"/>
      <c r="AQ66" s="17"/>
      <c r="AR66" s="17"/>
      <c r="AS66" s="17"/>
      <c r="AT66" s="18"/>
    </row>
    <row r="67">
      <c r="A67" s="11"/>
      <c r="B67" s="53"/>
      <c r="C67" s="8"/>
      <c r="D67" s="159" t="b">
        <v>0</v>
      </c>
      <c r="E67" s="159" t="b">
        <v>0</v>
      </c>
      <c r="F67" s="160" t="s">
        <v>110</v>
      </c>
      <c r="G67" s="29"/>
      <c r="H67" s="29"/>
      <c r="I67" s="29"/>
      <c r="J67" s="29"/>
      <c r="K67" s="29"/>
      <c r="L67" s="29"/>
      <c r="M67" s="31"/>
      <c r="N67" s="164" t="s">
        <v>667</v>
      </c>
      <c r="O67" s="31"/>
      <c r="P67" s="166">
        <f t="shared" si="2"/>
        <v>0</v>
      </c>
      <c r="Q67" s="31"/>
      <c r="R67" s="167"/>
      <c r="S67" s="8"/>
      <c r="T67" s="159" t="b">
        <v>0</v>
      </c>
      <c r="U67" s="159" t="b">
        <v>0</v>
      </c>
      <c r="V67" s="160" t="s">
        <v>122</v>
      </c>
      <c r="W67" s="29"/>
      <c r="X67" s="29"/>
      <c r="Y67" s="29"/>
      <c r="Z67" s="29"/>
      <c r="AA67" s="29"/>
      <c r="AB67" s="29"/>
      <c r="AC67" s="31"/>
      <c r="AD67" s="164" t="s">
        <v>638</v>
      </c>
      <c r="AE67" s="31"/>
      <c r="AF67" s="166">
        <f t="shared" si="1"/>
        <v>0</v>
      </c>
      <c r="AG67" s="31"/>
      <c r="AH67" s="167"/>
      <c r="AI67" s="8"/>
      <c r="AJ67" s="8"/>
      <c r="AK67" s="171" t="str">
        <f>IF(AK65="Não trocou","Anotações e Equipamentos","Treinamentos Extras")</f>
        <v>Anotações e Equipamentos</v>
      </c>
      <c r="AL67" s="10"/>
      <c r="AM67" s="10"/>
      <c r="AN67" s="10"/>
      <c r="AO67" s="10"/>
      <c r="AP67" s="10"/>
      <c r="AQ67" s="10"/>
      <c r="AR67" s="10"/>
      <c r="AS67" s="10"/>
      <c r="AT67" s="14"/>
    </row>
    <row r="68">
      <c r="A68" s="11"/>
      <c r="B68" s="53"/>
      <c r="C68" s="8"/>
      <c r="D68" s="159" t="b">
        <v>0</v>
      </c>
      <c r="E68" s="159" t="b">
        <v>0</v>
      </c>
      <c r="F68" s="160" t="s">
        <v>136</v>
      </c>
      <c r="G68" s="29"/>
      <c r="H68" s="29"/>
      <c r="I68" s="29"/>
      <c r="J68" s="29"/>
      <c r="K68" s="29"/>
      <c r="L68" s="29"/>
      <c r="M68" s="31"/>
      <c r="N68" s="164" t="s">
        <v>667</v>
      </c>
      <c r="O68" s="31"/>
      <c r="P68" s="166">
        <f t="shared" si="2"/>
        <v>0</v>
      </c>
      <c r="Q68" s="31"/>
      <c r="R68" s="167"/>
      <c r="S68" s="8"/>
      <c r="T68" s="159" t="b">
        <v>0</v>
      </c>
      <c r="U68" s="159" t="b">
        <v>0</v>
      </c>
      <c r="V68" s="160" t="s">
        <v>297</v>
      </c>
      <c r="W68" s="29"/>
      <c r="X68" s="29"/>
      <c r="Y68" s="29"/>
      <c r="Z68" s="29"/>
      <c r="AA68" s="29"/>
      <c r="AB68" s="29"/>
      <c r="AC68" s="31"/>
      <c r="AD68" s="164" t="s">
        <v>655</v>
      </c>
      <c r="AE68" s="31"/>
      <c r="AF68" s="166">
        <f t="shared" ref="AF68:AF74" si="3">$AJ$19 + IF(U68, $D$51 + INT($D$51 / 2), IF(T68, $D$51, 0)) + AH68</f>
        <v>0</v>
      </c>
      <c r="AG68" s="31"/>
      <c r="AH68" s="167"/>
      <c r="AI68" s="8"/>
      <c r="AJ68" s="8"/>
      <c r="AK68" s="16"/>
      <c r="AL68" s="17"/>
      <c r="AM68" s="17"/>
      <c r="AN68" s="17"/>
      <c r="AO68" s="17"/>
      <c r="AP68" s="17"/>
      <c r="AQ68" s="17"/>
      <c r="AR68" s="17"/>
      <c r="AS68" s="17"/>
      <c r="AT68" s="18"/>
    </row>
    <row r="69">
      <c r="A69" s="11"/>
      <c r="B69" s="53"/>
      <c r="C69" s="8"/>
      <c r="D69" s="159" t="b">
        <v>0</v>
      </c>
      <c r="E69" s="159" t="b">
        <v>0</v>
      </c>
      <c r="F69" s="160" t="s">
        <v>153</v>
      </c>
      <c r="G69" s="29"/>
      <c r="H69" s="29"/>
      <c r="I69" s="29"/>
      <c r="J69" s="29"/>
      <c r="K69" s="29"/>
      <c r="L69" s="29"/>
      <c r="M69" s="31"/>
      <c r="N69" s="164" t="s">
        <v>638</v>
      </c>
      <c r="O69" s="31"/>
      <c r="P69" s="166">
        <f t="shared" ref="P69:P74" si="4">$AB$19 + IF(E69, $D$51 + INT($D$51 / 2), IF(D69, $D$51, 0)) + R69</f>
        <v>0</v>
      </c>
      <c r="Q69" s="31"/>
      <c r="R69" s="167"/>
      <c r="S69" s="8"/>
      <c r="T69" s="159" t="b">
        <v>0</v>
      </c>
      <c r="U69" s="159" t="b">
        <v>0</v>
      </c>
      <c r="V69" s="160" t="s">
        <v>104</v>
      </c>
      <c r="W69" s="29"/>
      <c r="X69" s="29"/>
      <c r="Y69" s="29"/>
      <c r="Z69" s="29"/>
      <c r="AA69" s="29"/>
      <c r="AB69" s="29"/>
      <c r="AC69" s="31"/>
      <c r="AD69" s="164" t="s">
        <v>655</v>
      </c>
      <c r="AE69" s="31"/>
      <c r="AF69" s="166">
        <f t="shared" si="3"/>
        <v>0</v>
      </c>
      <c r="AG69" s="31"/>
      <c r="AH69" s="167"/>
      <c r="AI69" s="8"/>
      <c r="AJ69" s="8"/>
      <c r="AK69" s="173"/>
      <c r="AL69" s="10"/>
      <c r="AM69" s="10"/>
      <c r="AN69" s="10"/>
      <c r="AO69" s="10"/>
      <c r="AP69" s="10"/>
      <c r="AQ69" s="10"/>
      <c r="AR69" s="10"/>
      <c r="AS69" s="10"/>
      <c r="AT69" s="14"/>
    </row>
    <row r="70">
      <c r="A70" s="11"/>
      <c r="B70" s="53"/>
      <c r="C70" s="8"/>
      <c r="D70" s="159" t="b">
        <v>0</v>
      </c>
      <c r="E70" s="159" t="b">
        <v>0</v>
      </c>
      <c r="F70" s="160" t="s">
        <v>171</v>
      </c>
      <c r="G70" s="29"/>
      <c r="H70" s="29"/>
      <c r="I70" s="29"/>
      <c r="J70" s="29"/>
      <c r="K70" s="29"/>
      <c r="L70" s="29"/>
      <c r="M70" s="31"/>
      <c r="N70" s="164" t="s">
        <v>638</v>
      </c>
      <c r="O70" s="31"/>
      <c r="P70" s="166">
        <f t="shared" si="4"/>
        <v>0</v>
      </c>
      <c r="Q70" s="31"/>
      <c r="R70" s="167"/>
      <c r="S70" s="8"/>
      <c r="T70" s="159" t="b">
        <v>0</v>
      </c>
      <c r="U70" s="159" t="b">
        <v>0</v>
      </c>
      <c r="V70" s="160" t="s">
        <v>121</v>
      </c>
      <c r="W70" s="29"/>
      <c r="X70" s="29"/>
      <c r="Y70" s="29"/>
      <c r="Z70" s="29"/>
      <c r="AA70" s="29"/>
      <c r="AB70" s="29"/>
      <c r="AC70" s="31"/>
      <c r="AD70" s="164" t="s">
        <v>655</v>
      </c>
      <c r="AE70" s="31"/>
      <c r="AF70" s="166">
        <f t="shared" si="3"/>
        <v>0</v>
      </c>
      <c r="AG70" s="31"/>
      <c r="AH70" s="167"/>
      <c r="AI70" s="8"/>
      <c r="AJ70" s="8"/>
      <c r="AK70" s="16"/>
      <c r="AL70" s="17"/>
      <c r="AM70" s="17"/>
      <c r="AN70" s="17"/>
      <c r="AO70" s="17"/>
      <c r="AP70" s="17"/>
      <c r="AQ70" s="17"/>
      <c r="AR70" s="17"/>
      <c r="AS70" s="17"/>
      <c r="AT70" s="18"/>
    </row>
    <row r="71">
      <c r="A71" s="11"/>
      <c r="B71" s="53"/>
      <c r="C71" s="8"/>
      <c r="D71" s="159" t="b">
        <v>0</v>
      </c>
      <c r="E71" s="159" t="b">
        <v>0</v>
      </c>
      <c r="F71" s="160" t="s">
        <v>162</v>
      </c>
      <c r="G71" s="29"/>
      <c r="H71" s="29"/>
      <c r="I71" s="29"/>
      <c r="J71" s="29"/>
      <c r="K71" s="29"/>
      <c r="L71" s="29"/>
      <c r="M71" s="31"/>
      <c r="N71" s="164" t="s">
        <v>638</v>
      </c>
      <c r="O71" s="31"/>
      <c r="P71" s="166">
        <f t="shared" si="4"/>
        <v>0</v>
      </c>
      <c r="Q71" s="31"/>
      <c r="R71" s="167"/>
      <c r="S71" s="8"/>
      <c r="T71" s="159" t="b">
        <v>0</v>
      </c>
      <c r="U71" s="159" t="b">
        <v>0</v>
      </c>
      <c r="V71" s="160" t="s">
        <v>196</v>
      </c>
      <c r="W71" s="29"/>
      <c r="X71" s="29"/>
      <c r="Y71" s="29"/>
      <c r="Z71" s="29"/>
      <c r="AA71" s="29"/>
      <c r="AB71" s="29"/>
      <c r="AC71" s="31"/>
      <c r="AD71" s="164" t="s">
        <v>655</v>
      </c>
      <c r="AE71" s="31"/>
      <c r="AF71" s="166">
        <f t="shared" si="3"/>
        <v>0</v>
      </c>
      <c r="AG71" s="31"/>
      <c r="AH71" s="167"/>
      <c r="AI71" s="8"/>
      <c r="AJ71" s="8"/>
      <c r="AK71" s="8"/>
      <c r="AL71" s="8"/>
      <c r="AM71" s="8"/>
    </row>
    <row r="72">
      <c r="A72" s="11"/>
      <c r="B72" s="53"/>
      <c r="C72" s="8"/>
      <c r="D72" s="159" t="b">
        <v>0</v>
      </c>
      <c r="E72" s="159" t="b">
        <v>0</v>
      </c>
      <c r="F72" s="160" t="s">
        <v>146</v>
      </c>
      <c r="G72" s="29"/>
      <c r="H72" s="29"/>
      <c r="I72" s="29"/>
      <c r="J72" s="29"/>
      <c r="K72" s="29"/>
      <c r="L72" s="29"/>
      <c r="M72" s="31"/>
      <c r="N72" s="164" t="s">
        <v>638</v>
      </c>
      <c r="O72" s="31"/>
      <c r="P72" s="166">
        <f t="shared" si="4"/>
        <v>0</v>
      </c>
      <c r="Q72" s="31"/>
      <c r="R72" s="167"/>
      <c r="S72" s="8"/>
      <c r="T72" s="159" t="b">
        <v>0</v>
      </c>
      <c r="U72" s="159" t="b">
        <v>0</v>
      </c>
      <c r="V72" s="160" t="s">
        <v>77</v>
      </c>
      <c r="W72" s="29"/>
      <c r="X72" s="29"/>
      <c r="Y72" s="29"/>
      <c r="Z72" s="29"/>
      <c r="AA72" s="29"/>
      <c r="AB72" s="29"/>
      <c r="AC72" s="31"/>
      <c r="AD72" s="164" t="s">
        <v>655</v>
      </c>
      <c r="AE72" s="31"/>
      <c r="AF72" s="166">
        <f t="shared" si="3"/>
        <v>0</v>
      </c>
      <c r="AG72" s="31"/>
      <c r="AH72" s="167"/>
      <c r="AI72" s="8"/>
      <c r="AJ72" s="8"/>
      <c r="AK72" s="63" t="s">
        <v>719</v>
      </c>
      <c r="AL72" s="29"/>
      <c r="AM72" s="29"/>
      <c r="AN72" s="29"/>
      <c r="AO72" s="29"/>
      <c r="AP72" s="29"/>
      <c r="AQ72" s="29"/>
      <c r="AR72" s="29"/>
      <c r="AS72" s="29"/>
      <c r="AT72" s="31"/>
    </row>
    <row r="73">
      <c r="A73" s="11"/>
      <c r="B73" s="53"/>
      <c r="C73" s="8"/>
      <c r="D73" s="159" t="b">
        <v>0</v>
      </c>
      <c r="E73" s="159" t="b">
        <v>0</v>
      </c>
      <c r="F73" s="160" t="s">
        <v>216</v>
      </c>
      <c r="G73" s="29"/>
      <c r="H73" s="29"/>
      <c r="I73" s="29"/>
      <c r="J73" s="29"/>
      <c r="K73" s="29"/>
      <c r="L73" s="29"/>
      <c r="M73" s="31"/>
      <c r="N73" s="164" t="s">
        <v>638</v>
      </c>
      <c r="O73" s="31"/>
      <c r="P73" s="166">
        <f t="shared" si="4"/>
        <v>0</v>
      </c>
      <c r="Q73" s="31"/>
      <c r="R73" s="167"/>
      <c r="S73" s="8"/>
      <c r="T73" s="159" t="b">
        <v>0</v>
      </c>
      <c r="U73" s="159" t="b">
        <v>0</v>
      </c>
      <c r="V73" s="160" t="s">
        <v>186</v>
      </c>
      <c r="W73" s="29"/>
      <c r="X73" s="29"/>
      <c r="Y73" s="29"/>
      <c r="Z73" s="29"/>
      <c r="AA73" s="29"/>
      <c r="AB73" s="29"/>
      <c r="AC73" s="31"/>
      <c r="AD73" s="164" t="s">
        <v>655</v>
      </c>
      <c r="AE73" s="31"/>
      <c r="AF73" s="166">
        <f t="shared" si="3"/>
        <v>0</v>
      </c>
      <c r="AG73" s="31"/>
      <c r="AH73" s="167"/>
      <c r="AI73" s="8"/>
      <c r="AJ73" s="8"/>
      <c r="AK73" s="169" t="str">
        <f>IF(AND(DADOS!$AK$15&gt;0,$AH$11&lt;10),"Especialização só no nível 10",IF(DADOS!$AK$24&gt;0,DADOS!$AK$24&amp;" a mais",DADOS!$AK$19+DADOS!$AK$21-DADOS!$AK$13&amp;" de "&amp;(DADOS!$AK$19+DADOS!$AK$21)))</f>
        <v>9 de 9</v>
      </c>
      <c r="AL73" s="10"/>
      <c r="AM73" s="10"/>
      <c r="AN73" s="10"/>
      <c r="AO73" s="10"/>
      <c r="AP73" s="10"/>
      <c r="AQ73" s="10"/>
      <c r="AR73" s="10"/>
      <c r="AS73" s="10"/>
      <c r="AT73" s="14"/>
    </row>
    <row r="74">
      <c r="A74" s="11"/>
      <c r="B74" s="53"/>
      <c r="C74" s="8"/>
      <c r="D74" s="159" t="b">
        <v>0</v>
      </c>
      <c r="E74" s="159" t="b">
        <v>0</v>
      </c>
      <c r="F74" s="160" t="s">
        <v>204</v>
      </c>
      <c r="G74" s="29"/>
      <c r="H74" s="29"/>
      <c r="I74" s="29"/>
      <c r="J74" s="29"/>
      <c r="K74" s="29"/>
      <c r="L74" s="29"/>
      <c r="M74" s="31"/>
      <c r="N74" s="164" t="s">
        <v>638</v>
      </c>
      <c r="O74" s="31"/>
      <c r="P74" s="166">
        <f t="shared" si="4"/>
        <v>0</v>
      </c>
      <c r="Q74" s="31"/>
      <c r="R74" s="167"/>
      <c r="S74" s="153"/>
      <c r="T74" s="159" t="b">
        <v>0</v>
      </c>
      <c r="U74" s="159" t="b">
        <v>0</v>
      </c>
      <c r="V74" s="160" t="s">
        <v>290</v>
      </c>
      <c r="W74" s="29"/>
      <c r="X74" s="29"/>
      <c r="Y74" s="29"/>
      <c r="Z74" s="29"/>
      <c r="AA74" s="29"/>
      <c r="AB74" s="29"/>
      <c r="AC74" s="31"/>
      <c r="AD74" s="164" t="s">
        <v>655</v>
      </c>
      <c r="AE74" s="31"/>
      <c r="AF74" s="166">
        <f t="shared" si="3"/>
        <v>0</v>
      </c>
      <c r="AG74" s="31"/>
      <c r="AH74" s="167"/>
      <c r="AI74" s="8"/>
      <c r="AJ74" s="8"/>
      <c r="AK74" s="16"/>
      <c r="AL74" s="17"/>
      <c r="AM74" s="17"/>
      <c r="AN74" s="17"/>
      <c r="AO74" s="17"/>
      <c r="AP74" s="17"/>
      <c r="AQ74" s="17"/>
      <c r="AR74" s="17"/>
      <c r="AS74" s="17"/>
      <c r="AT74" s="18"/>
    </row>
    <row r="75">
      <c r="A75" s="11"/>
      <c r="B75" s="53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</row>
    <row r="76" ht="27.0" customHeight="1">
      <c r="A76" s="11"/>
      <c r="B76" s="53"/>
      <c r="C76" s="8"/>
      <c r="D76" s="86">
        <v>6.0</v>
      </c>
      <c r="E76" s="10"/>
      <c r="F76" s="14"/>
      <c r="G76" s="119" t="s">
        <v>747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31"/>
      <c r="AI76" s="8"/>
      <c r="AJ76" s="8"/>
      <c r="AK76" s="181" t="str">
        <f>IF(AND(DADOS!$AK$15&gt;0,$AH$11&lt;10),"Especialização só no nível 10: tire a marcação",IF(DADOS!$AK$24&gt;0,"Marcou "&amp;DADOS!$AK$24&amp;" a mais: tire uma perícia, um ofício ou uma especialização",IF(DADOS!$AK$25+DADOS!$AK$26+DADOS!$AK$23=0,"Tudo escolhido","Falta: "&amp;IF(DADOS!$AK$25&gt;0,DADOS!$AK$25&amp;IF(DADOS!$AK$25=1," perícia"," perícias"),"")&amp;IF(AND(DADOS!$AK$26&gt;0,OR(DADOS!$AK$25&gt;0)),IF(OR(DADOS!$AK$23&gt;0),", "," e "),"")&amp;IF(DADOS!$AK$26&gt;0,DADOS!$AK$26&amp;IF(DADOS!$AK$26=1," ofício"," ofícios"),"")&amp;IF(AND(DADOS!$AK$23&gt;0,OR(DADOS!$AK$25&gt;0,DADOS!$AK$26&gt;0))," e ","")&amp;IF(DADOS!$AK$23&gt;0,DADOS!$AK$23&amp;IF(DADOS!$AK$23=1," escolha de Corpo"," escolhas de Corpo"),"")&amp;IF(AND(DADOS!$AK$23&gt;0,DADOS!$AK$25+DADOS!$AK$26=0)," (+1 perícia, +1 ofício"&amp;IF($AH$11&gt;=10," ou uma especialização","")&amp;")","")&amp;IF(AND(DADOS!$AK$17=1,DADOS!$AK$14&lt;=0),", ou "&amp;IF(DADOS!$AK$27&gt;0,DADOS!$AK$27&amp;IF(DADOS!$AK$27=1," perícia"," perícias"),"")&amp;IF(AND(DADOS!$AK$28&gt;0,OR(DADOS!$AK$27&gt;0))," e ","")&amp;IF(DADOS!$AK$28&gt;0,DADOS!$AK$28&amp;IF(DADOS!$AK$28=1," escolha de Corpo"," escolhas de Corpo"),"")&amp;" sem ofício",""))))</f>
        <v>Falta: 9 perícias e 2 ofícios, ou 10 perícias sem ofício</v>
      </c>
      <c r="AL76" s="29"/>
      <c r="AM76" s="29"/>
      <c r="AN76" s="29"/>
      <c r="AO76" s="29"/>
      <c r="AP76" s="29"/>
      <c r="AQ76" s="29"/>
      <c r="AR76" s="29"/>
      <c r="AS76" s="29"/>
      <c r="AT76" s="31"/>
    </row>
    <row r="77">
      <c r="A77" s="11"/>
      <c r="B77" s="53"/>
      <c r="C77" s="8"/>
      <c r="D77" s="16"/>
      <c r="E77" s="17"/>
      <c r="F77" s="1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</row>
    <row r="78">
      <c r="A78" s="11"/>
      <c r="B78" s="53"/>
      <c r="C78" s="8"/>
      <c r="D78" s="155" t="s">
        <v>606</v>
      </c>
      <c r="E78" s="155" t="s">
        <v>611</v>
      </c>
      <c r="F78" s="8"/>
      <c r="G78" s="8"/>
      <c r="H78" s="8"/>
      <c r="I78" s="8"/>
      <c r="J78" s="8"/>
      <c r="K78" s="8"/>
      <c r="L78" s="8"/>
      <c r="M78" s="8"/>
      <c r="N78" s="8"/>
      <c r="O78" s="155" t="s">
        <v>587</v>
      </c>
      <c r="P78" s="8"/>
      <c r="Q78" s="155" t="s">
        <v>606</v>
      </c>
      <c r="R78" s="155" t="s">
        <v>611</v>
      </c>
      <c r="S78" s="8"/>
      <c r="T78" s="8"/>
      <c r="U78" s="8"/>
      <c r="V78" s="8"/>
      <c r="W78" s="8"/>
      <c r="X78" s="8"/>
      <c r="Y78" s="8"/>
      <c r="Z78" s="8"/>
      <c r="AA78" s="8"/>
      <c r="AB78" s="155" t="s">
        <v>587</v>
      </c>
      <c r="AC78" s="8"/>
      <c r="AD78" s="8"/>
      <c r="AE78" s="153"/>
      <c r="AF78" s="155" t="s">
        <v>606</v>
      </c>
      <c r="AG78" s="8"/>
      <c r="AH78" s="8"/>
      <c r="AI78" s="8"/>
      <c r="AJ78" s="155" t="s">
        <v>587</v>
      </c>
      <c r="AK78" s="8"/>
      <c r="AL78" s="8"/>
      <c r="AM78" s="8"/>
      <c r="AN78" s="8"/>
      <c r="AO78" s="8"/>
      <c r="AP78" s="8"/>
      <c r="AQ78" s="8"/>
      <c r="AR78" s="8"/>
      <c r="AS78" s="8"/>
      <c r="AT78" s="8"/>
    </row>
    <row r="79">
      <c r="A79" s="11"/>
      <c r="B79" s="53"/>
      <c r="C79" s="8"/>
      <c r="D79" s="159" t="b">
        <v>0</v>
      </c>
      <c r="E79" s="159" t="b">
        <v>0</v>
      </c>
      <c r="F79" s="131" t="s">
        <v>24</v>
      </c>
      <c r="G79" s="29"/>
      <c r="H79" s="29"/>
      <c r="I79" s="29"/>
      <c r="J79" s="31"/>
      <c r="K79" s="182" t="s">
        <v>773</v>
      </c>
      <c r="L79" s="29"/>
      <c r="M79" s="31"/>
      <c r="N79" s="183">
        <f t="shared" ref="N79:N84" si="5">+IFS(K79="FORÇA",$D$19, K79="DESTREZA",$L$19, K79="CONSTITUIÇÃO",$T$19, K79="INTELIGÊNCIA",$AB$19, K79="ESSÊNCIA",$AJ$19) + IF(E79, $D$51 + INT($D$51 / 2), IF(D79, $D$51, 0)) + O79</f>
        <v>0</v>
      </c>
      <c r="O79" s="184"/>
      <c r="P79" s="8"/>
      <c r="Q79" s="159" t="b">
        <v>0</v>
      </c>
      <c r="R79" s="159" t="b">
        <v>0</v>
      </c>
      <c r="S79" s="131" t="s">
        <v>172</v>
      </c>
      <c r="T79" s="29"/>
      <c r="U79" s="29"/>
      <c r="V79" s="29"/>
      <c r="W79" s="31"/>
      <c r="X79" s="182" t="s">
        <v>773</v>
      </c>
      <c r="Y79" s="29"/>
      <c r="Z79" s="31"/>
      <c r="AA79" s="185">
        <f t="shared" ref="AA79:AA83" si="6">+IFS(X79="FORÇA",$D$19, X79="DESTREZA",$L$19, X79="CONSTITUIÇÃO",$T$19, X79="INTELIGÊNCIA",$AB$19, X79="ESSÊNCIA",$AJ$19) + IF(R79, $D$51 + INT($D$51 / 2), IF(Q79, $D$51, 0)) + AB79</f>
        <v>0</v>
      </c>
      <c r="AB79" s="167"/>
      <c r="AC79" s="8"/>
      <c r="AD79" s="8"/>
      <c r="AE79" s="153"/>
      <c r="AF79" s="159" t="b">
        <v>0</v>
      </c>
      <c r="AG79" s="131" t="s">
        <v>31</v>
      </c>
      <c r="AH79" s="29"/>
      <c r="AI79" s="29"/>
      <c r="AJ79" s="184"/>
      <c r="AK79" s="186" t="s">
        <v>556</v>
      </c>
      <c r="AL79" s="29"/>
      <c r="AM79" s="29"/>
      <c r="AN79" s="29"/>
      <c r="AO79" s="31"/>
      <c r="AP79" s="187">
        <f>+IFS(AK79="FORÇA",$D$19, AK79="DESTREZA",$L$19)+IF($AF$79=TRUE,$D$51,0)+AJ79</f>
        <v>0</v>
      </c>
      <c r="AQ79" s="29"/>
      <c r="AR79" s="29"/>
      <c r="AS79" s="29"/>
      <c r="AT79" s="31"/>
    </row>
    <row r="80">
      <c r="A80" s="11"/>
      <c r="B80" s="53"/>
      <c r="C80" s="8"/>
      <c r="D80" s="159" t="b">
        <v>0</v>
      </c>
      <c r="E80" s="159" t="b">
        <v>0</v>
      </c>
      <c r="F80" s="131" t="s">
        <v>66</v>
      </c>
      <c r="G80" s="29"/>
      <c r="H80" s="29"/>
      <c r="I80" s="29"/>
      <c r="J80" s="31"/>
      <c r="K80" s="182" t="s">
        <v>773</v>
      </c>
      <c r="L80" s="29"/>
      <c r="M80" s="31"/>
      <c r="N80" s="185">
        <f t="shared" si="5"/>
        <v>0</v>
      </c>
      <c r="O80" s="167"/>
      <c r="P80" s="8"/>
      <c r="Q80" s="159" t="b">
        <v>0</v>
      </c>
      <c r="R80" s="159" t="b">
        <v>0</v>
      </c>
      <c r="S80" s="131" t="s">
        <v>794</v>
      </c>
      <c r="T80" s="29"/>
      <c r="U80" s="29"/>
      <c r="V80" s="29"/>
      <c r="W80" s="31"/>
      <c r="X80" s="182" t="s">
        <v>773</v>
      </c>
      <c r="Y80" s="29"/>
      <c r="Z80" s="31"/>
      <c r="AA80" s="185">
        <f t="shared" si="6"/>
        <v>0</v>
      </c>
      <c r="AB80" s="167"/>
      <c r="AC80" s="8"/>
      <c r="AD80" s="8"/>
      <c r="AE80" s="153"/>
      <c r="AF80" s="159" t="b">
        <v>0</v>
      </c>
      <c r="AG80" s="131" t="s">
        <v>73</v>
      </c>
      <c r="AH80" s="29"/>
      <c r="AI80" s="29"/>
      <c r="AJ80" s="184"/>
      <c r="AK80" s="182" t="s">
        <v>797</v>
      </c>
      <c r="AL80" s="29"/>
      <c r="AM80" s="29"/>
      <c r="AN80" s="29"/>
      <c r="AO80" s="31"/>
      <c r="AP80" s="187">
        <f>$T$19+IF($AF$80=TRUE,$D$51,0)+AJ80</f>
        <v>0</v>
      </c>
      <c r="AQ80" s="29"/>
      <c r="AR80" s="29"/>
      <c r="AS80" s="29"/>
      <c r="AT80" s="31"/>
    </row>
    <row r="81">
      <c r="A81" s="11"/>
      <c r="B81" s="53"/>
      <c r="C81" s="8"/>
      <c r="D81" s="159" t="b">
        <v>0</v>
      </c>
      <c r="E81" s="159" t="b">
        <v>0</v>
      </c>
      <c r="F81" s="131" t="s">
        <v>92</v>
      </c>
      <c r="G81" s="29"/>
      <c r="H81" s="29"/>
      <c r="I81" s="29"/>
      <c r="J81" s="31"/>
      <c r="K81" s="182" t="s">
        <v>773</v>
      </c>
      <c r="L81" s="29"/>
      <c r="M81" s="31"/>
      <c r="N81" s="185">
        <f t="shared" si="5"/>
        <v>0</v>
      </c>
      <c r="O81" s="167"/>
      <c r="P81" s="8"/>
      <c r="Q81" s="159" t="b">
        <v>0</v>
      </c>
      <c r="R81" s="159" t="b">
        <v>0</v>
      </c>
      <c r="S81" s="160" t="s">
        <v>205</v>
      </c>
      <c r="T81" s="29"/>
      <c r="U81" s="29"/>
      <c r="V81" s="29"/>
      <c r="W81" s="31"/>
      <c r="X81" s="182" t="s">
        <v>773</v>
      </c>
      <c r="Y81" s="29"/>
      <c r="Z81" s="31"/>
      <c r="AA81" s="185">
        <f t="shared" si="6"/>
        <v>0</v>
      </c>
      <c r="AB81" s="167"/>
      <c r="AC81" s="8"/>
      <c r="AD81" s="8"/>
      <c r="AE81" s="153"/>
      <c r="AF81" s="159" t="b">
        <v>0</v>
      </c>
      <c r="AG81" s="131" t="s">
        <v>100</v>
      </c>
      <c r="AH81" s="29"/>
      <c r="AI81" s="29"/>
      <c r="AJ81" s="184"/>
      <c r="AK81" s="182" t="s">
        <v>773</v>
      </c>
      <c r="AL81" s="29"/>
      <c r="AM81" s="29"/>
      <c r="AN81" s="29"/>
      <c r="AO81" s="31"/>
      <c r="AP81" s="187">
        <f>$AB$19+IF($AF$81=TRUE,$D$51,0)+AJ81</f>
        <v>0</v>
      </c>
      <c r="AQ81" s="29"/>
      <c r="AR81" s="29"/>
      <c r="AS81" s="29"/>
      <c r="AT81" s="31"/>
    </row>
    <row r="82">
      <c r="A82" s="11"/>
      <c r="B82" s="53"/>
      <c r="C82" s="8"/>
      <c r="D82" s="159" t="b">
        <v>0</v>
      </c>
      <c r="E82" s="159" t="b">
        <v>0</v>
      </c>
      <c r="F82" s="131" t="s">
        <v>111</v>
      </c>
      <c r="G82" s="29"/>
      <c r="H82" s="29"/>
      <c r="I82" s="29"/>
      <c r="J82" s="31"/>
      <c r="K82" s="182" t="s">
        <v>773</v>
      </c>
      <c r="L82" s="29"/>
      <c r="M82" s="31"/>
      <c r="N82" s="185">
        <f t="shared" si="5"/>
        <v>0</v>
      </c>
      <c r="O82" s="167"/>
      <c r="P82" s="8"/>
      <c r="Q82" s="159" t="b">
        <v>0</v>
      </c>
      <c r="R82" s="159" t="b">
        <v>0</v>
      </c>
      <c r="S82" s="131" t="s">
        <v>234</v>
      </c>
      <c r="T82" s="29"/>
      <c r="U82" s="29"/>
      <c r="V82" s="29"/>
      <c r="W82" s="31"/>
      <c r="X82" s="182" t="s">
        <v>773</v>
      </c>
      <c r="Y82" s="29"/>
      <c r="Z82" s="31"/>
      <c r="AA82" s="185">
        <f t="shared" si="6"/>
        <v>0</v>
      </c>
      <c r="AB82" s="167"/>
      <c r="AC82" s="8"/>
      <c r="AD82" s="8"/>
      <c r="AE82" s="8"/>
      <c r="AF82" s="159" t="b">
        <v>0</v>
      </c>
      <c r="AG82" s="131" t="s">
        <v>118</v>
      </c>
      <c r="AH82" s="29"/>
      <c r="AI82" s="29"/>
      <c r="AJ82" s="184"/>
      <c r="AK82" s="182" t="s">
        <v>554</v>
      </c>
      <c r="AL82" s="29"/>
      <c r="AM82" s="29"/>
      <c r="AN82" s="29"/>
      <c r="AO82" s="31"/>
      <c r="AP82" s="187">
        <f>$AJ$19+IF($AF$82=TRUE,$D$51,0)+AJ82</f>
        <v>0</v>
      </c>
      <c r="AQ82" s="29"/>
      <c r="AR82" s="29"/>
      <c r="AS82" s="29"/>
      <c r="AT82" s="31"/>
    </row>
    <row r="83">
      <c r="A83" s="11"/>
      <c r="B83" s="53"/>
      <c r="C83" s="8"/>
      <c r="D83" s="159" t="b">
        <v>0</v>
      </c>
      <c r="E83" s="159" t="b">
        <v>0</v>
      </c>
      <c r="F83" s="131" t="s">
        <v>137</v>
      </c>
      <c r="G83" s="29"/>
      <c r="H83" s="29"/>
      <c r="I83" s="29"/>
      <c r="J83" s="31"/>
      <c r="K83" s="182" t="s">
        <v>773</v>
      </c>
      <c r="L83" s="29"/>
      <c r="M83" s="31"/>
      <c r="N83" s="185">
        <f t="shared" si="5"/>
        <v>0</v>
      </c>
      <c r="O83" s="167"/>
      <c r="P83" s="8"/>
      <c r="Q83" s="159" t="b">
        <v>0</v>
      </c>
      <c r="R83" s="159" t="b">
        <v>0</v>
      </c>
      <c r="S83" s="131" t="s">
        <v>221</v>
      </c>
      <c r="T83" s="29"/>
      <c r="U83" s="29"/>
      <c r="V83" s="29"/>
      <c r="W83" s="31"/>
      <c r="X83" s="182" t="s">
        <v>773</v>
      </c>
      <c r="Y83" s="29"/>
      <c r="Z83" s="31"/>
      <c r="AA83" s="185">
        <f t="shared" si="6"/>
        <v>0</v>
      </c>
      <c r="AB83" s="167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</row>
    <row r="84">
      <c r="A84" s="11"/>
      <c r="B84" s="53"/>
      <c r="C84" s="8"/>
      <c r="D84" s="159" t="b">
        <v>0</v>
      </c>
      <c r="E84" s="159" t="b">
        <v>0</v>
      </c>
      <c r="F84" s="131" t="s">
        <v>154</v>
      </c>
      <c r="G84" s="29"/>
      <c r="H84" s="29"/>
      <c r="I84" s="29"/>
      <c r="J84" s="31"/>
      <c r="K84" s="182" t="s">
        <v>773</v>
      </c>
      <c r="L84" s="29"/>
      <c r="M84" s="31"/>
      <c r="N84" s="185">
        <f t="shared" si="5"/>
        <v>0</v>
      </c>
      <c r="O84" s="167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188" t="s">
        <v>816</v>
      </c>
      <c r="AG84" s="29"/>
      <c r="AH84" s="29"/>
      <c r="AI84" s="29"/>
      <c r="AJ84" s="29"/>
      <c r="AK84" s="29"/>
      <c r="AL84" s="29"/>
      <c r="AM84" s="31"/>
      <c r="AN84" s="189" t="s">
        <v>817</v>
      </c>
      <c r="AO84" s="29"/>
      <c r="AP84" s="29"/>
      <c r="AQ84" s="29"/>
      <c r="AR84" s="29"/>
      <c r="AS84" s="29"/>
      <c r="AT84" s="31"/>
    </row>
    <row r="85">
      <c r="A85" s="11"/>
      <c r="B85" s="53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190" t="str">
        <f>IF(AND(DADOS!$AK$15&gt;0,$AH$11&lt;10),"Especialização só no nível 10",IF(DADOS!$AK$24&gt;0,DADOS!$AK$24&amp;" a mais",DADOS!$AK$20+DADOS!$AK$22-DADOS!$AK$14&amp;" de "&amp;(DADOS!$AK$20+DADOS!$AK$22)))</f>
        <v>2 de 2</v>
      </c>
      <c r="AG85" s="29"/>
      <c r="AH85" s="29"/>
      <c r="AI85" s="29"/>
      <c r="AJ85" s="29"/>
      <c r="AK85" s="29"/>
      <c r="AL85" s="29"/>
      <c r="AM85" s="31"/>
      <c r="AN85" s="192" t="str">
        <f>IF(DADOS!$AK$29&gt;2,DADOS!$AK$29-2&amp;" a mais",2-DADOS!$AK$29&amp;" de "&amp;2)</f>
        <v>2 de 2</v>
      </c>
      <c r="AO85" s="29"/>
      <c r="AP85" s="29"/>
      <c r="AQ85" s="29"/>
      <c r="AR85" s="29"/>
      <c r="AS85" s="29"/>
      <c r="AT85" s="31"/>
    </row>
    <row r="86">
      <c r="A86" s="11"/>
      <c r="B86" s="53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</row>
    <row r="87">
      <c r="A87" s="11"/>
      <c r="B87" s="53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</row>
    <row r="88" ht="27.0" customHeight="1">
      <c r="A88" s="11"/>
      <c r="B88" s="53"/>
      <c r="C88" s="8"/>
      <c r="D88" s="86">
        <v>7.0</v>
      </c>
      <c r="E88" s="10"/>
      <c r="F88" s="14"/>
      <c r="G88" s="119" t="s">
        <v>820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31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</row>
    <row r="89">
      <c r="A89" s="11"/>
      <c r="B89" s="53"/>
      <c r="C89" s="8"/>
      <c r="D89" s="16"/>
      <c r="E89" s="17"/>
      <c r="F89" s="1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</row>
    <row r="90" ht="5.25" customHeight="1">
      <c r="A90" s="11"/>
      <c r="B90" s="53"/>
      <c r="C90" s="8"/>
      <c r="D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</row>
    <row r="91">
      <c r="A91" s="11"/>
      <c r="B91" s="53"/>
      <c r="C91" s="8"/>
      <c r="D91" s="193" t="s">
        <v>821</v>
      </c>
      <c r="E91" s="29"/>
      <c r="F91" s="29"/>
      <c r="G91" s="29"/>
      <c r="H91" s="29"/>
      <c r="I91" s="29"/>
      <c r="J91" s="29"/>
      <c r="K91" s="29"/>
      <c r="L91" s="29"/>
      <c r="M91" s="29"/>
      <c r="N91" s="31"/>
      <c r="O91" s="8"/>
      <c r="P91" s="193" t="s">
        <v>822</v>
      </c>
      <c r="Q91" s="29"/>
      <c r="R91" s="29"/>
      <c r="S91" s="29"/>
      <c r="T91" s="29"/>
      <c r="U91" s="29"/>
      <c r="V91" s="29"/>
      <c r="W91" s="29"/>
      <c r="X91" s="29"/>
      <c r="Y91" s="29"/>
      <c r="Z91" s="31"/>
      <c r="AA91" s="8"/>
      <c r="AB91" s="193" t="s">
        <v>823</v>
      </c>
      <c r="AC91" s="29"/>
      <c r="AD91" s="29"/>
      <c r="AE91" s="29"/>
      <c r="AF91" s="29"/>
      <c r="AG91" s="29"/>
      <c r="AH91" s="29"/>
      <c r="AI91" s="29"/>
      <c r="AJ91" s="29"/>
      <c r="AK91" s="29"/>
      <c r="AL91" s="31"/>
      <c r="AM91" s="8"/>
      <c r="AN91" s="8"/>
      <c r="AO91" s="8"/>
      <c r="AP91" s="8"/>
      <c r="AQ91" s="8"/>
      <c r="AR91" s="8"/>
      <c r="AS91" s="8"/>
      <c r="AT91" s="8"/>
    </row>
    <row r="92" ht="5.25" customHeight="1">
      <c r="A92" s="11"/>
      <c r="B92" s="53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S92" s="8"/>
      <c r="AT92" s="8"/>
    </row>
    <row r="93">
      <c r="A93" s="11"/>
      <c r="B93" s="53"/>
      <c r="C93" s="8"/>
      <c r="D93" s="195"/>
      <c r="E93" s="10"/>
      <c r="F93" s="10"/>
      <c r="G93" s="10"/>
      <c r="H93" s="10"/>
      <c r="I93" s="10"/>
      <c r="J93" s="10"/>
      <c r="K93" s="10"/>
      <c r="L93" s="10"/>
      <c r="M93" s="10"/>
      <c r="N93" s="14"/>
      <c r="O93" s="8"/>
      <c r="P93" s="195"/>
      <c r="Q93" s="10"/>
      <c r="R93" s="10"/>
      <c r="S93" s="10"/>
      <c r="T93" s="10"/>
      <c r="U93" s="10"/>
      <c r="V93" s="10"/>
      <c r="W93" s="10"/>
      <c r="X93" s="10"/>
      <c r="Y93" s="10"/>
      <c r="Z93" s="14"/>
      <c r="AA93" s="8"/>
      <c r="AB93" s="195"/>
      <c r="AC93" s="10"/>
      <c r="AD93" s="10"/>
      <c r="AE93" s="10"/>
      <c r="AF93" s="10"/>
      <c r="AG93" s="10"/>
      <c r="AH93" s="10"/>
      <c r="AI93" s="10"/>
      <c r="AJ93" s="10"/>
      <c r="AK93" s="10"/>
      <c r="AL93" s="14"/>
      <c r="AM93" s="8"/>
      <c r="AN93" s="8"/>
      <c r="AO93" s="8"/>
      <c r="AS93" s="8"/>
      <c r="AT93" s="8"/>
    </row>
    <row r="94">
      <c r="A94" s="11"/>
      <c r="B94" s="53"/>
      <c r="C94" s="8"/>
      <c r="D94" s="46"/>
      <c r="N94" s="47"/>
      <c r="O94" s="8"/>
      <c r="P94" s="46"/>
      <c r="Z94" s="47"/>
      <c r="AA94" s="8"/>
      <c r="AB94" s="46"/>
      <c r="AL94" s="47"/>
      <c r="AM94" s="8"/>
      <c r="AN94" s="8"/>
      <c r="AO94" s="8"/>
      <c r="AS94" s="8"/>
      <c r="AT94" s="8"/>
    </row>
    <row r="95">
      <c r="A95" s="11"/>
      <c r="B95" s="53"/>
      <c r="C95" s="8"/>
      <c r="D95" s="46"/>
      <c r="N95" s="47"/>
      <c r="O95" s="8"/>
      <c r="P95" s="46"/>
      <c r="Z95" s="47"/>
      <c r="AA95" s="8"/>
      <c r="AB95" s="46"/>
      <c r="AL95" s="47"/>
      <c r="AM95" s="8"/>
      <c r="AN95" s="8"/>
      <c r="AO95" s="8"/>
      <c r="AS95" s="8"/>
      <c r="AT95" s="8"/>
    </row>
    <row r="96">
      <c r="A96" s="11"/>
      <c r="B96" s="53"/>
      <c r="C96" s="8"/>
      <c r="D96" s="16"/>
      <c r="E96" s="17"/>
      <c r="F96" s="17"/>
      <c r="G96" s="17"/>
      <c r="H96" s="17"/>
      <c r="I96" s="17"/>
      <c r="J96" s="17"/>
      <c r="K96" s="17"/>
      <c r="L96" s="17"/>
      <c r="M96" s="17"/>
      <c r="N96" s="18"/>
      <c r="O96" s="8"/>
      <c r="P96" s="16"/>
      <c r="Q96" s="17"/>
      <c r="R96" s="17"/>
      <c r="S96" s="17"/>
      <c r="T96" s="17"/>
      <c r="U96" s="17"/>
      <c r="V96" s="17"/>
      <c r="W96" s="17"/>
      <c r="X96" s="17"/>
      <c r="Y96" s="17"/>
      <c r="Z96" s="18"/>
      <c r="AA96" s="8"/>
      <c r="AB96" s="16"/>
      <c r="AC96" s="17"/>
      <c r="AD96" s="17"/>
      <c r="AE96" s="17"/>
      <c r="AF96" s="17"/>
      <c r="AG96" s="17"/>
      <c r="AH96" s="17"/>
      <c r="AI96" s="17"/>
      <c r="AJ96" s="17"/>
      <c r="AK96" s="17"/>
      <c r="AL96" s="18"/>
      <c r="AM96" s="8"/>
      <c r="AN96" s="8"/>
      <c r="AO96" s="8"/>
      <c r="AS96" s="8"/>
      <c r="AT96" s="8"/>
    </row>
    <row r="97" ht="5.25" customHeight="1">
      <c r="A97" s="11"/>
      <c r="B97" s="53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</row>
    <row r="98">
      <c r="A98" s="11"/>
      <c r="B98" s="53"/>
      <c r="C98" s="8"/>
      <c r="D98" s="193" t="s">
        <v>829</v>
      </c>
      <c r="E98" s="29"/>
      <c r="F98" s="29"/>
      <c r="G98" s="29"/>
      <c r="H98" s="29"/>
      <c r="I98" s="29"/>
      <c r="J98" s="29"/>
      <c r="K98" s="29"/>
      <c r="L98" s="29"/>
      <c r="M98" s="29"/>
      <c r="N98" s="31"/>
      <c r="O98" s="8"/>
      <c r="P98" s="193" t="s">
        <v>830</v>
      </c>
      <c r="Q98" s="29"/>
      <c r="R98" s="29"/>
      <c r="S98" s="29"/>
      <c r="T98" s="29"/>
      <c r="U98" s="29"/>
      <c r="V98" s="29"/>
      <c r="W98" s="29"/>
      <c r="X98" s="29"/>
      <c r="Y98" s="29"/>
      <c r="Z98" s="31"/>
      <c r="AA98" s="8"/>
      <c r="AB98" s="193" t="s">
        <v>823</v>
      </c>
      <c r="AC98" s="29"/>
      <c r="AD98" s="29"/>
      <c r="AE98" s="29"/>
      <c r="AF98" s="29"/>
      <c r="AG98" s="29"/>
      <c r="AH98" s="29"/>
      <c r="AI98" s="29"/>
      <c r="AJ98" s="29"/>
      <c r="AK98" s="29"/>
      <c r="AL98" s="31"/>
      <c r="AM98" s="8"/>
      <c r="AN98" s="8"/>
      <c r="AO98" s="8"/>
      <c r="AP98" s="8"/>
      <c r="AQ98" s="8"/>
      <c r="AR98" s="8"/>
      <c r="AS98" s="8"/>
      <c r="AT98" s="8"/>
    </row>
    <row r="99" ht="5.25" customHeight="1">
      <c r="A99" s="11"/>
      <c r="B99" s="5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</row>
    <row r="100">
      <c r="A100" s="11"/>
      <c r="B100" s="53"/>
      <c r="C100" s="8"/>
      <c r="D100" s="195"/>
      <c r="E100" s="10"/>
      <c r="F100" s="10"/>
      <c r="G100" s="10"/>
      <c r="H100" s="10"/>
      <c r="I100" s="10"/>
      <c r="J100" s="10"/>
      <c r="K100" s="10"/>
      <c r="L100" s="10"/>
      <c r="M100" s="10"/>
      <c r="N100" s="14"/>
      <c r="O100" s="8"/>
      <c r="P100" s="195"/>
      <c r="Q100" s="10"/>
      <c r="R100" s="10"/>
      <c r="S100" s="10"/>
      <c r="T100" s="10"/>
      <c r="U100" s="10"/>
      <c r="V100" s="10"/>
      <c r="W100" s="10"/>
      <c r="X100" s="10"/>
      <c r="Y100" s="10"/>
      <c r="Z100" s="14"/>
      <c r="AA100" s="8"/>
      <c r="AB100" s="195"/>
      <c r="AC100" s="10"/>
      <c r="AD100" s="10"/>
      <c r="AE100" s="10"/>
      <c r="AF100" s="10"/>
      <c r="AG100" s="10"/>
      <c r="AH100" s="10"/>
      <c r="AI100" s="10"/>
      <c r="AJ100" s="10"/>
      <c r="AK100" s="10"/>
      <c r="AL100" s="14"/>
      <c r="AM100" s="8"/>
      <c r="AN100" s="8"/>
      <c r="AO100" s="8"/>
      <c r="AP100" s="8"/>
      <c r="AQ100" s="8"/>
      <c r="AR100" s="8"/>
      <c r="AS100" s="8"/>
      <c r="AT100" s="8"/>
    </row>
    <row r="101">
      <c r="A101" s="11"/>
      <c r="B101" s="53"/>
      <c r="C101" s="8"/>
      <c r="D101" s="46"/>
      <c r="N101" s="47"/>
      <c r="O101" s="8"/>
      <c r="P101" s="46"/>
      <c r="Z101" s="47"/>
      <c r="AA101" s="8"/>
      <c r="AB101" s="46"/>
      <c r="AL101" s="47"/>
      <c r="AM101" s="8"/>
      <c r="AN101" s="8"/>
      <c r="AO101" s="8"/>
      <c r="AP101" s="8"/>
      <c r="AQ101" s="8"/>
      <c r="AR101" s="8"/>
      <c r="AS101" s="8"/>
      <c r="AT101" s="8"/>
    </row>
    <row r="102">
      <c r="A102" s="11"/>
      <c r="B102" s="53"/>
      <c r="C102" s="8"/>
      <c r="D102" s="46"/>
      <c r="N102" s="47"/>
      <c r="O102" s="8"/>
      <c r="P102" s="46"/>
      <c r="Z102" s="47"/>
      <c r="AA102" s="8"/>
      <c r="AB102" s="46"/>
      <c r="AL102" s="47"/>
      <c r="AM102" s="8"/>
      <c r="AN102" s="8"/>
      <c r="AO102" s="8"/>
      <c r="AP102" s="8"/>
      <c r="AQ102" s="8"/>
      <c r="AR102" s="8"/>
      <c r="AS102" s="8"/>
      <c r="AT102" s="8"/>
    </row>
    <row r="103">
      <c r="A103" s="11"/>
      <c r="B103" s="53"/>
      <c r="C103" s="8"/>
      <c r="D103" s="16"/>
      <c r="E103" s="17"/>
      <c r="F103" s="17"/>
      <c r="G103" s="17"/>
      <c r="H103" s="17"/>
      <c r="I103" s="17"/>
      <c r="J103" s="17"/>
      <c r="K103" s="17"/>
      <c r="L103" s="17"/>
      <c r="M103" s="17"/>
      <c r="N103" s="18"/>
      <c r="O103" s="8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8"/>
      <c r="AA103" s="8"/>
      <c r="AB103" s="16"/>
      <c r="AC103" s="17"/>
      <c r="AD103" s="17"/>
      <c r="AE103" s="17"/>
      <c r="AF103" s="17"/>
      <c r="AG103" s="17"/>
      <c r="AH103" s="17"/>
      <c r="AI103" s="17"/>
      <c r="AJ103" s="17"/>
      <c r="AK103" s="17"/>
      <c r="AL103" s="18"/>
      <c r="AM103" s="8"/>
      <c r="AN103" s="8"/>
      <c r="AO103" s="8"/>
      <c r="AP103" s="8"/>
      <c r="AQ103" s="8"/>
      <c r="AR103" s="8"/>
      <c r="AS103" s="8"/>
      <c r="AT103" s="8"/>
    </row>
    <row r="104" ht="5.25" customHeight="1">
      <c r="A104" s="11"/>
      <c r="B104" s="5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</row>
    <row r="105">
      <c r="A105" s="11"/>
      <c r="B105" s="53"/>
      <c r="C105" s="8"/>
      <c r="D105" s="193" t="s">
        <v>831</v>
      </c>
      <c r="E105" s="29"/>
      <c r="F105" s="29"/>
      <c r="G105" s="29"/>
      <c r="H105" s="29"/>
      <c r="I105" s="29"/>
      <c r="J105" s="29"/>
      <c r="K105" s="29"/>
      <c r="L105" s="29"/>
      <c r="M105" s="29"/>
      <c r="N105" s="31"/>
      <c r="O105" s="8"/>
      <c r="P105" s="193" t="s">
        <v>832</v>
      </c>
      <c r="Q105" s="29"/>
      <c r="R105" s="29"/>
      <c r="S105" s="29"/>
      <c r="T105" s="29"/>
      <c r="U105" s="29"/>
      <c r="V105" s="29"/>
      <c r="W105" s="29"/>
      <c r="X105" s="29"/>
      <c r="Y105" s="29"/>
      <c r="Z105" s="31"/>
      <c r="AA105" s="8"/>
      <c r="AB105" s="193" t="s">
        <v>823</v>
      </c>
      <c r="AC105" s="29"/>
      <c r="AD105" s="29"/>
      <c r="AE105" s="29"/>
      <c r="AF105" s="29"/>
      <c r="AG105" s="29"/>
      <c r="AH105" s="29"/>
      <c r="AI105" s="29"/>
      <c r="AJ105" s="29"/>
      <c r="AK105" s="29"/>
      <c r="AL105" s="31"/>
      <c r="AM105" s="8"/>
      <c r="AN105" s="8"/>
      <c r="AO105" s="8"/>
      <c r="AP105" s="8"/>
      <c r="AQ105" s="8"/>
      <c r="AR105" s="8"/>
      <c r="AS105" s="8"/>
      <c r="AT105" s="8"/>
    </row>
    <row r="106" ht="5.25" customHeight="1">
      <c r="A106" s="11"/>
      <c r="B106" s="5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</row>
    <row r="107">
      <c r="A107" s="11"/>
      <c r="B107" s="53"/>
      <c r="C107" s="8"/>
      <c r="D107" s="195"/>
      <c r="E107" s="10"/>
      <c r="F107" s="10"/>
      <c r="G107" s="10"/>
      <c r="H107" s="10"/>
      <c r="I107" s="10"/>
      <c r="J107" s="10"/>
      <c r="K107" s="10"/>
      <c r="L107" s="10"/>
      <c r="M107" s="10"/>
      <c r="N107" s="14"/>
      <c r="O107" s="8"/>
      <c r="P107" s="195"/>
      <c r="Q107" s="10"/>
      <c r="R107" s="10"/>
      <c r="S107" s="10"/>
      <c r="T107" s="10"/>
      <c r="U107" s="10"/>
      <c r="V107" s="10"/>
      <c r="W107" s="10"/>
      <c r="X107" s="10"/>
      <c r="Y107" s="10"/>
      <c r="Z107" s="14"/>
      <c r="AA107" s="8"/>
      <c r="AB107" s="195"/>
      <c r="AC107" s="10"/>
      <c r="AD107" s="10"/>
      <c r="AE107" s="10"/>
      <c r="AF107" s="10"/>
      <c r="AG107" s="10"/>
      <c r="AH107" s="10"/>
      <c r="AI107" s="10"/>
      <c r="AJ107" s="10"/>
      <c r="AK107" s="10"/>
      <c r="AL107" s="14"/>
      <c r="AM107" s="8"/>
      <c r="AN107" s="8"/>
      <c r="AO107" s="8"/>
      <c r="AP107" s="8"/>
      <c r="AQ107" s="8"/>
      <c r="AR107" s="8"/>
      <c r="AS107" s="8"/>
      <c r="AT107" s="8"/>
    </row>
    <row r="108">
      <c r="A108" s="11"/>
      <c r="B108" s="53"/>
      <c r="C108" s="8"/>
      <c r="D108" s="46"/>
      <c r="N108" s="47"/>
      <c r="O108" s="8"/>
      <c r="P108" s="46"/>
      <c r="Z108" s="47"/>
      <c r="AA108" s="8"/>
      <c r="AB108" s="46"/>
      <c r="AL108" s="47"/>
      <c r="AM108" s="8"/>
      <c r="AN108" s="8"/>
      <c r="AO108" s="8"/>
      <c r="AP108" s="8"/>
      <c r="AQ108" s="8"/>
      <c r="AR108" s="8"/>
      <c r="AS108" s="8"/>
      <c r="AT108" s="8"/>
    </row>
    <row r="109">
      <c r="A109" s="11"/>
      <c r="B109" s="53"/>
      <c r="C109" s="8"/>
      <c r="D109" s="46"/>
      <c r="N109" s="47"/>
      <c r="O109" s="8"/>
      <c r="P109" s="46"/>
      <c r="Z109" s="47"/>
      <c r="AA109" s="8"/>
      <c r="AB109" s="46"/>
      <c r="AL109" s="47"/>
      <c r="AM109" s="8"/>
      <c r="AN109" s="8"/>
      <c r="AO109" s="8"/>
      <c r="AP109" s="8"/>
      <c r="AQ109" s="8"/>
      <c r="AR109" s="8"/>
      <c r="AS109" s="8"/>
      <c r="AT109" s="8"/>
    </row>
    <row r="110">
      <c r="A110" s="11"/>
      <c r="B110" s="53"/>
      <c r="C110" s="8"/>
      <c r="D110" s="16"/>
      <c r="E110" s="17"/>
      <c r="F110" s="17"/>
      <c r="G110" s="17"/>
      <c r="H110" s="17"/>
      <c r="I110" s="17"/>
      <c r="J110" s="17"/>
      <c r="K110" s="17"/>
      <c r="L110" s="17"/>
      <c r="M110" s="17"/>
      <c r="N110" s="18"/>
      <c r="O110" s="8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8"/>
      <c r="AA110" s="8"/>
      <c r="AB110" s="16"/>
      <c r="AC110" s="17"/>
      <c r="AD110" s="17"/>
      <c r="AE110" s="17"/>
      <c r="AF110" s="17"/>
      <c r="AG110" s="17"/>
      <c r="AH110" s="17"/>
      <c r="AI110" s="17"/>
      <c r="AJ110" s="17"/>
      <c r="AK110" s="17"/>
      <c r="AL110" s="18"/>
      <c r="AM110" s="8"/>
      <c r="AN110" s="8"/>
      <c r="AO110" s="8"/>
      <c r="AP110" s="8"/>
      <c r="AQ110" s="8"/>
      <c r="AR110" s="8"/>
      <c r="AS110" s="8"/>
      <c r="AT110" s="8"/>
    </row>
    <row r="111" ht="5.25" customHeight="1">
      <c r="A111" s="11"/>
      <c r="B111" s="53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</row>
    <row r="112">
      <c r="A112" s="11"/>
      <c r="B112" s="53"/>
      <c r="C112" s="8"/>
      <c r="D112" s="193" t="s">
        <v>837</v>
      </c>
      <c r="E112" s="29"/>
      <c r="F112" s="29"/>
      <c r="G112" s="29"/>
      <c r="H112" s="29"/>
      <c r="I112" s="29"/>
      <c r="J112" s="29"/>
      <c r="K112" s="29"/>
      <c r="L112" s="29"/>
      <c r="M112" s="29"/>
      <c r="N112" s="31"/>
      <c r="O112" s="8"/>
      <c r="P112" s="193" t="s">
        <v>838</v>
      </c>
      <c r="Q112" s="29"/>
      <c r="R112" s="29"/>
      <c r="S112" s="29"/>
      <c r="T112" s="29"/>
      <c r="U112" s="29"/>
      <c r="V112" s="29"/>
      <c r="W112" s="29"/>
      <c r="X112" s="29"/>
      <c r="Y112" s="29"/>
      <c r="Z112" s="31"/>
      <c r="AA112" s="8"/>
      <c r="AB112" s="193" t="s">
        <v>823</v>
      </c>
      <c r="AC112" s="29"/>
      <c r="AD112" s="29"/>
      <c r="AE112" s="29"/>
      <c r="AF112" s="29"/>
      <c r="AG112" s="29"/>
      <c r="AH112" s="29"/>
      <c r="AI112" s="29"/>
      <c r="AJ112" s="29"/>
      <c r="AK112" s="29"/>
      <c r="AL112" s="31"/>
      <c r="AM112" s="8"/>
      <c r="AN112" s="8"/>
      <c r="AO112" s="8"/>
      <c r="AP112" s="8"/>
      <c r="AQ112" s="8"/>
      <c r="AR112" s="8"/>
      <c r="AS112" s="8"/>
      <c r="AT112" s="8"/>
    </row>
    <row r="113" ht="5.25" customHeight="1">
      <c r="A113" s="11"/>
      <c r="B113" s="53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</row>
    <row r="114">
      <c r="A114" s="11"/>
      <c r="B114" s="53"/>
      <c r="C114" s="8"/>
      <c r="D114" s="195"/>
      <c r="E114" s="10"/>
      <c r="F114" s="10"/>
      <c r="G114" s="10"/>
      <c r="H114" s="10"/>
      <c r="I114" s="10"/>
      <c r="J114" s="10"/>
      <c r="K114" s="10"/>
      <c r="L114" s="10"/>
      <c r="M114" s="10"/>
      <c r="N114" s="14"/>
      <c r="O114" s="8"/>
      <c r="P114" s="195"/>
      <c r="Q114" s="10"/>
      <c r="R114" s="10"/>
      <c r="S114" s="10"/>
      <c r="T114" s="10"/>
      <c r="U114" s="10"/>
      <c r="V114" s="10"/>
      <c r="W114" s="10"/>
      <c r="X114" s="10"/>
      <c r="Y114" s="10"/>
      <c r="Z114" s="14"/>
      <c r="AA114" s="8"/>
      <c r="AB114" s="195"/>
      <c r="AC114" s="10"/>
      <c r="AD114" s="10"/>
      <c r="AE114" s="10"/>
      <c r="AF114" s="10"/>
      <c r="AG114" s="10"/>
      <c r="AH114" s="10"/>
      <c r="AI114" s="10"/>
      <c r="AJ114" s="10"/>
      <c r="AK114" s="10"/>
      <c r="AL114" s="14"/>
      <c r="AM114" s="8"/>
      <c r="AN114" s="8"/>
      <c r="AO114" s="8"/>
      <c r="AP114" s="8"/>
      <c r="AQ114" s="8"/>
      <c r="AR114" s="8"/>
      <c r="AS114" s="8"/>
      <c r="AT114" s="8"/>
    </row>
    <row r="115">
      <c r="A115" s="11"/>
      <c r="B115" s="53"/>
      <c r="C115" s="8"/>
      <c r="D115" s="46"/>
      <c r="N115" s="47"/>
      <c r="O115" s="8"/>
      <c r="P115" s="46"/>
      <c r="Z115" s="47"/>
      <c r="AA115" s="8"/>
      <c r="AB115" s="46"/>
      <c r="AL115" s="47"/>
      <c r="AM115" s="8"/>
      <c r="AN115" s="8"/>
      <c r="AO115" s="8"/>
      <c r="AP115" s="8"/>
      <c r="AQ115" s="8"/>
      <c r="AR115" s="8"/>
      <c r="AS115" s="8"/>
      <c r="AT115" s="8"/>
    </row>
    <row r="116">
      <c r="A116" s="11"/>
      <c r="B116" s="53"/>
      <c r="C116" s="8"/>
      <c r="D116" s="46"/>
      <c r="N116" s="47"/>
      <c r="O116" s="8"/>
      <c r="P116" s="46"/>
      <c r="Z116" s="47"/>
      <c r="AA116" s="8"/>
      <c r="AB116" s="46"/>
      <c r="AL116" s="47"/>
      <c r="AM116" s="8"/>
      <c r="AN116" s="8"/>
      <c r="AO116" s="8"/>
      <c r="AP116" s="8"/>
      <c r="AQ116" s="8"/>
      <c r="AR116" s="8"/>
      <c r="AS116" s="8"/>
      <c r="AT116" s="8"/>
    </row>
    <row r="117">
      <c r="A117" s="11"/>
      <c r="B117" s="53"/>
      <c r="C117" s="8"/>
      <c r="D117" s="16"/>
      <c r="E117" s="17"/>
      <c r="F117" s="17"/>
      <c r="G117" s="17"/>
      <c r="H117" s="17"/>
      <c r="I117" s="17"/>
      <c r="J117" s="17"/>
      <c r="K117" s="17"/>
      <c r="L117" s="17"/>
      <c r="M117" s="17"/>
      <c r="N117" s="18"/>
      <c r="O117" s="8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8"/>
      <c r="AA117" s="8"/>
      <c r="AB117" s="16"/>
      <c r="AC117" s="17"/>
      <c r="AD117" s="17"/>
      <c r="AE117" s="17"/>
      <c r="AF117" s="17"/>
      <c r="AG117" s="17"/>
      <c r="AH117" s="17"/>
      <c r="AI117" s="17"/>
      <c r="AJ117" s="17"/>
      <c r="AK117" s="17"/>
      <c r="AL117" s="18"/>
      <c r="AM117" s="8"/>
      <c r="AN117" s="8"/>
      <c r="AO117" s="8"/>
      <c r="AP117" s="8"/>
      <c r="AQ117" s="8"/>
      <c r="AR117" s="8"/>
      <c r="AS117" s="8"/>
      <c r="AT117" s="8"/>
    </row>
    <row r="118">
      <c r="A118" s="11"/>
      <c r="B118" s="53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</row>
    <row r="119" ht="27.0" customHeight="1">
      <c r="A119" s="11"/>
      <c r="B119" s="53"/>
      <c r="C119" s="8"/>
      <c r="D119" s="86">
        <v>8.0</v>
      </c>
      <c r="E119" s="10"/>
      <c r="F119" s="14"/>
      <c r="G119" s="201" t="str">
        <f>IF(DADOS!$AK$30=1,"BÊNÇÃOS E KATAS",IF(DADOS!$AK$32=1,"APTIDÕES E KATAS",IF(DADOS!$AK$31=1,"APTIDÕES E MANEJOS","APTIDÕES E FEITIÇOS")))</f>
        <v>APTIDÕES E FEITIÇOS</v>
      </c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31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</row>
    <row r="120">
      <c r="A120" s="11"/>
      <c r="B120" s="53"/>
      <c r="C120" s="8"/>
      <c r="D120" s="16"/>
      <c r="E120" s="17"/>
      <c r="F120" s="1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</row>
    <row r="121" ht="4.5" customHeight="1">
      <c r="A121" s="11"/>
      <c r="B121" s="53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</row>
    <row r="122">
      <c r="A122" s="11"/>
      <c r="B122" s="53"/>
      <c r="C122" s="8"/>
      <c r="D122" s="193" t="s">
        <v>844</v>
      </c>
      <c r="E122" s="31"/>
      <c r="F122" s="203" t="str">
        <f>(IF(DADOS!$AK$32=1,"Katas",IF(DADOS!$AK$31=1,"Manejos","Feitiços")))&amp;" - Disponível: " &amp; (D57 - COUNTIF(D124:D144,"&gt;0") - SUM(V139:W144)) &amp; " - Conhecidos (Total): " &amp; D57 &amp; " - Classe 0: " &amp; (AK57 - COUNTIFS(D124:D144,0,F124:F144,"&lt;&gt;")) &amp; "/" &amp; AK57</f>
        <v>Feitiços - Disponível: 3 - Conhecidos (Total): 3 - Classe 0: 2/2</v>
      </c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31"/>
      <c r="U122" s="93"/>
      <c r="V122" s="203" t="str">
        <f>IF(DADOS!$AK$30=1,"Lapidação Atual: ","Refino Atual: ")&amp;DADOS!$AK$34&amp;"/10 - "&amp;IF(DADOS!$AK$30=1,"Bênçãos","Aptidões")&amp;" Disponíveis: "&amp;IF(DADOS!$AK$37&gt;DADOS!$AK$36,DADOS!$AK$37-DADOS!$AK$36&amp;" a mais",DADOS!$AK$36-DADOS!$AK$37&amp;" de "&amp;DADOS!$AK$36)</f>
        <v>Refino Atual: 1/10 - Aptidões Disponíveis: 0 de 2</v>
      </c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31"/>
      <c r="AM122" s="8"/>
      <c r="AN122" s="8"/>
      <c r="AO122" s="8"/>
      <c r="AP122" s="8"/>
      <c r="AQ122" s="8"/>
      <c r="AR122" s="8"/>
      <c r="AS122" s="8"/>
      <c r="AT122" s="8"/>
    </row>
    <row r="123" ht="5.25" customHeight="1">
      <c r="A123" s="11"/>
      <c r="B123" s="53"/>
      <c r="C123" s="8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8"/>
      <c r="AN123" s="8"/>
      <c r="AO123" s="8"/>
      <c r="AP123" s="8"/>
      <c r="AQ123" s="8"/>
      <c r="AR123" s="8"/>
      <c r="AS123" s="8"/>
      <c r="AT123" s="8"/>
    </row>
    <row r="124">
      <c r="A124" s="11"/>
      <c r="B124" s="53"/>
      <c r="C124" s="8"/>
      <c r="D124" s="204">
        <v>0.0</v>
      </c>
      <c r="E124" s="31"/>
      <c r="F124" s="110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31"/>
      <c r="U124" s="93"/>
      <c r="V124" s="110" t="str">
        <f>IF(DADOS!$AK$30=1,"Defesa sem Armadura","Cobrir-se de energia")</f>
        <v>Cobrir-se de energia</v>
      </c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31"/>
      <c r="AM124" s="8"/>
      <c r="AN124" s="8"/>
      <c r="AO124" s="8"/>
      <c r="AP124" s="8"/>
      <c r="AQ124" s="8"/>
      <c r="AR124" s="8"/>
      <c r="AS124" s="8"/>
      <c r="AT124" s="8"/>
    </row>
    <row r="125">
      <c r="A125" s="11"/>
      <c r="B125" s="53"/>
      <c r="C125" s="8"/>
      <c r="D125" s="204">
        <v>0.0</v>
      </c>
      <c r="E125" s="31"/>
      <c r="F125" s="110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31"/>
      <c r="U125" s="93"/>
      <c r="V125" s="110" t="str">
        <f>IF(DADOS!$AK$30=1,"Estímulo Muscular","Canalizar energia")</f>
        <v>Canalizar energia</v>
      </c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31"/>
      <c r="AM125" s="8"/>
      <c r="AN125" s="8"/>
      <c r="AO125" s="8"/>
      <c r="AP125" s="8"/>
      <c r="AQ125" s="8"/>
      <c r="AR125" s="8"/>
      <c r="AS125" s="8"/>
      <c r="AT125" s="8"/>
    </row>
    <row r="126">
      <c r="A126" s="11"/>
      <c r="B126" s="53"/>
      <c r="C126" s="8"/>
      <c r="D126" s="204">
        <v>0.0</v>
      </c>
      <c r="E126" s="31"/>
      <c r="F126" s="110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31"/>
      <c r="U126" s="93"/>
      <c r="V126" s="110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31"/>
      <c r="AM126" s="8"/>
      <c r="AN126" s="8"/>
      <c r="AO126" s="8"/>
      <c r="AP126" s="8"/>
      <c r="AQ126" s="8"/>
      <c r="AR126" s="8"/>
      <c r="AS126" s="8"/>
      <c r="AT126" s="8"/>
    </row>
    <row r="127">
      <c r="A127" s="11"/>
      <c r="B127" s="53"/>
      <c r="C127" s="8"/>
      <c r="D127" s="204">
        <v>0.0</v>
      </c>
      <c r="E127" s="31"/>
      <c r="F127" s="110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31"/>
      <c r="U127" s="93"/>
      <c r="V127" s="110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31"/>
      <c r="AM127" s="8"/>
      <c r="AN127" s="8"/>
      <c r="AO127" s="8"/>
      <c r="AP127" s="8"/>
      <c r="AQ127" s="8"/>
      <c r="AR127" s="8"/>
      <c r="AS127" s="8"/>
      <c r="AT127" s="8"/>
    </row>
    <row r="128">
      <c r="A128" s="11"/>
      <c r="B128" s="53"/>
      <c r="C128" s="8"/>
      <c r="D128" s="204">
        <v>0.0</v>
      </c>
      <c r="E128" s="31"/>
      <c r="F128" s="110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31"/>
      <c r="U128" s="93"/>
      <c r="V128" s="110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31"/>
      <c r="AM128" s="8"/>
      <c r="AN128" s="8"/>
      <c r="AO128" s="8"/>
      <c r="AP128" s="8"/>
      <c r="AQ128" s="8"/>
      <c r="AR128" s="8"/>
      <c r="AS128" s="8"/>
      <c r="AT128" s="8"/>
    </row>
    <row r="129">
      <c r="A129" s="11"/>
      <c r="B129" s="53"/>
      <c r="C129" s="8"/>
      <c r="D129" s="204">
        <v>0.0</v>
      </c>
      <c r="E129" s="31"/>
      <c r="F129" s="110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31"/>
      <c r="U129" s="93"/>
      <c r="V129" s="110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31"/>
      <c r="AM129" s="8"/>
      <c r="AN129" s="8"/>
      <c r="AO129" s="8"/>
      <c r="AP129" s="8"/>
      <c r="AQ129" s="8"/>
      <c r="AR129" s="8"/>
      <c r="AS129" s="8"/>
      <c r="AT129" s="8"/>
    </row>
    <row r="130">
      <c r="A130" s="11"/>
      <c r="B130" s="53"/>
      <c r="C130" s="8"/>
      <c r="D130" s="204">
        <v>0.0</v>
      </c>
      <c r="E130" s="31"/>
      <c r="F130" s="110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31"/>
      <c r="U130" s="93"/>
      <c r="V130" s="110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31"/>
      <c r="AM130" s="8"/>
      <c r="AN130" s="8"/>
      <c r="AO130" s="8"/>
      <c r="AP130" s="8"/>
      <c r="AQ130" s="8"/>
      <c r="AR130" s="8"/>
      <c r="AS130" s="8"/>
      <c r="AT130" s="8"/>
    </row>
    <row r="131">
      <c r="A131" s="11"/>
      <c r="B131" s="53"/>
      <c r="C131" s="8"/>
      <c r="D131" s="204">
        <v>0.0</v>
      </c>
      <c r="E131" s="31"/>
      <c r="F131" s="110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31"/>
      <c r="U131" s="93"/>
      <c r="V131" s="110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31"/>
      <c r="AM131" s="8"/>
      <c r="AN131" s="8"/>
      <c r="AO131" s="8"/>
      <c r="AP131" s="8"/>
      <c r="AQ131" s="8"/>
      <c r="AR131" s="8"/>
      <c r="AS131" s="8"/>
      <c r="AT131" s="8"/>
    </row>
    <row r="132">
      <c r="A132" s="11"/>
      <c r="B132" s="53"/>
      <c r="C132" s="8"/>
      <c r="D132" s="204">
        <v>0.0</v>
      </c>
      <c r="E132" s="31"/>
      <c r="F132" s="110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31"/>
      <c r="U132" s="93"/>
      <c r="V132" s="110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31"/>
      <c r="AM132" s="8"/>
      <c r="AN132" s="8"/>
      <c r="AO132" s="8"/>
      <c r="AP132" s="8"/>
      <c r="AQ132" s="8"/>
      <c r="AR132" s="8"/>
      <c r="AS132" s="8"/>
      <c r="AT132" s="8"/>
    </row>
    <row r="133">
      <c r="A133" s="11"/>
      <c r="B133" s="53"/>
      <c r="C133" s="8"/>
      <c r="D133" s="204">
        <v>0.0</v>
      </c>
      <c r="E133" s="31"/>
      <c r="F133" s="110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31"/>
      <c r="U133" s="93"/>
      <c r="V133" s="110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31"/>
      <c r="AM133" s="8"/>
      <c r="AN133" s="8"/>
      <c r="AO133" s="8"/>
      <c r="AP133" s="8"/>
      <c r="AQ133" s="8"/>
      <c r="AR133" s="8"/>
      <c r="AS133" s="8"/>
      <c r="AT133" s="8"/>
    </row>
    <row r="134">
      <c r="A134" s="11"/>
      <c r="B134" s="53"/>
      <c r="C134" s="8"/>
      <c r="D134" s="204">
        <v>0.0</v>
      </c>
      <c r="E134" s="31"/>
      <c r="F134" s="110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31"/>
      <c r="U134" s="93"/>
      <c r="V134" s="110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31"/>
      <c r="AM134" s="8"/>
      <c r="AN134" s="8"/>
      <c r="AO134" s="8"/>
      <c r="AP134" s="8"/>
      <c r="AQ134" s="8"/>
      <c r="AR134" s="8"/>
      <c r="AS134" s="8"/>
      <c r="AT134" s="8"/>
    </row>
    <row r="135">
      <c r="A135" s="11"/>
      <c r="B135" s="53"/>
      <c r="C135" s="8"/>
      <c r="D135" s="204">
        <v>0.0</v>
      </c>
      <c r="E135" s="31"/>
      <c r="F135" s="110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31"/>
      <c r="U135" s="93"/>
      <c r="V135" s="110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31"/>
      <c r="AM135" s="8"/>
      <c r="AN135" s="8"/>
      <c r="AO135" s="8"/>
      <c r="AP135" s="8"/>
      <c r="AQ135" s="8"/>
      <c r="AR135" s="8"/>
      <c r="AS135" s="8"/>
      <c r="AT135" s="8"/>
    </row>
    <row r="136">
      <c r="A136" s="11"/>
      <c r="B136" s="53"/>
      <c r="C136" s="8"/>
      <c r="D136" s="204">
        <v>0.0</v>
      </c>
      <c r="E136" s="31"/>
      <c r="F136" s="110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31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</row>
    <row r="137">
      <c r="A137" s="11"/>
      <c r="B137" s="53"/>
      <c r="C137" s="8"/>
      <c r="D137" s="204">
        <v>0.0</v>
      </c>
      <c r="E137" s="31"/>
      <c r="F137" s="110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31"/>
      <c r="U137" s="8"/>
      <c r="V137" s="193" t="s">
        <v>844</v>
      </c>
      <c r="W137" s="31"/>
      <c r="X137" s="203" t="str">
        <f>"Passivas - Regras"</f>
        <v>Passivas - Regras</v>
      </c>
      <c r="Y137" s="29"/>
      <c r="Z137" s="29"/>
      <c r="AA137" s="29"/>
      <c r="AB137" s="29"/>
      <c r="AC137" s="31"/>
      <c r="AD137" s="193" t="s">
        <v>844</v>
      </c>
      <c r="AE137" s="31"/>
      <c r="AF137" s="203" t="str">
        <f>"Passivas do Leque - "&amp;IF(DADOS!$AK$39&gt;DADOS!$AK$38,DADOS!$AK$39-DADOS!$AK$38&amp;" a mais",DADOS!$AK$38-DADOS!$AK$39&amp;" de "&amp;DADOS!$AK$38)</f>
        <v>Passivas do Leque - 0 de 0</v>
      </c>
      <c r="AG137" s="29"/>
      <c r="AH137" s="29"/>
      <c r="AI137" s="29"/>
      <c r="AJ137" s="29"/>
      <c r="AK137" s="29"/>
      <c r="AL137" s="31"/>
      <c r="AM137" s="8"/>
      <c r="AN137" s="8"/>
      <c r="AO137" s="8"/>
      <c r="AP137" s="8"/>
      <c r="AQ137" s="8"/>
      <c r="AR137" s="8"/>
      <c r="AS137" s="8"/>
      <c r="AT137" s="8"/>
    </row>
    <row r="138">
      <c r="A138" s="11"/>
      <c r="B138" s="53"/>
      <c r="C138" s="8"/>
      <c r="D138" s="204">
        <v>0.0</v>
      </c>
      <c r="E138" s="31"/>
      <c r="F138" s="110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31"/>
      <c r="U138" s="8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8"/>
      <c r="AN138" s="8"/>
      <c r="AO138" s="8"/>
      <c r="AP138" s="8"/>
      <c r="AQ138" s="8"/>
      <c r="AR138" s="8"/>
      <c r="AS138" s="8"/>
      <c r="AT138" s="8"/>
    </row>
    <row r="139">
      <c r="A139" s="11"/>
      <c r="B139" s="53"/>
      <c r="C139" s="8"/>
      <c r="D139" s="204">
        <v>0.0</v>
      </c>
      <c r="E139" s="31"/>
      <c r="F139" s="110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31"/>
      <c r="U139" s="8"/>
      <c r="V139" s="204">
        <v>0.0</v>
      </c>
      <c r="W139" s="31"/>
      <c r="X139" s="110"/>
      <c r="Y139" s="29"/>
      <c r="Z139" s="29"/>
      <c r="AA139" s="29"/>
      <c r="AB139" s="29"/>
      <c r="AC139" s="31"/>
      <c r="AD139" s="204">
        <v>0.0</v>
      </c>
      <c r="AE139" s="31"/>
      <c r="AF139" s="110"/>
      <c r="AG139" s="29"/>
      <c r="AH139" s="29"/>
      <c r="AI139" s="29"/>
      <c r="AJ139" s="29"/>
      <c r="AK139" s="29"/>
      <c r="AL139" s="31"/>
      <c r="AM139" s="8"/>
      <c r="AN139" s="8"/>
      <c r="AO139" s="8"/>
      <c r="AP139" s="8"/>
      <c r="AQ139" s="8"/>
      <c r="AR139" s="8"/>
      <c r="AS139" s="8"/>
      <c r="AT139" s="8"/>
    </row>
    <row r="140">
      <c r="A140" s="11"/>
      <c r="B140" s="53"/>
      <c r="C140" s="8"/>
      <c r="D140" s="204">
        <v>0.0</v>
      </c>
      <c r="E140" s="31"/>
      <c r="F140" s="110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31"/>
      <c r="U140" s="8"/>
      <c r="V140" s="204">
        <v>0.0</v>
      </c>
      <c r="W140" s="31"/>
      <c r="X140" s="110"/>
      <c r="Y140" s="29"/>
      <c r="Z140" s="29"/>
      <c r="AA140" s="29"/>
      <c r="AB140" s="29"/>
      <c r="AC140" s="31"/>
      <c r="AD140" s="204">
        <v>0.0</v>
      </c>
      <c r="AE140" s="31"/>
      <c r="AF140" s="110"/>
      <c r="AG140" s="29"/>
      <c r="AH140" s="29"/>
      <c r="AI140" s="29"/>
      <c r="AJ140" s="29"/>
      <c r="AK140" s="29"/>
      <c r="AL140" s="31"/>
      <c r="AM140" s="8"/>
      <c r="AN140" s="8"/>
      <c r="AO140" s="8"/>
      <c r="AP140" s="8"/>
      <c r="AQ140" s="8"/>
      <c r="AR140" s="8"/>
      <c r="AS140" s="8"/>
      <c r="AT140" s="8"/>
    </row>
    <row r="141">
      <c r="A141" s="11"/>
      <c r="B141" s="53"/>
      <c r="C141" s="8"/>
      <c r="D141" s="204">
        <v>0.0</v>
      </c>
      <c r="E141" s="31"/>
      <c r="F141" s="110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31"/>
      <c r="U141" s="8"/>
      <c r="V141" s="204">
        <v>0.0</v>
      </c>
      <c r="W141" s="31"/>
      <c r="X141" s="110"/>
      <c r="Y141" s="29"/>
      <c r="Z141" s="29"/>
      <c r="AA141" s="29"/>
      <c r="AB141" s="29"/>
      <c r="AC141" s="31"/>
      <c r="AD141" s="204">
        <v>0.0</v>
      </c>
      <c r="AE141" s="31"/>
      <c r="AF141" s="110"/>
      <c r="AG141" s="29"/>
      <c r="AH141" s="29"/>
      <c r="AI141" s="29"/>
      <c r="AJ141" s="29"/>
      <c r="AK141" s="29"/>
      <c r="AL141" s="31"/>
      <c r="AM141" s="8"/>
      <c r="AN141" s="8"/>
      <c r="AO141" s="8"/>
      <c r="AP141" s="8"/>
      <c r="AQ141" s="8"/>
      <c r="AR141" s="8"/>
      <c r="AS141" s="8"/>
      <c r="AT141" s="8"/>
    </row>
    <row r="142">
      <c r="A142" s="11"/>
      <c r="B142" s="53"/>
      <c r="C142" s="8"/>
      <c r="D142" s="204">
        <v>0.0</v>
      </c>
      <c r="E142" s="31"/>
      <c r="F142" s="110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31"/>
      <c r="U142" s="8"/>
      <c r="V142" s="204">
        <v>0.0</v>
      </c>
      <c r="W142" s="31"/>
      <c r="X142" s="110"/>
      <c r="Y142" s="29"/>
      <c r="Z142" s="29"/>
      <c r="AA142" s="29"/>
      <c r="AB142" s="29"/>
      <c r="AC142" s="31"/>
      <c r="AD142" s="204">
        <v>0.0</v>
      </c>
      <c r="AE142" s="31"/>
      <c r="AF142" s="110"/>
      <c r="AG142" s="29"/>
      <c r="AH142" s="29"/>
      <c r="AI142" s="29"/>
      <c r="AJ142" s="29"/>
      <c r="AK142" s="29"/>
      <c r="AL142" s="31"/>
      <c r="AM142" s="8"/>
      <c r="AN142" s="8"/>
      <c r="AO142" s="8"/>
      <c r="AP142" s="8"/>
      <c r="AQ142" s="8"/>
      <c r="AR142" s="8"/>
      <c r="AS142" s="8"/>
      <c r="AT142" s="8"/>
    </row>
    <row r="143">
      <c r="A143" s="11"/>
      <c r="B143" s="53"/>
      <c r="C143" s="8"/>
      <c r="D143" s="204">
        <v>0.0</v>
      </c>
      <c r="E143" s="31"/>
      <c r="F143" s="110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31"/>
      <c r="U143" s="8"/>
      <c r="V143" s="204">
        <v>0.0</v>
      </c>
      <c r="W143" s="31"/>
      <c r="X143" s="110"/>
      <c r="Y143" s="29"/>
      <c r="Z143" s="29"/>
      <c r="AA143" s="29"/>
      <c r="AB143" s="29"/>
      <c r="AC143" s="31"/>
      <c r="AD143" s="204">
        <v>0.0</v>
      </c>
      <c r="AE143" s="31"/>
      <c r="AF143" s="110"/>
      <c r="AG143" s="29"/>
      <c r="AH143" s="29"/>
      <c r="AI143" s="29"/>
      <c r="AJ143" s="29"/>
      <c r="AK143" s="29"/>
      <c r="AL143" s="31"/>
      <c r="AM143" s="8"/>
      <c r="AN143" s="8"/>
      <c r="AO143" s="8"/>
      <c r="AP143" s="8"/>
      <c r="AQ143" s="8"/>
      <c r="AR143" s="8"/>
      <c r="AS143" s="8"/>
      <c r="AT143" s="8"/>
      <c r="AU143" s="8"/>
    </row>
    <row r="144">
      <c r="A144" s="11"/>
      <c r="B144" s="53"/>
      <c r="C144" s="8"/>
      <c r="D144" s="204">
        <v>0.0</v>
      </c>
      <c r="E144" s="31"/>
      <c r="F144" s="110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31"/>
      <c r="U144" s="8"/>
      <c r="V144" s="204">
        <v>0.0</v>
      </c>
      <c r="W144" s="31"/>
      <c r="X144" s="110"/>
      <c r="Y144" s="29"/>
      <c r="Z144" s="29"/>
      <c r="AA144" s="29"/>
      <c r="AB144" s="29"/>
      <c r="AC144" s="31"/>
      <c r="AD144" s="204">
        <v>0.0</v>
      </c>
      <c r="AE144" s="31"/>
      <c r="AF144" s="110"/>
      <c r="AG144" s="29"/>
      <c r="AH144" s="29"/>
      <c r="AI144" s="29"/>
      <c r="AJ144" s="29"/>
      <c r="AK144" s="29"/>
      <c r="AL144" s="31"/>
      <c r="AM144" s="8"/>
      <c r="AN144" s="8"/>
      <c r="AO144" s="8"/>
      <c r="AP144" s="8"/>
      <c r="AQ144" s="8"/>
      <c r="AR144" s="8"/>
      <c r="AS144" s="8"/>
      <c r="AT144" s="8"/>
      <c r="AU144" s="8"/>
    </row>
    <row r="145">
      <c r="A145" s="11"/>
      <c r="B145" s="53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>
      <c r="A146" s="11"/>
      <c r="B146" s="53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>
      <c r="A147" s="11"/>
      <c r="B147" s="53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>
      <c r="A148" s="11"/>
      <c r="B148" s="53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>
      <c r="A149" s="11"/>
      <c r="B149" s="53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>
      <c r="A150" s="11"/>
      <c r="B150" s="53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</sheetData>
  <mergeCells count="378">
    <mergeCell ref="A8:B29"/>
    <mergeCell ref="D8:F9"/>
    <mergeCell ref="D15:F17"/>
    <mergeCell ref="D26:H27"/>
    <mergeCell ref="G8:X8"/>
    <mergeCell ref="D10:L10"/>
    <mergeCell ref="N10:V10"/>
    <mergeCell ref="X10:AF10"/>
    <mergeCell ref="AH10:AL10"/>
    <mergeCell ref="Z14:AI14"/>
    <mergeCell ref="AK14:AT14"/>
    <mergeCell ref="AK15:AL15"/>
    <mergeCell ref="AM15:AN15"/>
    <mergeCell ref="AJ22:AP22"/>
    <mergeCell ref="AM25:AR25"/>
    <mergeCell ref="AM26:AR26"/>
    <mergeCell ref="AM29:AR29"/>
    <mergeCell ref="AO15:AP15"/>
    <mergeCell ref="AQ15:AR15"/>
    <mergeCell ref="J26:N27"/>
    <mergeCell ref="P26:AD27"/>
    <mergeCell ref="AF26:AK26"/>
    <mergeCell ref="D29:N29"/>
    <mergeCell ref="AF29:AK29"/>
    <mergeCell ref="G15:X15"/>
    <mergeCell ref="Z15:AI15"/>
    <mergeCell ref="L22:R22"/>
    <mergeCell ref="T22:Z22"/>
    <mergeCell ref="AB22:AH22"/>
    <mergeCell ref="D25:N25"/>
    <mergeCell ref="AF25:AK25"/>
    <mergeCell ref="AN10:AT10"/>
    <mergeCell ref="D11:L11"/>
    <mergeCell ref="N11:V11"/>
    <mergeCell ref="X11:AF11"/>
    <mergeCell ref="AH11:AL11"/>
    <mergeCell ref="AN11:AT11"/>
    <mergeCell ref="AS15:AT15"/>
    <mergeCell ref="AK16:AL16"/>
    <mergeCell ref="AM16:AN16"/>
    <mergeCell ref="AO16:AP16"/>
    <mergeCell ref="AQ16:AR16"/>
    <mergeCell ref="AS16:AT16"/>
    <mergeCell ref="D18:J18"/>
    <mergeCell ref="L18:R18"/>
    <mergeCell ref="T18:Z18"/>
    <mergeCell ref="AB18:AH18"/>
    <mergeCell ref="D21:J21"/>
    <mergeCell ref="L21:R21"/>
    <mergeCell ref="T21:Z21"/>
    <mergeCell ref="AB21:AH21"/>
    <mergeCell ref="AJ21:AP21"/>
    <mergeCell ref="D22:J22"/>
    <mergeCell ref="AJ18:AP18"/>
    <mergeCell ref="D19:J20"/>
    <mergeCell ref="L19:R20"/>
    <mergeCell ref="T19:Z20"/>
    <mergeCell ref="AB19:AH20"/>
    <mergeCell ref="AJ19:AP20"/>
    <mergeCell ref="D30:H31"/>
    <mergeCell ref="J30:N31"/>
    <mergeCell ref="P30:AD31"/>
    <mergeCell ref="AF30:AK30"/>
    <mergeCell ref="AF33:AK33"/>
    <mergeCell ref="AF34:AK34"/>
    <mergeCell ref="AM34:AR34"/>
    <mergeCell ref="D37:AT37"/>
    <mergeCell ref="Z39:AI39"/>
    <mergeCell ref="AK39:AN39"/>
    <mergeCell ref="AO39:AP39"/>
    <mergeCell ref="AQ39:AR39"/>
    <mergeCell ref="D40:F41"/>
    <mergeCell ref="G40:X40"/>
    <mergeCell ref="AS39:AT39"/>
    <mergeCell ref="Z40:AI40"/>
    <mergeCell ref="AQ40:AR40"/>
    <mergeCell ref="AS40:AT40"/>
    <mergeCell ref="AK40:AN40"/>
    <mergeCell ref="AO40:AP40"/>
    <mergeCell ref="D42:K42"/>
    <mergeCell ref="L42:M42"/>
    <mergeCell ref="O42:X42"/>
    <mergeCell ref="Z42:AI42"/>
    <mergeCell ref="AK42:AR42"/>
    <mergeCell ref="AS42:AT42"/>
    <mergeCell ref="D43:K43"/>
    <mergeCell ref="L43:M43"/>
    <mergeCell ref="O43:X43"/>
    <mergeCell ref="Z43:AI43"/>
    <mergeCell ref="D34:H35"/>
    <mergeCell ref="D46:K46"/>
    <mergeCell ref="AS43:AT43"/>
    <mergeCell ref="L46:M46"/>
    <mergeCell ref="Z46:AG46"/>
    <mergeCell ref="AH46:AI46"/>
    <mergeCell ref="AK46:AR46"/>
    <mergeCell ref="AS46:AT46"/>
    <mergeCell ref="O46:V46"/>
    <mergeCell ref="W46:X46"/>
    <mergeCell ref="D47:K47"/>
    <mergeCell ref="L47:M47"/>
    <mergeCell ref="O47:V47"/>
    <mergeCell ref="W47:X47"/>
    <mergeCell ref="Z47:AG47"/>
    <mergeCell ref="AH47:AI47"/>
    <mergeCell ref="AK47:AR47"/>
    <mergeCell ref="D50:M50"/>
    <mergeCell ref="W50:X50"/>
    <mergeCell ref="Z50:AI50"/>
    <mergeCell ref="AS47:AT47"/>
    <mergeCell ref="O50:V50"/>
    <mergeCell ref="AK50:AT50"/>
    <mergeCell ref="D51:M51"/>
    <mergeCell ref="O51:V51"/>
    <mergeCell ref="W51:X51"/>
    <mergeCell ref="Z51:AI51"/>
    <mergeCell ref="AK51:AT51"/>
    <mergeCell ref="AE53:AO53"/>
    <mergeCell ref="D54:F55"/>
    <mergeCell ref="G54:X54"/>
    <mergeCell ref="AE54:AO54"/>
    <mergeCell ref="D56:M56"/>
    <mergeCell ref="O56:X56"/>
    <mergeCell ref="Z56:AI56"/>
    <mergeCell ref="AK56:AT56"/>
    <mergeCell ref="D57:M57"/>
    <mergeCell ref="O57:X57"/>
    <mergeCell ref="Z57:AI57"/>
    <mergeCell ref="AK57:AT57"/>
    <mergeCell ref="D60:F62"/>
    <mergeCell ref="G60:AD60"/>
    <mergeCell ref="AK62:AT62"/>
    <mergeCell ref="V63:AC63"/>
    <mergeCell ref="AD63:AE63"/>
    <mergeCell ref="AF63:AG63"/>
    <mergeCell ref="AK63:AT64"/>
    <mergeCell ref="F64:M64"/>
    <mergeCell ref="N64:O64"/>
    <mergeCell ref="P64:Q64"/>
    <mergeCell ref="V64:AC64"/>
    <mergeCell ref="AD64:AE64"/>
    <mergeCell ref="AF64:AG64"/>
    <mergeCell ref="F65:M65"/>
    <mergeCell ref="N65:O65"/>
    <mergeCell ref="P65:Q65"/>
    <mergeCell ref="V65:AC65"/>
    <mergeCell ref="P114:Z117"/>
    <mergeCell ref="AB114:AL117"/>
    <mergeCell ref="D119:F120"/>
    <mergeCell ref="G119:AH119"/>
    <mergeCell ref="D122:E122"/>
    <mergeCell ref="F122:T122"/>
    <mergeCell ref="V122:AL122"/>
    <mergeCell ref="D124:E124"/>
    <mergeCell ref="F124:T124"/>
    <mergeCell ref="V124:AL124"/>
    <mergeCell ref="D125:E125"/>
    <mergeCell ref="F125:T125"/>
    <mergeCell ref="V125:AL125"/>
    <mergeCell ref="D126:E126"/>
    <mergeCell ref="F126:T126"/>
    <mergeCell ref="V126:AL126"/>
    <mergeCell ref="D127:E127"/>
    <mergeCell ref="F127:T127"/>
    <mergeCell ref="V127:AL127"/>
    <mergeCell ref="D128:E128"/>
    <mergeCell ref="F128:T128"/>
    <mergeCell ref="V128:AL128"/>
    <mergeCell ref="D129:E129"/>
    <mergeCell ref="F129:T129"/>
    <mergeCell ref="V129:AL129"/>
    <mergeCell ref="D130:E130"/>
    <mergeCell ref="F130:T130"/>
    <mergeCell ref="V130:AL130"/>
    <mergeCell ref="D131:E131"/>
    <mergeCell ref="F131:T131"/>
    <mergeCell ref="V131:AL131"/>
    <mergeCell ref="D132:E132"/>
    <mergeCell ref="F132:T132"/>
    <mergeCell ref="V132:AL132"/>
    <mergeCell ref="D133:E133"/>
    <mergeCell ref="F133:T133"/>
    <mergeCell ref="V133:AL133"/>
    <mergeCell ref="D134:E134"/>
    <mergeCell ref="F134:T134"/>
    <mergeCell ref="V134:AL134"/>
    <mergeCell ref="D135:E135"/>
    <mergeCell ref="F135:T135"/>
    <mergeCell ref="V135:AL135"/>
    <mergeCell ref="D136:E136"/>
    <mergeCell ref="F136:T136"/>
    <mergeCell ref="D137:E137"/>
    <mergeCell ref="F137:T137"/>
    <mergeCell ref="V137:W137"/>
    <mergeCell ref="X137:AC137"/>
    <mergeCell ref="AD137:AE137"/>
    <mergeCell ref="AF137:AL137"/>
    <mergeCell ref="D138:E138"/>
    <mergeCell ref="F138:T138"/>
    <mergeCell ref="AM30:AR30"/>
    <mergeCell ref="A33:B51"/>
    <mergeCell ref="D33:N33"/>
    <mergeCell ref="AM33:AR33"/>
    <mergeCell ref="J34:N35"/>
    <mergeCell ref="P34:AD35"/>
    <mergeCell ref="AK43:AR43"/>
    <mergeCell ref="V141:W141"/>
    <mergeCell ref="X141:AC141"/>
    <mergeCell ref="AD141:AE141"/>
    <mergeCell ref="AF141:AL141"/>
    <mergeCell ref="D142:E142"/>
    <mergeCell ref="F142:T142"/>
    <mergeCell ref="D143:E143"/>
    <mergeCell ref="F143:T143"/>
    <mergeCell ref="V143:W143"/>
    <mergeCell ref="D144:E144"/>
    <mergeCell ref="F144:T144"/>
    <mergeCell ref="V144:W144"/>
    <mergeCell ref="V142:W142"/>
    <mergeCell ref="X142:AC142"/>
    <mergeCell ref="X143:AC143"/>
    <mergeCell ref="AD143:AE143"/>
    <mergeCell ref="X144:AC144"/>
    <mergeCell ref="AD144:AE144"/>
    <mergeCell ref="AD142:AE142"/>
    <mergeCell ref="AF142:AL142"/>
    <mergeCell ref="AF143:AL143"/>
    <mergeCell ref="AF144:AL144"/>
    <mergeCell ref="D2:X2"/>
    <mergeCell ref="AH2:AT2"/>
    <mergeCell ref="D3:Z4"/>
    <mergeCell ref="AH3:AT3"/>
    <mergeCell ref="D5:Z5"/>
    <mergeCell ref="C6:AR6"/>
    <mergeCell ref="AU6:AU142"/>
    <mergeCell ref="D139:E139"/>
    <mergeCell ref="F139:T139"/>
    <mergeCell ref="V139:W139"/>
    <mergeCell ref="X139:AC139"/>
    <mergeCell ref="AD139:AE139"/>
    <mergeCell ref="AF139:AL139"/>
    <mergeCell ref="D140:E140"/>
    <mergeCell ref="F140:T140"/>
    <mergeCell ref="V140:W140"/>
    <mergeCell ref="X140:AC140"/>
    <mergeCell ref="AD140:AE140"/>
    <mergeCell ref="AF140:AL140"/>
    <mergeCell ref="D141:E141"/>
    <mergeCell ref="F141:T141"/>
    <mergeCell ref="AD65:AE65"/>
    <mergeCell ref="AF65:AG65"/>
    <mergeCell ref="AK65:AT66"/>
    <mergeCell ref="F66:M66"/>
    <mergeCell ref="N66:O66"/>
    <mergeCell ref="P66:Q66"/>
    <mergeCell ref="V66:AC66"/>
    <mergeCell ref="AD66:AE66"/>
    <mergeCell ref="AF66:AG66"/>
    <mergeCell ref="F67:M67"/>
    <mergeCell ref="N67:O67"/>
    <mergeCell ref="P67:Q67"/>
    <mergeCell ref="V67:AC67"/>
    <mergeCell ref="AD67:AE67"/>
    <mergeCell ref="AF67:AG67"/>
    <mergeCell ref="AK67:AT68"/>
    <mergeCell ref="F68:M68"/>
    <mergeCell ref="N68:O68"/>
    <mergeCell ref="P68:Q68"/>
    <mergeCell ref="V68:AC68"/>
    <mergeCell ref="AD68:AE68"/>
    <mergeCell ref="AF68:AG68"/>
    <mergeCell ref="F69:M69"/>
    <mergeCell ref="N69:O69"/>
    <mergeCell ref="P69:Q69"/>
    <mergeCell ref="V69:AC69"/>
    <mergeCell ref="AD69:AE69"/>
    <mergeCell ref="AF69:AG69"/>
    <mergeCell ref="AK69:AT70"/>
    <mergeCell ref="F70:M70"/>
    <mergeCell ref="N70:O70"/>
    <mergeCell ref="P70:Q70"/>
    <mergeCell ref="V70:AC70"/>
    <mergeCell ref="AD70:AE70"/>
    <mergeCell ref="AF70:AG70"/>
    <mergeCell ref="F71:M71"/>
    <mergeCell ref="N71:O71"/>
    <mergeCell ref="P71:Q71"/>
    <mergeCell ref="V71:AC71"/>
    <mergeCell ref="AD71:AE71"/>
    <mergeCell ref="AF71:AG71"/>
    <mergeCell ref="AM71:AT71"/>
    <mergeCell ref="F72:M72"/>
    <mergeCell ref="N72:O72"/>
    <mergeCell ref="P72:Q72"/>
    <mergeCell ref="V72:AC72"/>
    <mergeCell ref="AD72:AE72"/>
    <mergeCell ref="AF72:AG72"/>
    <mergeCell ref="AK72:AT72"/>
    <mergeCell ref="F73:M73"/>
    <mergeCell ref="N73:O73"/>
    <mergeCell ref="P73:Q73"/>
    <mergeCell ref="V73:AC73"/>
    <mergeCell ref="AD73:AE73"/>
    <mergeCell ref="AF73:AG73"/>
    <mergeCell ref="AK73:AT74"/>
    <mergeCell ref="F74:M74"/>
    <mergeCell ref="N74:O74"/>
    <mergeCell ref="P74:Q74"/>
    <mergeCell ref="V74:AC74"/>
    <mergeCell ref="AD74:AE74"/>
    <mergeCell ref="AF74:AG74"/>
    <mergeCell ref="D76:F77"/>
    <mergeCell ref="G76:AH76"/>
    <mergeCell ref="AK76:AT76"/>
    <mergeCell ref="F79:J79"/>
    <mergeCell ref="K79:M79"/>
    <mergeCell ref="S79:W79"/>
    <mergeCell ref="X79:Z79"/>
    <mergeCell ref="AG79:AI79"/>
    <mergeCell ref="AK79:AO79"/>
    <mergeCell ref="AP79:AT79"/>
    <mergeCell ref="F80:J80"/>
    <mergeCell ref="K80:M80"/>
    <mergeCell ref="S80:W80"/>
    <mergeCell ref="X80:Z80"/>
    <mergeCell ref="AG80:AI80"/>
    <mergeCell ref="AK80:AO80"/>
    <mergeCell ref="AP80:AT80"/>
    <mergeCell ref="F81:J81"/>
    <mergeCell ref="K81:M81"/>
    <mergeCell ref="S81:W81"/>
    <mergeCell ref="X81:Z81"/>
    <mergeCell ref="AG81:AI81"/>
    <mergeCell ref="AK81:AO81"/>
    <mergeCell ref="AP81:AT81"/>
    <mergeCell ref="F82:J82"/>
    <mergeCell ref="K82:M82"/>
    <mergeCell ref="S82:W82"/>
    <mergeCell ref="X82:Z82"/>
    <mergeCell ref="AG82:AI82"/>
    <mergeCell ref="AK82:AO82"/>
    <mergeCell ref="AP82:AT82"/>
    <mergeCell ref="F83:J83"/>
    <mergeCell ref="K83:M83"/>
    <mergeCell ref="S83:W83"/>
    <mergeCell ref="X83:Z83"/>
    <mergeCell ref="F84:J84"/>
    <mergeCell ref="K84:M84"/>
    <mergeCell ref="AF84:AM84"/>
    <mergeCell ref="AN84:AT84"/>
    <mergeCell ref="AF85:AM85"/>
    <mergeCell ref="AN85:AT85"/>
    <mergeCell ref="D88:F89"/>
    <mergeCell ref="G88:AH88"/>
    <mergeCell ref="D90:M90"/>
    <mergeCell ref="D91:N91"/>
    <mergeCell ref="P91:Z91"/>
    <mergeCell ref="AB91:AL91"/>
    <mergeCell ref="AP92:AR96"/>
    <mergeCell ref="D93:N96"/>
    <mergeCell ref="P93:Z96"/>
    <mergeCell ref="AB93:AL96"/>
    <mergeCell ref="D98:N98"/>
    <mergeCell ref="P98:Z98"/>
    <mergeCell ref="AB98:AL98"/>
    <mergeCell ref="D100:N103"/>
    <mergeCell ref="P100:Z103"/>
    <mergeCell ref="AB100:AL103"/>
    <mergeCell ref="D105:N105"/>
    <mergeCell ref="P105:Z105"/>
    <mergeCell ref="AB105:AL105"/>
    <mergeCell ref="D107:N110"/>
    <mergeCell ref="P107:Z110"/>
    <mergeCell ref="AB107:AL110"/>
    <mergeCell ref="D112:N112"/>
    <mergeCell ref="P112:Z112"/>
    <mergeCell ref="AB112:AL112"/>
    <mergeCell ref="D114:N117"/>
  </mergeCells>
  <conditionalFormatting sqref="D26">
    <cfRule type="expression" dxfId="0" priority="1" stopIfTrue="1">
      <formula>AND(N(J26)&gt;0,D26/J26&lt;=0.25)</formula>
    </cfRule>
  </conditionalFormatting>
  <conditionalFormatting sqref="D26">
    <cfRule type="expression" dxfId="1" priority="2" stopIfTrue="1">
      <formula>AND(N(J26)&gt;0,D26/J26&lt;=0.5)</formula>
    </cfRule>
  </conditionalFormatting>
  <conditionalFormatting sqref="D30">
    <cfRule type="expression" dxfId="0" priority="3" stopIfTrue="1">
      <formula>AND(N(J30)&gt;0,D30/J30&lt;=0.25)</formula>
    </cfRule>
  </conditionalFormatting>
  <conditionalFormatting sqref="D30">
    <cfRule type="expression" dxfId="1" priority="4" stopIfTrue="1">
      <formula>AND(N(J30)&gt;0,D30/J30&lt;=0.5)</formula>
    </cfRule>
  </conditionalFormatting>
  <conditionalFormatting sqref="D34">
    <cfRule type="expression" dxfId="0" priority="5" stopIfTrue="1">
      <formula>AND(N(J34)&gt;0,D34/J34&lt;=0.25)</formula>
    </cfRule>
  </conditionalFormatting>
  <conditionalFormatting sqref="D34">
    <cfRule type="expression" dxfId="1" priority="6" stopIfTrue="1">
      <formula>AND(N(J34)&gt;0,D34/J34&lt;=0.5)</formula>
    </cfRule>
  </conditionalFormatting>
  <conditionalFormatting sqref="Z15 AK14 AK40 AK73 AF85 AN85 V122 AF137">
    <cfRule type="containsText" dxfId="0" priority="7" stopIfTrue="1" operator="containsText" text=" a mais">
      <formula>NOT(ISERROR(SEARCH((" a mais"),(Z15))))</formula>
    </cfRule>
  </conditionalFormatting>
  <conditionalFormatting sqref="Z15 AK14 AK40 AK73 AF85 AN85 V122 AF137">
    <cfRule type="containsText" dxfId="0" priority="8" stopIfTrue="1" operator="containsText" text="passou de">
      <formula>NOT(ISERROR(SEARCH(("passou de"),(Z15))))</formula>
    </cfRule>
  </conditionalFormatting>
  <conditionalFormatting sqref="Z15 AK14 AK40 AK73 AF85 AN85 V122 AF137">
    <cfRule type="containsText" dxfId="0" priority="9" stopIfTrue="1" operator="containsText" text="só no nível">
      <formula>NOT(ISERROR(SEARCH(("só no nível"),(Z15))))</formula>
    </cfRule>
  </conditionalFormatting>
  <conditionalFormatting sqref="Z15 AK14 AK40 AK73 AF85 AN85 V122 AF137">
    <cfRule type="containsText" dxfId="0" priority="10" stopIfTrue="1" operator="containsText" text="nenhum acima">
      <formula>NOT(ISERROR(SEARCH(("nenhum acima"),(Z15))))</formula>
    </cfRule>
  </conditionalFormatting>
  <dataValidations>
    <dataValidation type="list" allowBlank="1" sqref="X11">
      <formula1>DADOS!$I$4:$I$16</formula1>
    </dataValidation>
    <dataValidation type="list" allowBlank="1" sqref="AK79">
      <formula1>"FORÇA,DESTREZA"</formula1>
    </dataValidation>
    <dataValidation type="list" allowBlank="1" sqref="N11">
      <formula1>DADOS!$AP$5:$AP$20</formula1>
    </dataValidation>
    <dataValidation type="list" allowBlank="1" sqref="Z51 AK51 AE54 X79:X83 K79:K84">
      <formula1>"FORÇA,DESTREZA,CONSTITUIÇÃO,INTELIGÊNCIA,ESSÊNCIA"</formula1>
    </dataValidation>
    <dataValidation type="list" allowBlank="1" sqref="AK15 AM15 AO15 AQ15 AS15 AO40 AQ40 AS40">
      <formula1>"0,1,2,3,4,5,6,7"</formula1>
    </dataValidation>
    <dataValidation type="list" allowBlank="1" sqref="AK65">
      <formula1>"Não trocou,1 arma (-2 pericias),2 armas (-4 pericias)"</formula1>
    </dataValidation>
    <dataValidation type="list" allowBlank="1" sqref="D124:D144">
      <formula1>"0,1,2,3,4,5,6,7,Lib. Max.,Téc. Max."</formula1>
    </dataValidation>
    <dataValidation type="list" allowBlank="1" sqref="V139:V144 AD139:AD144">
      <formula1>"0,1,2,3"</formula1>
    </dataValidation>
    <dataValidation type="list" allowBlank="1" sqref="Z43">
      <formula1>DADOS!$AE$5:$AE$31</formula1>
    </dataValidation>
    <dataValidation type="list" allowBlank="1" sqref="D11">
      <formula1>DADOS!$AM$5:$AM$10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54" width="19.38"/>
  </cols>
  <sheetData>
    <row r="1" ht="17.25" customHeight="1">
      <c r="A1" s="2" t="s">
        <v>0</v>
      </c>
      <c r="B1" s="3" t="s">
        <v>1</v>
      </c>
      <c r="C1" s="4" t="s">
        <v>2</v>
      </c>
      <c r="D1" s="3" t="s">
        <v>1</v>
      </c>
      <c r="E1" s="5" t="s">
        <v>3</v>
      </c>
      <c r="F1" s="5" t="s">
        <v>4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</row>
    <row r="2">
      <c r="A2" s="4" t="s">
        <v>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3">
      <c r="A3" s="15" t="s">
        <v>9</v>
      </c>
      <c r="B3" s="15" t="s">
        <v>10</v>
      </c>
      <c r="C3" s="15" t="s">
        <v>11</v>
      </c>
      <c r="D3" s="15" t="s">
        <v>12</v>
      </c>
      <c r="E3" s="15" t="s">
        <v>13</v>
      </c>
      <c r="F3" s="15" t="s">
        <v>14</v>
      </c>
      <c r="G3" s="15" t="s">
        <v>15</v>
      </c>
      <c r="H3" s="15" t="s">
        <v>16</v>
      </c>
      <c r="I3" s="15" t="s">
        <v>17</v>
      </c>
      <c r="J3" s="15" t="s">
        <v>18</v>
      </c>
      <c r="K3" s="15" t="s">
        <v>19</v>
      </c>
      <c r="L3" s="15" t="s">
        <v>20</v>
      </c>
      <c r="M3" s="8"/>
      <c r="N3" s="15" t="s">
        <v>21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</row>
    <row r="4" ht="17.25" customHeight="1">
      <c r="A4" s="19" t="s">
        <v>22</v>
      </c>
      <c r="B4" s="19" t="s">
        <v>23</v>
      </c>
      <c r="C4" s="19" t="s">
        <v>24</v>
      </c>
      <c r="D4" s="19" t="s">
        <v>25</v>
      </c>
      <c r="E4" s="19" t="s">
        <v>26</v>
      </c>
      <c r="F4" s="19" t="s">
        <v>27</v>
      </c>
      <c r="G4" s="19" t="s">
        <v>28</v>
      </c>
      <c r="H4" s="19" t="s">
        <v>29</v>
      </c>
      <c r="I4" s="19" t="s">
        <v>30</v>
      </c>
      <c r="J4" s="19" t="s">
        <v>31</v>
      </c>
      <c r="K4" s="19" t="s">
        <v>32</v>
      </c>
      <c r="L4" s="19" t="s">
        <v>33</v>
      </c>
      <c r="M4" s="8"/>
      <c r="N4" s="22" t="s">
        <v>34</v>
      </c>
      <c r="O4" s="22" t="s">
        <v>37</v>
      </c>
      <c r="P4" s="22" t="s">
        <v>38</v>
      </c>
      <c r="Q4" s="22" t="s">
        <v>39</v>
      </c>
      <c r="R4" s="22" t="s">
        <v>40</v>
      </c>
      <c r="S4" s="22" t="s">
        <v>41</v>
      </c>
      <c r="T4" s="22" t="s">
        <v>42</v>
      </c>
      <c r="U4" s="24"/>
      <c r="V4" s="8"/>
      <c r="W4" s="22" t="s">
        <v>44</v>
      </c>
      <c r="X4" s="22" t="s">
        <v>45</v>
      </c>
      <c r="Y4" s="22" t="s">
        <v>46</v>
      </c>
      <c r="Z4" s="22" t="s">
        <v>47</v>
      </c>
      <c r="AA4" s="8"/>
      <c r="AB4" s="22" t="s">
        <v>48</v>
      </c>
      <c r="AC4" s="22" t="s">
        <v>49</v>
      </c>
      <c r="AD4" s="8"/>
      <c r="AE4" s="22" t="s">
        <v>50</v>
      </c>
      <c r="AF4" s="22" t="s">
        <v>51</v>
      </c>
      <c r="AG4" s="22" t="s">
        <v>52</v>
      </c>
      <c r="AH4" s="22" t="s">
        <v>53</v>
      </c>
      <c r="AI4" s="8"/>
      <c r="AJ4" s="22" t="s">
        <v>54</v>
      </c>
      <c r="AK4" s="22" t="s">
        <v>55</v>
      </c>
      <c r="AL4" s="8"/>
      <c r="AM4" s="22" t="s">
        <v>56</v>
      </c>
      <c r="AN4" s="22" t="s">
        <v>57</v>
      </c>
      <c r="AO4" s="22" t="s">
        <v>58</v>
      </c>
      <c r="AP4" s="22" t="s">
        <v>59</v>
      </c>
      <c r="AQ4" s="22" t="s">
        <v>60</v>
      </c>
      <c r="AR4" s="22" t="s">
        <v>61</v>
      </c>
      <c r="AS4" s="8"/>
      <c r="AT4" s="8"/>
      <c r="AU4" s="8"/>
      <c r="AV4" s="8"/>
      <c r="AW4" s="8"/>
      <c r="AX4" s="8"/>
      <c r="AY4" s="8"/>
      <c r="AZ4" s="8"/>
      <c r="BA4" s="22" t="s">
        <v>62</v>
      </c>
      <c r="BB4" s="22" t="s">
        <v>63</v>
      </c>
    </row>
    <row r="5" ht="17.25" customHeight="1">
      <c r="A5" s="19" t="s">
        <v>64</v>
      </c>
      <c r="B5" s="19" t="s">
        <v>65</v>
      </c>
      <c r="C5" s="19" t="s">
        <v>66</v>
      </c>
      <c r="D5" s="19" t="s">
        <v>67</v>
      </c>
      <c r="E5" s="19" t="s">
        <v>68</v>
      </c>
      <c r="F5" s="19" t="s">
        <v>69</v>
      </c>
      <c r="G5" s="19" t="s">
        <v>70</v>
      </c>
      <c r="H5" s="19" t="s">
        <v>71</v>
      </c>
      <c r="I5" s="19" t="s">
        <v>72</v>
      </c>
      <c r="J5" s="19" t="s">
        <v>73</v>
      </c>
      <c r="K5" s="19" t="s">
        <v>74</v>
      </c>
      <c r="L5" s="19" t="s">
        <v>75</v>
      </c>
      <c r="M5" s="8"/>
      <c r="N5" s="19" t="s">
        <v>22</v>
      </c>
      <c r="O5" s="19" t="s">
        <v>76</v>
      </c>
      <c r="P5" s="30">
        <v>12.0</v>
      </c>
      <c r="Q5" s="30">
        <v>7.0</v>
      </c>
      <c r="R5" s="30">
        <v>4.0</v>
      </c>
      <c r="S5" s="19" t="s">
        <v>23</v>
      </c>
      <c r="T5" s="19" t="s">
        <v>77</v>
      </c>
      <c r="U5" s="6"/>
      <c r="V5" s="8"/>
      <c r="W5" s="32">
        <v>6.0</v>
      </c>
      <c r="X5" s="32">
        <v>10.0</v>
      </c>
      <c r="Y5" s="32">
        <v>1.0</v>
      </c>
      <c r="Z5" s="32">
        <v>5.0</v>
      </c>
      <c r="AA5" s="8"/>
      <c r="AB5" s="19" t="s">
        <v>23</v>
      </c>
      <c r="AC5" s="19" t="s">
        <v>32</v>
      </c>
      <c r="AD5" s="8"/>
      <c r="AE5" s="19" t="s">
        <v>79</v>
      </c>
      <c r="AF5" s="32">
        <v>1.0</v>
      </c>
      <c r="AG5" s="35" t="s">
        <v>80</v>
      </c>
      <c r="AH5" s="35" t="s">
        <v>81</v>
      </c>
      <c r="AI5" s="8"/>
      <c r="AJ5" s="19" t="s">
        <v>82</v>
      </c>
      <c r="AK5" s="38">
        <f>COUNTIF(DADOS!$W$5:$W$11,"&lt;="&amp;FICHA!$AH$11)</f>
        <v>0</v>
      </c>
      <c r="AL5" s="8"/>
      <c r="AM5" s="19" t="s">
        <v>85</v>
      </c>
      <c r="AN5" s="6" t="str">
        <f>$L$4</f>
        <v>Muro</v>
      </c>
      <c r="AO5" s="19" t="s">
        <v>22</v>
      </c>
      <c r="AP5" s="19" t="s">
        <v>87</v>
      </c>
      <c r="AQ5" s="32">
        <v>2.0</v>
      </c>
      <c r="AR5" s="32">
        <v>0.0</v>
      </c>
      <c r="AS5" s="8"/>
      <c r="AT5" s="8"/>
      <c r="AU5" s="8"/>
      <c r="AV5" s="8"/>
      <c r="AW5" s="8"/>
      <c r="AX5" s="8"/>
      <c r="AY5" s="8"/>
      <c r="AZ5" s="8"/>
      <c r="BA5" s="19" t="s">
        <v>88</v>
      </c>
      <c r="BB5" s="6" t="str">
        <f>ADDRESS(ROW(FICHA!D3),COLUMN(FICHA!D3),4)</f>
        <v>D3</v>
      </c>
    </row>
    <row r="6" ht="17.25" customHeight="1">
      <c r="A6" s="19" t="s">
        <v>90</v>
      </c>
      <c r="B6" s="19" t="s">
        <v>91</v>
      </c>
      <c r="C6" s="19" t="s">
        <v>92</v>
      </c>
      <c r="D6" s="19" t="s">
        <v>93</v>
      </c>
      <c r="E6" s="19" t="s">
        <v>94</v>
      </c>
      <c r="F6" s="19" t="s">
        <v>96</v>
      </c>
      <c r="G6" s="19" t="s">
        <v>97</v>
      </c>
      <c r="H6" s="19" t="s">
        <v>98</v>
      </c>
      <c r="I6" s="19" t="s">
        <v>99</v>
      </c>
      <c r="J6" s="19" t="s">
        <v>100</v>
      </c>
      <c r="K6" s="19" t="s">
        <v>101</v>
      </c>
      <c r="L6" s="19" t="s">
        <v>102</v>
      </c>
      <c r="M6" s="8"/>
      <c r="N6" s="19" t="s">
        <v>64</v>
      </c>
      <c r="O6" s="19" t="s">
        <v>103</v>
      </c>
      <c r="P6" s="30">
        <v>8.0</v>
      </c>
      <c r="Q6" s="30">
        <v>5.0</v>
      </c>
      <c r="R6" s="30">
        <v>5.0</v>
      </c>
      <c r="S6" s="19" t="s">
        <v>65</v>
      </c>
      <c r="T6" s="19" t="s">
        <v>104</v>
      </c>
      <c r="U6" s="6"/>
      <c r="V6" s="8"/>
      <c r="W6" s="32">
        <v>10.0</v>
      </c>
      <c r="X6" s="32">
        <v>18.0</v>
      </c>
      <c r="Y6" s="32">
        <v>5.0</v>
      </c>
      <c r="Z6" s="32">
        <v>11.0</v>
      </c>
      <c r="AA6" s="8"/>
      <c r="AB6" s="19" t="s">
        <v>65</v>
      </c>
      <c r="AC6" s="19" t="s">
        <v>74</v>
      </c>
      <c r="AD6" s="8"/>
      <c r="AE6" s="19" t="s">
        <v>105</v>
      </c>
      <c r="AF6" s="32">
        <v>2.0</v>
      </c>
      <c r="AG6" s="35" t="s">
        <v>80</v>
      </c>
      <c r="AH6" s="35" t="s">
        <v>81</v>
      </c>
      <c r="AI6" s="8"/>
      <c r="AJ6" s="19" t="s">
        <v>106</v>
      </c>
      <c r="AK6" s="38">
        <f>9+DADOS!$AK$5</f>
        <v>9</v>
      </c>
      <c r="AL6" s="8"/>
      <c r="AM6" s="6" t="str">
        <f>$A$4</f>
        <v>Bastião</v>
      </c>
      <c r="AN6" s="6" t="str">
        <f>$L$5</f>
        <v>Punho</v>
      </c>
      <c r="AO6" s="19" t="s">
        <v>22</v>
      </c>
      <c r="AP6" s="6" t="str">
        <f>IFERROR(__xludf.DUMMYFUNCTION("IFERROR(FILTER($AN$5:$AN$19,$AO$5:$AO$19=FICHA!$D$11),"""")"),"")</f>
        <v/>
      </c>
      <c r="AQ6" s="32">
        <v>3.0</v>
      </c>
      <c r="AR6" s="32">
        <v>200.0</v>
      </c>
      <c r="AS6" s="8"/>
      <c r="AT6" s="8"/>
      <c r="AU6" s="8"/>
      <c r="AV6" s="8"/>
      <c r="AW6" s="8"/>
      <c r="AX6" s="8"/>
      <c r="AY6" s="8"/>
      <c r="AZ6" s="8"/>
      <c r="BA6" s="19" t="s">
        <v>108</v>
      </c>
      <c r="BB6" s="6" t="str">
        <f>ADDRESS(ROW(FICHA!D11),COLUMN(FICHA!D11),4)</f>
        <v>D11</v>
      </c>
    </row>
    <row r="7" ht="17.25" customHeight="1">
      <c r="A7" s="19" t="s">
        <v>109</v>
      </c>
      <c r="B7" s="19" t="s">
        <v>110</v>
      </c>
      <c r="C7" s="19" t="s">
        <v>111</v>
      </c>
      <c r="D7" s="19" t="s">
        <v>112</v>
      </c>
      <c r="E7" s="19" t="s">
        <v>113</v>
      </c>
      <c r="F7" s="19" t="s">
        <v>114</v>
      </c>
      <c r="G7" s="19" t="s">
        <v>115</v>
      </c>
      <c r="H7" s="19" t="s">
        <v>116</v>
      </c>
      <c r="I7" s="19" t="s">
        <v>117</v>
      </c>
      <c r="J7" s="19" t="s">
        <v>118</v>
      </c>
      <c r="K7" s="19" t="s">
        <v>119</v>
      </c>
      <c r="L7" s="19" t="s">
        <v>120</v>
      </c>
      <c r="M7" s="8"/>
      <c r="N7" s="19" t="s">
        <v>90</v>
      </c>
      <c r="O7" s="19" t="s">
        <v>103</v>
      </c>
      <c r="P7" s="30">
        <v>8.0</v>
      </c>
      <c r="Q7" s="30">
        <v>5.0</v>
      </c>
      <c r="R7" s="30">
        <v>5.0</v>
      </c>
      <c r="S7" s="19" t="s">
        <v>121</v>
      </c>
      <c r="T7" s="19" t="s">
        <v>122</v>
      </c>
      <c r="U7" s="6"/>
      <c r="V7" s="8"/>
      <c r="W7" s="32">
        <v>14.0</v>
      </c>
      <c r="X7" s="32">
        <v>26.0</v>
      </c>
      <c r="Y7" s="32">
        <v>9.0</v>
      </c>
      <c r="Z7" s="32">
        <v>17.0</v>
      </c>
      <c r="AA7" s="8"/>
      <c r="AB7" s="19" t="s">
        <v>91</v>
      </c>
      <c r="AC7" s="19" t="s">
        <v>74</v>
      </c>
      <c r="AD7" s="8"/>
      <c r="AE7" s="19" t="s">
        <v>123</v>
      </c>
      <c r="AF7" s="32">
        <v>3.0</v>
      </c>
      <c r="AG7" s="35" t="s">
        <v>80</v>
      </c>
      <c r="AH7" s="35" t="s">
        <v>81</v>
      </c>
      <c r="AI7" s="8"/>
      <c r="AJ7" s="19" t="s">
        <v>124</v>
      </c>
      <c r="AK7" s="38">
        <f>IFERROR(VALUE(FICHA!$D$21&amp;""),0)+IFERROR(VALUE(FICHA!$L$21&amp;""),0)+IFERROR(VALUE(FICHA!$T$21&amp;""),0)+IFERROR(VALUE(FICHA!$AB$21&amp;""),0)+IFERROR(VALUE(FICHA!$AJ$21&amp;""),0)</f>
        <v>0</v>
      </c>
      <c r="AL7" s="8"/>
      <c r="AM7" s="6" t="str">
        <f>$A$5</f>
        <v>Vanguarda</v>
      </c>
      <c r="AN7" s="6" t="str">
        <f>$L$6</f>
        <v>Brasa</v>
      </c>
      <c r="AO7" s="19" t="s">
        <v>22</v>
      </c>
      <c r="AP7" s="8"/>
      <c r="AQ7" s="32">
        <v>4.0</v>
      </c>
      <c r="AR7" s="32">
        <v>500.0</v>
      </c>
      <c r="AS7" s="8"/>
      <c r="AT7" s="8"/>
      <c r="AU7" s="8"/>
      <c r="AV7" s="8"/>
      <c r="AW7" s="8"/>
      <c r="AX7" s="8"/>
      <c r="AY7" s="8"/>
      <c r="AZ7" s="8"/>
      <c r="BA7" s="19" t="s">
        <v>131</v>
      </c>
      <c r="BB7" s="6" t="str">
        <f>ADDRESS(ROW(FICHA!N11),COLUMN(FICHA!N11),4)</f>
        <v>N11</v>
      </c>
    </row>
    <row r="8" ht="17.25" customHeight="1">
      <c r="A8" s="19" t="s">
        <v>134</v>
      </c>
      <c r="B8" s="19" t="s">
        <v>136</v>
      </c>
      <c r="C8" s="19" t="s">
        <v>137</v>
      </c>
      <c r="D8" s="19" t="s">
        <v>138</v>
      </c>
      <c r="E8" s="19" t="s">
        <v>139</v>
      </c>
      <c r="F8" s="19" t="s">
        <v>140</v>
      </c>
      <c r="G8" s="19" t="s">
        <v>141</v>
      </c>
      <c r="H8" s="19" t="s">
        <v>142</v>
      </c>
      <c r="I8" s="19" t="s">
        <v>143</v>
      </c>
      <c r="J8" s="8"/>
      <c r="K8" s="19" t="s">
        <v>133</v>
      </c>
      <c r="L8" s="19" t="s">
        <v>144</v>
      </c>
      <c r="M8" s="8"/>
      <c r="N8" s="19" t="s">
        <v>134</v>
      </c>
      <c r="O8" s="19" t="s">
        <v>145</v>
      </c>
      <c r="P8" s="30">
        <v>6.0</v>
      </c>
      <c r="Q8" s="30">
        <v>4.0</v>
      </c>
      <c r="R8" s="30">
        <v>6.0</v>
      </c>
      <c r="S8" s="19" t="s">
        <v>146</v>
      </c>
      <c r="T8" s="19" t="s">
        <v>147</v>
      </c>
      <c r="U8" s="6"/>
      <c r="V8" s="8"/>
      <c r="W8" s="32">
        <v>18.0</v>
      </c>
      <c r="X8" s="8"/>
      <c r="Y8" s="32">
        <v>13.0</v>
      </c>
      <c r="Z8" s="8"/>
      <c r="AA8" s="8"/>
      <c r="AB8" s="19" t="s">
        <v>110</v>
      </c>
      <c r="AC8" s="19" t="s">
        <v>74</v>
      </c>
      <c r="AD8" s="8"/>
      <c r="AE8" s="19" t="s">
        <v>148</v>
      </c>
      <c r="AF8" s="32">
        <v>4.0</v>
      </c>
      <c r="AG8" s="32">
        <v>0.0</v>
      </c>
      <c r="AH8" s="35" t="s">
        <v>81</v>
      </c>
      <c r="AI8" s="8"/>
      <c r="AJ8" s="19" t="s">
        <v>149</v>
      </c>
      <c r="AK8" s="38">
        <f>MAX(FICHA!$D$19,FICHA!$L$19,FICHA!$T$19,FICHA!$AB$19,FICHA!$AJ$19)</f>
        <v>0</v>
      </c>
      <c r="AL8" s="8"/>
      <c r="AM8" s="6" t="str">
        <f>$A$6</f>
        <v>Guia</v>
      </c>
      <c r="AN8" s="6" t="str">
        <f>$L$7</f>
        <v>Estocada</v>
      </c>
      <c r="AO8" s="19" t="s">
        <v>64</v>
      </c>
      <c r="AP8" s="8"/>
      <c r="AQ8" s="32">
        <v>5.0</v>
      </c>
      <c r="AR8" s="32">
        <v>800.0</v>
      </c>
      <c r="AS8" s="8"/>
      <c r="AT8" s="8"/>
      <c r="AU8" s="8"/>
      <c r="AV8" s="8"/>
      <c r="AW8" s="8"/>
      <c r="AX8" s="8"/>
      <c r="AY8" s="8"/>
      <c r="AZ8" s="8"/>
      <c r="BA8" s="19" t="s">
        <v>151</v>
      </c>
      <c r="BB8" s="6" t="str">
        <f>ADDRESS(ROW(FICHA!X11),COLUMN(FICHA!X11),4)</f>
        <v>X11</v>
      </c>
    </row>
    <row r="9" ht="17.25" customHeight="1">
      <c r="A9" s="8"/>
      <c r="B9" s="19" t="s">
        <v>153</v>
      </c>
      <c r="C9" s="19" t="s">
        <v>154</v>
      </c>
      <c r="D9" s="19" t="s">
        <v>155</v>
      </c>
      <c r="E9" s="19" t="s">
        <v>156</v>
      </c>
      <c r="F9" s="19" t="s">
        <v>157</v>
      </c>
      <c r="G9" s="19" t="s">
        <v>158</v>
      </c>
      <c r="H9" s="19" t="s">
        <v>159</v>
      </c>
      <c r="I9" s="19" t="s">
        <v>160</v>
      </c>
      <c r="J9" s="8"/>
      <c r="K9" s="8"/>
      <c r="L9" s="19" t="s">
        <v>161</v>
      </c>
      <c r="M9" s="8"/>
      <c r="N9" s="19" t="s">
        <v>109</v>
      </c>
      <c r="O9" s="19" t="s">
        <v>145</v>
      </c>
      <c r="P9" s="30">
        <v>6.0</v>
      </c>
      <c r="Q9" s="30">
        <v>4.0</v>
      </c>
      <c r="R9" s="30">
        <v>6.0</v>
      </c>
      <c r="S9" s="19" t="s">
        <v>162</v>
      </c>
      <c r="T9" s="19" t="s">
        <v>153</v>
      </c>
      <c r="U9" s="6"/>
      <c r="V9" s="8"/>
      <c r="W9" s="32">
        <v>22.0</v>
      </c>
      <c r="X9" s="8"/>
      <c r="Y9" s="32">
        <v>17.0</v>
      </c>
      <c r="Z9" s="8"/>
      <c r="AA9" s="8"/>
      <c r="AB9" s="19" t="s">
        <v>136</v>
      </c>
      <c r="AC9" s="19" t="s">
        <v>74</v>
      </c>
      <c r="AD9" s="8"/>
      <c r="AE9" s="19" t="s">
        <v>163</v>
      </c>
      <c r="AF9" s="32">
        <v>5.0</v>
      </c>
      <c r="AG9" s="32">
        <v>0.0</v>
      </c>
      <c r="AH9" s="35" t="s">
        <v>81</v>
      </c>
      <c r="AI9" s="8"/>
      <c r="AJ9" s="19" t="s">
        <v>164</v>
      </c>
      <c r="AK9" s="38">
        <f>MAX(IFERROR(VALUE(FICHA!$D$21&amp;""),0),IFERROR(VALUE(FICHA!$L$21&amp;""),0),IFERROR(VALUE(FICHA!$T$21&amp;""),0),IFERROR(VALUE(FICHA!$AB$21&amp;""),0),IFERROR(VALUE(FICHA!$AJ$21&amp;""),0))</f>
        <v>0</v>
      </c>
      <c r="AL9" s="8"/>
      <c r="AM9" s="6" t="str">
        <f>$A$7</f>
        <v>Emanador</v>
      </c>
      <c r="AN9" s="6" t="str">
        <f>$L$8</f>
        <v>Batedor</v>
      </c>
      <c r="AO9" s="19" t="s">
        <v>64</v>
      </c>
      <c r="AP9" s="8"/>
      <c r="AQ9" s="32">
        <v>6.0</v>
      </c>
      <c r="AR9" s="32">
        <v>1300.0</v>
      </c>
      <c r="AS9" s="8"/>
      <c r="AT9" s="8"/>
      <c r="AU9" s="8"/>
      <c r="AV9" s="8"/>
      <c r="AW9" s="8"/>
      <c r="AX9" s="8"/>
      <c r="AY9" s="8"/>
      <c r="AZ9" s="8"/>
      <c r="BA9" s="19" t="s">
        <v>169</v>
      </c>
      <c r="BB9" s="6" t="str">
        <f>ADDRESS(ROW(FICHA!AH11),COLUMN(FICHA!AH11),4)</f>
        <v>AH11</v>
      </c>
    </row>
    <row r="10" ht="17.25" customHeight="1">
      <c r="A10" s="8"/>
      <c r="B10" s="19" t="s">
        <v>171</v>
      </c>
      <c r="C10" s="19" t="s">
        <v>172</v>
      </c>
      <c r="D10" s="19" t="s">
        <v>173</v>
      </c>
      <c r="E10" s="19" t="s">
        <v>174</v>
      </c>
      <c r="F10" s="19" t="s">
        <v>175</v>
      </c>
      <c r="G10" s="19" t="s">
        <v>176</v>
      </c>
      <c r="H10" s="19" t="s">
        <v>177</v>
      </c>
      <c r="I10" s="19" t="s">
        <v>178</v>
      </c>
      <c r="J10" s="8"/>
      <c r="K10" s="8"/>
      <c r="L10" s="19" t="s">
        <v>179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32">
        <v>26.0</v>
      </c>
      <c r="X10" s="8"/>
      <c r="Y10" s="32">
        <v>21.0</v>
      </c>
      <c r="Z10" s="8"/>
      <c r="AA10" s="8"/>
      <c r="AB10" s="19" t="s">
        <v>153</v>
      </c>
      <c r="AC10" s="19" t="s">
        <v>119</v>
      </c>
      <c r="AD10" s="8"/>
      <c r="AE10" s="19" t="s">
        <v>180</v>
      </c>
      <c r="AF10" s="32">
        <v>6.0</v>
      </c>
      <c r="AG10" s="32">
        <v>0.0</v>
      </c>
      <c r="AH10" s="35" t="s">
        <v>81</v>
      </c>
      <c r="AI10" s="8"/>
      <c r="AJ10" s="19" t="s">
        <v>181</v>
      </c>
      <c r="AK10" s="38">
        <f>IFERROR(VALUE(FICHA!$AQ$40&amp;""),0)</f>
        <v>0</v>
      </c>
      <c r="AL10" s="8"/>
      <c r="AM10" s="6" t="str">
        <f>$A$8</f>
        <v>Evocador</v>
      </c>
      <c r="AN10" s="6" t="str">
        <f>$L$9</f>
        <v>Executor</v>
      </c>
      <c r="AO10" s="19" t="s">
        <v>64</v>
      </c>
      <c r="AP10" s="8"/>
      <c r="AQ10" s="32">
        <v>7.0</v>
      </c>
      <c r="AR10" s="32">
        <v>1800.0</v>
      </c>
      <c r="AS10" s="8"/>
      <c r="AT10" s="8"/>
      <c r="AU10" s="8"/>
      <c r="AV10" s="8"/>
      <c r="AW10" s="8"/>
      <c r="AX10" s="8"/>
      <c r="AY10" s="8"/>
      <c r="AZ10" s="8"/>
      <c r="BA10" s="19" t="s">
        <v>184</v>
      </c>
      <c r="BB10" s="6" t="str">
        <f>ADDRESS(ROW(FICHA!AN11),COLUMN(FICHA!AN11),4)</f>
        <v>AN11</v>
      </c>
    </row>
    <row r="11" ht="17.25" customHeight="1">
      <c r="A11" s="8"/>
      <c r="B11" s="19" t="s">
        <v>162</v>
      </c>
      <c r="C11" s="19" t="s">
        <v>188</v>
      </c>
      <c r="D11" s="19" t="s">
        <v>189</v>
      </c>
      <c r="E11" s="19" t="s">
        <v>190</v>
      </c>
      <c r="F11" s="19" t="s">
        <v>191</v>
      </c>
      <c r="G11" s="19" t="s">
        <v>192</v>
      </c>
      <c r="H11" s="19" t="s">
        <v>193</v>
      </c>
      <c r="I11" s="5" t="s">
        <v>194</v>
      </c>
      <c r="J11" s="8"/>
      <c r="K11" s="8"/>
      <c r="L11" s="19" t="s">
        <v>195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32">
        <v>30.0</v>
      </c>
      <c r="X11" s="8"/>
      <c r="Y11" s="32">
        <v>26.0</v>
      </c>
      <c r="Z11" s="8"/>
      <c r="AA11" s="8"/>
      <c r="AB11" s="19" t="s">
        <v>171</v>
      </c>
      <c r="AC11" s="19" t="s">
        <v>119</v>
      </c>
      <c r="AD11" s="8"/>
      <c r="AE11" s="19" t="s">
        <v>197</v>
      </c>
      <c r="AF11" s="32">
        <v>1.0</v>
      </c>
      <c r="AG11" s="32">
        <v>5.0</v>
      </c>
      <c r="AH11" s="35" t="s">
        <v>198</v>
      </c>
      <c r="AI11" s="8"/>
      <c r="AJ11" s="19" t="s">
        <v>199</v>
      </c>
      <c r="AK11" s="38">
        <f>IFERROR(VALUE(FICHA!$AK$15&amp;""),0)+IFERROR(VALUE(FICHA!$AM$15&amp;""),0)+IFERROR(VALUE(FICHA!$AO$15&amp;""),0)+IFERROR(VALUE(FICHA!$AQ$15&amp;""),0)+IFERROR(VALUE(FICHA!$AS$15&amp;""),0)</f>
        <v>0</v>
      </c>
      <c r="AL11" s="8"/>
      <c r="AM11" s="8"/>
      <c r="AN11" s="6" t="str">
        <f>$L$10</f>
        <v>Elo</v>
      </c>
      <c r="AO11" s="19" t="s">
        <v>90</v>
      </c>
      <c r="AP11" s="8"/>
      <c r="AQ11" s="32">
        <v>8.0</v>
      </c>
      <c r="AR11" s="32">
        <v>2300.0</v>
      </c>
      <c r="AS11" s="8"/>
      <c r="AT11" s="8"/>
      <c r="AU11" s="8"/>
      <c r="AV11" s="8"/>
      <c r="AW11" s="8"/>
      <c r="AX11" s="8"/>
      <c r="AY11" s="8"/>
      <c r="AZ11" s="8"/>
      <c r="BA11" s="19" t="s">
        <v>203</v>
      </c>
      <c r="BB11" s="6" t="str">
        <f>ADDRESS(ROW(FICHA!D19),COLUMN(FICHA!D19),4)</f>
        <v>D19</v>
      </c>
    </row>
    <row r="12" ht="17.25" customHeight="1">
      <c r="A12" s="8"/>
      <c r="B12" s="19" t="s">
        <v>146</v>
      </c>
      <c r="C12" s="19" t="s">
        <v>205</v>
      </c>
      <c r="D12" s="19" t="s">
        <v>206</v>
      </c>
      <c r="E12" s="19" t="s">
        <v>207</v>
      </c>
      <c r="F12" s="19" t="s">
        <v>208</v>
      </c>
      <c r="G12" s="19" t="s">
        <v>209</v>
      </c>
      <c r="H12" s="19" t="s">
        <v>210</v>
      </c>
      <c r="I12" s="5" t="s">
        <v>211</v>
      </c>
      <c r="J12" s="8"/>
      <c r="K12" s="8"/>
      <c r="L12" s="19" t="s">
        <v>212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9" t="s">
        <v>162</v>
      </c>
      <c r="AC12" s="19" t="s">
        <v>119</v>
      </c>
      <c r="AD12" s="8"/>
      <c r="AE12" s="19" t="s">
        <v>214</v>
      </c>
      <c r="AF12" s="32">
        <v>2.0</v>
      </c>
      <c r="AG12" s="32">
        <v>3.0</v>
      </c>
      <c r="AH12" s="35" t="s">
        <v>198</v>
      </c>
      <c r="AI12" s="8"/>
      <c r="AJ12" s="19" t="s">
        <v>215</v>
      </c>
      <c r="AK12" s="38">
        <f>IFERROR(VALUE(FICHA!$AO$40&amp;""),0)+IFERROR(VALUE(FICHA!$AQ$40&amp;""),0)+IFERROR(VALUE(FICHA!$AS$40&amp;""),0)</f>
        <v>0</v>
      </c>
      <c r="AL12" s="8"/>
      <c r="AM12" s="8"/>
      <c r="AN12" s="6" t="str">
        <f>$L$11</f>
        <v>Sutura</v>
      </c>
      <c r="AO12" s="19" t="s">
        <v>90</v>
      </c>
      <c r="AP12" s="8"/>
      <c r="AQ12" s="32">
        <v>9.0</v>
      </c>
      <c r="AR12" s="32">
        <v>3000.0</v>
      </c>
      <c r="AS12" s="8"/>
      <c r="AT12" s="8"/>
      <c r="AU12" s="8"/>
      <c r="AV12" s="8"/>
      <c r="AW12" s="8"/>
      <c r="AX12" s="8"/>
      <c r="AY12" s="8"/>
      <c r="AZ12" s="8"/>
      <c r="BA12" s="19" t="s">
        <v>220</v>
      </c>
      <c r="BB12" s="6" t="str">
        <f>ADDRESS(ROW(FICHA!L19),COLUMN(FICHA!L19),4)</f>
        <v>L19</v>
      </c>
    </row>
    <row r="13" ht="17.25" customHeight="1">
      <c r="A13" s="8"/>
      <c r="B13" s="19" t="s">
        <v>216</v>
      </c>
      <c r="C13" s="19" t="s">
        <v>221</v>
      </c>
      <c r="D13" s="8"/>
      <c r="E13" s="19" t="s">
        <v>222</v>
      </c>
      <c r="F13" s="19" t="s">
        <v>223</v>
      </c>
      <c r="G13" s="19" t="s">
        <v>224</v>
      </c>
      <c r="H13" s="19" t="s">
        <v>225</v>
      </c>
      <c r="I13" s="5" t="s">
        <v>226</v>
      </c>
      <c r="J13" s="8"/>
      <c r="K13" s="8"/>
      <c r="L13" s="19" t="s">
        <v>227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19" t="s">
        <v>146</v>
      </c>
      <c r="AC13" s="19" t="s">
        <v>119</v>
      </c>
      <c r="AD13" s="8"/>
      <c r="AE13" s="19" t="s">
        <v>229</v>
      </c>
      <c r="AF13" s="32">
        <v>3.0</v>
      </c>
      <c r="AG13" s="32">
        <v>1.0</v>
      </c>
      <c r="AH13" s="35" t="s">
        <v>198</v>
      </c>
      <c r="AI13" s="8"/>
      <c r="AJ13" s="19" t="s">
        <v>230</v>
      </c>
      <c r="AK13" s="38">
        <f>COUNTIF(FICHA!$D$64:$D$74,TRUE)+COUNTIF(FICHA!$T$63:$T$74,TRUE)</f>
        <v>0</v>
      </c>
      <c r="AL13" s="8"/>
      <c r="AM13" s="8"/>
      <c r="AN13" s="6" t="str">
        <f>$L$12</f>
        <v>Perímetro</v>
      </c>
      <c r="AO13" s="19" t="s">
        <v>90</v>
      </c>
      <c r="AP13" s="8"/>
      <c r="AQ13" s="32">
        <v>10.0</v>
      </c>
      <c r="AR13" s="32">
        <v>3700.0</v>
      </c>
      <c r="AS13" s="8"/>
      <c r="AT13" s="8"/>
      <c r="AU13" s="8"/>
      <c r="AV13" s="8"/>
      <c r="AW13" s="8"/>
      <c r="AX13" s="8"/>
      <c r="AY13" s="8"/>
      <c r="AZ13" s="8"/>
      <c r="BA13" s="19" t="s">
        <v>233</v>
      </c>
      <c r="BB13" s="6" t="str">
        <f>ADDRESS(ROW(FICHA!T19),COLUMN(FICHA!T19),4)</f>
        <v>T19</v>
      </c>
    </row>
    <row r="14" ht="17.25" customHeight="1">
      <c r="A14" s="8"/>
      <c r="B14" s="19" t="s">
        <v>204</v>
      </c>
      <c r="C14" s="19" t="s">
        <v>234</v>
      </c>
      <c r="D14" s="8"/>
      <c r="E14" s="8"/>
      <c r="F14" s="19" t="s">
        <v>235</v>
      </c>
      <c r="G14" s="19" t="s">
        <v>236</v>
      </c>
      <c r="H14" s="19" t="s">
        <v>237</v>
      </c>
      <c r="I14" s="5" t="s">
        <v>238</v>
      </c>
      <c r="J14" s="8"/>
      <c r="K14" s="8"/>
      <c r="L14" s="19" t="s">
        <v>239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19" t="s">
        <v>216</v>
      </c>
      <c r="AC14" s="19" t="s">
        <v>119</v>
      </c>
      <c r="AD14" s="8"/>
      <c r="AE14" s="19" t="s">
        <v>240</v>
      </c>
      <c r="AF14" s="32">
        <v>2.0</v>
      </c>
      <c r="AG14" s="32">
        <v>5.0</v>
      </c>
      <c r="AH14" s="35" t="s">
        <v>81</v>
      </c>
      <c r="AI14" s="8"/>
      <c r="AJ14" s="19" t="s">
        <v>241</v>
      </c>
      <c r="AK14" s="38">
        <f>COUNTIF(FICHA!$D$79:$D$84,TRUE)+COUNTIF(FICHA!$Q$79:$Q$83,TRUE)</f>
        <v>0</v>
      </c>
      <c r="AL14" s="8"/>
      <c r="AM14" s="8"/>
      <c r="AN14" s="6" t="str">
        <f>$L$13</f>
        <v>Torrente</v>
      </c>
      <c r="AO14" s="19" t="s">
        <v>109</v>
      </c>
      <c r="AP14" s="8"/>
      <c r="AQ14" s="32">
        <v>11.0</v>
      </c>
      <c r="AR14" s="32">
        <v>4400.0</v>
      </c>
      <c r="AS14" s="8"/>
      <c r="AT14" s="8"/>
      <c r="AU14" s="8"/>
      <c r="AV14" s="8"/>
      <c r="AW14" s="8"/>
      <c r="AX14" s="8"/>
      <c r="AY14" s="8"/>
      <c r="AZ14" s="8"/>
      <c r="BA14" s="19" t="s">
        <v>243</v>
      </c>
      <c r="BB14" s="6" t="str">
        <f>ADDRESS(ROW(FICHA!AB19),COLUMN(FICHA!AB19),4)</f>
        <v>AB19</v>
      </c>
    </row>
    <row r="15" ht="17.25" customHeight="1">
      <c r="A15" s="8"/>
      <c r="B15" s="19" t="s">
        <v>122</v>
      </c>
      <c r="C15" s="8"/>
      <c r="D15" s="8"/>
      <c r="E15" s="8"/>
      <c r="F15" s="19" t="s">
        <v>245</v>
      </c>
      <c r="G15" s="19" t="s">
        <v>246</v>
      </c>
      <c r="H15" s="19" t="s">
        <v>247</v>
      </c>
      <c r="I15" s="5" t="s">
        <v>248</v>
      </c>
      <c r="J15" s="8"/>
      <c r="K15" s="8"/>
      <c r="L15" s="19" t="s">
        <v>249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19" t="s">
        <v>204</v>
      </c>
      <c r="AC15" s="19" t="s">
        <v>119</v>
      </c>
      <c r="AD15" s="8"/>
      <c r="AE15" s="19" t="s">
        <v>250</v>
      </c>
      <c r="AF15" s="32">
        <v>3.0</v>
      </c>
      <c r="AG15" s="32">
        <v>3.0</v>
      </c>
      <c r="AH15" s="35" t="s">
        <v>81</v>
      </c>
      <c r="AI15" s="8"/>
      <c r="AJ15" s="19" t="s">
        <v>251</v>
      </c>
      <c r="AK15" s="38">
        <f>COUNTIF(FICHA!$E$64:$E$74,TRUE)+COUNTIF(FICHA!$E$79:$E$84,TRUE)+COUNTIF(FICHA!$R$79:$R$83,TRUE)+COUNTIF(FICHA!$U$63:$U$74,TRUE)</f>
        <v>0</v>
      </c>
      <c r="AL15" s="8"/>
      <c r="AM15" s="8"/>
      <c r="AN15" s="6" t="str">
        <f>$L$14</f>
        <v>Explosivo</v>
      </c>
      <c r="AO15" s="19" t="s">
        <v>109</v>
      </c>
      <c r="AP15" s="8"/>
      <c r="AQ15" s="32">
        <v>12.0</v>
      </c>
      <c r="AR15" s="32">
        <v>5300.0</v>
      </c>
      <c r="AS15" s="8"/>
      <c r="AT15" s="8"/>
      <c r="AU15" s="8"/>
      <c r="AV15" s="8"/>
      <c r="AW15" s="8"/>
      <c r="AX15" s="8"/>
      <c r="AY15" s="8"/>
      <c r="AZ15" s="8"/>
      <c r="BA15" s="19" t="s">
        <v>256</v>
      </c>
      <c r="BB15" s="6" t="str">
        <f>ADDRESS(ROW(FICHA!AJ19),COLUMN(FICHA!AJ19),4)</f>
        <v>AJ19</v>
      </c>
    </row>
    <row r="16" ht="17.25" customHeight="1">
      <c r="A16" s="8"/>
      <c r="B16" s="19" t="s">
        <v>257</v>
      </c>
      <c r="C16" s="8"/>
      <c r="D16" s="8"/>
      <c r="E16" s="8"/>
      <c r="F16" s="19" t="s">
        <v>258</v>
      </c>
      <c r="G16" s="19" t="s">
        <v>259</v>
      </c>
      <c r="H16" s="19" t="s">
        <v>260</v>
      </c>
      <c r="I16" s="5" t="s">
        <v>261</v>
      </c>
      <c r="J16" s="8"/>
      <c r="K16" s="8"/>
      <c r="L16" s="19" t="s">
        <v>262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19" t="s">
        <v>122</v>
      </c>
      <c r="AC16" s="19" t="s">
        <v>119</v>
      </c>
      <c r="AD16" s="8"/>
      <c r="AE16" s="19" t="s">
        <v>265</v>
      </c>
      <c r="AF16" s="32">
        <v>4.0</v>
      </c>
      <c r="AG16" s="32">
        <v>1.0</v>
      </c>
      <c r="AH16" s="35" t="s">
        <v>81</v>
      </c>
      <c r="AI16" s="8"/>
      <c r="AJ16" s="19" t="s">
        <v>266</v>
      </c>
      <c r="AK16" s="38">
        <f>DADOS!$AK$10-DADOS!$AK$15</f>
        <v>0</v>
      </c>
      <c r="AL16" s="8"/>
      <c r="AM16" s="8"/>
      <c r="AN16" s="6" t="str">
        <f>$L$15</f>
        <v>Arremate</v>
      </c>
      <c r="AO16" s="19" t="s">
        <v>109</v>
      </c>
      <c r="AP16" s="8"/>
      <c r="AQ16" s="32">
        <v>13.0</v>
      </c>
      <c r="AR16" s="32">
        <v>6200.0</v>
      </c>
      <c r="AS16" s="8"/>
      <c r="AT16" s="8"/>
      <c r="AU16" s="8"/>
      <c r="AV16" s="8"/>
      <c r="AW16" s="8"/>
      <c r="AX16" s="8"/>
      <c r="AY16" s="8"/>
      <c r="AZ16" s="8"/>
      <c r="BA16" s="19" t="s">
        <v>272</v>
      </c>
      <c r="BB16" s="6" t="str">
        <f>ADDRESS(ROW(FICHA!D21),COLUMN(FICHA!D21),4)</f>
        <v>D21</v>
      </c>
    </row>
    <row r="17" ht="17.25" customHeight="1">
      <c r="A17" s="8"/>
      <c r="B17" s="19" t="s">
        <v>254</v>
      </c>
      <c r="C17" s="8"/>
      <c r="D17" s="8"/>
      <c r="E17" s="8"/>
      <c r="F17" s="19" t="s">
        <v>273</v>
      </c>
      <c r="G17" s="19" t="s">
        <v>274</v>
      </c>
      <c r="H17" s="6"/>
      <c r="I17" s="8"/>
      <c r="J17" s="8"/>
      <c r="K17" s="8"/>
      <c r="L17" s="19" t="s">
        <v>275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19" t="s">
        <v>257</v>
      </c>
      <c r="AC17" s="19" t="s">
        <v>119</v>
      </c>
      <c r="AD17" s="8"/>
      <c r="AE17" s="19" t="s">
        <v>278</v>
      </c>
      <c r="AF17" s="32">
        <v>3.0</v>
      </c>
      <c r="AG17" s="32">
        <v>5.0</v>
      </c>
      <c r="AH17" s="35" t="s">
        <v>81</v>
      </c>
      <c r="AI17" s="8"/>
      <c r="AJ17" s="19" t="s">
        <v>279</v>
      </c>
      <c r="AK17" s="38">
        <f>IF((MAX(0,DADOS!$AK$13-9)+MAX(0,DADOS!$AK$14-2))&lt;=DADOS!$AK$16,1,IF((MAX(0,DADOS!$AK$13-10)+MAX(0,DADOS!$AK$14-0))&lt;=DADOS!$AK$16,2,IF((MAX(0,DADOS!$AK$13-9)+MAX(0,DADOS!$AK$14-2))&lt;=(MAX(0,DADOS!$AK$13-10)+MAX(0,DADOS!$AK$14-0)),1,2)))</f>
        <v>1</v>
      </c>
      <c r="AL17" s="8"/>
      <c r="AM17" s="8"/>
      <c r="AN17" s="6" t="str">
        <f>$L$16</f>
        <v>Servo</v>
      </c>
      <c r="AO17" s="19" t="s">
        <v>134</v>
      </c>
      <c r="AP17" s="8"/>
      <c r="AQ17" s="32">
        <v>14.0</v>
      </c>
      <c r="AR17" s="32">
        <v>7100.0</v>
      </c>
      <c r="AS17" s="8"/>
      <c r="AT17" s="8"/>
      <c r="AU17" s="8"/>
      <c r="AV17" s="8"/>
      <c r="AW17" s="8"/>
      <c r="AX17" s="8"/>
      <c r="AY17" s="8"/>
      <c r="AZ17" s="8"/>
      <c r="BA17" s="19" t="s">
        <v>283</v>
      </c>
      <c r="BB17" s="6" t="str">
        <f>ADDRESS(ROW(FICHA!L21),COLUMN(FICHA!L21),4)</f>
        <v>L21</v>
      </c>
    </row>
    <row r="18" ht="17.25" customHeight="1">
      <c r="A18" s="8"/>
      <c r="B18" s="19" t="s">
        <v>147</v>
      </c>
      <c r="C18" s="8"/>
      <c r="D18" s="8"/>
      <c r="E18" s="8"/>
      <c r="F18" s="19" t="s">
        <v>285</v>
      </c>
      <c r="G18" s="19" t="s">
        <v>286</v>
      </c>
      <c r="H18" s="8"/>
      <c r="I18" s="8"/>
      <c r="J18" s="8"/>
      <c r="K18" s="8"/>
      <c r="L18" s="19" t="s">
        <v>287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19" t="s">
        <v>254</v>
      </c>
      <c r="AC18" s="19" t="s">
        <v>119</v>
      </c>
      <c r="AD18" s="8"/>
      <c r="AE18" s="19" t="s">
        <v>288</v>
      </c>
      <c r="AF18" s="32">
        <v>4.0</v>
      </c>
      <c r="AG18" s="32">
        <v>3.0</v>
      </c>
      <c r="AH18" s="35" t="s">
        <v>81</v>
      </c>
      <c r="AI18" s="8"/>
      <c r="AJ18" s="19" t="s">
        <v>289</v>
      </c>
      <c r="AK18" s="38">
        <f>IF(OR(FICHA!$D$11="Guia",FICHA!$D$11="Emanador",FICHA!$D$11="Evocador"),IF(FICHA!$AK$65="2 armas (-4 pericias)",4,IF(FICHA!$AK$65="1 arma (-2 pericias)",2,0)),0)</f>
        <v>0</v>
      </c>
      <c r="AL18" s="8"/>
      <c r="AM18" s="8"/>
      <c r="AN18" s="6" t="str">
        <f>$L$17</f>
        <v>Matilha</v>
      </c>
      <c r="AO18" s="19" t="s">
        <v>134</v>
      </c>
      <c r="AP18" s="8"/>
      <c r="AQ18" s="32">
        <v>15.0</v>
      </c>
      <c r="AR18" s="32">
        <v>8200.0</v>
      </c>
      <c r="AS18" s="8"/>
      <c r="AT18" s="8"/>
      <c r="AU18" s="8"/>
      <c r="AV18" s="8"/>
      <c r="AW18" s="8"/>
      <c r="AX18" s="8"/>
      <c r="AY18" s="8"/>
      <c r="AZ18" s="8"/>
      <c r="BA18" s="19" t="s">
        <v>292</v>
      </c>
      <c r="BB18" s="6" t="str">
        <f>ADDRESS(ROW(FICHA!T21),COLUMN(FICHA!T21),4)</f>
        <v>T21</v>
      </c>
    </row>
    <row r="19" ht="17.25" customHeight="1">
      <c r="A19" s="8"/>
      <c r="B19" s="19" t="s">
        <v>294</v>
      </c>
      <c r="C19" s="8"/>
      <c r="D19" s="8"/>
      <c r="E19" s="8"/>
      <c r="F19" s="19" t="s">
        <v>295</v>
      </c>
      <c r="G19" s="19" t="s">
        <v>296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19" t="s">
        <v>147</v>
      </c>
      <c r="AC19" s="19" t="s">
        <v>119</v>
      </c>
      <c r="AD19" s="8"/>
      <c r="AE19" s="19" t="s">
        <v>298</v>
      </c>
      <c r="AF19" s="32">
        <v>5.0</v>
      </c>
      <c r="AG19" s="32">
        <v>1.0</v>
      </c>
      <c r="AH19" s="35" t="s">
        <v>81</v>
      </c>
      <c r="AI19" s="8"/>
      <c r="AJ19" s="19" t="s">
        <v>299</v>
      </c>
      <c r="AK19" s="38">
        <f>IF(DADOS!$AK$17=1,9,10)-DADOS!$AK$18</f>
        <v>9</v>
      </c>
      <c r="AL19" s="8"/>
      <c r="AM19" s="8"/>
      <c r="AN19" s="6" t="str">
        <f>$L$18</f>
        <v>Coro</v>
      </c>
      <c r="AO19" s="19" t="s">
        <v>134</v>
      </c>
      <c r="AP19" s="8"/>
      <c r="AQ19" s="32">
        <v>16.0</v>
      </c>
      <c r="AR19" s="32">
        <v>9300.0</v>
      </c>
      <c r="AS19" s="8"/>
      <c r="AT19" s="8"/>
      <c r="AU19" s="8"/>
      <c r="AV19" s="8"/>
      <c r="AW19" s="8"/>
      <c r="AX19" s="8"/>
      <c r="AY19" s="8"/>
      <c r="AZ19" s="8"/>
      <c r="BA19" s="19" t="s">
        <v>302</v>
      </c>
      <c r="BB19" s="6" t="str">
        <f>ADDRESS(ROW(FICHA!AB21),COLUMN(FICHA!AB21),4)</f>
        <v>AB21</v>
      </c>
    </row>
    <row r="20" ht="17.25" customHeight="1">
      <c r="A20" s="8"/>
      <c r="B20" s="19" t="s">
        <v>297</v>
      </c>
      <c r="C20" s="8"/>
      <c r="D20" s="8"/>
      <c r="E20" s="8"/>
      <c r="F20" s="19" t="s">
        <v>303</v>
      </c>
      <c r="G20" s="19" t="s">
        <v>304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9" t="s">
        <v>294</v>
      </c>
      <c r="AC20" s="19" t="s">
        <v>119</v>
      </c>
      <c r="AD20" s="8"/>
      <c r="AE20" s="19" t="s">
        <v>306</v>
      </c>
      <c r="AF20" s="32">
        <v>4.0</v>
      </c>
      <c r="AG20" s="32">
        <v>5.0</v>
      </c>
      <c r="AH20" s="35" t="s">
        <v>81</v>
      </c>
      <c r="AI20" s="8"/>
      <c r="AJ20" s="19" t="s">
        <v>307</v>
      </c>
      <c r="AK20" s="38">
        <f>IF(DADOS!$AK$17=1,2,0)</f>
        <v>2</v>
      </c>
      <c r="AL20" s="8"/>
      <c r="AM20" s="8"/>
      <c r="AN20" s="8"/>
      <c r="AO20" s="8"/>
      <c r="AP20" s="8"/>
      <c r="AQ20" s="32">
        <v>17.0</v>
      </c>
      <c r="AR20" s="32">
        <v>10400.0</v>
      </c>
      <c r="AS20" s="8"/>
      <c r="AT20" s="8"/>
      <c r="AU20" s="8"/>
      <c r="AV20" s="8"/>
      <c r="AW20" s="8"/>
      <c r="AX20" s="8"/>
      <c r="AY20" s="8"/>
      <c r="AZ20" s="8"/>
      <c r="BA20" s="19" t="s">
        <v>308</v>
      </c>
      <c r="BB20" s="6" t="str">
        <f>ADDRESS(ROW(FICHA!AJ21),COLUMN(FICHA!AJ21),4)</f>
        <v>AJ21</v>
      </c>
    </row>
    <row r="21" ht="17.25" customHeight="1">
      <c r="A21" s="8"/>
      <c r="B21" s="19" t="s">
        <v>104</v>
      </c>
      <c r="C21" s="8"/>
      <c r="D21" s="8"/>
      <c r="E21" s="8"/>
      <c r="F21" s="19" t="s">
        <v>310</v>
      </c>
      <c r="G21" s="19" t="s">
        <v>312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19" t="s">
        <v>297</v>
      </c>
      <c r="AC21" s="19" t="s">
        <v>133</v>
      </c>
      <c r="AD21" s="8"/>
      <c r="AE21" s="19" t="s">
        <v>313</v>
      </c>
      <c r="AF21" s="32">
        <v>5.0</v>
      </c>
      <c r="AG21" s="32">
        <v>3.0</v>
      </c>
      <c r="AH21" s="35" t="s">
        <v>81</v>
      </c>
      <c r="AI21" s="8"/>
      <c r="AJ21" s="19" t="s">
        <v>314</v>
      </c>
      <c r="AK21" s="38">
        <f>MAX(0,DADOS!$AK$13-DADOS!$AK$19)</f>
        <v>0</v>
      </c>
      <c r="AL21" s="8"/>
      <c r="AM21" s="8"/>
      <c r="AN21" s="8"/>
      <c r="AO21" s="8"/>
      <c r="AP21" s="8"/>
      <c r="AQ21" s="32">
        <v>18.0</v>
      </c>
      <c r="AR21" s="32">
        <v>11700.0</v>
      </c>
      <c r="AS21" s="8"/>
      <c r="AT21" s="8"/>
      <c r="AU21" s="8"/>
      <c r="AV21" s="8"/>
      <c r="AW21" s="8"/>
      <c r="AX21" s="8"/>
      <c r="AY21" s="8"/>
      <c r="AZ21" s="8"/>
      <c r="BA21" s="19" t="s">
        <v>315</v>
      </c>
      <c r="BB21" s="6" t="str">
        <f>ADDRESS(ROW(FICHA!D26),COLUMN(FICHA!D26),4)</f>
        <v>D26</v>
      </c>
    </row>
    <row r="22" ht="17.25" customHeight="1">
      <c r="A22" s="8"/>
      <c r="B22" s="19" t="s">
        <v>121</v>
      </c>
      <c r="C22" s="8"/>
      <c r="D22" s="8"/>
      <c r="E22" s="8"/>
      <c r="F22" s="19" t="s">
        <v>316</v>
      </c>
      <c r="G22" s="19" t="s">
        <v>317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19" t="s">
        <v>104</v>
      </c>
      <c r="AC22" s="19" t="s">
        <v>133</v>
      </c>
      <c r="AD22" s="8"/>
      <c r="AE22" s="19" t="s">
        <v>318</v>
      </c>
      <c r="AF22" s="32">
        <v>6.0</v>
      </c>
      <c r="AG22" s="32">
        <v>1.0</v>
      </c>
      <c r="AH22" s="35" t="s">
        <v>81</v>
      </c>
      <c r="AI22" s="8"/>
      <c r="AJ22" s="19" t="s">
        <v>319</v>
      </c>
      <c r="AK22" s="38">
        <f>MAX(0,DADOS!$AK$14-DADOS!$AK$20)</f>
        <v>0</v>
      </c>
      <c r="AL22" s="8"/>
      <c r="AM22" s="8"/>
      <c r="AN22" s="8"/>
      <c r="AO22" s="8"/>
      <c r="AP22" s="8"/>
      <c r="AQ22" s="32">
        <v>19.0</v>
      </c>
      <c r="AR22" s="32">
        <v>13000.0</v>
      </c>
      <c r="AS22" s="8"/>
      <c r="AT22" s="8"/>
      <c r="AU22" s="8"/>
      <c r="AV22" s="8"/>
      <c r="AW22" s="8"/>
      <c r="AX22" s="8"/>
      <c r="AY22" s="8"/>
      <c r="AZ22" s="8"/>
      <c r="BA22" s="19" t="s">
        <v>322</v>
      </c>
      <c r="BB22" s="6" t="str">
        <f>ADDRESS(ROW(FICHA!J26),COLUMN(FICHA!J26),4)</f>
        <v>J26</v>
      </c>
    </row>
    <row r="23" ht="17.25" customHeight="1">
      <c r="A23" s="8"/>
      <c r="B23" s="19" t="s">
        <v>196</v>
      </c>
      <c r="C23" s="8"/>
      <c r="D23" s="8"/>
      <c r="E23" s="8"/>
      <c r="F23" s="19" t="s">
        <v>324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19" t="s">
        <v>121</v>
      </c>
      <c r="AC23" s="19" t="s">
        <v>133</v>
      </c>
      <c r="AD23" s="8"/>
      <c r="AE23" s="19" t="s">
        <v>325</v>
      </c>
      <c r="AF23" s="32">
        <v>5.0</v>
      </c>
      <c r="AG23" s="32">
        <v>0.0</v>
      </c>
      <c r="AH23" s="35" t="s">
        <v>81</v>
      </c>
      <c r="AI23" s="8"/>
      <c r="AJ23" s="19" t="s">
        <v>326</v>
      </c>
      <c r="AK23" s="38">
        <f>DADOS!$AK$16-DADOS!$AK$21-DADOS!$AK$22</f>
        <v>0</v>
      </c>
      <c r="AL23" s="8"/>
      <c r="AM23" s="8"/>
      <c r="AN23" s="8"/>
      <c r="AO23" s="8"/>
      <c r="AP23" s="8"/>
      <c r="AQ23" s="32">
        <v>20.0</v>
      </c>
      <c r="AR23" s="32">
        <v>14300.0</v>
      </c>
      <c r="AS23" s="8"/>
      <c r="AT23" s="8"/>
      <c r="AU23" s="8"/>
      <c r="AV23" s="8"/>
      <c r="AW23" s="8"/>
      <c r="AX23" s="8"/>
      <c r="AY23" s="8"/>
      <c r="AZ23" s="8"/>
      <c r="BA23" s="19" t="s">
        <v>330</v>
      </c>
      <c r="BB23" s="6" t="str">
        <f>ADDRESS(ROW(FICHA!AF26),COLUMN(FICHA!AF26),4)</f>
        <v>AF26</v>
      </c>
    </row>
    <row r="24" ht="17.25" customHeight="1">
      <c r="A24" s="8"/>
      <c r="B24" s="19" t="s">
        <v>77</v>
      </c>
      <c r="C24" s="8"/>
      <c r="D24" s="8"/>
      <c r="E24" s="8"/>
      <c r="F24" s="19" t="s">
        <v>331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19" t="s">
        <v>196</v>
      </c>
      <c r="AC24" s="19" t="s">
        <v>133</v>
      </c>
      <c r="AD24" s="8"/>
      <c r="AE24" s="19" t="s">
        <v>332</v>
      </c>
      <c r="AF24" s="32">
        <v>6.0</v>
      </c>
      <c r="AG24" s="32">
        <v>0.0</v>
      </c>
      <c r="AH24" s="35" t="s">
        <v>81</v>
      </c>
      <c r="AI24" s="8"/>
      <c r="AJ24" s="19" t="s">
        <v>333</v>
      </c>
      <c r="AK24" s="38">
        <f>MAX(0,-DADOS!$AK$23)</f>
        <v>0</v>
      </c>
      <c r="AL24" s="8"/>
      <c r="AM24" s="8"/>
      <c r="AN24" s="8"/>
      <c r="AO24" s="8"/>
      <c r="AP24" s="8"/>
      <c r="AQ24" s="32">
        <v>21.0</v>
      </c>
      <c r="AR24" s="32">
        <v>15800.0</v>
      </c>
      <c r="AS24" s="8"/>
      <c r="AT24" s="8"/>
      <c r="AU24" s="8"/>
      <c r="AV24" s="8"/>
      <c r="AW24" s="8"/>
      <c r="AX24" s="8"/>
      <c r="AY24" s="8"/>
      <c r="AZ24" s="8"/>
      <c r="BA24" s="19" t="s">
        <v>335</v>
      </c>
      <c r="BB24" s="6" t="str">
        <f>ADDRESS(ROW(FICHA!AM26),COLUMN(FICHA!AM26),4)</f>
        <v>AM26</v>
      </c>
    </row>
    <row r="25" ht="17.25" customHeight="1">
      <c r="A25" s="8"/>
      <c r="B25" s="19" t="s">
        <v>186</v>
      </c>
      <c r="C25" s="8"/>
      <c r="D25" s="8"/>
      <c r="E25" s="8"/>
      <c r="F25" s="19" t="s">
        <v>337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19" t="s">
        <v>77</v>
      </c>
      <c r="AC25" s="19" t="s">
        <v>133</v>
      </c>
      <c r="AD25" s="8"/>
      <c r="AE25" s="19" t="s">
        <v>338</v>
      </c>
      <c r="AF25" s="32">
        <v>7.0</v>
      </c>
      <c r="AG25" s="32">
        <v>0.0</v>
      </c>
      <c r="AH25" s="35" t="s">
        <v>81</v>
      </c>
      <c r="AI25" s="8"/>
      <c r="AJ25" s="19" t="s">
        <v>339</v>
      </c>
      <c r="AK25" s="38">
        <f>MAX(0,DADOS!$AK$19-DADOS!$AK$13)</f>
        <v>9</v>
      </c>
      <c r="AL25" s="8"/>
      <c r="AM25" s="8"/>
      <c r="AN25" s="8"/>
      <c r="AO25" s="8"/>
      <c r="AP25" s="8"/>
      <c r="AQ25" s="32">
        <v>22.0</v>
      </c>
      <c r="AR25" s="32">
        <v>17300.0</v>
      </c>
      <c r="AS25" s="8"/>
      <c r="AT25" s="8"/>
      <c r="AU25" s="8"/>
      <c r="AV25" s="8"/>
      <c r="AW25" s="8"/>
      <c r="AX25" s="8"/>
      <c r="AY25" s="8"/>
      <c r="AZ25" s="8"/>
      <c r="BA25" s="19" t="s">
        <v>340</v>
      </c>
      <c r="BB25" s="6" t="str">
        <f>ADDRESS(ROW(FICHA!D30),COLUMN(FICHA!D30),4)</f>
        <v>D30</v>
      </c>
    </row>
    <row r="26" ht="17.25" customHeight="1">
      <c r="A26" s="8"/>
      <c r="B26" s="19" t="s">
        <v>290</v>
      </c>
      <c r="C26" s="8"/>
      <c r="D26" s="8"/>
      <c r="E26" s="8"/>
      <c r="F26" s="19" t="s">
        <v>342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19" t="s">
        <v>186</v>
      </c>
      <c r="AC26" s="19" t="s">
        <v>133</v>
      </c>
      <c r="AD26" s="8"/>
      <c r="AE26" s="19" t="s">
        <v>343</v>
      </c>
      <c r="AF26" s="32">
        <v>6.0</v>
      </c>
      <c r="AG26" s="32">
        <v>0.0</v>
      </c>
      <c r="AH26" s="35" t="s">
        <v>81</v>
      </c>
      <c r="AI26" s="8"/>
      <c r="AJ26" s="19" t="s">
        <v>344</v>
      </c>
      <c r="AK26" s="38">
        <f>MAX(0,DADOS!$AK$20-DADOS!$AK$14)</f>
        <v>2</v>
      </c>
      <c r="AL26" s="8"/>
      <c r="AM26" s="8"/>
      <c r="AN26" s="8"/>
      <c r="AO26" s="8"/>
      <c r="AP26" s="8"/>
      <c r="AQ26" s="32">
        <v>23.0</v>
      </c>
      <c r="AR26" s="32">
        <v>18800.0</v>
      </c>
      <c r="AS26" s="8"/>
      <c r="AT26" s="8"/>
      <c r="AU26" s="8"/>
      <c r="AV26" s="8"/>
      <c r="AW26" s="8"/>
      <c r="AX26" s="8"/>
      <c r="AY26" s="8"/>
      <c r="AZ26" s="8"/>
      <c r="BA26" s="19" t="s">
        <v>346</v>
      </c>
      <c r="BB26" s="6" t="str">
        <f>ADDRESS(ROW(FICHA!J30),COLUMN(FICHA!J30),4)</f>
        <v>J30</v>
      </c>
    </row>
    <row r="27" ht="17.25" customHeight="1">
      <c r="A27" s="8"/>
      <c r="B27" s="8"/>
      <c r="C27" s="8"/>
      <c r="D27" s="8"/>
      <c r="E27" s="8"/>
      <c r="F27" s="19" t="s">
        <v>347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19" t="s">
        <v>290</v>
      </c>
      <c r="AC27" s="19" t="s">
        <v>133</v>
      </c>
      <c r="AD27" s="8"/>
      <c r="AE27" s="19" t="s">
        <v>349</v>
      </c>
      <c r="AF27" s="32">
        <v>7.0</v>
      </c>
      <c r="AG27" s="32">
        <v>0.0</v>
      </c>
      <c r="AH27" s="35" t="s">
        <v>81</v>
      </c>
      <c r="AI27" s="8"/>
      <c r="AJ27" s="19" t="s">
        <v>350</v>
      </c>
      <c r="AK27" s="38">
        <f>MAX(0,10-DADOS!$AK$13)</f>
        <v>10</v>
      </c>
      <c r="AL27" s="8"/>
      <c r="AM27" s="8"/>
      <c r="AN27" s="8"/>
      <c r="AO27" s="8"/>
      <c r="AP27" s="8"/>
      <c r="AQ27" s="32">
        <v>24.0</v>
      </c>
      <c r="AR27" s="32">
        <v>20500.0</v>
      </c>
      <c r="AS27" s="8"/>
      <c r="AT27" s="8"/>
      <c r="AU27" s="8"/>
      <c r="AV27" s="8"/>
      <c r="AW27" s="8"/>
      <c r="AX27" s="8"/>
      <c r="AY27" s="8"/>
      <c r="AZ27" s="8"/>
      <c r="BA27" s="19" t="s">
        <v>351</v>
      </c>
      <c r="BB27" s="6" t="str">
        <f>ADDRESS(ROW(FICHA!AF30),COLUMN(FICHA!AF30),4)</f>
        <v>AF30</v>
      </c>
    </row>
    <row r="28" ht="17.25" customHeight="1">
      <c r="A28" s="8"/>
      <c r="B28" s="8"/>
      <c r="C28" s="8"/>
      <c r="D28" s="8"/>
      <c r="E28" s="8"/>
      <c r="F28" s="19" t="s">
        <v>354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19" t="s">
        <v>355</v>
      </c>
      <c r="AF28" s="32">
        <v>8.0</v>
      </c>
      <c r="AG28" s="32">
        <v>0.0</v>
      </c>
      <c r="AH28" s="35" t="s">
        <v>81</v>
      </c>
      <c r="AI28" s="8"/>
      <c r="AJ28" s="19" t="s">
        <v>356</v>
      </c>
      <c r="AK28" s="38">
        <f>DADOS!$AK$16-MAX(0,DADOS!$AK$13-10)-MAX(0,DADOS!$AK$14-0)</f>
        <v>0</v>
      </c>
      <c r="AL28" s="8"/>
      <c r="AM28" s="8"/>
      <c r="AN28" s="8"/>
      <c r="AO28" s="8"/>
      <c r="AP28" s="8"/>
      <c r="AQ28" s="32">
        <v>25.0</v>
      </c>
      <c r="AR28" s="32">
        <v>22200.0</v>
      </c>
      <c r="AS28" s="8"/>
      <c r="AT28" s="8"/>
      <c r="AU28" s="8"/>
      <c r="AV28" s="8"/>
      <c r="AW28" s="8"/>
      <c r="AX28" s="8"/>
      <c r="AY28" s="8"/>
      <c r="AZ28" s="8"/>
      <c r="BA28" s="19" t="s">
        <v>358</v>
      </c>
      <c r="BB28" s="6" t="str">
        <f>ADDRESS(ROW(FICHA!AM30),COLUMN(FICHA!AM30),4)</f>
        <v>AM30</v>
      </c>
    </row>
    <row r="29" ht="17.25" customHeight="1">
      <c r="A29" s="8"/>
      <c r="B29" s="8"/>
      <c r="C29" s="8"/>
      <c r="D29" s="8"/>
      <c r="E29" s="8"/>
      <c r="F29" s="19" t="s">
        <v>360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19" t="s">
        <v>361</v>
      </c>
      <c r="AF29" s="32">
        <v>7.0</v>
      </c>
      <c r="AG29" s="32">
        <v>0.0</v>
      </c>
      <c r="AH29" s="35" t="s">
        <v>81</v>
      </c>
      <c r="AI29" s="8"/>
      <c r="AJ29" s="19" t="s">
        <v>362</v>
      </c>
      <c r="AK29" s="38">
        <f>COUNTIF(FICHA!$AF$79:$AF$82,TRUE)</f>
        <v>0</v>
      </c>
      <c r="AL29" s="8"/>
      <c r="AM29" s="8"/>
      <c r="AN29" s="8"/>
      <c r="AO29" s="8"/>
      <c r="AP29" s="8"/>
      <c r="AQ29" s="32">
        <v>26.0</v>
      </c>
      <c r="AR29" s="32">
        <v>23900.0</v>
      </c>
      <c r="AS29" s="8"/>
      <c r="AT29" s="8"/>
      <c r="AU29" s="8"/>
      <c r="AV29" s="8"/>
      <c r="AW29" s="8"/>
      <c r="AX29" s="8"/>
      <c r="AY29" s="8"/>
      <c r="AZ29" s="8"/>
      <c r="BA29" s="19" t="s">
        <v>364</v>
      </c>
      <c r="BB29" s="6" t="str">
        <f>ADDRESS(ROW(FICHA!D34),COLUMN(FICHA!D34),4)</f>
        <v>D34</v>
      </c>
    </row>
    <row r="30" ht="17.25" customHeight="1">
      <c r="A30" s="8"/>
      <c r="B30" s="8"/>
      <c r="C30" s="8"/>
      <c r="D30" s="8"/>
      <c r="E30" s="8"/>
      <c r="F30" s="19" t="s">
        <v>366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19" t="s">
        <v>368</v>
      </c>
      <c r="AF30" s="32">
        <v>8.0</v>
      </c>
      <c r="AG30" s="32">
        <v>0.0</v>
      </c>
      <c r="AH30" s="35" t="s">
        <v>81</v>
      </c>
      <c r="AI30" s="8"/>
      <c r="AJ30" s="19" t="s">
        <v>369</v>
      </c>
      <c r="AK30" s="38">
        <f>IF(FICHA!$X$11="Restrição Celestial · sem energia",1,0)</f>
        <v>0</v>
      </c>
      <c r="AL30" s="8"/>
      <c r="AM30" s="8"/>
      <c r="AN30" s="8"/>
      <c r="AO30" s="8"/>
      <c r="AP30" s="8"/>
      <c r="AQ30" s="32">
        <v>27.0</v>
      </c>
      <c r="AR30" s="32">
        <v>25600.0</v>
      </c>
      <c r="AS30" s="8"/>
      <c r="AT30" s="8"/>
      <c r="AU30" s="8"/>
      <c r="AV30" s="8"/>
      <c r="AW30" s="8"/>
      <c r="AX30" s="8"/>
      <c r="AY30" s="8"/>
      <c r="AZ30" s="8"/>
      <c r="BA30" s="19" t="s">
        <v>370</v>
      </c>
      <c r="BB30" s="6" t="str">
        <f>ADDRESS(ROW(FICHA!J34),COLUMN(FICHA!J34),4)</f>
        <v>J34</v>
      </c>
    </row>
    <row r="31" ht="17.25" customHeight="1">
      <c r="A31" s="8"/>
      <c r="B31" s="8"/>
      <c r="C31" s="8"/>
      <c r="D31" s="8"/>
      <c r="E31" s="8"/>
      <c r="F31" s="19" t="s">
        <v>371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19" t="s">
        <v>372</v>
      </c>
      <c r="AF31" s="32">
        <v>9.0</v>
      </c>
      <c r="AG31" s="32">
        <v>0.0</v>
      </c>
      <c r="AH31" s="35" t="s">
        <v>81</v>
      </c>
      <c r="AI31" s="8"/>
      <c r="AJ31" s="19" t="s">
        <v>373</v>
      </c>
      <c r="AK31" s="38">
        <f>IF(ISNUMBER(SEARCH(" · Sem Técnica",FICHA!$X$11)),1,0)</f>
        <v>0</v>
      </c>
      <c r="AL31" s="8"/>
      <c r="AM31" s="8"/>
      <c r="AN31" s="8"/>
      <c r="AO31" s="8"/>
      <c r="AP31" s="8"/>
      <c r="AQ31" s="32">
        <v>28.0</v>
      </c>
      <c r="AR31" s="32">
        <v>27300.0</v>
      </c>
      <c r="AS31" s="8"/>
      <c r="AT31" s="8"/>
      <c r="AU31" s="8"/>
      <c r="AV31" s="8"/>
      <c r="AW31" s="8"/>
      <c r="AX31" s="8"/>
      <c r="AY31" s="8"/>
      <c r="AZ31" s="8"/>
      <c r="BA31" s="19" t="s">
        <v>378</v>
      </c>
      <c r="BB31" s="6" t="str">
        <f>ADDRESS(ROW(FICHA!AF34),COLUMN(FICHA!AF34),4)</f>
        <v>AF34</v>
      </c>
    </row>
    <row r="32" ht="17.25" customHeight="1">
      <c r="A32" s="8"/>
      <c r="B32" s="8"/>
      <c r="C32" s="8"/>
      <c r="D32" s="8"/>
      <c r="E32" s="8"/>
      <c r="F32" s="19" t="s">
        <v>380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19" t="s">
        <v>382</v>
      </c>
      <c r="AK32" s="38">
        <f>IF(OR(FICHA!$X$11="Corpo Amaldiçoado",FICHA!$X$11="Restrição Celestial · sem energia"),1,0)</f>
        <v>0</v>
      </c>
      <c r="AL32" s="8"/>
      <c r="AM32" s="8"/>
      <c r="AN32" s="8"/>
      <c r="AO32" s="8"/>
      <c r="AP32" s="8"/>
      <c r="AQ32" s="32">
        <v>29.0</v>
      </c>
      <c r="AR32" s="32">
        <v>29000.0</v>
      </c>
      <c r="AS32" s="8"/>
      <c r="AT32" s="8"/>
      <c r="AU32" s="8"/>
      <c r="AV32" s="8"/>
      <c r="AW32" s="8"/>
      <c r="AX32" s="8"/>
      <c r="AY32" s="8"/>
      <c r="AZ32" s="8"/>
      <c r="BA32" s="19" t="s">
        <v>383</v>
      </c>
      <c r="BB32" s="6" t="str">
        <f>ADDRESS(ROW(FICHA!AM34),COLUMN(FICHA!AM34),4)</f>
        <v>AM34</v>
      </c>
    </row>
    <row r="33" ht="17.25" customHeight="1">
      <c r="A33" s="8"/>
      <c r="B33" s="8"/>
      <c r="C33" s="8"/>
      <c r="D33" s="8"/>
      <c r="E33" s="8"/>
      <c r="F33" s="19" t="s">
        <v>385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19" t="s">
        <v>387</v>
      </c>
      <c r="AK33" s="38">
        <f>MIN(IFERROR(VALUE(FICHA!$AO$40&amp;""),0),DADOS!$AK$5)</f>
        <v>0</v>
      </c>
      <c r="AL33" s="8"/>
      <c r="AM33" s="8"/>
      <c r="AN33" s="8"/>
      <c r="AO33" s="8"/>
      <c r="AP33" s="8"/>
      <c r="AQ33" s="32">
        <v>30.0</v>
      </c>
      <c r="AR33" s="32">
        <v>30700.0</v>
      </c>
      <c r="AS33" s="8"/>
      <c r="AT33" s="8"/>
      <c r="AU33" s="8"/>
      <c r="AV33" s="8"/>
      <c r="AW33" s="8"/>
      <c r="AX33" s="8"/>
      <c r="AY33" s="8"/>
      <c r="AZ33" s="8"/>
      <c r="BA33" s="19" t="s">
        <v>389</v>
      </c>
      <c r="BB33" s="6" t="str">
        <f>ADDRESS(ROW(FICHA!D37),COLUMN(FICHA!D37),4)</f>
        <v>D37</v>
      </c>
    </row>
    <row r="34" ht="17.25" customHeight="1">
      <c r="A34" s="8"/>
      <c r="B34" s="8"/>
      <c r="C34" s="8"/>
      <c r="D34" s="8"/>
      <c r="E34" s="8"/>
      <c r="F34" s="19" t="s">
        <v>390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19" t="s">
        <v>391</v>
      </c>
      <c r="AK34" s="38">
        <f>MIN(10,FICHA!$O$57+DADOS!$AK$33)</f>
        <v>1</v>
      </c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9" t="s">
        <v>393</v>
      </c>
      <c r="BB34" s="6" t="str">
        <f>ADDRESS(ROW(FICHA!D43),COLUMN(FICHA!D43),4)</f>
        <v>D43</v>
      </c>
    </row>
    <row r="35" ht="17.25" customHeight="1">
      <c r="A35" s="8"/>
      <c r="B35" s="8"/>
      <c r="C35" s="8"/>
      <c r="D35" s="8"/>
      <c r="E35" s="8"/>
      <c r="F35" s="19" t="s">
        <v>394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19" t="s">
        <v>395</v>
      </c>
      <c r="AK35" s="38">
        <f>MAX(0,DADOS!$AK$33-MAX(0,CEILING((10-DADOS!$AK$5+DADOS!$AK$33)/2,1)-1))*(2-1)</f>
        <v>0</v>
      </c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19" t="s">
        <v>51</v>
      </c>
      <c r="BB35" s="6" t="str">
        <f>ADDRESS(ROW(FICHA!O43),COLUMN(FICHA!O43),4)</f>
        <v>O43</v>
      </c>
    </row>
    <row r="36" ht="17.25" customHeight="1">
      <c r="A36" s="8"/>
      <c r="B36" s="8"/>
      <c r="C36" s="8"/>
      <c r="D36" s="8"/>
      <c r="E36" s="8"/>
      <c r="F36" s="19" t="s">
        <v>397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19" t="s">
        <v>399</v>
      </c>
      <c r="AK36" s="38">
        <f>2+1*DADOS!$AK$31+DADOS!$AK$33+DADOS!$AK$35</f>
        <v>2</v>
      </c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19" t="s">
        <v>50</v>
      </c>
      <c r="BB36" s="6" t="str">
        <f>ADDRESS(ROW(FICHA!Z43),COLUMN(FICHA!Z43),4)</f>
        <v>Z43</v>
      </c>
    </row>
    <row r="37" ht="17.25" customHeight="1">
      <c r="A37" s="8"/>
      <c r="B37" s="8"/>
      <c r="C37" s="8"/>
      <c r="D37" s="8"/>
      <c r="E37" s="8"/>
      <c r="F37" s="19" t="s">
        <v>401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19" t="s">
        <v>402</v>
      </c>
      <c r="AK37" s="38">
        <f>COUNTIF(FICHA!$V$124:$V$135,"?*")</f>
        <v>2</v>
      </c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19" t="s">
        <v>407</v>
      </c>
      <c r="BB37" s="6" t="str">
        <f>ADDRESS(ROW(FICHA!AK43),COLUMN(FICHA!AK43),4)</f>
        <v>AK43</v>
      </c>
    </row>
    <row r="38" ht="17.25" customHeight="1">
      <c r="A38" s="8"/>
      <c r="B38" s="8"/>
      <c r="C38" s="8"/>
      <c r="D38" s="8"/>
      <c r="E38" s="8"/>
      <c r="F38" s="19" t="s">
        <v>409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19" t="s">
        <v>410</v>
      </c>
      <c r="AK38" s="38">
        <f>IFERROR(VALUE(FICHA!$AS$40&amp;""),0)</f>
        <v>0</v>
      </c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19" t="s">
        <v>411</v>
      </c>
      <c r="BB38" s="6" t="str">
        <f>ADDRESS(ROW(FICHA!D47),COLUMN(FICHA!D47),4)</f>
        <v>D47</v>
      </c>
    </row>
    <row r="39" ht="17.25" customHeight="1">
      <c r="A39" s="8"/>
      <c r="B39" s="8"/>
      <c r="C39" s="8"/>
      <c r="D39" s="8"/>
      <c r="E39" s="8"/>
      <c r="F39" s="19" t="s">
        <v>412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19" t="s">
        <v>413</v>
      </c>
      <c r="AK39" s="38">
        <f>COUNTIF(FICHA!$AF$139:$AF$144,"?*")</f>
        <v>0</v>
      </c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19" t="s">
        <v>415</v>
      </c>
      <c r="BB39" s="6" t="str">
        <f>ADDRESS(ROW(FICHA!O47),COLUMN(FICHA!O47),4)</f>
        <v>O47</v>
      </c>
    </row>
    <row r="40" ht="17.25" customHeight="1">
      <c r="A40" s="8"/>
      <c r="B40" s="8"/>
      <c r="C40" s="8"/>
      <c r="D40" s="8"/>
      <c r="E40" s="8"/>
      <c r="F40" s="19" t="s">
        <v>418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19" t="s">
        <v>421</v>
      </c>
      <c r="BB40" s="6" t="str">
        <f>ADDRESS(ROW(FICHA!Z47),COLUMN(FICHA!Z47),4)</f>
        <v>Z47</v>
      </c>
    </row>
    <row r="41" ht="17.25" customHeight="1">
      <c r="A41" s="8"/>
      <c r="B41" s="8"/>
      <c r="C41" s="8"/>
      <c r="D41" s="8"/>
      <c r="E41" s="8"/>
      <c r="F41" s="19" t="s">
        <v>423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19" t="s">
        <v>426</v>
      </c>
      <c r="BB41" s="6" t="str">
        <f>ADDRESS(ROW(FICHA!AK47),COLUMN(FICHA!AK47),4)</f>
        <v>AK47</v>
      </c>
    </row>
    <row r="42" ht="17.25" customHeight="1">
      <c r="A42" s="8"/>
      <c r="B42" s="8"/>
      <c r="C42" s="8"/>
      <c r="D42" s="8"/>
      <c r="E42" s="8"/>
      <c r="F42" s="19" t="s">
        <v>428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19" t="s">
        <v>45</v>
      </c>
      <c r="BB42" s="6" t="str">
        <f>ADDRESS(ROW(FICHA!D51),COLUMN(FICHA!D51),4)</f>
        <v>D51</v>
      </c>
    </row>
    <row r="43" ht="17.25" customHeight="1">
      <c r="A43" s="8"/>
      <c r="B43" s="8"/>
      <c r="C43" s="8"/>
      <c r="D43" s="8"/>
      <c r="E43" s="8"/>
      <c r="F43" s="19" t="s">
        <v>431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19" t="s">
        <v>432</v>
      </c>
      <c r="BB43" s="6" t="str">
        <f>ADDRESS(ROW(FICHA!O51),COLUMN(FICHA!O51),4)</f>
        <v>O51</v>
      </c>
    </row>
    <row r="44" ht="17.25" customHeight="1">
      <c r="A44" s="8"/>
      <c r="B44" s="8"/>
      <c r="C44" s="8"/>
      <c r="D44" s="8"/>
      <c r="E44" s="8"/>
      <c r="F44" s="19" t="s">
        <v>433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9" t="s">
        <v>434</v>
      </c>
      <c r="BB44" s="6" t="str">
        <f>ADDRESS(ROW(FICHA!D57),COLUMN(FICHA!D57),4)</f>
        <v>D57</v>
      </c>
    </row>
    <row r="45" ht="17.25" customHeight="1">
      <c r="A45" s="8"/>
      <c r="B45" s="8"/>
      <c r="C45" s="8"/>
      <c r="D45" s="8"/>
      <c r="E45" s="8"/>
      <c r="F45" s="19" t="s">
        <v>436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9" t="s">
        <v>437</v>
      </c>
      <c r="BB45" s="6" t="str">
        <f>ADDRESS(ROW(FICHA!O57),COLUMN(FICHA!O57),4)</f>
        <v>O57</v>
      </c>
    </row>
    <row r="46" ht="17.25" customHeight="1">
      <c r="A46" s="8"/>
      <c r="B46" s="8"/>
      <c r="C46" s="8"/>
      <c r="D46" s="8"/>
      <c r="E46" s="8"/>
      <c r="F46" s="19" t="s">
        <v>440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19" t="s">
        <v>444</v>
      </c>
      <c r="BB46" s="6" t="str">
        <f>ADDRESS(ROW(FICHA!Z57),COLUMN(FICHA!Z57),4)</f>
        <v>Z57</v>
      </c>
    </row>
    <row r="47" ht="17.25" customHeight="1">
      <c r="A47" s="8"/>
      <c r="B47" s="8"/>
      <c r="C47" s="8"/>
      <c r="D47" s="8"/>
      <c r="E47" s="8"/>
      <c r="F47" s="19" t="s">
        <v>446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19" t="s">
        <v>448</v>
      </c>
      <c r="BB47" s="6" t="str">
        <f>ADDRESS(ROW(FICHA!AK57),COLUMN(FICHA!AK57),4)</f>
        <v>AK57</v>
      </c>
    </row>
    <row r="48" ht="17.25" customHeight="1">
      <c r="A48" s="8"/>
      <c r="B48" s="8"/>
      <c r="C48" s="8"/>
      <c r="D48" s="8"/>
      <c r="E48" s="8"/>
      <c r="F48" s="19" t="s">
        <v>451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19" t="s">
        <v>387</v>
      </c>
      <c r="BB48" s="6" t="str">
        <f>ADDRESS(ROW(FICHA!AO40),COLUMN(FICHA!AO40),4)</f>
        <v>AO40</v>
      </c>
    </row>
    <row r="49" ht="17.25" customHeight="1">
      <c r="A49" s="8"/>
      <c r="B49" s="8"/>
      <c r="C49" s="8"/>
      <c r="D49" s="8"/>
      <c r="E49" s="8"/>
      <c r="F49" s="19" t="s">
        <v>454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19" t="s">
        <v>456</v>
      </c>
      <c r="BB49" s="6" t="str">
        <f>ADDRESS(ROW(FICHA!AQ40),COLUMN(FICHA!AQ40),4)</f>
        <v>AQ40</v>
      </c>
    </row>
    <row r="50" ht="17.25" customHeight="1">
      <c r="A50" s="8"/>
      <c r="B50" s="8"/>
      <c r="C50" s="8"/>
      <c r="D50" s="8"/>
      <c r="E50" s="8"/>
      <c r="F50" s="19" t="s">
        <v>458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19" t="s">
        <v>460</v>
      </c>
      <c r="BB50" s="6" t="str">
        <f>ADDRESS(ROW(FICHA!AS40),COLUMN(FICHA!AS40),4)</f>
        <v>AS40</v>
      </c>
    </row>
    <row r="51" ht="17.25" customHeight="1">
      <c r="A51" s="8"/>
      <c r="B51" s="8"/>
      <c r="C51" s="8"/>
      <c r="D51" s="8"/>
      <c r="E51" s="8"/>
      <c r="F51" s="19" t="s">
        <v>462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19" t="s">
        <v>215</v>
      </c>
      <c r="BB51" s="6" t="str">
        <f>ADDRESS(ROW(FICHA!AK40),COLUMN(FICHA!AK40),4)</f>
        <v>AK40</v>
      </c>
    </row>
    <row r="52" ht="17.25" customHeight="1">
      <c r="A52" s="8"/>
      <c r="B52" s="8"/>
      <c r="C52" s="8"/>
      <c r="D52" s="8"/>
      <c r="E52" s="8"/>
      <c r="F52" s="19" t="s">
        <v>464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19" t="s">
        <v>467</v>
      </c>
      <c r="BB52" s="6" t="str">
        <f>ADDRESS(ROW(FICHA!L43),COLUMN(FICHA!L43),4)</f>
        <v>L43</v>
      </c>
    </row>
    <row r="53" ht="17.25" customHeight="1">
      <c r="A53" s="8"/>
      <c r="B53" s="8"/>
      <c r="C53" s="8"/>
      <c r="D53" s="8"/>
      <c r="E53" s="8"/>
      <c r="F53" s="19" t="s">
        <v>469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19" t="s">
        <v>470</v>
      </c>
      <c r="BB53" s="6" t="str">
        <f>ADDRESS(ROW(FICHA!AS43),COLUMN(FICHA!AS43),4)</f>
        <v>AS43</v>
      </c>
    </row>
    <row r="54" ht="17.25" customHeight="1">
      <c r="A54" s="8"/>
      <c r="B54" s="8"/>
      <c r="C54" s="8"/>
      <c r="D54" s="8"/>
      <c r="E54" s="8"/>
      <c r="F54" s="19" t="s">
        <v>473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19" t="s">
        <v>474</v>
      </c>
      <c r="BB54" s="6" t="str">
        <f>ADDRESS(ROW(FICHA!L47),COLUMN(FICHA!L47),4)</f>
        <v>L47</v>
      </c>
    </row>
    <row r="55" ht="17.25" customHeight="1">
      <c r="A55" s="8"/>
      <c r="B55" s="8"/>
      <c r="C55" s="8"/>
      <c r="D55" s="8"/>
      <c r="E55" s="8"/>
      <c r="F55" s="19" t="s">
        <v>189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19" t="s">
        <v>476</v>
      </c>
      <c r="BB55" s="6" t="str">
        <f>ADDRESS(ROW(FICHA!W47),COLUMN(FICHA!W47),4)</f>
        <v>W47</v>
      </c>
    </row>
    <row r="56" ht="17.25" customHeight="1">
      <c r="A56" s="8"/>
      <c r="B56" s="8"/>
      <c r="C56" s="8"/>
      <c r="D56" s="8"/>
      <c r="E56" s="8"/>
      <c r="F56" s="19" t="s">
        <v>481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19" t="s">
        <v>482</v>
      </c>
      <c r="BB56" s="6" t="str">
        <f>ADDRESS(ROW(FICHA!AH47),COLUMN(FICHA!AH47),4)</f>
        <v>AH47</v>
      </c>
    </row>
    <row r="57" ht="17.25" customHeight="1">
      <c r="A57" s="8"/>
      <c r="B57" s="8"/>
      <c r="C57" s="8"/>
      <c r="D57" s="8"/>
      <c r="E57" s="8"/>
      <c r="F57" s="19" t="s">
        <v>483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19" t="s">
        <v>486</v>
      </c>
      <c r="BB57" s="6" t="str">
        <f>ADDRESS(ROW(FICHA!AS47),COLUMN(FICHA!AS47),4)</f>
        <v>AS47</v>
      </c>
    </row>
    <row r="58" ht="17.25" customHeight="1">
      <c r="A58" s="8"/>
      <c r="B58" s="8"/>
      <c r="C58" s="8"/>
      <c r="D58" s="8"/>
      <c r="E58" s="8"/>
      <c r="F58" s="19" t="s">
        <v>487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19" t="s">
        <v>489</v>
      </c>
      <c r="BB58" s="6" t="str">
        <f>ADDRESS(ROW(FICHA!W51),COLUMN(FICHA!W51),4)</f>
        <v>W51</v>
      </c>
    </row>
    <row r="59" ht="17.25" customHeight="1">
      <c r="A59" s="8"/>
      <c r="B59" s="8"/>
      <c r="C59" s="8"/>
      <c r="D59" s="8"/>
      <c r="E59" s="8"/>
      <c r="F59" s="19" t="s">
        <v>493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19" t="s">
        <v>495</v>
      </c>
      <c r="BB59" s="6" t="str">
        <f>ADDRESS(ROW(FICHA!AK15),COLUMN(FICHA!AK15),4)</f>
        <v>AK15</v>
      </c>
    </row>
    <row r="60" ht="17.25" customHeight="1">
      <c r="A60" s="8"/>
      <c r="B60" s="8"/>
      <c r="C60" s="8"/>
      <c r="D60" s="8"/>
      <c r="E60" s="8"/>
      <c r="F60" s="19" t="s">
        <v>498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19" t="s">
        <v>501</v>
      </c>
      <c r="BB60" s="6" t="str">
        <f>ADDRESS(ROW(FICHA!AM15),COLUMN(FICHA!AM15),4)</f>
        <v>AM15</v>
      </c>
    </row>
    <row r="61" ht="17.25" customHeight="1">
      <c r="A61" s="8"/>
      <c r="B61" s="8"/>
      <c r="C61" s="8"/>
      <c r="D61" s="8"/>
      <c r="E61" s="8"/>
      <c r="F61" s="19" t="s">
        <v>502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19" t="s">
        <v>504</v>
      </c>
      <c r="BB61" s="6" t="str">
        <f>ADDRESS(ROW(FICHA!AO15),COLUMN(FICHA!AO15),4)</f>
        <v>AO15</v>
      </c>
    </row>
    <row r="62" ht="17.25" customHeight="1">
      <c r="A62" s="8"/>
      <c r="B62" s="8"/>
      <c r="C62" s="8"/>
      <c r="D62" s="8"/>
      <c r="E62" s="8"/>
      <c r="F62" s="19" t="s">
        <v>506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19" t="s">
        <v>507</v>
      </c>
      <c r="BB62" s="6" t="str">
        <f>ADDRESS(ROW(FICHA!AQ15),COLUMN(FICHA!AQ15),4)</f>
        <v>AQ15</v>
      </c>
    </row>
    <row r="63" ht="17.25" customHeight="1">
      <c r="A63" s="8"/>
      <c r="B63" s="8"/>
      <c r="C63" s="8"/>
      <c r="D63" s="8"/>
      <c r="E63" s="8"/>
      <c r="F63" s="19" t="s">
        <v>510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19" t="s">
        <v>513</v>
      </c>
      <c r="BB63" s="6" t="str">
        <f>ADDRESS(ROW(FICHA!AS15),COLUMN(FICHA!AS15),4)</f>
        <v>AS15</v>
      </c>
    </row>
    <row r="64" ht="17.25" customHeight="1">
      <c r="A64" s="8"/>
      <c r="B64" s="8"/>
      <c r="C64" s="8"/>
      <c r="D64" s="8"/>
      <c r="E64" s="8"/>
      <c r="F64" s="19" t="s">
        <v>517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9" t="s">
        <v>518</v>
      </c>
      <c r="BB64" s="6" t="str">
        <f>ADDRESS(ROW(FICHA!AK14),COLUMN(FICHA!AK14),4)</f>
        <v>AK14</v>
      </c>
    </row>
    <row r="65" ht="17.25" customHeight="1">
      <c r="A65" s="8"/>
      <c r="B65" s="8"/>
      <c r="C65" s="8"/>
      <c r="D65" s="8"/>
      <c r="E65" s="8"/>
      <c r="F65" s="19" t="s">
        <v>519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19" t="s">
        <v>521</v>
      </c>
      <c r="BB65" s="6" t="str">
        <f>ADDRESS(ROW(FICHA!Z15),COLUMN(FICHA!Z15),4)</f>
        <v>Z15</v>
      </c>
    </row>
    <row r="66" ht="17.25" customHeight="1">
      <c r="A66" s="8"/>
      <c r="B66" s="8"/>
      <c r="C66" s="8"/>
      <c r="D66" s="8"/>
      <c r="E66" s="8"/>
      <c r="F66" s="19" t="s">
        <v>523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19" t="s">
        <v>524</v>
      </c>
      <c r="BB66" s="6" t="str">
        <f>ADDRESS(ROW(FICHA!AK73),COLUMN(FICHA!AK73),4)</f>
        <v>AK73</v>
      </c>
    </row>
    <row r="67" ht="17.25" customHeight="1">
      <c r="A67" s="8"/>
      <c r="B67" s="8"/>
      <c r="C67" s="8"/>
      <c r="D67" s="8"/>
      <c r="E67" s="8"/>
      <c r="F67" s="19" t="s">
        <v>525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19" t="s">
        <v>526</v>
      </c>
      <c r="BB67" s="6" t="str">
        <f>ADDRESS(ROW(FICHA!AF85),COLUMN(FICHA!AF85),4)</f>
        <v>AF85</v>
      </c>
    </row>
    <row r="68" ht="17.25" customHeight="1">
      <c r="A68" s="8"/>
      <c r="B68" s="8"/>
      <c r="C68" s="8"/>
      <c r="D68" s="8"/>
      <c r="E68" s="8"/>
      <c r="F68" s="19" t="s">
        <v>528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19" t="s">
        <v>531</v>
      </c>
      <c r="BB68" s="6" t="str">
        <f>ADDRESS(ROW(FICHA!AN85),COLUMN(FICHA!AN85),4)</f>
        <v>AN85</v>
      </c>
    </row>
    <row r="69" ht="17.25" customHeight="1">
      <c r="A69" s="8"/>
      <c r="B69" s="8"/>
      <c r="C69" s="8"/>
      <c r="D69" s="8"/>
      <c r="E69" s="8"/>
      <c r="F69" s="19" t="s">
        <v>533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19" t="s">
        <v>538</v>
      </c>
      <c r="BB69" s="6" t="str">
        <f>ADDRESS(ROW(FICHA!AK76),COLUMN(FICHA!AK76),4)</f>
        <v>AK76</v>
      </c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19" t="s">
        <v>543</v>
      </c>
      <c r="BB70" s="6" t="str">
        <f>ADDRESS(ROW(FICHA!F122),COLUMN(FICHA!F122),4)</f>
        <v>F122</v>
      </c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19" t="s">
        <v>549</v>
      </c>
      <c r="BB71" s="6" t="str">
        <f>ADDRESS(ROW(FICHA!X137),COLUMN(FICHA!X137),4)</f>
        <v>X137</v>
      </c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19" t="s">
        <v>552</v>
      </c>
      <c r="BB72" s="6" t="str">
        <f>ADDRESS(ROW(FICHA!V124),COLUMN(FICHA!V124),4)</f>
        <v>V124</v>
      </c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19" t="s">
        <v>557</v>
      </c>
      <c r="BB73" s="6" t="str">
        <f>ADDRESS(ROW(FICHA!V125),COLUMN(FICHA!V125),4)</f>
        <v>V125</v>
      </c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19" t="s">
        <v>560</v>
      </c>
      <c r="BB74" s="6" t="str">
        <f>ADDRESS(ROW(FICHA!V122),COLUMN(FICHA!V122),4)</f>
        <v>V122</v>
      </c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19" t="s">
        <v>562</v>
      </c>
      <c r="BB75" s="6" t="str">
        <f>ADDRESS(ROW(FICHA!AF137),COLUMN(FICHA!AF137),4)</f>
        <v>AF137</v>
      </c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19" t="s">
        <v>567</v>
      </c>
      <c r="BB76" s="6" t="str">
        <f>ADDRESS(ROW(FICHA!AK63),COLUMN(FICHA!AK63),4)</f>
        <v>AK63</v>
      </c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19" t="s">
        <v>570</v>
      </c>
      <c r="BB77" s="6" t="str">
        <f>ADDRESS(ROW(FICHA!AK65),COLUMN(FICHA!AK65),4)</f>
        <v>AK65</v>
      </c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19" t="s">
        <v>575</v>
      </c>
      <c r="BB78" s="6" t="str">
        <f>ADDRESS(ROW(FICHA!AK69),COLUMN(FICHA!AK69),4)</f>
        <v>AK69</v>
      </c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34" width="5.0"/>
  </cols>
  <sheetData>
    <row r="1">
      <c r="A1" s="6"/>
      <c r="B1" s="9" t="s">
        <v>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3" t="s">
        <v>7</v>
      </c>
      <c r="X1" s="10"/>
      <c r="Y1" s="10"/>
      <c r="Z1" s="10"/>
      <c r="AA1" s="10"/>
      <c r="AB1" s="10"/>
      <c r="AC1" s="10"/>
      <c r="AD1" s="10"/>
      <c r="AE1" s="10"/>
      <c r="AF1" s="10"/>
      <c r="AG1" s="14"/>
      <c r="AH1" s="6"/>
    </row>
    <row r="2">
      <c r="A2" s="6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8"/>
      <c r="AH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>
      <c r="A4" s="6"/>
      <c r="B4" s="27" t="s">
        <v>35</v>
      </c>
      <c r="C4" s="29"/>
      <c r="D4" s="29"/>
      <c r="E4" s="29"/>
      <c r="F4" s="29"/>
      <c r="G4" s="29"/>
      <c r="H4" s="29"/>
      <c r="I4" s="29"/>
      <c r="J4" s="29"/>
      <c r="K4" s="29"/>
      <c r="L4" s="31"/>
      <c r="M4" s="34" t="s">
        <v>78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1"/>
      <c r="AH4" s="6"/>
    </row>
    <row r="5">
      <c r="A5" s="6"/>
      <c r="B5" s="6"/>
      <c r="C5" s="6"/>
      <c r="D5" s="6"/>
      <c r="E5" s="37" t="s">
        <v>83</v>
      </c>
      <c r="F5" s="29"/>
      <c r="G5" s="29"/>
      <c r="H5" s="29"/>
      <c r="I5" s="29"/>
      <c r="J5" s="31"/>
      <c r="K5" s="37" t="s">
        <v>84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31"/>
      <c r="AH5" s="6"/>
    </row>
    <row r="6" ht="30.0" customHeight="1">
      <c r="A6" s="6"/>
      <c r="B6" s="41"/>
      <c r="C6" s="29"/>
      <c r="D6" s="31"/>
      <c r="E6" s="42" t="s">
        <v>32</v>
      </c>
      <c r="F6" s="29"/>
      <c r="G6" s="29"/>
      <c r="H6" s="29"/>
      <c r="I6" s="29"/>
      <c r="J6" s="31"/>
      <c r="K6" s="44" t="s">
        <v>95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1"/>
      <c r="AH6" s="6"/>
    </row>
    <row r="7" ht="30.0" customHeight="1">
      <c r="A7" s="6"/>
      <c r="B7" s="48"/>
      <c r="C7" s="29"/>
      <c r="D7" s="31"/>
      <c r="E7" s="50" t="s">
        <v>74</v>
      </c>
      <c r="F7" s="29"/>
      <c r="G7" s="29"/>
      <c r="H7" s="29"/>
      <c r="I7" s="29"/>
      <c r="J7" s="31"/>
      <c r="K7" s="52" t="s">
        <v>107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1"/>
      <c r="AH7" s="6"/>
    </row>
    <row r="8" ht="30.0" customHeight="1">
      <c r="A8" s="6"/>
      <c r="B8" s="41"/>
      <c r="C8" s="29"/>
      <c r="D8" s="31"/>
      <c r="E8" s="42" t="s">
        <v>101</v>
      </c>
      <c r="F8" s="29"/>
      <c r="G8" s="29"/>
      <c r="H8" s="29"/>
      <c r="I8" s="29"/>
      <c r="J8" s="31"/>
      <c r="K8" s="44" t="s">
        <v>126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31"/>
      <c r="AH8" s="6"/>
    </row>
    <row r="9" ht="30.0" customHeight="1">
      <c r="A9" s="6"/>
      <c r="B9" s="48"/>
      <c r="C9" s="29"/>
      <c r="D9" s="31"/>
      <c r="E9" s="50" t="s">
        <v>119</v>
      </c>
      <c r="F9" s="29"/>
      <c r="G9" s="29"/>
      <c r="H9" s="29"/>
      <c r="I9" s="29"/>
      <c r="J9" s="31"/>
      <c r="K9" s="52" t="s">
        <v>130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31"/>
      <c r="AH9" s="6"/>
    </row>
    <row r="10" ht="30.0" customHeight="1">
      <c r="A10" s="6"/>
      <c r="B10" s="41"/>
      <c r="C10" s="29"/>
      <c r="D10" s="31"/>
      <c r="E10" s="42" t="s">
        <v>133</v>
      </c>
      <c r="F10" s="29"/>
      <c r="G10" s="29"/>
      <c r="H10" s="29"/>
      <c r="I10" s="29"/>
      <c r="J10" s="31"/>
      <c r="K10" s="44" t="s">
        <v>135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1"/>
      <c r="AH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>
      <c r="A12" s="6"/>
      <c r="B12" s="27" t="s">
        <v>150</v>
      </c>
      <c r="C12" s="29"/>
      <c r="D12" s="29"/>
      <c r="E12" s="29"/>
      <c r="F12" s="29"/>
      <c r="G12" s="29"/>
      <c r="H12" s="29"/>
      <c r="I12" s="29"/>
      <c r="J12" s="29"/>
      <c r="K12" s="29"/>
      <c r="L12" s="31"/>
      <c r="M12" s="34" t="s">
        <v>152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1"/>
      <c r="AH12" s="6"/>
    </row>
    <row r="13">
      <c r="A13" s="6"/>
      <c r="B13" s="63" t="s">
        <v>83</v>
      </c>
      <c r="C13" s="29"/>
      <c r="D13" s="31"/>
      <c r="E13" s="37" t="s">
        <v>165</v>
      </c>
      <c r="F13" s="29"/>
      <c r="G13" s="29"/>
      <c r="H13" s="29"/>
      <c r="I13" s="29"/>
      <c r="J13" s="31"/>
      <c r="K13" s="37" t="s">
        <v>166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1"/>
      <c r="AH13" s="6"/>
    </row>
    <row r="14" ht="30.0" customHeight="1">
      <c r="A14" s="6"/>
      <c r="B14" s="70" t="s">
        <v>65</v>
      </c>
      <c r="C14" s="29"/>
      <c r="D14" s="31"/>
      <c r="E14" s="42" t="s">
        <v>74</v>
      </c>
      <c r="F14" s="29"/>
      <c r="G14" s="29"/>
      <c r="H14" s="29"/>
      <c r="I14" s="29"/>
      <c r="J14" s="31"/>
      <c r="K14" s="44" t="s">
        <v>170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1"/>
      <c r="AH14" s="6"/>
    </row>
    <row r="15" ht="30.0" customHeight="1">
      <c r="A15" s="6"/>
      <c r="B15" s="72" t="s">
        <v>23</v>
      </c>
      <c r="C15" s="29"/>
      <c r="D15" s="31"/>
      <c r="E15" s="50" t="s">
        <v>32</v>
      </c>
      <c r="F15" s="29"/>
      <c r="G15" s="29"/>
      <c r="H15" s="29"/>
      <c r="I15" s="29"/>
      <c r="J15" s="31"/>
      <c r="K15" s="52" t="s">
        <v>182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31"/>
      <c r="AH15" s="6"/>
    </row>
    <row r="16" ht="30.0" customHeight="1">
      <c r="A16" s="6"/>
      <c r="B16" s="70" t="s">
        <v>186</v>
      </c>
      <c r="C16" s="29"/>
      <c r="D16" s="31"/>
      <c r="E16" s="42" t="s">
        <v>133</v>
      </c>
      <c r="F16" s="29"/>
      <c r="G16" s="29"/>
      <c r="H16" s="29"/>
      <c r="I16" s="29"/>
      <c r="J16" s="31"/>
      <c r="K16" s="44" t="s">
        <v>187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31"/>
      <c r="AH16" s="6"/>
    </row>
    <row r="17" ht="30.0" customHeight="1">
      <c r="A17" s="6"/>
      <c r="B17" s="72" t="s">
        <v>196</v>
      </c>
      <c r="C17" s="29"/>
      <c r="D17" s="31"/>
      <c r="E17" s="50" t="s">
        <v>133</v>
      </c>
      <c r="F17" s="29"/>
      <c r="G17" s="29"/>
      <c r="H17" s="29"/>
      <c r="I17" s="29"/>
      <c r="J17" s="31"/>
      <c r="K17" s="52" t="s">
        <v>200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31"/>
      <c r="AH17" s="6"/>
    </row>
    <row r="18" ht="30.0" customHeight="1">
      <c r="A18" s="6"/>
      <c r="B18" s="70" t="s">
        <v>91</v>
      </c>
      <c r="C18" s="29"/>
      <c r="D18" s="31"/>
      <c r="E18" s="42" t="s">
        <v>74</v>
      </c>
      <c r="F18" s="29"/>
      <c r="G18" s="29"/>
      <c r="H18" s="29"/>
      <c r="I18" s="29"/>
      <c r="J18" s="31"/>
      <c r="K18" s="44" t="s">
        <v>202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31"/>
      <c r="AH18" s="6"/>
    </row>
    <row r="19" ht="30.0" customHeight="1">
      <c r="A19" s="6"/>
      <c r="B19" s="72" t="s">
        <v>204</v>
      </c>
      <c r="C19" s="29"/>
      <c r="D19" s="31"/>
      <c r="E19" s="50" t="s">
        <v>119</v>
      </c>
      <c r="F19" s="29"/>
      <c r="G19" s="29"/>
      <c r="H19" s="29"/>
      <c r="I19" s="29"/>
      <c r="J19" s="31"/>
      <c r="K19" s="52" t="s">
        <v>213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31"/>
      <c r="AH19" s="6"/>
    </row>
    <row r="20" ht="30.0" customHeight="1">
      <c r="A20" s="6"/>
      <c r="B20" s="70" t="s">
        <v>216</v>
      </c>
      <c r="C20" s="29"/>
      <c r="D20" s="31"/>
      <c r="E20" s="42" t="s">
        <v>119</v>
      </c>
      <c r="F20" s="29"/>
      <c r="G20" s="29"/>
      <c r="H20" s="29"/>
      <c r="I20" s="29"/>
      <c r="J20" s="31"/>
      <c r="K20" s="44" t="s">
        <v>218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31"/>
      <c r="AH20" s="6"/>
    </row>
    <row r="21" ht="30.0" customHeight="1">
      <c r="A21" s="6"/>
      <c r="B21" s="72" t="s">
        <v>77</v>
      </c>
      <c r="C21" s="29"/>
      <c r="D21" s="31"/>
      <c r="E21" s="50" t="s">
        <v>133</v>
      </c>
      <c r="F21" s="29"/>
      <c r="G21" s="29"/>
      <c r="H21" s="29"/>
      <c r="I21" s="29"/>
      <c r="J21" s="31"/>
      <c r="K21" s="52" t="s">
        <v>228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1"/>
      <c r="AH21" s="6"/>
    </row>
    <row r="22" ht="30.0" customHeight="1">
      <c r="A22" s="6"/>
      <c r="B22" s="70" t="s">
        <v>171</v>
      </c>
      <c r="C22" s="29"/>
      <c r="D22" s="31"/>
      <c r="E22" s="42" t="s">
        <v>119</v>
      </c>
      <c r="F22" s="29"/>
      <c r="G22" s="29"/>
      <c r="H22" s="29"/>
      <c r="I22" s="29"/>
      <c r="J22" s="31"/>
      <c r="K22" s="44" t="s">
        <v>231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31"/>
      <c r="AH22" s="6"/>
    </row>
    <row r="23" ht="30.0" customHeight="1">
      <c r="A23" s="6"/>
      <c r="B23" s="72" t="s">
        <v>153</v>
      </c>
      <c r="C23" s="29"/>
      <c r="D23" s="31"/>
      <c r="E23" s="50" t="s">
        <v>119</v>
      </c>
      <c r="F23" s="29"/>
      <c r="G23" s="29"/>
      <c r="H23" s="29"/>
      <c r="I23" s="29"/>
      <c r="J23" s="31"/>
      <c r="K23" s="52" t="s">
        <v>242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1"/>
      <c r="AH23" s="6"/>
    </row>
    <row r="24" ht="30.0" customHeight="1">
      <c r="A24" s="6"/>
      <c r="B24" s="70" t="s">
        <v>147</v>
      </c>
      <c r="C24" s="29"/>
      <c r="D24" s="31"/>
      <c r="E24" s="42" t="s">
        <v>119</v>
      </c>
      <c r="F24" s="29"/>
      <c r="G24" s="29"/>
      <c r="H24" s="29"/>
      <c r="I24" s="29"/>
      <c r="J24" s="31"/>
      <c r="K24" s="44" t="s">
        <v>244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31"/>
      <c r="AH24" s="6"/>
    </row>
    <row r="25" ht="30.0" customHeight="1">
      <c r="A25" s="6"/>
      <c r="B25" s="72" t="s">
        <v>122</v>
      </c>
      <c r="C25" s="29"/>
      <c r="D25" s="31"/>
      <c r="E25" s="50" t="s">
        <v>119</v>
      </c>
      <c r="F25" s="29"/>
      <c r="G25" s="29"/>
      <c r="H25" s="29"/>
      <c r="I25" s="29"/>
      <c r="J25" s="31"/>
      <c r="K25" s="52" t="s">
        <v>252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31"/>
      <c r="AH25" s="6"/>
    </row>
    <row r="26" ht="30.0" customHeight="1">
      <c r="A26" s="6"/>
      <c r="B26" s="70" t="s">
        <v>254</v>
      </c>
      <c r="C26" s="29"/>
      <c r="D26" s="31"/>
      <c r="E26" s="42" t="s">
        <v>119</v>
      </c>
      <c r="F26" s="29"/>
      <c r="G26" s="29"/>
      <c r="H26" s="29"/>
      <c r="I26" s="29"/>
      <c r="J26" s="31"/>
      <c r="K26" s="44" t="s">
        <v>255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31"/>
      <c r="AH26" s="6"/>
    </row>
    <row r="27" ht="30.0" customHeight="1">
      <c r="A27" s="6"/>
      <c r="B27" s="72" t="s">
        <v>162</v>
      </c>
      <c r="C27" s="29"/>
      <c r="D27" s="31"/>
      <c r="E27" s="50" t="s">
        <v>119</v>
      </c>
      <c r="F27" s="29"/>
      <c r="G27" s="29"/>
      <c r="H27" s="29"/>
      <c r="I27" s="29"/>
      <c r="J27" s="31"/>
      <c r="K27" s="52" t="s">
        <v>270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31"/>
      <c r="AH27" s="6"/>
    </row>
    <row r="28" ht="30.0" customHeight="1">
      <c r="A28" s="6"/>
      <c r="B28" s="70" t="s">
        <v>104</v>
      </c>
      <c r="C28" s="29"/>
      <c r="D28" s="31"/>
      <c r="E28" s="42" t="s">
        <v>133</v>
      </c>
      <c r="F28" s="29"/>
      <c r="G28" s="29"/>
      <c r="H28" s="29"/>
      <c r="I28" s="29"/>
      <c r="J28" s="31"/>
      <c r="K28" s="44" t="s">
        <v>277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31"/>
      <c r="AH28" s="6"/>
    </row>
    <row r="29" ht="30.0" customHeight="1">
      <c r="A29" s="6"/>
      <c r="B29" s="72" t="s">
        <v>121</v>
      </c>
      <c r="C29" s="29"/>
      <c r="D29" s="31"/>
      <c r="E29" s="50" t="s">
        <v>133</v>
      </c>
      <c r="F29" s="29"/>
      <c r="G29" s="29"/>
      <c r="H29" s="29"/>
      <c r="I29" s="29"/>
      <c r="J29" s="31"/>
      <c r="K29" s="52" t="s">
        <v>280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31"/>
      <c r="AH29" s="6"/>
    </row>
    <row r="30" ht="30.0" customHeight="1">
      <c r="A30" s="6"/>
      <c r="B30" s="70" t="s">
        <v>110</v>
      </c>
      <c r="C30" s="29"/>
      <c r="D30" s="31"/>
      <c r="E30" s="42" t="s">
        <v>74</v>
      </c>
      <c r="F30" s="29"/>
      <c r="G30" s="29"/>
      <c r="H30" s="29"/>
      <c r="I30" s="29"/>
      <c r="J30" s="31"/>
      <c r="K30" s="44" t="s">
        <v>281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31"/>
      <c r="AH30" s="6"/>
    </row>
    <row r="31" ht="30.0" customHeight="1">
      <c r="A31" s="6"/>
      <c r="B31" s="72" t="s">
        <v>136</v>
      </c>
      <c r="C31" s="29"/>
      <c r="D31" s="31"/>
      <c r="E31" s="50" t="s">
        <v>74</v>
      </c>
      <c r="F31" s="29"/>
      <c r="G31" s="29"/>
      <c r="H31" s="29"/>
      <c r="I31" s="29"/>
      <c r="J31" s="31"/>
      <c r="K31" s="52" t="s">
        <v>284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31"/>
      <c r="AH31" s="6"/>
    </row>
    <row r="32" ht="30.0" customHeight="1">
      <c r="A32" s="6"/>
      <c r="B32" s="70" t="s">
        <v>290</v>
      </c>
      <c r="C32" s="29"/>
      <c r="D32" s="31"/>
      <c r="E32" s="42" t="s">
        <v>133</v>
      </c>
      <c r="F32" s="29"/>
      <c r="G32" s="29"/>
      <c r="H32" s="29"/>
      <c r="I32" s="29"/>
      <c r="J32" s="31"/>
      <c r="K32" s="44" t="s">
        <v>291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31"/>
      <c r="AH32" s="6"/>
    </row>
    <row r="33" ht="30.0" customHeight="1">
      <c r="A33" s="6"/>
      <c r="B33" s="72" t="s">
        <v>146</v>
      </c>
      <c r="C33" s="29"/>
      <c r="D33" s="31"/>
      <c r="E33" s="50" t="s">
        <v>119</v>
      </c>
      <c r="F33" s="29"/>
      <c r="G33" s="29"/>
      <c r="H33" s="29"/>
      <c r="I33" s="29"/>
      <c r="J33" s="31"/>
      <c r="K33" s="52" t="s">
        <v>293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31"/>
      <c r="AH33" s="6"/>
    </row>
    <row r="34" ht="30.0" customHeight="1">
      <c r="A34" s="6"/>
      <c r="B34" s="70" t="s">
        <v>297</v>
      </c>
      <c r="C34" s="29"/>
      <c r="D34" s="31"/>
      <c r="E34" s="42" t="s">
        <v>133</v>
      </c>
      <c r="F34" s="29"/>
      <c r="G34" s="29"/>
      <c r="H34" s="29"/>
      <c r="I34" s="29"/>
      <c r="J34" s="31"/>
      <c r="K34" s="44" t="s">
        <v>300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31"/>
      <c r="AH34" s="6"/>
    </row>
    <row r="35" ht="30.0" customHeight="1">
      <c r="A35" s="6"/>
      <c r="B35" s="72" t="s">
        <v>257</v>
      </c>
      <c r="C35" s="29"/>
      <c r="D35" s="31"/>
      <c r="E35" s="50" t="s">
        <v>119</v>
      </c>
      <c r="F35" s="29"/>
      <c r="G35" s="29"/>
      <c r="H35" s="29"/>
      <c r="I35" s="29"/>
      <c r="J35" s="31"/>
      <c r="K35" s="52" t="s">
        <v>301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31"/>
      <c r="AH35" s="6"/>
    </row>
    <row r="36" ht="30.0" customHeight="1">
      <c r="A36" s="6"/>
      <c r="B36" s="70" t="s">
        <v>294</v>
      </c>
      <c r="C36" s="29"/>
      <c r="D36" s="31"/>
      <c r="E36" s="42" t="s">
        <v>119</v>
      </c>
      <c r="F36" s="29"/>
      <c r="G36" s="29"/>
      <c r="H36" s="29"/>
      <c r="I36" s="29"/>
      <c r="J36" s="31"/>
      <c r="K36" s="44" t="s">
        <v>305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31"/>
      <c r="AH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>
      <c r="A38" s="6"/>
      <c r="B38" s="27" t="s">
        <v>309</v>
      </c>
      <c r="C38" s="29"/>
      <c r="D38" s="29"/>
      <c r="E38" s="29"/>
      <c r="F38" s="29"/>
      <c r="G38" s="29"/>
      <c r="H38" s="29"/>
      <c r="I38" s="29"/>
      <c r="J38" s="29"/>
      <c r="K38" s="29"/>
      <c r="L38" s="31"/>
      <c r="M38" s="34" t="s">
        <v>311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31"/>
      <c r="AH38" s="6"/>
    </row>
    <row r="39">
      <c r="A39" s="6"/>
      <c r="B39" s="6"/>
      <c r="C39" s="6"/>
      <c r="D39" s="6"/>
      <c r="E39" s="37" t="s">
        <v>165</v>
      </c>
      <c r="F39" s="29"/>
      <c r="G39" s="29"/>
      <c r="H39" s="29"/>
      <c r="I39" s="29"/>
      <c r="J39" s="31"/>
      <c r="K39" s="37" t="s">
        <v>166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31"/>
      <c r="AH39" s="6"/>
    </row>
    <row r="40" ht="30.0" customHeight="1">
      <c r="A40" s="6"/>
      <c r="B40" s="41"/>
      <c r="C40" s="29"/>
      <c r="D40" s="31"/>
      <c r="E40" s="42" t="s">
        <v>188</v>
      </c>
      <c r="F40" s="29"/>
      <c r="G40" s="29"/>
      <c r="H40" s="29"/>
      <c r="I40" s="29"/>
      <c r="J40" s="31"/>
      <c r="K40" s="44" t="s">
        <v>320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31"/>
      <c r="AH40" s="6"/>
    </row>
    <row r="41" ht="30.0" customHeight="1">
      <c r="A41" s="6"/>
      <c r="B41" s="48"/>
      <c r="C41" s="29"/>
      <c r="D41" s="31"/>
      <c r="E41" s="50" t="s">
        <v>66</v>
      </c>
      <c r="F41" s="29"/>
      <c r="G41" s="29"/>
      <c r="H41" s="29"/>
      <c r="I41" s="29"/>
      <c r="J41" s="31"/>
      <c r="K41" s="52" t="s">
        <v>323</v>
      </c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31"/>
      <c r="AH41" s="6"/>
    </row>
    <row r="42" ht="30.0" customHeight="1">
      <c r="A42" s="6"/>
      <c r="B42" s="41"/>
      <c r="C42" s="29"/>
      <c r="D42" s="31"/>
      <c r="E42" s="42" t="s">
        <v>154</v>
      </c>
      <c r="F42" s="29"/>
      <c r="G42" s="29"/>
      <c r="H42" s="29"/>
      <c r="I42" s="29"/>
      <c r="J42" s="31"/>
      <c r="K42" s="44" t="s">
        <v>329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31"/>
      <c r="AH42" s="6"/>
    </row>
    <row r="43" ht="30.0" customHeight="1">
      <c r="A43" s="6"/>
      <c r="B43" s="48"/>
      <c r="C43" s="29"/>
      <c r="D43" s="31"/>
      <c r="E43" s="50" t="s">
        <v>137</v>
      </c>
      <c r="F43" s="29"/>
      <c r="G43" s="29"/>
      <c r="H43" s="29"/>
      <c r="I43" s="29"/>
      <c r="J43" s="31"/>
      <c r="K43" s="52" t="s">
        <v>334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31"/>
      <c r="AH43" s="6"/>
    </row>
    <row r="44" ht="30.0" customHeight="1">
      <c r="A44" s="6"/>
      <c r="B44" s="41"/>
      <c r="C44" s="29"/>
      <c r="D44" s="31"/>
      <c r="E44" s="42" t="s">
        <v>24</v>
      </c>
      <c r="F44" s="29"/>
      <c r="G44" s="29"/>
      <c r="H44" s="29"/>
      <c r="I44" s="29"/>
      <c r="J44" s="31"/>
      <c r="K44" s="44" t="s">
        <v>336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31"/>
      <c r="AH44" s="6"/>
    </row>
    <row r="45" ht="30.0" customHeight="1">
      <c r="A45" s="6"/>
      <c r="B45" s="48"/>
      <c r="C45" s="29"/>
      <c r="D45" s="31"/>
      <c r="E45" s="50" t="s">
        <v>205</v>
      </c>
      <c r="F45" s="29"/>
      <c r="G45" s="29"/>
      <c r="H45" s="29"/>
      <c r="I45" s="29"/>
      <c r="J45" s="31"/>
      <c r="K45" s="52" t="s">
        <v>341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31"/>
      <c r="AH45" s="6"/>
    </row>
    <row r="46" ht="30.0" customHeight="1">
      <c r="A46" s="6"/>
      <c r="B46" s="41"/>
      <c r="C46" s="29"/>
      <c r="D46" s="31"/>
      <c r="E46" s="42" t="s">
        <v>172</v>
      </c>
      <c r="F46" s="29"/>
      <c r="G46" s="29"/>
      <c r="H46" s="29"/>
      <c r="I46" s="29"/>
      <c r="J46" s="31"/>
      <c r="K46" s="44" t="s">
        <v>345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31"/>
      <c r="AH46" s="6"/>
    </row>
    <row r="47" ht="30.0" customHeight="1">
      <c r="A47" s="6"/>
      <c r="B47" s="48"/>
      <c r="C47" s="29"/>
      <c r="D47" s="31"/>
      <c r="E47" s="50" t="s">
        <v>111</v>
      </c>
      <c r="F47" s="29"/>
      <c r="G47" s="29"/>
      <c r="H47" s="29"/>
      <c r="I47" s="29"/>
      <c r="J47" s="31"/>
      <c r="K47" s="52" t="s">
        <v>348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31"/>
      <c r="AH47" s="6"/>
    </row>
    <row r="48" ht="30.0" customHeight="1">
      <c r="A48" s="6"/>
      <c r="B48" s="41"/>
      <c r="C48" s="29"/>
      <c r="D48" s="31"/>
      <c r="E48" s="42" t="s">
        <v>92</v>
      </c>
      <c r="F48" s="29"/>
      <c r="G48" s="29"/>
      <c r="H48" s="29"/>
      <c r="I48" s="29"/>
      <c r="J48" s="31"/>
      <c r="K48" s="44" t="s">
        <v>352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31"/>
      <c r="AH48" s="6"/>
    </row>
    <row r="49" ht="30.0" customHeight="1">
      <c r="A49" s="6"/>
      <c r="B49" s="48"/>
      <c r="C49" s="29"/>
      <c r="D49" s="31"/>
      <c r="E49" s="50" t="s">
        <v>221</v>
      </c>
      <c r="F49" s="29"/>
      <c r="G49" s="29"/>
      <c r="H49" s="29"/>
      <c r="I49" s="29"/>
      <c r="J49" s="31"/>
      <c r="K49" s="52" t="s">
        <v>357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31"/>
      <c r="AH49" s="6"/>
    </row>
    <row r="50" ht="30.0" customHeight="1">
      <c r="A50" s="6"/>
      <c r="B50" s="41"/>
      <c r="C50" s="29"/>
      <c r="D50" s="31"/>
      <c r="E50" s="42" t="s">
        <v>234</v>
      </c>
      <c r="F50" s="29"/>
      <c r="G50" s="29"/>
      <c r="H50" s="29"/>
      <c r="I50" s="29"/>
      <c r="J50" s="31"/>
      <c r="K50" s="44" t="s">
        <v>359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31"/>
      <c r="AH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>
      <c r="A52" s="6"/>
      <c r="B52" s="27" t="s">
        <v>363</v>
      </c>
      <c r="C52" s="29"/>
      <c r="D52" s="29"/>
      <c r="E52" s="29"/>
      <c r="F52" s="29"/>
      <c r="G52" s="29"/>
      <c r="H52" s="29"/>
      <c r="I52" s="29"/>
      <c r="J52" s="29"/>
      <c r="K52" s="29"/>
      <c r="L52" s="3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>
      <c r="A53" s="6"/>
      <c r="B53" s="6"/>
      <c r="C53" s="6"/>
      <c r="D53" s="6"/>
      <c r="E53" s="37" t="s">
        <v>365</v>
      </c>
      <c r="F53" s="29"/>
      <c r="G53" s="29"/>
      <c r="H53" s="29"/>
      <c r="I53" s="29"/>
      <c r="J53" s="31"/>
      <c r="K53" s="37" t="s">
        <v>367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31"/>
      <c r="AH53" s="6"/>
    </row>
    <row r="54" ht="30.0" customHeight="1">
      <c r="A54" s="6"/>
      <c r="B54" s="41"/>
      <c r="C54" s="29"/>
      <c r="D54" s="31"/>
      <c r="E54" s="42" t="s">
        <v>374</v>
      </c>
      <c r="F54" s="29"/>
      <c r="G54" s="29"/>
      <c r="H54" s="29"/>
      <c r="I54" s="29"/>
      <c r="J54" s="31"/>
      <c r="K54" s="44" t="s">
        <v>376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31"/>
      <c r="AH54" s="6"/>
    </row>
    <row r="55" ht="30.0" customHeight="1">
      <c r="A55" s="6"/>
      <c r="B55" s="48"/>
      <c r="C55" s="29"/>
      <c r="D55" s="31"/>
      <c r="E55" s="50" t="s">
        <v>379</v>
      </c>
      <c r="F55" s="29"/>
      <c r="G55" s="29"/>
      <c r="H55" s="29"/>
      <c r="I55" s="29"/>
      <c r="J55" s="31"/>
      <c r="K55" s="52" t="s">
        <v>381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31"/>
      <c r="AH55" s="6"/>
    </row>
    <row r="56" ht="30.0" customHeight="1">
      <c r="A56" s="6"/>
      <c r="B56" s="41"/>
      <c r="C56" s="29"/>
      <c r="D56" s="31"/>
      <c r="E56" s="42" t="s">
        <v>384</v>
      </c>
      <c r="F56" s="29"/>
      <c r="G56" s="29"/>
      <c r="H56" s="29"/>
      <c r="I56" s="29"/>
      <c r="J56" s="31"/>
      <c r="K56" s="44" t="s">
        <v>388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31"/>
      <c r="AH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</sheetData>
  <mergeCells count="144">
    <mergeCell ref="K22:AG22"/>
    <mergeCell ref="K23:AG23"/>
    <mergeCell ref="K24:AG24"/>
    <mergeCell ref="K25:AG25"/>
    <mergeCell ref="K26:AG26"/>
    <mergeCell ref="K27:AG27"/>
    <mergeCell ref="K28:AG28"/>
    <mergeCell ref="K29:AG29"/>
    <mergeCell ref="K30:AG30"/>
    <mergeCell ref="K31:AG31"/>
    <mergeCell ref="K32:AG32"/>
    <mergeCell ref="K33:AG33"/>
    <mergeCell ref="K34:AG34"/>
    <mergeCell ref="K35:AG35"/>
    <mergeCell ref="K36:AG36"/>
    <mergeCell ref="M38:AG38"/>
    <mergeCell ref="K39:AG39"/>
    <mergeCell ref="K40:AG40"/>
    <mergeCell ref="K41:AG41"/>
    <mergeCell ref="K42:AG42"/>
    <mergeCell ref="K43:AG43"/>
    <mergeCell ref="K53:AG53"/>
    <mergeCell ref="K54:AG54"/>
    <mergeCell ref="K55:AG55"/>
    <mergeCell ref="K56:AG56"/>
    <mergeCell ref="K44:AG44"/>
    <mergeCell ref="K45:AG45"/>
    <mergeCell ref="K46:AG46"/>
    <mergeCell ref="K47:AG47"/>
    <mergeCell ref="K48:AG48"/>
    <mergeCell ref="K49:AG49"/>
    <mergeCell ref="K50:AG50"/>
    <mergeCell ref="E6:J6"/>
    <mergeCell ref="K6:AG6"/>
    <mergeCell ref="B1:V2"/>
    <mergeCell ref="W1:AG2"/>
    <mergeCell ref="B4:L4"/>
    <mergeCell ref="M4:AG4"/>
    <mergeCell ref="E5:J5"/>
    <mergeCell ref="K5:AG5"/>
    <mergeCell ref="B6:D6"/>
    <mergeCell ref="E9:J9"/>
    <mergeCell ref="K9:AG9"/>
    <mergeCell ref="B7:D7"/>
    <mergeCell ref="E7:J7"/>
    <mergeCell ref="K7:AG7"/>
    <mergeCell ref="B8:D8"/>
    <mergeCell ref="E8:J8"/>
    <mergeCell ref="K8:AG8"/>
    <mergeCell ref="B9:D9"/>
    <mergeCell ref="K14:AG14"/>
    <mergeCell ref="K15:AG15"/>
    <mergeCell ref="K16:AG16"/>
    <mergeCell ref="B10:D10"/>
    <mergeCell ref="E10:J10"/>
    <mergeCell ref="K10:AG10"/>
    <mergeCell ref="B12:L12"/>
    <mergeCell ref="M12:AG12"/>
    <mergeCell ref="E13:J13"/>
    <mergeCell ref="K13:AG13"/>
    <mergeCell ref="B17:D17"/>
    <mergeCell ref="E17:J17"/>
    <mergeCell ref="K17:AG17"/>
    <mergeCell ref="K18:AG18"/>
    <mergeCell ref="K19:AG19"/>
    <mergeCell ref="K20:AG20"/>
    <mergeCell ref="K21:AG21"/>
    <mergeCell ref="E42:J42"/>
    <mergeCell ref="E43:J43"/>
    <mergeCell ref="B35:D35"/>
    <mergeCell ref="B36:D36"/>
    <mergeCell ref="B38:L38"/>
    <mergeCell ref="E39:J39"/>
    <mergeCell ref="B40:D40"/>
    <mergeCell ref="E40:J40"/>
    <mergeCell ref="E41:J41"/>
    <mergeCell ref="B41:D41"/>
    <mergeCell ref="B42:D42"/>
    <mergeCell ref="B43:D43"/>
    <mergeCell ref="B44:D44"/>
    <mergeCell ref="E44:J44"/>
    <mergeCell ref="B45:D45"/>
    <mergeCell ref="E45:J45"/>
    <mergeCell ref="B52:L52"/>
    <mergeCell ref="E53:J53"/>
    <mergeCell ref="B54:D54"/>
    <mergeCell ref="E54:J54"/>
    <mergeCell ref="B55:D55"/>
    <mergeCell ref="E55:J55"/>
    <mergeCell ref="B56:D56"/>
    <mergeCell ref="E56:J56"/>
    <mergeCell ref="B46:D46"/>
    <mergeCell ref="E46:J46"/>
    <mergeCell ref="B47:D47"/>
    <mergeCell ref="E47:J47"/>
    <mergeCell ref="B48:D48"/>
    <mergeCell ref="E48:J48"/>
    <mergeCell ref="E49:J49"/>
    <mergeCell ref="B13:D13"/>
    <mergeCell ref="B14:D14"/>
    <mergeCell ref="E14:J14"/>
    <mergeCell ref="B15:D15"/>
    <mergeCell ref="E15:J15"/>
    <mergeCell ref="B16:D16"/>
    <mergeCell ref="E16:J16"/>
    <mergeCell ref="B18:D18"/>
    <mergeCell ref="E18:J18"/>
    <mergeCell ref="B19:D19"/>
    <mergeCell ref="E19:J19"/>
    <mergeCell ref="B20:D20"/>
    <mergeCell ref="E20:J20"/>
    <mergeCell ref="E21:J21"/>
    <mergeCell ref="B21:D21"/>
    <mergeCell ref="B22:D22"/>
    <mergeCell ref="B23:D23"/>
    <mergeCell ref="B24:D24"/>
    <mergeCell ref="B25:D25"/>
    <mergeCell ref="B26:D26"/>
    <mergeCell ref="B27:D27"/>
    <mergeCell ref="E29:J29"/>
    <mergeCell ref="E30:J30"/>
    <mergeCell ref="E31:J31"/>
    <mergeCell ref="E32:J32"/>
    <mergeCell ref="E33:J33"/>
    <mergeCell ref="E34:J34"/>
    <mergeCell ref="E35:J35"/>
    <mergeCell ref="E36:J36"/>
    <mergeCell ref="E22:J22"/>
    <mergeCell ref="E23:J23"/>
    <mergeCell ref="E24:J24"/>
    <mergeCell ref="E25:J25"/>
    <mergeCell ref="E26:J26"/>
    <mergeCell ref="E27:J27"/>
    <mergeCell ref="E28:J28"/>
    <mergeCell ref="B28:D28"/>
    <mergeCell ref="B29:D29"/>
    <mergeCell ref="B30:D30"/>
    <mergeCell ref="B31:D31"/>
    <mergeCell ref="B32:D32"/>
    <mergeCell ref="B33:D33"/>
    <mergeCell ref="B34:D34"/>
    <mergeCell ref="B49:D49"/>
    <mergeCell ref="B50:D50"/>
    <mergeCell ref="E50:J5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7" width="5.0"/>
  </cols>
  <sheetData>
    <row r="1" ht="15.0" customHeight="1">
      <c r="A1" s="104"/>
      <c r="B1" s="112"/>
      <c r="C1" s="113"/>
      <c r="D1" s="115" t="s">
        <v>386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13"/>
      <c r="AF1" s="13" t="s">
        <v>392</v>
      </c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4"/>
      <c r="AU1" s="104"/>
    </row>
    <row r="2" ht="15.0" customHeight="1">
      <c r="A2" s="104"/>
      <c r="B2" s="112"/>
      <c r="C2" s="1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8"/>
      <c r="AU2" s="104"/>
    </row>
    <row r="3" ht="15.0" customHeight="1">
      <c r="A3" s="104"/>
      <c r="B3" s="112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ht="15.0" customHeight="1">
      <c r="A4" s="104"/>
      <c r="B4" s="112"/>
      <c r="C4" s="6"/>
      <c r="D4" s="118" t="s">
        <v>396</v>
      </c>
      <c r="E4" s="10"/>
      <c r="F4" s="14"/>
      <c r="G4" s="119" t="s">
        <v>398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1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ht="15.0" customHeight="1">
      <c r="A5" s="104"/>
      <c r="B5" s="112"/>
      <c r="C5" s="6"/>
      <c r="D5" s="16"/>
      <c r="E5" s="17"/>
      <c r="F5" s="1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ht="15.0" customHeight="1">
      <c r="A6" s="104"/>
      <c r="B6" s="112"/>
      <c r="C6" s="6"/>
      <c r="D6" s="63" t="s">
        <v>403</v>
      </c>
      <c r="E6" s="29"/>
      <c r="F6" s="29"/>
      <c r="G6" s="29"/>
      <c r="H6" s="29"/>
      <c r="I6" s="29"/>
      <c r="J6" s="29"/>
      <c r="K6" s="29"/>
      <c r="L6" s="29"/>
      <c r="M6" s="31"/>
      <c r="N6" s="6"/>
      <c r="O6" s="122" t="s">
        <v>404</v>
      </c>
      <c r="P6" s="10"/>
      <c r="Q6" s="10"/>
      <c r="R6" s="10"/>
      <c r="S6" s="10"/>
      <c r="T6" s="10"/>
      <c r="U6" s="10"/>
      <c r="V6" s="10"/>
      <c r="W6" s="10"/>
      <c r="X6" s="14"/>
      <c r="Y6" s="6"/>
      <c r="Z6" s="63" t="s">
        <v>406</v>
      </c>
      <c r="AA6" s="29"/>
      <c r="AB6" s="29"/>
      <c r="AC6" s="29"/>
      <c r="AD6" s="29"/>
      <c r="AE6" s="29"/>
      <c r="AF6" s="29"/>
      <c r="AG6" s="29"/>
      <c r="AH6" s="29"/>
      <c r="AI6" s="31"/>
      <c r="AJ6" s="6"/>
      <c r="AK6" s="63" t="s">
        <v>408</v>
      </c>
      <c r="AL6" s="29"/>
      <c r="AM6" s="29"/>
      <c r="AN6" s="29"/>
      <c r="AO6" s="29"/>
      <c r="AP6" s="29"/>
      <c r="AQ6" s="29"/>
      <c r="AR6" s="29"/>
      <c r="AS6" s="29"/>
      <c r="AT6" s="31"/>
      <c r="AU6" s="6"/>
    </row>
    <row r="7" ht="15.0" customHeight="1">
      <c r="A7" s="104"/>
      <c r="B7" s="112"/>
      <c r="C7" s="6"/>
      <c r="D7" s="124">
        <f>FICHA!AH11</f>
        <v>2</v>
      </c>
      <c r="M7" s="47"/>
      <c r="N7" s="6"/>
      <c r="O7" s="106">
        <f>FICHA!AJ19</f>
        <v>0</v>
      </c>
      <c r="P7" s="10"/>
      <c r="Q7" s="10"/>
      <c r="R7" s="10"/>
      <c r="S7" s="10"/>
      <c r="T7" s="10"/>
      <c r="U7" s="10"/>
      <c r="V7" s="10"/>
      <c r="W7" s="10"/>
      <c r="X7" s="14"/>
      <c r="Y7" s="6"/>
      <c r="Z7" s="124">
        <f>FICHA!AB19</f>
        <v>0</v>
      </c>
      <c r="AI7" s="47"/>
      <c r="AJ7" s="6"/>
      <c r="AK7" s="126">
        <f>(1+COUNTIF(DADOS_INV!$AH$3:$AH$5,"&lt;="&amp;$D$7))</f>
        <v>1</v>
      </c>
      <c r="AT7" s="47"/>
      <c r="AU7" s="6"/>
    </row>
    <row r="8" ht="15.0" customHeight="1">
      <c r="A8" s="56" t="s">
        <v>417</v>
      </c>
      <c r="B8" s="47"/>
      <c r="C8" s="6"/>
      <c r="D8" s="16"/>
      <c r="E8" s="17"/>
      <c r="F8" s="17"/>
      <c r="G8" s="17"/>
      <c r="H8" s="17"/>
      <c r="I8" s="17"/>
      <c r="J8" s="17"/>
      <c r="K8" s="17"/>
      <c r="L8" s="17"/>
      <c r="M8" s="18"/>
      <c r="N8" s="6"/>
      <c r="O8" s="16"/>
      <c r="P8" s="17"/>
      <c r="Q8" s="17"/>
      <c r="R8" s="17"/>
      <c r="S8" s="17"/>
      <c r="T8" s="17"/>
      <c r="U8" s="17"/>
      <c r="V8" s="17"/>
      <c r="W8" s="17"/>
      <c r="X8" s="18"/>
      <c r="Y8" s="6"/>
      <c r="Z8" s="16"/>
      <c r="AA8" s="17"/>
      <c r="AB8" s="17"/>
      <c r="AC8" s="17"/>
      <c r="AD8" s="17"/>
      <c r="AE8" s="17"/>
      <c r="AF8" s="17"/>
      <c r="AG8" s="17"/>
      <c r="AH8" s="17"/>
      <c r="AI8" s="18"/>
      <c r="AJ8" s="6"/>
      <c r="AK8" s="16"/>
      <c r="AL8" s="17"/>
      <c r="AM8" s="17"/>
      <c r="AN8" s="17"/>
      <c r="AO8" s="17"/>
      <c r="AP8" s="17"/>
      <c r="AQ8" s="17"/>
      <c r="AR8" s="17"/>
      <c r="AS8" s="17"/>
      <c r="AT8" s="18"/>
      <c r="AU8" s="6"/>
    </row>
    <row r="9" ht="15.0" customHeight="1">
      <c r="B9" s="4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ht="15.0" customHeight="1">
      <c r="B10" s="47"/>
      <c r="C10" s="6"/>
      <c r="D10" s="122" t="s">
        <v>424</v>
      </c>
      <c r="E10" s="10"/>
      <c r="F10" s="10"/>
      <c r="G10" s="10"/>
      <c r="H10" s="10"/>
      <c r="I10" s="10"/>
      <c r="J10" s="10"/>
      <c r="K10" s="10"/>
      <c r="L10" s="10"/>
      <c r="M10" s="14"/>
      <c r="N10" s="6"/>
      <c r="O10" s="63" t="s">
        <v>427</v>
      </c>
      <c r="P10" s="29"/>
      <c r="Q10" s="29"/>
      <c r="R10" s="29"/>
      <c r="S10" s="29"/>
      <c r="T10" s="29"/>
      <c r="U10" s="29"/>
      <c r="V10" s="29"/>
      <c r="W10" s="29"/>
      <c r="X10" s="31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</row>
    <row r="11" ht="26.25" customHeight="1">
      <c r="B11" s="47"/>
      <c r="C11" s="6"/>
      <c r="D11" s="127">
        <f>COUNTIF(DADOS_INV!$AG$3:$AG$9,"&lt;="&amp;$D$7)</f>
        <v>0</v>
      </c>
      <c r="E11" s="29"/>
      <c r="F11" s="29"/>
      <c r="G11" s="29"/>
      <c r="H11" s="29"/>
      <c r="I11" s="29"/>
      <c r="J11" s="29"/>
      <c r="K11" s="29"/>
      <c r="L11" s="29"/>
      <c r="M11" s="31"/>
      <c r="N11" s="6"/>
      <c r="O11" s="129">
        <f>COUNTIF(DADOS_INV!$AI$3:$AI$9,"&lt;="&amp;$D$7)</f>
        <v>1</v>
      </c>
      <c r="P11" s="17"/>
      <c r="Q11" s="17"/>
      <c r="R11" s="17"/>
      <c r="S11" s="17"/>
      <c r="T11" s="17"/>
      <c r="U11" s="17"/>
      <c r="V11" s="17"/>
      <c r="W11" s="17"/>
      <c r="X11" s="18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</row>
    <row r="12" ht="15.0" customHeight="1">
      <c r="B12" s="4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</row>
    <row r="13" ht="15.0" customHeight="1">
      <c r="B13" s="47"/>
      <c r="C13" s="6"/>
      <c r="D13" s="130"/>
      <c r="AU13" s="6"/>
    </row>
    <row r="14" ht="15.0" customHeight="1">
      <c r="B14" s="47"/>
      <c r="C14" s="6"/>
      <c r="AU14" s="6"/>
    </row>
    <row r="15" ht="15.0" customHeight="1">
      <c r="B15" s="4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</row>
    <row r="16" ht="15.0" customHeight="1">
      <c r="B16" s="47"/>
      <c r="C16" s="6"/>
      <c r="D16" s="118" t="s">
        <v>441</v>
      </c>
      <c r="E16" s="10"/>
      <c r="F16" s="14"/>
      <c r="G16" s="119" t="s">
        <v>442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31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</row>
    <row r="17" ht="15.0" customHeight="1">
      <c r="B17" s="47"/>
      <c r="C17" s="6"/>
      <c r="D17" s="16"/>
      <c r="E17" s="17"/>
      <c r="F17" s="1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</row>
    <row r="18" ht="15.0" customHeight="1">
      <c r="B18" s="47"/>
      <c r="C18" s="6"/>
      <c r="D18" s="63" t="s">
        <v>165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31"/>
      <c r="Y18" s="6"/>
      <c r="Z18" s="63" t="s">
        <v>452</v>
      </c>
      <c r="AA18" s="29"/>
      <c r="AB18" s="29"/>
      <c r="AC18" s="29"/>
      <c r="AD18" s="29"/>
      <c r="AE18" s="29"/>
      <c r="AF18" s="29"/>
      <c r="AG18" s="29"/>
      <c r="AH18" s="29"/>
      <c r="AI18" s="31"/>
      <c r="AJ18" s="6"/>
      <c r="AK18" s="63" t="s">
        <v>127</v>
      </c>
      <c r="AL18" s="29"/>
      <c r="AM18" s="29"/>
      <c r="AN18" s="29"/>
      <c r="AO18" s="29"/>
      <c r="AP18" s="29"/>
      <c r="AQ18" s="29"/>
      <c r="AR18" s="29"/>
      <c r="AS18" s="29"/>
      <c r="AT18" s="31"/>
      <c r="AU18" s="6"/>
    </row>
    <row r="19" ht="33.75" customHeight="1">
      <c r="B19" s="47"/>
      <c r="C19" s="6"/>
      <c r="D19" s="137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31"/>
      <c r="Y19" s="6"/>
      <c r="Z19" s="138" t="s">
        <v>459</v>
      </c>
      <c r="AA19" s="29"/>
      <c r="AB19" s="29"/>
      <c r="AC19" s="29"/>
      <c r="AD19" s="29"/>
      <c r="AE19" s="29"/>
      <c r="AF19" s="29"/>
      <c r="AG19" s="29"/>
      <c r="AH19" s="29"/>
      <c r="AI19" s="31"/>
      <c r="AJ19" s="6"/>
      <c r="AK19" s="138" t="s">
        <v>262</v>
      </c>
      <c r="AL19" s="29"/>
      <c r="AM19" s="29"/>
      <c r="AN19" s="29"/>
      <c r="AO19" s="29"/>
      <c r="AP19" s="29"/>
      <c r="AQ19" s="29"/>
      <c r="AR19" s="29"/>
      <c r="AS19" s="29"/>
      <c r="AT19" s="31"/>
      <c r="AU19" s="6"/>
    </row>
    <row r="20" ht="15.0" customHeight="1">
      <c r="B20" s="4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ht="15.0" customHeight="1">
      <c r="B21" s="47"/>
      <c r="C21" s="6"/>
      <c r="D21" s="63" t="s">
        <v>465</v>
      </c>
      <c r="E21" s="29"/>
      <c r="F21" s="29"/>
      <c r="G21" s="29"/>
      <c r="H21" s="29"/>
      <c r="I21" s="29"/>
      <c r="J21" s="29"/>
      <c r="K21" s="29"/>
      <c r="L21" s="29"/>
      <c r="M21" s="31"/>
      <c r="N21" s="6"/>
      <c r="O21" s="140"/>
      <c r="AU21" s="6"/>
    </row>
    <row r="22" ht="27.0" customHeight="1">
      <c r="B22" s="47"/>
      <c r="C22" s="6"/>
      <c r="D22" s="141" t="s">
        <v>471</v>
      </c>
      <c r="E22" s="29"/>
      <c r="F22" s="29"/>
      <c r="G22" s="29"/>
      <c r="H22" s="29"/>
      <c r="I22" s="29"/>
      <c r="J22" s="29"/>
      <c r="K22" s="29"/>
      <c r="L22" s="29"/>
      <c r="M22" s="31"/>
      <c r="N22" s="6"/>
      <c r="O22" s="142"/>
      <c r="AU22" s="6"/>
    </row>
    <row r="23" ht="15.0" customHeight="1">
      <c r="B23" s="4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AU23" s="6"/>
    </row>
    <row r="24" ht="15.0" customHeight="1">
      <c r="B24" s="47"/>
      <c r="C24" s="6"/>
      <c r="D24" s="130"/>
      <c r="AU24" s="6"/>
    </row>
    <row r="25" ht="15.0" customHeight="1">
      <c r="B25" s="47"/>
      <c r="C25" s="6"/>
      <c r="AU25" s="6"/>
    </row>
    <row r="26" ht="15.0" customHeight="1">
      <c r="B26" s="4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</row>
    <row r="27" ht="15.0" customHeight="1">
      <c r="A27" s="104"/>
      <c r="B27" s="112"/>
      <c r="C27" s="6"/>
      <c r="D27" s="118" t="s">
        <v>478</v>
      </c>
      <c r="E27" s="10"/>
      <c r="F27" s="14"/>
      <c r="G27" s="119" t="s">
        <v>480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1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</row>
    <row r="28" ht="15.0" customHeight="1">
      <c r="A28" s="104"/>
      <c r="B28" s="112"/>
      <c r="C28" s="6"/>
      <c r="D28" s="16"/>
      <c r="E28" s="17"/>
      <c r="F28" s="1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ht="15.0" customHeight="1">
      <c r="A29" s="104"/>
      <c r="B29" s="112"/>
      <c r="C29" s="6"/>
      <c r="D29" s="63" t="s">
        <v>263</v>
      </c>
      <c r="E29" s="29"/>
      <c r="F29" s="29"/>
      <c r="G29" s="29"/>
      <c r="H29" s="29"/>
      <c r="I29" s="29"/>
      <c r="J29" s="31"/>
      <c r="K29" s="6"/>
      <c r="L29" s="63" t="s">
        <v>276</v>
      </c>
      <c r="M29" s="29"/>
      <c r="N29" s="29"/>
      <c r="O29" s="29"/>
      <c r="P29" s="29"/>
      <c r="Q29" s="29"/>
      <c r="R29" s="31"/>
      <c r="S29" s="6"/>
      <c r="T29" s="63" t="s">
        <v>267</v>
      </c>
      <c r="U29" s="29"/>
      <c r="V29" s="29"/>
      <c r="W29" s="29"/>
      <c r="X29" s="29"/>
      <c r="Y29" s="29"/>
      <c r="Z29" s="31"/>
      <c r="AA29" s="6"/>
      <c r="AB29" s="63" t="s">
        <v>268</v>
      </c>
      <c r="AC29" s="29"/>
      <c r="AD29" s="29"/>
      <c r="AE29" s="29"/>
      <c r="AF29" s="29"/>
      <c r="AG29" s="29"/>
      <c r="AH29" s="31"/>
      <c r="AI29" s="6"/>
      <c r="AJ29" s="63" t="s">
        <v>269</v>
      </c>
      <c r="AK29" s="29"/>
      <c r="AL29" s="29"/>
      <c r="AM29" s="29"/>
      <c r="AN29" s="29"/>
      <c r="AO29" s="29"/>
      <c r="AP29" s="31"/>
      <c r="AQ29" s="6"/>
      <c r="AR29" s="6"/>
      <c r="AS29" s="6"/>
      <c r="AT29" s="6"/>
      <c r="AU29" s="6"/>
    </row>
    <row r="30" ht="15.0" customHeight="1">
      <c r="A30" s="56" t="s">
        <v>491</v>
      </c>
      <c r="B30" s="47"/>
      <c r="C30" s="6"/>
      <c r="D30" s="143">
        <v>0.0</v>
      </c>
      <c r="E30" s="10"/>
      <c r="F30" s="10"/>
      <c r="G30" s="10"/>
      <c r="H30" s="10"/>
      <c r="I30" s="10"/>
      <c r="J30" s="14"/>
      <c r="K30" s="6"/>
      <c r="L30" s="143">
        <v>0.0</v>
      </c>
      <c r="M30" s="10"/>
      <c r="N30" s="10"/>
      <c r="O30" s="10"/>
      <c r="P30" s="10"/>
      <c r="Q30" s="10"/>
      <c r="R30" s="14"/>
      <c r="S30" s="6"/>
      <c r="T30" s="143">
        <v>0.0</v>
      </c>
      <c r="U30" s="10"/>
      <c r="V30" s="10"/>
      <c r="W30" s="10"/>
      <c r="X30" s="10"/>
      <c r="Y30" s="10"/>
      <c r="Z30" s="14"/>
      <c r="AA30" s="6"/>
      <c r="AB30" s="143">
        <v>0.0</v>
      </c>
      <c r="AC30" s="10"/>
      <c r="AD30" s="10"/>
      <c r="AE30" s="10"/>
      <c r="AF30" s="10"/>
      <c r="AG30" s="10"/>
      <c r="AH30" s="14"/>
      <c r="AI30" s="6"/>
      <c r="AJ30" s="143">
        <v>0.0</v>
      </c>
      <c r="AK30" s="10"/>
      <c r="AL30" s="10"/>
      <c r="AM30" s="10"/>
      <c r="AN30" s="10"/>
      <c r="AO30" s="10"/>
      <c r="AP30" s="14"/>
      <c r="AQ30" s="6"/>
      <c r="AR30" s="6"/>
      <c r="AS30" s="6"/>
      <c r="AT30" s="6"/>
      <c r="AU30" s="6"/>
    </row>
    <row r="31" ht="15.0" customHeight="1">
      <c r="B31" s="47"/>
      <c r="C31" s="6"/>
      <c r="D31" s="16"/>
      <c r="E31" s="17"/>
      <c r="F31" s="17"/>
      <c r="G31" s="17"/>
      <c r="H31" s="17"/>
      <c r="I31" s="17"/>
      <c r="J31" s="18"/>
      <c r="K31" s="6"/>
      <c r="L31" s="16"/>
      <c r="M31" s="17"/>
      <c r="N31" s="17"/>
      <c r="O31" s="17"/>
      <c r="P31" s="17"/>
      <c r="Q31" s="17"/>
      <c r="R31" s="18"/>
      <c r="S31" s="6"/>
      <c r="T31" s="16"/>
      <c r="U31" s="17"/>
      <c r="V31" s="17"/>
      <c r="W31" s="17"/>
      <c r="X31" s="17"/>
      <c r="Y31" s="17"/>
      <c r="Z31" s="18"/>
      <c r="AA31" s="6"/>
      <c r="AB31" s="16"/>
      <c r="AC31" s="17"/>
      <c r="AD31" s="17"/>
      <c r="AE31" s="17"/>
      <c r="AF31" s="17"/>
      <c r="AG31" s="17"/>
      <c r="AH31" s="18"/>
      <c r="AI31" s="6"/>
      <c r="AJ31" s="16"/>
      <c r="AK31" s="17"/>
      <c r="AL31" s="17"/>
      <c r="AM31" s="17"/>
      <c r="AN31" s="17"/>
      <c r="AO31" s="17"/>
      <c r="AP31" s="18"/>
      <c r="AQ31" s="6"/>
      <c r="AR31" s="6"/>
      <c r="AS31" s="6"/>
      <c r="AT31" s="6"/>
      <c r="AU31" s="6"/>
    </row>
    <row r="32" ht="15.0" customHeight="1">
      <c r="B32" s="47"/>
      <c r="C32" s="6"/>
      <c r="D32" s="102" t="s">
        <v>32</v>
      </c>
      <c r="E32" s="29"/>
      <c r="F32" s="29"/>
      <c r="G32" s="29"/>
      <c r="H32" s="29"/>
      <c r="I32" s="29"/>
      <c r="J32" s="31"/>
      <c r="K32" s="6"/>
      <c r="L32" s="102" t="s">
        <v>74</v>
      </c>
      <c r="M32" s="29"/>
      <c r="N32" s="29"/>
      <c r="O32" s="29"/>
      <c r="P32" s="29"/>
      <c r="Q32" s="29"/>
      <c r="R32" s="31"/>
      <c r="S32" s="6"/>
      <c r="T32" s="102" t="s">
        <v>101</v>
      </c>
      <c r="U32" s="29"/>
      <c r="V32" s="29"/>
      <c r="W32" s="29"/>
      <c r="X32" s="29"/>
      <c r="Y32" s="29"/>
      <c r="Z32" s="31"/>
      <c r="AA32" s="6"/>
      <c r="AB32" s="102" t="s">
        <v>119</v>
      </c>
      <c r="AC32" s="29"/>
      <c r="AD32" s="29"/>
      <c r="AE32" s="29"/>
      <c r="AF32" s="29"/>
      <c r="AG32" s="29"/>
      <c r="AH32" s="31"/>
      <c r="AI32" s="6"/>
      <c r="AJ32" s="102" t="s">
        <v>133</v>
      </c>
      <c r="AK32" s="29"/>
      <c r="AL32" s="29"/>
      <c r="AM32" s="29"/>
      <c r="AN32" s="29"/>
      <c r="AO32" s="29"/>
      <c r="AP32" s="31"/>
      <c r="AQ32" s="6"/>
      <c r="AR32" s="6"/>
      <c r="AS32" s="6"/>
      <c r="AT32" s="6"/>
      <c r="AU32" s="6"/>
    </row>
    <row r="33" ht="15.0" customHeight="1">
      <c r="B33" s="4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ht="15.0" customHeight="1">
      <c r="B34" s="47"/>
      <c r="C34" s="6"/>
      <c r="D34" s="63" t="s">
        <v>511</v>
      </c>
      <c r="E34" s="29"/>
      <c r="F34" s="29"/>
      <c r="G34" s="29"/>
      <c r="H34" s="29"/>
      <c r="I34" s="29"/>
      <c r="J34" s="29"/>
      <c r="K34" s="29"/>
      <c r="L34" s="29"/>
      <c r="M34" s="31"/>
      <c r="N34" s="6"/>
      <c r="O34" s="63" t="s">
        <v>512</v>
      </c>
      <c r="P34" s="29"/>
      <c r="Q34" s="29"/>
      <c r="R34" s="29"/>
      <c r="S34" s="29"/>
      <c r="T34" s="29"/>
      <c r="U34" s="29"/>
      <c r="V34" s="29"/>
      <c r="W34" s="29"/>
      <c r="X34" s="31"/>
      <c r="Y34" s="6"/>
      <c r="Z34" s="63" t="s">
        <v>514</v>
      </c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31"/>
      <c r="AU34" s="6"/>
    </row>
    <row r="35" ht="21.75" customHeight="1">
      <c r="B35" s="47"/>
      <c r="C35" s="6"/>
      <c r="D35" s="144">
        <f>$D$30+$L$30+$T$30+$AB$30+$AJ$30</f>
        <v>0</v>
      </c>
      <c r="E35" s="29"/>
      <c r="F35" s="29"/>
      <c r="G35" s="29"/>
      <c r="H35" s="29"/>
      <c r="I35" s="29"/>
      <c r="J35" s="29"/>
      <c r="K35" s="29"/>
      <c r="L35" s="29"/>
      <c r="M35" s="31"/>
      <c r="N35" s="6"/>
      <c r="O35" s="144">
        <f>(9+$D$11)</f>
        <v>9</v>
      </c>
      <c r="P35" s="29"/>
      <c r="Q35" s="29"/>
      <c r="R35" s="29"/>
      <c r="S35" s="29"/>
      <c r="T35" s="29"/>
      <c r="U35" s="29"/>
      <c r="V35" s="29"/>
      <c r="W35" s="29"/>
      <c r="X35" s="31"/>
      <c r="Y35" s="6"/>
      <c r="Z35" s="145" t="str">
        <f>IF($D$30+$L$30+$T$30+$AB$30+$AJ$30&gt;(9+$D$11),"Estourou o total",IF(MAX($D$30,$L$30,$T$30,$AB$30,$AJ$30)&gt;6,"Estourou o teto de 6",IF($D$30+$L$30+$T$30+$AB$30+$AJ$30&lt;(9+$D$11),"Sobrou ponto","Ok")))</f>
        <v>Sobrou ponto</v>
      </c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31"/>
      <c r="AU35" s="6"/>
    </row>
    <row r="36" ht="15.0" customHeight="1">
      <c r="B36" s="4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ht="15.0" customHeight="1">
      <c r="B37" s="47"/>
      <c r="C37" s="6"/>
      <c r="D37" s="4" t="s">
        <v>530</v>
      </c>
      <c r="AU37" s="6"/>
    </row>
    <row r="38" ht="15.0" customHeight="1">
      <c r="B38" s="47"/>
      <c r="C38" s="6"/>
      <c r="AU38" s="6"/>
    </row>
    <row r="39" ht="15.0" customHeight="1">
      <c r="B39" s="4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ht="15.0" customHeight="1">
      <c r="B40" s="47"/>
      <c r="C40" s="6"/>
      <c r="D40" s="118" t="s">
        <v>535</v>
      </c>
      <c r="E40" s="10"/>
      <c r="F40" s="14"/>
      <c r="G40" s="119" t="s">
        <v>536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31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ht="15.0" customHeight="1">
      <c r="B41" s="47"/>
      <c r="C41" s="6"/>
      <c r="D41" s="16"/>
      <c r="E41" s="17"/>
      <c r="F41" s="1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ht="15.0" customHeight="1">
      <c r="B42" s="47"/>
      <c r="C42" s="6"/>
      <c r="D42" s="63" t="s">
        <v>544</v>
      </c>
      <c r="E42" s="29"/>
      <c r="F42" s="29"/>
      <c r="G42" s="29"/>
      <c r="H42" s="29"/>
      <c r="I42" s="29"/>
      <c r="J42" s="29"/>
      <c r="K42" s="29"/>
      <c r="L42" s="29"/>
      <c r="M42" s="31"/>
      <c r="N42" s="6"/>
      <c r="O42" s="63" t="s">
        <v>546</v>
      </c>
      <c r="P42" s="29"/>
      <c r="Q42" s="29"/>
      <c r="R42" s="29"/>
      <c r="S42" s="29"/>
      <c r="T42" s="29"/>
      <c r="U42" s="29"/>
      <c r="V42" s="29"/>
      <c r="W42" s="29"/>
      <c r="X42" s="31"/>
      <c r="Y42" s="6"/>
      <c r="Z42" s="63" t="s">
        <v>548</v>
      </c>
      <c r="AA42" s="29"/>
      <c r="AB42" s="29"/>
      <c r="AC42" s="29"/>
      <c r="AD42" s="29"/>
      <c r="AE42" s="29"/>
      <c r="AF42" s="29"/>
      <c r="AG42" s="29"/>
      <c r="AH42" s="29"/>
      <c r="AI42" s="31"/>
      <c r="AJ42" s="6"/>
      <c r="AK42" s="63" t="s">
        <v>439</v>
      </c>
      <c r="AL42" s="29"/>
      <c r="AM42" s="29"/>
      <c r="AN42" s="29"/>
      <c r="AO42" s="29"/>
      <c r="AP42" s="29"/>
      <c r="AQ42" s="29"/>
      <c r="AR42" s="29"/>
      <c r="AS42" s="29"/>
      <c r="AT42" s="31"/>
      <c r="AU42" s="6"/>
    </row>
    <row r="43" ht="25.5" customHeight="1">
      <c r="B43" s="47"/>
      <c r="C43" s="6"/>
      <c r="D43" s="138" t="s">
        <v>32</v>
      </c>
      <c r="E43" s="29"/>
      <c r="F43" s="29"/>
      <c r="G43" s="29"/>
      <c r="H43" s="29"/>
      <c r="I43" s="29"/>
      <c r="J43" s="29"/>
      <c r="K43" s="29"/>
      <c r="L43" s="29"/>
      <c r="M43" s="31"/>
      <c r="N43" s="6"/>
      <c r="O43" s="127">
        <f t="array" ref="O43">IF($D$43="","",INDEX(DADOS_INV!$AK$3:$AK$7,MATCH($D$43,DADOS_INV!$C$2:$C$6,0))+$AK$7)</f>
        <v>1</v>
      </c>
      <c r="P43" s="29"/>
      <c r="Q43" s="29"/>
      <c r="R43" s="29"/>
      <c r="S43" s="29"/>
      <c r="T43" s="29"/>
      <c r="U43" s="29"/>
      <c r="V43" s="29"/>
      <c r="W43" s="29"/>
      <c r="X43" s="31"/>
      <c r="Y43" s="6"/>
      <c r="Z43" s="138" t="s">
        <v>119</v>
      </c>
      <c r="AA43" s="29"/>
      <c r="AB43" s="29"/>
      <c r="AC43" s="29"/>
      <c r="AD43" s="29"/>
      <c r="AE43" s="29"/>
      <c r="AF43" s="29"/>
      <c r="AG43" s="29"/>
      <c r="AH43" s="29"/>
      <c r="AI43" s="31"/>
      <c r="AJ43" s="6"/>
      <c r="AK43" s="127">
        <f>10+$L$30+FLOOR(IF($Z$43="Essência",$O$7,$Z$7)/2,1)</f>
        <v>10</v>
      </c>
      <c r="AL43" s="29"/>
      <c r="AM43" s="29"/>
      <c r="AN43" s="29"/>
      <c r="AO43" s="29"/>
      <c r="AP43" s="29"/>
      <c r="AQ43" s="29"/>
      <c r="AR43" s="29"/>
      <c r="AS43" s="29"/>
      <c r="AT43" s="31"/>
      <c r="AU43" s="6"/>
    </row>
    <row r="44" ht="15.0" customHeight="1">
      <c r="B44" s="4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ht="15.0" customHeight="1">
      <c r="B45" s="47"/>
      <c r="C45" s="6"/>
      <c r="D45" s="63" t="s">
        <v>573</v>
      </c>
      <c r="E45" s="29"/>
      <c r="F45" s="29"/>
      <c r="G45" s="29"/>
      <c r="H45" s="29"/>
      <c r="I45" s="29"/>
      <c r="J45" s="29"/>
      <c r="K45" s="29"/>
      <c r="L45" s="29"/>
      <c r="M45" s="31"/>
      <c r="N45" s="6"/>
      <c r="O45" s="63" t="s">
        <v>577</v>
      </c>
      <c r="P45" s="29"/>
      <c r="Q45" s="29"/>
      <c r="R45" s="29"/>
      <c r="S45" s="29"/>
      <c r="T45" s="29"/>
      <c r="U45" s="29"/>
      <c r="V45" s="29"/>
      <c r="W45" s="29"/>
      <c r="X45" s="31"/>
      <c r="Y45" s="6"/>
      <c r="Z45" s="63" t="s">
        <v>579</v>
      </c>
      <c r="AA45" s="29"/>
      <c r="AB45" s="29"/>
      <c r="AC45" s="29"/>
      <c r="AD45" s="29"/>
      <c r="AE45" s="29"/>
      <c r="AF45" s="29"/>
      <c r="AG45" s="29"/>
      <c r="AH45" s="29"/>
      <c r="AI45" s="31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ht="25.5" customHeight="1">
      <c r="B46" s="47"/>
      <c r="C46" s="6"/>
      <c r="D46" s="146" t="str">
        <f>IF($D$22="Presa","19 ou 20","20")</f>
        <v>19 ou 20</v>
      </c>
      <c r="E46" s="29"/>
      <c r="F46" s="29"/>
      <c r="G46" s="29"/>
      <c r="H46" s="29"/>
      <c r="I46" s="29"/>
      <c r="J46" s="29"/>
      <c r="K46" s="29"/>
      <c r="L46" s="29"/>
      <c r="M46" s="31"/>
      <c r="N46" s="6"/>
      <c r="O46" s="138" t="s">
        <v>31</v>
      </c>
      <c r="P46" s="29"/>
      <c r="Q46" s="29"/>
      <c r="R46" s="29"/>
      <c r="S46" s="29"/>
      <c r="T46" s="29"/>
      <c r="U46" s="29"/>
      <c r="V46" s="29"/>
      <c r="W46" s="29"/>
      <c r="X46" s="31"/>
      <c r="Y46" s="6"/>
      <c r="Z46" s="138" t="s">
        <v>32</v>
      </c>
      <c r="AA46" s="29"/>
      <c r="AB46" s="29"/>
      <c r="AC46" s="29"/>
      <c r="AD46" s="29"/>
      <c r="AE46" s="29"/>
      <c r="AF46" s="29"/>
      <c r="AG46" s="29"/>
      <c r="AH46" s="29"/>
      <c r="AI46" s="31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ht="15.0" customHeight="1">
      <c r="B47" s="4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</row>
    <row r="48" ht="15.0" customHeight="1">
      <c r="B48" s="47"/>
      <c r="C48" s="6"/>
      <c r="D48" s="148" t="s">
        <v>584</v>
      </c>
      <c r="AU48" s="6"/>
    </row>
    <row r="49" ht="15.0" customHeight="1">
      <c r="A49" s="104"/>
      <c r="B49" s="112"/>
      <c r="C49" s="6"/>
      <c r="D49" s="37" t="s">
        <v>586</v>
      </c>
      <c r="E49" s="29"/>
      <c r="F49" s="29"/>
      <c r="G49" s="29"/>
      <c r="H49" s="29"/>
      <c r="I49" s="29"/>
      <c r="J49" s="31"/>
      <c r="K49" s="149" t="s">
        <v>587</v>
      </c>
      <c r="L49" s="63" t="s">
        <v>588</v>
      </c>
      <c r="M49" s="29"/>
      <c r="N49" s="29"/>
      <c r="O49" s="29"/>
      <c r="P49" s="31"/>
      <c r="Q49" s="150" t="s">
        <v>589</v>
      </c>
      <c r="R49" s="29"/>
      <c r="S49" s="29"/>
      <c r="T49" s="29"/>
      <c r="U49" s="29"/>
      <c r="V49" s="29"/>
      <c r="W49" s="29"/>
      <c r="X49" s="31"/>
      <c r="Y49" s="6"/>
      <c r="Z49" s="37" t="s">
        <v>586</v>
      </c>
      <c r="AA49" s="29"/>
      <c r="AB49" s="29"/>
      <c r="AC49" s="29"/>
      <c r="AD49" s="29"/>
      <c r="AE49" s="29"/>
      <c r="AF49" s="31"/>
      <c r="AG49" s="149" t="s">
        <v>587</v>
      </c>
      <c r="AH49" s="63" t="s">
        <v>588</v>
      </c>
      <c r="AI49" s="29"/>
      <c r="AJ49" s="29"/>
      <c r="AK49" s="29"/>
      <c r="AL49" s="31"/>
      <c r="AM49" s="150" t="s">
        <v>589</v>
      </c>
      <c r="AN49" s="29"/>
      <c r="AO49" s="29"/>
      <c r="AP49" s="29"/>
      <c r="AQ49" s="29"/>
      <c r="AR49" s="29"/>
      <c r="AS49" s="29"/>
      <c r="AT49" s="31"/>
      <c r="AU49" s="6"/>
    </row>
    <row r="50" ht="15.0" customHeight="1">
      <c r="A50" s="104"/>
      <c r="B50" s="112"/>
      <c r="C50" s="6"/>
      <c r="D50" s="131" t="s">
        <v>31</v>
      </c>
      <c r="E50" s="29"/>
      <c r="F50" s="29"/>
      <c r="G50" s="29"/>
      <c r="H50" s="29"/>
      <c r="I50" s="29"/>
      <c r="J50" s="31"/>
      <c r="K50" s="151"/>
      <c r="L50" s="152" t="s">
        <v>591</v>
      </c>
      <c r="M50" s="29"/>
      <c r="N50" s="29"/>
      <c r="O50" s="29"/>
      <c r="P50" s="31"/>
      <c r="Q50" s="156">
        <f t="array" ref="Q50">IFERROR(INDEX(DADOS_INV!$AK$3:$AK$7,MATCH($Z$46,DADOS_INV!$C$2:$C$6,0))+IF($O$46="Físico",$AK$7,0)+N($K$50),"")</f>
        <v>1</v>
      </c>
      <c r="R50" s="29"/>
      <c r="S50" s="29"/>
      <c r="T50" s="29"/>
      <c r="U50" s="31"/>
      <c r="V50" s="6"/>
      <c r="W50" s="6"/>
      <c r="X50" s="6"/>
      <c r="Y50" s="6"/>
      <c r="Z50" s="131" t="s">
        <v>73</v>
      </c>
      <c r="AA50" s="29"/>
      <c r="AB50" s="29"/>
      <c r="AC50" s="29"/>
      <c r="AD50" s="29"/>
      <c r="AE50" s="29"/>
      <c r="AF50" s="31"/>
      <c r="AG50" s="151"/>
      <c r="AH50" s="152" t="s">
        <v>615</v>
      </c>
      <c r="AI50" s="29"/>
      <c r="AJ50" s="29"/>
      <c r="AK50" s="29"/>
      <c r="AL50" s="31"/>
      <c r="AM50" s="162">
        <f t="array" ref="AM50">IFERROR(INDEX(DADOS_INV!$AK$3:$AK$7,MATCH("Constituição",DADOS_INV!$C$2:$C$6,0))+IF($O$46="Vigor",$AK$7,0)+N($AG$50),"")</f>
        <v>0</v>
      </c>
      <c r="AN50" s="17"/>
      <c r="AO50" s="17"/>
      <c r="AP50" s="17"/>
      <c r="AQ50" s="18"/>
      <c r="AR50" s="6"/>
      <c r="AS50" s="6"/>
      <c r="AT50" s="6"/>
      <c r="AU50" s="6"/>
    </row>
    <row r="51" ht="15.0" customHeight="1">
      <c r="A51" s="104"/>
      <c r="B51" s="112"/>
      <c r="C51" s="6"/>
      <c r="D51" s="135" t="s">
        <v>100</v>
      </c>
      <c r="E51" s="29"/>
      <c r="F51" s="29"/>
      <c r="G51" s="29"/>
      <c r="H51" s="29"/>
      <c r="I51" s="29"/>
      <c r="J51" s="31"/>
      <c r="K51" s="165"/>
      <c r="L51" s="54" t="s">
        <v>638</v>
      </c>
      <c r="M51" s="29"/>
      <c r="N51" s="29"/>
      <c r="O51" s="29"/>
      <c r="P51" s="31"/>
      <c r="Q51" s="168">
        <f t="array" ref="Q51">IFERROR(INDEX(DADOS_INV!$AK$3:$AK$7,MATCH("Inteligência",DADOS_INV!$C$2:$C$6,0))+IF($O$46="Intelecto",$AK$7,0)+N($K$51),"")</f>
        <v>0</v>
      </c>
      <c r="R51" s="29"/>
      <c r="S51" s="29"/>
      <c r="T51" s="29"/>
      <c r="U51" s="31"/>
      <c r="V51" s="6"/>
      <c r="W51" s="6"/>
      <c r="X51" s="6"/>
      <c r="Y51" s="6"/>
      <c r="Z51" s="135" t="s">
        <v>118</v>
      </c>
      <c r="AA51" s="29"/>
      <c r="AB51" s="29"/>
      <c r="AC51" s="29"/>
      <c r="AD51" s="29"/>
      <c r="AE51" s="29"/>
      <c r="AF51" s="31"/>
      <c r="AG51" s="165"/>
      <c r="AH51" s="54" t="s">
        <v>655</v>
      </c>
      <c r="AI51" s="29"/>
      <c r="AJ51" s="29"/>
      <c r="AK51" s="29"/>
      <c r="AL51" s="31"/>
      <c r="AM51" s="168">
        <f t="array" ref="AM51">IFERROR(INDEX(DADOS_INV!$AK$3:$AK$7,MATCH("Essência",DADOS_INV!$C$2:$C$6,0))+IF($O$46="Espírito",$AK$7,0)+N($AG$51),"")</f>
        <v>0</v>
      </c>
      <c r="AN51" s="29"/>
      <c r="AO51" s="29"/>
      <c r="AP51" s="29"/>
      <c r="AQ51" s="31"/>
      <c r="AR51" s="6"/>
      <c r="AS51" s="6"/>
      <c r="AT51" s="6"/>
      <c r="AU51" s="6"/>
    </row>
    <row r="52" ht="15.0" customHeight="1">
      <c r="A52" s="104"/>
      <c r="B52" s="11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ht="15.0" customHeight="1">
      <c r="A53" s="104"/>
      <c r="B53" s="112"/>
      <c r="C53" s="6"/>
      <c r="D53" s="130"/>
      <c r="AU53" s="6"/>
    </row>
    <row r="54" ht="15.0" customHeight="1">
      <c r="A54" s="104"/>
      <c r="B54" s="112"/>
      <c r="C54" s="6"/>
      <c r="AU54" s="6"/>
    </row>
    <row r="55" ht="15.0" customHeight="1">
      <c r="A55" s="104"/>
      <c r="B55" s="112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ht="15.0" customHeight="1">
      <c r="A56" s="104"/>
      <c r="B56" s="112"/>
      <c r="C56" s="6"/>
      <c r="D56" s="118" t="s">
        <v>668</v>
      </c>
      <c r="E56" s="10"/>
      <c r="F56" s="14"/>
      <c r="G56" s="119" t="s">
        <v>670</v>
      </c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31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ht="15.0" customHeight="1">
      <c r="A57" s="104"/>
      <c r="B57" s="112"/>
      <c r="C57" s="6"/>
      <c r="D57" s="16"/>
      <c r="E57" s="17"/>
      <c r="F57" s="1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ht="15.0" customHeight="1">
      <c r="A58" s="104"/>
      <c r="B58" s="112"/>
      <c r="C58" s="6"/>
      <c r="D58" s="63" t="s">
        <v>673</v>
      </c>
      <c r="E58" s="29"/>
      <c r="F58" s="29"/>
      <c r="G58" s="29"/>
      <c r="H58" s="29"/>
      <c r="I58" s="29"/>
      <c r="J58" s="29"/>
      <c r="K58" s="29"/>
      <c r="L58" s="29"/>
      <c r="M58" s="31"/>
      <c r="N58" s="6"/>
      <c r="O58" s="63" t="s">
        <v>676</v>
      </c>
      <c r="P58" s="29"/>
      <c r="Q58" s="29"/>
      <c r="R58" s="29"/>
      <c r="S58" s="29"/>
      <c r="T58" s="29"/>
      <c r="U58" s="29"/>
      <c r="V58" s="29"/>
      <c r="W58" s="29"/>
      <c r="X58" s="31"/>
      <c r="Y58" s="6"/>
      <c r="Z58" s="63" t="s">
        <v>677</v>
      </c>
      <c r="AA58" s="29"/>
      <c r="AB58" s="29"/>
      <c r="AC58" s="29"/>
      <c r="AD58" s="29"/>
      <c r="AE58" s="29"/>
      <c r="AF58" s="29"/>
      <c r="AG58" s="29"/>
      <c r="AH58" s="29"/>
      <c r="AI58" s="31"/>
      <c r="AJ58" s="6"/>
      <c r="AK58" s="63" t="s">
        <v>679</v>
      </c>
      <c r="AL58" s="29"/>
      <c r="AM58" s="29"/>
      <c r="AN58" s="29"/>
      <c r="AO58" s="29"/>
      <c r="AP58" s="29"/>
      <c r="AQ58" s="29"/>
      <c r="AR58" s="29"/>
      <c r="AS58" s="29"/>
      <c r="AT58" s="31"/>
      <c r="AU58" s="6"/>
    </row>
    <row r="59" ht="15.0" customHeight="1">
      <c r="A59" s="104"/>
      <c r="B59" s="112"/>
      <c r="C59" s="6"/>
      <c r="D59" s="106">
        <f>IF($Z$19="","",IF(IFERROR(VLOOKUP($AK$19,DADOS_INV!$N$3:$R$5,4,FALSE),"cru")="forte",FLOOR(2.5*(IFERROR(VLOOKUP($Z$19,DADOS_INV!$K$3:$L$6,2,FALSE),0)+2*$D$7)+$T$30*$D$7,1),(IFERROR(VLOOKUP($Z$19,DADOS_INV!$K$3:$L$6,2,FALSE),0)+(2+$T$30)*$D$7))+IF($D$22="Parrudo",5*$AK$7,0))</f>
        <v>15</v>
      </c>
      <c r="E59" s="10"/>
      <c r="F59" s="10"/>
      <c r="G59" s="10"/>
      <c r="H59" s="10"/>
      <c r="I59" s="10"/>
      <c r="J59" s="10"/>
      <c r="K59" s="10"/>
      <c r="L59" s="10"/>
      <c r="M59" s="14"/>
      <c r="N59" s="6"/>
      <c r="O59" s="106">
        <f>D59</f>
        <v>15</v>
      </c>
      <c r="P59" s="10"/>
      <c r="Q59" s="10"/>
      <c r="R59" s="10"/>
      <c r="S59" s="10"/>
      <c r="T59" s="10"/>
      <c r="U59" s="10"/>
      <c r="V59" s="10"/>
      <c r="W59" s="10"/>
      <c r="X59" s="14"/>
      <c r="Y59" s="6"/>
      <c r="Z59" s="169">
        <f>IFERROR(VLOOKUP($AK$19,DADOS_INV!$N$3:$R$5,2,FALSE),"")</f>
        <v>1</v>
      </c>
      <c r="AA59" s="10"/>
      <c r="AB59" s="10"/>
      <c r="AC59" s="10"/>
      <c r="AD59" s="10"/>
      <c r="AE59" s="10"/>
      <c r="AF59" s="10"/>
      <c r="AG59" s="10"/>
      <c r="AH59" s="10"/>
      <c r="AI59" s="14"/>
      <c r="AJ59" s="6"/>
      <c r="AK59" s="169">
        <f>IFERROR(VLOOKUP($AK$19,DADOS_INV!$N$3:$R$5,5,FALSE),"")</f>
        <v>1</v>
      </c>
      <c r="AL59" s="10"/>
      <c r="AM59" s="10"/>
      <c r="AN59" s="10"/>
      <c r="AO59" s="10"/>
      <c r="AP59" s="10"/>
      <c r="AQ59" s="10"/>
      <c r="AR59" s="10"/>
      <c r="AS59" s="10"/>
      <c r="AT59" s="14"/>
      <c r="AU59" s="6"/>
    </row>
    <row r="60" ht="15.0" customHeight="1">
      <c r="A60" s="104"/>
      <c r="B60" s="112"/>
      <c r="C60" s="6"/>
      <c r="D60" s="16"/>
      <c r="E60" s="17"/>
      <c r="F60" s="17"/>
      <c r="G60" s="17"/>
      <c r="H60" s="17"/>
      <c r="I60" s="17"/>
      <c r="J60" s="17"/>
      <c r="K60" s="17"/>
      <c r="L60" s="17"/>
      <c r="M60" s="18"/>
      <c r="N60" s="6"/>
      <c r="O60" s="16"/>
      <c r="P60" s="17"/>
      <c r="Q60" s="17"/>
      <c r="R60" s="17"/>
      <c r="S60" s="17"/>
      <c r="T60" s="17"/>
      <c r="U60" s="17"/>
      <c r="V60" s="17"/>
      <c r="W60" s="17"/>
      <c r="X60" s="18"/>
      <c r="Y60" s="6"/>
      <c r="Z60" s="16"/>
      <c r="AA60" s="17"/>
      <c r="AB60" s="17"/>
      <c r="AC60" s="17"/>
      <c r="AD60" s="17"/>
      <c r="AE60" s="17"/>
      <c r="AF60" s="17"/>
      <c r="AG60" s="17"/>
      <c r="AH60" s="17"/>
      <c r="AI60" s="18"/>
      <c r="AJ60" s="6"/>
      <c r="AK60" s="16"/>
      <c r="AL60" s="17"/>
      <c r="AM60" s="17"/>
      <c r="AN60" s="17"/>
      <c r="AO60" s="17"/>
      <c r="AP60" s="17"/>
      <c r="AQ60" s="17"/>
      <c r="AR60" s="17"/>
      <c r="AS60" s="17"/>
      <c r="AT60" s="18"/>
      <c r="AU60" s="6"/>
    </row>
    <row r="61" ht="15.0" customHeight="1">
      <c r="A61" s="104"/>
      <c r="B61" s="112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ht="15.0" customHeight="1">
      <c r="A62" s="104"/>
      <c r="B62" s="112"/>
      <c r="C62" s="6"/>
      <c r="D62" s="37" t="s">
        <v>696</v>
      </c>
      <c r="E62" s="29"/>
      <c r="F62" s="29"/>
      <c r="G62" s="29"/>
      <c r="H62" s="29"/>
      <c r="I62" s="29"/>
      <c r="J62" s="29"/>
      <c r="K62" s="29"/>
      <c r="L62" s="29"/>
      <c r="M62" s="29"/>
      <c r="N62" s="31"/>
      <c r="O62" s="172" t="str">
        <f>IFERROR(__xludf.DUMMYFUNCTION("IFERROR(SPARKLINE({MAX(0,MIN(N($O$59),N($D$59))),MAX(0,N($D$59)-MAX(0,N($O$59)))},{""charttype"",""bar"";""color1"",IF(IFERROR(N($O$59)/N($D$59),0)&lt;=0.25,""#C2334D"",IF(IFERROR(N($O$59)/N($D$59),0)&lt;=0.5,""#D89B3A"",""#E8DCD4""));""color2"",""#998ba2""}),"&amp;"""&amp;""""&amp;""""&amp;"""""")"),"")</f>
        <v/>
      </c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31"/>
      <c r="AU62" s="6"/>
    </row>
    <row r="63" ht="15.0" customHeight="1">
      <c r="A63" s="104"/>
      <c r="B63" s="11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ht="15.0" customHeight="1">
      <c r="A64" s="104"/>
      <c r="B64" s="112"/>
      <c r="C64" s="6"/>
      <c r="D64" s="122" t="s">
        <v>706</v>
      </c>
      <c r="E64" s="10"/>
      <c r="F64" s="10"/>
      <c r="G64" s="10"/>
      <c r="H64" s="10"/>
      <c r="I64" s="10"/>
      <c r="J64" s="10"/>
      <c r="K64" s="10"/>
      <c r="L64" s="10"/>
      <c r="M64" s="14"/>
      <c r="N64" s="6"/>
      <c r="O64" s="63" t="s">
        <v>709</v>
      </c>
      <c r="P64" s="29"/>
      <c r="Q64" s="29"/>
      <c r="R64" s="29"/>
      <c r="S64" s="29"/>
      <c r="T64" s="29"/>
      <c r="U64" s="29"/>
      <c r="V64" s="29"/>
      <c r="W64" s="29"/>
      <c r="X64" s="31"/>
      <c r="Y64" s="6"/>
      <c r="Z64" s="122" t="s">
        <v>710</v>
      </c>
      <c r="AA64" s="10"/>
      <c r="AB64" s="10"/>
      <c r="AC64" s="10"/>
      <c r="AD64" s="10"/>
      <c r="AE64" s="10"/>
      <c r="AF64" s="10"/>
      <c r="AG64" s="10"/>
      <c r="AH64" s="10"/>
      <c r="AI64" s="14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 ht="26.25" customHeight="1">
      <c r="A65" s="104"/>
      <c r="B65" s="112"/>
      <c r="C65" s="6"/>
      <c r="D65" s="127">
        <f>IF($Z$19="","",5*(IFERROR(VLOOKUP($Z$19,DADOS_INV!$K$3:$L$6,2,FALSE),0)+(2+$T$30)*$D$7))</f>
        <v>30</v>
      </c>
      <c r="E65" s="29"/>
      <c r="F65" s="29"/>
      <c r="G65" s="29"/>
      <c r="H65" s="29"/>
      <c r="I65" s="29"/>
      <c r="J65" s="29"/>
      <c r="K65" s="29"/>
      <c r="L65" s="29"/>
      <c r="M65" s="31"/>
      <c r="N65" s="6"/>
      <c r="O65" s="129">
        <f>IF($Z$19="","",5*(IFERROR(VLOOKUP($Z$19,DADOS_INV!$K$3:$L$6,2,FALSE),0)+(2+$T$30)*$D$7)/2)</f>
        <v>15</v>
      </c>
      <c r="P65" s="17"/>
      <c r="Q65" s="17"/>
      <c r="R65" s="17"/>
      <c r="S65" s="17"/>
      <c r="T65" s="17"/>
      <c r="U65" s="17"/>
      <c r="V65" s="17"/>
      <c r="W65" s="17"/>
      <c r="X65" s="18"/>
      <c r="Y65" s="6"/>
      <c r="Z65" s="127">
        <f>IF($Z$19="","",FLOOR($D$59/2,1))</f>
        <v>7</v>
      </c>
      <c r="AA65" s="29"/>
      <c r="AB65" s="29"/>
      <c r="AC65" s="29"/>
      <c r="AD65" s="29"/>
      <c r="AE65" s="29"/>
      <c r="AF65" s="29"/>
      <c r="AG65" s="29"/>
      <c r="AH65" s="29"/>
      <c r="AI65" s="31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ht="15.0" customHeight="1">
      <c r="A66" s="104"/>
      <c r="B66" s="112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ht="15.0" customHeight="1">
      <c r="A67" s="104"/>
      <c r="B67" s="112"/>
      <c r="C67" s="6"/>
      <c r="D67" s="154" t="s">
        <v>721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31"/>
      <c r="AU67" s="6"/>
    </row>
    <row r="68" ht="15.0" customHeight="1">
      <c r="A68" s="104"/>
      <c r="B68" s="112"/>
      <c r="C68" s="6"/>
      <c r="D68" s="174" t="s">
        <v>723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4"/>
      <c r="AU68" s="6"/>
    </row>
    <row r="69" ht="15.0" customHeight="1">
      <c r="A69" s="104"/>
      <c r="B69" s="112"/>
      <c r="C69" s="6"/>
      <c r="D69" s="16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8"/>
      <c r="AU69" s="6"/>
    </row>
    <row r="70" ht="15.0" customHeight="1">
      <c r="A70" s="104"/>
      <c r="B70" s="112"/>
      <c r="C70" s="6"/>
      <c r="D70" s="4" t="s">
        <v>728</v>
      </c>
      <c r="AU70" s="6"/>
    </row>
    <row r="71" ht="15.0" customHeight="1">
      <c r="A71" s="104"/>
      <c r="B71" s="112"/>
      <c r="C71" s="6"/>
      <c r="AU71" s="6"/>
    </row>
    <row r="72" ht="15.0" customHeight="1">
      <c r="A72" s="104"/>
      <c r="B72" s="112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ht="15.0" customHeight="1">
      <c r="A73" s="104"/>
      <c r="B73" s="112"/>
      <c r="C73" s="6"/>
      <c r="D73" s="118" t="s">
        <v>731</v>
      </c>
      <c r="E73" s="10"/>
      <c r="F73" s="14"/>
      <c r="G73" s="119" t="s">
        <v>734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31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ht="15.0" customHeight="1">
      <c r="A74" s="104"/>
      <c r="B74" s="112"/>
      <c r="C74" s="6"/>
      <c r="D74" s="16"/>
      <c r="E74" s="17"/>
      <c r="F74" s="1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ht="15.0" customHeight="1">
      <c r="A75" s="104"/>
      <c r="B75" s="112"/>
      <c r="C75" s="6"/>
      <c r="D75" s="63" t="s">
        <v>737</v>
      </c>
      <c r="E75" s="29"/>
      <c r="F75" s="29"/>
      <c r="G75" s="29"/>
      <c r="H75" s="29"/>
      <c r="I75" s="29"/>
      <c r="J75" s="29"/>
      <c r="K75" s="29"/>
      <c r="L75" s="29"/>
      <c r="M75" s="31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ht="15.0" customHeight="1">
      <c r="A76" s="104"/>
      <c r="B76" s="112"/>
      <c r="C76" s="6"/>
      <c r="D76" s="106">
        <f>FLOOR((8+4*$D$11)*IFERROR(VLOOKUP($AK$19,DADOS_INV!$N$3:$R$5,3,FALSE),1),1)</f>
        <v>12</v>
      </c>
      <c r="E76" s="10"/>
      <c r="F76" s="10"/>
      <c r="G76" s="10"/>
      <c r="H76" s="10"/>
      <c r="I76" s="10"/>
      <c r="J76" s="10"/>
      <c r="K76" s="10"/>
      <c r="L76" s="10"/>
      <c r="M76" s="14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ht="15.0" customHeight="1">
      <c r="A77" s="104"/>
      <c r="B77" s="112"/>
      <c r="C77" s="6"/>
      <c r="D77" s="16"/>
      <c r="E77" s="17"/>
      <c r="F77" s="17"/>
      <c r="G77" s="17"/>
      <c r="H77" s="17"/>
      <c r="I77" s="17"/>
      <c r="J77" s="17"/>
      <c r="K77" s="17"/>
      <c r="L77" s="17"/>
      <c r="M77" s="18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ht="15.0" customHeight="1">
      <c r="A78" s="104"/>
      <c r="B78" s="112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ht="15.0" customHeight="1">
      <c r="A79" s="104"/>
      <c r="B79" s="112"/>
      <c r="C79" s="6"/>
      <c r="D79" s="37" t="s">
        <v>746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175" t="s">
        <v>748</v>
      </c>
      <c r="P79" s="29"/>
      <c r="Q79" s="29"/>
      <c r="R79" s="29"/>
      <c r="S79" s="176" t="s">
        <v>430</v>
      </c>
      <c r="T79" s="29"/>
      <c r="U79" s="29"/>
      <c r="V79" s="29"/>
      <c r="W79" s="31"/>
      <c r="X79" s="6"/>
      <c r="Y79" s="6"/>
      <c r="Z79" s="37" t="s">
        <v>750</v>
      </c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175" t="s">
        <v>748</v>
      </c>
      <c r="AL79" s="29"/>
      <c r="AM79" s="29"/>
      <c r="AN79" s="29"/>
      <c r="AO79" s="176" t="s">
        <v>430</v>
      </c>
      <c r="AP79" s="29"/>
      <c r="AQ79" s="29"/>
      <c r="AR79" s="29"/>
      <c r="AS79" s="31"/>
      <c r="AT79" s="6"/>
      <c r="AU79" s="6"/>
    </row>
    <row r="80" ht="15.0" customHeight="1">
      <c r="A80" s="104"/>
      <c r="B80" s="112"/>
      <c r="C80" s="6"/>
      <c r="D80" s="131" t="s">
        <v>80</v>
      </c>
      <c r="E80" s="29"/>
      <c r="F80" s="29"/>
      <c r="G80" s="29"/>
      <c r="H80" s="29"/>
      <c r="I80" s="29"/>
      <c r="J80" s="29"/>
      <c r="K80" s="29"/>
      <c r="L80" s="29"/>
      <c r="M80" s="29"/>
      <c r="N80" s="31"/>
      <c r="O80" s="177" t="s">
        <v>80</v>
      </c>
      <c r="P80" s="29"/>
      <c r="Q80" s="29"/>
      <c r="R80" s="31"/>
      <c r="S80" s="178">
        <f>IFERROR(VLOOKUP($D80,DADOS_INV!$T$3:$U$16,2,FALSE),N($O80))</f>
        <v>0</v>
      </c>
      <c r="T80" s="29"/>
      <c r="U80" s="29"/>
      <c r="V80" s="29"/>
      <c r="W80" s="31"/>
      <c r="X80" s="6"/>
      <c r="Y80" s="6"/>
      <c r="Z80" s="131" t="s">
        <v>80</v>
      </c>
      <c r="AA80" s="29"/>
      <c r="AB80" s="29"/>
      <c r="AC80" s="29"/>
      <c r="AD80" s="29"/>
      <c r="AE80" s="29"/>
      <c r="AF80" s="29"/>
      <c r="AG80" s="29"/>
      <c r="AH80" s="29"/>
      <c r="AI80" s="29"/>
      <c r="AJ80" s="31"/>
      <c r="AK80" s="177" t="s">
        <v>80</v>
      </c>
      <c r="AL80" s="29"/>
      <c r="AM80" s="29"/>
      <c r="AN80" s="31"/>
      <c r="AO80" s="178">
        <f>IFERROR(VLOOKUP($Z$80,DADOS_INV!$W$3:$X$10,2,FALSE),N($AK80))</f>
        <v>0</v>
      </c>
      <c r="AP80" s="29"/>
      <c r="AQ80" s="29"/>
      <c r="AR80" s="29"/>
      <c r="AS80" s="31"/>
      <c r="AT80" s="6"/>
      <c r="AU80" s="6"/>
    </row>
    <row r="81" ht="15.0" customHeight="1">
      <c r="A81" s="104"/>
      <c r="B81" s="112"/>
      <c r="C81" s="6"/>
      <c r="D81" s="135" t="s">
        <v>80</v>
      </c>
      <c r="E81" s="29"/>
      <c r="F81" s="29"/>
      <c r="G81" s="29"/>
      <c r="H81" s="29"/>
      <c r="I81" s="29"/>
      <c r="J81" s="29"/>
      <c r="K81" s="29"/>
      <c r="L81" s="29"/>
      <c r="M81" s="29"/>
      <c r="N81" s="31"/>
      <c r="O81" s="179" t="s">
        <v>80</v>
      </c>
      <c r="P81" s="29"/>
      <c r="Q81" s="29"/>
      <c r="R81" s="31"/>
      <c r="S81" s="180">
        <f>IFERROR(VLOOKUP($D81,DADOS_INV!$T$3:$U$16,2,FALSE),N($O81))</f>
        <v>0</v>
      </c>
      <c r="T81" s="29"/>
      <c r="U81" s="29"/>
      <c r="V81" s="29"/>
      <c r="W81" s="31"/>
      <c r="X81" s="6"/>
      <c r="Y81" s="6"/>
      <c r="Z81" s="135" t="s">
        <v>80</v>
      </c>
      <c r="AA81" s="29"/>
      <c r="AB81" s="29"/>
      <c r="AC81" s="29"/>
      <c r="AD81" s="29"/>
      <c r="AE81" s="29"/>
      <c r="AF81" s="29"/>
      <c r="AG81" s="29"/>
      <c r="AH81" s="29"/>
      <c r="AI81" s="29"/>
      <c r="AJ81" s="31"/>
      <c r="AK81" s="179" t="s">
        <v>80</v>
      </c>
      <c r="AL81" s="29"/>
      <c r="AM81" s="29"/>
      <c r="AN81" s="31"/>
      <c r="AO81" s="180">
        <f>IFERROR(VLOOKUP($Z$81,DADOS_INV!$W$3:$X$10,2,FALSE),N($AK81))</f>
        <v>0</v>
      </c>
      <c r="AP81" s="29"/>
      <c r="AQ81" s="29"/>
      <c r="AR81" s="29"/>
      <c r="AS81" s="31"/>
      <c r="AT81" s="6"/>
      <c r="AU81" s="6"/>
    </row>
    <row r="82" ht="15.0" customHeight="1">
      <c r="A82" s="104"/>
      <c r="B82" s="112"/>
      <c r="C82" s="6"/>
      <c r="D82" s="131" t="s">
        <v>80</v>
      </c>
      <c r="E82" s="29"/>
      <c r="F82" s="29"/>
      <c r="G82" s="29"/>
      <c r="H82" s="29"/>
      <c r="I82" s="29"/>
      <c r="J82" s="29"/>
      <c r="K82" s="29"/>
      <c r="L82" s="29"/>
      <c r="M82" s="29"/>
      <c r="N82" s="31"/>
      <c r="O82" s="177" t="s">
        <v>80</v>
      </c>
      <c r="P82" s="29"/>
      <c r="Q82" s="29"/>
      <c r="R82" s="31"/>
      <c r="S82" s="178">
        <f>IFERROR(VLOOKUP($D82,DADOS_INV!$T$3:$U$16,2,FALSE),N($O82))</f>
        <v>0</v>
      </c>
      <c r="T82" s="29"/>
      <c r="U82" s="29"/>
      <c r="V82" s="29"/>
      <c r="W82" s="31"/>
      <c r="X82" s="6"/>
      <c r="Y82" s="6"/>
      <c r="Z82" s="131" t="s">
        <v>80</v>
      </c>
      <c r="AA82" s="29"/>
      <c r="AB82" s="29"/>
      <c r="AC82" s="29"/>
      <c r="AD82" s="29"/>
      <c r="AE82" s="29"/>
      <c r="AF82" s="29"/>
      <c r="AG82" s="29"/>
      <c r="AH82" s="29"/>
      <c r="AI82" s="29"/>
      <c r="AJ82" s="31"/>
      <c r="AK82" s="177" t="s">
        <v>80</v>
      </c>
      <c r="AL82" s="29"/>
      <c r="AM82" s="29"/>
      <c r="AN82" s="31"/>
      <c r="AO82" s="178">
        <f>IFERROR(VLOOKUP($Z$82,DADOS_INV!$W$3:$X$10,2,FALSE),N($AK82))</f>
        <v>0</v>
      </c>
      <c r="AP82" s="29"/>
      <c r="AQ82" s="29"/>
      <c r="AR82" s="29"/>
      <c r="AS82" s="31"/>
      <c r="AT82" s="6"/>
      <c r="AU82" s="6"/>
    </row>
    <row r="83" ht="15.0" customHeight="1">
      <c r="A83" s="104"/>
      <c r="B83" s="112"/>
      <c r="C83" s="6"/>
      <c r="D83" s="135" t="s">
        <v>80</v>
      </c>
      <c r="E83" s="29"/>
      <c r="F83" s="29"/>
      <c r="G83" s="29"/>
      <c r="H83" s="29"/>
      <c r="I83" s="29"/>
      <c r="J83" s="29"/>
      <c r="K83" s="29"/>
      <c r="L83" s="29"/>
      <c r="M83" s="29"/>
      <c r="N83" s="31"/>
      <c r="O83" s="179" t="s">
        <v>80</v>
      </c>
      <c r="P83" s="29"/>
      <c r="Q83" s="29"/>
      <c r="R83" s="31"/>
      <c r="S83" s="180">
        <f>IFERROR(VLOOKUP($D83,DADOS_INV!$T$3:$U$16,2,FALSE),N($O83))</f>
        <v>0</v>
      </c>
      <c r="T83" s="29"/>
      <c r="U83" s="29"/>
      <c r="V83" s="29"/>
      <c r="W83" s="31"/>
      <c r="X83" s="6"/>
      <c r="Y83" s="6"/>
      <c r="Z83" s="135" t="s">
        <v>80</v>
      </c>
      <c r="AA83" s="29"/>
      <c r="AB83" s="29"/>
      <c r="AC83" s="29"/>
      <c r="AD83" s="29"/>
      <c r="AE83" s="29"/>
      <c r="AF83" s="29"/>
      <c r="AG83" s="29"/>
      <c r="AH83" s="29"/>
      <c r="AI83" s="29"/>
      <c r="AJ83" s="31"/>
      <c r="AK83" s="179" t="s">
        <v>80</v>
      </c>
      <c r="AL83" s="29"/>
      <c r="AM83" s="29"/>
      <c r="AN83" s="31"/>
      <c r="AO83" s="180">
        <f>IFERROR(VLOOKUP($Z$83,DADOS_INV!$W$3:$X$10,2,FALSE),N($AK83))</f>
        <v>0</v>
      </c>
      <c r="AP83" s="29"/>
      <c r="AQ83" s="29"/>
      <c r="AR83" s="29"/>
      <c r="AS83" s="31"/>
      <c r="AT83" s="6"/>
      <c r="AU83" s="6"/>
    </row>
    <row r="84" ht="15.0" customHeight="1">
      <c r="A84" s="104"/>
      <c r="B84" s="112"/>
      <c r="C84" s="6"/>
      <c r="D84" s="131" t="s">
        <v>80</v>
      </c>
      <c r="E84" s="29"/>
      <c r="F84" s="29"/>
      <c r="G84" s="29"/>
      <c r="H84" s="29"/>
      <c r="I84" s="29"/>
      <c r="J84" s="29"/>
      <c r="K84" s="29"/>
      <c r="L84" s="29"/>
      <c r="M84" s="29"/>
      <c r="N84" s="31"/>
      <c r="O84" s="177" t="s">
        <v>80</v>
      </c>
      <c r="P84" s="29"/>
      <c r="Q84" s="29"/>
      <c r="R84" s="31"/>
      <c r="S84" s="178">
        <f>IFERROR(VLOOKUP($D84,DADOS_INV!$T$3:$U$16,2,FALSE),N($O84))</f>
        <v>0</v>
      </c>
      <c r="T84" s="29"/>
      <c r="U84" s="29"/>
      <c r="V84" s="29"/>
      <c r="W84" s="31"/>
      <c r="X84" s="6"/>
      <c r="Y84" s="6"/>
      <c r="Z84" s="131" t="s">
        <v>80</v>
      </c>
      <c r="AA84" s="29"/>
      <c r="AB84" s="29"/>
      <c r="AC84" s="29"/>
      <c r="AD84" s="29"/>
      <c r="AE84" s="29"/>
      <c r="AF84" s="29"/>
      <c r="AG84" s="29"/>
      <c r="AH84" s="29"/>
      <c r="AI84" s="29"/>
      <c r="AJ84" s="31"/>
      <c r="AK84" s="177" t="s">
        <v>80</v>
      </c>
      <c r="AL84" s="29"/>
      <c r="AM84" s="29"/>
      <c r="AN84" s="31"/>
      <c r="AO84" s="178">
        <f>IFERROR(VLOOKUP($Z$84,DADOS_INV!$W$3:$X$10,2,FALSE),N($AK84))</f>
        <v>0</v>
      </c>
      <c r="AP84" s="29"/>
      <c r="AQ84" s="29"/>
      <c r="AR84" s="29"/>
      <c r="AS84" s="31"/>
      <c r="AT84" s="6"/>
      <c r="AU84" s="6"/>
    </row>
    <row r="85" ht="15.0" customHeight="1">
      <c r="A85" s="104"/>
      <c r="B85" s="112"/>
      <c r="C85" s="6"/>
      <c r="D85" s="135" t="s">
        <v>80</v>
      </c>
      <c r="E85" s="29"/>
      <c r="F85" s="29"/>
      <c r="G85" s="29"/>
      <c r="H85" s="29"/>
      <c r="I85" s="29"/>
      <c r="J85" s="29"/>
      <c r="K85" s="29"/>
      <c r="L85" s="29"/>
      <c r="M85" s="29"/>
      <c r="N85" s="31"/>
      <c r="O85" s="179" t="s">
        <v>80</v>
      </c>
      <c r="P85" s="29"/>
      <c r="Q85" s="29"/>
      <c r="R85" s="31"/>
      <c r="S85" s="180">
        <f>IFERROR(VLOOKUP($D85,DADOS_INV!$T$3:$U$16,2,FALSE),N($O85))</f>
        <v>0</v>
      </c>
      <c r="T85" s="29"/>
      <c r="U85" s="29"/>
      <c r="V85" s="29"/>
      <c r="W85" s="31"/>
      <c r="X85" s="6"/>
      <c r="Y85" s="6"/>
      <c r="Z85" s="135" t="s">
        <v>80</v>
      </c>
      <c r="AA85" s="29"/>
      <c r="AB85" s="29"/>
      <c r="AC85" s="29"/>
      <c r="AD85" s="29"/>
      <c r="AE85" s="29"/>
      <c r="AF85" s="29"/>
      <c r="AG85" s="29"/>
      <c r="AH85" s="29"/>
      <c r="AI85" s="29"/>
      <c r="AJ85" s="31"/>
      <c r="AK85" s="179" t="s">
        <v>80</v>
      </c>
      <c r="AL85" s="29"/>
      <c r="AM85" s="29"/>
      <c r="AN85" s="31"/>
      <c r="AO85" s="180">
        <f>IFERROR(VLOOKUP($Z$85,DADOS_INV!$W$3:$X$10,2,FALSE),N($AK85))</f>
        <v>0</v>
      </c>
      <c r="AP85" s="29"/>
      <c r="AQ85" s="29"/>
      <c r="AR85" s="29"/>
      <c r="AS85" s="31"/>
      <c r="AT85" s="6"/>
      <c r="AU85" s="6"/>
    </row>
    <row r="86" ht="15.0" customHeight="1">
      <c r="A86" s="104"/>
      <c r="B86" s="112"/>
      <c r="C86" s="6"/>
      <c r="D86" s="131" t="s">
        <v>80</v>
      </c>
      <c r="E86" s="29"/>
      <c r="F86" s="29"/>
      <c r="G86" s="29"/>
      <c r="H86" s="29"/>
      <c r="I86" s="29"/>
      <c r="J86" s="29"/>
      <c r="K86" s="29"/>
      <c r="L86" s="29"/>
      <c r="M86" s="29"/>
      <c r="N86" s="31"/>
      <c r="O86" s="177" t="s">
        <v>80</v>
      </c>
      <c r="P86" s="29"/>
      <c r="Q86" s="29"/>
      <c r="R86" s="31"/>
      <c r="S86" s="178">
        <f>IFERROR(VLOOKUP($D86,DADOS_INV!$T$3:$U$16,2,FALSE),N($O86))</f>
        <v>0</v>
      </c>
      <c r="T86" s="29"/>
      <c r="U86" s="29"/>
      <c r="V86" s="29"/>
      <c r="W86" s="31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ht="15.0" customHeight="1">
      <c r="A87" s="104"/>
      <c r="B87" s="112"/>
      <c r="C87" s="6"/>
      <c r="D87" s="135" t="s">
        <v>80</v>
      </c>
      <c r="E87" s="29"/>
      <c r="F87" s="29"/>
      <c r="G87" s="29"/>
      <c r="H87" s="29"/>
      <c r="I87" s="29"/>
      <c r="J87" s="29"/>
      <c r="K87" s="29"/>
      <c r="L87" s="29"/>
      <c r="M87" s="29"/>
      <c r="N87" s="31"/>
      <c r="O87" s="179" t="s">
        <v>80</v>
      </c>
      <c r="P87" s="29"/>
      <c r="Q87" s="29"/>
      <c r="R87" s="31"/>
      <c r="S87" s="180">
        <f>IFERROR(VLOOKUP($D87,DADOS_INV!$T$3:$U$16,2,FALSE),N($O87))</f>
        <v>0</v>
      </c>
      <c r="T87" s="29"/>
      <c r="U87" s="29"/>
      <c r="V87" s="29"/>
      <c r="W87" s="31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ht="15.0" customHeight="1">
      <c r="A88" s="104"/>
      <c r="B88" s="112"/>
      <c r="C88" s="6"/>
      <c r="D88" s="131" t="s">
        <v>80</v>
      </c>
      <c r="E88" s="29"/>
      <c r="F88" s="29"/>
      <c r="G88" s="29"/>
      <c r="H88" s="29"/>
      <c r="I88" s="29"/>
      <c r="J88" s="29"/>
      <c r="K88" s="29"/>
      <c r="L88" s="29"/>
      <c r="M88" s="29"/>
      <c r="N88" s="31"/>
      <c r="O88" s="177" t="s">
        <v>80</v>
      </c>
      <c r="P88" s="29"/>
      <c r="Q88" s="29"/>
      <c r="R88" s="31"/>
      <c r="S88" s="178">
        <f>IFERROR(VLOOKUP($D88,DADOS_INV!$T$3:$U$16,2,FALSE),N($O88))</f>
        <v>0</v>
      </c>
      <c r="T88" s="29"/>
      <c r="U88" s="29"/>
      <c r="V88" s="29"/>
      <c r="W88" s="31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ht="15.0" customHeight="1">
      <c r="A89" s="104"/>
      <c r="B89" s="112"/>
      <c r="C89" s="6"/>
      <c r="D89" s="191" t="str">
        <f>IF(SUMPRODUCT((D80:D88&lt;&gt;"")*(D80:D88&lt;&gt;"—")*(COUNTIF(DADOS_INV!$T$3:$T$16,D80:D88)=0)*((O80:O88="—")+(O80:O88="")))+SUMPRODUCT((Z80:Z85&lt;&gt;"")*(Z80:Z85&lt;&gt;"—")*(COUNTIF(DADOS_INV!$W$3:$W$10,Z80:Z85)=0)*((AK80:AK85="—")+(AK80:AK85="")))=0,"","⚠ "&amp;(SUMPRODUCT((D80:D88&lt;&gt;"")*(D80:D88&lt;&gt;"—")*(COUNTIF(DADOS_INV!$T$3:$T$16,D80:D88)=0)*((O80:O88="—")+(O80:O88="")))+SUMPRODUCT((Z80:Z85&lt;&gt;"")*(Z80:Z85&lt;&gt;"—")*(COUNTIF(DADOS_INV!$W$3:$W$10,Z80:Z85)=0)*((AK80:AK85="—")+(AK80:AK85=""))))&amp;" entrada(s) escrita(s) à mão sem DEGRAU escolhido — elas estão custando 0. Ache na régua do CATÁLOGO o degrau em que o efeito cai.")</f>
        <v/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31"/>
      <c r="AT89" s="6"/>
      <c r="AU89" s="6"/>
    </row>
    <row r="90" ht="15.0" customHeight="1">
      <c r="A90" s="104"/>
      <c r="B90" s="112"/>
      <c r="C90" s="6"/>
      <c r="D90" s="66" t="s">
        <v>818</v>
      </c>
      <c r="E90" s="17"/>
      <c r="F90" s="17"/>
      <c r="G90" s="17"/>
      <c r="H90" s="17"/>
      <c r="I90" s="17"/>
      <c r="J90" s="17"/>
      <c r="K90" s="17"/>
      <c r="L90" s="17"/>
      <c r="M90" s="18"/>
      <c r="N90" s="6"/>
      <c r="O90" s="66" t="s">
        <v>819</v>
      </c>
      <c r="P90" s="17"/>
      <c r="Q90" s="17"/>
      <c r="R90" s="17"/>
      <c r="S90" s="17"/>
      <c r="T90" s="17"/>
      <c r="U90" s="17"/>
      <c r="V90" s="17"/>
      <c r="W90" s="17"/>
      <c r="X90" s="18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ht="26.25" customHeight="1">
      <c r="A91" s="104"/>
      <c r="B91" s="112"/>
      <c r="C91" s="6"/>
      <c r="D91" s="127">
        <f>$S$80+$S$81+$S$82+$S$83+$S$84+$S$85+$S$86+$S$87+$S$88+$AO$80+$AO$81+$AO$82+$AO$83+$AO$84+$AO$85</f>
        <v>0</v>
      </c>
      <c r="E91" s="29"/>
      <c r="F91" s="29"/>
      <c r="G91" s="29"/>
      <c r="H91" s="29"/>
      <c r="I91" s="29"/>
      <c r="J91" s="29"/>
      <c r="K91" s="29"/>
      <c r="L91" s="29"/>
      <c r="M91" s="31"/>
      <c r="N91" s="6"/>
      <c r="O91" s="194">
        <f>IF($D$76-($S$80+$S$81+$S$82+$S$83+$S$84+$S$85+$S$86+$S$87+$S$88+$AO$80+$AO$81+$AO$82+$AO$83+$AO$84+$AO$85)&lt;0,"Estourou "&amp;(($S$80+$S$81+$S$82+$S$83+$S$84+$S$85+$S$86+$S$87+$S$88+$AO$80+$AO$81+$AO$82+$AO$83+$AO$84+$AO$85)-$D$76),$D$76-($S$80+$S$81+$S$82+$S$83+$S$84+$S$85+$S$86+$S$87+$S$88+$AO$80+$AO$81+$AO$82+$AO$83+$AO$84+$AO$85))</f>
        <v>12</v>
      </c>
      <c r="P91" s="29"/>
      <c r="Q91" s="29"/>
      <c r="R91" s="29"/>
      <c r="S91" s="29"/>
      <c r="T91" s="29"/>
      <c r="U91" s="29"/>
      <c r="V91" s="29"/>
      <c r="W91" s="29"/>
      <c r="X91" s="31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ht="15.0" customHeight="1">
      <c r="A92" s="104"/>
      <c r="B92" s="112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ht="15.0" customHeight="1">
      <c r="A93" s="104"/>
      <c r="B93" s="112"/>
      <c r="C93" s="6"/>
      <c r="D93" s="4" t="s">
        <v>824</v>
      </c>
      <c r="AU93" s="6"/>
    </row>
    <row r="94" ht="15.0" customHeight="1">
      <c r="A94" s="104"/>
      <c r="B94" s="112"/>
      <c r="C94" s="6"/>
      <c r="AU94" s="6"/>
    </row>
    <row r="95" ht="15.0" customHeight="1">
      <c r="A95" s="104"/>
      <c r="B95" s="112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ht="15.0" customHeight="1">
      <c r="A96" s="104"/>
      <c r="B96" s="112"/>
      <c r="C96" s="6"/>
      <c r="D96" s="118" t="s">
        <v>825</v>
      </c>
      <c r="E96" s="10"/>
      <c r="F96" s="14"/>
      <c r="G96" s="119" t="s">
        <v>826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31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ht="15.0" customHeight="1">
      <c r="A97" s="104"/>
      <c r="B97" s="112"/>
      <c r="C97" s="6"/>
      <c r="D97" s="16"/>
      <c r="E97" s="17"/>
      <c r="F97" s="1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ht="15.0" customHeight="1">
      <c r="A98" s="104"/>
      <c r="B98" s="112"/>
      <c r="C98" s="6"/>
      <c r="D98" s="122" t="s">
        <v>827</v>
      </c>
      <c r="E98" s="10"/>
      <c r="F98" s="10"/>
      <c r="G98" s="10"/>
      <c r="H98" s="10"/>
      <c r="I98" s="10"/>
      <c r="J98" s="10"/>
      <c r="K98" s="10"/>
      <c r="L98" s="10"/>
      <c r="M98" s="14"/>
      <c r="N98" s="6"/>
      <c r="O98" s="63" t="s">
        <v>828</v>
      </c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31"/>
      <c r="AU98" s="6"/>
    </row>
    <row r="99" ht="15.0" customHeight="1">
      <c r="A99" s="104"/>
      <c r="B99" s="112"/>
      <c r="C99" s="6"/>
      <c r="D99" s="106" t="str">
        <f>IF($D$7="","",VLOOKUP($D$7,DADOS_INV!$Z$3:$AB$9,IF($AK$19="Matilha",3,2),TRUE))</f>
        <v>1d6</v>
      </c>
      <c r="E99" s="10"/>
      <c r="F99" s="10"/>
      <c r="G99" s="10"/>
      <c r="H99" s="10"/>
      <c r="I99" s="10"/>
      <c r="J99" s="10"/>
      <c r="K99" s="10"/>
      <c r="L99" s="10"/>
      <c r="M99" s="14"/>
      <c r="N99" s="6"/>
      <c r="O99" s="91" t="str">
        <f>IF($AK$19="Matilha","Cada um dos cinco rola isto",IF($AK$19="","","O corpo em campo rola isto"))</f>
        <v>O corpo em campo rola isto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4"/>
      <c r="AU99" s="6"/>
    </row>
    <row r="100" ht="15.0" customHeight="1">
      <c r="A100" s="104"/>
      <c r="B100" s="112"/>
      <c r="C100" s="6"/>
      <c r="D100" s="16"/>
      <c r="E100" s="17"/>
      <c r="F100" s="17"/>
      <c r="G100" s="17"/>
      <c r="H100" s="17"/>
      <c r="I100" s="17"/>
      <c r="J100" s="17"/>
      <c r="K100" s="17"/>
      <c r="L100" s="17"/>
      <c r="M100" s="18"/>
      <c r="N100" s="6"/>
      <c r="O100" s="16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8"/>
      <c r="AU100" s="6"/>
    </row>
    <row r="101" ht="15.0" customHeight="1">
      <c r="A101" s="104"/>
      <c r="B101" s="112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ht="15.0" customHeight="1">
      <c r="A102" s="104"/>
      <c r="B102" s="112"/>
      <c r="C102" s="6"/>
      <c r="D102" s="130"/>
      <c r="AU102" s="6"/>
    </row>
    <row r="103" ht="15.0" customHeight="1">
      <c r="A103" s="104"/>
      <c r="B103" s="112"/>
      <c r="C103" s="6"/>
      <c r="AU103" s="6"/>
    </row>
    <row r="104" ht="15.0" customHeight="1">
      <c r="A104" s="104"/>
      <c r="B104" s="112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ht="15.0" customHeight="1">
      <c r="A105" s="104"/>
      <c r="B105" s="112"/>
      <c r="C105" s="6"/>
      <c r="D105" s="118" t="s">
        <v>833</v>
      </c>
      <c r="E105" s="10"/>
      <c r="F105" s="14"/>
      <c r="G105" s="119" t="s">
        <v>834</v>
      </c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31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ht="15.0" customHeight="1">
      <c r="A106" s="104"/>
      <c r="B106" s="112"/>
      <c r="C106" s="6"/>
      <c r="D106" s="16"/>
      <c r="E106" s="17"/>
      <c r="F106" s="1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ht="15.0" customHeight="1">
      <c r="A107" s="104"/>
      <c r="B107" s="112"/>
      <c r="C107" s="6"/>
      <c r="D107" s="196" t="s">
        <v>835</v>
      </c>
      <c r="E107" s="29"/>
      <c r="F107" s="29"/>
      <c r="G107" s="29"/>
      <c r="H107" s="29"/>
      <c r="I107" s="29"/>
      <c r="J107" s="29"/>
      <c r="K107" s="29"/>
      <c r="L107" s="29"/>
      <c r="M107" s="29"/>
      <c r="N107" s="31"/>
      <c r="O107" s="197" t="str">
        <f>("Custa "&amp;$O$11&amp;" PE e a Ação Padrão")</f>
        <v>Custa 1 PE e a Ação Padrão</v>
      </c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31"/>
      <c r="AU107" s="6"/>
    </row>
    <row r="108" ht="15.0" customHeight="1">
      <c r="A108" s="104"/>
      <c r="B108" s="112"/>
      <c r="C108" s="6"/>
      <c r="D108" s="198" t="s">
        <v>836</v>
      </c>
      <c r="E108" s="29"/>
      <c r="F108" s="29"/>
      <c r="G108" s="29"/>
      <c r="H108" s="29"/>
      <c r="I108" s="29"/>
      <c r="J108" s="29"/>
      <c r="K108" s="29"/>
      <c r="L108" s="29"/>
      <c r="M108" s="29"/>
      <c r="N108" s="31"/>
      <c r="O108" s="199" t="str">
        <f>"A Ação Padrão, toda rodada"</f>
        <v>A Ação Padrão, toda rodada</v>
      </c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31"/>
      <c r="AU108" s="6"/>
    </row>
    <row r="109" ht="15.0" customHeight="1">
      <c r="A109" s="104"/>
      <c r="B109" s="112"/>
      <c r="C109" s="6"/>
      <c r="D109" s="196" t="s">
        <v>453</v>
      </c>
      <c r="E109" s="29"/>
      <c r="F109" s="29"/>
      <c r="G109" s="29"/>
      <c r="H109" s="29"/>
      <c r="I109" s="29"/>
      <c r="J109" s="29"/>
      <c r="K109" s="29"/>
      <c r="L109" s="29"/>
      <c r="M109" s="29"/>
      <c r="N109" s="31"/>
      <c r="O109" s="197" t="str">
        <f>"A sua, e ela age logo depois de você"</f>
        <v>A sua, e ela age logo depois de você</v>
      </c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31"/>
      <c r="AU109" s="6"/>
    </row>
    <row r="110" ht="15.0" customHeight="1">
      <c r="A110" s="104"/>
      <c r="B110" s="112"/>
      <c r="C110" s="6"/>
      <c r="D110" s="198" t="s">
        <v>537</v>
      </c>
      <c r="E110" s="29"/>
      <c r="F110" s="29"/>
      <c r="G110" s="29"/>
      <c r="H110" s="29"/>
      <c r="I110" s="29"/>
      <c r="J110" s="29"/>
      <c r="K110" s="29"/>
      <c r="L110" s="29"/>
      <c r="M110" s="29"/>
      <c r="N110" s="31"/>
      <c r="O110" s="199" t="str">
        <f>(9&amp;" metros")</f>
        <v>9 metros</v>
      </c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31"/>
      <c r="AU110" s="6"/>
    </row>
    <row r="111" ht="15.0" customHeight="1">
      <c r="A111" s="104"/>
      <c r="B111" s="112"/>
      <c r="C111" s="6"/>
      <c r="D111" s="196" t="s">
        <v>839</v>
      </c>
      <c r="E111" s="29"/>
      <c r="F111" s="29"/>
      <c r="G111" s="29"/>
      <c r="H111" s="29"/>
      <c r="I111" s="29"/>
      <c r="J111" s="29"/>
      <c r="K111" s="29"/>
      <c r="L111" s="29"/>
      <c r="M111" s="29"/>
      <c r="N111" s="31"/>
      <c r="O111" s="197" t="str">
        <f>(18&amp;" metros — além disso não pode ser comandada, e não some")</f>
        <v>18 metros — além disso não pode ser comandada, e não some</v>
      </c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31"/>
      <c r="AU111" s="6"/>
    </row>
    <row r="112" ht="15.0" customHeight="1">
      <c r="A112" s="104"/>
      <c r="B112" s="112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ht="15.0" customHeight="1">
      <c r="A113" s="104"/>
      <c r="B113" s="112"/>
      <c r="C113" s="6"/>
      <c r="D113" s="118" t="s">
        <v>840</v>
      </c>
      <c r="E113" s="10"/>
      <c r="F113" s="14"/>
      <c r="G113" s="200" t="s">
        <v>841</v>
      </c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31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ht="15.0" customHeight="1">
      <c r="A114" s="104"/>
      <c r="B114" s="112"/>
      <c r="C114" s="6"/>
      <c r="D114" s="16"/>
      <c r="E114" s="17"/>
      <c r="F114" s="1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ht="15.0" customHeight="1">
      <c r="A115" s="104"/>
      <c r="B115" s="112"/>
      <c r="C115" s="6"/>
      <c r="D115" s="154" t="s">
        <v>842</v>
      </c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31"/>
      <c r="AU115" s="6"/>
    </row>
    <row r="116" ht="15.0" customHeight="1">
      <c r="A116" s="104"/>
      <c r="B116" s="112"/>
      <c r="C116" s="6"/>
      <c r="D116" s="202" t="s">
        <v>843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4"/>
      <c r="AU116" s="6"/>
    </row>
    <row r="117" ht="15.0" customHeight="1">
      <c r="A117" s="104"/>
      <c r="B117" s="112"/>
      <c r="C117" s="6"/>
      <c r="D117" s="46"/>
      <c r="AT117" s="47"/>
      <c r="AU117" s="6"/>
    </row>
    <row r="118" ht="15.0" customHeight="1">
      <c r="A118" s="104"/>
      <c r="B118" s="112"/>
      <c r="C118" s="6"/>
      <c r="D118" s="16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8"/>
      <c r="AU118" s="6"/>
    </row>
    <row r="119" ht="15.0" customHeight="1">
      <c r="A119" s="104"/>
      <c r="B119" s="112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ht="15.0" customHeight="1">
      <c r="A120" s="104"/>
      <c r="B120" s="112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>
      <c r="A121" s="104"/>
      <c r="B121" s="112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>
      <c r="A122" s="104"/>
      <c r="B122" s="112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>
      <c r="A123" s="104"/>
      <c r="B123" s="112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>
      <c r="A124" s="104"/>
      <c r="B124" s="112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>
      <c r="A125" s="104"/>
      <c r="B125" s="112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>
      <c r="A126" s="104"/>
      <c r="B126" s="112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</sheetData>
  <mergeCells count="197">
    <mergeCell ref="O11:X11"/>
    <mergeCell ref="D13:AT14"/>
    <mergeCell ref="A8:B26"/>
    <mergeCell ref="D27:F28"/>
    <mergeCell ref="A30:B48"/>
    <mergeCell ref="D40:F41"/>
    <mergeCell ref="D56:F57"/>
    <mergeCell ref="D73:F74"/>
    <mergeCell ref="D6:M6"/>
    <mergeCell ref="D7:M8"/>
    <mergeCell ref="O7:X8"/>
    <mergeCell ref="Z7:AI8"/>
    <mergeCell ref="AK7:AT8"/>
    <mergeCell ref="O10:X10"/>
    <mergeCell ref="D24:AT25"/>
    <mergeCell ref="T29:Z29"/>
    <mergeCell ref="T30:Z31"/>
    <mergeCell ref="AJ29:AP29"/>
    <mergeCell ref="AJ30:AP31"/>
    <mergeCell ref="AJ32:AP32"/>
    <mergeCell ref="G27:AF27"/>
    <mergeCell ref="D29:J29"/>
    <mergeCell ref="L29:R29"/>
    <mergeCell ref="AB29:AH29"/>
    <mergeCell ref="D30:J31"/>
    <mergeCell ref="D32:J32"/>
    <mergeCell ref="T32:Z32"/>
    <mergeCell ref="D64:M64"/>
    <mergeCell ref="O64:X64"/>
    <mergeCell ref="Z64:AI64"/>
    <mergeCell ref="D65:M65"/>
    <mergeCell ref="O65:X65"/>
    <mergeCell ref="Z65:AI65"/>
    <mergeCell ref="D67:AT67"/>
    <mergeCell ref="D90:M90"/>
    <mergeCell ref="O90:X90"/>
    <mergeCell ref="D91:M91"/>
    <mergeCell ref="O91:X91"/>
    <mergeCell ref="D96:F97"/>
    <mergeCell ref="G96:AB96"/>
    <mergeCell ref="D98:M98"/>
    <mergeCell ref="D99:M100"/>
    <mergeCell ref="D86:N86"/>
    <mergeCell ref="O86:R86"/>
    <mergeCell ref="S86:W86"/>
    <mergeCell ref="D87:N87"/>
    <mergeCell ref="O87:R87"/>
    <mergeCell ref="S87:W87"/>
    <mergeCell ref="D88:N88"/>
    <mergeCell ref="D109:N109"/>
    <mergeCell ref="D110:N110"/>
    <mergeCell ref="D111:N111"/>
    <mergeCell ref="D113:F114"/>
    <mergeCell ref="O110:AT110"/>
    <mergeCell ref="O111:AT111"/>
    <mergeCell ref="G113:AF113"/>
    <mergeCell ref="D115:AT115"/>
    <mergeCell ref="D116:AT118"/>
    <mergeCell ref="D105:F106"/>
    <mergeCell ref="G105:X105"/>
    <mergeCell ref="D107:N107"/>
    <mergeCell ref="O107:AT107"/>
    <mergeCell ref="D108:N108"/>
    <mergeCell ref="O108:AT108"/>
    <mergeCell ref="O109:AT109"/>
    <mergeCell ref="S79:W79"/>
    <mergeCell ref="Z79:AJ79"/>
    <mergeCell ref="AK79:AN79"/>
    <mergeCell ref="AO79:AS79"/>
    <mergeCell ref="D68:AT69"/>
    <mergeCell ref="D70:AT71"/>
    <mergeCell ref="G73:AF73"/>
    <mergeCell ref="D75:M75"/>
    <mergeCell ref="D76:M77"/>
    <mergeCell ref="D79:N79"/>
    <mergeCell ref="O79:R79"/>
    <mergeCell ref="D80:N80"/>
    <mergeCell ref="O80:R80"/>
    <mergeCell ref="S80:W80"/>
    <mergeCell ref="Z80:AJ80"/>
    <mergeCell ref="AK80:AN80"/>
    <mergeCell ref="AO80:AS80"/>
    <mergeCell ref="D81:N81"/>
    <mergeCell ref="AO81:AS81"/>
    <mergeCell ref="Z83:AJ83"/>
    <mergeCell ref="Z84:AJ84"/>
    <mergeCell ref="AK84:AN84"/>
    <mergeCell ref="AO84:AS84"/>
    <mergeCell ref="Z85:AJ85"/>
    <mergeCell ref="AK85:AN85"/>
    <mergeCell ref="AO85:AS85"/>
    <mergeCell ref="Z81:AJ81"/>
    <mergeCell ref="AK81:AN81"/>
    <mergeCell ref="Z82:AJ82"/>
    <mergeCell ref="AK82:AN82"/>
    <mergeCell ref="AO82:AS82"/>
    <mergeCell ref="AK83:AN83"/>
    <mergeCell ref="AO83:AS83"/>
    <mergeCell ref="O88:R88"/>
    <mergeCell ref="S88:W88"/>
    <mergeCell ref="D89:AS89"/>
    <mergeCell ref="D93:AT94"/>
    <mergeCell ref="O98:AT98"/>
    <mergeCell ref="O99:AT100"/>
    <mergeCell ref="D102:AT103"/>
    <mergeCell ref="D1:AD2"/>
    <mergeCell ref="AF1:AT2"/>
    <mergeCell ref="D4:F5"/>
    <mergeCell ref="G4:AB4"/>
    <mergeCell ref="O6:X6"/>
    <mergeCell ref="Z6:AI6"/>
    <mergeCell ref="AK6:AT6"/>
    <mergeCell ref="D10:M10"/>
    <mergeCell ref="D11:M11"/>
    <mergeCell ref="D16:F17"/>
    <mergeCell ref="G16:X16"/>
    <mergeCell ref="D18:X18"/>
    <mergeCell ref="Z18:AI18"/>
    <mergeCell ref="AK18:AT18"/>
    <mergeCell ref="D19:X19"/>
    <mergeCell ref="Z19:AI19"/>
    <mergeCell ref="AK19:AT19"/>
    <mergeCell ref="D21:M21"/>
    <mergeCell ref="O21:AT21"/>
    <mergeCell ref="D22:M22"/>
    <mergeCell ref="O22:AT23"/>
    <mergeCell ref="L30:R31"/>
    <mergeCell ref="L32:R32"/>
    <mergeCell ref="D34:M34"/>
    <mergeCell ref="O34:X34"/>
    <mergeCell ref="D35:M35"/>
    <mergeCell ref="O35:X35"/>
    <mergeCell ref="AB30:AH31"/>
    <mergeCell ref="AB32:AH32"/>
    <mergeCell ref="Z34:AT34"/>
    <mergeCell ref="Z35:AT35"/>
    <mergeCell ref="D37:AT38"/>
    <mergeCell ref="G40:AH40"/>
    <mergeCell ref="D42:M42"/>
    <mergeCell ref="AK42:AT42"/>
    <mergeCell ref="O45:X45"/>
    <mergeCell ref="Z45:AI45"/>
    <mergeCell ref="O42:X42"/>
    <mergeCell ref="Z42:AI42"/>
    <mergeCell ref="D43:M43"/>
    <mergeCell ref="O43:X43"/>
    <mergeCell ref="Z43:AI43"/>
    <mergeCell ref="AK43:AT43"/>
    <mergeCell ref="D45:M45"/>
    <mergeCell ref="Z49:AF49"/>
    <mergeCell ref="AH49:AL49"/>
    <mergeCell ref="D46:M46"/>
    <mergeCell ref="O46:X46"/>
    <mergeCell ref="Z46:AI46"/>
    <mergeCell ref="D48:AT48"/>
    <mergeCell ref="L49:P49"/>
    <mergeCell ref="Q49:X49"/>
    <mergeCell ref="AM49:AT49"/>
    <mergeCell ref="Z50:AF50"/>
    <mergeCell ref="Z51:AF51"/>
    <mergeCell ref="AH51:AL51"/>
    <mergeCell ref="AM51:AQ51"/>
    <mergeCell ref="D49:J49"/>
    <mergeCell ref="D50:J50"/>
    <mergeCell ref="Q50:U50"/>
    <mergeCell ref="AH50:AL50"/>
    <mergeCell ref="AM50:AQ50"/>
    <mergeCell ref="D51:J51"/>
    <mergeCell ref="Q51:U51"/>
    <mergeCell ref="L50:P50"/>
    <mergeCell ref="L51:P51"/>
    <mergeCell ref="D53:AT54"/>
    <mergeCell ref="G56:T56"/>
    <mergeCell ref="O58:X58"/>
    <mergeCell ref="Z58:AI58"/>
    <mergeCell ref="AK58:AT58"/>
    <mergeCell ref="D58:M58"/>
    <mergeCell ref="D59:M60"/>
    <mergeCell ref="O59:X60"/>
    <mergeCell ref="Z59:AI60"/>
    <mergeCell ref="AK59:AT60"/>
    <mergeCell ref="D62:N62"/>
    <mergeCell ref="O62:AT62"/>
    <mergeCell ref="O81:R81"/>
    <mergeCell ref="S81:W81"/>
    <mergeCell ref="D82:N82"/>
    <mergeCell ref="O82:R82"/>
    <mergeCell ref="S82:W82"/>
    <mergeCell ref="O83:R83"/>
    <mergeCell ref="S83:W83"/>
    <mergeCell ref="D83:N83"/>
    <mergeCell ref="D84:N84"/>
    <mergeCell ref="O84:R84"/>
    <mergeCell ref="S84:W84"/>
    <mergeCell ref="D85:N85"/>
    <mergeCell ref="O85:R85"/>
    <mergeCell ref="S85:W85"/>
  </mergeCells>
  <dataValidations>
    <dataValidation type="list" allowBlank="1" sqref="D43">
      <formula1>DADOS_INV!$C$2:$C$6</formula1>
    </dataValidation>
    <dataValidation type="list" allowBlank="1" sqref="Z43">
      <formula1>DADOS_INV!$F$2:$F$3</formula1>
    </dataValidation>
    <dataValidation type="list" allowBlank="1" sqref="AK80:AK85">
      <formula1>DADOS_INV!$AS$2:$AS$5</formula1>
    </dataValidation>
    <dataValidation type="list" allowBlank="1" sqref="O46">
      <formula1>DADOS_INV!$D$2:$D$5</formula1>
    </dataValidation>
    <dataValidation type="list" allowBlank="1" sqref="O80:O88">
      <formula1>DADOS_INV!$AP$2:$AP$7</formula1>
    </dataValidation>
    <dataValidation type="list" allowBlank="1" sqref="Z46">
      <formula1>DADOS_INV!$G$2:$G$3</formula1>
    </dataValidation>
    <dataValidation type="list" allowBlank="1" sqref="AK19">
      <formula1>DADOS_INV!$B$2:$B$4</formula1>
    </dataValidation>
    <dataValidation type="list" allowBlank="1" sqref="D22">
      <formula1>DADOS_INV!$E$2:$E$5</formula1>
    </dataValidation>
    <dataValidation type="list" allowBlank="1" sqref="Z19">
      <formula1>DADOS_INV!$A$2:$A$5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7" width="5.0"/>
  </cols>
  <sheetData>
    <row r="1" ht="15.0" customHeight="1">
      <c r="A1" s="6"/>
      <c r="B1" s="6"/>
      <c r="C1" s="120"/>
      <c r="D1" s="121" t="s">
        <v>400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13"/>
      <c r="AF1" s="13" t="s">
        <v>405</v>
      </c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4"/>
      <c r="AU1" s="6"/>
    </row>
    <row r="2" ht="15.0" customHeight="1">
      <c r="A2" s="6"/>
      <c r="B2" s="6"/>
      <c r="C2" s="125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8"/>
      <c r="AU2" s="6"/>
    </row>
    <row r="3" ht="15.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ht="15.0" customHeight="1">
      <c r="A4" s="6"/>
      <c r="B4" s="6"/>
      <c r="C4" s="6"/>
      <c r="D4" s="27" t="s">
        <v>425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31"/>
      <c r="U4" s="34" t="s">
        <v>429</v>
      </c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31"/>
      <c r="AU4" s="6"/>
    </row>
    <row r="5" ht="15.0" customHeight="1">
      <c r="A5" s="6"/>
      <c r="B5" s="6"/>
      <c r="C5" s="6"/>
      <c r="D5" s="63" t="s">
        <v>430</v>
      </c>
      <c r="E5" s="29"/>
      <c r="F5" s="29"/>
      <c r="G5" s="31"/>
      <c r="H5" s="37" t="s">
        <v>165</v>
      </c>
      <c r="I5" s="29"/>
      <c r="J5" s="29"/>
      <c r="K5" s="29"/>
      <c r="L5" s="29"/>
      <c r="M5" s="29"/>
      <c r="N5" s="29"/>
      <c r="O5" s="31"/>
      <c r="P5" s="37" t="s">
        <v>166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31"/>
      <c r="AU5" s="6"/>
    </row>
    <row r="6" ht="15.0" customHeight="1">
      <c r="A6" s="6"/>
      <c r="B6" s="6"/>
      <c r="C6" s="6"/>
      <c r="D6" s="90">
        <v>2.0</v>
      </c>
      <c r="E6" s="29"/>
      <c r="F6" s="29"/>
      <c r="G6" s="31"/>
      <c r="H6" s="131" t="s">
        <v>435</v>
      </c>
      <c r="I6" s="29"/>
      <c r="J6" s="29"/>
      <c r="K6" s="29"/>
      <c r="L6" s="29"/>
      <c r="M6" s="29"/>
      <c r="N6" s="29"/>
      <c r="O6" s="31"/>
      <c r="P6" s="132" t="s">
        <v>438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31"/>
      <c r="AU6" s="6"/>
    </row>
    <row r="7" ht="15.0" customHeight="1">
      <c r="A7" s="6"/>
      <c r="B7" s="6"/>
      <c r="C7" s="6"/>
      <c r="D7" s="134">
        <v>2.0</v>
      </c>
      <c r="E7" s="29"/>
      <c r="F7" s="29"/>
      <c r="G7" s="31"/>
      <c r="H7" s="135" t="s">
        <v>449</v>
      </c>
      <c r="I7" s="29"/>
      <c r="J7" s="29"/>
      <c r="K7" s="29"/>
      <c r="L7" s="29"/>
      <c r="M7" s="29"/>
      <c r="N7" s="29"/>
      <c r="O7" s="31"/>
      <c r="P7" s="136" t="s">
        <v>450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31"/>
      <c r="AU7" s="6"/>
    </row>
    <row r="8" ht="15.0" customHeight="1">
      <c r="A8" s="6"/>
      <c r="B8" s="6"/>
      <c r="C8" s="6"/>
      <c r="D8" s="90">
        <v>3.0</v>
      </c>
      <c r="E8" s="29"/>
      <c r="F8" s="29"/>
      <c r="G8" s="31"/>
      <c r="H8" s="131" t="s">
        <v>455</v>
      </c>
      <c r="I8" s="29"/>
      <c r="J8" s="29"/>
      <c r="K8" s="29"/>
      <c r="L8" s="29"/>
      <c r="M8" s="29"/>
      <c r="N8" s="29"/>
      <c r="O8" s="31"/>
      <c r="P8" s="132" t="s">
        <v>457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31"/>
      <c r="AU8" s="6"/>
    </row>
    <row r="9" ht="15.0" customHeight="1">
      <c r="A9" s="6"/>
      <c r="B9" s="6"/>
      <c r="C9" s="6"/>
      <c r="D9" s="134">
        <v>5.0</v>
      </c>
      <c r="E9" s="29"/>
      <c r="F9" s="29"/>
      <c r="G9" s="31"/>
      <c r="H9" s="135" t="s">
        <v>461</v>
      </c>
      <c r="I9" s="29"/>
      <c r="J9" s="29"/>
      <c r="K9" s="29"/>
      <c r="L9" s="29"/>
      <c r="M9" s="29"/>
      <c r="N9" s="29"/>
      <c r="O9" s="31"/>
      <c r="P9" s="136" t="s">
        <v>463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31"/>
      <c r="AU9" s="6"/>
    </row>
    <row r="10" ht="15.0" customHeight="1">
      <c r="A10" s="6"/>
      <c r="B10" s="6"/>
      <c r="C10" s="6"/>
      <c r="D10" s="90">
        <v>5.0</v>
      </c>
      <c r="E10" s="29"/>
      <c r="F10" s="29"/>
      <c r="G10" s="31"/>
      <c r="H10" s="131" t="s">
        <v>466</v>
      </c>
      <c r="I10" s="29"/>
      <c r="J10" s="29"/>
      <c r="K10" s="29"/>
      <c r="L10" s="29"/>
      <c r="M10" s="29"/>
      <c r="N10" s="29"/>
      <c r="O10" s="31"/>
      <c r="P10" s="132" t="s">
        <v>468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31"/>
      <c r="AU10" s="6"/>
    </row>
    <row r="11" ht="15.0" customHeight="1">
      <c r="A11" s="6"/>
      <c r="B11" s="6"/>
      <c r="C11" s="6"/>
      <c r="D11" s="134">
        <v>7.0</v>
      </c>
      <c r="E11" s="29"/>
      <c r="F11" s="29"/>
      <c r="G11" s="31"/>
      <c r="H11" s="135" t="s">
        <v>472</v>
      </c>
      <c r="I11" s="29"/>
      <c r="J11" s="29"/>
      <c r="K11" s="29"/>
      <c r="L11" s="29"/>
      <c r="M11" s="29"/>
      <c r="N11" s="29"/>
      <c r="O11" s="31"/>
      <c r="P11" s="136" t="s">
        <v>475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31"/>
      <c r="AU11" s="6"/>
    </row>
    <row r="12" ht="15.0" customHeight="1">
      <c r="A12" s="6"/>
      <c r="B12" s="6"/>
      <c r="C12" s="6"/>
      <c r="D12" s="90">
        <v>8.0</v>
      </c>
      <c r="E12" s="29"/>
      <c r="F12" s="29"/>
      <c r="G12" s="31"/>
      <c r="H12" s="131" t="s">
        <v>477</v>
      </c>
      <c r="I12" s="29"/>
      <c r="J12" s="29"/>
      <c r="K12" s="29"/>
      <c r="L12" s="29"/>
      <c r="M12" s="29"/>
      <c r="N12" s="29"/>
      <c r="O12" s="31"/>
      <c r="P12" s="132" t="s">
        <v>479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31"/>
      <c r="AU12" s="6"/>
    </row>
    <row r="13" ht="15.0" customHeight="1">
      <c r="A13" s="6"/>
      <c r="B13" s="6"/>
      <c r="C13" s="6"/>
      <c r="D13" s="134">
        <v>8.0</v>
      </c>
      <c r="E13" s="29"/>
      <c r="F13" s="29"/>
      <c r="G13" s="31"/>
      <c r="H13" s="135" t="s">
        <v>484</v>
      </c>
      <c r="I13" s="29"/>
      <c r="J13" s="29"/>
      <c r="K13" s="29"/>
      <c r="L13" s="29"/>
      <c r="M13" s="29"/>
      <c r="N13" s="29"/>
      <c r="O13" s="31"/>
      <c r="P13" s="136" t="s">
        <v>485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31"/>
      <c r="AU13" s="6"/>
    </row>
    <row r="14" ht="15.0" customHeight="1">
      <c r="A14" s="6"/>
      <c r="B14" s="6"/>
      <c r="C14" s="6"/>
      <c r="D14" s="90">
        <v>8.0</v>
      </c>
      <c r="E14" s="29"/>
      <c r="F14" s="29"/>
      <c r="G14" s="31"/>
      <c r="H14" s="131" t="s">
        <v>490</v>
      </c>
      <c r="I14" s="29"/>
      <c r="J14" s="29"/>
      <c r="K14" s="29"/>
      <c r="L14" s="29"/>
      <c r="M14" s="29"/>
      <c r="N14" s="29"/>
      <c r="O14" s="31"/>
      <c r="P14" s="132" t="s">
        <v>492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31"/>
      <c r="AU14" s="6"/>
    </row>
    <row r="15" ht="15.0" customHeight="1">
      <c r="A15" s="6"/>
      <c r="B15" s="6"/>
      <c r="C15" s="6"/>
      <c r="D15" s="134">
        <v>8.0</v>
      </c>
      <c r="E15" s="29"/>
      <c r="F15" s="29"/>
      <c r="G15" s="31"/>
      <c r="H15" s="135" t="s">
        <v>497</v>
      </c>
      <c r="I15" s="29"/>
      <c r="J15" s="29"/>
      <c r="K15" s="29"/>
      <c r="L15" s="29"/>
      <c r="M15" s="29"/>
      <c r="N15" s="29"/>
      <c r="O15" s="31"/>
      <c r="P15" s="136" t="s">
        <v>500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31"/>
      <c r="AU15" s="6"/>
    </row>
    <row r="16" ht="15.0" customHeight="1">
      <c r="A16" s="6"/>
      <c r="B16" s="6"/>
      <c r="C16" s="6"/>
      <c r="D16" s="90">
        <v>8.0</v>
      </c>
      <c r="E16" s="29"/>
      <c r="F16" s="29"/>
      <c r="G16" s="31"/>
      <c r="H16" s="131" t="s">
        <v>503</v>
      </c>
      <c r="I16" s="29"/>
      <c r="J16" s="29"/>
      <c r="K16" s="29"/>
      <c r="L16" s="29"/>
      <c r="M16" s="29"/>
      <c r="N16" s="29"/>
      <c r="O16" s="31"/>
      <c r="P16" s="132" t="s">
        <v>505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31"/>
      <c r="AU16" s="6"/>
    </row>
    <row r="17" ht="15.0" customHeight="1">
      <c r="A17" s="6"/>
      <c r="B17" s="6"/>
      <c r="C17" s="6"/>
      <c r="D17" s="134">
        <v>8.0</v>
      </c>
      <c r="E17" s="29"/>
      <c r="F17" s="29"/>
      <c r="G17" s="31"/>
      <c r="H17" s="135" t="s">
        <v>508</v>
      </c>
      <c r="I17" s="29"/>
      <c r="J17" s="29"/>
      <c r="K17" s="29"/>
      <c r="L17" s="29"/>
      <c r="M17" s="29"/>
      <c r="N17" s="29"/>
      <c r="O17" s="31"/>
      <c r="P17" s="136" t="s">
        <v>509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1"/>
      <c r="AU17" s="6"/>
    </row>
    <row r="18" ht="15.0" customHeight="1">
      <c r="A18" s="6"/>
      <c r="B18" s="6"/>
      <c r="C18" s="6"/>
      <c r="D18" s="90">
        <v>8.0</v>
      </c>
      <c r="E18" s="29"/>
      <c r="F18" s="29"/>
      <c r="G18" s="31"/>
      <c r="H18" s="131" t="s">
        <v>515</v>
      </c>
      <c r="I18" s="29"/>
      <c r="J18" s="29"/>
      <c r="K18" s="29"/>
      <c r="L18" s="29"/>
      <c r="M18" s="29"/>
      <c r="N18" s="29"/>
      <c r="O18" s="31"/>
      <c r="P18" s="132" t="s">
        <v>516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31"/>
      <c r="AU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</row>
    <row r="21" ht="15.0" customHeight="1">
      <c r="A21" s="6"/>
      <c r="B21" s="6"/>
      <c r="C21" s="6"/>
      <c r="D21" s="27" t="s">
        <v>520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31"/>
      <c r="U21" s="34" t="s">
        <v>522</v>
      </c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31"/>
      <c r="AU21" s="6"/>
    </row>
    <row r="22" ht="15.0" customHeight="1">
      <c r="A22" s="6"/>
      <c r="B22" s="6"/>
      <c r="C22" s="6"/>
      <c r="D22" s="63" t="s">
        <v>430</v>
      </c>
      <c r="E22" s="29"/>
      <c r="F22" s="29"/>
      <c r="G22" s="31"/>
      <c r="H22" s="37" t="s">
        <v>165</v>
      </c>
      <c r="I22" s="29"/>
      <c r="J22" s="29"/>
      <c r="K22" s="29"/>
      <c r="L22" s="29"/>
      <c r="M22" s="29"/>
      <c r="N22" s="29"/>
      <c r="O22" s="31"/>
      <c r="P22" s="37" t="s">
        <v>166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31"/>
      <c r="AU22" s="6"/>
    </row>
    <row r="23" ht="15.0" customHeight="1">
      <c r="A23" s="6"/>
      <c r="B23" s="6"/>
      <c r="C23" s="6"/>
      <c r="D23" s="90">
        <v>0.0</v>
      </c>
      <c r="E23" s="29"/>
      <c r="F23" s="29"/>
      <c r="G23" s="31"/>
      <c r="H23" s="131" t="s">
        <v>527</v>
      </c>
      <c r="I23" s="29"/>
      <c r="J23" s="29"/>
      <c r="K23" s="29"/>
      <c r="L23" s="29"/>
      <c r="M23" s="29"/>
      <c r="N23" s="29"/>
      <c r="O23" s="31"/>
      <c r="P23" s="132" t="s">
        <v>529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31"/>
      <c r="AU23" s="6"/>
    </row>
    <row r="24" ht="15.0" customHeight="1">
      <c r="A24" s="6"/>
      <c r="B24" s="6"/>
      <c r="C24" s="6"/>
      <c r="D24" s="134">
        <v>4.0</v>
      </c>
      <c r="E24" s="29"/>
      <c r="F24" s="29"/>
      <c r="G24" s="31"/>
      <c r="H24" s="135" t="s">
        <v>532</v>
      </c>
      <c r="I24" s="29"/>
      <c r="J24" s="29"/>
      <c r="K24" s="29"/>
      <c r="L24" s="29"/>
      <c r="M24" s="29"/>
      <c r="N24" s="29"/>
      <c r="O24" s="31"/>
      <c r="P24" s="136" t="s">
        <v>534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31"/>
      <c r="AU24" s="6"/>
    </row>
    <row r="25" ht="15.0" customHeight="1">
      <c r="A25" s="6"/>
      <c r="B25" s="6"/>
      <c r="C25" s="6"/>
      <c r="D25" s="90">
        <v>4.0</v>
      </c>
      <c r="E25" s="29"/>
      <c r="F25" s="29"/>
      <c r="G25" s="31"/>
      <c r="H25" s="131" t="s">
        <v>539</v>
      </c>
      <c r="I25" s="29"/>
      <c r="J25" s="29"/>
      <c r="K25" s="29"/>
      <c r="L25" s="29"/>
      <c r="M25" s="29"/>
      <c r="N25" s="29"/>
      <c r="O25" s="31"/>
      <c r="P25" s="132" t="s">
        <v>541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31"/>
      <c r="AU25" s="6"/>
    </row>
    <row r="26" ht="15.0" customHeight="1">
      <c r="A26" s="6"/>
      <c r="B26" s="6"/>
      <c r="C26" s="6"/>
      <c r="D26" s="134">
        <v>4.0</v>
      </c>
      <c r="E26" s="29"/>
      <c r="F26" s="29"/>
      <c r="G26" s="31"/>
      <c r="H26" s="135" t="s">
        <v>545</v>
      </c>
      <c r="I26" s="29"/>
      <c r="J26" s="29"/>
      <c r="K26" s="29"/>
      <c r="L26" s="29"/>
      <c r="M26" s="29"/>
      <c r="N26" s="29"/>
      <c r="O26" s="31"/>
      <c r="P26" s="136" t="s">
        <v>547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31"/>
      <c r="AU26" s="6"/>
    </row>
    <row r="27" ht="15.0" customHeight="1">
      <c r="A27" s="6"/>
      <c r="B27" s="6"/>
      <c r="C27" s="6"/>
      <c r="D27" s="90">
        <v>4.0</v>
      </c>
      <c r="E27" s="29"/>
      <c r="F27" s="29"/>
      <c r="G27" s="31"/>
      <c r="H27" s="131" t="s">
        <v>550</v>
      </c>
      <c r="I27" s="29"/>
      <c r="J27" s="29"/>
      <c r="K27" s="29"/>
      <c r="L27" s="29"/>
      <c r="M27" s="29"/>
      <c r="N27" s="29"/>
      <c r="O27" s="31"/>
      <c r="P27" s="132" t="s">
        <v>551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31"/>
      <c r="AU27" s="6"/>
    </row>
    <row r="28" ht="15.0" customHeight="1">
      <c r="A28" s="6"/>
      <c r="B28" s="6"/>
      <c r="C28" s="6"/>
      <c r="D28" s="134">
        <v>8.0</v>
      </c>
      <c r="E28" s="29"/>
      <c r="F28" s="29"/>
      <c r="G28" s="31"/>
      <c r="H28" s="135" t="s">
        <v>553</v>
      </c>
      <c r="I28" s="29"/>
      <c r="J28" s="29"/>
      <c r="K28" s="29"/>
      <c r="L28" s="29"/>
      <c r="M28" s="29"/>
      <c r="N28" s="29"/>
      <c r="O28" s="31"/>
      <c r="P28" s="136" t="s">
        <v>555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31"/>
      <c r="AU28" s="6"/>
    </row>
    <row r="29" ht="15.0" customHeight="1">
      <c r="A29" s="6"/>
      <c r="B29" s="6"/>
      <c r="C29" s="6"/>
      <c r="D29" s="90">
        <v>8.0</v>
      </c>
      <c r="E29" s="29"/>
      <c r="F29" s="29"/>
      <c r="G29" s="31"/>
      <c r="H29" s="131" t="s">
        <v>558</v>
      </c>
      <c r="I29" s="29"/>
      <c r="J29" s="29"/>
      <c r="K29" s="29"/>
      <c r="L29" s="29"/>
      <c r="M29" s="29"/>
      <c r="N29" s="29"/>
      <c r="O29" s="31"/>
      <c r="P29" s="132" t="s">
        <v>559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31"/>
      <c r="AU29" s="6"/>
    </row>
    <row r="30" ht="15.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ht="15.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ht="15.0" customHeight="1">
      <c r="A32" s="6"/>
      <c r="B32" s="6"/>
      <c r="C32" s="6"/>
      <c r="D32" s="27" t="s">
        <v>563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31"/>
      <c r="U32" s="34" t="s">
        <v>564</v>
      </c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31"/>
      <c r="AU32" s="6"/>
    </row>
    <row r="33" ht="15.0" customHeight="1">
      <c r="A33" s="6"/>
      <c r="B33" s="6"/>
      <c r="C33" s="6"/>
      <c r="D33" s="37" t="s">
        <v>565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31"/>
      <c r="AU33" s="6"/>
    </row>
    <row r="34" ht="15.0" customHeight="1">
      <c r="A34" s="6"/>
      <c r="B34" s="6"/>
      <c r="C34" s="6"/>
      <c r="D34" s="90">
        <v>2.0</v>
      </c>
      <c r="E34" s="29"/>
      <c r="F34" s="29"/>
      <c r="G34" s="31"/>
      <c r="H34" s="132" t="s">
        <v>569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31"/>
      <c r="AU34" s="6"/>
    </row>
    <row r="35" ht="15.0" customHeight="1">
      <c r="A35" s="6"/>
      <c r="B35" s="6"/>
      <c r="C35" s="6"/>
      <c r="D35" s="134">
        <v>3.0</v>
      </c>
      <c r="E35" s="29"/>
      <c r="F35" s="29"/>
      <c r="G35" s="31"/>
      <c r="H35" s="136" t="s">
        <v>571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31"/>
      <c r="AU35" s="6"/>
    </row>
    <row r="36" ht="15.0" customHeight="1">
      <c r="A36" s="6"/>
      <c r="B36" s="6"/>
      <c r="C36" s="6"/>
      <c r="D36" s="90">
        <v>5.0</v>
      </c>
      <c r="E36" s="29"/>
      <c r="F36" s="29"/>
      <c r="G36" s="31"/>
      <c r="H36" s="132" t="s">
        <v>576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31"/>
      <c r="AU36" s="6"/>
    </row>
    <row r="37" ht="15.0" customHeight="1">
      <c r="A37" s="6"/>
      <c r="B37" s="6"/>
      <c r="C37" s="6"/>
      <c r="D37" s="134">
        <v>7.0</v>
      </c>
      <c r="E37" s="29"/>
      <c r="F37" s="29"/>
      <c r="G37" s="31"/>
      <c r="H37" s="136" t="s">
        <v>581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31"/>
      <c r="AU37" s="6"/>
    </row>
    <row r="38" ht="15.0" customHeight="1">
      <c r="A38" s="6"/>
      <c r="B38" s="6"/>
      <c r="C38" s="6"/>
      <c r="D38" s="90">
        <v>8.0</v>
      </c>
      <c r="E38" s="29"/>
      <c r="F38" s="29"/>
      <c r="G38" s="31"/>
      <c r="H38" s="132" t="s">
        <v>582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31"/>
      <c r="AU38" s="6"/>
    </row>
    <row r="39" ht="15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</row>
    <row r="40" ht="15.0" customHeight="1">
      <c r="A40" s="6"/>
      <c r="B40" s="6"/>
      <c r="C40" s="6"/>
      <c r="D40" s="37" t="s">
        <v>583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31"/>
      <c r="AU40" s="6"/>
    </row>
    <row r="41" ht="15.0" customHeight="1">
      <c r="A41" s="6"/>
      <c r="B41" s="6"/>
      <c r="C41" s="6"/>
      <c r="D41" s="90">
        <v>0.0</v>
      </c>
      <c r="E41" s="29"/>
      <c r="F41" s="29"/>
      <c r="G41" s="31"/>
      <c r="H41" s="132" t="s">
        <v>585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31"/>
      <c r="AU41" s="6"/>
    </row>
    <row r="42" ht="15.0" customHeight="1">
      <c r="A42" s="6"/>
      <c r="B42" s="6"/>
      <c r="C42" s="6"/>
      <c r="D42" s="134">
        <v>4.0</v>
      </c>
      <c r="E42" s="29"/>
      <c r="F42" s="29"/>
      <c r="G42" s="31"/>
      <c r="H42" s="136" t="s">
        <v>590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31"/>
      <c r="AU42" s="6"/>
    </row>
    <row r="43" ht="15.0" customHeight="1">
      <c r="A43" s="6"/>
      <c r="B43" s="6"/>
      <c r="C43" s="6"/>
      <c r="D43" s="90">
        <v>8.0</v>
      </c>
      <c r="E43" s="29"/>
      <c r="F43" s="29"/>
      <c r="G43" s="31"/>
      <c r="H43" s="132" t="s">
        <v>592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31"/>
      <c r="AU43" s="6"/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ht="15.0" customHeight="1">
      <c r="A45" s="6"/>
      <c r="B45" s="6"/>
      <c r="C45" s="6"/>
      <c r="D45" s="154" t="s">
        <v>595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31"/>
      <c r="AU45" s="6"/>
    </row>
    <row r="46" ht="15.0" customHeight="1">
      <c r="A46" s="6"/>
      <c r="B46" s="6"/>
      <c r="C46" s="6"/>
      <c r="D46" s="131" t="s">
        <v>609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31"/>
      <c r="R46" s="158" t="s">
        <v>612</v>
      </c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31"/>
      <c r="AU46" s="6"/>
    </row>
    <row r="47" ht="15.0" customHeight="1">
      <c r="A47" s="6"/>
      <c r="B47" s="6"/>
      <c r="C47" s="6"/>
      <c r="D47" s="135" t="s">
        <v>627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31"/>
      <c r="R47" s="161" t="s">
        <v>635</v>
      </c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31"/>
      <c r="AU47" s="6"/>
    </row>
    <row r="48" ht="15.0" customHeight="1">
      <c r="A48" s="6"/>
      <c r="B48" s="6"/>
      <c r="C48" s="6"/>
      <c r="D48" s="131" t="s">
        <v>640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31"/>
      <c r="R48" s="158" t="s">
        <v>641</v>
      </c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31"/>
      <c r="AU48" s="6"/>
    </row>
    <row r="49" ht="15.0" customHeight="1">
      <c r="A49" s="6"/>
      <c r="B49" s="6"/>
      <c r="C49" s="6"/>
      <c r="D49" s="135" t="s">
        <v>646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31"/>
      <c r="R49" s="161" t="s">
        <v>649</v>
      </c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31"/>
      <c r="AU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ht="15.0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ht="15.0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</row>
    <row r="58" ht="15.0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</row>
    <row r="59" ht="15.0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ht="15.0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ht="15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ht="15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ht="15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ht="15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</sheetData>
  <mergeCells count="101">
    <mergeCell ref="D1:AD2"/>
    <mergeCell ref="AF1:AT2"/>
    <mergeCell ref="D4:T4"/>
    <mergeCell ref="U4:AT4"/>
    <mergeCell ref="D5:G5"/>
    <mergeCell ref="H5:O5"/>
    <mergeCell ref="P5:AT5"/>
    <mergeCell ref="H8:O8"/>
    <mergeCell ref="P8:AT8"/>
    <mergeCell ref="D6:G6"/>
    <mergeCell ref="H6:O6"/>
    <mergeCell ref="P6:AT6"/>
    <mergeCell ref="D7:G7"/>
    <mergeCell ref="H7:O7"/>
    <mergeCell ref="P7:AT7"/>
    <mergeCell ref="D8:G8"/>
    <mergeCell ref="H11:O11"/>
    <mergeCell ref="P11:AT11"/>
    <mergeCell ref="D9:G9"/>
    <mergeCell ref="H9:O9"/>
    <mergeCell ref="P9:AT9"/>
    <mergeCell ref="D10:G10"/>
    <mergeCell ref="H10:O10"/>
    <mergeCell ref="P10:AT10"/>
    <mergeCell ref="D11:G11"/>
    <mergeCell ref="H14:O14"/>
    <mergeCell ref="P14:AT14"/>
    <mergeCell ref="D12:G12"/>
    <mergeCell ref="H12:O12"/>
    <mergeCell ref="P12:AT12"/>
    <mergeCell ref="D13:G13"/>
    <mergeCell ref="H13:O13"/>
    <mergeCell ref="P13:AT13"/>
    <mergeCell ref="D14:G14"/>
    <mergeCell ref="D28:G28"/>
    <mergeCell ref="H28:O28"/>
    <mergeCell ref="P28:AT28"/>
    <mergeCell ref="D29:G29"/>
    <mergeCell ref="H29:O29"/>
    <mergeCell ref="P29:AT29"/>
    <mergeCell ref="D32:T32"/>
    <mergeCell ref="D36:G36"/>
    <mergeCell ref="D37:G37"/>
    <mergeCell ref="D38:G38"/>
    <mergeCell ref="D41:G41"/>
    <mergeCell ref="D42:G42"/>
    <mergeCell ref="D43:G43"/>
    <mergeCell ref="U32:AT32"/>
    <mergeCell ref="D33:AT33"/>
    <mergeCell ref="D34:G34"/>
    <mergeCell ref="H34:AT34"/>
    <mergeCell ref="D35:G35"/>
    <mergeCell ref="H35:AT35"/>
    <mergeCell ref="H36:AT36"/>
    <mergeCell ref="D46:Q46"/>
    <mergeCell ref="R46:AT46"/>
    <mergeCell ref="D47:Q47"/>
    <mergeCell ref="R47:AT47"/>
    <mergeCell ref="D48:Q48"/>
    <mergeCell ref="R48:AT48"/>
    <mergeCell ref="D49:Q49"/>
    <mergeCell ref="R49:AT49"/>
    <mergeCell ref="H37:AT37"/>
    <mergeCell ref="H38:AT38"/>
    <mergeCell ref="D40:AT40"/>
    <mergeCell ref="H41:AT41"/>
    <mergeCell ref="H42:AT42"/>
    <mergeCell ref="H43:AT43"/>
    <mergeCell ref="D45:AT45"/>
    <mergeCell ref="H17:O17"/>
    <mergeCell ref="P17:AT17"/>
    <mergeCell ref="D15:G15"/>
    <mergeCell ref="H15:O15"/>
    <mergeCell ref="P15:AT15"/>
    <mergeCell ref="D16:G16"/>
    <mergeCell ref="H16:O16"/>
    <mergeCell ref="P16:AT16"/>
    <mergeCell ref="D17:G17"/>
    <mergeCell ref="P23:AT23"/>
    <mergeCell ref="P24:AT24"/>
    <mergeCell ref="P25:AT25"/>
    <mergeCell ref="D18:G18"/>
    <mergeCell ref="H18:O18"/>
    <mergeCell ref="P18:AT18"/>
    <mergeCell ref="D21:T21"/>
    <mergeCell ref="U21:AT21"/>
    <mergeCell ref="H22:O22"/>
    <mergeCell ref="P22:AT22"/>
    <mergeCell ref="D26:G26"/>
    <mergeCell ref="H26:O26"/>
    <mergeCell ref="P26:AT26"/>
    <mergeCell ref="D27:G27"/>
    <mergeCell ref="H27:O27"/>
    <mergeCell ref="P27:AT27"/>
    <mergeCell ref="D22:G22"/>
    <mergeCell ref="D23:G23"/>
    <mergeCell ref="H23:O23"/>
    <mergeCell ref="D24:G24"/>
    <mergeCell ref="H24:O24"/>
    <mergeCell ref="D25:G25"/>
    <mergeCell ref="H25:O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9" width="27.5"/>
    <col customWidth="1" min="10" max="10" width="10.63"/>
    <col customWidth="1" min="11" max="12" width="20.0"/>
    <col customWidth="1" min="13" max="13" width="10.63"/>
    <col customWidth="1" min="14" max="18" width="20.0"/>
    <col customWidth="1" min="19" max="19" width="10.63"/>
    <col customWidth="1" min="20" max="21" width="20.0"/>
    <col customWidth="1" min="22" max="22" width="10.63"/>
    <col customWidth="1" min="23" max="24" width="20.0"/>
    <col customWidth="1" min="25" max="25" width="10.63"/>
    <col customWidth="1" min="26" max="28" width="20.0"/>
    <col customWidth="1" min="29" max="29" width="10.63"/>
    <col customWidth="1" min="30" max="31" width="20.0"/>
    <col customWidth="1" min="32" max="32" width="10.63"/>
    <col customWidth="1" min="33" max="35" width="12.5"/>
    <col customWidth="1" min="36" max="36" width="10.63"/>
    <col customWidth="1" min="37" max="37" width="12.5"/>
    <col customWidth="1" min="38" max="38" width="10.63"/>
    <col customWidth="1" min="39" max="39" width="27.5"/>
    <col customWidth="1" min="40" max="50" width="15.0"/>
  </cols>
  <sheetData>
    <row r="1">
      <c r="A1" s="2" t="s">
        <v>593</v>
      </c>
      <c r="B1" s="2" t="s">
        <v>594</v>
      </c>
      <c r="C1" s="2" t="s">
        <v>596</v>
      </c>
      <c r="D1" s="2" t="s">
        <v>597</v>
      </c>
      <c r="E1" s="2" t="s">
        <v>598</v>
      </c>
      <c r="F1" s="2" t="s">
        <v>599</v>
      </c>
      <c r="G1" s="2" t="s">
        <v>600</v>
      </c>
      <c r="H1" s="2" t="s">
        <v>601</v>
      </c>
      <c r="I1" s="2" t="s">
        <v>602</v>
      </c>
      <c r="J1" s="6"/>
      <c r="K1" s="2" t="s">
        <v>603</v>
      </c>
      <c r="L1" s="6"/>
      <c r="M1" s="6"/>
      <c r="N1" s="2" t="s">
        <v>604</v>
      </c>
      <c r="O1" s="6"/>
      <c r="P1" s="6"/>
      <c r="Q1" s="6"/>
      <c r="R1" s="6"/>
      <c r="S1" s="6"/>
      <c r="T1" s="2" t="s">
        <v>605</v>
      </c>
      <c r="U1" s="6"/>
      <c r="V1" s="6"/>
      <c r="W1" s="2" t="s">
        <v>607</v>
      </c>
      <c r="X1" s="6"/>
      <c r="Y1" s="6"/>
      <c r="Z1" s="2" t="s">
        <v>608</v>
      </c>
      <c r="AA1" s="6"/>
      <c r="AB1" s="6"/>
      <c r="AC1" s="6"/>
      <c r="AD1" s="2" t="s">
        <v>610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157" t="s">
        <v>613</v>
      </c>
      <c r="AQ1" s="153"/>
      <c r="AR1" s="153"/>
      <c r="AS1" s="157" t="s">
        <v>616</v>
      </c>
      <c r="AT1" s="153"/>
      <c r="AU1" s="157" t="s">
        <v>613</v>
      </c>
      <c r="AV1" s="153"/>
      <c r="AW1" s="153"/>
      <c r="AX1" s="157" t="s">
        <v>616</v>
      </c>
    </row>
    <row r="2">
      <c r="A2" s="19" t="s">
        <v>617</v>
      </c>
      <c r="B2" s="19" t="s">
        <v>262</v>
      </c>
      <c r="C2" s="19" t="s">
        <v>32</v>
      </c>
      <c r="D2" s="19" t="s">
        <v>31</v>
      </c>
      <c r="E2" s="19" t="s">
        <v>80</v>
      </c>
      <c r="F2" s="19" t="s">
        <v>133</v>
      </c>
      <c r="G2" s="19" t="s">
        <v>32</v>
      </c>
      <c r="H2" s="19" t="s">
        <v>80</v>
      </c>
      <c r="I2" s="19" t="s">
        <v>80</v>
      </c>
      <c r="J2" s="6"/>
      <c r="K2" s="4" t="s">
        <v>618</v>
      </c>
      <c r="L2" s="4" t="s">
        <v>619</v>
      </c>
      <c r="M2" s="6"/>
      <c r="N2" s="4" t="s">
        <v>131</v>
      </c>
      <c r="O2" s="4" t="s">
        <v>620</v>
      </c>
      <c r="P2" s="4" t="s">
        <v>621</v>
      </c>
      <c r="Q2" s="4" t="s">
        <v>622</v>
      </c>
      <c r="R2" s="4" t="s">
        <v>623</v>
      </c>
      <c r="S2" s="6"/>
      <c r="T2" s="4" t="s">
        <v>624</v>
      </c>
      <c r="U2" s="4" t="s">
        <v>625</v>
      </c>
      <c r="V2" s="6"/>
      <c r="W2" s="4" t="s">
        <v>602</v>
      </c>
      <c r="X2" s="4" t="s">
        <v>625</v>
      </c>
      <c r="Y2" s="6"/>
      <c r="Z2" s="4" t="s">
        <v>626</v>
      </c>
      <c r="AA2" s="4" t="s">
        <v>628</v>
      </c>
      <c r="AB2" s="4" t="s">
        <v>629</v>
      </c>
      <c r="AC2" s="6"/>
      <c r="AD2" s="4" t="s">
        <v>630</v>
      </c>
      <c r="AE2" s="4" t="s">
        <v>49</v>
      </c>
      <c r="AF2" s="6"/>
      <c r="AG2" s="4" t="s">
        <v>631</v>
      </c>
      <c r="AH2" s="4" t="s">
        <v>632</v>
      </c>
      <c r="AI2" s="4" t="s">
        <v>633</v>
      </c>
      <c r="AJ2" s="6"/>
      <c r="AK2" s="4" t="s">
        <v>634</v>
      </c>
      <c r="AL2" s="6"/>
      <c r="AM2" s="4" t="s">
        <v>62</v>
      </c>
      <c r="AN2" s="4" t="s">
        <v>63</v>
      </c>
      <c r="AO2" s="130"/>
      <c r="AP2" s="4" t="s">
        <v>80</v>
      </c>
      <c r="AQ2" s="130"/>
      <c r="AR2" s="130"/>
      <c r="AS2" s="4" t="s">
        <v>80</v>
      </c>
      <c r="AT2" s="130"/>
      <c r="AU2" s="4" t="s">
        <v>80</v>
      </c>
      <c r="AV2" s="130"/>
      <c r="AW2" s="130"/>
      <c r="AX2" s="4" t="s">
        <v>80</v>
      </c>
    </row>
    <row r="3">
      <c r="A3" s="19" t="s">
        <v>636</v>
      </c>
      <c r="B3" s="19" t="s">
        <v>275</v>
      </c>
      <c r="C3" s="19" t="s">
        <v>74</v>
      </c>
      <c r="D3" s="19" t="s">
        <v>73</v>
      </c>
      <c r="E3" s="19" t="s">
        <v>471</v>
      </c>
      <c r="F3" s="19" t="s">
        <v>119</v>
      </c>
      <c r="G3" s="19" t="s">
        <v>74</v>
      </c>
      <c r="H3" s="19" t="s">
        <v>435</v>
      </c>
      <c r="I3" s="19" t="s">
        <v>527</v>
      </c>
      <c r="J3" s="6"/>
      <c r="K3" s="19" t="s">
        <v>617</v>
      </c>
      <c r="L3" s="30">
        <v>1.0</v>
      </c>
      <c r="M3" s="6"/>
      <c r="N3" s="19" t="s">
        <v>262</v>
      </c>
      <c r="O3" s="30">
        <v>1.0</v>
      </c>
      <c r="P3" s="30">
        <v>1.5</v>
      </c>
      <c r="Q3" s="19" t="s">
        <v>637</v>
      </c>
      <c r="R3" s="30">
        <v>1.0</v>
      </c>
      <c r="S3" s="6"/>
      <c r="T3" s="19" t="s">
        <v>80</v>
      </c>
      <c r="U3" s="30">
        <v>0.0</v>
      </c>
      <c r="V3" s="6"/>
      <c r="W3" s="19" t="s">
        <v>80</v>
      </c>
      <c r="X3" s="30">
        <v>0.0</v>
      </c>
      <c r="Y3" s="6"/>
      <c r="Z3" s="30">
        <v>2.0</v>
      </c>
      <c r="AA3" s="19" t="s">
        <v>639</v>
      </c>
      <c r="AB3" s="163" t="s">
        <v>441</v>
      </c>
      <c r="AC3" s="6"/>
      <c r="AD3" s="19" t="s">
        <v>31</v>
      </c>
      <c r="AE3" s="19" t="s">
        <v>32</v>
      </c>
      <c r="AF3" s="6"/>
      <c r="AG3" s="30">
        <v>6.0</v>
      </c>
      <c r="AH3" s="30">
        <v>10.0</v>
      </c>
      <c r="AI3" s="30">
        <v>1.0</v>
      </c>
      <c r="AJ3" s="6"/>
      <c r="AK3" s="6">
        <f>'INVOCAÇÃO'!$D$30</f>
        <v>0</v>
      </c>
      <c r="AL3" s="6"/>
      <c r="AM3" s="19" t="s">
        <v>169</v>
      </c>
      <c r="AN3" s="19" t="s">
        <v>642</v>
      </c>
      <c r="AO3" s="6"/>
      <c r="AP3" s="30">
        <v>2.0</v>
      </c>
      <c r="AQ3" s="6"/>
      <c r="AR3" s="6"/>
      <c r="AS3" s="30">
        <v>0.0</v>
      </c>
      <c r="AT3" s="6"/>
      <c r="AU3" s="30">
        <v>2.0</v>
      </c>
      <c r="AV3" s="6"/>
      <c r="AW3" s="6"/>
      <c r="AX3" s="30">
        <v>0.0</v>
      </c>
    </row>
    <row r="4">
      <c r="A4" s="19" t="s">
        <v>643</v>
      </c>
      <c r="B4" s="19" t="s">
        <v>287</v>
      </c>
      <c r="C4" s="19" t="s">
        <v>101</v>
      </c>
      <c r="D4" s="19" t="s">
        <v>100</v>
      </c>
      <c r="E4" s="19" t="s">
        <v>644</v>
      </c>
      <c r="F4" s="6"/>
      <c r="G4" s="6"/>
      <c r="H4" s="19" t="s">
        <v>449</v>
      </c>
      <c r="I4" s="19" t="s">
        <v>532</v>
      </c>
      <c r="J4" s="6"/>
      <c r="K4" s="19" t="s">
        <v>636</v>
      </c>
      <c r="L4" s="30">
        <v>1.0</v>
      </c>
      <c r="M4" s="6"/>
      <c r="N4" s="19" t="s">
        <v>275</v>
      </c>
      <c r="O4" s="30">
        <v>5.0</v>
      </c>
      <c r="P4" s="30">
        <v>1.0</v>
      </c>
      <c r="Q4" s="19" t="s">
        <v>637</v>
      </c>
      <c r="R4" s="30">
        <v>1.5</v>
      </c>
      <c r="S4" s="6"/>
      <c r="T4" s="19" t="s">
        <v>435</v>
      </c>
      <c r="U4" s="30">
        <v>2.0</v>
      </c>
      <c r="V4" s="6"/>
      <c r="W4" s="19" t="s">
        <v>527</v>
      </c>
      <c r="X4" s="30">
        <v>0.0</v>
      </c>
      <c r="Y4" s="6"/>
      <c r="Z4" s="30">
        <v>5.0</v>
      </c>
      <c r="AA4" s="19" t="s">
        <v>645</v>
      </c>
      <c r="AB4" s="19" t="s">
        <v>639</v>
      </c>
      <c r="AC4" s="6"/>
      <c r="AD4" s="19" t="s">
        <v>73</v>
      </c>
      <c r="AE4" s="19" t="s">
        <v>101</v>
      </c>
      <c r="AF4" s="6"/>
      <c r="AG4" s="30">
        <v>10.0</v>
      </c>
      <c r="AH4" s="30">
        <v>18.0</v>
      </c>
      <c r="AI4" s="30">
        <v>5.0</v>
      </c>
      <c r="AJ4" s="6"/>
      <c r="AK4" s="6">
        <f>'INVOCAÇÃO'!$L$30</f>
        <v>0</v>
      </c>
      <c r="AL4" s="6"/>
      <c r="AM4" s="19" t="s">
        <v>647</v>
      </c>
      <c r="AN4" s="19" t="s">
        <v>648</v>
      </c>
      <c r="AO4" s="6"/>
      <c r="AP4" s="30">
        <v>3.0</v>
      </c>
      <c r="AQ4" s="6"/>
      <c r="AR4" s="6"/>
      <c r="AS4" s="30">
        <v>4.0</v>
      </c>
      <c r="AT4" s="6"/>
      <c r="AU4" s="30">
        <v>3.0</v>
      </c>
      <c r="AV4" s="6"/>
      <c r="AW4" s="6"/>
      <c r="AX4" s="30">
        <v>4.0</v>
      </c>
    </row>
    <row r="5">
      <c r="A5" s="19" t="s">
        <v>650</v>
      </c>
      <c r="B5" s="6"/>
      <c r="C5" s="19" t="s">
        <v>119</v>
      </c>
      <c r="D5" s="19" t="s">
        <v>118</v>
      </c>
      <c r="E5" s="19" t="s">
        <v>651</v>
      </c>
      <c r="F5" s="6"/>
      <c r="G5" s="6"/>
      <c r="H5" s="19" t="s">
        <v>455</v>
      </c>
      <c r="I5" s="19" t="s">
        <v>539</v>
      </c>
      <c r="J5" s="6"/>
      <c r="K5" s="19" t="s">
        <v>643</v>
      </c>
      <c r="L5" s="30">
        <v>2.0</v>
      </c>
      <c r="M5" s="6"/>
      <c r="N5" s="19" t="s">
        <v>287</v>
      </c>
      <c r="O5" s="30">
        <v>1.0</v>
      </c>
      <c r="P5" s="30">
        <v>1.0</v>
      </c>
      <c r="Q5" s="19" t="s">
        <v>652</v>
      </c>
      <c r="R5" s="30">
        <v>1.0</v>
      </c>
      <c r="S5" s="6"/>
      <c r="T5" s="19" t="s">
        <v>449</v>
      </c>
      <c r="U5" s="30">
        <v>2.0</v>
      </c>
      <c r="V5" s="6"/>
      <c r="W5" s="19" t="s">
        <v>532</v>
      </c>
      <c r="X5" s="30">
        <v>4.0</v>
      </c>
      <c r="Y5" s="6"/>
      <c r="Z5" s="30">
        <v>9.0</v>
      </c>
      <c r="AA5" s="19" t="s">
        <v>653</v>
      </c>
      <c r="AB5" s="19" t="s">
        <v>654</v>
      </c>
      <c r="AC5" s="6"/>
      <c r="AD5" s="19" t="s">
        <v>100</v>
      </c>
      <c r="AE5" s="19" t="s">
        <v>119</v>
      </c>
      <c r="AF5" s="6"/>
      <c r="AG5" s="30">
        <v>14.0</v>
      </c>
      <c r="AH5" s="30">
        <v>26.0</v>
      </c>
      <c r="AI5" s="30">
        <v>9.0</v>
      </c>
      <c r="AJ5" s="6"/>
      <c r="AK5" s="6">
        <f>'INVOCAÇÃO'!$T$30</f>
        <v>0</v>
      </c>
      <c r="AL5" s="6"/>
      <c r="AM5" s="19" t="s">
        <v>656</v>
      </c>
      <c r="AN5" s="19" t="s">
        <v>657</v>
      </c>
      <c r="AO5" s="6"/>
      <c r="AP5" s="30">
        <v>5.0</v>
      </c>
      <c r="AQ5" s="6"/>
      <c r="AR5" s="6"/>
      <c r="AS5" s="30">
        <v>8.0</v>
      </c>
      <c r="AT5" s="6"/>
      <c r="AU5" s="30">
        <v>5.0</v>
      </c>
      <c r="AV5" s="6"/>
      <c r="AW5" s="6"/>
      <c r="AX5" s="30">
        <v>8.0</v>
      </c>
    </row>
    <row r="6">
      <c r="A6" s="6"/>
      <c r="B6" s="6"/>
      <c r="C6" s="19" t="s">
        <v>133</v>
      </c>
      <c r="D6" s="6"/>
      <c r="E6" s="6"/>
      <c r="F6" s="6"/>
      <c r="G6" s="6"/>
      <c r="H6" s="19" t="s">
        <v>461</v>
      </c>
      <c r="I6" s="19" t="s">
        <v>545</v>
      </c>
      <c r="J6" s="6"/>
      <c r="K6" s="19" t="s">
        <v>650</v>
      </c>
      <c r="L6" s="30">
        <v>3.0</v>
      </c>
      <c r="M6" s="6"/>
      <c r="N6" s="6"/>
      <c r="O6" s="6"/>
      <c r="P6" s="6"/>
      <c r="Q6" s="6"/>
      <c r="R6" s="6"/>
      <c r="S6" s="6"/>
      <c r="T6" s="19" t="s">
        <v>455</v>
      </c>
      <c r="U6" s="30">
        <v>3.0</v>
      </c>
      <c r="V6" s="6"/>
      <c r="W6" s="19" t="s">
        <v>539</v>
      </c>
      <c r="X6" s="30">
        <v>4.0</v>
      </c>
      <c r="Y6" s="6"/>
      <c r="Z6" s="30">
        <v>13.0</v>
      </c>
      <c r="AA6" s="19" t="s">
        <v>659</v>
      </c>
      <c r="AB6" s="19" t="s">
        <v>660</v>
      </c>
      <c r="AC6" s="6"/>
      <c r="AD6" s="19" t="s">
        <v>118</v>
      </c>
      <c r="AE6" s="19" t="s">
        <v>133</v>
      </c>
      <c r="AF6" s="6"/>
      <c r="AG6" s="30">
        <v>18.0</v>
      </c>
      <c r="AH6" s="6"/>
      <c r="AI6" s="30">
        <v>13.0</v>
      </c>
      <c r="AJ6" s="6"/>
      <c r="AK6" s="6">
        <f>'INVOCAÇÃO'!$AB$30</f>
        <v>0</v>
      </c>
      <c r="AL6" s="6"/>
      <c r="AM6" s="19" t="s">
        <v>45</v>
      </c>
      <c r="AN6" s="19" t="s">
        <v>661</v>
      </c>
      <c r="AO6" s="6"/>
      <c r="AP6" s="30">
        <v>7.0</v>
      </c>
      <c r="AQ6" s="6"/>
      <c r="AR6" s="6"/>
      <c r="AS6" s="6"/>
      <c r="AT6" s="6"/>
      <c r="AU6" s="30">
        <v>7.0</v>
      </c>
      <c r="AV6" s="6"/>
      <c r="AW6" s="6"/>
      <c r="AX6" s="6"/>
    </row>
    <row r="7">
      <c r="A7" s="6"/>
      <c r="B7" s="6"/>
      <c r="C7" s="6"/>
      <c r="D7" s="6"/>
      <c r="E7" s="6"/>
      <c r="F7" s="6"/>
      <c r="G7" s="6"/>
      <c r="H7" s="19" t="s">
        <v>466</v>
      </c>
      <c r="I7" s="19" t="s">
        <v>550</v>
      </c>
      <c r="J7" s="6"/>
      <c r="K7" s="6"/>
      <c r="L7" s="6"/>
      <c r="M7" s="6"/>
      <c r="N7" s="6"/>
      <c r="O7" s="6"/>
      <c r="P7" s="6"/>
      <c r="Q7" s="6"/>
      <c r="R7" s="6"/>
      <c r="S7" s="6"/>
      <c r="T7" s="19" t="s">
        <v>461</v>
      </c>
      <c r="U7" s="30">
        <v>5.0</v>
      </c>
      <c r="V7" s="6"/>
      <c r="W7" s="19" t="s">
        <v>545</v>
      </c>
      <c r="X7" s="30">
        <v>4.0</v>
      </c>
      <c r="Y7" s="6"/>
      <c r="Z7" s="30">
        <v>17.0</v>
      </c>
      <c r="AA7" s="19" t="s">
        <v>662</v>
      </c>
      <c r="AB7" s="19" t="s">
        <v>645</v>
      </c>
      <c r="AC7" s="6"/>
      <c r="AD7" s="6"/>
      <c r="AE7" s="6"/>
      <c r="AF7" s="6"/>
      <c r="AG7" s="30">
        <v>22.0</v>
      </c>
      <c r="AH7" s="6"/>
      <c r="AI7" s="30">
        <v>17.0</v>
      </c>
      <c r="AJ7" s="6"/>
      <c r="AK7" s="6">
        <f>'INVOCAÇÃO'!$AJ$30</f>
        <v>0</v>
      </c>
      <c r="AL7" s="6"/>
      <c r="AM7" s="19" t="s">
        <v>44</v>
      </c>
      <c r="AN7" s="19" t="s">
        <v>663</v>
      </c>
      <c r="AO7" s="6"/>
      <c r="AP7" s="30">
        <v>8.0</v>
      </c>
      <c r="AQ7" s="6"/>
      <c r="AR7" s="6"/>
      <c r="AS7" s="6"/>
      <c r="AT7" s="6"/>
      <c r="AU7" s="30">
        <v>8.0</v>
      </c>
      <c r="AV7" s="6"/>
      <c r="AW7" s="6"/>
      <c r="AX7" s="6"/>
    </row>
    <row r="8">
      <c r="A8" s="6"/>
      <c r="B8" s="6"/>
      <c r="C8" s="6"/>
      <c r="D8" s="6"/>
      <c r="E8" s="6"/>
      <c r="F8" s="6"/>
      <c r="G8" s="6"/>
      <c r="H8" s="19" t="s">
        <v>472</v>
      </c>
      <c r="I8" s="19" t="s">
        <v>553</v>
      </c>
      <c r="J8" s="6"/>
      <c r="K8" s="6"/>
      <c r="L8" s="6"/>
      <c r="M8" s="6"/>
      <c r="N8" s="6"/>
      <c r="O8" s="6"/>
      <c r="P8" s="6"/>
      <c r="Q8" s="6"/>
      <c r="R8" s="6"/>
      <c r="S8" s="6"/>
      <c r="T8" s="19" t="s">
        <v>466</v>
      </c>
      <c r="U8" s="30">
        <v>5.0</v>
      </c>
      <c r="V8" s="6"/>
      <c r="W8" s="19" t="s">
        <v>550</v>
      </c>
      <c r="X8" s="30">
        <v>4.0</v>
      </c>
      <c r="Y8" s="6"/>
      <c r="Z8" s="30">
        <v>21.0</v>
      </c>
      <c r="AA8" s="19" t="s">
        <v>664</v>
      </c>
      <c r="AB8" s="19" t="s">
        <v>665</v>
      </c>
      <c r="AC8" s="6"/>
      <c r="AD8" s="6"/>
      <c r="AE8" s="6"/>
      <c r="AF8" s="6"/>
      <c r="AG8" s="30">
        <v>26.0</v>
      </c>
      <c r="AH8" s="6"/>
      <c r="AI8" s="30">
        <v>21.0</v>
      </c>
      <c r="AJ8" s="6"/>
      <c r="AK8" s="6"/>
      <c r="AL8" s="6"/>
      <c r="AM8" s="19" t="s">
        <v>46</v>
      </c>
      <c r="AN8" s="19" t="s">
        <v>666</v>
      </c>
      <c r="AO8" s="6"/>
      <c r="AP8" s="6"/>
      <c r="AQ8" s="6"/>
      <c r="AR8" s="6"/>
      <c r="AS8" s="6"/>
      <c r="AT8" s="6"/>
      <c r="AU8" s="6"/>
      <c r="AV8" s="6"/>
      <c r="AW8" s="6"/>
      <c r="AX8" s="6"/>
    </row>
    <row r="9">
      <c r="A9" s="6"/>
      <c r="B9" s="6"/>
      <c r="C9" s="6"/>
      <c r="D9" s="6"/>
      <c r="E9" s="6"/>
      <c r="F9" s="6"/>
      <c r="G9" s="6"/>
      <c r="H9" s="19" t="s">
        <v>477</v>
      </c>
      <c r="I9" s="19" t="s">
        <v>558</v>
      </c>
      <c r="J9" s="6"/>
      <c r="K9" s="6"/>
      <c r="L9" s="6"/>
      <c r="M9" s="6"/>
      <c r="N9" s="6"/>
      <c r="O9" s="6"/>
      <c r="P9" s="6"/>
      <c r="Q9" s="6"/>
      <c r="R9" s="6"/>
      <c r="S9" s="6"/>
      <c r="T9" s="19" t="s">
        <v>472</v>
      </c>
      <c r="U9" s="30">
        <v>7.0</v>
      </c>
      <c r="V9" s="6"/>
      <c r="W9" s="19" t="s">
        <v>553</v>
      </c>
      <c r="X9" s="30">
        <v>8.0</v>
      </c>
      <c r="Y9" s="6"/>
      <c r="Z9" s="30">
        <v>26.0</v>
      </c>
      <c r="AA9" s="19" t="s">
        <v>669</v>
      </c>
      <c r="AB9" s="19" t="s">
        <v>653</v>
      </c>
      <c r="AC9" s="6"/>
      <c r="AD9" s="6"/>
      <c r="AE9" s="6"/>
      <c r="AF9" s="6"/>
      <c r="AG9" s="30">
        <v>30.0</v>
      </c>
      <c r="AH9" s="6"/>
      <c r="AI9" s="30">
        <v>26.0</v>
      </c>
      <c r="AJ9" s="6"/>
      <c r="AK9" s="6"/>
      <c r="AL9" s="6"/>
      <c r="AM9" s="19" t="s">
        <v>88</v>
      </c>
      <c r="AN9" s="19" t="s">
        <v>671</v>
      </c>
      <c r="AO9" s="6"/>
      <c r="AP9" s="6"/>
      <c r="AQ9" s="6"/>
      <c r="AR9" s="6"/>
      <c r="AS9" s="6"/>
      <c r="AT9" s="6"/>
      <c r="AU9" s="6"/>
      <c r="AV9" s="6"/>
      <c r="AW9" s="6"/>
      <c r="AX9" s="6"/>
    </row>
    <row r="10">
      <c r="A10" s="6"/>
      <c r="B10" s="6"/>
      <c r="C10" s="6"/>
      <c r="D10" s="6"/>
      <c r="E10" s="6"/>
      <c r="F10" s="6"/>
      <c r="G10" s="6"/>
      <c r="H10" s="19" t="s">
        <v>484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19" t="s">
        <v>477</v>
      </c>
      <c r="U10" s="30">
        <v>8.0</v>
      </c>
      <c r="V10" s="6"/>
      <c r="W10" s="19" t="s">
        <v>558</v>
      </c>
      <c r="X10" s="30">
        <v>8.0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19" t="s">
        <v>618</v>
      </c>
      <c r="AN10" s="19" t="s">
        <v>672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>
      <c r="A11" s="6"/>
      <c r="B11" s="6"/>
      <c r="C11" s="6"/>
      <c r="D11" s="6"/>
      <c r="E11" s="6"/>
      <c r="F11" s="6"/>
      <c r="G11" s="6"/>
      <c r="H11" s="19" t="s">
        <v>490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19" t="s">
        <v>484</v>
      </c>
      <c r="U11" s="30">
        <v>8.0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19" t="s">
        <v>131</v>
      </c>
      <c r="AN11" s="19" t="s">
        <v>674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>
      <c r="A12" s="6"/>
      <c r="B12" s="6"/>
      <c r="C12" s="6"/>
      <c r="D12" s="6"/>
      <c r="E12" s="6"/>
      <c r="F12" s="6"/>
      <c r="G12" s="6"/>
      <c r="H12" s="19" t="s">
        <v>497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9" t="s">
        <v>490</v>
      </c>
      <c r="U12" s="30">
        <v>8.0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19" t="s">
        <v>598</v>
      </c>
      <c r="AN12" s="19" t="s">
        <v>678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>
      <c r="A13" s="6"/>
      <c r="B13" s="6"/>
      <c r="C13" s="6"/>
      <c r="D13" s="6"/>
      <c r="E13" s="6"/>
      <c r="F13" s="6"/>
      <c r="G13" s="6"/>
      <c r="H13" s="19" t="s">
        <v>503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9" t="s">
        <v>497</v>
      </c>
      <c r="U13" s="30">
        <v>8.0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19" t="s">
        <v>680</v>
      </c>
      <c r="AN13" s="19" t="s">
        <v>681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>
      <c r="A14" s="6"/>
      <c r="B14" s="6"/>
      <c r="C14" s="6"/>
      <c r="D14" s="6"/>
      <c r="E14" s="6"/>
      <c r="F14" s="6"/>
      <c r="G14" s="6"/>
      <c r="H14" s="19" t="s">
        <v>508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9" t="s">
        <v>503</v>
      </c>
      <c r="U14" s="30">
        <v>8.0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19" t="s">
        <v>682</v>
      </c>
      <c r="AN14" s="19" t="s">
        <v>683</v>
      </c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>
      <c r="A15" s="6"/>
      <c r="B15" s="6"/>
      <c r="C15" s="6"/>
      <c r="D15" s="6"/>
      <c r="E15" s="6"/>
      <c r="F15" s="6"/>
      <c r="G15" s="6"/>
      <c r="H15" s="19" t="s">
        <v>515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9" t="s">
        <v>508</v>
      </c>
      <c r="U15" s="30">
        <v>8.0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19" t="s">
        <v>684</v>
      </c>
      <c r="AN15" s="19" t="s">
        <v>685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9" t="s">
        <v>515</v>
      </c>
      <c r="U16" s="30">
        <v>8.0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19" t="s">
        <v>686</v>
      </c>
      <c r="AN16" s="19" t="s">
        <v>687</v>
      </c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19" t="s">
        <v>688</v>
      </c>
      <c r="AN17" s="19" t="s">
        <v>689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19" t="s">
        <v>599</v>
      </c>
      <c r="AN18" s="19" t="s">
        <v>690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19" t="s">
        <v>393</v>
      </c>
      <c r="AN19" s="19" t="s">
        <v>691</v>
      </c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19" t="s">
        <v>692</v>
      </c>
      <c r="AN20" s="19" t="s">
        <v>693</v>
      </c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19" t="s">
        <v>694</v>
      </c>
      <c r="AN21" s="19" t="s">
        <v>695</v>
      </c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19" t="s">
        <v>600</v>
      </c>
      <c r="AN22" s="19" t="s">
        <v>697</v>
      </c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19" t="s">
        <v>698</v>
      </c>
      <c r="AN23" s="19" t="s">
        <v>699</v>
      </c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19" t="s">
        <v>700</v>
      </c>
      <c r="AN24" s="19" t="s">
        <v>701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19" t="s">
        <v>702</v>
      </c>
      <c r="AN25" s="19" t="s">
        <v>703</v>
      </c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19" t="s">
        <v>704</v>
      </c>
      <c r="AN26" s="19" t="s">
        <v>705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19" t="s">
        <v>707</v>
      </c>
      <c r="AN27" s="19" t="s">
        <v>708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19" t="s">
        <v>711</v>
      </c>
      <c r="AN28" s="19" t="s">
        <v>712</v>
      </c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19" t="s">
        <v>713</v>
      </c>
      <c r="AN29" s="19" t="s">
        <v>714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19" t="s">
        <v>715</v>
      </c>
      <c r="AN30" s="19" t="s">
        <v>716</v>
      </c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19" t="s">
        <v>322</v>
      </c>
      <c r="AN31" s="19" t="s">
        <v>717</v>
      </c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19" t="s">
        <v>315</v>
      </c>
      <c r="AN32" s="19" t="s">
        <v>718</v>
      </c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19" t="s">
        <v>620</v>
      </c>
      <c r="AN33" s="19" t="s">
        <v>720</v>
      </c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19" t="s">
        <v>623</v>
      </c>
      <c r="AN34" s="19" t="s">
        <v>722</v>
      </c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19" t="s">
        <v>724</v>
      </c>
      <c r="AN35" s="19" t="s">
        <v>725</v>
      </c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19" t="s">
        <v>726</v>
      </c>
      <c r="AN36" s="19" t="s">
        <v>727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19" t="s">
        <v>729</v>
      </c>
      <c r="AN37" s="19" t="s">
        <v>730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19" t="s">
        <v>732</v>
      </c>
      <c r="AN38" s="19" t="s">
        <v>733</v>
      </c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19" t="s">
        <v>735</v>
      </c>
      <c r="AN39" s="19" t="s">
        <v>736</v>
      </c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19" t="s">
        <v>738</v>
      </c>
      <c r="AN40" s="19" t="s">
        <v>739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19" t="s">
        <v>740</v>
      </c>
      <c r="AN41" s="19" t="s">
        <v>741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19" t="s">
        <v>742</v>
      </c>
      <c r="AN42" s="19" t="s">
        <v>743</v>
      </c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19" t="s">
        <v>203</v>
      </c>
      <c r="AN43" s="19" t="s">
        <v>744</v>
      </c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19" t="s">
        <v>220</v>
      </c>
      <c r="AN44" s="19" t="s">
        <v>745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19" t="s">
        <v>233</v>
      </c>
      <c r="AN45" s="19" t="s">
        <v>749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19" t="s">
        <v>243</v>
      </c>
      <c r="AN46" s="19" t="s">
        <v>751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19" t="s">
        <v>256</v>
      </c>
      <c r="AN47" s="19" t="s">
        <v>752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19" t="s">
        <v>753</v>
      </c>
      <c r="AN48" s="19" t="s">
        <v>754</v>
      </c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19" t="s">
        <v>755</v>
      </c>
      <c r="AN49" s="19" t="s">
        <v>756</v>
      </c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19" t="s">
        <v>757</v>
      </c>
      <c r="AN50" s="19" t="s">
        <v>758</v>
      </c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19" t="s">
        <v>759</v>
      </c>
      <c r="AN51" s="19" t="s">
        <v>760</v>
      </c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19" t="s">
        <v>761</v>
      </c>
      <c r="AN52" s="19" t="s">
        <v>762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19" t="s">
        <v>763</v>
      </c>
      <c r="AN53" s="19" t="s">
        <v>764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19" t="s">
        <v>765</v>
      </c>
      <c r="AN54" s="19" t="s">
        <v>766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19" t="s">
        <v>767</v>
      </c>
      <c r="AN55" s="19" t="s">
        <v>768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19" t="s">
        <v>769</v>
      </c>
      <c r="AN56" s="19" t="s">
        <v>770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19" t="s">
        <v>771</v>
      </c>
      <c r="AN57" s="19" t="s">
        <v>772</v>
      </c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19" t="s">
        <v>774</v>
      </c>
      <c r="AN58" s="19" t="s">
        <v>775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19" t="s">
        <v>776</v>
      </c>
      <c r="AN59" s="19" t="s">
        <v>777</v>
      </c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19" t="s">
        <v>778</v>
      </c>
      <c r="AN60" s="19" t="s">
        <v>779</v>
      </c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19" t="s">
        <v>780</v>
      </c>
      <c r="AN61" s="19" t="s">
        <v>781</v>
      </c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9" t="s">
        <v>782</v>
      </c>
      <c r="AN62" s="19" t="s">
        <v>783</v>
      </c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19" t="s">
        <v>784</v>
      </c>
      <c r="AN63" s="19" t="s">
        <v>785</v>
      </c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19" t="s">
        <v>786</v>
      </c>
      <c r="AN64" s="19" t="s">
        <v>787</v>
      </c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9" t="s">
        <v>788</v>
      </c>
      <c r="AN65" s="19" t="s">
        <v>789</v>
      </c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19" t="s">
        <v>790</v>
      </c>
      <c r="AN66" s="19" t="s">
        <v>791</v>
      </c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19" t="s">
        <v>792</v>
      </c>
      <c r="AN67" s="19" t="s">
        <v>793</v>
      </c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19" t="s">
        <v>795</v>
      </c>
      <c r="AN68" s="19" t="s">
        <v>796</v>
      </c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19" t="s">
        <v>798</v>
      </c>
      <c r="AN69" s="19" t="s">
        <v>799</v>
      </c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19" t="s">
        <v>800</v>
      </c>
      <c r="AN70" s="19" t="s">
        <v>801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19" t="s">
        <v>802</v>
      </c>
      <c r="AN71" s="19" t="s">
        <v>803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19" t="s">
        <v>804</v>
      </c>
      <c r="AN72" s="19" t="s">
        <v>805</v>
      </c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19" t="s">
        <v>806</v>
      </c>
      <c r="AN73" s="19" t="s">
        <v>807</v>
      </c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19" t="s">
        <v>808</v>
      </c>
      <c r="AN74" s="19" t="s">
        <v>809</v>
      </c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19" t="s">
        <v>810</v>
      </c>
      <c r="AN75" s="19" t="s">
        <v>811</v>
      </c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19" t="s">
        <v>812</v>
      </c>
      <c r="AN76" s="19" t="s">
        <v>813</v>
      </c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19" t="s">
        <v>814</v>
      </c>
      <c r="AN77" s="19" t="s">
        <v>815</v>
      </c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</sheetData>
  <drawing r:id="rId1"/>
</worksheet>
</file>
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E8DCD4"/>
      <sz val="9"/>
    </font>
    <font>
      <name val="Roboto"/>
      <color rgb="FF998BA9"/>
      <sz val="8"/>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41" fillId="5" borderId="6" applyAlignment="1" pivotButton="0" quotePrefix="0" xfId="0">
      <alignment horizontal="center" vertical="center"/>
    </xf>
    <xf numFmtId="0" fontId="42" fillId="5" borderId="6" applyAlignment="1" pivotButton="0" quotePrefix="0" xfId="0">
      <alignment horizontal="left" vertical="center"/>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3"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2"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2"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70" authorId="0" shapeId="0">
      <text>
        <t>Soma no limite de carga o que a conta do livro não cobre, como uma habilidade. Número negativo reduz.</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98</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4"/>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5" t="inlineStr">
        <is>
          <t>Buff/Debuff</t>
        </is>
      </c>
      <c r="Q25" s="17"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IFERROR((IFERROR(IF($D$11="","",(VLOOKUP($D$11,DADOS!$N$5:$U$10,3,FALSE)+$T$19)+(VLOOKUP($D$11,DADOS!$N$5:$U$10,4,FALSE)+$T$19)*($AH$11-1)),""))+IFERROR(VALUE($P$26&amp;""),0),"")</f>
        <v/>
      </c>
      <c r="K26" s="19" t="n"/>
      <c r="L26" s="19" t="n"/>
      <c r="M26" s="19" t="n"/>
      <c r="N26" s="20" t="n"/>
      <c r="O26" s="51" t="n"/>
      <c r="P26" s="81" t="n">
        <v>0</v>
      </c>
      <c r="Q26" s="20" t="n"/>
      <c r="R26" s="51" t="n"/>
      <c r="S26" s="82">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3" t="n">
        <v>0</v>
      </c>
      <c r="AG26" s="24" t="n"/>
      <c r="AH26" s="24" t="n"/>
      <c r="AI26" s="24" t="n"/>
      <c r="AJ26" s="24" t="n"/>
      <c r="AK26" s="25" t="n"/>
      <c r="AL26" s="51" t="n"/>
      <c r="AM26" s="84"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5" t="inlineStr">
        <is>
          <t>Buff/Debuff</t>
        </is>
      </c>
      <c r="Q29" s="17"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IFERROR((IFERROR(IF($D$11="","",VLOOKUP($D$11,DADOS!$N$5:$U$10,5,FALSE)*$AH$11),""))+IFERROR(VALUE($P$30&amp;""),0),"")</f>
        <v/>
      </c>
      <c r="K30" s="19" t="n"/>
      <c r="L30" s="19" t="n"/>
      <c r="M30" s="19" t="n"/>
      <c r="N30" s="20" t="n"/>
      <c r="O30" s="51" t="n"/>
      <c r="P30" s="81" t="n">
        <v>0</v>
      </c>
      <c r="Q30" s="20" t="n"/>
      <c r="R30" s="51" t="n"/>
      <c r="S30" s="85">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3" t="n">
        <v>0</v>
      </c>
      <c r="AG30" s="24" t="n"/>
      <c r="AH30" s="24" t="n"/>
      <c r="AI30" s="24" t="n"/>
      <c r="AJ30" s="24" t="n"/>
      <c r="AK30" s="25" t="n"/>
      <c r="AL30" s="51" t="n"/>
      <c r="AM30" s="84"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5" t="inlineStr">
        <is>
          <t>Buff/Debuff</t>
        </is>
      </c>
      <c r="Q33" s="17"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6">
        <f>IFERROR((20+(AJ19+5)*($AH$11-1))+IFERROR(VALUE($P$34&amp;""),0),"")</f>
        <v/>
      </c>
      <c r="K34" s="19" t="n"/>
      <c r="L34" s="19" t="n"/>
      <c r="M34" s="19" t="n"/>
      <c r="N34" s="20" t="n"/>
      <c r="O34" s="51" t="n"/>
      <c r="P34" s="81" t="n">
        <v>0</v>
      </c>
      <c r="Q34" s="20" t="n"/>
      <c r="R34" s="51" t="n"/>
      <c r="S34" s="85">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8" t="n"/>
      <c r="AF34" s="83" t="n">
        <v>0</v>
      </c>
      <c r="AG34" s="24" t="n"/>
      <c r="AH34" s="24" t="n"/>
      <c r="AI34" s="24" t="n"/>
      <c r="AJ34" s="24" t="n"/>
      <c r="AK34" s="25" t="n"/>
      <c r="AL34" s="56" t="n"/>
      <c r="AM34" s="87"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8">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DESCANSO</t>
        </is>
      </c>
      <c r="E39" s="16" t="n"/>
      <c r="F39" s="16" t="n"/>
      <c r="G39" s="16" t="n"/>
      <c r="H39" s="16" t="n"/>
      <c r="I39" s="16" t="n"/>
      <c r="J39" s="16" t="n"/>
      <c r="K39" s="16" t="n"/>
      <c r="L39" s="16" t="n"/>
      <c r="M39" s="17" t="n"/>
      <c r="N39" s="51" t="n"/>
      <c r="O39" s="55" t="inlineStr">
        <is>
          <t>O ÚLTIMO DESCANSO</t>
        </is>
      </c>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row>
    <row r="40">
      <c r="B40" s="22" t="n"/>
      <c r="C40" s="41" t="n"/>
      <c r="D40" s="89" t="inlineStr">
        <is>
          <t>Escolha o descanso</t>
        </is>
      </c>
      <c r="E40" s="16" t="n"/>
      <c r="F40" s="16" t="n"/>
      <c r="G40" s="16" t="n"/>
      <c r="H40" s="16" t="n"/>
      <c r="I40" s="16" t="n"/>
      <c r="J40" s="16" t="n"/>
      <c r="K40" s="16" t="n"/>
      <c r="L40" s="16" t="n"/>
      <c r="M40" s="17" t="n"/>
      <c r="N40" s="51" t="n"/>
      <c r="O40" s="90"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7" t="n"/>
    </row>
    <row r="41">
      <c r="B41" s="22" t="n"/>
      <c r="C41" s="41" t="n"/>
      <c r="D41" s="51" t="n"/>
      <c r="E41" s="51" t="n"/>
      <c r="F41" s="51"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SEQUELAS</t>
        </is>
      </c>
      <c r="E42" s="16" t="n"/>
      <c r="F42" s="16" t="n"/>
      <c r="G42" s="16" t="n"/>
      <c r="H42" s="16" t="n"/>
      <c r="I42" s="16" t="n"/>
      <c r="J42" s="16" t="n"/>
      <c r="K42" s="16" t="n"/>
      <c r="L42" s="16" t="n"/>
      <c r="M42" s="17" t="n"/>
      <c r="N42" s="51" t="n"/>
      <c r="O42" s="55" t="inlineStr">
        <is>
          <t>EXAUSTÃO</t>
        </is>
      </c>
      <c r="P42" s="16" t="n"/>
      <c r="Q42" s="16" t="n"/>
      <c r="R42" s="16" t="n"/>
      <c r="S42" s="16" t="n"/>
      <c r="T42" s="16" t="n"/>
      <c r="U42" s="16" t="n"/>
      <c r="V42" s="16" t="n"/>
      <c r="W42" s="16" t="n"/>
      <c r="X42" s="17" t="n"/>
      <c r="Y42" s="51" t="n"/>
      <c r="Z42" s="55" t="inlineStr">
        <is>
          <t>RESISTÊNCIAS</t>
        </is>
      </c>
      <c r="AA42" s="16" t="n"/>
      <c r="AB42" s="16" t="n"/>
      <c r="AC42" s="16" t="n"/>
      <c r="AD42" s="16" t="n"/>
      <c r="AE42" s="16" t="n"/>
      <c r="AF42" s="16" t="n"/>
      <c r="AG42" s="16" t="n"/>
      <c r="AH42" s="16" t="n"/>
      <c r="AI42" s="17" t="n"/>
      <c r="AJ42" s="51" t="n"/>
      <c r="AK42" s="55" t="inlineStr">
        <is>
          <t>IMUNIDADES</t>
        </is>
      </c>
      <c r="AL42" s="16" t="n"/>
      <c r="AM42" s="16" t="n"/>
      <c r="AN42" s="16" t="n"/>
      <c r="AO42" s="16" t="n"/>
      <c r="AP42" s="16" t="n"/>
      <c r="AQ42" s="16" t="n"/>
      <c r="AR42" s="16" t="n"/>
      <c r="AS42" s="16" t="n"/>
      <c r="AT42" s="17" t="n"/>
    </row>
    <row r="43">
      <c r="B43" s="22" t="n"/>
      <c r="C43" s="41" t="n"/>
      <c r="D43" s="91" t="n">
        <v>0</v>
      </c>
      <c r="E43" s="16" t="n"/>
      <c r="F43" s="16" t="n"/>
      <c r="G43" s="16" t="n"/>
      <c r="H43" s="16" t="n"/>
      <c r="I43" s="16" t="n"/>
      <c r="J43" s="16" t="n"/>
      <c r="K43" s="16" t="n"/>
      <c r="L43" s="16" t="n"/>
      <c r="M43" s="17" t="n"/>
      <c r="N43" s="51" t="n"/>
      <c r="O43" s="91" t="n">
        <v>0</v>
      </c>
      <c r="P43" s="16" t="n"/>
      <c r="Q43" s="16" t="n"/>
      <c r="R43" s="16" t="n"/>
      <c r="S43" s="16" t="n"/>
      <c r="T43" s="16" t="n"/>
      <c r="U43" s="16" t="n"/>
      <c r="V43" s="16" t="n"/>
      <c r="W43" s="16" t="n"/>
      <c r="X43" s="17" t="n"/>
      <c r="Y43" s="51" t="n"/>
      <c r="Z43" s="92" t="n"/>
      <c r="AA43" s="19" t="n"/>
      <c r="AB43" s="19" t="n"/>
      <c r="AC43" s="19" t="n"/>
      <c r="AD43" s="19" t="n"/>
      <c r="AE43" s="19" t="n"/>
      <c r="AF43" s="19" t="n"/>
      <c r="AG43" s="19" t="n"/>
      <c r="AH43" s="19" t="n"/>
      <c r="AI43" s="20" t="n"/>
      <c r="AJ43" s="51" t="n"/>
      <c r="AK43" s="92" t="n"/>
      <c r="AL43" s="19" t="n"/>
      <c r="AM43" s="19" t="n"/>
      <c r="AN43" s="19" t="n"/>
      <c r="AO43" s="19" t="n"/>
      <c r="AP43" s="19" t="n"/>
      <c r="AQ43" s="19" t="n"/>
      <c r="AR43" s="19" t="n"/>
      <c r="AS43" s="19" t="n"/>
      <c r="AT43" s="20" t="n"/>
    </row>
    <row r="44">
      <c r="B44" s="22" t="n"/>
      <c r="C44" s="41" t="n"/>
      <c r="D44" s="93">
        <f>IF(N($D$43)&lt;=0,"Próxima queda: 3 rodadas de janela",IF(N($D$43)=1,"Próxima queda: 2 rodadas de janela",IF(N($D$43)=2,"Próxima queda: 1 rodada de janela","Próxima queda: Derrotado na hora")))</f>
        <v/>
      </c>
      <c r="E44" s="16" t="n"/>
      <c r="F44" s="16" t="n"/>
      <c r="G44" s="16" t="n"/>
      <c r="H44" s="16" t="n"/>
      <c r="I44" s="16" t="n"/>
      <c r="J44" s="16" t="n"/>
      <c r="K44" s="16" t="n"/>
      <c r="L44" s="16" t="n"/>
      <c r="M44" s="17" t="n"/>
      <c r="N44" s="51" t="n"/>
      <c r="O44" s="93">
        <f>IF(N($O$43)&lt;=0,"Sem penalidade",IF(N($O$43)=1,"Desvantagem em perícias e ofícios",IF(N($O$43)=2,"Desv. em perícias e ofícios · até 4,5 m","Desv. em perícias, ofícios, ataques e TRs · até 4,5 m")))</f>
        <v/>
      </c>
      <c r="P44" s="16" t="n"/>
      <c r="Q44" s="16" t="n"/>
      <c r="R44" s="16" t="n"/>
      <c r="S44" s="16" t="n"/>
      <c r="T44" s="16" t="n"/>
      <c r="U44" s="16" t="n"/>
      <c r="V44" s="16" t="n"/>
      <c r="W44" s="16" t="n"/>
      <c r="X44" s="17" t="n"/>
      <c r="Y44" s="51" t="n"/>
      <c r="Z44" s="23" t="n"/>
      <c r="AA44" s="24" t="n"/>
      <c r="AB44" s="24" t="n"/>
      <c r="AC44" s="24" t="n"/>
      <c r="AD44" s="24" t="n"/>
      <c r="AE44" s="24" t="n"/>
      <c r="AF44" s="24" t="n"/>
      <c r="AG44" s="24" t="n"/>
      <c r="AH44" s="24" t="n"/>
      <c r="AI44" s="25" t="n"/>
      <c r="AJ44" s="51" t="n"/>
      <c r="AK44" s="23" t="n"/>
      <c r="AL44" s="24" t="n"/>
      <c r="AM44" s="24" t="n"/>
      <c r="AN44" s="24" t="n"/>
      <c r="AO44" s="24" t="n"/>
      <c r="AP44" s="24" t="n"/>
      <c r="AQ44" s="24" t="n"/>
      <c r="AR44" s="24" t="n"/>
      <c r="AS44" s="24" t="n"/>
      <c r="AT44" s="25"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LEGADO 1</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7" t="n"/>
      <c r="Y46" s="51" t="n"/>
      <c r="Z46" s="55" t="inlineStr">
        <is>
          <t>LEGADO 2</t>
        </is>
      </c>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7" t="n"/>
    </row>
    <row r="47">
      <c r="B47" s="22" t="n"/>
      <c r="C47" s="41" t="n"/>
      <c r="D47" s="92">
        <f>IF('FICHA PESSOAL'!$D$41="","",'FICHA PESSOAL'!$D$41&amp;IF('FICHA PESSOAL'!$Q$41="",""," · "&amp;'FICHA PESSOAL'!$Q$41)&amp;IF('FICHA PESSOAL'!$D$42="","",": "&amp;'FICHA PESSOAL'!$D$42))</f>
        <v/>
      </c>
      <c r="E47" s="19" t="n"/>
      <c r="F47" s="19" t="n"/>
      <c r="G47" s="19" t="n"/>
      <c r="H47" s="19" t="n"/>
      <c r="I47" s="19" t="n"/>
      <c r="J47" s="19" t="n"/>
      <c r="K47" s="19" t="n"/>
      <c r="L47" s="19" t="n"/>
      <c r="M47" s="19" t="n"/>
      <c r="N47" s="19" t="n"/>
      <c r="O47" s="19" t="n"/>
      <c r="P47" s="19" t="n"/>
      <c r="Q47" s="19" t="n"/>
      <c r="R47" s="19" t="n"/>
      <c r="S47" s="19" t="n"/>
      <c r="T47" s="19" t="n"/>
      <c r="U47" s="19" t="n"/>
      <c r="V47" s="19" t="n"/>
      <c r="W47" s="19" t="n"/>
      <c r="X47" s="20" t="n"/>
      <c r="Y47" s="51" t="n"/>
      <c r="Z47" s="92">
        <f>IF('FICHA PESSOAL'!$Y$41="","",'FICHA PESSOAL'!$Y$41&amp;IF('FICHA PESSOAL'!$AM$41="",""," · "&amp;'FICHA PESSOAL'!$AM$41)&amp;IF('FICHA PESSOAL'!$Y$42="","",": "&amp;'FICHA PESSOAL'!$Y$42))</f>
        <v/>
      </c>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row>
    <row r="48">
      <c r="B48" s="22" t="n"/>
      <c r="C48" s="41" t="n"/>
      <c r="D48" s="23" t="n"/>
      <c r="E48" s="24" t="n"/>
      <c r="F48" s="24" t="n"/>
      <c r="G48" s="24" t="n"/>
      <c r="H48" s="24" t="n"/>
      <c r="I48" s="24" t="n"/>
      <c r="J48" s="24" t="n"/>
      <c r="K48" s="24" t="n"/>
      <c r="L48" s="24" t="n"/>
      <c r="M48" s="24" t="n"/>
      <c r="N48" s="24" t="n"/>
      <c r="O48" s="24" t="n"/>
      <c r="P48" s="24" t="n"/>
      <c r="Q48" s="24" t="n"/>
      <c r="R48" s="24" t="n"/>
      <c r="S48" s="24" t="n"/>
      <c r="T48" s="24" t="n"/>
      <c r="U48" s="24" t="n"/>
      <c r="V48" s="24" t="n"/>
      <c r="W48" s="24" t="n"/>
      <c r="X48" s="25" t="n"/>
      <c r="Y48" s="51" t="n"/>
      <c r="Z48" s="23" t="n"/>
      <c r="AA48" s="24" t="n"/>
      <c r="AB48" s="24" t="n"/>
      <c r="AC48" s="24" t="n"/>
      <c r="AD48" s="24" t="n"/>
      <c r="AE48" s="24" t="n"/>
      <c r="AF48" s="24" t="n"/>
      <c r="AG48" s="24" t="n"/>
      <c r="AH48" s="24" t="n"/>
      <c r="AI48" s="24" t="n"/>
      <c r="AJ48" s="24" t="n"/>
      <c r="AK48" s="24" t="n"/>
      <c r="AL48" s="24" t="n"/>
      <c r="AM48" s="24" t="n"/>
      <c r="AN48" s="24" t="n"/>
      <c r="AO48" s="24" t="n"/>
      <c r="AP48" s="24" t="n"/>
      <c r="AQ48" s="24" t="n"/>
      <c r="AR48" s="24" t="n"/>
      <c r="AS48" s="24" t="n"/>
      <c r="AT48" s="25"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5" t="inlineStr">
        <is>
          <t>BLOQUEAR</t>
        </is>
      </c>
      <c r="AA50" s="16" t="n"/>
      <c r="AB50" s="16" t="n"/>
      <c r="AC50" s="16" t="n"/>
      <c r="AD50" s="16" t="n"/>
      <c r="AE50" s="16" t="n"/>
      <c r="AF50" s="16" t="n"/>
      <c r="AG50" s="16" t="n"/>
      <c r="AH50" s="16" t="n"/>
      <c r="AI50" s="17" t="n"/>
      <c r="AJ50" s="51" t="n"/>
      <c r="AK50" s="69" t="inlineStr">
        <is>
          <t>Marco Escolhido</t>
        </is>
      </c>
      <c r="AL50" s="16" t="n"/>
      <c r="AM50" s="16" t="n"/>
      <c r="AN50" s="16" t="n"/>
      <c r="AO50" s="69" t="inlineStr">
        <is>
          <t>Refino</t>
        </is>
      </c>
      <c r="AP50" s="16" t="n"/>
      <c r="AQ50" s="69" t="inlineStr">
        <is>
          <t>Corpo</t>
        </is>
      </c>
      <c r="AR50" s="16" t="n"/>
      <c r="AS50" s="65" t="inlineStr">
        <is>
          <t>Leque</t>
        </is>
      </c>
      <c r="AT50" s="17" t="n"/>
    </row>
    <row r="51" ht="27" customHeight="1">
      <c r="B51" s="22" t="n"/>
      <c r="C51" s="41" t="n"/>
      <c r="D51" s="66" t="n">
        <v>3</v>
      </c>
      <c r="E51" s="19" t="n"/>
      <c r="F51" s="20" t="n"/>
      <c r="G51" s="94" t="inlineStr">
        <is>
          <t>REGISTRO</t>
        </is>
      </c>
      <c r="H51" s="16" t="n"/>
      <c r="I51" s="16" t="n"/>
      <c r="J51" s="16" t="n"/>
      <c r="K51" s="16" t="n"/>
      <c r="L51" s="16" t="n"/>
      <c r="M51" s="16" t="n"/>
      <c r="N51" s="16" t="n"/>
      <c r="O51" s="16" t="n"/>
      <c r="P51" s="16" t="n"/>
      <c r="Q51" s="16" t="n"/>
      <c r="R51" s="16" t="n"/>
      <c r="S51" s="16" t="n"/>
      <c r="T51" s="16" t="n"/>
      <c r="U51" s="16" t="n"/>
      <c r="V51" s="16" t="n"/>
      <c r="W51" s="16" t="n"/>
      <c r="X51" s="17" t="n"/>
      <c r="Y51" s="51" t="n"/>
      <c r="Z51" s="84">
        <f>"2d10 + " &amp; D54-11</f>
        <v/>
      </c>
      <c r="AA51" s="16" t="n"/>
      <c r="AB51" s="16" t="n"/>
      <c r="AC51" s="16" t="n"/>
      <c r="AD51" s="16" t="n"/>
      <c r="AE51" s="16" t="n"/>
      <c r="AF51" s="16" t="n"/>
      <c r="AG51" s="16" t="n"/>
      <c r="AH51" s="16" t="n"/>
      <c r="AI51" s="17" t="n"/>
      <c r="AJ51" s="70" t="n"/>
      <c r="AK51" s="95">
        <f>IF(DADOS!$AK$12&gt;DADOS!$AK$5,DADOS!$AK$12-DADOS!$AK$5&amp;" a mais",IF(DADOS!$AK$5=0,"Escolha 1 a cada 4 Nv",DADOS!$AK$5-DADOS!$AK$12&amp;" de "&amp;DADOS!$AK$5&amp;" para escolher"))</f>
        <v/>
      </c>
      <c r="AL51" s="16" t="n"/>
      <c r="AM51" s="16" t="n"/>
      <c r="AN51" s="17" t="n"/>
      <c r="AO51" s="96" t="n">
        <v>0</v>
      </c>
      <c r="AP51" s="16" t="n"/>
      <c r="AQ51" s="96" t="n">
        <v>0</v>
      </c>
      <c r="AR51" s="16" t="n"/>
      <c r="AS51" s="68" t="n">
        <v>0</v>
      </c>
      <c r="AT51" s="17" t="n"/>
    </row>
    <row r="52">
      <c r="B52" s="22" t="n"/>
      <c r="C52" s="41" t="n"/>
      <c r="D52" s="23" t="n"/>
      <c r="E52" s="24" t="n"/>
      <c r="F52" s="25"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5" t="inlineStr">
        <is>
          <t>DEFESA</t>
        </is>
      </c>
      <c r="E53" s="16" t="n"/>
      <c r="F53" s="16" t="n"/>
      <c r="G53" s="16" t="n"/>
      <c r="H53" s="16" t="n"/>
      <c r="I53" s="16" t="n"/>
      <c r="J53" s="16" t="n"/>
      <c r="K53" s="17" t="n"/>
      <c r="L53" s="97" t="inlineStr">
        <is>
          <t>Buff/Debuff</t>
        </is>
      </c>
      <c r="M53" s="17" t="n"/>
      <c r="N53" s="51" t="n"/>
      <c r="O53" s="55" t="inlineStr">
        <is>
          <t>PROTEÇÃO</t>
        </is>
      </c>
      <c r="P53" s="16" t="n"/>
      <c r="Q53" s="16" t="n"/>
      <c r="R53" s="16" t="n"/>
      <c r="S53" s="16" t="n"/>
      <c r="T53" s="16" t="n"/>
      <c r="U53" s="16" t="n"/>
      <c r="V53" s="17" t="n"/>
      <c r="W53" s="97" t="inlineStr">
        <is>
          <t>Buff/Debuff</t>
        </is>
      </c>
      <c r="X53" s="17" t="n"/>
      <c r="Y53" s="51" t="n"/>
      <c r="Z53" s="55" t="inlineStr">
        <is>
          <t>EQUIPAMENTO</t>
        </is>
      </c>
      <c r="AA53" s="16" t="n"/>
      <c r="AB53" s="16" t="n"/>
      <c r="AC53" s="16" t="n"/>
      <c r="AD53" s="16" t="n"/>
      <c r="AE53" s="16" t="n"/>
      <c r="AF53" s="16" t="n"/>
      <c r="AG53" s="16" t="n"/>
      <c r="AH53" s="16" t="n"/>
      <c r="AI53" s="17" t="n"/>
      <c r="AJ53" s="51" t="n"/>
      <c r="AK53" s="55" t="inlineStr">
        <is>
          <t>INICIATIVA</t>
        </is>
      </c>
      <c r="AL53" s="16" t="n"/>
      <c r="AM53" s="16" t="n"/>
      <c r="AN53" s="16" t="n"/>
      <c r="AO53" s="16" t="n"/>
      <c r="AP53" s="16" t="n"/>
      <c r="AQ53" s="16" t="n"/>
      <c r="AR53" s="17" t="n"/>
      <c r="AS53" s="97" t="inlineStr">
        <is>
          <t>Buff/Debuff</t>
        </is>
      </c>
      <c r="AT53" s="17" t="n"/>
    </row>
    <row r="54" ht="21" customHeight="1">
      <c r="B54" s="22" t="n"/>
      <c r="C54" s="41" t="n"/>
      <c r="D54" s="98">
        <f>10+IF($Z$54="",$L$19,MIN($L$19,IFERROR(VALUE(VLOOKUP($Z$54,DADOS!$AE$5:$AH$31,3,FALSE)&amp;""),$L$19)))+$O$54+IFERROR(VALUE($L$54&amp;""),0)</f>
        <v/>
      </c>
      <c r="E54" s="16" t="n"/>
      <c r="F54" s="16" t="n"/>
      <c r="G54" s="16" t="n"/>
      <c r="H54" s="16" t="n"/>
      <c r="I54" s="16" t="n"/>
      <c r="J54" s="16" t="n"/>
      <c r="K54" s="17" t="n"/>
      <c r="L54" s="81" t="n">
        <v>0</v>
      </c>
      <c r="M54" s="17" t="n"/>
      <c r="N54" s="51" t="n"/>
      <c r="O54" s="98">
        <f>IF($Z$54="",FLOOR(MIN(10,$O$68+MIN($O$68-1,IFERROR(VALUE($AO$51&amp;""),0)))/3,1)+1,IF(VLOOKUP($Z$54,DADOS!$AE$5:$AH$31,4,FALSE)="sim",0,FLOOR(MIN(10,$O$68+MIN($O$68-1,IFERROR(VALUE($AO$51&amp;""),0)))/3,1)+1)+VLOOKUP($Z$54,DADOS!$AE$5:$AH$31,2,FALSE))+IFERROR(VALUE($W$54&amp;""),0)</f>
        <v/>
      </c>
      <c r="P54" s="16" t="n"/>
      <c r="Q54" s="16" t="n"/>
      <c r="R54" s="16" t="n"/>
      <c r="S54" s="16" t="n"/>
      <c r="T54" s="16" t="n"/>
      <c r="U54" s="16" t="n"/>
      <c r="V54" s="17" t="n"/>
      <c r="W54" s="81" t="n">
        <v>0</v>
      </c>
      <c r="X54" s="17" t="n"/>
      <c r="Y54" s="51" t="n"/>
      <c r="Z54" s="84">
        <f>IF(DADOS!$CZ$27=1,'FICHA PESSOAL'!$AH$49&amp;IF(DADOS!$CZ$19=1," + "&amp;'FICHA PESSOAL'!$S$49,""),IF(DADOS!$CZ$19=1,'FICHA PESSOAL'!$S$49,""))</f>
        <v/>
      </c>
      <c r="AA54" s="16" t="n"/>
      <c r="AB54" s="16" t="n"/>
      <c r="AC54" s="16" t="n"/>
      <c r="AD54" s="16" t="n"/>
      <c r="AE54" s="16" t="n"/>
      <c r="AF54" s="16" t="n"/>
      <c r="AG54" s="16" t="n"/>
      <c r="AH54" s="16" t="n"/>
      <c r="AI54" s="17" t="n"/>
      <c r="AJ54" s="51" t="n"/>
      <c r="AK54" s="98">
        <f>"d20 + "&amp;($L$19+IFERROR(VALUE($AS$54&amp;""),0))</f>
        <v/>
      </c>
      <c r="AL54" s="16" t="n"/>
      <c r="AM54" s="16" t="n"/>
      <c r="AN54" s="16" t="n"/>
      <c r="AO54" s="16" t="n"/>
      <c r="AP54" s="16" t="n"/>
      <c r="AQ54" s="16" t="n"/>
      <c r="AR54" s="17" t="n"/>
      <c r="AS54" s="81" t="n">
        <v>0</v>
      </c>
      <c r="AT54" s="17"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5" t="inlineStr">
        <is>
          <t>CD DE FEITIÇO</t>
        </is>
      </c>
      <c r="E57" s="16" t="n"/>
      <c r="F57" s="16" t="n"/>
      <c r="G57" s="16" t="n"/>
      <c r="H57" s="16" t="n"/>
      <c r="I57" s="16" t="n"/>
      <c r="J57" s="16" t="n"/>
      <c r="K57" s="17" t="n"/>
      <c r="L57" s="97" t="inlineStr">
        <is>
          <t>Buff/Debuff</t>
        </is>
      </c>
      <c r="M57" s="17" t="n"/>
      <c r="N57" s="51" t="n"/>
      <c r="O57" s="55" t="inlineStr">
        <is>
          <t>CONJURAÇÃO</t>
        </is>
      </c>
      <c r="P57" s="16" t="n"/>
      <c r="Q57" s="16" t="n"/>
      <c r="R57" s="16" t="n"/>
      <c r="S57" s="16" t="n"/>
      <c r="T57" s="16" t="n"/>
      <c r="U57" s="16" t="n"/>
      <c r="V57" s="17" t="n"/>
      <c r="W57" s="97" t="inlineStr">
        <is>
          <t>Buff/Debuff</t>
        </is>
      </c>
      <c r="X57" s="17" t="n"/>
      <c r="Y57" s="51" t="n"/>
      <c r="Z57" s="55" t="inlineStr">
        <is>
          <t>CORPO A CORPO</t>
        </is>
      </c>
      <c r="AA57" s="16" t="n"/>
      <c r="AB57" s="16" t="n"/>
      <c r="AC57" s="16" t="n"/>
      <c r="AD57" s="16" t="n"/>
      <c r="AE57" s="16" t="n"/>
      <c r="AF57" s="16" t="n"/>
      <c r="AG57" s="17" t="n"/>
      <c r="AH57" s="97" t="inlineStr">
        <is>
          <t>Buff/Debuff</t>
        </is>
      </c>
      <c r="AI57" s="17" t="n"/>
      <c r="AJ57" s="51" t="n"/>
      <c r="AK57" s="55" t="inlineStr">
        <is>
          <t>À DISTÂNCIA</t>
        </is>
      </c>
      <c r="AL57" s="16" t="n"/>
      <c r="AM57" s="16" t="n"/>
      <c r="AN57" s="16" t="n"/>
      <c r="AO57" s="16" t="n"/>
      <c r="AP57" s="16" t="n"/>
      <c r="AQ57" s="16" t="n"/>
      <c r="AR57" s="17" t="n"/>
      <c r="AS57" s="97" t="inlineStr">
        <is>
          <t>Buff/Debuff</t>
        </is>
      </c>
      <c r="AT57" s="17" t="n"/>
    </row>
    <row r="58" ht="21" customHeight="1">
      <c r="B58" s="22" t="n"/>
      <c r="C58" s="41" t="n"/>
      <c r="D58" s="98">
        <f>8+D62+IFS(Z62="FORÇA",$D$19, Z62="DESTREZA",$L$19, Z62="CONSTITUIÇÃO",$T$19, Z62="INTELIGÊNCIA",$AB$19, Z62="ESSÊNCIA",$AJ$19)+IFERROR(VALUE($L$58&amp;""),0)</f>
        <v/>
      </c>
      <c r="E58" s="16" t="n"/>
      <c r="F58" s="16" t="n"/>
      <c r="G58" s="16" t="n"/>
      <c r="H58" s="16" t="n"/>
      <c r="I58" s="16" t="n"/>
      <c r="J58" s="16" t="n"/>
      <c r="K58" s="17" t="n"/>
      <c r="L58" s="81" t="n">
        <v>0</v>
      </c>
      <c r="M58" s="17" t="n"/>
      <c r="N58" s="51" t="n"/>
      <c r="O58" s="98">
        <f>"d20 + "&amp;(D62+IFS(Z62="FORÇA",$D$19, Z62="DESTREZA",$L$19, Z62="CONSTITUIÇÃO",$T$19, Z62="INTELIGÊNCIA",$AB$19, Z62="ESSÊNCIA",$AJ$19)+IFERROR(VALUE($W$58&amp;""),0))</f>
        <v/>
      </c>
      <c r="P58" s="16" t="n"/>
      <c r="Q58" s="16" t="n"/>
      <c r="R58" s="16" t="n"/>
      <c r="S58" s="16" t="n"/>
      <c r="T58" s="16" t="n"/>
      <c r="U58" s="16" t="n"/>
      <c r="V58" s="17" t="n"/>
      <c r="W58" s="81" t="n">
        <v>0</v>
      </c>
      <c r="X58" s="17" t="n"/>
      <c r="Y58" s="51" t="n"/>
      <c r="Z58" s="98">
        <f>"d20 + "&amp;(D62+IFS(AK62="FORÇA",$D$19, AK62="DESTREZA",$L$19, AK62="CONSTITUIÇÃO",$T$19, AK62="INTELIGÊNCIA",$AB$19, AK62="ESSÊNCIA",$AJ$19)+IFERROR(VALUE($AH$58&amp;""),0))</f>
        <v/>
      </c>
      <c r="AA58" s="16" t="n"/>
      <c r="AB58" s="16" t="n"/>
      <c r="AC58" s="16" t="n"/>
      <c r="AD58" s="16" t="n"/>
      <c r="AE58" s="16" t="n"/>
      <c r="AF58" s="16" t="n"/>
      <c r="AG58" s="17" t="n"/>
      <c r="AH58" s="81" t="n">
        <v>0</v>
      </c>
      <c r="AI58" s="17" t="n"/>
      <c r="AJ58" s="51" t="n"/>
      <c r="AK58" s="98">
        <f>"d20 + "&amp;(D62+IFS(AE65="FORÇA",$D$19, AE65="DESTREZA",$L$19, AE65="CONSTITUIÇÃO",$T$19, AE65="INTELIGÊNCIA",$AB$19, AE65="ESSÊNCIA",$AJ$19)+IFERROR(VALUE($AS$58&amp;""),0))</f>
        <v/>
      </c>
      <c r="AL58" s="16" t="n"/>
      <c r="AM58" s="16" t="n"/>
      <c r="AN58" s="16" t="n"/>
      <c r="AO58" s="16" t="n"/>
      <c r="AP58" s="16" t="n"/>
      <c r="AQ58" s="16" t="n"/>
      <c r="AR58" s="17" t="n"/>
      <c r="AS58" s="81" t="n">
        <v>0</v>
      </c>
      <c r="AT58" s="17" t="n"/>
    </row>
    <row r="59">
      <c r="B59" s="22" t="n"/>
      <c r="C59" s="41" t="n"/>
      <c r="D59" s="51" t="n"/>
      <c r="E59" s="51" t="n"/>
      <c r="F59" s="51" t="n"/>
      <c r="G59" s="51" t="n"/>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51" t="n"/>
      <c r="AE59" s="51" t="n"/>
      <c r="AF59" s="51" t="n"/>
      <c r="AG59" s="51" t="n"/>
      <c r="AH59" s="51" t="n"/>
      <c r="AI59" s="51" t="n"/>
      <c r="AJ59" s="51" t="n"/>
      <c r="AK59" s="51" t="n"/>
      <c r="AL59" s="51" t="n"/>
      <c r="AM59" s="51" t="n"/>
      <c r="AN59" s="51" t="n"/>
      <c r="AO59" s="51" t="n"/>
      <c r="AP59" s="51" t="n"/>
      <c r="AQ59" s="51" t="n"/>
      <c r="AR59" s="51" t="n"/>
      <c r="AS59" s="51" t="n"/>
      <c r="AT59" s="51"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B61" s="22" t="n"/>
      <c r="C61" s="41" t="n"/>
      <c r="D61" s="55" t="inlineStr">
        <is>
          <t>MAESTRIA</t>
        </is>
      </c>
      <c r="E61" s="16" t="n"/>
      <c r="F61" s="16" t="n"/>
      <c r="G61" s="16" t="n"/>
      <c r="H61" s="16" t="n"/>
      <c r="I61" s="16" t="n"/>
      <c r="J61" s="16" t="n"/>
      <c r="K61" s="16" t="n"/>
      <c r="L61" s="16" t="n"/>
      <c r="M61" s="17" t="n"/>
      <c r="N61" s="51" t="n"/>
      <c r="O61" s="55" t="inlineStr">
        <is>
          <t>DESLOCAMENTO</t>
        </is>
      </c>
      <c r="P61" s="16" t="n"/>
      <c r="Q61" s="16" t="n"/>
      <c r="R61" s="16" t="n"/>
      <c r="S61" s="16" t="n"/>
      <c r="T61" s="16" t="n"/>
      <c r="U61" s="16" t="n"/>
      <c r="V61" s="17" t="n"/>
      <c r="W61" s="97" t="inlineStr">
        <is>
          <t>Buff/Debuff</t>
        </is>
      </c>
      <c r="X61" s="17" t="n"/>
      <c r="Y61" s="51" t="n"/>
      <c r="Z61" s="55" t="inlineStr">
        <is>
          <t xml:space="preserve">ATRIBUTO DE CONJURAÇÃO </t>
        </is>
      </c>
      <c r="AA61" s="16" t="n"/>
      <c r="AB61" s="16" t="n"/>
      <c r="AC61" s="16" t="n"/>
      <c r="AD61" s="16" t="n"/>
      <c r="AE61" s="16" t="n"/>
      <c r="AF61" s="16" t="n"/>
      <c r="AG61" s="16" t="n"/>
      <c r="AH61" s="16" t="n"/>
      <c r="AI61" s="17" t="n"/>
      <c r="AJ61" s="51" t="n"/>
      <c r="AK61" s="55" t="inlineStr">
        <is>
          <t>ATRIBUTO DE ATAQUE - CORPO A CORPO</t>
        </is>
      </c>
      <c r="AL61" s="16" t="n"/>
      <c r="AM61" s="16" t="n"/>
      <c r="AN61" s="16" t="n"/>
      <c r="AO61" s="16" t="n"/>
      <c r="AP61" s="16" t="n"/>
      <c r="AQ61" s="16" t="n"/>
      <c r="AR61" s="16" t="n"/>
      <c r="AS61" s="16" t="n"/>
      <c r="AT61" s="17" t="n"/>
    </row>
    <row r="62" ht="21" customHeight="1">
      <c r="B62" s="22" t="n"/>
      <c r="C62" s="41" t="n"/>
      <c r="D62" s="98">
        <f>(1+COUNTIF(DADOS!$X$5:$X$7,"&lt;="&amp;$AH$11))</f>
        <v/>
      </c>
      <c r="E62" s="16" t="n"/>
      <c r="F62" s="16" t="n"/>
      <c r="G62" s="16" t="n"/>
      <c r="H62" s="16" t="n"/>
      <c r="I62" s="16" t="n"/>
      <c r="J62" s="16" t="n"/>
      <c r="K62" s="16" t="n"/>
      <c r="L62" s="16" t="n"/>
      <c r="M62" s="17" t="n"/>
      <c r="N62" s="51" t="n"/>
      <c r="O62" s="98">
        <f>IF(DADOS!$CZ$46=1,0,MIN(IF(N($O$43)&gt;=2,4.5,9999),(9+IFERROR(VALUE($W$62&amp;""),0))/IF(DADOS!$CZ$45=1,2,1)))&amp;" m"</f>
        <v/>
      </c>
      <c r="P62" s="16" t="n"/>
      <c r="Q62" s="16" t="n"/>
      <c r="R62" s="16" t="n"/>
      <c r="S62" s="16" t="n"/>
      <c r="T62" s="16" t="n"/>
      <c r="U62" s="16" t="n"/>
      <c r="V62" s="17" t="n"/>
      <c r="W62" s="81" t="n">
        <v>0</v>
      </c>
      <c r="X62" s="17" t="n"/>
      <c r="Y62" s="41" t="n"/>
      <c r="Z62" s="98" t="inlineStr">
        <is>
          <t>ESSÊNCIA</t>
        </is>
      </c>
      <c r="AA62" s="16" t="n"/>
      <c r="AB62" s="16" t="n"/>
      <c r="AC62" s="16" t="n"/>
      <c r="AD62" s="16" t="n"/>
      <c r="AE62" s="16" t="n"/>
      <c r="AF62" s="16" t="n"/>
      <c r="AG62" s="16" t="n"/>
      <c r="AH62" s="16" t="n"/>
      <c r="AI62" s="17" t="n"/>
      <c r="AJ62" s="51" t="n"/>
      <c r="AK62" s="98" t="inlineStr">
        <is>
          <t>FORÇA</t>
        </is>
      </c>
      <c r="AL62" s="16" t="n"/>
      <c r="AM62" s="16" t="n"/>
      <c r="AN62" s="16" t="n"/>
      <c r="AO62" s="16" t="n"/>
      <c r="AP62" s="16" t="n"/>
      <c r="AQ62" s="16" t="n"/>
      <c r="AR62" s="16" t="n"/>
      <c r="AS62" s="16" t="n"/>
      <c r="AT62" s="17" t="n"/>
    </row>
    <row r="63">
      <c r="A63" s="8" t="n"/>
      <c r="B63" s="14" t="n"/>
      <c r="C63" s="41" t="n"/>
      <c r="D63" s="51" t="n"/>
      <c r="E63" s="51" t="n"/>
      <c r="F63" s="51"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41" t="n"/>
      <c r="Z64" s="51" t="n"/>
      <c r="AA64" s="51" t="n"/>
      <c r="AB64" s="51" t="n"/>
      <c r="AC64" s="51" t="n"/>
      <c r="AD64" s="51" t="n"/>
      <c r="AE64" s="55" t="inlineStr">
        <is>
          <t xml:space="preserve">ATRIBUTO DE ATAQUE - À DISTÂNCIA </t>
        </is>
      </c>
      <c r="AF64" s="16" t="n"/>
      <c r="AG64" s="16" t="n"/>
      <c r="AH64" s="16" t="n"/>
      <c r="AI64" s="16" t="n"/>
      <c r="AJ64" s="16" t="n"/>
      <c r="AK64" s="16" t="n"/>
      <c r="AL64" s="16" t="n"/>
      <c r="AM64" s="16" t="n"/>
      <c r="AN64" s="16" t="n"/>
      <c r="AO64" s="17" t="n"/>
      <c r="AP64" s="51" t="n"/>
      <c r="AQ64" s="51" t="n"/>
      <c r="AR64" s="51" t="n"/>
      <c r="AS64" s="51" t="n"/>
      <c r="AT64" s="51" t="n"/>
    </row>
    <row r="65" ht="27" customHeight="1">
      <c r="A65" s="8" t="n"/>
      <c r="B65" s="14" t="n"/>
      <c r="C65" s="41" t="n"/>
      <c r="D65" s="66" t="n">
        <v>4</v>
      </c>
      <c r="E65" s="19" t="n"/>
      <c r="F65" s="20" t="n"/>
      <c r="G65" s="94" t="inlineStr">
        <is>
          <t>PROGRESSÃO</t>
        </is>
      </c>
      <c r="H65" s="16" t="n"/>
      <c r="I65" s="16" t="n"/>
      <c r="J65" s="16" t="n"/>
      <c r="K65" s="16" t="n"/>
      <c r="L65" s="16" t="n"/>
      <c r="M65" s="16" t="n"/>
      <c r="N65" s="16" t="n"/>
      <c r="O65" s="16" t="n"/>
      <c r="P65" s="16" t="n"/>
      <c r="Q65" s="16" t="n"/>
      <c r="R65" s="16" t="n"/>
      <c r="S65" s="16" t="n"/>
      <c r="T65" s="16" t="n"/>
      <c r="U65" s="16" t="n"/>
      <c r="V65" s="16" t="n"/>
      <c r="W65" s="16" t="n"/>
      <c r="X65" s="17" t="n"/>
      <c r="Y65" s="41" t="n"/>
      <c r="Z65" s="51" t="n"/>
      <c r="AA65" s="51" t="n"/>
      <c r="AB65" s="51" t="n"/>
      <c r="AC65" s="51" t="n"/>
      <c r="AD65" s="51" t="n"/>
      <c r="AE65" s="98" t="inlineStr">
        <is>
          <t>DESTREZA</t>
        </is>
      </c>
      <c r="AF65" s="16" t="n"/>
      <c r="AG65" s="16" t="n"/>
      <c r="AH65" s="16" t="n"/>
      <c r="AI65" s="16" t="n"/>
      <c r="AJ65" s="16" t="n"/>
      <c r="AK65" s="16" t="n"/>
      <c r="AL65" s="16" t="n"/>
      <c r="AM65" s="16" t="n"/>
      <c r="AN65" s="16" t="n"/>
      <c r="AO65" s="17" t="n"/>
      <c r="AP65" s="51" t="n"/>
      <c r="AQ65" s="51" t="n"/>
      <c r="AR65" s="51" t="n"/>
      <c r="AS65" s="51" t="n"/>
      <c r="AT65" s="51" t="n"/>
    </row>
    <row r="66">
      <c r="A66" s="8" t="n"/>
      <c r="B66" s="14" t="n"/>
      <c r="C66" s="41" t="n"/>
      <c r="D66" s="23" t="n"/>
      <c r="E66" s="24" t="n"/>
      <c r="F66" s="25" t="n"/>
      <c r="G66" s="51" t="n"/>
      <c r="H66" s="51" t="n"/>
      <c r="I66" s="51" t="n"/>
      <c r="J66" s="51" t="n"/>
      <c r="K66" s="51" t="n"/>
      <c r="L66" s="51" t="n"/>
      <c r="M66" s="51" t="n"/>
      <c r="N66" s="51" t="n"/>
      <c r="O66" s="51" t="n"/>
      <c r="P66" s="51" t="n"/>
      <c r="Q66" s="51" t="n"/>
      <c r="R66" s="51" t="n"/>
      <c r="S66" s="51" t="n"/>
      <c r="T66" s="51" t="n"/>
      <c r="U66" s="51" t="n"/>
      <c r="V66" s="51" t="n"/>
      <c r="W66" s="51" t="n"/>
      <c r="X66" s="5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55" t="inlineStr">
        <is>
          <t>ESPAÇOS DE FEITIÇO</t>
        </is>
      </c>
      <c r="E67" s="16" t="n"/>
      <c r="F67" s="16" t="n"/>
      <c r="G67" s="16" t="n"/>
      <c r="H67" s="16" t="n"/>
      <c r="I67" s="16" t="n"/>
      <c r="J67" s="16" t="n"/>
      <c r="K67" s="16" t="n"/>
      <c r="L67" s="16" t="n"/>
      <c r="M67" s="17" t="n"/>
      <c r="N67" s="51" t="n"/>
      <c r="O67" s="55" t="inlineStr">
        <is>
          <t>REFINO DE GRAÇA</t>
        </is>
      </c>
      <c r="P67" s="16" t="n"/>
      <c r="Q67" s="16" t="n"/>
      <c r="R67" s="16" t="n"/>
      <c r="S67" s="16" t="n"/>
      <c r="T67" s="16" t="n"/>
      <c r="U67" s="16" t="n"/>
      <c r="V67" s="16" t="n"/>
      <c r="W67" s="16" t="n"/>
      <c r="X67" s="17" t="n"/>
      <c r="Y67" s="41" t="n"/>
      <c r="Z67" s="55" t="inlineStr">
        <is>
          <t>CLASSE MÁXIMA</t>
        </is>
      </c>
      <c r="AA67" s="16" t="n"/>
      <c r="AB67" s="16" t="n"/>
      <c r="AC67" s="16" t="n"/>
      <c r="AD67" s="16" t="n"/>
      <c r="AE67" s="16" t="n"/>
      <c r="AF67" s="16" t="n"/>
      <c r="AG67" s="16" t="n"/>
      <c r="AH67" s="16" t="n"/>
      <c r="AI67" s="17" t="n"/>
      <c r="AJ67" s="51" t="n"/>
      <c r="AK67" s="55" t="inlineStr">
        <is>
          <t xml:space="preserve">CLASSE 0 </t>
        </is>
      </c>
      <c r="AL67" s="16" t="n"/>
      <c r="AM67" s="16" t="n"/>
      <c r="AN67" s="16" t="n"/>
      <c r="AO67" s="16" t="n"/>
      <c r="AP67" s="16" t="n"/>
      <c r="AQ67" s="16" t="n"/>
      <c r="AR67" s="16" t="n"/>
      <c r="AS67" s="16" t="n"/>
      <c r="AT67" s="17" t="n"/>
    </row>
    <row r="68" ht="21" customHeight="1">
      <c r="A68" s="8" t="n"/>
      <c r="B68" s="14" t="n"/>
      <c r="C68" s="41" t="n"/>
      <c r="D68" s="98">
        <f>2+INT($AH$11/2)+COUNTIF(DADOS!$W$5:$W$11,"&lt;="&amp;$AH$11)+IFERROR(VALUE($AS$51&amp;""),0)</f>
        <v/>
      </c>
      <c r="E68" s="16" t="n"/>
      <c r="F68" s="16" t="n"/>
      <c r="G68" s="16" t="n"/>
      <c r="H68" s="16" t="n"/>
      <c r="I68" s="16" t="n"/>
      <c r="J68" s="16" t="n"/>
      <c r="K68" s="16" t="n"/>
      <c r="L68" s="16" t="n"/>
      <c r="M68" s="17" t="n"/>
      <c r="N68" s="41" t="n"/>
      <c r="O68" s="98">
        <f>(1+COUNTIF(DADOS!$W$5:$W$11,"&lt;="&amp;$AH$11))</f>
        <v/>
      </c>
      <c r="P68" s="16" t="n"/>
      <c r="Q68" s="16" t="n"/>
      <c r="R68" s="16" t="n"/>
      <c r="S68" s="16" t="n"/>
      <c r="T68" s="16" t="n"/>
      <c r="U68" s="16" t="n"/>
      <c r="V68" s="16" t="n"/>
      <c r="W68" s="16" t="n"/>
      <c r="X68" s="17" t="n"/>
      <c r="Y68" s="41" t="n"/>
      <c r="Z68" s="98">
        <f>COUNTIF(DADOS!$Y$5:$Y$11,"&lt;="&amp;$AH$11)</f>
        <v/>
      </c>
      <c r="AA68" s="16" t="n"/>
      <c r="AB68" s="16" t="n"/>
      <c r="AC68" s="16" t="n"/>
      <c r="AD68" s="16" t="n"/>
      <c r="AE68" s="16" t="n"/>
      <c r="AF68" s="16" t="n"/>
      <c r="AG68" s="16" t="n"/>
      <c r="AH68" s="16" t="n"/>
      <c r="AI68" s="17" t="n"/>
      <c r="AJ68" s="51" t="n"/>
      <c r="AK68" s="98">
        <f>2+COUNTIF(DADOS!$Z$5:$Z$7,"&lt;="&amp;$AH$11)</f>
        <v/>
      </c>
      <c r="AL68" s="16" t="n"/>
      <c r="AM68" s="16" t="n"/>
      <c r="AN68" s="16" t="n"/>
      <c r="AO68" s="16" t="n"/>
      <c r="AP68" s="16" t="n"/>
      <c r="AQ68" s="16" t="n"/>
      <c r="AR68" s="16" t="n"/>
      <c r="AS68" s="16" t="n"/>
      <c r="AT68" s="17" t="n"/>
    </row>
    <row r="69">
      <c r="A69" s="8" t="n"/>
      <c r="B69" s="14"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51" t="n"/>
      <c r="AA69" s="51" t="n"/>
      <c r="AB69" s="51" t="n"/>
      <c r="AC69" s="51" t="n"/>
      <c r="AD69" s="51" t="n"/>
      <c r="AE69" s="51" t="n"/>
      <c r="AF69" s="51" t="n"/>
      <c r="AG69" s="51" t="n"/>
      <c r="AH69" s="51" t="n"/>
      <c r="AI69" s="51" t="n"/>
      <c r="AJ69" s="51" t="n"/>
      <c r="AK69" s="51" t="n"/>
      <c r="AL69" s="51" t="n"/>
      <c r="AM69" s="51" t="n"/>
      <c r="AN69" s="51" t="n"/>
      <c r="AO69" s="51" t="n"/>
      <c r="AP69" s="51" t="n"/>
      <c r="AQ69" s="51" t="n"/>
      <c r="AR69" s="51" t="n"/>
      <c r="AS69" s="51" t="n"/>
      <c r="AT69" s="51" t="n"/>
    </row>
    <row r="70">
      <c r="A70" s="8" t="n"/>
      <c r="B70" s="14" t="n"/>
      <c r="C70" s="41" t="n"/>
      <c r="D70" s="41" t="n"/>
      <c r="E70" s="41" t="n"/>
      <c r="F70" s="41" t="n"/>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row>
    <row r="71" ht="27" customHeight="1">
      <c r="A71" s="8" t="n"/>
      <c r="B71" s="14" t="n"/>
      <c r="C71" s="41" t="n"/>
      <c r="D71" s="66" t="n">
        <v>5</v>
      </c>
      <c r="E71" s="19" t="n"/>
      <c r="F71" s="20" t="n"/>
      <c r="G71" s="94" t="inlineStr">
        <is>
          <t>PERÍCIAS</t>
        </is>
      </c>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7" t="n"/>
      <c r="AE71" s="51" t="n"/>
      <c r="AF71" s="51" t="n"/>
      <c r="AG71" s="51" t="n"/>
      <c r="AH71" s="51" t="n"/>
      <c r="AI71" s="51" t="n"/>
      <c r="AJ71" s="51" t="n"/>
      <c r="AK71" s="51" t="n"/>
      <c r="AL71" s="51" t="n"/>
      <c r="AM71" s="51" t="n"/>
      <c r="AN71" s="51" t="n"/>
      <c r="AO71" s="51" t="n"/>
      <c r="AP71" s="51" t="n"/>
      <c r="AQ71" s="51" t="n"/>
      <c r="AR71" s="51" t="n"/>
      <c r="AS71" s="51" t="n"/>
      <c r="AT71" s="51" t="n"/>
    </row>
    <row r="72">
      <c r="A72" s="8" t="n"/>
      <c r="B72" s="14" t="n"/>
      <c r="C72" s="41" t="n"/>
      <c r="D72" s="21" t="n"/>
      <c r="F72" s="22" t="n"/>
      <c r="G72" s="51" t="n"/>
      <c r="H72" s="51" t="n"/>
      <c r="I72" s="51" t="n"/>
      <c r="J72" s="51" t="n"/>
      <c r="K72" s="51" t="n"/>
      <c r="L72" s="51" t="n"/>
      <c r="M72" s="51" t="n"/>
      <c r="N72" s="51" t="n"/>
      <c r="O72" s="51" t="n"/>
      <c r="P72" s="51" t="n"/>
      <c r="Q72" s="51" t="n"/>
      <c r="R72" s="51" t="n"/>
      <c r="S72" s="51" t="n"/>
      <c r="T72" s="51" t="n"/>
      <c r="U72" s="51" t="n"/>
      <c r="V72" s="51" t="n"/>
      <c r="W72" s="51" t="n"/>
      <c r="X72" s="51" t="n"/>
      <c r="Y72" s="51" t="n"/>
      <c r="Z72" s="51" t="n"/>
      <c r="AA72" s="51" t="n"/>
      <c r="AB72" s="51" t="n"/>
      <c r="AC72" s="51" t="n"/>
      <c r="AD72" s="51" t="n"/>
      <c r="AE72" s="51" t="n"/>
      <c r="AF72" s="99" t="n"/>
      <c r="AG72" s="51" t="n"/>
      <c r="AH72" s="51" t="n"/>
      <c r="AI72" s="51" t="n"/>
      <c r="AJ72" s="51" t="n"/>
      <c r="AK72" s="51" t="n"/>
      <c r="AL72" s="51" t="n"/>
      <c r="AM72" s="51" t="n"/>
      <c r="AN72" s="51" t="n"/>
      <c r="AO72" s="51" t="n"/>
      <c r="AP72" s="51" t="n"/>
      <c r="AQ72" s="51" t="n"/>
      <c r="AR72" s="51" t="n"/>
      <c r="AS72" s="51" t="n"/>
      <c r="AT72" s="51" t="n"/>
    </row>
    <row r="73">
      <c r="A73" s="8" t="n"/>
      <c r="B73" s="14" t="n"/>
      <c r="C73" s="41" t="n"/>
      <c r="D73" s="23" t="n"/>
      <c r="E73" s="24" t="n"/>
      <c r="F73" s="25" t="n"/>
      <c r="G73" s="51" t="n"/>
      <c r="H73" s="51" t="n"/>
      <c r="I73" s="51" t="n"/>
      <c r="J73" s="51" t="n"/>
      <c r="K73" s="51" t="n"/>
      <c r="L73" s="51" t="n"/>
      <c r="M73" s="51" t="n"/>
      <c r="N73" s="51" t="n"/>
      <c r="O73" s="51" t="n"/>
      <c r="P73" s="51" t="n"/>
      <c r="Q73" s="51" t="n"/>
      <c r="R73" s="51" t="n"/>
      <c r="S73" s="51" t="n"/>
      <c r="T73" s="100" t="inlineStr">
        <is>
          <t>Trein</t>
        </is>
      </c>
      <c r="U73" s="100" t="inlineStr">
        <is>
          <t>Espec</t>
        </is>
      </c>
      <c r="V73" s="51" t="n"/>
      <c r="W73" s="51" t="n"/>
      <c r="X73" s="51" t="n"/>
      <c r="Y73" s="51" t="n"/>
      <c r="Z73" s="51" t="n"/>
      <c r="AA73" s="51" t="n"/>
      <c r="AB73" s="51" t="n"/>
      <c r="AC73" s="51" t="n"/>
      <c r="AD73" s="51" t="n"/>
      <c r="AE73" s="51" t="n"/>
      <c r="AF73" s="99" t="n"/>
      <c r="AG73" s="51" t="n"/>
      <c r="AH73" s="100" t="inlineStr">
        <is>
          <t>Extra</t>
        </is>
      </c>
      <c r="AI73" s="51" t="n"/>
      <c r="AJ73" s="51" t="n"/>
      <c r="AK73" s="55" t="inlineStr">
        <is>
          <t>TREINAMENTO EM ARMAS</t>
        </is>
      </c>
      <c r="AL73" s="16" t="n"/>
      <c r="AM73" s="16" t="n"/>
      <c r="AN73" s="16" t="n"/>
      <c r="AO73" s="16" t="n"/>
      <c r="AP73" s="16" t="n"/>
      <c r="AQ73" s="16" t="n"/>
      <c r="AR73" s="16" t="n"/>
      <c r="AS73" s="16" t="n"/>
      <c r="AT73" s="17" t="n"/>
    </row>
    <row r="74">
      <c r="A74" s="8" t="n"/>
      <c r="B74" s="14" t="n"/>
      <c r="C74" s="41" t="n"/>
      <c r="D74" s="100" t="inlineStr">
        <is>
          <t>Trein</t>
        </is>
      </c>
      <c r="E74" s="100" t="inlineStr">
        <is>
          <t>Espec</t>
        </is>
      </c>
      <c r="F74" s="51" t="n"/>
      <c r="G74" s="51" t="n"/>
      <c r="H74" s="51" t="n"/>
      <c r="I74" s="51" t="n"/>
      <c r="J74" s="51" t="n"/>
      <c r="K74" s="51" t="n"/>
      <c r="L74" s="51" t="n"/>
      <c r="M74" s="51" t="n"/>
      <c r="N74" s="51" t="n"/>
      <c r="O74" s="51" t="n"/>
      <c r="P74" s="51" t="n"/>
      <c r="Q74" s="51" t="n"/>
      <c r="R74" s="100" t="inlineStr">
        <is>
          <t>Extra</t>
        </is>
      </c>
      <c r="S74" s="51" t="n"/>
      <c r="T74" s="101" t="b">
        <v>0</v>
      </c>
      <c r="U74" s="101" t="b">
        <v>0</v>
      </c>
      <c r="V74" s="102" t="inlineStr">
        <is>
          <t>Sobrevivência</t>
        </is>
      </c>
      <c r="W74" s="16" t="n"/>
      <c r="X74" s="16" t="n"/>
      <c r="Y74" s="16" t="n"/>
      <c r="Z74" s="16" t="n"/>
      <c r="AA74" s="16" t="n"/>
      <c r="AB74" s="16" t="n"/>
      <c r="AC74" s="17" t="n"/>
      <c r="AD74" s="73" t="inlineStr">
        <is>
          <t>Int</t>
        </is>
      </c>
      <c r="AE74" s="17" t="n"/>
      <c r="AF74" s="103">
        <f>$AB$19 + IF(U74, $D$62 + INT($D$62 / 2), IF(T74, $D$62, 0)) + AH74</f>
        <v/>
      </c>
      <c r="AG74" s="17" t="n"/>
      <c r="AH74" s="104" t="n"/>
      <c r="AI74" s="51" t="n"/>
      <c r="AJ74" s="51" t="n"/>
      <c r="AK74" s="98">
        <f>IF(FICHA!$D$11="Escolha seu Caminho","—",IF(OR(FICHA!$D$11="Bastião",FICHA!$D$11="Vanguarda",FICHA!$D$11="Incursor"),"Treinado em Todas as Armas","Treinado em Arma de Fogo e Balestra"))</f>
        <v/>
      </c>
      <c r="AL74" s="19" t="n"/>
      <c r="AM74" s="19" t="n"/>
      <c r="AN74" s="19" t="n"/>
      <c r="AO74" s="19" t="n"/>
      <c r="AP74" s="19" t="n"/>
      <c r="AQ74" s="19" t="n"/>
      <c r="AR74" s="19" t="n"/>
      <c r="AS74" s="19" t="n"/>
      <c r="AT74" s="20" t="n"/>
    </row>
    <row r="75">
      <c r="A75" s="8" t="n"/>
      <c r="B75" s="14" t="n"/>
      <c r="C75" s="41" t="n"/>
      <c r="D75" s="101" t="b">
        <v>0</v>
      </c>
      <c r="E75" s="101" t="b">
        <v>0</v>
      </c>
      <c r="F75" s="102" t="inlineStr">
        <is>
          <t>Atletismo</t>
        </is>
      </c>
      <c r="G75" s="16" t="n"/>
      <c r="H75" s="16" t="n"/>
      <c r="I75" s="16" t="n"/>
      <c r="J75" s="16" t="n"/>
      <c r="K75" s="16" t="n"/>
      <c r="L75" s="16" t="n"/>
      <c r="M75" s="17" t="n"/>
      <c r="N75" s="73" t="inlineStr">
        <is>
          <t>For</t>
        </is>
      </c>
      <c r="O75" s="17" t="n"/>
      <c r="P75" s="103">
        <f>$D$19 + IF(E75, $D$62 + INT($D$62 / 2), IF(D75, $D$62, 0)) + R75</f>
        <v/>
      </c>
      <c r="Q75" s="17" t="n"/>
      <c r="R75" s="104" t="n"/>
      <c r="S75" s="51" t="n"/>
      <c r="T75" s="101" t="b">
        <v>0</v>
      </c>
      <c r="U75" s="101" t="b">
        <v>0</v>
      </c>
      <c r="V75" s="102" t="inlineStr">
        <is>
          <t>Natureza</t>
        </is>
      </c>
      <c r="W75" s="16" t="n"/>
      <c r="X75" s="16" t="n"/>
      <c r="Y75" s="16" t="n"/>
      <c r="Z75" s="16" t="n"/>
      <c r="AA75" s="16" t="n"/>
      <c r="AB75" s="16" t="n"/>
      <c r="AC75" s="17" t="n"/>
      <c r="AD75" s="73" t="inlineStr">
        <is>
          <t>Int</t>
        </is>
      </c>
      <c r="AE75" s="17" t="n"/>
      <c r="AF75" s="103">
        <f>$AB$19 + IF(U75, $D$62 + INT($D$62 / 2), IF(T75, $D$62, 0)) + AH75</f>
        <v/>
      </c>
      <c r="AG75" s="17" t="n"/>
      <c r="AH75" s="104" t="n"/>
      <c r="AI75" s="51" t="n"/>
      <c r="AJ75" s="51" t="n"/>
      <c r="AK75" s="23" t="n"/>
      <c r="AL75" s="24" t="n"/>
      <c r="AM75" s="24" t="n"/>
      <c r="AN75" s="24" t="n"/>
      <c r="AO75" s="24" t="n"/>
      <c r="AP75" s="24" t="n"/>
      <c r="AQ75" s="24" t="n"/>
      <c r="AR75" s="24" t="n"/>
      <c r="AS75" s="24" t="n"/>
      <c r="AT75" s="25" t="n"/>
    </row>
    <row r="76">
      <c r="A76" s="8" t="n"/>
      <c r="B76" s="14" t="n"/>
      <c r="C76" s="41" t="n"/>
      <c r="D76" s="101" t="b">
        <v>0</v>
      </c>
      <c r="E76" s="101" t="b">
        <v>0</v>
      </c>
      <c r="F76" s="102" t="inlineStr">
        <is>
          <t>Acrobacia</t>
        </is>
      </c>
      <c r="G76" s="16" t="n"/>
      <c r="H76" s="16" t="n"/>
      <c r="I76" s="16" t="n"/>
      <c r="J76" s="16" t="n"/>
      <c r="K76" s="16" t="n"/>
      <c r="L76" s="16" t="n"/>
      <c r="M76" s="17" t="n"/>
      <c r="N76" s="73" t="inlineStr">
        <is>
          <t>Des</t>
        </is>
      </c>
      <c r="O76" s="17" t="n"/>
      <c r="P76" s="103">
        <f>$L$19 + IF(E76, $D$62 + INT($D$62 / 2), IF(D76, $D$62, 0)) + R76</f>
        <v/>
      </c>
      <c r="Q76" s="17" t="n"/>
      <c r="R76" s="104" t="n"/>
      <c r="S76" s="51" t="n"/>
      <c r="T76" s="101" t="b">
        <v>0</v>
      </c>
      <c r="U76" s="101" t="b">
        <v>0</v>
      </c>
      <c r="V76" s="102" t="inlineStr">
        <is>
          <t>Lidar com Animais</t>
        </is>
      </c>
      <c r="W76" s="16" t="n"/>
      <c r="X76" s="16" t="n"/>
      <c r="Y76" s="16" t="n"/>
      <c r="Z76" s="16" t="n"/>
      <c r="AA76" s="16" t="n"/>
      <c r="AB76" s="16" t="n"/>
      <c r="AC76" s="17" t="n"/>
      <c r="AD76" s="73" t="inlineStr">
        <is>
          <t>Int</t>
        </is>
      </c>
      <c r="AE76" s="17" t="n"/>
      <c r="AF76" s="103">
        <f>$AB$19 + IF(U76, $D$62 + INT($D$62 / 2), IF(T76, $D$62, 0)) + AH76</f>
        <v/>
      </c>
      <c r="AG76" s="17" t="n"/>
      <c r="AH76" s="104" t="n"/>
      <c r="AI76" s="51" t="n"/>
      <c r="AJ76" s="51" t="n"/>
      <c r="AK76" s="105" t="inlineStr">
        <is>
          <t>Não trocou</t>
        </is>
      </c>
      <c r="AL76" s="19" t="n"/>
      <c r="AM76" s="19" t="n"/>
      <c r="AN76" s="19" t="n"/>
      <c r="AO76" s="19" t="n"/>
      <c r="AP76" s="19" t="n"/>
      <c r="AQ76" s="19" t="n"/>
      <c r="AR76" s="19" t="n"/>
      <c r="AS76" s="19" t="n"/>
      <c r="AT76" s="20" t="n"/>
    </row>
    <row r="77">
      <c r="A77" s="8" t="n"/>
      <c r="B77" s="14" t="n"/>
      <c r="C77" s="41" t="n"/>
      <c r="D77" s="101" t="b">
        <v>0</v>
      </c>
      <c r="E77" s="101" t="b">
        <v>0</v>
      </c>
      <c r="F77" s="102" t="inlineStr">
        <is>
          <t>Furtividade</t>
        </is>
      </c>
      <c r="G77" s="16" t="n"/>
      <c r="H77" s="16" t="n"/>
      <c r="I77" s="16" t="n"/>
      <c r="J77" s="16" t="n"/>
      <c r="K77" s="16" t="n"/>
      <c r="L77" s="16" t="n"/>
      <c r="M77" s="17" t="n"/>
      <c r="N77" s="73" t="inlineStr">
        <is>
          <t>Des</t>
        </is>
      </c>
      <c r="O77" s="17" t="n"/>
      <c r="P77" s="103">
        <f>$L$19 + IF(E77, $D$62 + INT($D$62 / 2), IF(D77, $D$62, 0)) + R77</f>
        <v/>
      </c>
      <c r="Q77" s="17" t="n"/>
      <c r="R77" s="104" t="n"/>
      <c r="S77" s="51" t="n"/>
      <c r="T77" s="101" t="b">
        <v>0</v>
      </c>
      <c r="U77" s="101" t="b">
        <v>0</v>
      </c>
      <c r="V77" s="102" t="inlineStr">
        <is>
          <t>Tecnologia</t>
        </is>
      </c>
      <c r="W77" s="16" t="n"/>
      <c r="X77" s="16" t="n"/>
      <c r="Y77" s="16" t="n"/>
      <c r="Z77" s="16" t="n"/>
      <c r="AA77" s="16" t="n"/>
      <c r="AB77" s="16" t="n"/>
      <c r="AC77" s="17" t="n"/>
      <c r="AD77" s="73" t="inlineStr">
        <is>
          <t>Int</t>
        </is>
      </c>
      <c r="AE77" s="17" t="n"/>
      <c r="AF77" s="103">
        <f>$AB$19 + IF(U77, $D$62 + INT($D$62 / 2), IF(T77, $D$62, 0)) + AH77</f>
        <v/>
      </c>
      <c r="AG77" s="17" t="n"/>
      <c r="AH77" s="104" t="n"/>
      <c r="AI77" s="51" t="n"/>
      <c r="AJ77" s="51" t="n"/>
      <c r="AK77" s="23" t="n"/>
      <c r="AL77" s="24" t="n"/>
      <c r="AM77" s="24" t="n"/>
      <c r="AN77" s="24" t="n"/>
      <c r="AO77" s="24" t="n"/>
      <c r="AP77" s="24" t="n"/>
      <c r="AQ77" s="24" t="n"/>
      <c r="AR77" s="24" t="n"/>
      <c r="AS77" s="24" t="n"/>
      <c r="AT77" s="25" t="n"/>
    </row>
    <row r="78">
      <c r="A78" s="8" t="n"/>
      <c r="B78" s="14" t="n"/>
      <c r="C78" s="41" t="n"/>
      <c r="D78" s="101" t="b">
        <v>0</v>
      </c>
      <c r="E78" s="101" t="b">
        <v>0</v>
      </c>
      <c r="F78" s="102" t="inlineStr">
        <is>
          <t>Pontaria</t>
        </is>
      </c>
      <c r="G78" s="16" t="n"/>
      <c r="H78" s="16" t="n"/>
      <c r="I78" s="16" t="n"/>
      <c r="J78" s="16" t="n"/>
      <c r="K78" s="16" t="n"/>
      <c r="L78" s="16" t="n"/>
      <c r="M78" s="17" t="n"/>
      <c r="N78" s="73" t="inlineStr">
        <is>
          <t>Des</t>
        </is>
      </c>
      <c r="O78" s="17" t="n"/>
      <c r="P78" s="103">
        <f>$L$19 + IF(E78, $D$62 + INT($D$62 / 2), IF(D78, $D$62, 0)) + R78</f>
        <v/>
      </c>
      <c r="Q78" s="17" t="n"/>
      <c r="R78" s="104" t="n"/>
      <c r="S78" s="51" t="n"/>
      <c r="T78" s="101" t="b">
        <v>0</v>
      </c>
      <c r="U78" s="101" t="b">
        <v>0</v>
      </c>
      <c r="V78" s="102" t="inlineStr">
        <is>
          <t>Medicina</t>
        </is>
      </c>
      <c r="W78" s="16" t="n"/>
      <c r="X78" s="16" t="n"/>
      <c r="Y78" s="16" t="n"/>
      <c r="Z78" s="16" t="n"/>
      <c r="AA78" s="16" t="n"/>
      <c r="AB78" s="16" t="n"/>
      <c r="AC78" s="17" t="n"/>
      <c r="AD78" s="73" t="inlineStr">
        <is>
          <t>Int</t>
        </is>
      </c>
      <c r="AE78" s="17" t="n"/>
      <c r="AF78" s="103">
        <f>$AB$19 + IF(U78, $D$62 + INT($D$62 / 2), IF(T78, $D$62, 0)) + AH78</f>
        <v/>
      </c>
      <c r="AG78" s="17" t="n"/>
      <c r="AH78" s="104" t="n"/>
      <c r="AI78" s="51" t="n"/>
      <c r="AJ78" s="51" t="n"/>
      <c r="AK78" s="105">
        <f>IF(AK76="Não trocou","Anotações e Equipamentos","Treinamentos Extras")</f>
        <v/>
      </c>
      <c r="AL78" s="19" t="n"/>
      <c r="AM78" s="19" t="n"/>
      <c r="AN78" s="19" t="n"/>
      <c r="AO78" s="19" t="n"/>
      <c r="AP78" s="19" t="n"/>
      <c r="AQ78" s="19" t="n"/>
      <c r="AR78" s="19" t="n"/>
      <c r="AS78" s="19" t="n"/>
      <c r="AT78" s="20" t="n"/>
    </row>
    <row r="79">
      <c r="A79" s="8" t="n"/>
      <c r="B79" s="14" t="n"/>
      <c r="C79" s="41" t="n"/>
      <c r="D79" s="101" t="b">
        <v>0</v>
      </c>
      <c r="E79" s="101" t="b">
        <v>0</v>
      </c>
      <c r="F79" s="102" t="inlineStr">
        <is>
          <t>Prestidigitação</t>
        </is>
      </c>
      <c r="G79" s="16" t="n"/>
      <c r="H79" s="16" t="n"/>
      <c r="I79" s="16" t="n"/>
      <c r="J79" s="16" t="n"/>
      <c r="K79" s="16" t="n"/>
      <c r="L79" s="16" t="n"/>
      <c r="M79" s="17" t="n"/>
      <c r="N79" s="73" t="inlineStr">
        <is>
          <t>Des</t>
        </is>
      </c>
      <c r="O79" s="17" t="n"/>
      <c r="P79" s="103">
        <f>$L$19 + IF(E79, $D$62 + INT($D$62 / 2), IF(D79, $D$62, 0)) + R79</f>
        <v/>
      </c>
      <c r="Q79" s="17" t="n"/>
      <c r="R79" s="104" t="n"/>
      <c r="S79" s="51" t="n"/>
      <c r="T79" s="101" t="b">
        <v>0</v>
      </c>
      <c r="U79" s="101" t="b">
        <v>0</v>
      </c>
      <c r="V79" s="102" t="inlineStr">
        <is>
          <t>Sentir Energia</t>
        </is>
      </c>
      <c r="W79" s="16" t="n"/>
      <c r="X79" s="16" t="n"/>
      <c r="Y79" s="16" t="n"/>
      <c r="Z79" s="16" t="n"/>
      <c r="AA79" s="16" t="n"/>
      <c r="AB79" s="16" t="n"/>
      <c r="AC79" s="17" t="n"/>
      <c r="AD79" s="73" t="inlineStr">
        <is>
          <t>Ess</t>
        </is>
      </c>
      <c r="AE79" s="17" t="n"/>
      <c r="AF79" s="103">
        <f>$AJ$19 + IF(U79, $D$62 + INT($D$62 / 2), IF(T79, $D$62, 0)) + AH79</f>
        <v/>
      </c>
      <c r="AG79" s="17" t="n"/>
      <c r="AH79" s="104" t="n"/>
      <c r="AI79" s="51" t="n"/>
      <c r="AJ79" s="51" t="n"/>
      <c r="AK79" s="23" t="n"/>
      <c r="AL79" s="24" t="n"/>
      <c r="AM79" s="24" t="n"/>
      <c r="AN79" s="24" t="n"/>
      <c r="AO79" s="24" t="n"/>
      <c r="AP79" s="24" t="n"/>
      <c r="AQ79" s="24" t="n"/>
      <c r="AR79" s="24" t="n"/>
      <c r="AS79" s="24" t="n"/>
      <c r="AT79" s="25" t="n"/>
    </row>
    <row r="80">
      <c r="A80" s="8" t="n"/>
      <c r="B80" s="14" t="n"/>
      <c r="C80" s="41" t="n"/>
      <c r="D80" s="101" t="b">
        <v>0</v>
      </c>
      <c r="E80" s="101" t="b">
        <v>0</v>
      </c>
      <c r="F80" s="102" t="inlineStr">
        <is>
          <t>Investigação</t>
        </is>
      </c>
      <c r="G80" s="16" t="n"/>
      <c r="H80" s="16" t="n"/>
      <c r="I80" s="16" t="n"/>
      <c r="J80" s="16" t="n"/>
      <c r="K80" s="16" t="n"/>
      <c r="L80" s="16" t="n"/>
      <c r="M80" s="17" t="n"/>
      <c r="N80" s="73" t="inlineStr">
        <is>
          <t>Int</t>
        </is>
      </c>
      <c r="O80" s="17" t="n"/>
      <c r="P80" s="103">
        <f>$AB$19 + IF(E80, $D$62 + INT($D$62 / 2), IF(D80, $D$62, 0)) + R80</f>
        <v/>
      </c>
      <c r="Q80" s="17" t="n"/>
      <c r="R80" s="104" t="n"/>
      <c r="S80" s="51" t="n"/>
      <c r="T80" s="101" t="b">
        <v>0</v>
      </c>
      <c r="U80" s="101" t="b">
        <v>0</v>
      </c>
      <c r="V80" s="102" t="inlineStr">
        <is>
          <t>Percepção</t>
        </is>
      </c>
      <c r="W80" s="16" t="n"/>
      <c r="X80" s="16" t="n"/>
      <c r="Y80" s="16" t="n"/>
      <c r="Z80" s="16" t="n"/>
      <c r="AA80" s="16" t="n"/>
      <c r="AB80" s="16" t="n"/>
      <c r="AC80" s="17" t="n"/>
      <c r="AD80" s="73" t="inlineStr">
        <is>
          <t>Ess</t>
        </is>
      </c>
      <c r="AE80" s="17" t="n"/>
      <c r="AF80" s="103">
        <f>$AJ$19 + IF(U80, $D$62 + INT($D$62 / 2), IF(T80, $D$62, 0)) + AH80</f>
        <v/>
      </c>
      <c r="AG80" s="17" t="n"/>
      <c r="AH80" s="104" t="n"/>
      <c r="AI80" s="51" t="n"/>
      <c r="AJ80" s="51" t="n"/>
      <c r="AK80" s="106" t="n"/>
      <c r="AL80" s="19" t="n"/>
      <c r="AM80" s="19" t="n"/>
      <c r="AN80" s="19" t="n"/>
      <c r="AO80" s="19" t="n"/>
      <c r="AP80" s="19" t="n"/>
      <c r="AQ80" s="19" t="n"/>
      <c r="AR80" s="19" t="n"/>
      <c r="AS80" s="19" t="n"/>
      <c r="AT80" s="20" t="n"/>
    </row>
    <row r="81">
      <c r="A81" s="8" t="n"/>
      <c r="B81" s="14" t="n"/>
      <c r="C81" s="41" t="n"/>
      <c r="D81" s="101" t="b">
        <v>0</v>
      </c>
      <c r="E81" s="101" t="b">
        <v>0</v>
      </c>
      <c r="F81" s="102" t="inlineStr">
        <is>
          <t>Intuição</t>
        </is>
      </c>
      <c r="G81" s="16" t="n"/>
      <c r="H81" s="16" t="n"/>
      <c r="I81" s="16" t="n"/>
      <c r="J81" s="16" t="n"/>
      <c r="K81" s="16" t="n"/>
      <c r="L81" s="16" t="n"/>
      <c r="M81" s="17" t="n"/>
      <c r="N81" s="73" t="inlineStr">
        <is>
          <t>Int</t>
        </is>
      </c>
      <c r="O81" s="17" t="n"/>
      <c r="P81" s="103">
        <f>$AB$19 + IF(E81, $D$62 + INT($D$62 / 2), IF(D81, $D$62, 0)) + R81</f>
        <v/>
      </c>
      <c r="Q81" s="17" t="n"/>
      <c r="R81" s="104" t="n"/>
      <c r="S81" s="51" t="n"/>
      <c r="T81" s="101" t="b">
        <v>0</v>
      </c>
      <c r="U81" s="101" t="b">
        <v>0</v>
      </c>
      <c r="V81" s="102" t="inlineStr">
        <is>
          <t>Persuasão</t>
        </is>
      </c>
      <c r="W81" s="16" t="n"/>
      <c r="X81" s="16" t="n"/>
      <c r="Y81" s="16" t="n"/>
      <c r="Z81" s="16" t="n"/>
      <c r="AA81" s="16" t="n"/>
      <c r="AB81" s="16" t="n"/>
      <c r="AC81" s="17" t="n"/>
      <c r="AD81" s="73" t="inlineStr">
        <is>
          <t>Ess</t>
        </is>
      </c>
      <c r="AE81" s="17" t="n"/>
      <c r="AF81" s="103">
        <f>$AJ$19 + IF(U81, $D$62 + INT($D$62 / 2), IF(T81, $D$62, 0)) + AH81</f>
        <v/>
      </c>
      <c r="AG81" s="17" t="n"/>
      <c r="AH81" s="104" t="n"/>
      <c r="AI81" s="51" t="n"/>
      <c r="AJ81" s="51" t="n"/>
      <c r="AK81" s="23" t="n"/>
      <c r="AL81" s="24" t="n"/>
      <c r="AM81" s="24" t="n"/>
      <c r="AN81" s="24" t="n"/>
      <c r="AO81" s="24" t="n"/>
      <c r="AP81" s="24" t="n"/>
      <c r="AQ81" s="24" t="n"/>
      <c r="AR81" s="24" t="n"/>
      <c r="AS81" s="24" t="n"/>
      <c r="AT81" s="25" t="n"/>
    </row>
    <row r="82">
      <c r="A82" s="8" t="n"/>
      <c r="B82" s="14" t="n"/>
      <c r="C82" s="41" t="n"/>
      <c r="D82" s="101" t="b">
        <v>0</v>
      </c>
      <c r="E82" s="101" t="b">
        <v>0</v>
      </c>
      <c r="F82" s="102" t="inlineStr">
        <is>
          <t>Ocultismo</t>
        </is>
      </c>
      <c r="G82" s="16" t="n"/>
      <c r="H82" s="16" t="n"/>
      <c r="I82" s="16" t="n"/>
      <c r="J82" s="16" t="n"/>
      <c r="K82" s="16" t="n"/>
      <c r="L82" s="16" t="n"/>
      <c r="M82" s="17" t="n"/>
      <c r="N82" s="73" t="inlineStr">
        <is>
          <t>Int</t>
        </is>
      </c>
      <c r="O82" s="17" t="n"/>
      <c r="P82" s="103">
        <f>$AB$19 + IF(E82, $D$62 + INT($D$62 / 2), IF(D82, $D$62, 0)) + R82</f>
        <v/>
      </c>
      <c r="Q82" s="17" t="n"/>
      <c r="R82" s="104" t="n"/>
      <c r="S82" s="51" t="n"/>
      <c r="T82" s="101" t="b">
        <v>0</v>
      </c>
      <c r="U82" s="101" t="b">
        <v>0</v>
      </c>
      <c r="V82" s="102" t="inlineStr">
        <is>
          <t>Enganação</t>
        </is>
      </c>
      <c r="W82" s="16" t="n"/>
      <c r="X82" s="16" t="n"/>
      <c r="Y82" s="16" t="n"/>
      <c r="Z82" s="16" t="n"/>
      <c r="AA82" s="16" t="n"/>
      <c r="AB82" s="16" t="n"/>
      <c r="AC82" s="17" t="n"/>
      <c r="AD82" s="73" t="inlineStr">
        <is>
          <t>Ess</t>
        </is>
      </c>
      <c r="AE82" s="17" t="n"/>
      <c r="AF82" s="103">
        <f>$AJ$19 + IF(U82, $D$62 + INT($D$62 / 2), IF(T82, $D$62, 0)) + AH82</f>
        <v/>
      </c>
      <c r="AG82" s="17" t="n"/>
      <c r="AH82" s="104" t="n"/>
      <c r="AI82" s="51" t="n"/>
      <c r="AJ82" s="51" t="n"/>
      <c r="AK82" s="51" t="n"/>
      <c r="AL82" s="51" t="n"/>
      <c r="AM82" s="51" t="n"/>
    </row>
    <row r="83">
      <c r="A83" s="8" t="n"/>
      <c r="B83" s="14" t="n"/>
      <c r="C83" s="41" t="n"/>
      <c r="D83" s="101" t="b">
        <v>0</v>
      </c>
      <c r="E83" s="101" t="b">
        <v>0</v>
      </c>
      <c r="F83" s="102" t="inlineStr">
        <is>
          <t>Religião</t>
        </is>
      </c>
      <c r="G83" s="16" t="n"/>
      <c r="H83" s="16" t="n"/>
      <c r="I83" s="16" t="n"/>
      <c r="J83" s="16" t="n"/>
      <c r="K83" s="16" t="n"/>
      <c r="L83" s="16" t="n"/>
      <c r="M83" s="17" t="n"/>
      <c r="N83" s="73" t="inlineStr">
        <is>
          <t>Int</t>
        </is>
      </c>
      <c r="O83" s="17" t="n"/>
      <c r="P83" s="103">
        <f>$AB$19 + IF(E83, $D$62 + INT($D$62 / 2), IF(D83, $D$62, 0)) + R83</f>
        <v/>
      </c>
      <c r="Q83" s="17" t="n"/>
      <c r="R83" s="104" t="n"/>
      <c r="S83" s="51" t="n"/>
      <c r="T83" s="101" t="b">
        <v>0</v>
      </c>
      <c r="U83" s="101" t="b">
        <v>0</v>
      </c>
      <c r="V83" s="102" t="inlineStr">
        <is>
          <t>Intimidação</t>
        </is>
      </c>
      <c r="W83" s="16" t="n"/>
      <c r="X83" s="16" t="n"/>
      <c r="Y83" s="16" t="n"/>
      <c r="Z83" s="16" t="n"/>
      <c r="AA83" s="16" t="n"/>
      <c r="AB83" s="16" t="n"/>
      <c r="AC83" s="17" t="n"/>
      <c r="AD83" s="73" t="inlineStr">
        <is>
          <t>Ess</t>
        </is>
      </c>
      <c r="AE83" s="17" t="n"/>
      <c r="AF83" s="103">
        <f>$AJ$19 + IF(U83, $D$62 + INT($D$62 / 2), IF(T83, $D$62, 0)) + AH83</f>
        <v/>
      </c>
      <c r="AG83" s="17" t="n"/>
      <c r="AH83" s="104" t="n"/>
      <c r="AI83" s="51" t="n"/>
      <c r="AJ83" s="51" t="n"/>
      <c r="AK83" s="55" t="inlineStr">
        <is>
          <t>Perícias Disponíveis</t>
        </is>
      </c>
      <c r="AL83" s="16" t="n"/>
      <c r="AM83" s="16" t="n"/>
      <c r="AN83" s="16" t="n"/>
      <c r="AO83" s="16" t="n"/>
      <c r="AP83" s="16" t="n"/>
      <c r="AQ83" s="16" t="n"/>
      <c r="AR83" s="16" t="n"/>
      <c r="AS83" s="16" t="n"/>
      <c r="AT83" s="17" t="n"/>
    </row>
    <row r="84">
      <c r="A84" s="8" t="n"/>
      <c r="B84" s="14" t="n"/>
      <c r="C84" s="41" t="n"/>
      <c r="D84" s="101" t="b">
        <v>0</v>
      </c>
      <c r="E84" s="101" t="b">
        <v>0</v>
      </c>
      <c r="F84" s="102" t="inlineStr">
        <is>
          <t>História</t>
        </is>
      </c>
      <c r="G84" s="16" t="n"/>
      <c r="H84" s="16" t="n"/>
      <c r="I84" s="16" t="n"/>
      <c r="J84" s="16" t="n"/>
      <c r="K84" s="16" t="n"/>
      <c r="L84" s="16" t="n"/>
      <c r="M84" s="17" t="n"/>
      <c r="N84" s="73" t="inlineStr">
        <is>
          <t>Int</t>
        </is>
      </c>
      <c r="O84" s="17" t="n"/>
      <c r="P84" s="103">
        <f>$AB$19 + IF(E84, $D$62 + INT($D$62 / 2), IF(D84, $D$62, 0)) + R84</f>
        <v/>
      </c>
      <c r="Q84" s="17" t="n"/>
      <c r="R84" s="104" t="n"/>
      <c r="S84" s="51" t="n"/>
      <c r="T84" s="101" t="b">
        <v>0</v>
      </c>
      <c r="U84" s="101" t="b">
        <v>0</v>
      </c>
      <c r="V84" s="102" t="inlineStr">
        <is>
          <t>Atuação</t>
        </is>
      </c>
      <c r="W84" s="16" t="n"/>
      <c r="X84" s="16" t="n"/>
      <c r="Y84" s="16" t="n"/>
      <c r="Z84" s="16" t="n"/>
      <c r="AA84" s="16" t="n"/>
      <c r="AB84" s="16" t="n"/>
      <c r="AC84" s="17" t="n"/>
      <c r="AD84" s="73" t="inlineStr">
        <is>
          <t>Ess</t>
        </is>
      </c>
      <c r="AE84" s="17" t="n"/>
      <c r="AF84" s="103">
        <f>$AJ$19 + IF(U84, $D$62 + INT($D$62 / 2), IF(T84, $D$62, 0)) + AH84</f>
        <v/>
      </c>
      <c r="AG84" s="17" t="n"/>
      <c r="AH84" s="104" t="n"/>
      <c r="AI84" s="51" t="n"/>
      <c r="AJ84" s="51" t="n"/>
      <c r="AK84" s="98">
        <f>IF(AND(DADOS!$AK$15&gt;0,$AH$11&lt;10),"Especialização só no nível 10",IF(DADOS!$AK$24&gt;0,DADOS!$AK$24&amp;" a mais",DADOS!$AK$19+DADOS!$AK$21-DADOS!$AK$13&amp;" de "&amp;(DADOS!$AK$19+DADOS!$AK$21)))</f>
        <v/>
      </c>
      <c r="AL84" s="19" t="n"/>
      <c r="AM84" s="19" t="n"/>
      <c r="AN84" s="19" t="n"/>
      <c r="AO84" s="19" t="n"/>
      <c r="AP84" s="19" t="n"/>
      <c r="AQ84" s="19" t="n"/>
      <c r="AR84" s="19" t="n"/>
      <c r="AS84" s="19" t="n"/>
      <c r="AT84" s="20" t="n"/>
    </row>
    <row r="85">
      <c r="A85" s="8" t="n"/>
      <c r="B85" s="14" t="n"/>
      <c r="C85" s="41" t="n"/>
      <c r="D85" s="101" t="b">
        <v>0</v>
      </c>
      <c r="E85" s="101" t="b">
        <v>0</v>
      </c>
      <c r="F85" s="102" t="inlineStr">
        <is>
          <t>Hierarquia</t>
        </is>
      </c>
      <c r="G85" s="16" t="n"/>
      <c r="H85" s="16" t="n"/>
      <c r="I85" s="16" t="n"/>
      <c r="J85" s="16" t="n"/>
      <c r="K85" s="16" t="n"/>
      <c r="L85" s="16" t="n"/>
      <c r="M85" s="17" t="n"/>
      <c r="N85" s="73" t="inlineStr">
        <is>
          <t>Int</t>
        </is>
      </c>
      <c r="O85" s="17" t="n"/>
      <c r="P85" s="103">
        <f>$AB$19 + IF(E85, $D$62 + INT($D$62 / 2), IF(D85, $D$62, 0)) + R85</f>
        <v/>
      </c>
      <c r="Q85" s="17" t="n"/>
      <c r="R85" s="104" t="n"/>
      <c r="S85" s="99" t="n"/>
      <c r="T85" s="101" t="b">
        <v>0</v>
      </c>
      <c r="U85" s="101" t="b">
        <v>0</v>
      </c>
      <c r="V85" s="102" t="inlineStr">
        <is>
          <t>Provocar</t>
        </is>
      </c>
      <c r="W85" s="16" t="n"/>
      <c r="X85" s="16" t="n"/>
      <c r="Y85" s="16" t="n"/>
      <c r="Z85" s="16" t="n"/>
      <c r="AA85" s="16" t="n"/>
      <c r="AB85" s="16" t="n"/>
      <c r="AC85" s="17" t="n"/>
      <c r="AD85" s="73" t="inlineStr">
        <is>
          <t>Ess</t>
        </is>
      </c>
      <c r="AE85" s="17" t="n"/>
      <c r="AF85" s="103">
        <f>$AJ$19 + IF(U85, $D$62 + INT($D$62 / 2), IF(T85, $D$62, 0)) + AH85</f>
        <v/>
      </c>
      <c r="AG85" s="17" t="n"/>
      <c r="AH85" s="104" t="n"/>
      <c r="AI85" s="51" t="n"/>
      <c r="AJ85" s="51" t="n"/>
      <c r="AK85" s="23" t="n"/>
      <c r="AL85" s="24" t="n"/>
      <c r="AM85" s="24" t="n"/>
      <c r="AN85" s="24" t="n"/>
      <c r="AO85" s="24" t="n"/>
      <c r="AP85" s="24" t="n"/>
      <c r="AQ85" s="24" t="n"/>
      <c r="AR85" s="24" t="n"/>
      <c r="AS85" s="24" t="n"/>
      <c r="AT85" s="25"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ht="27" customHeight="1">
      <c r="A87" s="8" t="n"/>
      <c r="B87" s="14" t="n"/>
      <c r="C87" s="41" t="n"/>
      <c r="D87" s="66" t="n">
        <v>6</v>
      </c>
      <c r="E87" s="19" t="n"/>
      <c r="F87" s="20" t="n"/>
      <c r="G87" s="94" t="inlineStr">
        <is>
          <t>OFÍCIOS E TESTES DE RESISTÊNCIA</t>
        </is>
      </c>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c r="AB87" s="16" t="n"/>
      <c r="AC87" s="16" t="n"/>
      <c r="AD87" s="16" t="n"/>
      <c r="AE87" s="16" t="n"/>
      <c r="AF87" s="16" t="n"/>
      <c r="AG87" s="16" t="n"/>
      <c r="AH87" s="17" t="n"/>
      <c r="AI87" s="51" t="n"/>
      <c r="AJ87" s="51" t="n"/>
      <c r="AK87" s="107">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7" s="16" t="n"/>
      <c r="AM87" s="16" t="n"/>
      <c r="AN87" s="16" t="n"/>
      <c r="AO87" s="16" t="n"/>
      <c r="AP87" s="16" t="n"/>
      <c r="AQ87" s="16" t="n"/>
      <c r="AR87" s="16" t="n"/>
      <c r="AS87" s="16" t="n"/>
      <c r="AT87" s="17" t="n"/>
    </row>
    <row r="88">
      <c r="A88" s="8" t="n"/>
      <c r="B88" s="14" t="n"/>
      <c r="C88" s="41" t="n"/>
      <c r="D88" s="23" t="n"/>
      <c r="E88" s="24" t="n"/>
      <c r="F88" s="25" t="n"/>
      <c r="G88" s="51" t="n"/>
      <c r="H88" s="51" t="n"/>
      <c r="I88" s="51" t="n"/>
      <c r="J88" s="51" t="n"/>
      <c r="K88" s="51" t="n"/>
      <c r="L88" s="51" t="n"/>
      <c r="M88" s="51" t="n"/>
      <c r="N88" s="51" t="n"/>
      <c r="O88" s="51" t="n"/>
      <c r="P88" s="51" t="n"/>
      <c r="Q88" s="51" t="n"/>
      <c r="R88" s="51" t="n"/>
      <c r="S88" s="51" t="n"/>
      <c r="T88" s="51" t="n"/>
      <c r="U88" s="51" t="n"/>
      <c r="V88" s="51" t="n"/>
      <c r="W88" s="51" t="n"/>
      <c r="X88" s="51" t="n"/>
      <c r="Y88" s="51" t="n"/>
      <c r="Z88" s="51" t="n"/>
      <c r="AA88" s="51" t="n"/>
      <c r="AB88" s="51" t="n"/>
      <c r="AC88" s="51" t="n"/>
      <c r="AD88" s="51" t="n"/>
      <c r="AE88" s="51" t="n"/>
      <c r="AF88" s="51" t="n"/>
      <c r="AG88" s="51" t="n"/>
      <c r="AH88" s="51" t="n"/>
      <c r="AI88" s="51" t="n"/>
      <c r="AJ88" s="51" t="n"/>
      <c r="AK88" s="51" t="n"/>
      <c r="AL88" s="51" t="n"/>
      <c r="AM88" s="51" t="n"/>
      <c r="AN88" s="51" t="n"/>
      <c r="AO88" s="51" t="n"/>
      <c r="AP88" s="51" t="n"/>
      <c r="AQ88" s="51" t="n"/>
      <c r="AR88" s="51" t="n"/>
      <c r="AS88" s="51" t="n"/>
      <c r="AT88" s="51" t="n"/>
    </row>
    <row r="89">
      <c r="A89" s="8" t="n"/>
      <c r="B89" s="14" t="n"/>
      <c r="C89" s="41" t="n"/>
      <c r="D89" s="100" t="inlineStr">
        <is>
          <t>Trein</t>
        </is>
      </c>
      <c r="E89" s="100" t="inlineStr">
        <is>
          <t>Espec</t>
        </is>
      </c>
      <c r="F89" s="51" t="n"/>
      <c r="G89" s="51" t="n"/>
      <c r="H89" s="51" t="n"/>
      <c r="I89" s="51" t="n"/>
      <c r="J89" s="51" t="n"/>
      <c r="K89" s="51" t="n"/>
      <c r="L89" s="51" t="n"/>
      <c r="M89" s="51" t="n"/>
      <c r="N89" s="51" t="n"/>
      <c r="O89" s="100" t="inlineStr">
        <is>
          <t>Extra</t>
        </is>
      </c>
      <c r="P89" s="51" t="n"/>
      <c r="Q89" s="100" t="inlineStr">
        <is>
          <t>Trein</t>
        </is>
      </c>
      <c r="R89" s="100" t="inlineStr">
        <is>
          <t>Espec</t>
        </is>
      </c>
      <c r="S89" s="51" t="n"/>
      <c r="T89" s="51" t="n"/>
      <c r="U89" s="51" t="n"/>
      <c r="V89" s="51" t="n"/>
      <c r="W89" s="51" t="n"/>
      <c r="X89" s="51" t="n"/>
      <c r="Y89" s="51" t="n"/>
      <c r="Z89" s="51" t="n"/>
      <c r="AA89" s="51" t="n"/>
      <c r="AB89" s="100" t="inlineStr">
        <is>
          <t>Extra</t>
        </is>
      </c>
      <c r="AC89" s="51" t="n"/>
      <c r="AD89" s="51" t="n"/>
      <c r="AE89" s="99" t="n"/>
      <c r="AF89" s="100" t="inlineStr">
        <is>
          <t>Trein</t>
        </is>
      </c>
      <c r="AG89" s="51" t="n"/>
      <c r="AH89" s="51" t="n"/>
      <c r="AI89" s="51" t="n"/>
      <c r="AJ89" s="100" t="inlineStr">
        <is>
          <t>Extra</t>
        </is>
      </c>
      <c r="AK89" s="51" t="n"/>
      <c r="AL89" s="51" t="n"/>
      <c r="AM89" s="51" t="n"/>
      <c r="AN89" s="51" t="n"/>
      <c r="AO89" s="51" t="n"/>
      <c r="AP89" s="51" t="n"/>
      <c r="AQ89" s="51" t="n"/>
      <c r="AR89" s="51" t="n"/>
      <c r="AS89" s="51" t="n"/>
      <c r="AT89" s="51" t="n"/>
    </row>
    <row r="90">
      <c r="A90" s="8" t="n"/>
      <c r="B90" s="14" t="n"/>
      <c r="C90" s="41" t="n"/>
      <c r="D90" s="101" t="b">
        <v>0</v>
      </c>
      <c r="E90" s="101" t="b">
        <v>0</v>
      </c>
      <c r="F90" s="108" t="inlineStr">
        <is>
          <t>Condução</t>
        </is>
      </c>
      <c r="G90" s="16" t="n"/>
      <c r="H90" s="16" t="n"/>
      <c r="I90" s="16" t="n"/>
      <c r="J90" s="17" t="n"/>
      <c r="K90" s="109" t="inlineStr">
        <is>
          <t>INTELIGÊNCIA</t>
        </is>
      </c>
      <c r="L90" s="16" t="n"/>
      <c r="M90" s="17" t="n"/>
      <c r="N90" s="110">
        <f>+IFS(K90="FORÇA",$D$19, K90="DESTREZA",$L$19, K90="CONSTITUIÇÃO",$T$19, K90="INTELIGÊNCIA",$AB$19, K90="ESSÊNCIA",$AJ$19) + IF(E90, $D$62 + INT($D$62 / 2), IF(D90, $D$62, 0)) + O90</f>
        <v/>
      </c>
      <c r="O90" s="107" t="n"/>
      <c r="P90" s="51" t="n"/>
      <c r="Q90" s="101" t="b">
        <v>0</v>
      </c>
      <c r="R90" s="101" t="b">
        <v>0</v>
      </c>
      <c r="S90" s="108" t="inlineStr">
        <is>
          <t>Entalhador</t>
        </is>
      </c>
      <c r="T90" s="16" t="n"/>
      <c r="U90" s="16" t="n"/>
      <c r="V90" s="16" t="n"/>
      <c r="W90" s="17" t="n"/>
      <c r="X90" s="109" t="inlineStr">
        <is>
          <t>INTELIGÊNCIA</t>
        </is>
      </c>
      <c r="Y90" s="16" t="n"/>
      <c r="Z90" s="17" t="n"/>
      <c r="AA90" s="111">
        <f>+IFS(X90="FORÇA",$D$19, X90="DESTREZA",$L$19, X90="CONSTITUIÇÃO",$T$19, X90="INTELIGÊNCIA",$AB$19, X90="ESSÊNCIA",$AJ$19) + IF(R90, $D$62 + INT($D$62 / 2), IF(Q90, $D$62, 0)) + AB90</f>
        <v/>
      </c>
      <c r="AB90" s="104" t="n"/>
      <c r="AC90" s="51" t="n"/>
      <c r="AD90" s="51" t="n"/>
      <c r="AE90" s="99" t="n"/>
      <c r="AF90" s="101" t="b">
        <v>0</v>
      </c>
      <c r="AG90" s="112" t="inlineStr">
        <is>
          <t>Físico</t>
        </is>
      </c>
      <c r="AH90" s="16" t="n"/>
      <c r="AI90" s="16" t="n"/>
      <c r="AJ90" s="107" t="n"/>
      <c r="AK90" s="113" t="inlineStr">
        <is>
          <t>FORÇA</t>
        </is>
      </c>
      <c r="AL90" s="16" t="n"/>
      <c r="AM90" s="16" t="n"/>
      <c r="AN90" s="16" t="n"/>
      <c r="AO90" s="17" t="n"/>
      <c r="AP90" s="106">
        <f>+IFS(AK90="FORÇA",$D$19, AK90="DESTREZA",$L$19)+IF($AF$90=TRUE,$D$62,0)+AJ90</f>
        <v/>
      </c>
      <c r="AQ90" s="16" t="n"/>
      <c r="AR90" s="16" t="n"/>
      <c r="AS90" s="16" t="n"/>
      <c r="AT90" s="17" t="n"/>
    </row>
    <row r="91">
      <c r="A91" s="8" t="n"/>
      <c r="B91" s="14" t="n"/>
      <c r="C91" s="41" t="n"/>
      <c r="D91" s="101" t="b">
        <v>0</v>
      </c>
      <c r="E91" s="101" t="b">
        <v>0</v>
      </c>
      <c r="F91" s="108" t="inlineStr">
        <is>
          <t>Arrombamento</t>
        </is>
      </c>
      <c r="G91" s="16" t="n"/>
      <c r="H91" s="16" t="n"/>
      <c r="I91" s="16" t="n"/>
      <c r="J91" s="17" t="n"/>
      <c r="K91" s="109" t="inlineStr">
        <is>
          <t>INTELIGÊNCIA</t>
        </is>
      </c>
      <c r="L91" s="16" t="n"/>
      <c r="M91" s="17" t="n"/>
      <c r="N91" s="111">
        <f>+IFS(K91="FORÇA",$D$19, K91="DESTREZA",$L$19, K91="CONSTITUIÇÃO",$T$19, K91="INTELIGÊNCIA",$AB$19, K91="ESSÊNCIA",$AJ$19) + IF(E91, $D$62 + INT($D$62 / 2), IF(D91, $D$62, 0)) + O91</f>
        <v/>
      </c>
      <c r="O91" s="104" t="n"/>
      <c r="P91" s="51" t="n"/>
      <c r="Q91" s="101" t="b">
        <v>0</v>
      </c>
      <c r="R91" s="101" t="b">
        <v>0</v>
      </c>
      <c r="S91" s="108" t="inlineStr">
        <is>
          <t xml:space="preserve">Alfaiate </t>
        </is>
      </c>
      <c r="T91" s="16" t="n"/>
      <c r="U91" s="16" t="n"/>
      <c r="V91" s="16" t="n"/>
      <c r="W91" s="17" t="n"/>
      <c r="X91" s="109" t="inlineStr">
        <is>
          <t>INTELIGÊNCIA</t>
        </is>
      </c>
      <c r="Y91" s="16" t="n"/>
      <c r="Z91" s="17" t="n"/>
      <c r="AA91" s="111">
        <f>+IFS(X91="FORÇA",$D$19, X91="DESTREZA",$L$19, X91="CONSTITUIÇÃO",$T$19, X91="INTELIGÊNCIA",$AB$19, X91="ESSÊNCIA",$AJ$19) + IF(R91, $D$62 + INT($D$62 / 2), IF(Q91, $D$62, 0)) + AB91</f>
        <v/>
      </c>
      <c r="AB91" s="104" t="n"/>
      <c r="AC91" s="51" t="n"/>
      <c r="AD91" s="51" t="n"/>
      <c r="AE91" s="99" t="n"/>
      <c r="AF91" s="101" t="b">
        <v>0</v>
      </c>
      <c r="AG91" s="112" t="inlineStr">
        <is>
          <t>Vigor</t>
        </is>
      </c>
      <c r="AH91" s="16" t="n"/>
      <c r="AI91" s="16" t="n"/>
      <c r="AJ91" s="107" t="n"/>
      <c r="AK91" s="109" t="inlineStr">
        <is>
          <t xml:space="preserve">CONSTITUIÇÃO </t>
        </is>
      </c>
      <c r="AL91" s="16" t="n"/>
      <c r="AM91" s="16" t="n"/>
      <c r="AN91" s="16" t="n"/>
      <c r="AO91" s="17" t="n"/>
      <c r="AP91" s="106">
        <f>$T$19+IF($AF$91=TRUE,$D$62,0)+AJ91</f>
        <v/>
      </c>
      <c r="AQ91" s="16" t="n"/>
      <c r="AR91" s="16" t="n"/>
      <c r="AS91" s="16" t="n"/>
      <c r="AT91" s="17" t="n"/>
    </row>
    <row r="92">
      <c r="A92" s="8" t="n"/>
      <c r="B92" s="14" t="n"/>
      <c r="C92" s="41" t="n"/>
      <c r="D92" s="101" t="b">
        <v>0</v>
      </c>
      <c r="E92" s="101" t="b">
        <v>0</v>
      </c>
      <c r="F92" s="108" t="inlineStr">
        <is>
          <t>Herbalismo</t>
        </is>
      </c>
      <c r="G92" s="16" t="n"/>
      <c r="H92" s="16" t="n"/>
      <c r="I92" s="16" t="n"/>
      <c r="J92" s="17" t="n"/>
      <c r="K92" s="109" t="inlineStr">
        <is>
          <t>INTELIGÊNCIA</t>
        </is>
      </c>
      <c r="L92" s="16" t="n"/>
      <c r="M92" s="17" t="n"/>
      <c r="N92" s="111">
        <f>+IFS(K92="FORÇA",$D$19, K92="DESTREZA",$L$19, K92="CONSTITUIÇÃO",$T$19, K92="INTELIGÊNCIA",$AB$19, K92="ESSÊNCIA",$AJ$19) + IF(E92, $D$62 + INT($D$62 / 2), IF(D92, $D$62, 0)) + O92</f>
        <v/>
      </c>
      <c r="O92" s="104" t="n"/>
      <c r="P92" s="51" t="n"/>
      <c r="Q92" s="101" t="b">
        <v>0</v>
      </c>
      <c r="R92" s="101" t="b">
        <v>0</v>
      </c>
      <c r="S92" s="102" t="inlineStr">
        <is>
          <t>Culinária</t>
        </is>
      </c>
      <c r="T92" s="16" t="n"/>
      <c r="U92" s="16" t="n"/>
      <c r="V92" s="16" t="n"/>
      <c r="W92" s="17" t="n"/>
      <c r="X92" s="109" t="inlineStr">
        <is>
          <t>INTELIGÊNCIA</t>
        </is>
      </c>
      <c r="Y92" s="16" t="n"/>
      <c r="Z92" s="17" t="n"/>
      <c r="AA92" s="111">
        <f>+IFS(X92="FORÇA",$D$19, X92="DESTREZA",$L$19, X92="CONSTITUIÇÃO",$T$19, X92="INTELIGÊNCIA",$AB$19, X92="ESSÊNCIA",$AJ$19) + IF(R92, $D$62 + INT($D$62 / 2), IF(Q92, $D$62, 0)) + AB92</f>
        <v/>
      </c>
      <c r="AB92" s="104" t="n"/>
      <c r="AC92" s="51" t="n"/>
      <c r="AD92" s="51" t="n"/>
      <c r="AE92" s="99" t="n"/>
      <c r="AF92" s="101" t="b">
        <v>0</v>
      </c>
      <c r="AG92" s="112" t="inlineStr">
        <is>
          <t>Intelecto</t>
        </is>
      </c>
      <c r="AH92" s="16" t="n"/>
      <c r="AI92" s="16" t="n"/>
      <c r="AJ92" s="107" t="n"/>
      <c r="AK92" s="109" t="inlineStr">
        <is>
          <t>INTELIGÊNCIA</t>
        </is>
      </c>
      <c r="AL92" s="16" t="n"/>
      <c r="AM92" s="16" t="n"/>
      <c r="AN92" s="16" t="n"/>
      <c r="AO92" s="17" t="n"/>
      <c r="AP92" s="106">
        <f>$AB$19+IF($AF$92=TRUE,$D$62,0)+AJ92</f>
        <v/>
      </c>
      <c r="AQ92" s="16" t="n"/>
      <c r="AR92" s="16" t="n"/>
      <c r="AS92" s="16" t="n"/>
      <c r="AT92" s="17" t="n"/>
    </row>
    <row r="93">
      <c r="A93" s="8" t="n"/>
      <c r="B93" s="14" t="n"/>
      <c r="C93" s="41" t="n"/>
      <c r="D93" s="101" t="b">
        <v>0</v>
      </c>
      <c r="E93" s="101" t="b">
        <v>0</v>
      </c>
      <c r="F93" s="108" t="inlineStr">
        <is>
          <t>Forja</t>
        </is>
      </c>
      <c r="G93" s="16" t="n"/>
      <c r="H93" s="16" t="n"/>
      <c r="I93" s="16" t="n"/>
      <c r="J93" s="17" t="n"/>
      <c r="K93" s="109" t="inlineStr">
        <is>
          <t>INTELIGÊNCIA</t>
        </is>
      </c>
      <c r="L93" s="16" t="n"/>
      <c r="M93" s="17" t="n"/>
      <c r="N93" s="111">
        <f>+IFS(K93="FORÇA",$D$19, K93="DESTREZA",$L$19, K93="CONSTITUIÇÃO",$T$19, K93="INTELIGÊNCIA",$AB$19, K93="ESSÊNCIA",$AJ$19) + IF(E93, $D$62 + INT($D$62 / 2), IF(D93, $D$62, 0)) + O93</f>
        <v/>
      </c>
      <c r="O93" s="104" t="n"/>
      <c r="P93" s="51" t="n"/>
      <c r="Q93" s="101" t="b">
        <v>0</v>
      </c>
      <c r="R93" s="101" t="b">
        <v>0</v>
      </c>
      <c r="S93" s="108" t="inlineStr">
        <is>
          <t>Jogatina</t>
        </is>
      </c>
      <c r="T93" s="16" t="n"/>
      <c r="U93" s="16" t="n"/>
      <c r="V93" s="16" t="n"/>
      <c r="W93" s="17" t="n"/>
      <c r="X93" s="109" t="inlineStr">
        <is>
          <t>INTELIGÊNCIA</t>
        </is>
      </c>
      <c r="Y93" s="16" t="n"/>
      <c r="Z93" s="17" t="n"/>
      <c r="AA93" s="111">
        <f>+IFS(X93="FORÇA",$D$19, X93="DESTREZA",$L$19, X93="CONSTITUIÇÃO",$T$19, X93="INTELIGÊNCIA",$AB$19, X93="ESSÊNCIA",$AJ$19) + IF(R93, $D$62 + INT($D$62 / 2), IF(Q93, $D$62, 0)) + AB93</f>
        <v/>
      </c>
      <c r="AB93" s="104" t="n"/>
      <c r="AC93" s="51" t="n"/>
      <c r="AD93" s="51" t="n"/>
      <c r="AE93" s="51" t="n"/>
      <c r="AF93" s="101" t="b">
        <v>0</v>
      </c>
      <c r="AG93" s="112" t="inlineStr">
        <is>
          <t>Espírito</t>
        </is>
      </c>
      <c r="AH93" s="16" t="n"/>
      <c r="AI93" s="16" t="n"/>
      <c r="AJ93" s="107" t="n"/>
      <c r="AK93" s="109" t="inlineStr">
        <is>
          <t>ESSÊNCIA</t>
        </is>
      </c>
      <c r="AL93" s="16" t="n"/>
      <c r="AM93" s="16" t="n"/>
      <c r="AN93" s="16" t="n"/>
      <c r="AO93" s="17" t="n"/>
      <c r="AP93" s="106">
        <f>$AJ$19+IF($AF$93=TRUE,$D$62,0)+AJ93</f>
        <v/>
      </c>
      <c r="AQ93" s="16" t="n"/>
      <c r="AR93" s="16" t="n"/>
      <c r="AS93" s="16" t="n"/>
      <c r="AT93" s="17" t="n"/>
    </row>
    <row r="94">
      <c r="A94" s="8" t="n"/>
      <c r="B94" s="14" t="n"/>
      <c r="C94" s="41" t="n"/>
      <c r="D94" s="101" t="b">
        <v>0</v>
      </c>
      <c r="E94" s="101" t="b">
        <v>0</v>
      </c>
      <c r="F94" s="108" t="inlineStr">
        <is>
          <t>Caligrafia</t>
        </is>
      </c>
      <c r="G94" s="16" t="n"/>
      <c r="H94" s="16" t="n"/>
      <c r="I94" s="16" t="n"/>
      <c r="J94" s="17" t="n"/>
      <c r="K94" s="109" t="inlineStr">
        <is>
          <t>INTELIGÊNCIA</t>
        </is>
      </c>
      <c r="L94" s="16" t="n"/>
      <c r="M94" s="17" t="n"/>
      <c r="N94" s="111">
        <f>+IFS(K94="FORÇA",$D$19, K94="DESTREZA",$L$19, K94="CONSTITUIÇÃO",$T$19, K94="INTELIGÊNCIA",$AB$19, K94="ESSÊNCIA",$AJ$19) + IF(E94, $D$62 + INT($D$62 / 2), IF(D94, $D$62, 0)) + O94</f>
        <v/>
      </c>
      <c r="O94" s="104" t="n"/>
      <c r="P94" s="51" t="n"/>
      <c r="Q94" s="101" t="b">
        <v>0</v>
      </c>
      <c r="R94" s="101" t="b">
        <v>0</v>
      </c>
      <c r="S94" s="108" t="inlineStr">
        <is>
          <t>Instrumento</t>
        </is>
      </c>
      <c r="T94" s="16" t="n"/>
      <c r="U94" s="16" t="n"/>
      <c r="V94" s="16" t="n"/>
      <c r="W94" s="17" t="n"/>
      <c r="X94" s="109" t="inlineStr">
        <is>
          <t>INTELIGÊNCIA</t>
        </is>
      </c>
      <c r="Y94" s="16" t="n"/>
      <c r="Z94" s="17" t="n"/>
      <c r="AA94" s="111">
        <f>+IFS(X94="FORÇA",$D$19, X94="DESTREZA",$L$19, X94="CONSTITUIÇÃO",$T$19, X94="INTELIGÊNCIA",$AB$19, X94="ESSÊNCIA",$AJ$19) + IF(R94, $D$62 + INT($D$62 / 2), IF(Q94, $D$62, 0)) + AB94</f>
        <v/>
      </c>
      <c r="AB94" s="104"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101" t="b">
        <v>0</v>
      </c>
      <c r="E95" s="101" t="b">
        <v>0</v>
      </c>
      <c r="F95" s="108" t="inlineStr">
        <is>
          <t>Burocracia</t>
        </is>
      </c>
      <c r="G95" s="16" t="n"/>
      <c r="H95" s="16" t="n"/>
      <c r="I95" s="16" t="n"/>
      <c r="J95" s="17" t="n"/>
      <c r="K95" s="109" t="inlineStr">
        <is>
          <t>INTELIGÊNCIA</t>
        </is>
      </c>
      <c r="L95" s="16" t="n"/>
      <c r="M95" s="17" t="n"/>
      <c r="N95" s="111">
        <f>+IFS(K95="FORÇA",$D$19, K95="DESTREZA",$L$19, K95="CONSTITUIÇÃO",$T$19, K95="INTELIGÊNCIA",$AB$19, K95="ESSÊNCIA",$AJ$19) + IF(E95, $D$62 + INT($D$62 / 2), IF(D95, $D$62, 0)) + O95</f>
        <v/>
      </c>
      <c r="O95" s="104" t="n"/>
      <c r="P95" s="51" t="n"/>
      <c r="Q95" s="51" t="n"/>
      <c r="R95" s="51" t="n"/>
      <c r="S95" s="51" t="n"/>
      <c r="T95" s="51" t="n"/>
      <c r="U95" s="51" t="n"/>
      <c r="V95" s="51" t="n"/>
      <c r="W95" s="51" t="n"/>
      <c r="X95" s="51" t="n"/>
      <c r="Y95" s="51" t="n"/>
      <c r="Z95" s="51" t="n"/>
      <c r="AA95" s="51" t="n"/>
      <c r="AB95" s="51" t="n"/>
      <c r="AC95" s="51" t="n"/>
      <c r="AD95" s="51" t="n"/>
      <c r="AE95" s="51" t="n"/>
      <c r="AF95" s="114" t="inlineStr">
        <is>
          <t>Ofícios Disponíveis</t>
        </is>
      </c>
      <c r="AG95" s="16" t="n"/>
      <c r="AH95" s="16" t="n"/>
      <c r="AI95" s="16" t="n"/>
      <c r="AJ95" s="16" t="n"/>
      <c r="AK95" s="16" t="n"/>
      <c r="AL95" s="16" t="n"/>
      <c r="AM95" s="17" t="n"/>
      <c r="AN95" s="115" t="inlineStr">
        <is>
          <t>Testes de Resistência Disponíveis</t>
        </is>
      </c>
      <c r="AO95" s="16" t="n"/>
      <c r="AP95" s="16" t="n"/>
      <c r="AQ95" s="16" t="n"/>
      <c r="AR95" s="16" t="n"/>
      <c r="AS95" s="16" t="n"/>
      <c r="AT95" s="17" t="n"/>
    </row>
    <row r="96">
      <c r="A96" s="8" t="n"/>
      <c r="B96" s="14" t="n"/>
      <c r="C96" s="41" t="n"/>
      <c r="D96" s="51" t="n"/>
      <c r="E96" s="51" t="n"/>
      <c r="F96" s="51" t="n"/>
      <c r="G96" s="51" t="n"/>
      <c r="H96" s="51" t="n"/>
      <c r="I96" s="51" t="n"/>
      <c r="J96" s="51" t="n"/>
      <c r="K96" s="51" t="n"/>
      <c r="L96" s="51" t="n"/>
      <c r="M96" s="51" t="n"/>
      <c r="N96" s="51" t="n"/>
      <c r="O96" s="51" t="n"/>
      <c r="P96" s="51" t="n"/>
      <c r="Q96" s="51" t="n"/>
      <c r="R96" s="51" t="n"/>
      <c r="S96" s="51" t="n"/>
      <c r="T96" s="51" t="n"/>
      <c r="U96" s="51" t="n"/>
      <c r="V96" s="51" t="n"/>
      <c r="W96" s="51" t="n"/>
      <c r="X96" s="51" t="n"/>
      <c r="Y96" s="51" t="n"/>
      <c r="Z96" s="51" t="n"/>
      <c r="AA96" s="51" t="n"/>
      <c r="AB96" s="51" t="n"/>
      <c r="AC96" s="51" t="n"/>
      <c r="AD96" s="51" t="n"/>
      <c r="AE96" s="51" t="n"/>
      <c r="AF96" s="116">
        <f>IF(AND(DADOS!$AK$15&gt;0,$AH$11&lt;10),"Especialização só no nível 10",IF(DADOS!$AK$24&gt;0,DADOS!$AK$24&amp;" a mais",DADOS!$AK$20+DADOS!$AK$22-DADOS!$AK$14&amp;" de "&amp;(DADOS!$AK$20+DADOS!$AK$22)))</f>
        <v/>
      </c>
      <c r="AG96" s="16" t="n"/>
      <c r="AH96" s="16" t="n"/>
      <c r="AI96" s="16" t="n"/>
      <c r="AJ96" s="16" t="n"/>
      <c r="AK96" s="16" t="n"/>
      <c r="AL96" s="16" t="n"/>
      <c r="AM96" s="17" t="n"/>
      <c r="AN96" s="117">
        <f>IF(DADOS!$AK$29&gt;2,DADOS!$AK$29-2&amp;" a mais",2-DADOS!$AK$29&amp;" de "&amp;2)</f>
        <v/>
      </c>
      <c r="AO96" s="16" t="n"/>
      <c r="AP96" s="16" t="n"/>
      <c r="AQ96" s="16" t="n"/>
      <c r="AR96" s="16" t="n"/>
      <c r="AS96" s="16" t="n"/>
      <c r="AT96" s="17" t="n"/>
    </row>
    <row r="97">
      <c r="A97" s="8" t="n"/>
      <c r="B97" s="14" t="n"/>
      <c r="C97" s="41" t="n"/>
      <c r="D97" s="51" t="n"/>
      <c r="E97" s="51" t="n"/>
      <c r="F97" s="51" t="n"/>
      <c r="G97" s="51" t="n"/>
      <c r="H97" s="51" t="n"/>
      <c r="I97" s="51" t="n"/>
      <c r="J97" s="51" t="n"/>
      <c r="K97" s="51" t="n"/>
      <c r="L97" s="51" t="n"/>
      <c r="M97" s="51" t="n"/>
      <c r="N97" s="51" t="n"/>
      <c r="O97" s="51" t="n"/>
      <c r="P97" s="51" t="n"/>
      <c r="Q97" s="51" t="n"/>
      <c r="R97" s="51" t="n"/>
      <c r="S97" s="51" t="n"/>
      <c r="T97" s="51" t="n"/>
      <c r="U97" s="51" t="n"/>
      <c r="V97" s="51" t="n"/>
      <c r="W97" s="51" t="n"/>
      <c r="X97" s="51" t="n"/>
      <c r="Y97" s="51" t="n"/>
      <c r="Z97" s="51" t="n"/>
      <c r="AA97" s="51" t="n"/>
      <c r="AB97" s="51" t="n"/>
      <c r="AC97" s="51" t="n"/>
      <c r="AD97" s="51" t="n"/>
      <c r="AE97" s="51" t="n"/>
      <c r="AF97" s="51" t="n"/>
      <c r="AG97" s="51" t="n"/>
      <c r="AH97" s="51" t="n"/>
      <c r="AI97" s="51" t="n"/>
      <c r="AJ97" s="51" t="n"/>
      <c r="AK97" s="51" t="n"/>
      <c r="AL97" s="51" t="n"/>
      <c r="AM97" s="51" t="n"/>
      <c r="AN97" s="51" t="n"/>
      <c r="AO97" s="51" t="n"/>
      <c r="AP97" s="51" t="n"/>
      <c r="AQ97" s="51" t="n"/>
      <c r="AR97" s="51" t="n"/>
      <c r="AS97" s="51" t="n"/>
      <c r="AT97" s="51" t="n"/>
    </row>
    <row r="98">
      <c r="A98" s="8" t="n"/>
      <c r="B98" s="14" t="n"/>
      <c r="C98" s="41" t="n"/>
      <c r="D98" s="51" t="n"/>
      <c r="E98" s="51" t="n"/>
      <c r="F98" s="51" t="n"/>
      <c r="G98" s="51" t="n"/>
      <c r="H98" s="51" t="n"/>
      <c r="I98" s="51" t="n"/>
      <c r="J98" s="51" t="n"/>
      <c r="K98" s="51" t="n"/>
      <c r="L98" s="51" t="n"/>
      <c r="M98" s="51" t="n"/>
      <c r="N98" s="51" t="n"/>
      <c r="O98" s="51" t="n"/>
      <c r="P98" s="51" t="n"/>
      <c r="Q98" s="51" t="n"/>
      <c r="R98" s="51" t="n"/>
      <c r="S98" s="51" t="n"/>
      <c r="T98" s="51" t="n"/>
      <c r="U98" s="51" t="n"/>
      <c r="V98" s="51" t="n"/>
      <c r="W98" s="51" t="n"/>
      <c r="X98" s="51" t="n"/>
      <c r="Y98" s="51" t="n"/>
      <c r="Z98" s="51" t="n"/>
      <c r="AA98" s="51" t="n"/>
      <c r="AB98" s="51" t="n"/>
      <c r="AC98" s="51" t="n"/>
      <c r="AD98" s="51" t="n"/>
      <c r="AE98" s="51" t="n"/>
      <c r="AF98" s="51" t="n"/>
      <c r="AG98" s="51" t="n"/>
      <c r="AH98" s="51" t="n"/>
      <c r="AI98" s="51" t="n"/>
      <c r="AJ98" s="51" t="n"/>
      <c r="AK98" s="51" t="n"/>
      <c r="AL98" s="51" t="n"/>
      <c r="AM98" s="51" t="n"/>
      <c r="AN98" s="51" t="n"/>
      <c r="AO98" s="51" t="n"/>
      <c r="AP98" s="51" t="n"/>
      <c r="AQ98" s="51" t="n"/>
      <c r="AR98" s="51" t="n"/>
      <c r="AS98" s="51" t="n"/>
      <c r="AT98" s="51" t="n"/>
    </row>
    <row r="99" ht="27" customHeight="1">
      <c r="A99" s="8" t="n"/>
      <c r="B99" s="14" t="n"/>
      <c r="C99" s="41" t="n"/>
      <c r="D99" s="66" t="n">
        <v>7</v>
      </c>
      <c r="E99" s="19" t="n"/>
      <c r="F99" s="20" t="n"/>
      <c r="G99" s="94" t="inlineStr">
        <is>
          <t>HABILIDADES</t>
        </is>
      </c>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7" t="n"/>
      <c r="AI99" s="41" t="n"/>
      <c r="AJ99" s="41" t="n"/>
      <c r="AK99" s="41" t="n"/>
      <c r="AL99" s="41" t="n"/>
      <c r="AM99" s="41" t="n"/>
      <c r="AN99" s="41" t="n"/>
      <c r="AO99" s="41" t="n"/>
      <c r="AP99" s="41" t="n"/>
      <c r="AQ99" s="41" t="n"/>
      <c r="AR99" s="41" t="n"/>
      <c r="AS99" s="41" t="n"/>
      <c r="AT99" s="41" t="n"/>
    </row>
    <row r="100">
      <c r="A100" s="8" t="n"/>
      <c r="B100" s="14" t="n"/>
      <c r="C100" s="41" t="n"/>
      <c r="D100" s="23" t="n"/>
      <c r="E100" s="24" t="n"/>
      <c r="F100" s="25" t="n"/>
      <c r="G100" s="41" t="n"/>
      <c r="H100" s="41" t="n"/>
      <c r="I100" s="41" t="n"/>
      <c r="J100" s="41" t="n"/>
      <c r="K100" s="41" t="n"/>
      <c r="L100" s="41" t="n"/>
      <c r="M100" s="41" t="n"/>
      <c r="N100" s="41" t="n"/>
      <c r="O100" s="41" t="n"/>
      <c r="P100" s="41" t="n"/>
      <c r="Q100" s="41" t="n"/>
      <c r="R100" s="41" t="n"/>
      <c r="S100" s="41" t="n"/>
      <c r="T100" s="41" t="n"/>
      <c r="U100" s="41" t="n"/>
      <c r="V100" s="41" t="n"/>
      <c r="W100" s="41" t="n"/>
      <c r="X100" s="41" t="n"/>
      <c r="Y100" s="41" t="n"/>
      <c r="Z100" s="41" t="n"/>
      <c r="AA100" s="41" t="n"/>
      <c r="AB100" s="41" t="n"/>
      <c r="AC100" s="41" t="n"/>
      <c r="AD100" s="41" t="n"/>
      <c r="AE100" s="41" t="n"/>
      <c r="AF100" s="41" t="n"/>
      <c r="AG100" s="41" t="n"/>
      <c r="AH100" s="41" t="n"/>
      <c r="AI100" s="41" t="n"/>
      <c r="AJ100" s="41" t="n"/>
      <c r="AK100" s="41" t="n"/>
      <c r="AL100" s="41" t="n"/>
      <c r="AM100" s="41" t="n"/>
      <c r="AN100" s="41" t="n"/>
      <c r="AO100" s="41" t="n"/>
      <c r="AP100" s="41" t="n"/>
      <c r="AQ100" s="41" t="n"/>
      <c r="AR100" s="41" t="n"/>
      <c r="AS100" s="41" t="n"/>
      <c r="AT100" s="41" t="n"/>
    </row>
    <row r="101">
      <c r="A101" s="8" t="n"/>
      <c r="B101" s="14"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c r="AA101" s="41" t="n"/>
      <c r="AB101" s="41" t="n"/>
      <c r="AC101" s="41" t="n"/>
      <c r="AD101" s="41" t="n"/>
      <c r="AE101" s="41" t="n"/>
      <c r="AF101" s="41" t="n"/>
      <c r="AG101" s="41" t="n"/>
      <c r="AH101" s="41" t="n"/>
      <c r="AI101" s="41" t="n"/>
      <c r="AJ101" s="41" t="n"/>
      <c r="AK101" s="41" t="n"/>
      <c r="AL101" s="41" t="n"/>
      <c r="AM101" s="41" t="n"/>
      <c r="AN101" s="41" t="n"/>
      <c r="AO101" s="41" t="n"/>
      <c r="AP101" s="41" t="n"/>
      <c r="AQ101" s="41" t="n"/>
      <c r="AR101" s="41" t="n"/>
      <c r="AS101" s="41" t="n"/>
      <c r="AT101" s="41" t="n"/>
    </row>
    <row r="102" outlineLevel="1">
      <c r="A102" s="8" t="n"/>
      <c r="B102" s="14" t="n"/>
      <c r="C102" s="41" t="n"/>
      <c r="D102" s="118">
        <f>DADOS_AM!$JD$2</f>
        <v/>
      </c>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c r="AB102" s="16" t="n"/>
      <c r="AC102" s="16" t="n"/>
      <c r="AD102" s="16" t="n"/>
      <c r="AE102" s="16" t="n"/>
      <c r="AF102" s="16" t="n"/>
      <c r="AG102" s="16" t="n"/>
      <c r="AH102" s="16" t="n"/>
      <c r="AI102" s="16" t="n"/>
      <c r="AJ102" s="16" t="n"/>
      <c r="AK102" s="16" t="n"/>
      <c r="AL102" s="16" t="n"/>
      <c r="AM102" s="16" t="n"/>
      <c r="AN102" s="16" t="n"/>
      <c r="AO102" s="16" t="n"/>
      <c r="AP102" s="16" t="n"/>
      <c r="AQ102" s="16" t="n"/>
      <c r="AR102" s="16" t="n"/>
      <c r="AS102" s="16" t="n"/>
      <c r="AT102" s="17" t="n"/>
    </row>
    <row r="103" outlineLevel="2">
      <c r="A103" s="8" t="n"/>
      <c r="B103" s="14" t="n"/>
      <c r="C103" s="41" t="n"/>
      <c r="D103" s="119">
        <f>DADOS_AM!$IV$2</f>
        <v/>
      </c>
      <c r="E103" s="16" t="n"/>
      <c r="F103" s="17" t="n"/>
      <c r="G103" s="120"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c r="AB103" s="16" t="n"/>
      <c r="AC103" s="16" t="n"/>
      <c r="AD103" s="16" t="n"/>
      <c r="AE103" s="16" t="n"/>
      <c r="AF103" s="16" t="n"/>
      <c r="AG103" s="16" t="n"/>
      <c r="AH103" s="16" t="n"/>
      <c r="AI103" s="16" t="n"/>
      <c r="AJ103" s="16" t="n"/>
      <c r="AK103" s="16" t="n"/>
      <c r="AL103" s="16" t="n"/>
      <c r="AM103" s="16" t="n"/>
      <c r="AN103" s="16" t="n"/>
      <c r="AO103" s="16" t="n"/>
      <c r="AP103" s="16" t="n"/>
      <c r="AQ103" s="16" t="n"/>
      <c r="AR103" s="16" t="n"/>
      <c r="AS103" s="16" t="n"/>
      <c r="AT103" s="17" t="n"/>
    </row>
    <row r="104" outlineLevel="3">
      <c r="A104" s="8" t="n"/>
      <c r="B104" s="14" t="n"/>
      <c r="C104" s="41" t="n"/>
      <c r="D104" s="121" t="n"/>
      <c r="E104" s="19" t="n"/>
      <c r="F104" s="19" t="n"/>
      <c r="G104" s="19" t="n"/>
      <c r="H104" s="19" t="n"/>
      <c r="I104" s="19" t="n"/>
      <c r="J104" s="19" t="n"/>
      <c r="K104" s="19" t="n"/>
      <c r="L104" s="19" t="n"/>
      <c r="M104" s="19" t="n"/>
      <c r="N104" s="19" t="n"/>
      <c r="O104" s="19" t="n"/>
      <c r="P104" s="19" t="n"/>
      <c r="Q104" s="19" t="n"/>
      <c r="R104" s="19" t="n"/>
      <c r="S104" s="19" t="n"/>
      <c r="T104" s="19" t="n"/>
      <c r="U104" s="19" t="n"/>
      <c r="V104" s="19" t="n"/>
      <c r="W104" s="19" t="n"/>
      <c r="X104" s="19" t="n"/>
      <c r="Y104" s="19" t="n"/>
      <c r="Z104" s="19" t="n"/>
      <c r="AA104" s="19" t="n"/>
      <c r="AB104" s="19" t="n"/>
      <c r="AC104" s="19" t="n"/>
      <c r="AD104" s="19" t="n"/>
      <c r="AE104" s="19" t="n"/>
      <c r="AF104" s="19" t="n"/>
      <c r="AG104" s="19" t="n"/>
      <c r="AH104" s="19" t="n"/>
      <c r="AI104" s="19" t="n"/>
      <c r="AJ104" s="19" t="n"/>
      <c r="AK104" s="19" t="n"/>
      <c r="AL104" s="19" t="n"/>
      <c r="AM104" s="19" t="n"/>
      <c r="AN104" s="19" t="n"/>
      <c r="AO104" s="19" t="n"/>
      <c r="AP104" s="19" t="n"/>
      <c r="AQ104" s="19" t="n"/>
      <c r="AR104" s="19" t="n"/>
      <c r="AS104" s="19" t="n"/>
      <c r="AT104" s="20" t="n"/>
    </row>
    <row r="105" outlineLevel="3">
      <c r="A105" s="8" t="n"/>
      <c r="B105" s="14" t="n"/>
      <c r="C105" s="41" t="n"/>
      <c r="D105" s="21" t="n"/>
      <c r="AT105" s="22" t="n"/>
    </row>
    <row r="106" outlineLevel="3">
      <c r="A106" s="8" t="n"/>
      <c r="B106" s="14" t="n"/>
      <c r="C106" s="41" t="n"/>
      <c r="D106" s="21" t="n"/>
      <c r="AT106" s="22" t="n"/>
    </row>
    <row r="107" outlineLevel="3">
      <c r="A107" s="8" t="n"/>
      <c r="B107" s="14" t="n"/>
      <c r="C107" s="41" t="n"/>
      <c r="D107" s="23"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c r="AA107" s="24" t="n"/>
      <c r="AB107" s="24" t="n"/>
      <c r="AC107" s="24" t="n"/>
      <c r="AD107" s="24" t="n"/>
      <c r="AE107" s="24" t="n"/>
      <c r="AF107" s="24" t="n"/>
      <c r="AG107" s="24" t="n"/>
      <c r="AH107" s="24" t="n"/>
      <c r="AI107" s="24" t="n"/>
      <c r="AJ107" s="24" t="n"/>
      <c r="AK107" s="24" t="n"/>
      <c r="AL107" s="24" t="n"/>
      <c r="AM107" s="24" t="n"/>
      <c r="AN107" s="24" t="n"/>
      <c r="AO107" s="24" t="n"/>
      <c r="AP107" s="24" t="n"/>
      <c r="AQ107" s="24" t="n"/>
      <c r="AR107" s="24" t="n"/>
      <c r="AS107" s="24" t="n"/>
      <c r="AT107" s="25" t="n"/>
    </row>
    <row r="108" outlineLevel="2">
      <c r="A108" s="8" t="n"/>
      <c r="B108" s="14" t="n"/>
      <c r="C108" s="41" t="n"/>
      <c r="D108" s="41" t="n"/>
      <c r="E108" s="41" t="n"/>
      <c r="F108" s="41" t="n"/>
      <c r="G108" s="41" t="n"/>
      <c r="H108" s="41" t="n"/>
      <c r="I108" s="41" t="n"/>
      <c r="J108" s="41" t="n"/>
      <c r="K108" s="41" t="n"/>
      <c r="L108" s="41" t="n"/>
      <c r="M108" s="41" t="n"/>
      <c r="N108" s="41" t="n"/>
      <c r="O108" s="41" t="n"/>
      <c r="P108" s="41" t="n"/>
      <c r="Q108" s="41" t="n"/>
      <c r="R108" s="41" t="n"/>
      <c r="S108" s="41" t="n"/>
      <c r="T108" s="41" t="n"/>
      <c r="U108" s="41" t="n"/>
      <c r="V108" s="41" t="n"/>
      <c r="W108" s="41" t="n"/>
      <c r="X108" s="41" t="n"/>
      <c r="Y108" s="41" t="n"/>
      <c r="Z108" s="41" t="n"/>
      <c r="AA108" s="41" t="n"/>
      <c r="AB108" s="41" t="n"/>
      <c r="AC108" s="41" t="n"/>
      <c r="AD108" s="41" t="n"/>
      <c r="AE108" s="41" t="n"/>
      <c r="AF108" s="41" t="n"/>
      <c r="AG108" s="41" t="n"/>
      <c r="AH108" s="41" t="n"/>
      <c r="AI108" s="41" t="n"/>
      <c r="AJ108" s="41" t="n"/>
      <c r="AK108" s="41" t="n"/>
      <c r="AL108" s="41" t="n"/>
      <c r="AM108" s="41" t="n"/>
      <c r="AN108" s="41" t="n"/>
      <c r="AO108" s="41" t="n"/>
      <c r="AP108" s="41" t="n"/>
      <c r="AQ108" s="41" t="n"/>
      <c r="AR108" s="41" t="n"/>
      <c r="AS108" s="41" t="n"/>
      <c r="AT108" s="41" t="n"/>
    </row>
    <row r="109" outlineLevel="2">
      <c r="A109" s="8" t="n"/>
      <c r="B109" s="14" t="n"/>
      <c r="C109" s="41" t="n"/>
      <c r="D109" s="119">
        <f>DADOS_AM!$IV$3</f>
        <v/>
      </c>
      <c r="E109" s="16" t="n"/>
      <c r="F109" s="17" t="n"/>
      <c r="G109" s="120"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c r="AB109" s="16" t="n"/>
      <c r="AC109" s="16" t="n"/>
      <c r="AD109" s="16" t="n"/>
      <c r="AE109" s="16" t="n"/>
      <c r="AF109" s="16" t="n"/>
      <c r="AG109" s="16" t="n"/>
      <c r="AH109" s="16" t="n"/>
      <c r="AI109" s="16" t="n"/>
      <c r="AJ109" s="16" t="n"/>
      <c r="AK109" s="16" t="n"/>
      <c r="AL109" s="16" t="n"/>
      <c r="AM109" s="16" t="n"/>
      <c r="AN109" s="16" t="n"/>
      <c r="AO109" s="16" t="n"/>
      <c r="AP109" s="16" t="n"/>
      <c r="AQ109" s="16" t="n"/>
      <c r="AR109" s="16" t="n"/>
      <c r="AS109" s="16" t="n"/>
      <c r="AT109" s="17" t="n"/>
    </row>
    <row r="110" outlineLevel="3">
      <c r="A110" s="8" t="n"/>
      <c r="B110" s="14" t="n"/>
      <c r="C110" s="41" t="n"/>
      <c r="D110" s="121" t="n"/>
      <c r="E110" s="19" t="n"/>
      <c r="F110" s="19" t="n"/>
      <c r="G110" s="19" t="n"/>
      <c r="H110" s="19" t="n"/>
      <c r="I110" s="19" t="n"/>
      <c r="J110" s="19" t="n"/>
      <c r="K110" s="19" t="n"/>
      <c r="L110" s="19" t="n"/>
      <c r="M110" s="19" t="n"/>
      <c r="N110" s="19" t="n"/>
      <c r="O110" s="19" t="n"/>
      <c r="P110" s="19" t="n"/>
      <c r="Q110" s="19" t="n"/>
      <c r="R110" s="19" t="n"/>
      <c r="S110" s="19" t="n"/>
      <c r="T110" s="19" t="n"/>
      <c r="U110" s="19" t="n"/>
      <c r="V110" s="19" t="n"/>
      <c r="W110" s="19" t="n"/>
      <c r="X110" s="19" t="n"/>
      <c r="Y110" s="19" t="n"/>
      <c r="Z110" s="19" t="n"/>
      <c r="AA110" s="19" t="n"/>
      <c r="AB110" s="19" t="n"/>
      <c r="AC110" s="19" t="n"/>
      <c r="AD110" s="19" t="n"/>
      <c r="AE110" s="19" t="n"/>
      <c r="AF110" s="19" t="n"/>
      <c r="AG110" s="19" t="n"/>
      <c r="AH110" s="19"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AT111" s="22" t="n"/>
    </row>
    <row r="112" outlineLevel="3">
      <c r="A112" s="8" t="n"/>
      <c r="B112" s="14" t="n"/>
      <c r="C112" s="41" t="n"/>
      <c r="D112" s="21" t="n"/>
      <c r="AT112" s="22" t="n"/>
    </row>
    <row r="113" outlineLevel="3">
      <c r="A113" s="8" t="n"/>
      <c r="B113" s="14" t="n"/>
      <c r="C113" s="41" t="n"/>
      <c r="D113" s="23"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c r="AA113" s="24" t="n"/>
      <c r="AB113" s="24" t="n"/>
      <c r="AC113" s="24" t="n"/>
      <c r="AD113" s="24" t="n"/>
      <c r="AE113" s="24" t="n"/>
      <c r="AF113" s="24" t="n"/>
      <c r="AG113" s="24" t="n"/>
      <c r="AH113" s="24" t="n"/>
      <c r="AI113" s="24" t="n"/>
      <c r="AJ113" s="24" t="n"/>
      <c r="AK113" s="24" t="n"/>
      <c r="AL113" s="24" t="n"/>
      <c r="AM113" s="24" t="n"/>
      <c r="AN113" s="24" t="n"/>
      <c r="AO113" s="24" t="n"/>
      <c r="AP113" s="24" t="n"/>
      <c r="AQ113" s="24" t="n"/>
      <c r="AR113" s="24" t="n"/>
      <c r="AS113" s="24" t="n"/>
      <c r="AT113" s="25" t="n"/>
    </row>
    <row r="114" outlineLevel="2">
      <c r="A114" s="8" t="n"/>
      <c r="B114" s="14" t="n"/>
      <c r="C114" s="41" t="n"/>
      <c r="D114" s="41" t="n"/>
      <c r="E114" s="41" t="n"/>
      <c r="F114" s="41" t="n"/>
      <c r="G114" s="41" t="n"/>
      <c r="H114" s="41" t="n"/>
      <c r="I114" s="41" t="n"/>
      <c r="J114" s="41" t="n"/>
      <c r="K114" s="41" t="n"/>
      <c r="L114" s="41" t="n"/>
      <c r="M114" s="41" t="n"/>
      <c r="N114" s="41" t="n"/>
      <c r="O114" s="41" t="n"/>
      <c r="P114" s="41" t="n"/>
      <c r="Q114" s="41" t="n"/>
      <c r="R114" s="41" t="n"/>
      <c r="S114" s="41" t="n"/>
      <c r="T114" s="41" t="n"/>
      <c r="U114" s="41" t="n"/>
      <c r="V114" s="41" t="n"/>
      <c r="W114" s="41" t="n"/>
      <c r="X114" s="41" t="n"/>
      <c r="Y114" s="41" t="n"/>
      <c r="Z114" s="41" t="n"/>
      <c r="AA114" s="41" t="n"/>
      <c r="AB114" s="41" t="n"/>
      <c r="AC114" s="41" t="n"/>
      <c r="AD114" s="41" t="n"/>
      <c r="AE114" s="41" t="n"/>
      <c r="AF114" s="41" t="n"/>
      <c r="AG114" s="41" t="n"/>
      <c r="AH114" s="41" t="n"/>
      <c r="AI114" s="41" t="n"/>
      <c r="AJ114" s="41" t="n"/>
      <c r="AK114" s="41" t="n"/>
      <c r="AL114" s="41" t="n"/>
      <c r="AM114" s="41" t="n"/>
      <c r="AN114" s="41" t="n"/>
      <c r="AO114" s="41" t="n"/>
      <c r="AP114" s="41" t="n"/>
      <c r="AQ114" s="41" t="n"/>
      <c r="AR114" s="41" t="n"/>
      <c r="AS114" s="41" t="n"/>
      <c r="AT114" s="41" t="n"/>
    </row>
    <row r="115" outlineLevel="2">
      <c r="A115" s="8" t="n"/>
      <c r="B115" s="14" t="n"/>
      <c r="C115" s="41" t="n"/>
      <c r="D115" s="119">
        <f>DADOS_AM!$IV$4</f>
        <v/>
      </c>
      <c r="E115" s="16" t="n"/>
      <c r="F115" s="17" t="n"/>
      <c r="G115" s="120"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c r="AD115" s="16" t="n"/>
      <c r="AE115" s="16" t="n"/>
      <c r="AF115" s="16" t="n"/>
      <c r="AG115" s="16" t="n"/>
      <c r="AH115" s="16" t="n"/>
      <c r="AI115" s="16" t="n"/>
      <c r="AJ115" s="16" t="n"/>
      <c r="AK115" s="16" t="n"/>
      <c r="AL115" s="16" t="n"/>
      <c r="AM115" s="16" t="n"/>
      <c r="AN115" s="16" t="n"/>
      <c r="AO115" s="16" t="n"/>
      <c r="AP115" s="16" t="n"/>
      <c r="AQ115" s="16" t="n"/>
      <c r="AR115" s="16" t="n"/>
      <c r="AS115" s="16" t="n"/>
      <c r="AT115" s="17" t="n"/>
    </row>
    <row r="116" outlineLevel="3">
      <c r="A116" s="8" t="n"/>
      <c r="B116" s="14" t="n"/>
      <c r="C116" s="41" t="n"/>
      <c r="D116" s="121" t="n"/>
      <c r="E116" s="19" t="n"/>
      <c r="F116" s="19" t="n"/>
      <c r="G116" s="19" t="n"/>
      <c r="H116" s="19" t="n"/>
      <c r="I116" s="19" t="n"/>
      <c r="J116" s="19" t="n"/>
      <c r="K116" s="19" t="n"/>
      <c r="L116" s="19" t="n"/>
      <c r="M116" s="19" t="n"/>
      <c r="N116" s="19" t="n"/>
      <c r="O116" s="19" t="n"/>
      <c r="P116" s="19" t="n"/>
      <c r="Q116" s="19" t="n"/>
      <c r="R116" s="19" t="n"/>
      <c r="S116" s="19" t="n"/>
      <c r="T116" s="19" t="n"/>
      <c r="U116" s="19" t="n"/>
      <c r="V116" s="19" t="n"/>
      <c r="W116" s="19" t="n"/>
      <c r="X116" s="19" t="n"/>
      <c r="Y116" s="19" t="n"/>
      <c r="Z116" s="19" t="n"/>
      <c r="AA116" s="19" t="n"/>
      <c r="AB116" s="19" t="n"/>
      <c r="AC116" s="19" t="n"/>
      <c r="AD116" s="19" t="n"/>
      <c r="AE116" s="19" t="n"/>
      <c r="AF116" s="19" t="n"/>
      <c r="AG116" s="19" t="n"/>
      <c r="AH116" s="19" t="n"/>
      <c r="AI116" s="19" t="n"/>
      <c r="AJ116" s="19" t="n"/>
      <c r="AK116" s="19" t="n"/>
      <c r="AL116" s="19" t="n"/>
      <c r="AM116" s="19" t="n"/>
      <c r="AN116" s="19" t="n"/>
      <c r="AO116" s="19" t="n"/>
      <c r="AP116" s="19" t="n"/>
      <c r="AQ116" s="19" t="n"/>
      <c r="AR116" s="19" t="n"/>
      <c r="AS116" s="19" t="n"/>
      <c r="AT116" s="20" t="n"/>
    </row>
    <row r="117" outlineLevel="3">
      <c r="A117" s="8" t="n"/>
      <c r="B117" s="14" t="n"/>
      <c r="C117" s="41" t="n"/>
      <c r="D117" s="21" t="n"/>
      <c r="AT117" s="22" t="n"/>
    </row>
    <row r="118" outlineLevel="3">
      <c r="A118" s="8" t="n"/>
      <c r="B118" s="14" t="n"/>
      <c r="C118" s="41" t="n"/>
      <c r="D118" s="21" t="n"/>
      <c r="AT118" s="22" t="n"/>
    </row>
    <row r="119" outlineLevel="3">
      <c r="A119" s="8" t="n"/>
      <c r="B119" s="14" t="n"/>
      <c r="C119" s="41" t="n"/>
      <c r="D119" s="23"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c r="AA119" s="24" t="n"/>
      <c r="AB119" s="24" t="n"/>
      <c r="AC119" s="24" t="n"/>
      <c r="AD119" s="24" t="n"/>
      <c r="AE119" s="24" t="n"/>
      <c r="AF119" s="24" t="n"/>
      <c r="AG119" s="24" t="n"/>
      <c r="AH119" s="24" t="n"/>
      <c r="AI119" s="24" t="n"/>
      <c r="AJ119" s="24" t="n"/>
      <c r="AK119" s="24" t="n"/>
      <c r="AL119" s="24" t="n"/>
      <c r="AM119" s="24" t="n"/>
      <c r="AN119" s="24" t="n"/>
      <c r="AO119" s="24" t="n"/>
      <c r="AP119" s="24" t="n"/>
      <c r="AQ119" s="24" t="n"/>
      <c r="AR119" s="24" t="n"/>
      <c r="AS119" s="24" t="n"/>
      <c r="AT119" s="25" t="n"/>
    </row>
    <row r="120" outlineLevel="2">
      <c r="A120" s="8" t="n"/>
      <c r="B120" s="14" t="n"/>
      <c r="C120" s="41" t="n"/>
      <c r="D120" s="41" t="n"/>
      <c r="E120" s="41" t="n"/>
      <c r="F120" s="41" t="n"/>
      <c r="G120" s="41" t="n"/>
      <c r="H120" s="41" t="n"/>
      <c r="I120" s="41" t="n"/>
      <c r="J120" s="41" t="n"/>
      <c r="K120" s="41" t="n"/>
      <c r="L120" s="41" t="n"/>
      <c r="M120" s="41" t="n"/>
      <c r="N120" s="41" t="n"/>
      <c r="O120" s="41" t="n"/>
      <c r="P120" s="41" t="n"/>
      <c r="Q120" s="41" t="n"/>
      <c r="R120" s="41" t="n"/>
      <c r="S120" s="41" t="n"/>
      <c r="T120" s="41" t="n"/>
      <c r="U120" s="41" t="n"/>
      <c r="V120" s="41" t="n"/>
      <c r="W120" s="41" t="n"/>
      <c r="X120" s="41" t="n"/>
      <c r="Y120" s="41" t="n"/>
      <c r="Z120" s="41" t="n"/>
      <c r="AA120" s="41" t="n"/>
      <c r="AB120" s="41" t="n"/>
      <c r="AC120" s="41" t="n"/>
      <c r="AD120" s="41" t="n"/>
      <c r="AE120" s="41" t="n"/>
      <c r="AF120" s="41" t="n"/>
      <c r="AG120" s="41" t="n"/>
      <c r="AH120" s="41" t="n"/>
      <c r="AI120" s="41" t="n"/>
      <c r="AJ120" s="41" t="n"/>
      <c r="AK120" s="41" t="n"/>
      <c r="AL120" s="41" t="n"/>
      <c r="AM120" s="41" t="n"/>
      <c r="AN120" s="41" t="n"/>
      <c r="AO120" s="41" t="n"/>
      <c r="AP120" s="41" t="n"/>
      <c r="AQ120" s="41" t="n"/>
      <c r="AR120" s="41" t="n"/>
      <c r="AS120" s="41" t="n"/>
      <c r="AT120" s="41" t="n"/>
    </row>
    <row r="121" outlineLevel="2">
      <c r="A121" s="8" t="n"/>
      <c r="B121" s="14" t="n"/>
      <c r="C121" s="41" t="n"/>
      <c r="D121" s="119">
        <f>DADOS_AM!$IV$5</f>
        <v/>
      </c>
      <c r="E121" s="16" t="n"/>
      <c r="F121" s="17" t="n"/>
      <c r="G121" s="120"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n"/>
      <c r="AN121" s="16" t="n"/>
      <c r="AO121" s="16" t="n"/>
      <c r="AP121" s="16" t="n"/>
      <c r="AQ121" s="16" t="n"/>
      <c r="AR121" s="16" t="n"/>
      <c r="AS121" s="16" t="n"/>
      <c r="AT121" s="17" t="n"/>
    </row>
    <row r="122" outlineLevel="3">
      <c r="A122" s="8" t="n"/>
      <c r="B122" s="14" t="n"/>
      <c r="C122" s="41" t="n"/>
      <c r="D122" s="121" t="n"/>
      <c r="E122" s="19" t="n"/>
      <c r="F122" s="19" t="n"/>
      <c r="G122" s="19" t="n"/>
      <c r="H122" s="19" t="n"/>
      <c r="I122" s="19" t="n"/>
      <c r="J122" s="19" t="n"/>
      <c r="K122" s="19" t="n"/>
      <c r="L122" s="19" t="n"/>
      <c r="M122" s="19" t="n"/>
      <c r="N122" s="19" t="n"/>
      <c r="O122" s="19" t="n"/>
      <c r="P122" s="19" t="n"/>
      <c r="Q122" s="19" t="n"/>
      <c r="R122" s="19" t="n"/>
      <c r="S122" s="19" t="n"/>
      <c r="T122" s="19" t="n"/>
      <c r="U122" s="19" t="n"/>
      <c r="V122" s="19" t="n"/>
      <c r="W122" s="19" t="n"/>
      <c r="X122" s="19" t="n"/>
      <c r="Y122" s="19" t="n"/>
      <c r="Z122" s="19" t="n"/>
      <c r="AA122" s="19" t="n"/>
      <c r="AB122" s="19" t="n"/>
      <c r="AC122" s="19" t="n"/>
      <c r="AD122" s="19" t="n"/>
      <c r="AE122" s="19" t="n"/>
      <c r="AF122" s="19" t="n"/>
      <c r="AG122" s="19" t="n"/>
      <c r="AH122" s="19" t="n"/>
      <c r="AI122" s="19" t="n"/>
      <c r="AJ122" s="19" t="n"/>
      <c r="AK122" s="19" t="n"/>
      <c r="AL122" s="19" t="n"/>
      <c r="AM122" s="19" t="n"/>
      <c r="AN122" s="19" t="n"/>
      <c r="AO122" s="19" t="n"/>
      <c r="AP122" s="19" t="n"/>
      <c r="AQ122" s="19" t="n"/>
      <c r="AR122" s="19" t="n"/>
      <c r="AS122" s="19" t="n"/>
      <c r="AT122" s="20" t="n"/>
    </row>
    <row r="123" outlineLevel="3">
      <c r="A123" s="8" t="n"/>
      <c r="B123" s="14" t="n"/>
      <c r="C123" s="41" t="n"/>
      <c r="D123" s="21" t="n"/>
      <c r="AT123" s="22" t="n"/>
    </row>
    <row r="124" outlineLevel="3">
      <c r="A124" s="8" t="n"/>
      <c r="B124" s="14" t="n"/>
      <c r="C124" s="41" t="n"/>
      <c r="D124" s="21" t="n"/>
      <c r="AT124" s="22" t="n"/>
    </row>
    <row r="125" outlineLevel="3">
      <c r="A125" s="8" t="n"/>
      <c r="B125" s="14" t="n"/>
      <c r="C125" s="41" t="n"/>
      <c r="D125" s="23"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c r="AA125" s="24" t="n"/>
      <c r="AB125" s="24" t="n"/>
      <c r="AC125" s="24" t="n"/>
      <c r="AD125" s="24" t="n"/>
      <c r="AE125" s="24" t="n"/>
      <c r="AF125" s="24" t="n"/>
      <c r="AG125" s="24" t="n"/>
      <c r="AH125" s="24" t="n"/>
      <c r="AI125" s="24" t="n"/>
      <c r="AJ125" s="24" t="n"/>
      <c r="AK125" s="24" t="n"/>
      <c r="AL125" s="24" t="n"/>
      <c r="AM125" s="24" t="n"/>
      <c r="AN125" s="24" t="n"/>
      <c r="AO125" s="24" t="n"/>
      <c r="AP125" s="24" t="n"/>
      <c r="AQ125" s="24" t="n"/>
      <c r="AR125" s="24" t="n"/>
      <c r="AS125" s="24" t="n"/>
      <c r="AT125" s="25" t="n"/>
    </row>
    <row r="126" outlineLevel="2">
      <c r="A126" s="8" t="n"/>
      <c r="B126" s="14" t="n"/>
      <c r="C126" s="41" t="n"/>
      <c r="D126" s="41" t="n"/>
      <c r="E126" s="41" t="n"/>
      <c r="F126" s="41"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outlineLevel="2">
      <c r="A127" s="8" t="n"/>
      <c r="B127" s="14" t="n"/>
      <c r="C127" s="41" t="n"/>
      <c r="D127" s="119">
        <f>DADOS_AM!$IV$6</f>
        <v/>
      </c>
      <c r="E127" s="16" t="n"/>
      <c r="F127" s="17" t="n"/>
      <c r="G127" s="120"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c r="AB127" s="16" t="n"/>
      <c r="AC127" s="16" t="n"/>
      <c r="AD127" s="16" t="n"/>
      <c r="AE127" s="16" t="n"/>
      <c r="AF127" s="16" t="n"/>
      <c r="AG127" s="16" t="n"/>
      <c r="AH127" s="16" t="n"/>
      <c r="AI127" s="16" t="n"/>
      <c r="AJ127" s="16" t="n"/>
      <c r="AK127" s="16" t="n"/>
      <c r="AL127" s="16" t="n"/>
      <c r="AM127" s="16" t="n"/>
      <c r="AN127" s="16" t="n"/>
      <c r="AO127" s="16" t="n"/>
      <c r="AP127" s="16" t="n"/>
      <c r="AQ127" s="16" t="n"/>
      <c r="AR127" s="16" t="n"/>
      <c r="AS127" s="16" t="n"/>
      <c r="AT127" s="17" t="n"/>
    </row>
    <row r="128" outlineLevel="3">
      <c r="A128" s="8" t="n"/>
      <c r="B128" s="14" t="n"/>
      <c r="C128" s="41" t="n"/>
      <c r="D128" s="121" t="n"/>
      <c r="E128" s="19" t="n"/>
      <c r="F128" s="19" t="n"/>
      <c r="G128" s="19" t="n"/>
      <c r="H128" s="19" t="n"/>
      <c r="I128" s="19" t="n"/>
      <c r="J128" s="19" t="n"/>
      <c r="K128" s="19" t="n"/>
      <c r="L128" s="19" t="n"/>
      <c r="M128" s="19" t="n"/>
      <c r="N128" s="19" t="n"/>
      <c r="O128" s="19" t="n"/>
      <c r="P128" s="19" t="n"/>
      <c r="Q128" s="19" t="n"/>
      <c r="R128" s="19" t="n"/>
      <c r="S128" s="19" t="n"/>
      <c r="T128" s="19" t="n"/>
      <c r="U128" s="19" t="n"/>
      <c r="V128" s="19" t="n"/>
      <c r="W128" s="19" t="n"/>
      <c r="X128" s="19" t="n"/>
      <c r="Y128" s="19" t="n"/>
      <c r="Z128" s="19" t="n"/>
      <c r="AA128" s="19" t="n"/>
      <c r="AB128" s="19" t="n"/>
      <c r="AC128" s="19" t="n"/>
      <c r="AD128" s="19" t="n"/>
      <c r="AE128" s="19" t="n"/>
      <c r="AF128" s="19" t="n"/>
      <c r="AG128" s="19" t="n"/>
      <c r="AH128" s="19" t="n"/>
      <c r="AI128" s="19" t="n"/>
      <c r="AJ128" s="19" t="n"/>
      <c r="AK128" s="19" t="n"/>
      <c r="AL128" s="19" t="n"/>
      <c r="AM128" s="19" t="n"/>
      <c r="AN128" s="19" t="n"/>
      <c r="AO128" s="19" t="n"/>
      <c r="AP128" s="19" t="n"/>
      <c r="AQ128" s="19" t="n"/>
      <c r="AR128" s="19" t="n"/>
      <c r="AS128" s="19" t="n"/>
      <c r="AT128" s="20" t="n"/>
    </row>
    <row r="129" outlineLevel="3">
      <c r="A129" s="8" t="n"/>
      <c r="B129" s="14" t="n"/>
      <c r="C129" s="41" t="n"/>
      <c r="D129" s="21" t="n"/>
      <c r="AT129" s="22" t="n"/>
    </row>
    <row r="130" outlineLevel="3">
      <c r="A130" s="8" t="n"/>
      <c r="B130" s="14" t="n"/>
      <c r="C130" s="41" t="n"/>
      <c r="D130" s="21" t="n"/>
      <c r="AT130" s="22" t="n"/>
    </row>
    <row r="131" outlineLevel="3">
      <c r="A131" s="8" t="n"/>
      <c r="B131" s="14" t="n"/>
      <c r="C131" s="41" t="n"/>
      <c r="D131" s="23"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c r="AA131" s="24" t="n"/>
      <c r="AB131" s="24" t="n"/>
      <c r="AC131" s="24" t="n"/>
      <c r="AD131" s="24" t="n"/>
      <c r="AE131" s="24" t="n"/>
      <c r="AF131" s="24" t="n"/>
      <c r="AG131" s="24" t="n"/>
      <c r="AH131" s="24" t="n"/>
      <c r="AI131" s="24" t="n"/>
      <c r="AJ131" s="24" t="n"/>
      <c r="AK131" s="24" t="n"/>
      <c r="AL131" s="24" t="n"/>
      <c r="AM131" s="24" t="n"/>
      <c r="AN131" s="24" t="n"/>
      <c r="AO131" s="24" t="n"/>
      <c r="AP131" s="24" t="n"/>
      <c r="AQ131" s="24" t="n"/>
      <c r="AR131" s="24" t="n"/>
      <c r="AS131" s="24" t="n"/>
      <c r="AT131" s="25" t="n"/>
    </row>
    <row r="132" outlineLevel="2">
      <c r="A132" s="8" t="n"/>
      <c r="B132" s="14" t="n"/>
      <c r="C132" s="41" t="n"/>
      <c r="D132" s="41" t="n"/>
      <c r="E132" s="41" t="n"/>
      <c r="F132" s="41" t="n"/>
      <c r="G132" s="41" t="n"/>
      <c r="H132" s="41" t="n"/>
      <c r="I132" s="41" t="n"/>
      <c r="J132" s="41" t="n"/>
      <c r="K132" s="41" t="n"/>
      <c r="L132" s="41" t="n"/>
      <c r="M132" s="41" t="n"/>
      <c r="N132" s="41" t="n"/>
      <c r="O132" s="41" t="n"/>
      <c r="P132" s="41" t="n"/>
      <c r="Q132" s="41" t="n"/>
      <c r="R132" s="41" t="n"/>
      <c r="S132" s="41" t="n"/>
      <c r="T132" s="41" t="n"/>
      <c r="U132" s="41" t="n"/>
      <c r="V132" s="41" t="n"/>
      <c r="W132" s="41" t="n"/>
      <c r="X132" s="41" t="n"/>
      <c r="Y132" s="41" t="n"/>
      <c r="Z132" s="41" t="n"/>
      <c r="AA132" s="41" t="n"/>
      <c r="AB132" s="41" t="n"/>
      <c r="AC132" s="41" t="n"/>
      <c r="AD132" s="41" t="n"/>
      <c r="AE132" s="41" t="n"/>
      <c r="AF132" s="41" t="n"/>
      <c r="AG132" s="41" t="n"/>
      <c r="AH132" s="41" t="n"/>
      <c r="AI132" s="41" t="n"/>
      <c r="AJ132" s="41" t="n"/>
      <c r="AK132" s="41" t="n"/>
      <c r="AL132" s="41" t="n"/>
      <c r="AM132" s="41" t="n"/>
      <c r="AN132" s="41" t="n"/>
      <c r="AO132" s="41" t="n"/>
      <c r="AP132" s="41" t="n"/>
      <c r="AQ132" s="41" t="n"/>
      <c r="AR132" s="41" t="n"/>
      <c r="AS132" s="41" t="n"/>
      <c r="AT132" s="41" t="n"/>
    </row>
    <row r="133" outlineLevel="2">
      <c r="A133" s="8" t="n"/>
      <c r="B133" s="14" t="n"/>
      <c r="C133" s="41" t="n"/>
      <c r="D133" s="118" t="inlineStr">
        <is>
          <t>Anotações</t>
        </is>
      </c>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c r="AB133" s="16" t="n"/>
      <c r="AC133" s="16" t="n"/>
      <c r="AD133" s="16" t="n"/>
      <c r="AE133" s="16" t="n"/>
      <c r="AF133" s="16" t="n"/>
      <c r="AG133" s="16" t="n"/>
      <c r="AH133" s="16" t="n"/>
      <c r="AI133" s="16" t="n"/>
      <c r="AJ133" s="16" t="n"/>
      <c r="AK133" s="16" t="n"/>
      <c r="AL133" s="16" t="n"/>
      <c r="AM133" s="16" t="n"/>
      <c r="AN133" s="16" t="n"/>
      <c r="AO133" s="16" t="n"/>
      <c r="AP133" s="16" t="n"/>
      <c r="AQ133" s="16" t="n"/>
      <c r="AR133" s="16" t="n"/>
      <c r="AS133" s="16" t="n"/>
      <c r="AT133" s="17" t="n"/>
    </row>
    <row r="134" outlineLevel="3">
      <c r="A134" s="8" t="n"/>
      <c r="B134" s="14" t="n"/>
      <c r="C134" s="41" t="n"/>
      <c r="D134" s="121" t="n"/>
      <c r="E134" s="19" t="n"/>
      <c r="F134" s="19" t="n"/>
      <c r="G134" s="19" t="n"/>
      <c r="H134" s="19" t="n"/>
      <c r="I134" s="19" t="n"/>
      <c r="J134" s="19" t="n"/>
      <c r="K134" s="19" t="n"/>
      <c r="L134" s="19" t="n"/>
      <c r="M134" s="19" t="n"/>
      <c r="N134" s="19" t="n"/>
      <c r="O134" s="19" t="n"/>
      <c r="P134" s="19" t="n"/>
      <c r="Q134" s="19" t="n"/>
      <c r="R134" s="19" t="n"/>
      <c r="S134" s="19" t="n"/>
      <c r="T134" s="19" t="n"/>
      <c r="U134" s="19" t="n"/>
      <c r="V134" s="19" t="n"/>
      <c r="W134" s="19" t="n"/>
      <c r="X134" s="19" t="n"/>
      <c r="Y134" s="19" t="n"/>
      <c r="Z134" s="19" t="n"/>
      <c r="AA134" s="19" t="n"/>
      <c r="AB134" s="19" t="n"/>
      <c r="AC134" s="19" t="n"/>
      <c r="AD134" s="19" t="n"/>
      <c r="AE134" s="19" t="n"/>
      <c r="AF134" s="19" t="n"/>
      <c r="AG134" s="19" t="n"/>
      <c r="AH134" s="19" t="n"/>
      <c r="AI134" s="19" t="n"/>
      <c r="AJ134" s="19" t="n"/>
      <c r="AK134" s="19" t="n"/>
      <c r="AL134" s="19" t="n"/>
      <c r="AM134" s="19" t="n"/>
      <c r="AN134" s="19" t="n"/>
      <c r="AO134" s="19" t="n"/>
      <c r="AP134" s="19" t="n"/>
      <c r="AQ134" s="19" t="n"/>
      <c r="AR134" s="19" t="n"/>
      <c r="AS134" s="19" t="n"/>
      <c r="AT134" s="20" t="n"/>
    </row>
    <row r="135" outlineLevel="3">
      <c r="A135" s="8" t="n"/>
      <c r="B135" s="14" t="n"/>
      <c r="C135" s="41" t="n"/>
      <c r="D135" s="21" t="n"/>
      <c r="AT135" s="22" t="n"/>
    </row>
    <row r="136" outlineLevel="3">
      <c r="A136" s="8" t="n"/>
      <c r="B136" s="14" t="n"/>
      <c r="C136" s="41" t="n"/>
      <c r="D136" s="21" t="n"/>
      <c r="AT136" s="22" t="n"/>
    </row>
    <row r="137" outlineLevel="3">
      <c r="A137" s="8" t="n"/>
      <c r="B137" s="14" t="n"/>
      <c r="C137" s="41" t="n"/>
      <c r="D137" s="23"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c r="AA137" s="24" t="n"/>
      <c r="AB137" s="24" t="n"/>
      <c r="AC137" s="24" t="n"/>
      <c r="AD137" s="24" t="n"/>
      <c r="AE137" s="24" t="n"/>
      <c r="AF137" s="24" t="n"/>
      <c r="AG137" s="24" t="n"/>
      <c r="AH137" s="24" t="n"/>
      <c r="AI137" s="24" t="n"/>
      <c r="AJ137" s="24" t="n"/>
      <c r="AK137" s="24" t="n"/>
      <c r="AL137" s="24" t="n"/>
      <c r="AM137" s="24" t="n"/>
      <c r="AN137" s="24" t="n"/>
      <c r="AO137" s="24" t="n"/>
      <c r="AP137" s="24" t="n"/>
      <c r="AQ137" s="24" t="n"/>
      <c r="AR137" s="24" t="n"/>
      <c r="AS137" s="24" t="n"/>
      <c r="AT137" s="25" t="n"/>
    </row>
    <row r="138" outlineLevel="2">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1">
      <c r="A139" s="8" t="n"/>
      <c r="B139" s="14" t="n"/>
      <c r="C139" s="41" t="n"/>
      <c r="D139" s="118">
        <f>DADOS_AM!$JD$3</f>
        <v/>
      </c>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c r="AB139" s="16" t="n"/>
      <c r="AC139" s="16" t="n"/>
      <c r="AD139" s="16" t="n"/>
      <c r="AE139" s="16" t="n"/>
      <c r="AF139" s="16" t="n"/>
      <c r="AG139" s="16" t="n"/>
      <c r="AH139" s="16" t="n"/>
      <c r="AI139" s="16" t="n"/>
      <c r="AJ139" s="16" t="n"/>
      <c r="AK139" s="16" t="n"/>
      <c r="AL139" s="16" t="n"/>
      <c r="AM139" s="16" t="n"/>
      <c r="AN139" s="16" t="n"/>
      <c r="AO139" s="16" t="n"/>
      <c r="AP139" s="16" t="n"/>
      <c r="AQ139" s="16" t="n"/>
      <c r="AR139" s="16" t="n"/>
      <c r="AS139" s="16" t="n"/>
      <c r="AT139" s="17" t="n"/>
    </row>
    <row r="140" outlineLevel="2">
      <c r="A140" s="8" t="n"/>
      <c r="B140" s="14" t="n"/>
      <c r="C140" s="41" t="n"/>
      <c r="D140" s="119">
        <f>DADOS_AM!$IV$7</f>
        <v/>
      </c>
      <c r="E140" s="16" t="n"/>
      <c r="F140" s="17" t="n"/>
      <c r="G140" s="120"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c r="AB140" s="16" t="n"/>
      <c r="AC140" s="16" t="n"/>
      <c r="AD140" s="16" t="n"/>
      <c r="AE140" s="16" t="n"/>
      <c r="AF140" s="16" t="n"/>
      <c r="AG140" s="16" t="n"/>
      <c r="AH140" s="16" t="n"/>
      <c r="AI140" s="16" t="n"/>
      <c r="AJ140" s="16" t="n"/>
      <c r="AK140" s="16" t="n"/>
      <c r="AL140" s="16" t="n"/>
      <c r="AM140" s="16" t="n"/>
      <c r="AN140" s="16" t="n"/>
      <c r="AO140" s="16" t="n"/>
      <c r="AP140" s="16" t="n"/>
      <c r="AQ140" s="16" t="n"/>
      <c r="AR140" s="16" t="n"/>
      <c r="AS140" s="16" t="n"/>
      <c r="AT140" s="17" t="n"/>
    </row>
    <row r="141" outlineLevel="3">
      <c r="A141" s="8" t="n"/>
      <c r="B141" s="14" t="n"/>
      <c r="C141" s="41" t="n"/>
      <c r="D141" s="121" t="n"/>
      <c r="E141" s="19" t="n"/>
      <c r="F141" s="19" t="n"/>
      <c r="G141" s="19" t="n"/>
      <c r="H141" s="19" t="n"/>
      <c r="I141" s="19" t="n"/>
      <c r="J141" s="19" t="n"/>
      <c r="K141" s="19" t="n"/>
      <c r="L141" s="19" t="n"/>
      <c r="M141" s="19" t="n"/>
      <c r="N141" s="19" t="n"/>
      <c r="O141" s="19" t="n"/>
      <c r="P141" s="19" t="n"/>
      <c r="Q141" s="19" t="n"/>
      <c r="R141" s="19" t="n"/>
      <c r="S141" s="19" t="n"/>
      <c r="T141" s="19" t="n"/>
      <c r="U141" s="19" t="n"/>
      <c r="V141" s="19" t="n"/>
      <c r="W141" s="19" t="n"/>
      <c r="X141" s="19" t="n"/>
      <c r="Y141" s="19" t="n"/>
      <c r="Z141" s="19" t="n"/>
      <c r="AA141" s="19" t="n"/>
      <c r="AB141" s="19" t="n"/>
      <c r="AC141" s="19" t="n"/>
      <c r="AD141" s="19" t="n"/>
      <c r="AE141" s="19" t="n"/>
      <c r="AF141" s="19" t="n"/>
      <c r="AG141" s="19" t="n"/>
      <c r="AH141" s="19" t="n"/>
      <c r="AI141" s="19" t="n"/>
      <c r="AJ141" s="19" t="n"/>
      <c r="AK141" s="19" t="n"/>
      <c r="AL141" s="19" t="n"/>
      <c r="AM141" s="19" t="n"/>
      <c r="AN141" s="19" t="n"/>
      <c r="AO141" s="19" t="n"/>
      <c r="AP141" s="19" t="n"/>
      <c r="AQ141" s="19" t="n"/>
      <c r="AR141" s="19" t="n"/>
      <c r="AS141" s="19" t="n"/>
      <c r="AT141" s="20" t="n"/>
    </row>
    <row r="142" outlineLevel="3">
      <c r="A142" s="8" t="n"/>
      <c r="B142" s="14" t="n"/>
      <c r="C142" s="41" t="n"/>
      <c r="D142" s="21" t="n"/>
      <c r="AT142" s="22" t="n"/>
    </row>
    <row r="143" outlineLevel="3">
      <c r="A143" s="8" t="n"/>
      <c r="B143" s="14" t="n"/>
      <c r="C143" s="41" t="n"/>
      <c r="D143" s="21" t="n"/>
      <c r="AT143" s="22" t="n"/>
    </row>
    <row r="144" outlineLevel="3">
      <c r="A144" s="8" t="n"/>
      <c r="B144" s="14" t="n"/>
      <c r="C144" s="41" t="n"/>
      <c r="D144" s="23"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c r="AA144" s="24" t="n"/>
      <c r="AB144" s="24" t="n"/>
      <c r="AC144" s="24" t="n"/>
      <c r="AD144" s="24" t="n"/>
      <c r="AE144" s="24" t="n"/>
      <c r="AF144" s="24" t="n"/>
      <c r="AG144" s="24" t="n"/>
      <c r="AH144" s="24" t="n"/>
      <c r="AI144" s="24" t="n"/>
      <c r="AJ144" s="24" t="n"/>
      <c r="AK144" s="24" t="n"/>
      <c r="AL144" s="24" t="n"/>
      <c r="AM144" s="24" t="n"/>
      <c r="AN144" s="24" t="n"/>
      <c r="AO144" s="24" t="n"/>
      <c r="AP144" s="24" t="n"/>
      <c r="AQ144" s="24" t="n"/>
      <c r="AR144" s="24" t="n"/>
      <c r="AS144" s="24" t="n"/>
      <c r="AT144" s="25" t="n"/>
    </row>
    <row r="145" outlineLevel="2">
      <c r="A145" s="8" t="n"/>
      <c r="B145" s="14"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c r="AA145" s="41" t="n"/>
      <c r="AB145" s="41" t="n"/>
      <c r="AC145" s="41" t="n"/>
      <c r="AD145" s="41" t="n"/>
      <c r="AE145" s="41" t="n"/>
      <c r="AF145" s="41" t="n"/>
      <c r="AG145" s="41" t="n"/>
      <c r="AH145" s="41" t="n"/>
      <c r="AI145" s="41" t="n"/>
      <c r="AJ145" s="41" t="n"/>
      <c r="AK145" s="41" t="n"/>
      <c r="AL145" s="41" t="n"/>
      <c r="AM145" s="41" t="n"/>
      <c r="AN145" s="41" t="n"/>
      <c r="AO145" s="41" t="n"/>
      <c r="AP145" s="41" t="n"/>
      <c r="AQ145" s="41" t="n"/>
      <c r="AR145" s="41" t="n"/>
      <c r="AS145" s="41" t="n"/>
      <c r="AT145" s="41" t="n"/>
    </row>
    <row r="146" outlineLevel="2">
      <c r="A146" s="8" t="n"/>
      <c r="B146" s="14" t="n"/>
      <c r="C146" s="41" t="n"/>
      <c r="D146" s="119">
        <f>DADOS_AM!$IV$8</f>
        <v/>
      </c>
      <c r="E146" s="16" t="n"/>
      <c r="F146" s="17" t="n"/>
      <c r="G146" s="120"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c r="AB146" s="16" t="n"/>
      <c r="AC146" s="16" t="n"/>
      <c r="AD146" s="16" t="n"/>
      <c r="AE146" s="16" t="n"/>
      <c r="AF146" s="16" t="n"/>
      <c r="AG146" s="16" t="n"/>
      <c r="AH146" s="16" t="n"/>
      <c r="AI146" s="16" t="n"/>
      <c r="AJ146" s="16" t="n"/>
      <c r="AK146" s="16" t="n"/>
      <c r="AL146" s="16" t="n"/>
      <c r="AM146" s="16" t="n"/>
      <c r="AN146" s="16" t="n"/>
      <c r="AO146" s="16" t="n"/>
      <c r="AP146" s="16" t="n"/>
      <c r="AQ146" s="16" t="n"/>
      <c r="AR146" s="16" t="n"/>
      <c r="AS146" s="16" t="n"/>
      <c r="AT146" s="17" t="n"/>
    </row>
    <row r="147" outlineLevel="3">
      <c r="A147" s="8" t="n"/>
      <c r="B147" s="14" t="n"/>
      <c r="C147" s="41" t="n"/>
      <c r="D147" s="121" t="n"/>
      <c r="E147" s="19" t="n"/>
      <c r="F147" s="19" t="n"/>
      <c r="G147" s="19" t="n"/>
      <c r="H147" s="19" t="n"/>
      <c r="I147" s="19" t="n"/>
      <c r="J147" s="19" t="n"/>
      <c r="K147" s="19" t="n"/>
      <c r="L147" s="19" t="n"/>
      <c r="M147" s="19" t="n"/>
      <c r="N147" s="19" t="n"/>
      <c r="O147" s="19" t="n"/>
      <c r="P147" s="19" t="n"/>
      <c r="Q147" s="19" t="n"/>
      <c r="R147" s="19" t="n"/>
      <c r="S147" s="19" t="n"/>
      <c r="T147" s="19" t="n"/>
      <c r="U147" s="19" t="n"/>
      <c r="V147" s="19" t="n"/>
      <c r="W147" s="19" t="n"/>
      <c r="X147" s="19" t="n"/>
      <c r="Y147" s="19" t="n"/>
      <c r="Z147" s="19" t="n"/>
      <c r="AA147" s="19" t="n"/>
      <c r="AB147" s="19" t="n"/>
      <c r="AC147" s="19" t="n"/>
      <c r="AD147" s="19" t="n"/>
      <c r="AE147" s="19" t="n"/>
      <c r="AF147" s="19" t="n"/>
      <c r="AG147" s="19" t="n"/>
      <c r="AH147" s="19" t="n"/>
      <c r="AI147" s="19" t="n"/>
      <c r="AJ147" s="19" t="n"/>
      <c r="AK147" s="19" t="n"/>
      <c r="AL147" s="19" t="n"/>
      <c r="AM147" s="19" t="n"/>
      <c r="AN147" s="19" t="n"/>
      <c r="AO147" s="19" t="n"/>
      <c r="AP147" s="19" t="n"/>
      <c r="AQ147" s="19" t="n"/>
      <c r="AR147" s="19" t="n"/>
      <c r="AS147" s="19" t="n"/>
      <c r="AT147" s="20" t="n"/>
    </row>
    <row r="148" outlineLevel="3">
      <c r="A148" s="8" t="n"/>
      <c r="B148" s="14" t="n"/>
      <c r="C148" s="41" t="n"/>
      <c r="D148" s="21" t="n"/>
      <c r="AT148" s="22" t="n"/>
    </row>
    <row r="149" outlineLevel="3">
      <c r="A149" s="8" t="n"/>
      <c r="B149" s="14" t="n"/>
      <c r="C149" s="41" t="n"/>
      <c r="D149" s="21" t="n"/>
      <c r="AT149" s="22" t="n"/>
    </row>
    <row r="150" outlineLevel="3">
      <c r="A150" s="8" t="n"/>
      <c r="B150" s="14" t="n"/>
      <c r="C150" s="41" t="n"/>
      <c r="D150" s="23"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c r="AA150" s="24" t="n"/>
      <c r="AB150" s="24" t="n"/>
      <c r="AC150" s="24" t="n"/>
      <c r="AD150" s="24" t="n"/>
      <c r="AE150" s="24" t="n"/>
      <c r="AF150" s="24" t="n"/>
      <c r="AG150" s="24" t="n"/>
      <c r="AH150" s="24" t="n"/>
      <c r="AI150" s="24" t="n"/>
      <c r="AJ150" s="24" t="n"/>
      <c r="AK150" s="24" t="n"/>
      <c r="AL150" s="24" t="n"/>
      <c r="AM150" s="24" t="n"/>
      <c r="AN150" s="24" t="n"/>
      <c r="AO150" s="24" t="n"/>
      <c r="AP150" s="24" t="n"/>
      <c r="AQ150" s="24" t="n"/>
      <c r="AR150" s="24" t="n"/>
      <c r="AS150" s="24" t="n"/>
      <c r="AT150" s="25" t="n"/>
    </row>
    <row r="151" outlineLevel="2">
      <c r="A151" s="8" t="n"/>
      <c r="B151" s="14"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c r="AA151" s="41" t="n"/>
      <c r="AB151" s="41" t="n"/>
      <c r="AC151" s="41" t="n"/>
      <c r="AD151" s="41" t="n"/>
      <c r="AE151" s="41" t="n"/>
      <c r="AF151" s="41" t="n"/>
      <c r="AG151" s="41" t="n"/>
      <c r="AH151" s="41" t="n"/>
      <c r="AI151" s="41" t="n"/>
      <c r="AJ151" s="41" t="n"/>
      <c r="AK151" s="41" t="n"/>
      <c r="AL151" s="41" t="n"/>
      <c r="AM151" s="41" t="n"/>
      <c r="AN151" s="41" t="n"/>
      <c r="AO151" s="41" t="n"/>
      <c r="AP151" s="41" t="n"/>
      <c r="AQ151" s="41" t="n"/>
      <c r="AR151" s="41" t="n"/>
      <c r="AS151" s="41" t="n"/>
      <c r="AT151" s="41" t="n"/>
    </row>
    <row r="152" outlineLevel="2">
      <c r="A152" s="8" t="n"/>
      <c r="B152" s="14" t="n"/>
      <c r="C152" s="41" t="n"/>
      <c r="D152" s="119">
        <f>DADOS_AM!$IV$9</f>
        <v/>
      </c>
      <c r="E152" s="16" t="n"/>
      <c r="F152" s="17" t="n"/>
      <c r="G152" s="120"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c r="AB152" s="16" t="n"/>
      <c r="AC152" s="16" t="n"/>
      <c r="AD152" s="16" t="n"/>
      <c r="AE152" s="16" t="n"/>
      <c r="AF152" s="16" t="n"/>
      <c r="AG152" s="16" t="n"/>
      <c r="AH152" s="16" t="n"/>
      <c r="AI152" s="16" t="n"/>
      <c r="AJ152" s="16" t="n"/>
      <c r="AK152" s="16" t="n"/>
      <c r="AL152" s="16" t="n"/>
      <c r="AM152" s="16" t="n"/>
      <c r="AN152" s="16" t="n"/>
      <c r="AO152" s="16" t="n"/>
      <c r="AP152" s="16" t="n"/>
      <c r="AQ152" s="16" t="n"/>
      <c r="AR152" s="16" t="n"/>
      <c r="AS152" s="16" t="n"/>
      <c r="AT152" s="17" t="n"/>
    </row>
    <row r="153" outlineLevel="3">
      <c r="A153" s="8" t="n"/>
      <c r="B153" s="14" t="n"/>
      <c r="C153" s="41" t="n"/>
      <c r="D153" s="121" t="n"/>
      <c r="E153" s="19" t="n"/>
      <c r="F153" s="19" t="n"/>
      <c r="G153" s="19" t="n"/>
      <c r="H153" s="19" t="n"/>
      <c r="I153" s="19" t="n"/>
      <c r="J153" s="19" t="n"/>
      <c r="K153" s="19" t="n"/>
      <c r="L153" s="19" t="n"/>
      <c r="M153" s="19" t="n"/>
      <c r="N153" s="19" t="n"/>
      <c r="O153" s="19" t="n"/>
      <c r="P153" s="19" t="n"/>
      <c r="Q153" s="19" t="n"/>
      <c r="R153" s="19" t="n"/>
      <c r="S153" s="19" t="n"/>
      <c r="T153" s="19" t="n"/>
      <c r="U153" s="19" t="n"/>
      <c r="V153" s="19" t="n"/>
      <c r="W153" s="19" t="n"/>
      <c r="X153" s="19" t="n"/>
      <c r="Y153" s="19" t="n"/>
      <c r="Z153" s="19" t="n"/>
      <c r="AA153" s="19" t="n"/>
      <c r="AB153" s="19" t="n"/>
      <c r="AC153" s="19" t="n"/>
      <c r="AD153" s="19" t="n"/>
      <c r="AE153" s="19" t="n"/>
      <c r="AF153" s="19" t="n"/>
      <c r="AG153" s="19" t="n"/>
      <c r="AH153" s="19" t="n"/>
      <c r="AI153" s="19" t="n"/>
      <c r="AJ153" s="19" t="n"/>
      <c r="AK153" s="19" t="n"/>
      <c r="AL153" s="19" t="n"/>
      <c r="AM153" s="19" t="n"/>
      <c r="AN153" s="19" t="n"/>
      <c r="AO153" s="19" t="n"/>
      <c r="AP153" s="19" t="n"/>
      <c r="AQ153" s="19" t="n"/>
      <c r="AR153" s="19" t="n"/>
      <c r="AS153" s="19" t="n"/>
      <c r="AT153" s="20" t="n"/>
    </row>
    <row r="154" outlineLevel="3">
      <c r="A154" s="8" t="n"/>
      <c r="B154" s="14" t="n"/>
      <c r="C154" s="41" t="n"/>
      <c r="D154" s="21" t="n"/>
      <c r="AT154" s="22" t="n"/>
    </row>
    <row r="155" outlineLevel="3">
      <c r="A155" s="8" t="n"/>
      <c r="B155" s="14" t="n"/>
      <c r="C155" s="41" t="n"/>
      <c r="D155" s="21" t="n"/>
      <c r="AT155" s="22" t="n"/>
    </row>
    <row r="156" outlineLevel="3">
      <c r="A156" s="8" t="n"/>
      <c r="B156" s="14" t="n"/>
      <c r="C156" s="41" t="n"/>
      <c r="D156" s="23"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c r="AA156" s="24" t="n"/>
      <c r="AB156" s="24" t="n"/>
      <c r="AC156" s="24" t="n"/>
      <c r="AD156" s="24" t="n"/>
      <c r="AE156" s="24" t="n"/>
      <c r="AF156" s="24" t="n"/>
      <c r="AG156" s="24" t="n"/>
      <c r="AH156" s="24" t="n"/>
      <c r="AI156" s="24" t="n"/>
      <c r="AJ156" s="24" t="n"/>
      <c r="AK156" s="24" t="n"/>
      <c r="AL156" s="24" t="n"/>
      <c r="AM156" s="24" t="n"/>
      <c r="AN156" s="24" t="n"/>
      <c r="AO156" s="24" t="n"/>
      <c r="AP156" s="24" t="n"/>
      <c r="AQ156" s="24" t="n"/>
      <c r="AR156" s="24" t="n"/>
      <c r="AS156" s="24" t="n"/>
      <c r="AT156" s="25" t="n"/>
    </row>
    <row r="157" outlineLevel="2">
      <c r="A157" s="8" t="n"/>
      <c r="B157" s="14"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c r="AA157" s="41" t="n"/>
      <c r="AB157" s="41" t="n"/>
      <c r="AC157" s="41" t="n"/>
      <c r="AD157" s="41" t="n"/>
      <c r="AE157" s="41" t="n"/>
      <c r="AF157" s="41" t="n"/>
      <c r="AG157" s="41" t="n"/>
      <c r="AH157" s="41" t="n"/>
      <c r="AI157" s="41" t="n"/>
      <c r="AJ157" s="41" t="n"/>
      <c r="AK157" s="41" t="n"/>
      <c r="AL157" s="41" t="n"/>
      <c r="AM157" s="41" t="n"/>
      <c r="AN157" s="41" t="n"/>
      <c r="AO157" s="41" t="n"/>
      <c r="AP157" s="41" t="n"/>
      <c r="AQ157" s="41" t="n"/>
      <c r="AR157" s="41" t="n"/>
      <c r="AS157" s="41" t="n"/>
      <c r="AT157" s="41" t="n"/>
    </row>
    <row r="158" outlineLevel="2">
      <c r="A158" s="8" t="n"/>
      <c r="B158" s="14" t="n"/>
      <c r="C158" s="41" t="n"/>
      <c r="D158" s="119">
        <f>DADOS_AM!$IV$10</f>
        <v/>
      </c>
      <c r="E158" s="16" t="n"/>
      <c r="F158" s="17" t="n"/>
      <c r="G158" s="120"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c r="AB158" s="16" t="n"/>
      <c r="AC158" s="16" t="n"/>
      <c r="AD158" s="16" t="n"/>
      <c r="AE158" s="16" t="n"/>
      <c r="AF158" s="16" t="n"/>
      <c r="AG158" s="16" t="n"/>
      <c r="AH158" s="16" t="n"/>
      <c r="AI158" s="16" t="n"/>
      <c r="AJ158" s="16" t="n"/>
      <c r="AK158" s="16" t="n"/>
      <c r="AL158" s="16" t="n"/>
      <c r="AM158" s="16" t="n"/>
      <c r="AN158" s="16" t="n"/>
      <c r="AO158" s="16" t="n"/>
      <c r="AP158" s="16" t="n"/>
      <c r="AQ158" s="16" t="n"/>
      <c r="AR158" s="16" t="n"/>
      <c r="AS158" s="16" t="n"/>
      <c r="AT158" s="17" t="n"/>
    </row>
    <row r="159" outlineLevel="3">
      <c r="A159" s="8" t="n"/>
      <c r="B159" s="14" t="n"/>
      <c r="C159" s="41" t="n"/>
      <c r="D159" s="121" t="n"/>
      <c r="E159" s="19" t="n"/>
      <c r="F159" s="19" t="n"/>
      <c r="G159" s="19" t="n"/>
      <c r="H159" s="19" t="n"/>
      <c r="I159" s="19" t="n"/>
      <c r="J159" s="19" t="n"/>
      <c r="K159" s="19" t="n"/>
      <c r="L159" s="19" t="n"/>
      <c r="M159" s="19" t="n"/>
      <c r="N159" s="19" t="n"/>
      <c r="O159" s="19" t="n"/>
      <c r="P159" s="19" t="n"/>
      <c r="Q159" s="19" t="n"/>
      <c r="R159" s="19" t="n"/>
      <c r="S159" s="19" t="n"/>
      <c r="T159" s="19" t="n"/>
      <c r="U159" s="19" t="n"/>
      <c r="V159" s="19" t="n"/>
      <c r="W159" s="19"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20" t="n"/>
    </row>
    <row r="160" outlineLevel="3">
      <c r="A160" s="8" t="n"/>
      <c r="B160" s="14" t="n"/>
      <c r="C160" s="41" t="n"/>
      <c r="D160" s="21" t="n"/>
      <c r="AT160" s="22" t="n"/>
    </row>
    <row r="161" outlineLevel="3">
      <c r="A161" s="8" t="n"/>
      <c r="B161" s="14" t="n"/>
      <c r="C161" s="41" t="n"/>
      <c r="D161" s="21" t="n"/>
      <c r="AT161" s="22" t="n"/>
    </row>
    <row r="162" outlineLevel="3">
      <c r="A162" s="8" t="n"/>
      <c r="B162" s="14" t="n"/>
      <c r="C162" s="41" t="n"/>
      <c r="D162" s="23"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c r="AA162" s="24" t="n"/>
      <c r="AB162" s="24" t="n"/>
      <c r="AC162" s="24" t="n"/>
      <c r="AD162" s="24" t="n"/>
      <c r="AE162" s="24" t="n"/>
      <c r="AF162" s="24" t="n"/>
      <c r="AG162" s="24" t="n"/>
      <c r="AH162" s="24" t="n"/>
      <c r="AI162" s="24" t="n"/>
      <c r="AJ162" s="24" t="n"/>
      <c r="AK162" s="24" t="n"/>
      <c r="AL162" s="24" t="n"/>
      <c r="AM162" s="24" t="n"/>
      <c r="AN162" s="24" t="n"/>
      <c r="AO162" s="24" t="n"/>
      <c r="AP162" s="24" t="n"/>
      <c r="AQ162" s="24" t="n"/>
      <c r="AR162" s="24" t="n"/>
      <c r="AS162" s="24" t="n"/>
      <c r="AT162" s="25" t="n"/>
    </row>
    <row r="163" outlineLevel="2">
      <c r="A163" s="8" t="n"/>
      <c r="B163" s="14"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c r="AA163" s="41" t="n"/>
      <c r="AB163" s="41" t="n"/>
      <c r="AC163" s="41" t="n"/>
      <c r="AD163" s="41" t="n"/>
      <c r="AE163" s="41" t="n"/>
      <c r="AF163" s="41" t="n"/>
      <c r="AG163" s="41" t="n"/>
      <c r="AH163" s="41" t="n"/>
      <c r="AI163" s="41" t="n"/>
      <c r="AJ163" s="41" t="n"/>
      <c r="AK163" s="41" t="n"/>
      <c r="AL163" s="41" t="n"/>
      <c r="AM163" s="41" t="n"/>
      <c r="AN163" s="41" t="n"/>
      <c r="AO163" s="41" t="n"/>
      <c r="AP163" s="41" t="n"/>
      <c r="AQ163" s="41" t="n"/>
      <c r="AR163" s="41" t="n"/>
      <c r="AS163" s="41" t="n"/>
      <c r="AT163" s="41" t="n"/>
    </row>
    <row r="164" outlineLevel="2">
      <c r="A164" s="8" t="n"/>
      <c r="B164" s="14" t="n"/>
      <c r="C164" s="41" t="n"/>
      <c r="D164" s="118" t="inlineStr">
        <is>
          <t>Escolhas da Trilha</t>
        </is>
      </c>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c r="AB164" s="16" t="n"/>
      <c r="AC164" s="16" t="n"/>
      <c r="AD164" s="16" t="n"/>
      <c r="AE164" s="16" t="n"/>
      <c r="AF164" s="16" t="n"/>
      <c r="AG164" s="16" t="n"/>
      <c r="AH164" s="16" t="n"/>
      <c r="AI164" s="16" t="n"/>
      <c r="AJ164" s="16" t="n"/>
      <c r="AK164" s="16" t="n"/>
      <c r="AL164" s="16" t="n"/>
      <c r="AM164" s="16" t="n"/>
      <c r="AN164" s="16" t="n"/>
      <c r="AO164" s="16" t="n"/>
      <c r="AP164" s="16" t="n"/>
      <c r="AQ164" s="16" t="n"/>
      <c r="AR164" s="16" t="n"/>
      <c r="AS164" s="16" t="n"/>
      <c r="AT164" s="17" t="n"/>
    </row>
    <row r="165" outlineLevel="3">
      <c r="A165" s="8" t="n"/>
      <c r="B165" s="14" t="n"/>
      <c r="C165" s="41" t="n"/>
      <c r="D165" s="121" t="n"/>
      <c r="E165" s="19" t="n"/>
      <c r="F165" s="19" t="n"/>
      <c r="G165" s="19" t="n"/>
      <c r="H165" s="19" t="n"/>
      <c r="I165" s="19" t="n"/>
      <c r="J165" s="19" t="n"/>
      <c r="K165" s="19" t="n"/>
      <c r="L165" s="19" t="n"/>
      <c r="M165" s="19" t="n"/>
      <c r="N165" s="19" t="n"/>
      <c r="O165" s="19" t="n"/>
      <c r="P165" s="19" t="n"/>
      <c r="Q165" s="19" t="n"/>
      <c r="R165" s="19" t="n"/>
      <c r="S165" s="19" t="n"/>
      <c r="T165" s="19" t="n"/>
      <c r="U165" s="19" t="n"/>
      <c r="V165" s="19" t="n"/>
      <c r="W165" s="19"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20" t="n"/>
    </row>
    <row r="166" outlineLevel="3">
      <c r="A166" s="8" t="n"/>
      <c r="B166" s="14" t="n"/>
      <c r="C166" s="41" t="n"/>
      <c r="D166" s="21" t="n"/>
      <c r="AT166" s="22" t="n"/>
    </row>
    <row r="167" outlineLevel="3">
      <c r="A167" s="8" t="n"/>
      <c r="B167" s="14" t="n"/>
      <c r="C167" s="41" t="n"/>
      <c r="D167" s="21" t="n"/>
      <c r="AT167" s="22" t="n"/>
    </row>
    <row r="168" outlineLevel="3">
      <c r="A168" s="8" t="n"/>
      <c r="B168" s="14" t="n"/>
      <c r="C168" s="41" t="n"/>
      <c r="D168" s="23"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c r="AA168" s="24" t="n"/>
      <c r="AB168" s="24" t="n"/>
      <c r="AC168" s="24" t="n"/>
      <c r="AD168" s="24" t="n"/>
      <c r="AE168" s="24" t="n"/>
      <c r="AF168" s="24" t="n"/>
      <c r="AG168" s="24" t="n"/>
      <c r="AH168" s="24" t="n"/>
      <c r="AI168" s="24" t="n"/>
      <c r="AJ168" s="24" t="n"/>
      <c r="AK168" s="24" t="n"/>
      <c r="AL168" s="24" t="n"/>
      <c r="AM168" s="24" t="n"/>
      <c r="AN168" s="24" t="n"/>
      <c r="AO168" s="24" t="n"/>
      <c r="AP168" s="24" t="n"/>
      <c r="AQ168" s="24" t="n"/>
      <c r="AR168" s="24" t="n"/>
      <c r="AS168" s="24" t="n"/>
      <c r="AT168" s="25" t="n"/>
    </row>
    <row r="169" outlineLevel="2">
      <c r="A169" s="8" t="n"/>
      <c r="B169" s="14"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c r="AA169" s="41" t="n"/>
      <c r="AB169" s="41" t="n"/>
      <c r="AC169" s="41" t="n"/>
      <c r="AD169" s="41" t="n"/>
      <c r="AE169" s="41" t="n"/>
      <c r="AF169" s="41" t="n"/>
      <c r="AG169" s="41" t="n"/>
      <c r="AH169" s="41" t="n"/>
      <c r="AI169" s="41" t="n"/>
      <c r="AJ169" s="41" t="n"/>
      <c r="AK169" s="41" t="n"/>
      <c r="AL169" s="41" t="n"/>
      <c r="AM169" s="41" t="n"/>
      <c r="AN169" s="41" t="n"/>
      <c r="AO169" s="41" t="n"/>
      <c r="AP169" s="41" t="n"/>
      <c r="AQ169" s="41" t="n"/>
      <c r="AR169" s="41" t="n"/>
      <c r="AS169" s="41" t="n"/>
      <c r="AT169" s="41" t="n"/>
    </row>
    <row r="170" outlineLevel="2">
      <c r="A170" s="8" t="n"/>
      <c r="B170" s="14" t="n"/>
      <c r="C170" s="41" t="n"/>
      <c r="D170" s="118" t="inlineStr">
        <is>
          <t>Anotações</t>
        </is>
      </c>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c r="AB170" s="16" t="n"/>
      <c r="AC170" s="16" t="n"/>
      <c r="AD170" s="16" t="n"/>
      <c r="AE170" s="16" t="n"/>
      <c r="AF170" s="16" t="n"/>
      <c r="AG170" s="16" t="n"/>
      <c r="AH170" s="16" t="n"/>
      <c r="AI170" s="16" t="n"/>
      <c r="AJ170" s="16" t="n"/>
      <c r="AK170" s="16" t="n"/>
      <c r="AL170" s="16" t="n"/>
      <c r="AM170" s="16" t="n"/>
      <c r="AN170" s="16" t="n"/>
      <c r="AO170" s="16" t="n"/>
      <c r="AP170" s="16" t="n"/>
      <c r="AQ170" s="16" t="n"/>
      <c r="AR170" s="16" t="n"/>
      <c r="AS170" s="16" t="n"/>
      <c r="AT170" s="17" t="n"/>
    </row>
    <row r="171" outlineLevel="3">
      <c r="A171" s="8" t="n"/>
      <c r="B171" s="14" t="n"/>
      <c r="C171" s="41" t="n"/>
      <c r="D171" s="121" t="n"/>
      <c r="E171" s="19" t="n"/>
      <c r="F171" s="19" t="n"/>
      <c r="G171" s="19" t="n"/>
      <c r="H171" s="19" t="n"/>
      <c r="I171" s="19" t="n"/>
      <c r="J171" s="19" t="n"/>
      <c r="K171" s="19" t="n"/>
      <c r="L171" s="19" t="n"/>
      <c r="M171" s="19" t="n"/>
      <c r="N171" s="19" t="n"/>
      <c r="O171" s="19" t="n"/>
      <c r="P171" s="19" t="n"/>
      <c r="Q171" s="19" t="n"/>
      <c r="R171" s="19" t="n"/>
      <c r="S171" s="19" t="n"/>
      <c r="T171" s="19" t="n"/>
      <c r="U171" s="19" t="n"/>
      <c r="V171" s="19" t="n"/>
      <c r="W171" s="19" t="n"/>
      <c r="X171" s="19" t="n"/>
      <c r="Y171" s="19" t="n"/>
      <c r="Z171" s="19" t="n"/>
      <c r="AA171" s="19" t="n"/>
      <c r="AB171" s="19" t="n"/>
      <c r="AC171" s="19" t="n"/>
      <c r="AD171" s="19" t="n"/>
      <c r="AE171" s="19" t="n"/>
      <c r="AF171" s="19" t="n"/>
      <c r="AG171" s="19" t="n"/>
      <c r="AH171" s="19" t="n"/>
      <c r="AI171" s="19" t="n"/>
      <c r="AJ171" s="19" t="n"/>
      <c r="AK171" s="19" t="n"/>
      <c r="AL171" s="19" t="n"/>
      <c r="AM171" s="19" t="n"/>
      <c r="AN171" s="19" t="n"/>
      <c r="AO171" s="19" t="n"/>
      <c r="AP171" s="19" t="n"/>
      <c r="AQ171" s="19" t="n"/>
      <c r="AR171" s="19" t="n"/>
      <c r="AS171" s="19" t="n"/>
      <c r="AT171" s="20" t="n"/>
    </row>
    <row r="172" outlineLevel="3">
      <c r="A172" s="8" t="n"/>
      <c r="B172" s="14" t="n"/>
      <c r="C172" s="41" t="n"/>
      <c r="D172" s="21" t="n"/>
      <c r="AT172" s="22" t="n"/>
    </row>
    <row r="173" outlineLevel="3">
      <c r="A173" s="8" t="n"/>
      <c r="B173" s="14" t="n"/>
      <c r="C173" s="41" t="n"/>
      <c r="D173" s="21" t="n"/>
      <c r="AT173" s="22" t="n"/>
    </row>
    <row r="174" outlineLevel="3">
      <c r="A174" s="8" t="n"/>
      <c r="B174" s="14" t="n"/>
      <c r="C174" s="41" t="n"/>
      <c r="D174" s="23"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c r="AA174" s="24" t="n"/>
      <c r="AB174" s="24" t="n"/>
      <c r="AC174" s="24" t="n"/>
      <c r="AD174" s="24" t="n"/>
      <c r="AE174" s="24" t="n"/>
      <c r="AF174" s="24" t="n"/>
      <c r="AG174" s="24" t="n"/>
      <c r="AH174" s="24" t="n"/>
      <c r="AI174" s="24" t="n"/>
      <c r="AJ174" s="24" t="n"/>
      <c r="AK174" s="24" t="n"/>
      <c r="AL174" s="24" t="n"/>
      <c r="AM174" s="24" t="n"/>
      <c r="AN174" s="24" t="n"/>
      <c r="AO174" s="24" t="n"/>
      <c r="AP174" s="24" t="n"/>
      <c r="AQ174" s="24" t="n"/>
      <c r="AR174" s="24" t="n"/>
      <c r="AS174" s="24" t="n"/>
      <c r="AT174" s="25" t="n"/>
    </row>
    <row r="175" outlineLevel="2">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ht="27" customHeight="1">
      <c r="A176" s="8" t="n"/>
      <c r="B176" s="14" t="n"/>
      <c r="C176" s="41" t="n"/>
      <c r="D176" s="66" t="n">
        <v>8</v>
      </c>
      <c r="E176" s="19" t="n"/>
      <c r="F176" s="20" t="n"/>
      <c r="G176" s="94">
        <f>DADOS_AM!$KQ$2</f>
        <v/>
      </c>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7" t="n"/>
      <c r="AI176" s="41" t="n"/>
      <c r="AJ176" s="41" t="n"/>
      <c r="AK176" s="41" t="n"/>
      <c r="AL176" s="41" t="n"/>
      <c r="AM176" s="41" t="n"/>
      <c r="AN176" s="41" t="n"/>
      <c r="AO176" s="41" t="n"/>
      <c r="AP176" s="41" t="n"/>
      <c r="AQ176" s="41" t="n"/>
      <c r="AR176" s="41" t="n"/>
      <c r="AS176" s="41" t="n"/>
      <c r="AT176" s="41" t="n"/>
    </row>
    <row r="177">
      <c r="A177" s="8" t="n"/>
      <c r="B177" s="14" t="n"/>
      <c r="C177" s="41" t="n"/>
      <c r="D177" s="23" t="n"/>
      <c r="E177" s="24" t="n"/>
      <c r="F177" s="25"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c r="AA177" s="41" t="n"/>
      <c r="AB177" s="41" t="n"/>
      <c r="AC177" s="41" t="n"/>
      <c r="AD177" s="41" t="n"/>
      <c r="AE177" s="41" t="n"/>
      <c r="AF177" s="41" t="n"/>
      <c r="AG177" s="41" t="n"/>
      <c r="AH177" s="41" t="n"/>
      <c r="AI177" s="41" t="n"/>
      <c r="AJ177" s="41" t="n"/>
      <c r="AK177" s="41" t="n"/>
      <c r="AL177" s="41" t="n"/>
      <c r="AM177" s="41" t="n"/>
      <c r="AN177" s="41" t="n"/>
      <c r="AO177" s="41" t="n"/>
      <c r="AP177" s="41" t="n"/>
      <c r="AQ177" s="41" t="n"/>
      <c r="AR177" s="41" t="n"/>
      <c r="AS177" s="41" t="n"/>
      <c r="AT177" s="41" t="n"/>
    </row>
    <row r="178">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1">
      <c r="A179" s="8" t="n"/>
      <c r="B179" s="14" t="n"/>
      <c r="C179" s="41" t="n"/>
      <c r="D179" s="118">
        <f>DADOS_AM!$KQ$3</f>
        <v/>
      </c>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c r="AB179" s="16" t="n"/>
      <c r="AC179" s="16" t="n"/>
      <c r="AD179" s="16" t="n"/>
      <c r="AE179" s="16" t="n"/>
      <c r="AF179" s="16" t="n"/>
      <c r="AG179" s="16" t="n"/>
      <c r="AH179" s="16" t="n"/>
      <c r="AI179" s="16" t="n"/>
      <c r="AJ179" s="16" t="n"/>
      <c r="AK179" s="16" t="n"/>
      <c r="AL179" s="16" t="n"/>
      <c r="AM179" s="16" t="n"/>
      <c r="AN179" s="16" t="n"/>
      <c r="AO179" s="16" t="n"/>
      <c r="AP179" s="16" t="n"/>
      <c r="AQ179" s="16" t="n"/>
      <c r="AR179" s="16" t="n"/>
      <c r="AS179" s="16" t="n"/>
      <c r="AT179" s="17" t="n"/>
    </row>
    <row r="180" outlineLevel="3">
      <c r="A180" s="8" t="n"/>
      <c r="B180" s="14" t="n"/>
      <c r="C180" s="41" t="n"/>
      <c r="D180" s="122">
        <f>DADOS_AM!$JH$2</f>
        <v/>
      </c>
      <c r="E180" s="17" t="n"/>
      <c r="F180" s="120">
        <f>DADOS_AM!$JI$2</f>
        <v/>
      </c>
      <c r="G180" s="16" t="n"/>
      <c r="H180" s="16" t="n"/>
      <c r="I180" s="16" t="n"/>
      <c r="J180" s="16" t="n"/>
      <c r="K180" s="16" t="n"/>
      <c r="L180" s="16" t="n"/>
      <c r="M180" s="16" t="n"/>
      <c r="N180" s="16" t="n"/>
      <c r="O180" s="16" t="n"/>
      <c r="P180" s="17" t="n"/>
      <c r="Q180" s="41" t="n"/>
      <c r="R180" s="41" t="n"/>
      <c r="S180" s="122">
        <f>DADOS_AM!$JH$3</f>
        <v/>
      </c>
      <c r="T180" s="17" t="n"/>
      <c r="U180" s="120">
        <f>DADOS_AM!$JI$3</f>
        <v/>
      </c>
      <c r="V180" s="16" t="n"/>
      <c r="W180" s="16" t="n"/>
      <c r="X180" s="16" t="n"/>
      <c r="Y180" s="16" t="n"/>
      <c r="Z180" s="16" t="n"/>
      <c r="AA180" s="16" t="n"/>
      <c r="AB180" s="16" t="n"/>
      <c r="AC180" s="16" t="n"/>
      <c r="AD180" s="16" t="n"/>
      <c r="AE180" s="17" t="n"/>
      <c r="AF180" s="41" t="n"/>
      <c r="AG180" s="41" t="n"/>
      <c r="AH180" s="122">
        <f>DADOS_AM!$JH$4</f>
        <v/>
      </c>
      <c r="AI180" s="17" t="n"/>
      <c r="AJ180" s="120">
        <f>DADOS_AM!$JI$4</f>
        <v/>
      </c>
      <c r="AK180" s="16" t="n"/>
      <c r="AL180" s="16" t="n"/>
      <c r="AM180" s="16" t="n"/>
      <c r="AN180" s="16" t="n"/>
      <c r="AO180" s="16" t="n"/>
      <c r="AP180" s="16" t="n"/>
      <c r="AQ180" s="16" t="n"/>
      <c r="AR180" s="16" t="n"/>
      <c r="AS180" s="16" t="n"/>
      <c r="AT180" s="17" t="n"/>
    </row>
    <row r="181" outlineLevel="3">
      <c r="A181" s="8" t="n"/>
      <c r="B181" s="14" t="n"/>
      <c r="C181" s="41" t="n"/>
      <c r="D181" s="123">
        <f>DADOS_AM!$JJ$2</f>
        <v/>
      </c>
      <c r="E181" s="16" t="n"/>
      <c r="F181" s="17" t="n"/>
      <c r="G181" s="123">
        <f>DADOS_AM!$JK$2</f>
        <v/>
      </c>
      <c r="H181" s="16" t="n"/>
      <c r="I181" s="16" t="n"/>
      <c r="J181" s="17" t="n"/>
      <c r="K181" s="123">
        <f>DADOS_AM!$JL$2</f>
        <v/>
      </c>
      <c r="L181" s="16" t="n"/>
      <c r="M181" s="16" t="n"/>
      <c r="N181" s="16" t="n"/>
      <c r="O181" s="16" t="n"/>
      <c r="P181" s="17" t="n"/>
      <c r="Q181" s="41" t="n"/>
      <c r="R181" s="41" t="n"/>
      <c r="S181" s="123">
        <f>DADOS_AM!$JJ$3</f>
        <v/>
      </c>
      <c r="T181" s="16" t="n"/>
      <c r="U181" s="17" t="n"/>
      <c r="V181" s="123">
        <f>DADOS_AM!$JK$3</f>
        <v/>
      </c>
      <c r="W181" s="16" t="n"/>
      <c r="X181" s="16" t="n"/>
      <c r="Y181" s="17" t="n"/>
      <c r="Z181" s="123">
        <f>DADOS_AM!$JL$3</f>
        <v/>
      </c>
      <c r="AA181" s="16" t="n"/>
      <c r="AB181" s="16" t="n"/>
      <c r="AC181" s="16" t="n"/>
      <c r="AD181" s="16" t="n"/>
      <c r="AE181" s="17" t="n"/>
      <c r="AF181" s="41" t="n"/>
      <c r="AG181" s="41" t="n"/>
      <c r="AH181" s="123">
        <f>DADOS_AM!$JJ$4</f>
        <v/>
      </c>
      <c r="AI181" s="16" t="n"/>
      <c r="AJ181" s="17" t="n"/>
      <c r="AK181" s="123">
        <f>DADOS_AM!$JK$4</f>
        <v/>
      </c>
      <c r="AL181" s="16" t="n"/>
      <c r="AM181" s="16" t="n"/>
      <c r="AN181" s="17" t="n"/>
      <c r="AO181" s="123">
        <f>DADOS_AM!$JL$4</f>
        <v/>
      </c>
      <c r="AP181" s="16" t="n"/>
      <c r="AQ181" s="16" t="n"/>
      <c r="AR181" s="16" t="n"/>
      <c r="AS181" s="16" t="n"/>
      <c r="AT181" s="17" t="n"/>
    </row>
    <row r="182" outlineLevel="4">
      <c r="A182" s="8" t="n"/>
      <c r="B182" s="14" t="n"/>
      <c r="C182" s="41" t="n"/>
      <c r="D182" s="121">
        <f>DADOS_AM!$JM$2</f>
        <v/>
      </c>
      <c r="E182" s="19" t="n"/>
      <c r="F182" s="19" t="n"/>
      <c r="G182" s="19" t="n"/>
      <c r="H182" s="19" t="n"/>
      <c r="I182" s="19" t="n"/>
      <c r="J182" s="19" t="n"/>
      <c r="K182" s="19" t="n"/>
      <c r="L182" s="19" t="n"/>
      <c r="M182" s="19" t="n"/>
      <c r="N182" s="19" t="n"/>
      <c r="O182" s="19" t="n"/>
      <c r="P182" s="20" t="n"/>
      <c r="Q182" s="41" t="n"/>
      <c r="R182" s="41" t="n"/>
      <c r="S182" s="121">
        <f>DADOS_AM!$JM$3</f>
        <v/>
      </c>
      <c r="T182" s="19" t="n"/>
      <c r="U182" s="19" t="n"/>
      <c r="V182" s="19" t="n"/>
      <c r="W182" s="19" t="n"/>
      <c r="X182" s="19" t="n"/>
      <c r="Y182" s="19" t="n"/>
      <c r="Z182" s="19" t="n"/>
      <c r="AA182" s="19" t="n"/>
      <c r="AB182" s="19" t="n"/>
      <c r="AC182" s="19" t="n"/>
      <c r="AD182" s="19" t="n"/>
      <c r="AE182" s="20" t="n"/>
      <c r="AF182" s="41" t="n"/>
      <c r="AG182" s="41" t="n"/>
      <c r="AH182" s="121">
        <f>DADOS_AM!$JM$4</f>
        <v/>
      </c>
      <c r="AI182" s="19" t="n"/>
      <c r="AJ182" s="19" t="n"/>
      <c r="AK182" s="19" t="n"/>
      <c r="AL182" s="19" t="n"/>
      <c r="AM182" s="19" t="n"/>
      <c r="AN182" s="19" t="n"/>
      <c r="AO182" s="19" t="n"/>
      <c r="AP182" s="19" t="n"/>
      <c r="AQ182" s="19" t="n"/>
      <c r="AR182" s="19" t="n"/>
      <c r="AS182" s="19" t="n"/>
      <c r="AT182" s="20"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1" t="n"/>
      <c r="P185" s="22" t="n"/>
      <c r="Q185" s="41" t="n"/>
      <c r="R185" s="41" t="n"/>
      <c r="S185" s="21" t="n"/>
      <c r="AE185" s="22" t="n"/>
      <c r="AF185" s="41" t="n"/>
      <c r="AG185" s="41" t="n"/>
      <c r="AH185" s="21" t="n"/>
      <c r="AT185" s="22" t="n"/>
    </row>
    <row r="186" outlineLevel="4">
      <c r="A186" s="8" t="n"/>
      <c r="B186" s="14" t="n"/>
      <c r="C186" s="41" t="n"/>
      <c r="D186" s="21" t="n"/>
      <c r="P186" s="22" t="n"/>
      <c r="Q186" s="41" t="n"/>
      <c r="R186" s="41" t="n"/>
      <c r="S186" s="21" t="n"/>
      <c r="AE186" s="22" t="n"/>
      <c r="AF186" s="41" t="n"/>
      <c r="AG186" s="41" t="n"/>
      <c r="AH186" s="21" t="n"/>
      <c r="AT186" s="22" t="n"/>
    </row>
    <row r="187" outlineLevel="4">
      <c r="A187" s="8" t="n"/>
      <c r="B187" s="14" t="n"/>
      <c r="C187" s="41" t="n"/>
      <c r="D187" s="21" t="n"/>
      <c r="P187" s="22" t="n"/>
      <c r="Q187" s="41" t="n"/>
      <c r="R187" s="41" t="n"/>
      <c r="S187" s="21" t="n"/>
      <c r="AE187" s="22" t="n"/>
      <c r="AF187" s="41" t="n"/>
      <c r="AG187" s="41" t="n"/>
      <c r="AH187" s="21" t="n"/>
      <c r="AT187" s="22" t="n"/>
    </row>
    <row r="188" outlineLevel="4">
      <c r="A188" s="8" t="n"/>
      <c r="B188" s="14" t="n"/>
      <c r="C188" s="41" t="n"/>
      <c r="D188" s="23" t="n"/>
      <c r="E188" s="24" t="n"/>
      <c r="F188" s="24" t="n"/>
      <c r="G188" s="24" t="n"/>
      <c r="H188" s="24" t="n"/>
      <c r="I188" s="24" t="n"/>
      <c r="J188" s="24" t="n"/>
      <c r="K188" s="24" t="n"/>
      <c r="L188" s="24" t="n"/>
      <c r="M188" s="24" t="n"/>
      <c r="N188" s="24" t="n"/>
      <c r="O188" s="24" t="n"/>
      <c r="P188" s="25" t="n"/>
      <c r="Q188" s="41" t="n"/>
      <c r="R188" s="41" t="n"/>
      <c r="S188" s="23" t="n"/>
      <c r="T188" s="24" t="n"/>
      <c r="U188" s="24" t="n"/>
      <c r="V188" s="24" t="n"/>
      <c r="W188" s="24" t="n"/>
      <c r="X188" s="24" t="n"/>
      <c r="Y188" s="24" t="n"/>
      <c r="Z188" s="24" t="n"/>
      <c r="AA188" s="24" t="n"/>
      <c r="AB188" s="24" t="n"/>
      <c r="AC188" s="24" t="n"/>
      <c r="AD188" s="24" t="n"/>
      <c r="AE188" s="25" t="n"/>
      <c r="AF188" s="41" t="n"/>
      <c r="AG188" s="41" t="n"/>
      <c r="AH188" s="23" t="n"/>
      <c r="AI188" s="24" t="n"/>
      <c r="AJ188" s="24" t="n"/>
      <c r="AK188" s="24" t="n"/>
      <c r="AL188" s="24" t="n"/>
      <c r="AM188" s="24" t="n"/>
      <c r="AN188" s="24" t="n"/>
      <c r="AO188" s="24" t="n"/>
      <c r="AP188" s="24" t="n"/>
      <c r="AQ188" s="24" t="n"/>
      <c r="AR188" s="24" t="n"/>
      <c r="AS188" s="24" t="n"/>
      <c r="AT188" s="25" t="n"/>
    </row>
    <row r="189" outlineLevel="3">
      <c r="A189" s="8" t="n"/>
      <c r="B189" s="14"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c r="AA189" s="41" t="n"/>
      <c r="AB189" s="41" t="n"/>
      <c r="AC189" s="41" t="n"/>
      <c r="AD189" s="41" t="n"/>
      <c r="AE189" s="41" t="n"/>
      <c r="AF189" s="41" t="n"/>
      <c r="AG189" s="41" t="n"/>
      <c r="AH189" s="41" t="n"/>
      <c r="AI189" s="41" t="n"/>
      <c r="AJ189" s="41" t="n"/>
      <c r="AK189" s="41" t="n"/>
      <c r="AL189" s="41" t="n"/>
      <c r="AM189" s="41" t="n"/>
      <c r="AN189" s="41" t="n"/>
      <c r="AO189" s="41" t="n"/>
      <c r="AP189" s="41" t="n"/>
      <c r="AQ189" s="41" t="n"/>
      <c r="AR189" s="41" t="n"/>
      <c r="AS189" s="41" t="n"/>
      <c r="AT189" s="41" t="n"/>
    </row>
    <row r="190" outlineLevel="3">
      <c r="A190" s="8" t="n"/>
      <c r="B190" s="14" t="n"/>
      <c r="C190" s="41" t="n"/>
      <c r="D190" s="122">
        <f>DADOS_AM!$JH$5</f>
        <v/>
      </c>
      <c r="E190" s="17" t="n"/>
      <c r="F190" s="120">
        <f>DADOS_AM!$JI$5</f>
        <v/>
      </c>
      <c r="G190" s="16" t="n"/>
      <c r="H190" s="16" t="n"/>
      <c r="I190" s="16" t="n"/>
      <c r="J190" s="16" t="n"/>
      <c r="K190" s="16" t="n"/>
      <c r="L190" s="16" t="n"/>
      <c r="M190" s="16" t="n"/>
      <c r="N190" s="16" t="n"/>
      <c r="O190" s="16" t="n"/>
      <c r="P190" s="17" t="n"/>
      <c r="Q190" s="41" t="n"/>
      <c r="R190" s="41" t="n"/>
      <c r="S190" s="122">
        <f>DADOS_AM!$JH$6</f>
        <v/>
      </c>
      <c r="T190" s="17" t="n"/>
      <c r="U190" s="120">
        <f>DADOS_AM!$JI$6</f>
        <v/>
      </c>
      <c r="V190" s="16" t="n"/>
      <c r="W190" s="16" t="n"/>
      <c r="X190" s="16" t="n"/>
      <c r="Y190" s="16" t="n"/>
      <c r="Z190" s="16" t="n"/>
      <c r="AA190" s="16" t="n"/>
      <c r="AB190" s="16" t="n"/>
      <c r="AC190" s="16" t="n"/>
      <c r="AD190" s="16" t="n"/>
      <c r="AE190" s="17" t="n"/>
      <c r="AF190" s="41" t="n"/>
      <c r="AG190" s="41" t="n"/>
      <c r="AH190" s="122">
        <f>DADOS_AM!$JH$7</f>
        <v/>
      </c>
      <c r="AI190" s="17" t="n"/>
      <c r="AJ190" s="120">
        <f>DADOS_AM!$JI$7</f>
        <v/>
      </c>
      <c r="AK190" s="16" t="n"/>
      <c r="AL190" s="16" t="n"/>
      <c r="AM190" s="16" t="n"/>
      <c r="AN190" s="16" t="n"/>
      <c r="AO190" s="16" t="n"/>
      <c r="AP190" s="16" t="n"/>
      <c r="AQ190" s="16" t="n"/>
      <c r="AR190" s="16" t="n"/>
      <c r="AS190" s="16" t="n"/>
      <c r="AT190" s="17" t="n"/>
    </row>
    <row r="191" outlineLevel="3">
      <c r="A191" s="8" t="n"/>
      <c r="B191" s="14" t="n"/>
      <c r="C191" s="41" t="n"/>
      <c r="D191" s="123">
        <f>DADOS_AM!$JJ$5</f>
        <v/>
      </c>
      <c r="E191" s="16" t="n"/>
      <c r="F191" s="17" t="n"/>
      <c r="G191" s="123">
        <f>DADOS_AM!$JK$5</f>
        <v/>
      </c>
      <c r="H191" s="16" t="n"/>
      <c r="I191" s="16" t="n"/>
      <c r="J191" s="17" t="n"/>
      <c r="K191" s="123">
        <f>DADOS_AM!$JL$5</f>
        <v/>
      </c>
      <c r="L191" s="16" t="n"/>
      <c r="M191" s="16" t="n"/>
      <c r="N191" s="16" t="n"/>
      <c r="O191" s="16" t="n"/>
      <c r="P191" s="17" t="n"/>
      <c r="Q191" s="41" t="n"/>
      <c r="R191" s="41" t="n"/>
      <c r="S191" s="123">
        <f>DADOS_AM!$JJ$6</f>
        <v/>
      </c>
      <c r="T191" s="16" t="n"/>
      <c r="U191" s="17" t="n"/>
      <c r="V191" s="123">
        <f>DADOS_AM!$JK$6</f>
        <v/>
      </c>
      <c r="W191" s="16" t="n"/>
      <c r="X191" s="16" t="n"/>
      <c r="Y191" s="17" t="n"/>
      <c r="Z191" s="123">
        <f>DADOS_AM!$JL$6</f>
        <v/>
      </c>
      <c r="AA191" s="16" t="n"/>
      <c r="AB191" s="16" t="n"/>
      <c r="AC191" s="16" t="n"/>
      <c r="AD191" s="16" t="n"/>
      <c r="AE191" s="17" t="n"/>
      <c r="AF191" s="41" t="n"/>
      <c r="AG191" s="41" t="n"/>
      <c r="AH191" s="123">
        <f>DADOS_AM!$JJ$7</f>
        <v/>
      </c>
      <c r="AI191" s="16" t="n"/>
      <c r="AJ191" s="17" t="n"/>
      <c r="AK191" s="123">
        <f>DADOS_AM!$JK$7</f>
        <v/>
      </c>
      <c r="AL191" s="16" t="n"/>
      <c r="AM191" s="16" t="n"/>
      <c r="AN191" s="17" t="n"/>
      <c r="AO191" s="123">
        <f>DADOS_AM!$JL$7</f>
        <v/>
      </c>
      <c r="AP191" s="16" t="n"/>
      <c r="AQ191" s="16" t="n"/>
      <c r="AR191" s="16" t="n"/>
      <c r="AS191" s="16" t="n"/>
      <c r="AT191" s="17" t="n"/>
    </row>
    <row r="192" hidden="1" outlineLevel="4">
      <c r="A192" s="8" t="n"/>
      <c r="B192" s="14" t="n"/>
      <c r="C192" s="41" t="n"/>
      <c r="D192" s="121">
        <f>DADOS_AM!$JM$5</f>
        <v/>
      </c>
      <c r="E192" s="19" t="n"/>
      <c r="F192" s="19" t="n"/>
      <c r="G192" s="19" t="n"/>
      <c r="H192" s="19" t="n"/>
      <c r="I192" s="19" t="n"/>
      <c r="J192" s="19" t="n"/>
      <c r="K192" s="19" t="n"/>
      <c r="L192" s="19" t="n"/>
      <c r="M192" s="19" t="n"/>
      <c r="N192" s="19" t="n"/>
      <c r="O192" s="19" t="n"/>
      <c r="P192" s="20" t="n"/>
      <c r="Q192" s="41" t="n"/>
      <c r="R192" s="41" t="n"/>
      <c r="S192" s="121">
        <f>DADOS_AM!$JM$6</f>
        <v/>
      </c>
      <c r="T192" s="19" t="n"/>
      <c r="U192" s="19" t="n"/>
      <c r="V192" s="19" t="n"/>
      <c r="W192" s="19" t="n"/>
      <c r="X192" s="19" t="n"/>
      <c r="Y192" s="19" t="n"/>
      <c r="Z192" s="19" t="n"/>
      <c r="AA192" s="19" t="n"/>
      <c r="AB192" s="19" t="n"/>
      <c r="AC192" s="19" t="n"/>
      <c r="AD192" s="19" t="n"/>
      <c r="AE192" s="20" t="n"/>
      <c r="AF192" s="41" t="n"/>
      <c r="AG192" s="41" t="n"/>
      <c r="AH192" s="121">
        <f>DADOS_AM!$JM$7</f>
        <v/>
      </c>
      <c r="AI192" s="19" t="n"/>
      <c r="AJ192" s="19" t="n"/>
      <c r="AK192" s="19" t="n"/>
      <c r="AL192" s="19" t="n"/>
      <c r="AM192" s="19" t="n"/>
      <c r="AN192" s="19" t="n"/>
      <c r="AO192" s="19" t="n"/>
      <c r="AP192" s="19" t="n"/>
      <c r="AQ192" s="19" t="n"/>
      <c r="AR192" s="19" t="n"/>
      <c r="AS192" s="19" t="n"/>
      <c r="AT192" s="20"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1" t="n"/>
      <c r="P197" s="22" t="n"/>
      <c r="Q197" s="41" t="n"/>
      <c r="R197" s="41" t="n"/>
      <c r="S197" s="21" t="n"/>
      <c r="AE197" s="22" t="n"/>
      <c r="AF197" s="41" t="n"/>
      <c r="AG197" s="41" t="n"/>
      <c r="AH197" s="21" t="n"/>
      <c r="AT197" s="22" t="n"/>
    </row>
    <row r="198" hidden="1" outlineLevel="4">
      <c r="A198" s="8" t="n"/>
      <c r="B198" s="14" t="n"/>
      <c r="C198" s="41" t="n"/>
      <c r="D198" s="23" t="n"/>
      <c r="E198" s="24" t="n"/>
      <c r="F198" s="24" t="n"/>
      <c r="G198" s="24" t="n"/>
      <c r="H198" s="24" t="n"/>
      <c r="I198" s="24" t="n"/>
      <c r="J198" s="24" t="n"/>
      <c r="K198" s="24" t="n"/>
      <c r="L198" s="24" t="n"/>
      <c r="M198" s="24" t="n"/>
      <c r="N198" s="24" t="n"/>
      <c r="O198" s="24" t="n"/>
      <c r="P198" s="25" t="n"/>
      <c r="Q198" s="41" t="n"/>
      <c r="R198" s="41" t="n"/>
      <c r="S198" s="23" t="n"/>
      <c r="T198" s="24" t="n"/>
      <c r="U198" s="24" t="n"/>
      <c r="V198" s="24" t="n"/>
      <c r="W198" s="24" t="n"/>
      <c r="X198" s="24" t="n"/>
      <c r="Y198" s="24" t="n"/>
      <c r="Z198" s="24" t="n"/>
      <c r="AA198" s="24" t="n"/>
      <c r="AB198" s="24" t="n"/>
      <c r="AC198" s="24" t="n"/>
      <c r="AD198" s="24" t="n"/>
      <c r="AE198" s="25" t="n"/>
      <c r="AF198" s="41" t="n"/>
      <c r="AG198" s="41" t="n"/>
      <c r="AH198" s="23" t="n"/>
      <c r="AI198" s="24" t="n"/>
      <c r="AJ198" s="24" t="n"/>
      <c r="AK198" s="24" t="n"/>
      <c r="AL198" s="24" t="n"/>
      <c r="AM198" s="24" t="n"/>
      <c r="AN198" s="24" t="n"/>
      <c r="AO198" s="24" t="n"/>
      <c r="AP198" s="24" t="n"/>
      <c r="AQ198" s="24" t="n"/>
      <c r="AR198" s="24" t="n"/>
      <c r="AS198" s="24" t="n"/>
      <c r="AT198" s="25" t="n"/>
    </row>
    <row r="199" outlineLevel="2">
      <c r="A199" s="8" t="n"/>
      <c r="B199" s="14" t="n"/>
      <c r="C199" s="41" t="n"/>
      <c r="D199" s="124">
        <f>DADOS_AM!$KQ$10</f>
        <v/>
      </c>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c r="AB199" s="16" t="n"/>
      <c r="AC199" s="16" t="n"/>
      <c r="AD199" s="16" t="n"/>
      <c r="AE199" s="16" t="n"/>
      <c r="AF199" s="16" t="n"/>
      <c r="AG199" s="16" t="n"/>
      <c r="AH199" s="16" t="n"/>
      <c r="AI199" s="16" t="n"/>
      <c r="AJ199" s="16" t="n"/>
      <c r="AK199" s="16" t="n"/>
      <c r="AL199" s="16" t="n"/>
      <c r="AM199" s="16" t="n"/>
      <c r="AN199" s="16" t="n"/>
      <c r="AO199" s="16" t="n"/>
      <c r="AP199" s="16" t="n"/>
      <c r="AQ199" s="16" t="n"/>
      <c r="AR199" s="16" t="n"/>
      <c r="AS199" s="16" t="n"/>
      <c r="AT199" s="17" t="n"/>
    </row>
    <row r="200" hidden="1" outlineLevel="3">
      <c r="A200" s="8" t="n"/>
      <c r="B200" s="14" t="n"/>
      <c r="C200" s="41" t="n"/>
      <c r="D200" s="122">
        <f>DADOS_AM!$JH$8</f>
        <v/>
      </c>
      <c r="E200" s="17" t="n"/>
      <c r="F200" s="120">
        <f>DADOS_AM!$JI$8</f>
        <v/>
      </c>
      <c r="G200" s="16" t="n"/>
      <c r="H200" s="16" t="n"/>
      <c r="I200" s="16" t="n"/>
      <c r="J200" s="16" t="n"/>
      <c r="K200" s="16" t="n"/>
      <c r="L200" s="16" t="n"/>
      <c r="M200" s="16" t="n"/>
      <c r="N200" s="16" t="n"/>
      <c r="O200" s="16" t="n"/>
      <c r="P200" s="17" t="n"/>
      <c r="Q200" s="41" t="n"/>
      <c r="R200" s="41" t="n"/>
      <c r="S200" s="122">
        <f>DADOS_AM!$JH$9</f>
        <v/>
      </c>
      <c r="T200" s="17" t="n"/>
      <c r="U200" s="120">
        <f>DADOS_AM!$JI$9</f>
        <v/>
      </c>
      <c r="V200" s="16" t="n"/>
      <c r="W200" s="16" t="n"/>
      <c r="X200" s="16" t="n"/>
      <c r="Y200" s="16" t="n"/>
      <c r="Z200" s="16" t="n"/>
      <c r="AA200" s="16" t="n"/>
      <c r="AB200" s="16" t="n"/>
      <c r="AC200" s="16" t="n"/>
      <c r="AD200" s="16" t="n"/>
      <c r="AE200" s="17" t="n"/>
      <c r="AF200" s="41" t="n"/>
      <c r="AG200" s="41" t="n"/>
      <c r="AH200" s="122">
        <f>DADOS_AM!$JH$10</f>
        <v/>
      </c>
      <c r="AI200" s="17" t="n"/>
      <c r="AJ200" s="120">
        <f>DADOS_AM!$JI$10</f>
        <v/>
      </c>
      <c r="AK200" s="16" t="n"/>
      <c r="AL200" s="16" t="n"/>
      <c r="AM200" s="16" t="n"/>
      <c r="AN200" s="16" t="n"/>
      <c r="AO200" s="16" t="n"/>
      <c r="AP200" s="16" t="n"/>
      <c r="AQ200" s="16" t="n"/>
      <c r="AR200" s="16" t="n"/>
      <c r="AS200" s="16" t="n"/>
      <c r="AT200" s="17" t="n"/>
    </row>
    <row r="201" hidden="1" outlineLevel="3">
      <c r="A201" s="8" t="n"/>
      <c r="B201" s="14" t="n"/>
      <c r="C201" s="41" t="n"/>
      <c r="D201" s="123">
        <f>DADOS_AM!$JJ$8</f>
        <v/>
      </c>
      <c r="E201" s="16" t="n"/>
      <c r="F201" s="17" t="n"/>
      <c r="G201" s="123">
        <f>DADOS_AM!$JK$8</f>
        <v/>
      </c>
      <c r="H201" s="16" t="n"/>
      <c r="I201" s="16" t="n"/>
      <c r="J201" s="17" t="n"/>
      <c r="K201" s="123">
        <f>DADOS_AM!$JL$8</f>
        <v/>
      </c>
      <c r="L201" s="16" t="n"/>
      <c r="M201" s="16" t="n"/>
      <c r="N201" s="16" t="n"/>
      <c r="O201" s="16" t="n"/>
      <c r="P201" s="17" t="n"/>
      <c r="Q201" s="41" t="n"/>
      <c r="R201" s="41" t="n"/>
      <c r="S201" s="123">
        <f>DADOS_AM!$JJ$9</f>
        <v/>
      </c>
      <c r="T201" s="16" t="n"/>
      <c r="U201" s="17" t="n"/>
      <c r="V201" s="123">
        <f>DADOS_AM!$JK$9</f>
        <v/>
      </c>
      <c r="W201" s="16" t="n"/>
      <c r="X201" s="16" t="n"/>
      <c r="Y201" s="17" t="n"/>
      <c r="Z201" s="123">
        <f>DADOS_AM!$JL$9</f>
        <v/>
      </c>
      <c r="AA201" s="16" t="n"/>
      <c r="AB201" s="16" t="n"/>
      <c r="AC201" s="16" t="n"/>
      <c r="AD201" s="16" t="n"/>
      <c r="AE201" s="17" t="n"/>
      <c r="AF201" s="41" t="n"/>
      <c r="AG201" s="41" t="n"/>
      <c r="AH201" s="123">
        <f>DADOS_AM!$JJ$10</f>
        <v/>
      </c>
      <c r="AI201" s="16" t="n"/>
      <c r="AJ201" s="17" t="n"/>
      <c r="AK201" s="123">
        <f>DADOS_AM!$JK$10</f>
        <v/>
      </c>
      <c r="AL201" s="16" t="n"/>
      <c r="AM201" s="16" t="n"/>
      <c r="AN201" s="17" t="n"/>
      <c r="AO201" s="123">
        <f>DADOS_AM!$JL$10</f>
        <v/>
      </c>
      <c r="AP201" s="16" t="n"/>
      <c r="AQ201" s="16" t="n"/>
      <c r="AR201" s="16" t="n"/>
      <c r="AS201" s="16" t="n"/>
      <c r="AT201" s="17" t="n"/>
    </row>
    <row r="202" hidden="1" outlineLevel="4">
      <c r="A202" s="8" t="n"/>
      <c r="B202" s="14" t="n"/>
      <c r="C202" s="41" t="n"/>
      <c r="D202" s="121">
        <f>DADOS_AM!$JM$8</f>
        <v/>
      </c>
      <c r="E202" s="19" t="n"/>
      <c r="F202" s="19" t="n"/>
      <c r="G202" s="19" t="n"/>
      <c r="H202" s="19" t="n"/>
      <c r="I202" s="19" t="n"/>
      <c r="J202" s="19" t="n"/>
      <c r="K202" s="19" t="n"/>
      <c r="L202" s="19" t="n"/>
      <c r="M202" s="19" t="n"/>
      <c r="N202" s="19" t="n"/>
      <c r="O202" s="19" t="n"/>
      <c r="P202" s="20" t="n"/>
      <c r="Q202" s="41" t="n"/>
      <c r="R202" s="41" t="n"/>
      <c r="S202" s="121">
        <f>DADOS_AM!$JM$9</f>
        <v/>
      </c>
      <c r="T202" s="19" t="n"/>
      <c r="U202" s="19" t="n"/>
      <c r="V202" s="19" t="n"/>
      <c r="W202" s="19" t="n"/>
      <c r="X202" s="19" t="n"/>
      <c r="Y202" s="19" t="n"/>
      <c r="Z202" s="19" t="n"/>
      <c r="AA202" s="19" t="n"/>
      <c r="AB202" s="19" t="n"/>
      <c r="AC202" s="19" t="n"/>
      <c r="AD202" s="19" t="n"/>
      <c r="AE202" s="20" t="n"/>
      <c r="AF202" s="41" t="n"/>
      <c r="AG202" s="41" t="n"/>
      <c r="AH202" s="121">
        <f>DADOS_AM!$JM$10</f>
        <v/>
      </c>
      <c r="AI202" s="19" t="n"/>
      <c r="AJ202" s="19" t="n"/>
      <c r="AK202" s="19" t="n"/>
      <c r="AL202" s="19" t="n"/>
      <c r="AM202" s="19" t="n"/>
      <c r="AN202" s="19" t="n"/>
      <c r="AO202" s="19" t="n"/>
      <c r="AP202" s="19" t="n"/>
      <c r="AQ202" s="19" t="n"/>
      <c r="AR202" s="19" t="n"/>
      <c r="AS202" s="19" t="n"/>
      <c r="AT202" s="20"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1" t="n"/>
      <c r="P207" s="22" t="n"/>
      <c r="Q207" s="41" t="n"/>
      <c r="R207" s="41" t="n"/>
      <c r="S207" s="21" t="n"/>
      <c r="AE207" s="22" t="n"/>
      <c r="AF207" s="41" t="n"/>
      <c r="AG207" s="41" t="n"/>
      <c r="AH207" s="21" t="n"/>
      <c r="AT207" s="22" t="n"/>
    </row>
    <row r="208" hidden="1" outlineLevel="4">
      <c r="A208" s="8" t="n"/>
      <c r="B208" s="14" t="n"/>
      <c r="C208" s="41" t="n"/>
      <c r="D208" s="23" t="n"/>
      <c r="E208" s="24" t="n"/>
      <c r="F208" s="24" t="n"/>
      <c r="G208" s="24" t="n"/>
      <c r="H208" s="24" t="n"/>
      <c r="I208" s="24" t="n"/>
      <c r="J208" s="24" t="n"/>
      <c r="K208" s="24" t="n"/>
      <c r="L208" s="24" t="n"/>
      <c r="M208" s="24" t="n"/>
      <c r="N208" s="24" t="n"/>
      <c r="O208" s="24" t="n"/>
      <c r="P208" s="25" t="n"/>
      <c r="Q208" s="41" t="n"/>
      <c r="R208" s="41" t="n"/>
      <c r="S208" s="23" t="n"/>
      <c r="T208" s="24" t="n"/>
      <c r="U208" s="24" t="n"/>
      <c r="V208" s="24" t="n"/>
      <c r="W208" s="24" t="n"/>
      <c r="X208" s="24" t="n"/>
      <c r="Y208" s="24" t="n"/>
      <c r="Z208" s="24" t="n"/>
      <c r="AA208" s="24" t="n"/>
      <c r="AB208" s="24" t="n"/>
      <c r="AC208" s="24" t="n"/>
      <c r="AD208" s="24" t="n"/>
      <c r="AE208" s="25" t="n"/>
      <c r="AF208" s="41" t="n"/>
      <c r="AG208" s="41" t="n"/>
      <c r="AH208" s="23" t="n"/>
      <c r="AI208" s="24" t="n"/>
      <c r="AJ208" s="24" t="n"/>
      <c r="AK208" s="24" t="n"/>
      <c r="AL208" s="24" t="n"/>
      <c r="AM208" s="24" t="n"/>
      <c r="AN208" s="24" t="n"/>
      <c r="AO208" s="24" t="n"/>
      <c r="AP208" s="24" t="n"/>
      <c r="AQ208" s="24" t="n"/>
      <c r="AR208" s="24" t="n"/>
      <c r="AS208" s="24" t="n"/>
      <c r="AT208" s="25" t="n"/>
    </row>
    <row r="209" hidden="1" outlineLevel="3">
      <c r="A209" s="8" t="n"/>
      <c r="B209" s="14"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c r="AA209" s="41" t="n"/>
      <c r="AB209" s="41" t="n"/>
      <c r="AC209" s="41" t="n"/>
      <c r="AD209" s="41" t="n"/>
      <c r="AE209" s="41" t="n"/>
      <c r="AF209" s="41" t="n"/>
      <c r="AG209" s="41" t="n"/>
      <c r="AH209" s="41" t="n"/>
      <c r="AI209" s="41" t="n"/>
      <c r="AJ209" s="41" t="n"/>
      <c r="AK209" s="41" t="n"/>
      <c r="AL209" s="41" t="n"/>
      <c r="AM209" s="41" t="n"/>
      <c r="AN209" s="41" t="n"/>
      <c r="AO209" s="41" t="n"/>
      <c r="AP209" s="41" t="n"/>
      <c r="AQ209" s="41" t="n"/>
      <c r="AR209" s="41" t="n"/>
      <c r="AS209" s="41" t="n"/>
      <c r="AT209" s="41" t="n"/>
    </row>
    <row r="210" hidden="1" outlineLevel="3">
      <c r="A210" s="8" t="n"/>
      <c r="B210" s="14" t="n"/>
      <c r="C210" s="41" t="n"/>
      <c r="D210" s="122">
        <f>DADOS_AM!$JH$11</f>
        <v/>
      </c>
      <c r="E210" s="17" t="n"/>
      <c r="F210" s="120">
        <f>DADOS_AM!$JI$11</f>
        <v/>
      </c>
      <c r="G210" s="16" t="n"/>
      <c r="H210" s="16" t="n"/>
      <c r="I210" s="16" t="n"/>
      <c r="J210" s="16" t="n"/>
      <c r="K210" s="16" t="n"/>
      <c r="L210" s="16" t="n"/>
      <c r="M210" s="16" t="n"/>
      <c r="N210" s="16" t="n"/>
      <c r="O210" s="16" t="n"/>
      <c r="P210" s="17" t="n"/>
      <c r="Q210" s="41" t="n"/>
      <c r="R210" s="41" t="n"/>
      <c r="S210" s="122">
        <f>DADOS_AM!$JH$12</f>
        <v/>
      </c>
      <c r="T210" s="17" t="n"/>
      <c r="U210" s="120">
        <f>DADOS_AM!$JI$12</f>
        <v/>
      </c>
      <c r="V210" s="16" t="n"/>
      <c r="W210" s="16" t="n"/>
      <c r="X210" s="16" t="n"/>
      <c r="Y210" s="16" t="n"/>
      <c r="Z210" s="16" t="n"/>
      <c r="AA210" s="16" t="n"/>
      <c r="AB210" s="16" t="n"/>
      <c r="AC210" s="16" t="n"/>
      <c r="AD210" s="16" t="n"/>
      <c r="AE210" s="17" t="n"/>
      <c r="AF210" s="41" t="n"/>
      <c r="AG210" s="41" t="n"/>
      <c r="AH210" s="122">
        <f>DADOS_AM!$JH$13</f>
        <v/>
      </c>
      <c r="AI210" s="17" t="n"/>
      <c r="AJ210" s="120">
        <f>DADOS_AM!$JI$13</f>
        <v/>
      </c>
      <c r="AK210" s="16" t="n"/>
      <c r="AL210" s="16" t="n"/>
      <c r="AM210" s="16" t="n"/>
      <c r="AN210" s="16" t="n"/>
      <c r="AO210" s="16" t="n"/>
      <c r="AP210" s="16" t="n"/>
      <c r="AQ210" s="16" t="n"/>
      <c r="AR210" s="16" t="n"/>
      <c r="AS210" s="16" t="n"/>
      <c r="AT210" s="17" t="n"/>
    </row>
    <row r="211" hidden="1" outlineLevel="3">
      <c r="A211" s="8" t="n"/>
      <c r="B211" s="14" t="n"/>
      <c r="C211" s="41" t="n"/>
      <c r="D211" s="123">
        <f>DADOS_AM!$JJ$11</f>
        <v/>
      </c>
      <c r="E211" s="16" t="n"/>
      <c r="F211" s="17" t="n"/>
      <c r="G211" s="123">
        <f>DADOS_AM!$JK$11</f>
        <v/>
      </c>
      <c r="H211" s="16" t="n"/>
      <c r="I211" s="16" t="n"/>
      <c r="J211" s="17" t="n"/>
      <c r="K211" s="123">
        <f>DADOS_AM!$JL$11</f>
        <v/>
      </c>
      <c r="L211" s="16" t="n"/>
      <c r="M211" s="16" t="n"/>
      <c r="N211" s="16" t="n"/>
      <c r="O211" s="16" t="n"/>
      <c r="P211" s="17" t="n"/>
      <c r="Q211" s="41" t="n"/>
      <c r="R211" s="41" t="n"/>
      <c r="S211" s="123">
        <f>DADOS_AM!$JJ$12</f>
        <v/>
      </c>
      <c r="T211" s="16" t="n"/>
      <c r="U211" s="17" t="n"/>
      <c r="V211" s="123">
        <f>DADOS_AM!$JK$12</f>
        <v/>
      </c>
      <c r="W211" s="16" t="n"/>
      <c r="X211" s="16" t="n"/>
      <c r="Y211" s="17" t="n"/>
      <c r="Z211" s="123">
        <f>DADOS_AM!$JL$12</f>
        <v/>
      </c>
      <c r="AA211" s="16" t="n"/>
      <c r="AB211" s="16" t="n"/>
      <c r="AC211" s="16" t="n"/>
      <c r="AD211" s="16" t="n"/>
      <c r="AE211" s="17" t="n"/>
      <c r="AF211" s="41" t="n"/>
      <c r="AG211" s="41" t="n"/>
      <c r="AH211" s="123">
        <f>DADOS_AM!$JJ$13</f>
        <v/>
      </c>
      <c r="AI211" s="16" t="n"/>
      <c r="AJ211" s="17" t="n"/>
      <c r="AK211" s="123">
        <f>DADOS_AM!$JK$13</f>
        <v/>
      </c>
      <c r="AL211" s="16" t="n"/>
      <c r="AM211" s="16" t="n"/>
      <c r="AN211" s="17" t="n"/>
      <c r="AO211" s="123">
        <f>DADOS_AM!$JL$13</f>
        <v/>
      </c>
      <c r="AP211" s="16" t="n"/>
      <c r="AQ211" s="16" t="n"/>
      <c r="AR211" s="16" t="n"/>
      <c r="AS211" s="16" t="n"/>
      <c r="AT211" s="17" t="n"/>
    </row>
    <row r="212" hidden="1" outlineLevel="4">
      <c r="A212" s="8" t="n"/>
      <c r="B212" s="14" t="n"/>
      <c r="C212" s="41" t="n"/>
      <c r="D212" s="121">
        <f>DADOS_AM!$JM$11</f>
        <v/>
      </c>
      <c r="E212" s="19" t="n"/>
      <c r="F212" s="19" t="n"/>
      <c r="G212" s="19" t="n"/>
      <c r="H212" s="19" t="n"/>
      <c r="I212" s="19" t="n"/>
      <c r="J212" s="19" t="n"/>
      <c r="K212" s="19" t="n"/>
      <c r="L212" s="19" t="n"/>
      <c r="M212" s="19" t="n"/>
      <c r="N212" s="19" t="n"/>
      <c r="O212" s="19" t="n"/>
      <c r="P212" s="20" t="n"/>
      <c r="Q212" s="41" t="n"/>
      <c r="R212" s="41" t="n"/>
      <c r="S212" s="121">
        <f>DADOS_AM!$JM$12</f>
        <v/>
      </c>
      <c r="T212" s="19" t="n"/>
      <c r="U212" s="19" t="n"/>
      <c r="V212" s="19" t="n"/>
      <c r="W212" s="19" t="n"/>
      <c r="X212" s="19" t="n"/>
      <c r="Y212" s="19" t="n"/>
      <c r="Z212" s="19" t="n"/>
      <c r="AA212" s="19" t="n"/>
      <c r="AB212" s="19" t="n"/>
      <c r="AC212" s="19" t="n"/>
      <c r="AD212" s="19" t="n"/>
      <c r="AE212" s="20" t="n"/>
      <c r="AF212" s="41" t="n"/>
      <c r="AG212" s="41" t="n"/>
      <c r="AH212" s="121">
        <f>DADOS_AM!$JM$13</f>
        <v/>
      </c>
      <c r="AI212" s="19" t="n"/>
      <c r="AJ212" s="19" t="n"/>
      <c r="AK212" s="19" t="n"/>
      <c r="AL212" s="19" t="n"/>
      <c r="AM212" s="19" t="n"/>
      <c r="AN212" s="19" t="n"/>
      <c r="AO212" s="19" t="n"/>
      <c r="AP212" s="19" t="n"/>
      <c r="AQ212" s="19" t="n"/>
      <c r="AR212" s="19" t="n"/>
      <c r="AS212" s="19" t="n"/>
      <c r="AT212" s="20"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1" t="n"/>
      <c r="P217" s="22" t="n"/>
      <c r="Q217" s="41" t="n"/>
      <c r="R217" s="41" t="n"/>
      <c r="S217" s="21" t="n"/>
      <c r="AE217" s="22" t="n"/>
      <c r="AF217" s="41" t="n"/>
      <c r="AG217" s="41" t="n"/>
      <c r="AH217" s="21" t="n"/>
      <c r="AT217" s="22" t="n"/>
    </row>
    <row r="218" hidden="1" outlineLevel="4">
      <c r="A218" s="8" t="n"/>
      <c r="B218" s="14" t="n"/>
      <c r="C218" s="41" t="n"/>
      <c r="D218" s="23" t="n"/>
      <c r="E218" s="24" t="n"/>
      <c r="F218" s="24" t="n"/>
      <c r="G218" s="24" t="n"/>
      <c r="H218" s="24" t="n"/>
      <c r="I218" s="24" t="n"/>
      <c r="J218" s="24" t="n"/>
      <c r="K218" s="24" t="n"/>
      <c r="L218" s="24" t="n"/>
      <c r="M218" s="24" t="n"/>
      <c r="N218" s="24" t="n"/>
      <c r="O218" s="24" t="n"/>
      <c r="P218" s="25" t="n"/>
      <c r="Q218" s="41" t="n"/>
      <c r="R218" s="41" t="n"/>
      <c r="S218" s="23" t="n"/>
      <c r="T218" s="24" t="n"/>
      <c r="U218" s="24" t="n"/>
      <c r="V218" s="24" t="n"/>
      <c r="W218" s="24" t="n"/>
      <c r="X218" s="24" t="n"/>
      <c r="Y218" s="24" t="n"/>
      <c r="Z218" s="24" t="n"/>
      <c r="AA218" s="24" t="n"/>
      <c r="AB218" s="24" t="n"/>
      <c r="AC218" s="24" t="n"/>
      <c r="AD218" s="24" t="n"/>
      <c r="AE218" s="25" t="n"/>
      <c r="AF218" s="41" t="n"/>
      <c r="AG218" s="41" t="n"/>
      <c r="AH218" s="23" t="n"/>
      <c r="AI218" s="24" t="n"/>
      <c r="AJ218" s="24" t="n"/>
      <c r="AK218" s="24" t="n"/>
      <c r="AL218" s="24" t="n"/>
      <c r="AM218" s="24" t="n"/>
      <c r="AN218" s="24" t="n"/>
      <c r="AO218" s="24" t="n"/>
      <c r="AP218" s="24" t="n"/>
      <c r="AQ218" s="24" t="n"/>
      <c r="AR218" s="24" t="n"/>
      <c r="AS218" s="24" t="n"/>
      <c r="AT218" s="25" t="n"/>
    </row>
    <row r="219" outlineLevel="2">
      <c r="A219" s="8" t="n"/>
      <c r="B219" s="14" t="n"/>
      <c r="C219" s="41" t="n"/>
      <c r="D219" s="124">
        <f>DADOS_AM!$KQ$11</f>
        <v/>
      </c>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c r="AB219" s="16" t="n"/>
      <c r="AC219" s="16" t="n"/>
      <c r="AD219" s="16" t="n"/>
      <c r="AE219" s="16" t="n"/>
      <c r="AF219" s="16" t="n"/>
      <c r="AG219" s="16" t="n"/>
      <c r="AH219" s="16" t="n"/>
      <c r="AI219" s="16" t="n"/>
      <c r="AJ219" s="16" t="n"/>
      <c r="AK219" s="16" t="n"/>
      <c r="AL219" s="16" t="n"/>
      <c r="AM219" s="16" t="n"/>
      <c r="AN219" s="16" t="n"/>
      <c r="AO219" s="16" t="n"/>
      <c r="AP219" s="16" t="n"/>
      <c r="AQ219" s="16" t="n"/>
      <c r="AR219" s="16" t="n"/>
      <c r="AS219" s="16" t="n"/>
      <c r="AT219" s="17" t="n"/>
    </row>
    <row r="220" hidden="1" outlineLevel="3">
      <c r="A220" s="8" t="n"/>
      <c r="B220" s="14" t="n"/>
      <c r="C220" s="41" t="n"/>
      <c r="D220" s="122">
        <f>DADOS_AM!$JH$14</f>
        <v/>
      </c>
      <c r="E220" s="17" t="n"/>
      <c r="F220" s="120">
        <f>DADOS_AM!$JI$14</f>
        <v/>
      </c>
      <c r="G220" s="16" t="n"/>
      <c r="H220" s="16" t="n"/>
      <c r="I220" s="16" t="n"/>
      <c r="J220" s="16" t="n"/>
      <c r="K220" s="16" t="n"/>
      <c r="L220" s="16" t="n"/>
      <c r="M220" s="16" t="n"/>
      <c r="N220" s="16" t="n"/>
      <c r="O220" s="16" t="n"/>
      <c r="P220" s="17" t="n"/>
      <c r="Q220" s="41" t="n"/>
      <c r="R220" s="41" t="n"/>
      <c r="S220" s="122">
        <f>DADOS_AM!$JH$15</f>
        <v/>
      </c>
      <c r="T220" s="17" t="n"/>
      <c r="U220" s="120">
        <f>DADOS_AM!$JI$15</f>
        <v/>
      </c>
      <c r="V220" s="16" t="n"/>
      <c r="W220" s="16" t="n"/>
      <c r="X220" s="16" t="n"/>
      <c r="Y220" s="16" t="n"/>
      <c r="Z220" s="16" t="n"/>
      <c r="AA220" s="16" t="n"/>
      <c r="AB220" s="16" t="n"/>
      <c r="AC220" s="16" t="n"/>
      <c r="AD220" s="16" t="n"/>
      <c r="AE220" s="17" t="n"/>
      <c r="AF220" s="41" t="n"/>
      <c r="AG220" s="41" t="n"/>
      <c r="AH220" s="122">
        <f>DADOS_AM!$JH$16</f>
        <v/>
      </c>
      <c r="AI220" s="17" t="n"/>
      <c r="AJ220" s="120">
        <f>DADOS_AM!$JI$16</f>
        <v/>
      </c>
      <c r="AK220" s="16" t="n"/>
      <c r="AL220" s="16" t="n"/>
      <c r="AM220" s="16" t="n"/>
      <c r="AN220" s="16" t="n"/>
      <c r="AO220" s="16" t="n"/>
      <c r="AP220" s="16" t="n"/>
      <c r="AQ220" s="16" t="n"/>
      <c r="AR220" s="16" t="n"/>
      <c r="AS220" s="16" t="n"/>
      <c r="AT220" s="17" t="n"/>
    </row>
    <row r="221" hidden="1" outlineLevel="3">
      <c r="A221" s="8" t="n"/>
      <c r="B221" s="14" t="n"/>
      <c r="C221" s="41" t="n"/>
      <c r="D221" s="123">
        <f>DADOS_AM!$JJ$14</f>
        <v/>
      </c>
      <c r="E221" s="16" t="n"/>
      <c r="F221" s="17" t="n"/>
      <c r="G221" s="123">
        <f>DADOS_AM!$JK$14</f>
        <v/>
      </c>
      <c r="H221" s="16" t="n"/>
      <c r="I221" s="16" t="n"/>
      <c r="J221" s="17" t="n"/>
      <c r="K221" s="123">
        <f>DADOS_AM!$JL$14</f>
        <v/>
      </c>
      <c r="L221" s="16" t="n"/>
      <c r="M221" s="16" t="n"/>
      <c r="N221" s="16" t="n"/>
      <c r="O221" s="16" t="n"/>
      <c r="P221" s="17" t="n"/>
      <c r="Q221" s="41" t="n"/>
      <c r="R221" s="41" t="n"/>
      <c r="S221" s="123">
        <f>DADOS_AM!$JJ$15</f>
        <v/>
      </c>
      <c r="T221" s="16" t="n"/>
      <c r="U221" s="17" t="n"/>
      <c r="V221" s="123">
        <f>DADOS_AM!$JK$15</f>
        <v/>
      </c>
      <c r="W221" s="16" t="n"/>
      <c r="X221" s="16" t="n"/>
      <c r="Y221" s="17" t="n"/>
      <c r="Z221" s="123">
        <f>DADOS_AM!$JL$15</f>
        <v/>
      </c>
      <c r="AA221" s="16" t="n"/>
      <c r="AB221" s="16" t="n"/>
      <c r="AC221" s="16" t="n"/>
      <c r="AD221" s="16" t="n"/>
      <c r="AE221" s="17" t="n"/>
      <c r="AF221" s="41" t="n"/>
      <c r="AG221" s="41" t="n"/>
      <c r="AH221" s="123">
        <f>DADOS_AM!$JJ$16</f>
        <v/>
      </c>
      <c r="AI221" s="16" t="n"/>
      <c r="AJ221" s="17" t="n"/>
      <c r="AK221" s="123">
        <f>DADOS_AM!$JK$16</f>
        <v/>
      </c>
      <c r="AL221" s="16" t="n"/>
      <c r="AM221" s="16" t="n"/>
      <c r="AN221" s="17" t="n"/>
      <c r="AO221" s="123">
        <f>DADOS_AM!$JL$16</f>
        <v/>
      </c>
      <c r="AP221" s="16" t="n"/>
      <c r="AQ221" s="16" t="n"/>
      <c r="AR221" s="16" t="n"/>
      <c r="AS221" s="16" t="n"/>
      <c r="AT221" s="17" t="n"/>
    </row>
    <row r="222" hidden="1" outlineLevel="4">
      <c r="A222" s="8" t="n"/>
      <c r="B222" s="14" t="n"/>
      <c r="C222" s="41" t="n"/>
      <c r="D222" s="121">
        <f>DADOS_AM!$JM$14</f>
        <v/>
      </c>
      <c r="E222" s="19" t="n"/>
      <c r="F222" s="19" t="n"/>
      <c r="G222" s="19" t="n"/>
      <c r="H222" s="19" t="n"/>
      <c r="I222" s="19" t="n"/>
      <c r="J222" s="19" t="n"/>
      <c r="K222" s="19" t="n"/>
      <c r="L222" s="19" t="n"/>
      <c r="M222" s="19" t="n"/>
      <c r="N222" s="19" t="n"/>
      <c r="O222" s="19" t="n"/>
      <c r="P222" s="20" t="n"/>
      <c r="Q222" s="41" t="n"/>
      <c r="R222" s="41" t="n"/>
      <c r="S222" s="121">
        <f>DADOS_AM!$JM$15</f>
        <v/>
      </c>
      <c r="T222" s="19" t="n"/>
      <c r="U222" s="19" t="n"/>
      <c r="V222" s="19" t="n"/>
      <c r="W222" s="19" t="n"/>
      <c r="X222" s="19" t="n"/>
      <c r="Y222" s="19" t="n"/>
      <c r="Z222" s="19" t="n"/>
      <c r="AA222" s="19" t="n"/>
      <c r="AB222" s="19" t="n"/>
      <c r="AC222" s="19" t="n"/>
      <c r="AD222" s="19" t="n"/>
      <c r="AE222" s="20" t="n"/>
      <c r="AF222" s="41" t="n"/>
      <c r="AG222" s="41" t="n"/>
      <c r="AH222" s="121">
        <f>DADOS_AM!$JM$16</f>
        <v/>
      </c>
      <c r="AI222" s="19" t="n"/>
      <c r="AJ222" s="19" t="n"/>
      <c r="AK222" s="19" t="n"/>
      <c r="AL222" s="19" t="n"/>
      <c r="AM222" s="19" t="n"/>
      <c r="AN222" s="19" t="n"/>
      <c r="AO222" s="19" t="n"/>
      <c r="AP222" s="19" t="n"/>
      <c r="AQ222" s="19" t="n"/>
      <c r="AR222" s="19" t="n"/>
      <c r="AS222" s="19" t="n"/>
      <c r="AT222" s="20"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1" t="n"/>
      <c r="P227" s="22" t="n"/>
      <c r="Q227" s="41" t="n"/>
      <c r="R227" s="41" t="n"/>
      <c r="S227" s="21" t="n"/>
      <c r="AE227" s="22" t="n"/>
      <c r="AF227" s="41" t="n"/>
      <c r="AG227" s="41" t="n"/>
      <c r="AH227" s="21" t="n"/>
      <c r="AT227" s="22" t="n"/>
    </row>
    <row r="228" hidden="1" outlineLevel="4">
      <c r="A228" s="8" t="n"/>
      <c r="B228" s="14" t="n"/>
      <c r="C228" s="41" t="n"/>
      <c r="D228" s="23" t="n"/>
      <c r="E228" s="24" t="n"/>
      <c r="F228" s="24" t="n"/>
      <c r="G228" s="24" t="n"/>
      <c r="H228" s="24" t="n"/>
      <c r="I228" s="24" t="n"/>
      <c r="J228" s="24" t="n"/>
      <c r="K228" s="24" t="n"/>
      <c r="L228" s="24" t="n"/>
      <c r="M228" s="24" t="n"/>
      <c r="N228" s="24" t="n"/>
      <c r="O228" s="24" t="n"/>
      <c r="P228" s="25" t="n"/>
      <c r="Q228" s="41" t="n"/>
      <c r="R228" s="41" t="n"/>
      <c r="S228" s="23" t="n"/>
      <c r="T228" s="24" t="n"/>
      <c r="U228" s="24" t="n"/>
      <c r="V228" s="24" t="n"/>
      <c r="W228" s="24" t="n"/>
      <c r="X228" s="24" t="n"/>
      <c r="Y228" s="24" t="n"/>
      <c r="Z228" s="24" t="n"/>
      <c r="AA228" s="24" t="n"/>
      <c r="AB228" s="24" t="n"/>
      <c r="AC228" s="24" t="n"/>
      <c r="AD228" s="24" t="n"/>
      <c r="AE228" s="25" t="n"/>
      <c r="AF228" s="41" t="n"/>
      <c r="AG228" s="41" t="n"/>
      <c r="AH228" s="23" t="n"/>
      <c r="AI228" s="24" t="n"/>
      <c r="AJ228" s="24" t="n"/>
      <c r="AK228" s="24" t="n"/>
      <c r="AL228" s="24" t="n"/>
      <c r="AM228" s="24" t="n"/>
      <c r="AN228" s="24" t="n"/>
      <c r="AO228" s="24" t="n"/>
      <c r="AP228" s="24" t="n"/>
      <c r="AQ228" s="24" t="n"/>
      <c r="AR228" s="24" t="n"/>
      <c r="AS228" s="24" t="n"/>
      <c r="AT228" s="25" t="n"/>
    </row>
    <row r="229" hidden="1" outlineLevel="3">
      <c r="A229" s="8" t="n"/>
      <c r="B229" s="14"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c r="AA229" s="41" t="n"/>
      <c r="AB229" s="41" t="n"/>
      <c r="AC229" s="41" t="n"/>
      <c r="AD229" s="41" t="n"/>
      <c r="AE229" s="41" t="n"/>
      <c r="AF229" s="41" t="n"/>
      <c r="AG229" s="41" t="n"/>
      <c r="AH229" s="41" t="n"/>
      <c r="AI229" s="41" t="n"/>
      <c r="AJ229" s="41" t="n"/>
      <c r="AK229" s="41" t="n"/>
      <c r="AL229" s="41" t="n"/>
      <c r="AM229" s="41" t="n"/>
      <c r="AN229" s="41" t="n"/>
      <c r="AO229" s="41" t="n"/>
      <c r="AP229" s="41" t="n"/>
      <c r="AQ229" s="41" t="n"/>
      <c r="AR229" s="41" t="n"/>
      <c r="AS229" s="41" t="n"/>
      <c r="AT229" s="41" t="n"/>
    </row>
    <row r="230" hidden="1" outlineLevel="3">
      <c r="A230" s="8" t="n"/>
      <c r="B230" s="14" t="n"/>
      <c r="C230" s="41" t="n"/>
      <c r="D230" s="122">
        <f>DADOS_AM!$JH$17</f>
        <v/>
      </c>
      <c r="E230" s="17" t="n"/>
      <c r="F230" s="120">
        <f>DADOS_AM!$JI$17</f>
        <v/>
      </c>
      <c r="G230" s="16" t="n"/>
      <c r="H230" s="16" t="n"/>
      <c r="I230" s="16" t="n"/>
      <c r="J230" s="16" t="n"/>
      <c r="K230" s="16" t="n"/>
      <c r="L230" s="16" t="n"/>
      <c r="M230" s="16" t="n"/>
      <c r="N230" s="16" t="n"/>
      <c r="O230" s="16" t="n"/>
      <c r="P230" s="17" t="n"/>
      <c r="Q230" s="41" t="n"/>
      <c r="R230" s="41" t="n"/>
      <c r="S230" s="122">
        <f>DADOS_AM!$JH$18</f>
        <v/>
      </c>
      <c r="T230" s="17" t="n"/>
      <c r="U230" s="120">
        <f>DADOS_AM!$JI$18</f>
        <v/>
      </c>
      <c r="V230" s="16" t="n"/>
      <c r="W230" s="16" t="n"/>
      <c r="X230" s="16" t="n"/>
      <c r="Y230" s="16" t="n"/>
      <c r="Z230" s="16" t="n"/>
      <c r="AA230" s="16" t="n"/>
      <c r="AB230" s="16" t="n"/>
      <c r="AC230" s="16" t="n"/>
      <c r="AD230" s="16" t="n"/>
      <c r="AE230" s="17" t="n"/>
      <c r="AF230" s="41" t="n"/>
      <c r="AG230" s="41" t="n"/>
      <c r="AH230" s="122">
        <f>DADOS_AM!$JH$19</f>
        <v/>
      </c>
      <c r="AI230" s="17" t="n"/>
      <c r="AJ230" s="120">
        <f>DADOS_AM!$JI$19</f>
        <v/>
      </c>
      <c r="AK230" s="16" t="n"/>
      <c r="AL230" s="16" t="n"/>
      <c r="AM230" s="16" t="n"/>
      <c r="AN230" s="16" t="n"/>
      <c r="AO230" s="16" t="n"/>
      <c r="AP230" s="16" t="n"/>
      <c r="AQ230" s="16" t="n"/>
      <c r="AR230" s="16" t="n"/>
      <c r="AS230" s="16" t="n"/>
      <c r="AT230" s="17" t="n"/>
    </row>
    <row r="231" hidden="1" outlineLevel="3">
      <c r="A231" s="8" t="n"/>
      <c r="B231" s="14" t="n"/>
      <c r="C231" s="41" t="n"/>
      <c r="D231" s="123">
        <f>DADOS_AM!$JJ$17</f>
        <v/>
      </c>
      <c r="E231" s="16" t="n"/>
      <c r="F231" s="17" t="n"/>
      <c r="G231" s="123">
        <f>DADOS_AM!$JK$17</f>
        <v/>
      </c>
      <c r="H231" s="16" t="n"/>
      <c r="I231" s="16" t="n"/>
      <c r="J231" s="17" t="n"/>
      <c r="K231" s="123">
        <f>DADOS_AM!$JL$17</f>
        <v/>
      </c>
      <c r="L231" s="16" t="n"/>
      <c r="M231" s="16" t="n"/>
      <c r="N231" s="16" t="n"/>
      <c r="O231" s="16" t="n"/>
      <c r="P231" s="17" t="n"/>
      <c r="Q231" s="41" t="n"/>
      <c r="R231" s="41" t="n"/>
      <c r="S231" s="123">
        <f>DADOS_AM!$JJ$18</f>
        <v/>
      </c>
      <c r="T231" s="16" t="n"/>
      <c r="U231" s="17" t="n"/>
      <c r="V231" s="123">
        <f>DADOS_AM!$JK$18</f>
        <v/>
      </c>
      <c r="W231" s="16" t="n"/>
      <c r="X231" s="16" t="n"/>
      <c r="Y231" s="17" t="n"/>
      <c r="Z231" s="123">
        <f>DADOS_AM!$JL$18</f>
        <v/>
      </c>
      <c r="AA231" s="16" t="n"/>
      <c r="AB231" s="16" t="n"/>
      <c r="AC231" s="16" t="n"/>
      <c r="AD231" s="16" t="n"/>
      <c r="AE231" s="17" t="n"/>
      <c r="AF231" s="41" t="n"/>
      <c r="AG231" s="41" t="n"/>
      <c r="AH231" s="123">
        <f>DADOS_AM!$JJ$19</f>
        <v/>
      </c>
      <c r="AI231" s="16" t="n"/>
      <c r="AJ231" s="17" t="n"/>
      <c r="AK231" s="123">
        <f>DADOS_AM!$JK$19</f>
        <v/>
      </c>
      <c r="AL231" s="16" t="n"/>
      <c r="AM231" s="16" t="n"/>
      <c r="AN231" s="17" t="n"/>
      <c r="AO231" s="123">
        <f>DADOS_AM!$JL$19</f>
        <v/>
      </c>
      <c r="AP231" s="16" t="n"/>
      <c r="AQ231" s="16" t="n"/>
      <c r="AR231" s="16" t="n"/>
      <c r="AS231" s="16" t="n"/>
      <c r="AT231" s="17" t="n"/>
    </row>
    <row r="232" hidden="1" outlineLevel="4">
      <c r="A232" s="8" t="n"/>
      <c r="B232" s="14" t="n"/>
      <c r="C232" s="41" t="n"/>
      <c r="D232" s="121">
        <f>DADOS_AM!$JM$17</f>
        <v/>
      </c>
      <c r="E232" s="19" t="n"/>
      <c r="F232" s="19" t="n"/>
      <c r="G232" s="19" t="n"/>
      <c r="H232" s="19" t="n"/>
      <c r="I232" s="19" t="n"/>
      <c r="J232" s="19" t="n"/>
      <c r="K232" s="19" t="n"/>
      <c r="L232" s="19" t="n"/>
      <c r="M232" s="19" t="n"/>
      <c r="N232" s="19" t="n"/>
      <c r="O232" s="19" t="n"/>
      <c r="P232" s="20" t="n"/>
      <c r="Q232" s="41" t="n"/>
      <c r="R232" s="41" t="n"/>
      <c r="S232" s="121">
        <f>DADOS_AM!$JM$18</f>
        <v/>
      </c>
      <c r="T232" s="19" t="n"/>
      <c r="U232" s="19" t="n"/>
      <c r="V232" s="19" t="n"/>
      <c r="W232" s="19" t="n"/>
      <c r="X232" s="19" t="n"/>
      <c r="Y232" s="19" t="n"/>
      <c r="Z232" s="19" t="n"/>
      <c r="AA232" s="19" t="n"/>
      <c r="AB232" s="19" t="n"/>
      <c r="AC232" s="19" t="n"/>
      <c r="AD232" s="19" t="n"/>
      <c r="AE232" s="20" t="n"/>
      <c r="AF232" s="41" t="n"/>
      <c r="AG232" s="41" t="n"/>
      <c r="AH232" s="121">
        <f>DADOS_AM!$JM$19</f>
        <v/>
      </c>
      <c r="AI232" s="19" t="n"/>
      <c r="AJ232" s="19" t="n"/>
      <c r="AK232" s="19" t="n"/>
      <c r="AL232" s="19" t="n"/>
      <c r="AM232" s="19" t="n"/>
      <c r="AN232" s="19" t="n"/>
      <c r="AO232" s="19" t="n"/>
      <c r="AP232" s="19" t="n"/>
      <c r="AQ232" s="19" t="n"/>
      <c r="AR232" s="19" t="n"/>
      <c r="AS232" s="19" t="n"/>
      <c r="AT232" s="20"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1" t="n"/>
      <c r="P237" s="22" t="n"/>
      <c r="Q237" s="41" t="n"/>
      <c r="R237" s="41" t="n"/>
      <c r="S237" s="21" t="n"/>
      <c r="AE237" s="22" t="n"/>
      <c r="AF237" s="41" t="n"/>
      <c r="AG237" s="41" t="n"/>
      <c r="AH237" s="21" t="n"/>
      <c r="AT237" s="22" t="n"/>
    </row>
    <row r="238" hidden="1" outlineLevel="4">
      <c r="A238" s="8" t="n"/>
      <c r="B238" s="14" t="n"/>
      <c r="C238" s="41" t="n"/>
      <c r="D238" s="23" t="n"/>
      <c r="E238" s="24" t="n"/>
      <c r="F238" s="24" t="n"/>
      <c r="G238" s="24" t="n"/>
      <c r="H238" s="24" t="n"/>
      <c r="I238" s="24" t="n"/>
      <c r="J238" s="24" t="n"/>
      <c r="K238" s="24" t="n"/>
      <c r="L238" s="24" t="n"/>
      <c r="M238" s="24" t="n"/>
      <c r="N238" s="24" t="n"/>
      <c r="O238" s="24" t="n"/>
      <c r="P238" s="25" t="n"/>
      <c r="Q238" s="41" t="n"/>
      <c r="R238" s="41" t="n"/>
      <c r="S238" s="23" t="n"/>
      <c r="T238" s="24" t="n"/>
      <c r="U238" s="24" t="n"/>
      <c r="V238" s="24" t="n"/>
      <c r="W238" s="24" t="n"/>
      <c r="X238" s="24" t="n"/>
      <c r="Y238" s="24" t="n"/>
      <c r="Z238" s="24" t="n"/>
      <c r="AA238" s="24" t="n"/>
      <c r="AB238" s="24" t="n"/>
      <c r="AC238" s="24" t="n"/>
      <c r="AD238" s="24" t="n"/>
      <c r="AE238" s="25" t="n"/>
      <c r="AF238" s="41" t="n"/>
      <c r="AG238" s="41" t="n"/>
      <c r="AH238" s="23" t="n"/>
      <c r="AI238" s="24" t="n"/>
      <c r="AJ238" s="24" t="n"/>
      <c r="AK238" s="24" t="n"/>
      <c r="AL238" s="24" t="n"/>
      <c r="AM238" s="24" t="n"/>
      <c r="AN238" s="24" t="n"/>
      <c r="AO238" s="24" t="n"/>
      <c r="AP238" s="24" t="n"/>
      <c r="AQ238" s="24" t="n"/>
      <c r="AR238" s="24" t="n"/>
      <c r="AS238" s="24" t="n"/>
      <c r="AT238" s="25" t="n"/>
    </row>
    <row r="239" outlineLevel="2">
      <c r="A239" s="8" t="n"/>
      <c r="B239" s="14" t="n"/>
      <c r="C239" s="41" t="n"/>
      <c r="D239" s="124">
        <f>DADOS_AM!$KQ$12</f>
        <v/>
      </c>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c r="AB239" s="16" t="n"/>
      <c r="AC239" s="16" t="n"/>
      <c r="AD239" s="16" t="n"/>
      <c r="AE239" s="16" t="n"/>
      <c r="AF239" s="16" t="n"/>
      <c r="AG239" s="16" t="n"/>
      <c r="AH239" s="16" t="n"/>
      <c r="AI239" s="16" t="n"/>
      <c r="AJ239" s="16" t="n"/>
      <c r="AK239" s="16" t="n"/>
      <c r="AL239" s="16" t="n"/>
      <c r="AM239" s="16" t="n"/>
      <c r="AN239" s="16" t="n"/>
      <c r="AO239" s="16" t="n"/>
      <c r="AP239" s="16" t="n"/>
      <c r="AQ239" s="16" t="n"/>
      <c r="AR239" s="16" t="n"/>
      <c r="AS239" s="16" t="n"/>
      <c r="AT239" s="17" t="n"/>
    </row>
    <row r="240" hidden="1" outlineLevel="3">
      <c r="A240" s="8" t="n"/>
      <c r="B240" s="14" t="n"/>
      <c r="C240" s="41" t="n"/>
      <c r="D240" s="122">
        <f>DADOS_AM!$JH$20</f>
        <v/>
      </c>
      <c r="E240" s="17" t="n"/>
      <c r="F240" s="120">
        <f>DADOS_AM!$JI$20</f>
        <v/>
      </c>
      <c r="G240" s="16" t="n"/>
      <c r="H240" s="16" t="n"/>
      <c r="I240" s="16" t="n"/>
      <c r="J240" s="16" t="n"/>
      <c r="K240" s="16" t="n"/>
      <c r="L240" s="16" t="n"/>
      <c r="M240" s="16" t="n"/>
      <c r="N240" s="16" t="n"/>
      <c r="O240" s="16" t="n"/>
      <c r="P240" s="17" t="n"/>
      <c r="Q240" s="41" t="n"/>
      <c r="R240" s="41" t="n"/>
      <c r="S240" s="122">
        <f>DADOS_AM!$JH$21</f>
        <v/>
      </c>
      <c r="T240" s="17" t="n"/>
      <c r="U240" s="120">
        <f>DADOS_AM!$JI$21</f>
        <v/>
      </c>
      <c r="V240" s="16" t="n"/>
      <c r="W240" s="16" t="n"/>
      <c r="X240" s="16" t="n"/>
      <c r="Y240" s="16" t="n"/>
      <c r="Z240" s="16" t="n"/>
      <c r="AA240" s="16" t="n"/>
      <c r="AB240" s="16" t="n"/>
      <c r="AC240" s="16" t="n"/>
      <c r="AD240" s="16" t="n"/>
      <c r="AE240" s="17" t="n"/>
      <c r="AF240" s="41" t="n"/>
      <c r="AG240" s="41" t="n"/>
      <c r="AH240" s="122">
        <f>DADOS_AM!$JH$22</f>
        <v/>
      </c>
      <c r="AI240" s="17" t="n"/>
      <c r="AJ240" s="120">
        <f>DADOS_AM!$JI$22</f>
        <v/>
      </c>
      <c r="AK240" s="16" t="n"/>
      <c r="AL240" s="16" t="n"/>
      <c r="AM240" s="16" t="n"/>
      <c r="AN240" s="16" t="n"/>
      <c r="AO240" s="16" t="n"/>
      <c r="AP240" s="16" t="n"/>
      <c r="AQ240" s="16" t="n"/>
      <c r="AR240" s="16" t="n"/>
      <c r="AS240" s="16" t="n"/>
      <c r="AT240" s="17" t="n"/>
    </row>
    <row r="241" hidden="1" outlineLevel="3">
      <c r="A241" s="8" t="n"/>
      <c r="B241" s="14" t="n"/>
      <c r="C241" s="41" t="n"/>
      <c r="D241" s="123">
        <f>DADOS_AM!$JJ$20</f>
        <v/>
      </c>
      <c r="E241" s="16" t="n"/>
      <c r="F241" s="17" t="n"/>
      <c r="G241" s="123">
        <f>DADOS_AM!$JK$20</f>
        <v/>
      </c>
      <c r="H241" s="16" t="n"/>
      <c r="I241" s="16" t="n"/>
      <c r="J241" s="17" t="n"/>
      <c r="K241" s="123">
        <f>DADOS_AM!$JL$20</f>
        <v/>
      </c>
      <c r="L241" s="16" t="n"/>
      <c r="M241" s="16" t="n"/>
      <c r="N241" s="16" t="n"/>
      <c r="O241" s="16" t="n"/>
      <c r="P241" s="17" t="n"/>
      <c r="Q241" s="41" t="n"/>
      <c r="R241" s="41" t="n"/>
      <c r="S241" s="123">
        <f>DADOS_AM!$JJ$21</f>
        <v/>
      </c>
      <c r="T241" s="16" t="n"/>
      <c r="U241" s="17" t="n"/>
      <c r="V241" s="123">
        <f>DADOS_AM!$JK$21</f>
        <v/>
      </c>
      <c r="W241" s="16" t="n"/>
      <c r="X241" s="16" t="n"/>
      <c r="Y241" s="17" t="n"/>
      <c r="Z241" s="123">
        <f>DADOS_AM!$JL$21</f>
        <v/>
      </c>
      <c r="AA241" s="16" t="n"/>
      <c r="AB241" s="16" t="n"/>
      <c r="AC241" s="16" t="n"/>
      <c r="AD241" s="16" t="n"/>
      <c r="AE241" s="17" t="n"/>
      <c r="AF241" s="41" t="n"/>
      <c r="AG241" s="41" t="n"/>
      <c r="AH241" s="123">
        <f>DADOS_AM!$JJ$22</f>
        <v/>
      </c>
      <c r="AI241" s="16" t="n"/>
      <c r="AJ241" s="17" t="n"/>
      <c r="AK241" s="123">
        <f>DADOS_AM!$JK$22</f>
        <v/>
      </c>
      <c r="AL241" s="16" t="n"/>
      <c r="AM241" s="16" t="n"/>
      <c r="AN241" s="17" t="n"/>
      <c r="AO241" s="123">
        <f>DADOS_AM!$JL$22</f>
        <v/>
      </c>
      <c r="AP241" s="16" t="n"/>
      <c r="AQ241" s="16" t="n"/>
      <c r="AR241" s="16" t="n"/>
      <c r="AS241" s="16" t="n"/>
      <c r="AT241" s="17" t="n"/>
    </row>
    <row r="242" hidden="1" outlineLevel="4">
      <c r="A242" s="8" t="n"/>
      <c r="B242" s="14" t="n"/>
      <c r="C242" s="41" t="n"/>
      <c r="D242" s="121">
        <f>DADOS_AM!$JM$20</f>
        <v/>
      </c>
      <c r="E242" s="19" t="n"/>
      <c r="F242" s="19" t="n"/>
      <c r="G242" s="19" t="n"/>
      <c r="H242" s="19" t="n"/>
      <c r="I242" s="19" t="n"/>
      <c r="J242" s="19" t="n"/>
      <c r="K242" s="19" t="n"/>
      <c r="L242" s="19" t="n"/>
      <c r="M242" s="19" t="n"/>
      <c r="N242" s="19" t="n"/>
      <c r="O242" s="19" t="n"/>
      <c r="P242" s="20" t="n"/>
      <c r="Q242" s="41" t="n"/>
      <c r="R242" s="41" t="n"/>
      <c r="S242" s="121">
        <f>DADOS_AM!$JM$21</f>
        <v/>
      </c>
      <c r="T242" s="19" t="n"/>
      <c r="U242" s="19" t="n"/>
      <c r="V242" s="19" t="n"/>
      <c r="W242" s="19" t="n"/>
      <c r="X242" s="19" t="n"/>
      <c r="Y242" s="19" t="n"/>
      <c r="Z242" s="19" t="n"/>
      <c r="AA242" s="19" t="n"/>
      <c r="AB242" s="19" t="n"/>
      <c r="AC242" s="19" t="n"/>
      <c r="AD242" s="19" t="n"/>
      <c r="AE242" s="20" t="n"/>
      <c r="AF242" s="41" t="n"/>
      <c r="AG242" s="41" t="n"/>
      <c r="AH242" s="121">
        <f>DADOS_AM!$JM$22</f>
        <v/>
      </c>
      <c r="AI242" s="19" t="n"/>
      <c r="AJ242" s="19" t="n"/>
      <c r="AK242" s="19" t="n"/>
      <c r="AL242" s="19" t="n"/>
      <c r="AM242" s="19" t="n"/>
      <c r="AN242" s="19" t="n"/>
      <c r="AO242" s="19" t="n"/>
      <c r="AP242" s="19" t="n"/>
      <c r="AQ242" s="19" t="n"/>
      <c r="AR242" s="19" t="n"/>
      <c r="AS242" s="19" t="n"/>
      <c r="AT242" s="20"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1" t="n"/>
      <c r="P247" s="22" t="n"/>
      <c r="Q247" s="41" t="n"/>
      <c r="R247" s="41" t="n"/>
      <c r="S247" s="21" t="n"/>
      <c r="AE247" s="22" t="n"/>
      <c r="AF247" s="41" t="n"/>
      <c r="AG247" s="41" t="n"/>
      <c r="AH247" s="21" t="n"/>
      <c r="AT247" s="22" t="n"/>
    </row>
    <row r="248" hidden="1" outlineLevel="4">
      <c r="A248" s="8" t="n"/>
      <c r="B248" s="14" t="n"/>
      <c r="C248" s="41" t="n"/>
      <c r="D248" s="23" t="n"/>
      <c r="E248" s="24" t="n"/>
      <c r="F248" s="24" t="n"/>
      <c r="G248" s="24" t="n"/>
      <c r="H248" s="24" t="n"/>
      <c r="I248" s="24" t="n"/>
      <c r="J248" s="24" t="n"/>
      <c r="K248" s="24" t="n"/>
      <c r="L248" s="24" t="n"/>
      <c r="M248" s="24" t="n"/>
      <c r="N248" s="24" t="n"/>
      <c r="O248" s="24" t="n"/>
      <c r="P248" s="25" t="n"/>
      <c r="Q248" s="41" t="n"/>
      <c r="R248" s="41" t="n"/>
      <c r="S248" s="23" t="n"/>
      <c r="T248" s="24" t="n"/>
      <c r="U248" s="24" t="n"/>
      <c r="V248" s="24" t="n"/>
      <c r="W248" s="24" t="n"/>
      <c r="X248" s="24" t="n"/>
      <c r="Y248" s="24" t="n"/>
      <c r="Z248" s="24" t="n"/>
      <c r="AA248" s="24" t="n"/>
      <c r="AB248" s="24" t="n"/>
      <c r="AC248" s="24" t="n"/>
      <c r="AD248" s="24" t="n"/>
      <c r="AE248" s="25" t="n"/>
      <c r="AF248" s="41" t="n"/>
      <c r="AG248" s="41" t="n"/>
      <c r="AH248" s="23" t="n"/>
      <c r="AI248" s="24" t="n"/>
      <c r="AJ248" s="24" t="n"/>
      <c r="AK248" s="24" t="n"/>
      <c r="AL248" s="24" t="n"/>
      <c r="AM248" s="24" t="n"/>
      <c r="AN248" s="24" t="n"/>
      <c r="AO248" s="24" t="n"/>
      <c r="AP248" s="24" t="n"/>
      <c r="AQ248" s="24" t="n"/>
      <c r="AR248" s="24" t="n"/>
      <c r="AS248" s="24" t="n"/>
      <c r="AT248" s="25" t="n"/>
    </row>
    <row r="249" hidden="1" outlineLevel="3">
      <c r="A249" s="8" t="n"/>
      <c r="B249" s="14"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c r="AA249" s="41" t="n"/>
      <c r="AB249" s="41" t="n"/>
      <c r="AC249" s="41" t="n"/>
      <c r="AD249" s="41" t="n"/>
      <c r="AE249" s="41" t="n"/>
      <c r="AF249" s="41" t="n"/>
      <c r="AG249" s="41" t="n"/>
      <c r="AH249" s="41" t="n"/>
      <c r="AI249" s="41" t="n"/>
      <c r="AJ249" s="41" t="n"/>
      <c r="AK249" s="41" t="n"/>
      <c r="AL249" s="41" t="n"/>
      <c r="AM249" s="41" t="n"/>
      <c r="AN249" s="41" t="n"/>
      <c r="AO249" s="41" t="n"/>
      <c r="AP249" s="41" t="n"/>
      <c r="AQ249" s="41" t="n"/>
      <c r="AR249" s="41" t="n"/>
      <c r="AS249" s="41" t="n"/>
      <c r="AT249" s="41" t="n"/>
    </row>
    <row r="250" hidden="1" outlineLevel="3">
      <c r="A250" s="8" t="n"/>
      <c r="B250" s="14" t="n"/>
      <c r="C250" s="41" t="n"/>
      <c r="D250" s="122">
        <f>DADOS_AM!$JH$23</f>
        <v/>
      </c>
      <c r="E250" s="17" t="n"/>
      <c r="F250" s="120">
        <f>DADOS_AM!$JI$23</f>
        <v/>
      </c>
      <c r="G250" s="16" t="n"/>
      <c r="H250" s="16" t="n"/>
      <c r="I250" s="16" t="n"/>
      <c r="J250" s="16" t="n"/>
      <c r="K250" s="16" t="n"/>
      <c r="L250" s="16" t="n"/>
      <c r="M250" s="16" t="n"/>
      <c r="N250" s="16" t="n"/>
      <c r="O250" s="16" t="n"/>
      <c r="P250" s="17" t="n"/>
      <c r="Q250" s="41" t="n"/>
      <c r="R250" s="41" t="n"/>
      <c r="S250" s="122">
        <f>DADOS_AM!$JH$24</f>
        <v/>
      </c>
      <c r="T250" s="17" t="n"/>
      <c r="U250" s="120">
        <f>DADOS_AM!$JI$24</f>
        <v/>
      </c>
      <c r="V250" s="16" t="n"/>
      <c r="W250" s="16" t="n"/>
      <c r="X250" s="16" t="n"/>
      <c r="Y250" s="16" t="n"/>
      <c r="Z250" s="16" t="n"/>
      <c r="AA250" s="16" t="n"/>
      <c r="AB250" s="16" t="n"/>
      <c r="AC250" s="16" t="n"/>
      <c r="AD250" s="16" t="n"/>
      <c r="AE250" s="17" t="n"/>
      <c r="AF250" s="41" t="n"/>
      <c r="AG250" s="41" t="n"/>
      <c r="AH250" s="122">
        <f>DADOS_AM!$JH$25</f>
        <v/>
      </c>
      <c r="AI250" s="17" t="n"/>
      <c r="AJ250" s="120">
        <f>DADOS_AM!$JI$25</f>
        <v/>
      </c>
      <c r="AK250" s="16" t="n"/>
      <c r="AL250" s="16" t="n"/>
      <c r="AM250" s="16" t="n"/>
      <c r="AN250" s="16" t="n"/>
      <c r="AO250" s="16" t="n"/>
      <c r="AP250" s="16" t="n"/>
      <c r="AQ250" s="16" t="n"/>
      <c r="AR250" s="16" t="n"/>
      <c r="AS250" s="16" t="n"/>
      <c r="AT250" s="17" t="n"/>
    </row>
    <row r="251" hidden="1" outlineLevel="3">
      <c r="A251" s="8" t="n"/>
      <c r="B251" s="14" t="n"/>
      <c r="C251" s="41" t="n"/>
      <c r="D251" s="123">
        <f>DADOS_AM!$JJ$23</f>
        <v/>
      </c>
      <c r="E251" s="16" t="n"/>
      <c r="F251" s="17" t="n"/>
      <c r="G251" s="123">
        <f>DADOS_AM!$JK$23</f>
        <v/>
      </c>
      <c r="H251" s="16" t="n"/>
      <c r="I251" s="16" t="n"/>
      <c r="J251" s="17" t="n"/>
      <c r="K251" s="123">
        <f>DADOS_AM!$JL$23</f>
        <v/>
      </c>
      <c r="L251" s="16" t="n"/>
      <c r="M251" s="16" t="n"/>
      <c r="N251" s="16" t="n"/>
      <c r="O251" s="16" t="n"/>
      <c r="P251" s="17" t="n"/>
      <c r="Q251" s="41" t="n"/>
      <c r="R251" s="41" t="n"/>
      <c r="S251" s="123">
        <f>DADOS_AM!$JJ$24</f>
        <v/>
      </c>
      <c r="T251" s="16" t="n"/>
      <c r="U251" s="17" t="n"/>
      <c r="V251" s="123">
        <f>DADOS_AM!$JK$24</f>
        <v/>
      </c>
      <c r="W251" s="16" t="n"/>
      <c r="X251" s="16" t="n"/>
      <c r="Y251" s="17" t="n"/>
      <c r="Z251" s="123">
        <f>DADOS_AM!$JL$24</f>
        <v/>
      </c>
      <c r="AA251" s="16" t="n"/>
      <c r="AB251" s="16" t="n"/>
      <c r="AC251" s="16" t="n"/>
      <c r="AD251" s="16" t="n"/>
      <c r="AE251" s="17" t="n"/>
      <c r="AF251" s="41" t="n"/>
      <c r="AG251" s="41" t="n"/>
      <c r="AH251" s="123">
        <f>DADOS_AM!$JJ$25</f>
        <v/>
      </c>
      <c r="AI251" s="16" t="n"/>
      <c r="AJ251" s="17" t="n"/>
      <c r="AK251" s="123">
        <f>DADOS_AM!$JK$25</f>
        <v/>
      </c>
      <c r="AL251" s="16" t="n"/>
      <c r="AM251" s="16" t="n"/>
      <c r="AN251" s="17" t="n"/>
      <c r="AO251" s="123">
        <f>DADOS_AM!$JL$25</f>
        <v/>
      </c>
      <c r="AP251" s="16" t="n"/>
      <c r="AQ251" s="16" t="n"/>
      <c r="AR251" s="16" t="n"/>
      <c r="AS251" s="16" t="n"/>
      <c r="AT251" s="17" t="n"/>
    </row>
    <row r="252" hidden="1" outlineLevel="4">
      <c r="A252" s="8" t="n"/>
      <c r="B252" s="14" t="n"/>
      <c r="C252" s="41" t="n"/>
      <c r="D252" s="121">
        <f>DADOS_AM!$JM$23</f>
        <v/>
      </c>
      <c r="E252" s="19" t="n"/>
      <c r="F252" s="19" t="n"/>
      <c r="G252" s="19" t="n"/>
      <c r="H252" s="19" t="n"/>
      <c r="I252" s="19" t="n"/>
      <c r="J252" s="19" t="n"/>
      <c r="K252" s="19" t="n"/>
      <c r="L252" s="19" t="n"/>
      <c r="M252" s="19" t="n"/>
      <c r="N252" s="19" t="n"/>
      <c r="O252" s="19" t="n"/>
      <c r="P252" s="20" t="n"/>
      <c r="Q252" s="41" t="n"/>
      <c r="R252" s="41" t="n"/>
      <c r="S252" s="121">
        <f>DADOS_AM!$JM$24</f>
        <v/>
      </c>
      <c r="T252" s="19" t="n"/>
      <c r="U252" s="19" t="n"/>
      <c r="V252" s="19" t="n"/>
      <c r="W252" s="19" t="n"/>
      <c r="X252" s="19" t="n"/>
      <c r="Y252" s="19" t="n"/>
      <c r="Z252" s="19" t="n"/>
      <c r="AA252" s="19" t="n"/>
      <c r="AB252" s="19" t="n"/>
      <c r="AC252" s="19" t="n"/>
      <c r="AD252" s="19" t="n"/>
      <c r="AE252" s="20" t="n"/>
      <c r="AF252" s="41" t="n"/>
      <c r="AG252" s="41" t="n"/>
      <c r="AH252" s="121">
        <f>DADOS_AM!$JM$25</f>
        <v/>
      </c>
      <c r="AI252" s="19" t="n"/>
      <c r="AJ252" s="19" t="n"/>
      <c r="AK252" s="19" t="n"/>
      <c r="AL252" s="19" t="n"/>
      <c r="AM252" s="19" t="n"/>
      <c r="AN252" s="19" t="n"/>
      <c r="AO252" s="19" t="n"/>
      <c r="AP252" s="19" t="n"/>
      <c r="AQ252" s="19" t="n"/>
      <c r="AR252" s="19" t="n"/>
      <c r="AS252" s="19" t="n"/>
      <c r="AT252" s="20"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1" t="n"/>
      <c r="P257" s="22" t="n"/>
      <c r="Q257" s="41" t="n"/>
      <c r="R257" s="41" t="n"/>
      <c r="S257" s="21" t="n"/>
      <c r="AE257" s="22" t="n"/>
      <c r="AF257" s="41" t="n"/>
      <c r="AG257" s="41" t="n"/>
      <c r="AH257" s="21" t="n"/>
      <c r="AT257" s="22" t="n"/>
    </row>
    <row r="258" hidden="1" outlineLevel="4">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124">
        <f>DADOS_AM!$KQ$13</f>
        <v/>
      </c>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c r="AB259" s="16" t="n"/>
      <c r="AC259" s="16" t="n"/>
      <c r="AD259" s="16" t="n"/>
      <c r="AE259" s="16" t="n"/>
      <c r="AF259" s="16" t="n"/>
      <c r="AG259" s="16" t="n"/>
      <c r="AH259" s="16" t="n"/>
      <c r="AI259" s="16" t="n"/>
      <c r="AJ259" s="16" t="n"/>
      <c r="AK259" s="16" t="n"/>
      <c r="AL259" s="16" t="n"/>
      <c r="AM259" s="16" t="n"/>
      <c r="AN259" s="16" t="n"/>
      <c r="AO259" s="16" t="n"/>
      <c r="AP259" s="16" t="n"/>
      <c r="AQ259" s="16" t="n"/>
      <c r="AR259" s="16" t="n"/>
      <c r="AS259" s="16" t="n"/>
      <c r="AT259" s="17" t="n"/>
    </row>
    <row r="260" hidden="1" outlineLevel="3">
      <c r="A260" s="8" t="n"/>
      <c r="B260" s="14" t="n"/>
      <c r="C260" s="41" t="n"/>
      <c r="D260" s="122">
        <f>DADOS_AM!$JH$26</f>
        <v/>
      </c>
      <c r="E260" s="17" t="n"/>
      <c r="F260" s="120">
        <f>DADOS_AM!$JI$26</f>
        <v/>
      </c>
      <c r="G260" s="16" t="n"/>
      <c r="H260" s="16" t="n"/>
      <c r="I260" s="16" t="n"/>
      <c r="J260" s="16" t="n"/>
      <c r="K260" s="16" t="n"/>
      <c r="L260" s="16" t="n"/>
      <c r="M260" s="16" t="n"/>
      <c r="N260" s="16" t="n"/>
      <c r="O260" s="16" t="n"/>
      <c r="P260" s="17" t="n"/>
      <c r="Q260" s="41" t="n"/>
      <c r="R260" s="41" t="n"/>
      <c r="S260" s="122">
        <f>DADOS_AM!$JH$27</f>
        <v/>
      </c>
      <c r="T260" s="17" t="n"/>
      <c r="U260" s="120">
        <f>DADOS_AM!$JI$27</f>
        <v/>
      </c>
      <c r="V260" s="16" t="n"/>
      <c r="W260" s="16" t="n"/>
      <c r="X260" s="16" t="n"/>
      <c r="Y260" s="16" t="n"/>
      <c r="Z260" s="16" t="n"/>
      <c r="AA260" s="16" t="n"/>
      <c r="AB260" s="16" t="n"/>
      <c r="AC260" s="16" t="n"/>
      <c r="AD260" s="16" t="n"/>
      <c r="AE260" s="17" t="n"/>
      <c r="AF260" s="41" t="n"/>
      <c r="AG260" s="41" t="n"/>
      <c r="AH260" s="122">
        <f>DADOS_AM!$JH$28</f>
        <v/>
      </c>
      <c r="AI260" s="17" t="n"/>
      <c r="AJ260" s="120">
        <f>DADOS_AM!$JI$28</f>
        <v/>
      </c>
      <c r="AK260" s="16" t="n"/>
      <c r="AL260" s="16" t="n"/>
      <c r="AM260" s="16" t="n"/>
      <c r="AN260" s="16" t="n"/>
      <c r="AO260" s="16" t="n"/>
      <c r="AP260" s="16" t="n"/>
      <c r="AQ260" s="16" t="n"/>
      <c r="AR260" s="16" t="n"/>
      <c r="AS260" s="16" t="n"/>
      <c r="AT260" s="17" t="n"/>
    </row>
    <row r="261" hidden="1" outlineLevel="3">
      <c r="A261" s="8" t="n"/>
      <c r="B261" s="14" t="n"/>
      <c r="C261" s="41" t="n"/>
      <c r="D261" s="123">
        <f>DADOS_AM!$JJ$26</f>
        <v/>
      </c>
      <c r="E261" s="16" t="n"/>
      <c r="F261" s="17" t="n"/>
      <c r="G261" s="123">
        <f>DADOS_AM!$JK$26</f>
        <v/>
      </c>
      <c r="H261" s="16" t="n"/>
      <c r="I261" s="16" t="n"/>
      <c r="J261" s="17" t="n"/>
      <c r="K261" s="123">
        <f>DADOS_AM!$JL$26</f>
        <v/>
      </c>
      <c r="L261" s="16" t="n"/>
      <c r="M261" s="16" t="n"/>
      <c r="N261" s="16" t="n"/>
      <c r="O261" s="16" t="n"/>
      <c r="P261" s="17" t="n"/>
      <c r="Q261" s="41" t="n"/>
      <c r="R261" s="41" t="n"/>
      <c r="S261" s="123">
        <f>DADOS_AM!$JJ$27</f>
        <v/>
      </c>
      <c r="T261" s="16" t="n"/>
      <c r="U261" s="17" t="n"/>
      <c r="V261" s="123">
        <f>DADOS_AM!$JK$27</f>
        <v/>
      </c>
      <c r="W261" s="16" t="n"/>
      <c r="X261" s="16" t="n"/>
      <c r="Y261" s="17" t="n"/>
      <c r="Z261" s="123">
        <f>DADOS_AM!$JL$27</f>
        <v/>
      </c>
      <c r="AA261" s="16" t="n"/>
      <c r="AB261" s="16" t="n"/>
      <c r="AC261" s="16" t="n"/>
      <c r="AD261" s="16" t="n"/>
      <c r="AE261" s="17" t="n"/>
      <c r="AF261" s="41" t="n"/>
      <c r="AG261" s="41" t="n"/>
      <c r="AH261" s="123">
        <f>DADOS_AM!$JJ$28</f>
        <v/>
      </c>
      <c r="AI261" s="16" t="n"/>
      <c r="AJ261" s="17" t="n"/>
      <c r="AK261" s="123">
        <f>DADOS_AM!$JK$28</f>
        <v/>
      </c>
      <c r="AL261" s="16" t="n"/>
      <c r="AM261" s="16" t="n"/>
      <c r="AN261" s="17" t="n"/>
      <c r="AO261" s="123">
        <f>DADOS_AM!$JL$28</f>
        <v/>
      </c>
      <c r="AP261" s="16" t="n"/>
      <c r="AQ261" s="16" t="n"/>
      <c r="AR261" s="16" t="n"/>
      <c r="AS261" s="16" t="n"/>
      <c r="AT261" s="17" t="n"/>
    </row>
    <row r="262" hidden="1" outlineLevel="4">
      <c r="A262" s="8" t="n"/>
      <c r="B262" s="14" t="n"/>
      <c r="C262" s="41" t="n"/>
      <c r="D262" s="121">
        <f>DADOS_AM!$JM$26</f>
        <v/>
      </c>
      <c r="E262" s="19" t="n"/>
      <c r="F262" s="19" t="n"/>
      <c r="G262" s="19" t="n"/>
      <c r="H262" s="19" t="n"/>
      <c r="I262" s="19" t="n"/>
      <c r="J262" s="19" t="n"/>
      <c r="K262" s="19" t="n"/>
      <c r="L262" s="19" t="n"/>
      <c r="M262" s="19" t="n"/>
      <c r="N262" s="19" t="n"/>
      <c r="O262" s="19" t="n"/>
      <c r="P262" s="20" t="n"/>
      <c r="Q262" s="41" t="n"/>
      <c r="R262" s="41" t="n"/>
      <c r="S262" s="121">
        <f>DADOS_AM!$JM$27</f>
        <v/>
      </c>
      <c r="T262" s="19" t="n"/>
      <c r="U262" s="19" t="n"/>
      <c r="V262" s="19" t="n"/>
      <c r="W262" s="19" t="n"/>
      <c r="X262" s="19" t="n"/>
      <c r="Y262" s="19" t="n"/>
      <c r="Z262" s="19" t="n"/>
      <c r="AA262" s="19" t="n"/>
      <c r="AB262" s="19" t="n"/>
      <c r="AC262" s="19" t="n"/>
      <c r="AD262" s="19" t="n"/>
      <c r="AE262" s="20" t="n"/>
      <c r="AF262" s="41" t="n"/>
      <c r="AG262" s="41" t="n"/>
      <c r="AH262" s="121">
        <f>DADOS_AM!$JM$28</f>
        <v/>
      </c>
      <c r="AI262" s="19" t="n"/>
      <c r="AJ262" s="19" t="n"/>
      <c r="AK262" s="19" t="n"/>
      <c r="AL262" s="19" t="n"/>
      <c r="AM262" s="19" t="n"/>
      <c r="AN262" s="19" t="n"/>
      <c r="AO262" s="19" t="n"/>
      <c r="AP262" s="19" t="n"/>
      <c r="AQ262" s="19" t="n"/>
      <c r="AR262" s="19" t="n"/>
      <c r="AS262" s="19" t="n"/>
      <c r="AT262" s="20"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1" t="n"/>
      <c r="P267" s="22" t="n"/>
      <c r="Q267" s="41" t="n"/>
      <c r="R267" s="41" t="n"/>
      <c r="S267" s="21" t="n"/>
      <c r="AE267" s="22" t="n"/>
      <c r="AF267" s="41" t="n"/>
      <c r="AG267" s="41" t="n"/>
      <c r="AH267" s="21" t="n"/>
      <c r="AT267" s="22" t="n"/>
    </row>
    <row r="268" hidden="1" outlineLevel="4">
      <c r="A268" s="8" t="n"/>
      <c r="B268" s="14" t="n"/>
      <c r="C268" s="41" t="n"/>
      <c r="D268" s="23" t="n"/>
      <c r="E268" s="24" t="n"/>
      <c r="F268" s="24" t="n"/>
      <c r="G268" s="24" t="n"/>
      <c r="H268" s="24" t="n"/>
      <c r="I268" s="24" t="n"/>
      <c r="J268" s="24" t="n"/>
      <c r="K268" s="24" t="n"/>
      <c r="L268" s="24" t="n"/>
      <c r="M268" s="24" t="n"/>
      <c r="N268" s="24" t="n"/>
      <c r="O268" s="24" t="n"/>
      <c r="P268" s="25" t="n"/>
      <c r="Q268" s="41" t="n"/>
      <c r="R268" s="41" t="n"/>
      <c r="S268" s="23" t="n"/>
      <c r="T268" s="24" t="n"/>
      <c r="U268" s="24" t="n"/>
      <c r="V268" s="24" t="n"/>
      <c r="W268" s="24" t="n"/>
      <c r="X268" s="24" t="n"/>
      <c r="Y268" s="24" t="n"/>
      <c r="Z268" s="24" t="n"/>
      <c r="AA268" s="24" t="n"/>
      <c r="AB268" s="24" t="n"/>
      <c r="AC268" s="24" t="n"/>
      <c r="AD268" s="24" t="n"/>
      <c r="AE268" s="25" t="n"/>
      <c r="AF268" s="41" t="n"/>
      <c r="AG268" s="41" t="n"/>
      <c r="AH268" s="23" t="n"/>
      <c r="AI268" s="24" t="n"/>
      <c r="AJ268" s="24" t="n"/>
      <c r="AK268" s="24" t="n"/>
      <c r="AL268" s="24" t="n"/>
      <c r="AM268" s="24" t="n"/>
      <c r="AN268" s="24" t="n"/>
      <c r="AO268" s="24" t="n"/>
      <c r="AP268" s="24" t="n"/>
      <c r="AQ268" s="24" t="n"/>
      <c r="AR268" s="24" t="n"/>
      <c r="AS268" s="24" t="n"/>
      <c r="AT268" s="25" t="n"/>
    </row>
    <row r="269" hidden="1" outlineLevel="3">
      <c r="A269" s="8" t="n"/>
      <c r="B269" s="14"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c r="AA269" s="41" t="n"/>
      <c r="AB269" s="41" t="n"/>
      <c r="AC269" s="41" t="n"/>
      <c r="AD269" s="41" t="n"/>
      <c r="AE269" s="41" t="n"/>
      <c r="AF269" s="41" t="n"/>
      <c r="AG269" s="41" t="n"/>
      <c r="AH269" s="41" t="n"/>
      <c r="AI269" s="41" t="n"/>
      <c r="AJ269" s="41" t="n"/>
      <c r="AK269" s="41" t="n"/>
      <c r="AL269" s="41" t="n"/>
      <c r="AM269" s="41" t="n"/>
      <c r="AN269" s="41" t="n"/>
      <c r="AO269" s="41" t="n"/>
      <c r="AP269" s="41" t="n"/>
      <c r="AQ269" s="41" t="n"/>
      <c r="AR269" s="41" t="n"/>
      <c r="AS269" s="41" t="n"/>
      <c r="AT269" s="41" t="n"/>
    </row>
    <row r="270" hidden="1" outlineLevel="3">
      <c r="A270" s="8" t="n"/>
      <c r="B270" s="14" t="n"/>
      <c r="C270" s="41" t="n"/>
      <c r="D270" s="122">
        <f>DADOS_AM!$JH$29</f>
        <v/>
      </c>
      <c r="E270" s="17" t="n"/>
      <c r="F270" s="120">
        <f>DADOS_AM!$JI$29</f>
        <v/>
      </c>
      <c r="G270" s="16" t="n"/>
      <c r="H270" s="16" t="n"/>
      <c r="I270" s="16" t="n"/>
      <c r="J270" s="16" t="n"/>
      <c r="K270" s="16" t="n"/>
      <c r="L270" s="16" t="n"/>
      <c r="M270" s="16" t="n"/>
      <c r="N270" s="16" t="n"/>
      <c r="O270" s="16" t="n"/>
      <c r="P270" s="17" t="n"/>
      <c r="Q270" s="41" t="n"/>
      <c r="R270" s="41" t="n"/>
      <c r="S270" s="122">
        <f>DADOS_AM!$JH$30</f>
        <v/>
      </c>
      <c r="T270" s="17" t="n"/>
      <c r="U270" s="120">
        <f>DADOS_AM!$JI$30</f>
        <v/>
      </c>
      <c r="V270" s="16" t="n"/>
      <c r="W270" s="16" t="n"/>
      <c r="X270" s="16" t="n"/>
      <c r="Y270" s="16" t="n"/>
      <c r="Z270" s="16" t="n"/>
      <c r="AA270" s="16" t="n"/>
      <c r="AB270" s="16" t="n"/>
      <c r="AC270" s="16" t="n"/>
      <c r="AD270" s="16" t="n"/>
      <c r="AE270" s="17" t="n"/>
      <c r="AF270" s="41" t="n"/>
      <c r="AG270" s="41" t="n"/>
      <c r="AH270" s="122">
        <f>DADOS_AM!$JH$31</f>
        <v/>
      </c>
      <c r="AI270" s="17" t="n"/>
      <c r="AJ270" s="120">
        <f>DADOS_AM!$JI$31</f>
        <v/>
      </c>
      <c r="AK270" s="16" t="n"/>
      <c r="AL270" s="16" t="n"/>
      <c r="AM270" s="16" t="n"/>
      <c r="AN270" s="16" t="n"/>
      <c r="AO270" s="16" t="n"/>
      <c r="AP270" s="16" t="n"/>
      <c r="AQ270" s="16" t="n"/>
      <c r="AR270" s="16" t="n"/>
      <c r="AS270" s="16" t="n"/>
      <c r="AT270" s="17" t="n"/>
    </row>
    <row r="271" hidden="1" outlineLevel="3">
      <c r="A271" s="8" t="n"/>
      <c r="B271" s="14" t="n"/>
      <c r="C271" s="41" t="n"/>
      <c r="D271" s="123">
        <f>DADOS_AM!$JJ$29</f>
        <v/>
      </c>
      <c r="E271" s="16" t="n"/>
      <c r="F271" s="17" t="n"/>
      <c r="G271" s="123">
        <f>DADOS_AM!$JK$29</f>
        <v/>
      </c>
      <c r="H271" s="16" t="n"/>
      <c r="I271" s="16" t="n"/>
      <c r="J271" s="17" t="n"/>
      <c r="K271" s="123">
        <f>DADOS_AM!$JL$29</f>
        <v/>
      </c>
      <c r="L271" s="16" t="n"/>
      <c r="M271" s="16" t="n"/>
      <c r="N271" s="16" t="n"/>
      <c r="O271" s="16" t="n"/>
      <c r="P271" s="17" t="n"/>
      <c r="Q271" s="41" t="n"/>
      <c r="R271" s="41" t="n"/>
      <c r="S271" s="123">
        <f>DADOS_AM!$JJ$30</f>
        <v/>
      </c>
      <c r="T271" s="16" t="n"/>
      <c r="U271" s="17" t="n"/>
      <c r="V271" s="123">
        <f>DADOS_AM!$JK$30</f>
        <v/>
      </c>
      <c r="W271" s="16" t="n"/>
      <c r="X271" s="16" t="n"/>
      <c r="Y271" s="17" t="n"/>
      <c r="Z271" s="123">
        <f>DADOS_AM!$JL$30</f>
        <v/>
      </c>
      <c r="AA271" s="16" t="n"/>
      <c r="AB271" s="16" t="n"/>
      <c r="AC271" s="16" t="n"/>
      <c r="AD271" s="16" t="n"/>
      <c r="AE271" s="17" t="n"/>
      <c r="AF271" s="41" t="n"/>
      <c r="AG271" s="41" t="n"/>
      <c r="AH271" s="123">
        <f>DADOS_AM!$JJ$31</f>
        <v/>
      </c>
      <c r="AI271" s="16" t="n"/>
      <c r="AJ271" s="17" t="n"/>
      <c r="AK271" s="123">
        <f>DADOS_AM!$JK$31</f>
        <v/>
      </c>
      <c r="AL271" s="16" t="n"/>
      <c r="AM271" s="16" t="n"/>
      <c r="AN271" s="17" t="n"/>
      <c r="AO271" s="123">
        <f>DADOS_AM!$JL$31</f>
        <v/>
      </c>
      <c r="AP271" s="16" t="n"/>
      <c r="AQ271" s="16" t="n"/>
      <c r="AR271" s="16" t="n"/>
      <c r="AS271" s="16" t="n"/>
      <c r="AT271" s="17" t="n"/>
    </row>
    <row r="272" hidden="1" outlineLevel="4">
      <c r="A272" s="8" t="n"/>
      <c r="B272" s="14" t="n"/>
      <c r="C272" s="41" t="n"/>
      <c r="D272" s="121">
        <f>DADOS_AM!$JM$29</f>
        <v/>
      </c>
      <c r="E272" s="19" t="n"/>
      <c r="F272" s="19" t="n"/>
      <c r="G272" s="19" t="n"/>
      <c r="H272" s="19" t="n"/>
      <c r="I272" s="19" t="n"/>
      <c r="J272" s="19" t="n"/>
      <c r="K272" s="19" t="n"/>
      <c r="L272" s="19" t="n"/>
      <c r="M272" s="19" t="n"/>
      <c r="N272" s="19" t="n"/>
      <c r="O272" s="19" t="n"/>
      <c r="P272" s="20" t="n"/>
      <c r="Q272" s="41" t="n"/>
      <c r="R272" s="41" t="n"/>
      <c r="S272" s="121">
        <f>DADOS_AM!$JM$30</f>
        <v/>
      </c>
      <c r="T272" s="19" t="n"/>
      <c r="U272" s="19" t="n"/>
      <c r="V272" s="19" t="n"/>
      <c r="W272" s="19" t="n"/>
      <c r="X272" s="19" t="n"/>
      <c r="Y272" s="19" t="n"/>
      <c r="Z272" s="19" t="n"/>
      <c r="AA272" s="19" t="n"/>
      <c r="AB272" s="19" t="n"/>
      <c r="AC272" s="19" t="n"/>
      <c r="AD272" s="19" t="n"/>
      <c r="AE272" s="20" t="n"/>
      <c r="AF272" s="41" t="n"/>
      <c r="AG272" s="41" t="n"/>
      <c r="AH272" s="121">
        <f>DADOS_AM!$JM$31</f>
        <v/>
      </c>
      <c r="AI272" s="19" t="n"/>
      <c r="AJ272" s="19" t="n"/>
      <c r="AK272" s="19" t="n"/>
      <c r="AL272" s="19" t="n"/>
      <c r="AM272" s="19" t="n"/>
      <c r="AN272" s="19" t="n"/>
      <c r="AO272" s="19" t="n"/>
      <c r="AP272" s="19" t="n"/>
      <c r="AQ272" s="19" t="n"/>
      <c r="AR272" s="19" t="n"/>
      <c r="AS272" s="19" t="n"/>
      <c r="AT272" s="20"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1" t="n"/>
      <c r="P277" s="22" t="n"/>
      <c r="Q277" s="41" t="n"/>
      <c r="R277" s="41" t="n"/>
      <c r="S277" s="21" t="n"/>
      <c r="AE277" s="22" t="n"/>
      <c r="AF277" s="41" t="n"/>
      <c r="AG277" s="41" t="n"/>
      <c r="AH277" s="21" t="n"/>
      <c r="AT277" s="22" t="n"/>
    </row>
    <row r="278" hidden="1" outlineLevel="4">
      <c r="A278" s="8" t="n"/>
      <c r="B278" s="14" t="n"/>
      <c r="C278" s="41" t="n"/>
      <c r="D278" s="23" t="n"/>
      <c r="E278" s="24" t="n"/>
      <c r="F278" s="24" t="n"/>
      <c r="G278" s="24" t="n"/>
      <c r="H278" s="24" t="n"/>
      <c r="I278" s="24" t="n"/>
      <c r="J278" s="24" t="n"/>
      <c r="K278" s="24" t="n"/>
      <c r="L278" s="24" t="n"/>
      <c r="M278" s="24" t="n"/>
      <c r="N278" s="24" t="n"/>
      <c r="O278" s="24" t="n"/>
      <c r="P278" s="25" t="n"/>
      <c r="Q278" s="41" t="n"/>
      <c r="R278" s="41" t="n"/>
      <c r="S278" s="23" t="n"/>
      <c r="T278" s="24" t="n"/>
      <c r="U278" s="24" t="n"/>
      <c r="V278" s="24" t="n"/>
      <c r="W278" s="24" t="n"/>
      <c r="X278" s="24" t="n"/>
      <c r="Y278" s="24" t="n"/>
      <c r="Z278" s="24" t="n"/>
      <c r="AA278" s="24" t="n"/>
      <c r="AB278" s="24" t="n"/>
      <c r="AC278" s="24" t="n"/>
      <c r="AD278" s="24" t="n"/>
      <c r="AE278" s="25" t="n"/>
      <c r="AF278" s="41" t="n"/>
      <c r="AG278" s="41" t="n"/>
      <c r="AH278" s="23" t="n"/>
      <c r="AI278" s="24" t="n"/>
      <c r="AJ278" s="24" t="n"/>
      <c r="AK278" s="24" t="n"/>
      <c r="AL278" s="24" t="n"/>
      <c r="AM278" s="24" t="n"/>
      <c r="AN278" s="24" t="n"/>
      <c r="AO278" s="24" t="n"/>
      <c r="AP278" s="24" t="n"/>
      <c r="AQ278" s="24" t="n"/>
      <c r="AR278" s="24" t="n"/>
      <c r="AS278" s="24" t="n"/>
      <c r="AT278" s="25" t="n"/>
    </row>
    <row r="279" outlineLevel="2">
      <c r="A279" s="8" t="n"/>
      <c r="B279" s="14" t="n"/>
      <c r="C279" s="41" t="n"/>
      <c r="D279" s="124">
        <f>DADOS_AM!$KQ$14</f>
        <v/>
      </c>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c r="AB279" s="16" t="n"/>
      <c r="AC279" s="16" t="n"/>
      <c r="AD279" s="16" t="n"/>
      <c r="AE279" s="16" t="n"/>
      <c r="AF279" s="16" t="n"/>
      <c r="AG279" s="16" t="n"/>
      <c r="AH279" s="16" t="n"/>
      <c r="AI279" s="16" t="n"/>
      <c r="AJ279" s="16" t="n"/>
      <c r="AK279" s="16" t="n"/>
      <c r="AL279" s="16" t="n"/>
      <c r="AM279" s="16" t="n"/>
      <c r="AN279" s="16" t="n"/>
      <c r="AO279" s="16" t="n"/>
      <c r="AP279" s="16" t="n"/>
      <c r="AQ279" s="16" t="n"/>
      <c r="AR279" s="16" t="n"/>
      <c r="AS279" s="16" t="n"/>
      <c r="AT279" s="17" t="n"/>
    </row>
    <row r="280" hidden="1" outlineLevel="3">
      <c r="A280" s="8" t="n"/>
      <c r="B280" s="14" t="n"/>
      <c r="C280" s="41" t="n"/>
      <c r="D280" s="122">
        <f>DADOS_AM!$JH$32</f>
        <v/>
      </c>
      <c r="E280" s="17" t="n"/>
      <c r="F280" s="120">
        <f>DADOS_AM!$JI$32</f>
        <v/>
      </c>
      <c r="G280" s="16" t="n"/>
      <c r="H280" s="16" t="n"/>
      <c r="I280" s="16" t="n"/>
      <c r="J280" s="16" t="n"/>
      <c r="K280" s="16" t="n"/>
      <c r="L280" s="16" t="n"/>
      <c r="M280" s="16" t="n"/>
      <c r="N280" s="16" t="n"/>
      <c r="O280" s="16" t="n"/>
      <c r="P280" s="17" t="n"/>
      <c r="Q280" s="41" t="n"/>
      <c r="R280" s="41" t="n"/>
      <c r="S280" s="122">
        <f>DADOS_AM!$JH$33</f>
        <v/>
      </c>
      <c r="T280" s="17" t="n"/>
      <c r="U280" s="120">
        <f>DADOS_AM!$JI$33</f>
        <v/>
      </c>
      <c r="V280" s="16" t="n"/>
      <c r="W280" s="16" t="n"/>
      <c r="X280" s="16" t="n"/>
      <c r="Y280" s="16" t="n"/>
      <c r="Z280" s="16" t="n"/>
      <c r="AA280" s="16" t="n"/>
      <c r="AB280" s="16" t="n"/>
      <c r="AC280" s="16" t="n"/>
      <c r="AD280" s="16" t="n"/>
      <c r="AE280" s="17" t="n"/>
      <c r="AF280" s="41" t="n"/>
      <c r="AG280" s="41" t="n"/>
      <c r="AH280" s="122">
        <f>DADOS_AM!$JH$34</f>
        <v/>
      </c>
      <c r="AI280" s="17" t="n"/>
      <c r="AJ280" s="120">
        <f>DADOS_AM!$JI$34</f>
        <v/>
      </c>
      <c r="AK280" s="16" t="n"/>
      <c r="AL280" s="16" t="n"/>
      <c r="AM280" s="16" t="n"/>
      <c r="AN280" s="16" t="n"/>
      <c r="AO280" s="16" t="n"/>
      <c r="AP280" s="16" t="n"/>
      <c r="AQ280" s="16" t="n"/>
      <c r="AR280" s="16" t="n"/>
      <c r="AS280" s="16" t="n"/>
      <c r="AT280" s="17" t="n"/>
    </row>
    <row r="281" hidden="1" outlineLevel="3">
      <c r="A281" s="8" t="n"/>
      <c r="B281" s="14" t="n"/>
      <c r="C281" s="41" t="n"/>
      <c r="D281" s="123">
        <f>DADOS_AM!$JJ$32</f>
        <v/>
      </c>
      <c r="E281" s="16" t="n"/>
      <c r="F281" s="17" t="n"/>
      <c r="G281" s="123">
        <f>DADOS_AM!$JK$32</f>
        <v/>
      </c>
      <c r="H281" s="16" t="n"/>
      <c r="I281" s="16" t="n"/>
      <c r="J281" s="17" t="n"/>
      <c r="K281" s="123">
        <f>DADOS_AM!$JL$32</f>
        <v/>
      </c>
      <c r="L281" s="16" t="n"/>
      <c r="M281" s="16" t="n"/>
      <c r="N281" s="16" t="n"/>
      <c r="O281" s="16" t="n"/>
      <c r="P281" s="17" t="n"/>
      <c r="Q281" s="41" t="n"/>
      <c r="R281" s="41" t="n"/>
      <c r="S281" s="123">
        <f>DADOS_AM!$JJ$33</f>
        <v/>
      </c>
      <c r="T281" s="16" t="n"/>
      <c r="U281" s="17" t="n"/>
      <c r="V281" s="123">
        <f>DADOS_AM!$JK$33</f>
        <v/>
      </c>
      <c r="W281" s="16" t="n"/>
      <c r="X281" s="16" t="n"/>
      <c r="Y281" s="17" t="n"/>
      <c r="Z281" s="123">
        <f>DADOS_AM!$JL$33</f>
        <v/>
      </c>
      <c r="AA281" s="16" t="n"/>
      <c r="AB281" s="16" t="n"/>
      <c r="AC281" s="16" t="n"/>
      <c r="AD281" s="16" t="n"/>
      <c r="AE281" s="17" t="n"/>
      <c r="AF281" s="41" t="n"/>
      <c r="AG281" s="41" t="n"/>
      <c r="AH281" s="123">
        <f>DADOS_AM!$JJ$34</f>
        <v/>
      </c>
      <c r="AI281" s="16" t="n"/>
      <c r="AJ281" s="17" t="n"/>
      <c r="AK281" s="123">
        <f>DADOS_AM!$JK$34</f>
        <v/>
      </c>
      <c r="AL281" s="16" t="n"/>
      <c r="AM281" s="16" t="n"/>
      <c r="AN281" s="17" t="n"/>
      <c r="AO281" s="123">
        <f>DADOS_AM!$JL$34</f>
        <v/>
      </c>
      <c r="AP281" s="16" t="n"/>
      <c r="AQ281" s="16" t="n"/>
      <c r="AR281" s="16" t="n"/>
      <c r="AS281" s="16" t="n"/>
      <c r="AT281" s="17" t="n"/>
    </row>
    <row r="282" hidden="1" outlineLevel="4">
      <c r="A282" s="8" t="n"/>
      <c r="B282" s="14" t="n"/>
      <c r="C282" s="41" t="n"/>
      <c r="D282" s="121">
        <f>DADOS_AM!$JM$32</f>
        <v/>
      </c>
      <c r="E282" s="19" t="n"/>
      <c r="F282" s="19" t="n"/>
      <c r="G282" s="19" t="n"/>
      <c r="H282" s="19" t="n"/>
      <c r="I282" s="19" t="n"/>
      <c r="J282" s="19" t="n"/>
      <c r="K282" s="19" t="n"/>
      <c r="L282" s="19" t="n"/>
      <c r="M282" s="19" t="n"/>
      <c r="N282" s="19" t="n"/>
      <c r="O282" s="19" t="n"/>
      <c r="P282" s="20" t="n"/>
      <c r="Q282" s="41" t="n"/>
      <c r="R282" s="41" t="n"/>
      <c r="S282" s="121">
        <f>DADOS_AM!$JM$33</f>
        <v/>
      </c>
      <c r="T282" s="19" t="n"/>
      <c r="U282" s="19" t="n"/>
      <c r="V282" s="19" t="n"/>
      <c r="W282" s="19" t="n"/>
      <c r="X282" s="19" t="n"/>
      <c r="Y282" s="19" t="n"/>
      <c r="Z282" s="19" t="n"/>
      <c r="AA282" s="19" t="n"/>
      <c r="AB282" s="19" t="n"/>
      <c r="AC282" s="19" t="n"/>
      <c r="AD282" s="19" t="n"/>
      <c r="AE282" s="20" t="n"/>
      <c r="AF282" s="41" t="n"/>
      <c r="AG282" s="41" t="n"/>
      <c r="AH282" s="121">
        <f>DADOS_AM!$JM$34</f>
        <v/>
      </c>
      <c r="AI282" s="19" t="n"/>
      <c r="AJ282" s="19" t="n"/>
      <c r="AK282" s="19" t="n"/>
      <c r="AL282" s="19" t="n"/>
      <c r="AM282" s="19" t="n"/>
      <c r="AN282" s="19" t="n"/>
      <c r="AO282" s="19" t="n"/>
      <c r="AP282" s="19" t="n"/>
      <c r="AQ282" s="19" t="n"/>
      <c r="AR282" s="19" t="n"/>
      <c r="AS282" s="19" t="n"/>
      <c r="AT282" s="20"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1" t="n"/>
      <c r="P287" s="22" t="n"/>
      <c r="Q287" s="41" t="n"/>
      <c r="R287" s="41" t="n"/>
      <c r="S287" s="21" t="n"/>
      <c r="AE287" s="22" t="n"/>
      <c r="AF287" s="41" t="n"/>
      <c r="AG287" s="41" t="n"/>
      <c r="AH287" s="21" t="n"/>
      <c r="AT287" s="22" t="n"/>
    </row>
    <row r="288" hidden="1" outlineLevel="4">
      <c r="A288" s="8" t="n"/>
      <c r="B288" s="14" t="n"/>
      <c r="C288" s="41" t="n"/>
      <c r="D288" s="23" t="n"/>
      <c r="E288" s="24" t="n"/>
      <c r="F288" s="24" t="n"/>
      <c r="G288" s="24" t="n"/>
      <c r="H288" s="24" t="n"/>
      <c r="I288" s="24" t="n"/>
      <c r="J288" s="24" t="n"/>
      <c r="K288" s="24" t="n"/>
      <c r="L288" s="24" t="n"/>
      <c r="M288" s="24" t="n"/>
      <c r="N288" s="24" t="n"/>
      <c r="O288" s="24" t="n"/>
      <c r="P288" s="25" t="n"/>
      <c r="Q288" s="41" t="n"/>
      <c r="R288" s="41" t="n"/>
      <c r="S288" s="23" t="n"/>
      <c r="T288" s="24" t="n"/>
      <c r="U288" s="24" t="n"/>
      <c r="V288" s="24" t="n"/>
      <c r="W288" s="24" t="n"/>
      <c r="X288" s="24" t="n"/>
      <c r="Y288" s="24" t="n"/>
      <c r="Z288" s="24" t="n"/>
      <c r="AA288" s="24" t="n"/>
      <c r="AB288" s="24" t="n"/>
      <c r="AC288" s="24" t="n"/>
      <c r="AD288" s="24" t="n"/>
      <c r="AE288" s="25" t="n"/>
      <c r="AF288" s="41" t="n"/>
      <c r="AG288" s="41" t="n"/>
      <c r="AH288" s="23" t="n"/>
      <c r="AI288" s="24" t="n"/>
      <c r="AJ288" s="24" t="n"/>
      <c r="AK288" s="24" t="n"/>
      <c r="AL288" s="24" t="n"/>
      <c r="AM288" s="24" t="n"/>
      <c r="AN288" s="24" t="n"/>
      <c r="AO288" s="24" t="n"/>
      <c r="AP288" s="24" t="n"/>
      <c r="AQ288" s="24" t="n"/>
      <c r="AR288" s="24" t="n"/>
      <c r="AS288" s="24" t="n"/>
      <c r="AT288" s="25" t="n"/>
    </row>
    <row r="289" hidden="1" outlineLevel="3">
      <c r="A289" s="8" t="n"/>
      <c r="B289" s="14"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c r="AA289" s="41" t="n"/>
      <c r="AB289" s="41" t="n"/>
      <c r="AC289" s="41" t="n"/>
      <c r="AD289" s="41" t="n"/>
      <c r="AE289" s="41" t="n"/>
      <c r="AF289" s="41" t="n"/>
      <c r="AG289" s="41" t="n"/>
      <c r="AH289" s="41" t="n"/>
      <c r="AI289" s="41" t="n"/>
      <c r="AJ289" s="41" t="n"/>
      <c r="AK289" s="41" t="n"/>
      <c r="AL289" s="41" t="n"/>
      <c r="AM289" s="41" t="n"/>
      <c r="AN289" s="41" t="n"/>
      <c r="AO289" s="41" t="n"/>
      <c r="AP289" s="41" t="n"/>
      <c r="AQ289" s="41" t="n"/>
      <c r="AR289" s="41" t="n"/>
      <c r="AS289" s="41" t="n"/>
      <c r="AT289" s="41" t="n"/>
    </row>
    <row r="290" hidden="1" outlineLevel="3">
      <c r="A290" s="8" t="n"/>
      <c r="B290" s="14" t="n"/>
      <c r="C290" s="41" t="n"/>
      <c r="D290" s="122">
        <f>DADOS_AM!$JH$35</f>
        <v/>
      </c>
      <c r="E290" s="17" t="n"/>
      <c r="F290" s="120">
        <f>DADOS_AM!$JI$35</f>
        <v/>
      </c>
      <c r="G290" s="16" t="n"/>
      <c r="H290" s="16" t="n"/>
      <c r="I290" s="16" t="n"/>
      <c r="J290" s="16" t="n"/>
      <c r="K290" s="16" t="n"/>
      <c r="L290" s="16" t="n"/>
      <c r="M290" s="16" t="n"/>
      <c r="N290" s="16" t="n"/>
      <c r="O290" s="16" t="n"/>
      <c r="P290" s="17" t="n"/>
      <c r="Q290" s="41" t="n"/>
      <c r="R290" s="41" t="n"/>
      <c r="S290" s="122">
        <f>DADOS_AM!$JH$36</f>
        <v/>
      </c>
      <c r="T290" s="17" t="n"/>
      <c r="U290" s="120">
        <f>DADOS_AM!$JI$36</f>
        <v/>
      </c>
      <c r="V290" s="16" t="n"/>
      <c r="W290" s="16" t="n"/>
      <c r="X290" s="16" t="n"/>
      <c r="Y290" s="16" t="n"/>
      <c r="Z290" s="16" t="n"/>
      <c r="AA290" s="16" t="n"/>
      <c r="AB290" s="16" t="n"/>
      <c r="AC290" s="16" t="n"/>
      <c r="AD290" s="16" t="n"/>
      <c r="AE290" s="17" t="n"/>
      <c r="AF290" s="41" t="n"/>
      <c r="AG290" s="41" t="n"/>
      <c r="AH290" s="122">
        <f>DADOS_AM!$JH$37</f>
        <v/>
      </c>
      <c r="AI290" s="17" t="n"/>
      <c r="AJ290" s="120">
        <f>DADOS_AM!$JI$37</f>
        <v/>
      </c>
      <c r="AK290" s="16" t="n"/>
      <c r="AL290" s="16" t="n"/>
      <c r="AM290" s="16" t="n"/>
      <c r="AN290" s="16" t="n"/>
      <c r="AO290" s="16" t="n"/>
      <c r="AP290" s="16" t="n"/>
      <c r="AQ290" s="16" t="n"/>
      <c r="AR290" s="16" t="n"/>
      <c r="AS290" s="16" t="n"/>
      <c r="AT290" s="17" t="n"/>
    </row>
    <row r="291" hidden="1" outlineLevel="3">
      <c r="A291" s="8" t="n"/>
      <c r="B291" s="14" t="n"/>
      <c r="C291" s="41" t="n"/>
      <c r="D291" s="123">
        <f>DADOS_AM!$JJ$35</f>
        <v/>
      </c>
      <c r="E291" s="16" t="n"/>
      <c r="F291" s="17" t="n"/>
      <c r="G291" s="123">
        <f>DADOS_AM!$JK$35</f>
        <v/>
      </c>
      <c r="H291" s="16" t="n"/>
      <c r="I291" s="16" t="n"/>
      <c r="J291" s="17" t="n"/>
      <c r="K291" s="123">
        <f>DADOS_AM!$JL$35</f>
        <v/>
      </c>
      <c r="L291" s="16" t="n"/>
      <c r="M291" s="16" t="n"/>
      <c r="N291" s="16" t="n"/>
      <c r="O291" s="16" t="n"/>
      <c r="P291" s="17" t="n"/>
      <c r="Q291" s="41" t="n"/>
      <c r="R291" s="41" t="n"/>
      <c r="S291" s="123">
        <f>DADOS_AM!$JJ$36</f>
        <v/>
      </c>
      <c r="T291" s="16" t="n"/>
      <c r="U291" s="17" t="n"/>
      <c r="V291" s="123">
        <f>DADOS_AM!$JK$36</f>
        <v/>
      </c>
      <c r="W291" s="16" t="n"/>
      <c r="X291" s="16" t="n"/>
      <c r="Y291" s="17" t="n"/>
      <c r="Z291" s="123">
        <f>DADOS_AM!$JL$36</f>
        <v/>
      </c>
      <c r="AA291" s="16" t="n"/>
      <c r="AB291" s="16" t="n"/>
      <c r="AC291" s="16" t="n"/>
      <c r="AD291" s="16" t="n"/>
      <c r="AE291" s="17" t="n"/>
      <c r="AF291" s="41" t="n"/>
      <c r="AG291" s="41" t="n"/>
      <c r="AH291" s="123">
        <f>DADOS_AM!$JJ$37</f>
        <v/>
      </c>
      <c r="AI291" s="16" t="n"/>
      <c r="AJ291" s="17" t="n"/>
      <c r="AK291" s="123">
        <f>DADOS_AM!$JK$37</f>
        <v/>
      </c>
      <c r="AL291" s="16" t="n"/>
      <c r="AM291" s="16" t="n"/>
      <c r="AN291" s="17" t="n"/>
      <c r="AO291" s="123">
        <f>DADOS_AM!$JL$37</f>
        <v/>
      </c>
      <c r="AP291" s="16" t="n"/>
      <c r="AQ291" s="16" t="n"/>
      <c r="AR291" s="16" t="n"/>
      <c r="AS291" s="16" t="n"/>
      <c r="AT291" s="17" t="n"/>
    </row>
    <row r="292" hidden="1" outlineLevel="4">
      <c r="A292" s="8" t="n"/>
      <c r="B292" s="14" t="n"/>
      <c r="C292" s="41" t="n"/>
      <c r="D292" s="121">
        <f>DADOS_AM!$JM$35</f>
        <v/>
      </c>
      <c r="E292" s="19" t="n"/>
      <c r="F292" s="19" t="n"/>
      <c r="G292" s="19" t="n"/>
      <c r="H292" s="19" t="n"/>
      <c r="I292" s="19" t="n"/>
      <c r="J292" s="19" t="n"/>
      <c r="K292" s="19" t="n"/>
      <c r="L292" s="19" t="n"/>
      <c r="M292" s="19" t="n"/>
      <c r="N292" s="19" t="n"/>
      <c r="O292" s="19" t="n"/>
      <c r="P292" s="20" t="n"/>
      <c r="Q292" s="41" t="n"/>
      <c r="R292" s="41" t="n"/>
      <c r="S292" s="121">
        <f>DADOS_AM!$JM$36</f>
        <v/>
      </c>
      <c r="T292" s="19" t="n"/>
      <c r="U292" s="19" t="n"/>
      <c r="V292" s="19" t="n"/>
      <c r="W292" s="19" t="n"/>
      <c r="X292" s="19" t="n"/>
      <c r="Y292" s="19" t="n"/>
      <c r="Z292" s="19" t="n"/>
      <c r="AA292" s="19" t="n"/>
      <c r="AB292" s="19" t="n"/>
      <c r="AC292" s="19" t="n"/>
      <c r="AD292" s="19" t="n"/>
      <c r="AE292" s="20" t="n"/>
      <c r="AF292" s="41" t="n"/>
      <c r="AG292" s="41" t="n"/>
      <c r="AH292" s="121">
        <f>DADOS_AM!$JM$37</f>
        <v/>
      </c>
      <c r="AI292" s="19" t="n"/>
      <c r="AJ292" s="19" t="n"/>
      <c r="AK292" s="19" t="n"/>
      <c r="AL292" s="19" t="n"/>
      <c r="AM292" s="19" t="n"/>
      <c r="AN292" s="19" t="n"/>
      <c r="AO292" s="19" t="n"/>
      <c r="AP292" s="19" t="n"/>
      <c r="AQ292" s="19" t="n"/>
      <c r="AR292" s="19" t="n"/>
      <c r="AS292" s="19" t="n"/>
      <c r="AT292" s="20"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1" t="n"/>
      <c r="P295" s="22" t="n"/>
      <c r="Q295" s="41" t="n"/>
      <c r="R295" s="41" t="n"/>
      <c r="S295" s="21" t="n"/>
      <c r="AE295" s="22" t="n"/>
      <c r="AF295" s="41" t="n"/>
      <c r="AG295" s="41" t="n"/>
      <c r="AH295" s="21" t="n"/>
      <c r="AT295" s="22" t="n"/>
    </row>
    <row r="296" hidden="1" outlineLevel="4">
      <c r="A296" s="8" t="n"/>
      <c r="B296" s="14" t="n"/>
      <c r="C296" s="41" t="n"/>
      <c r="D296" s="21" t="n"/>
      <c r="P296" s="22" t="n"/>
      <c r="Q296" s="41" t="n"/>
      <c r="R296" s="41" t="n"/>
      <c r="S296" s="21" t="n"/>
      <c r="AE296" s="22" t="n"/>
      <c r="AF296" s="41" t="n"/>
      <c r="AG296" s="41" t="n"/>
      <c r="AH296" s="21" t="n"/>
      <c r="AT296" s="22" t="n"/>
    </row>
    <row r="297" hidden="1" outlineLevel="4">
      <c r="A297" s="8" t="n"/>
      <c r="B297" s="14" t="n"/>
      <c r="C297" s="41" t="n"/>
      <c r="D297" s="21" t="n"/>
      <c r="P297" s="22" t="n"/>
      <c r="Q297" s="41" t="n"/>
      <c r="R297" s="41" t="n"/>
      <c r="S297" s="21" t="n"/>
      <c r="AE297" s="22" t="n"/>
      <c r="AF297" s="41" t="n"/>
      <c r="AG297" s="41" t="n"/>
      <c r="AH297" s="21" t="n"/>
      <c r="AT297" s="22" t="n"/>
    </row>
    <row r="298" hidden="1" outlineLevel="4">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1">
      <c r="A300" s="8" t="n"/>
      <c r="B300" s="14" t="n"/>
      <c r="C300" s="41" t="n"/>
      <c r="D300" s="118">
        <f>DADOS_AM!$KQ$4</f>
        <v/>
      </c>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c r="AB300" s="16" t="n"/>
      <c r="AC300" s="16" t="n"/>
      <c r="AD300" s="16" t="n"/>
      <c r="AE300" s="16" t="n"/>
      <c r="AF300" s="16" t="n"/>
      <c r="AG300" s="16" t="n"/>
      <c r="AH300" s="16" t="n"/>
      <c r="AI300" s="16" t="n"/>
      <c r="AJ300" s="16" t="n"/>
      <c r="AK300" s="16" t="n"/>
      <c r="AL300" s="16" t="n"/>
      <c r="AM300" s="16" t="n"/>
      <c r="AN300" s="16" t="n"/>
      <c r="AO300" s="16" t="n"/>
      <c r="AP300" s="16" t="n"/>
      <c r="AQ300" s="16" t="n"/>
      <c r="AR300" s="16" t="n"/>
      <c r="AS300" s="16" t="n"/>
      <c r="AT300" s="17" t="n"/>
    </row>
    <row r="301" outlineLevel="2">
      <c r="A301" s="8" t="n"/>
      <c r="B301" s="14" t="n"/>
      <c r="C301" s="41" t="n"/>
      <c r="D301" s="122">
        <f>DADOS_AM!$KQ$7</f>
        <v/>
      </c>
      <c r="E301" s="17" t="n"/>
      <c r="F301" s="120">
        <f>DADOS_AM!$JQ$2</f>
        <v/>
      </c>
      <c r="G301" s="16" t="n"/>
      <c r="H301" s="16" t="n"/>
      <c r="I301" s="16" t="n"/>
      <c r="J301" s="16" t="n"/>
      <c r="K301" s="16" t="n"/>
      <c r="L301" s="16" t="n"/>
      <c r="M301" s="16" t="n"/>
      <c r="N301" s="16" t="n"/>
      <c r="O301" s="16" t="n"/>
      <c r="P301" s="17" t="n"/>
      <c r="Q301" s="41" t="n"/>
      <c r="R301" s="41" t="n"/>
      <c r="S301" s="122">
        <f>DADOS_AM!$KQ$7</f>
        <v/>
      </c>
      <c r="T301" s="17" t="n"/>
      <c r="U301" s="120">
        <f>DADOS_AM!$JQ$3</f>
        <v/>
      </c>
      <c r="V301" s="16" t="n"/>
      <c r="W301" s="16" t="n"/>
      <c r="X301" s="16" t="n"/>
      <c r="Y301" s="16" t="n"/>
      <c r="Z301" s="16" t="n"/>
      <c r="AA301" s="16" t="n"/>
      <c r="AB301" s="16" t="n"/>
      <c r="AC301" s="16" t="n"/>
      <c r="AD301" s="16" t="n"/>
      <c r="AE301" s="17" t="n"/>
      <c r="AF301" s="41" t="n"/>
      <c r="AG301" s="41" t="n"/>
      <c r="AH301" s="122">
        <f>DADOS_AM!$KQ$7</f>
        <v/>
      </c>
      <c r="AI301" s="17" t="n"/>
      <c r="AJ301" s="120">
        <f>DADOS_AM!$JQ$4</f>
        <v/>
      </c>
      <c r="AK301" s="16" t="n"/>
      <c r="AL301" s="16" t="n"/>
      <c r="AM301" s="16" t="n"/>
      <c r="AN301" s="16" t="n"/>
      <c r="AO301" s="16" t="n"/>
      <c r="AP301" s="16" t="n"/>
      <c r="AQ301" s="16" t="n"/>
      <c r="AR301" s="16" t="n"/>
      <c r="AS301" s="16" t="n"/>
      <c r="AT301" s="17" t="n"/>
    </row>
    <row r="302" outlineLevel="2">
      <c r="A302" s="8" t="n"/>
      <c r="B302" s="14" t="n"/>
      <c r="C302" s="41" t="n"/>
      <c r="D302" s="123">
        <f>DADOS_AM!$JR$2</f>
        <v/>
      </c>
      <c r="E302" s="16" t="n"/>
      <c r="F302" s="17" t="n"/>
      <c r="G302" s="123">
        <f>DADOS_AM!$JS$2</f>
        <v/>
      </c>
      <c r="H302" s="16" t="n"/>
      <c r="I302" s="16" t="n"/>
      <c r="J302" s="17" t="n"/>
      <c r="K302" s="123">
        <f>DADOS_AM!$JT$2</f>
        <v/>
      </c>
      <c r="L302" s="16" t="n"/>
      <c r="M302" s="16" t="n"/>
      <c r="N302" s="16" t="n"/>
      <c r="O302" s="16" t="n"/>
      <c r="P302" s="17" t="n"/>
      <c r="Q302" s="41" t="n"/>
      <c r="R302" s="41" t="n"/>
      <c r="S302" s="123">
        <f>DADOS_AM!$JR$3</f>
        <v/>
      </c>
      <c r="T302" s="16" t="n"/>
      <c r="U302" s="17" t="n"/>
      <c r="V302" s="123">
        <f>DADOS_AM!$JS$3</f>
        <v/>
      </c>
      <c r="W302" s="16" t="n"/>
      <c r="X302" s="16" t="n"/>
      <c r="Y302" s="17" t="n"/>
      <c r="Z302" s="123">
        <f>DADOS_AM!$JT$3</f>
        <v/>
      </c>
      <c r="AA302" s="16" t="n"/>
      <c r="AB302" s="16" t="n"/>
      <c r="AC302" s="16" t="n"/>
      <c r="AD302" s="16" t="n"/>
      <c r="AE302" s="17" t="n"/>
      <c r="AF302" s="41" t="n"/>
      <c r="AG302" s="41" t="n"/>
      <c r="AH302" s="123">
        <f>DADOS_AM!$JR$4</f>
        <v/>
      </c>
      <c r="AI302" s="16" t="n"/>
      <c r="AJ302" s="17" t="n"/>
      <c r="AK302" s="123">
        <f>DADOS_AM!$JS$4</f>
        <v/>
      </c>
      <c r="AL302" s="16" t="n"/>
      <c r="AM302" s="16" t="n"/>
      <c r="AN302" s="17" t="n"/>
      <c r="AO302" s="123">
        <f>DADOS_AM!$JT$4</f>
        <v/>
      </c>
      <c r="AP302" s="16" t="n"/>
      <c r="AQ302" s="16" t="n"/>
      <c r="AR302" s="16" t="n"/>
      <c r="AS302" s="16" t="n"/>
      <c r="AT302" s="17" t="n"/>
    </row>
    <row r="303" outlineLevel="3">
      <c r="A303" s="8" t="n"/>
      <c r="B303" s="14" t="n"/>
      <c r="C303" s="41" t="n"/>
      <c r="D303" s="121">
        <f>DADOS_AM!$JU$2</f>
        <v/>
      </c>
      <c r="E303" s="19" t="n"/>
      <c r="F303" s="19" t="n"/>
      <c r="G303" s="19" t="n"/>
      <c r="H303" s="19" t="n"/>
      <c r="I303" s="19" t="n"/>
      <c r="J303" s="19" t="n"/>
      <c r="K303" s="19" t="n"/>
      <c r="L303" s="19" t="n"/>
      <c r="M303" s="19" t="n"/>
      <c r="N303" s="19" t="n"/>
      <c r="O303" s="19" t="n"/>
      <c r="P303" s="20" t="n"/>
      <c r="Q303" s="41" t="n"/>
      <c r="R303" s="41" t="n"/>
      <c r="S303" s="121">
        <f>DADOS_AM!$JU$3</f>
        <v/>
      </c>
      <c r="T303" s="19" t="n"/>
      <c r="U303" s="19" t="n"/>
      <c r="V303" s="19" t="n"/>
      <c r="W303" s="19" t="n"/>
      <c r="X303" s="19" t="n"/>
      <c r="Y303" s="19" t="n"/>
      <c r="Z303" s="19" t="n"/>
      <c r="AA303" s="19" t="n"/>
      <c r="AB303" s="19" t="n"/>
      <c r="AC303" s="19" t="n"/>
      <c r="AD303" s="19" t="n"/>
      <c r="AE303" s="20" t="n"/>
      <c r="AF303" s="41" t="n"/>
      <c r="AG303" s="41" t="n"/>
      <c r="AH303" s="121">
        <f>DADOS_AM!$JU$4</f>
        <v/>
      </c>
      <c r="AI303" s="19" t="n"/>
      <c r="AJ303" s="19" t="n"/>
      <c r="AK303" s="19" t="n"/>
      <c r="AL303" s="19" t="n"/>
      <c r="AM303" s="19" t="n"/>
      <c r="AN303" s="19" t="n"/>
      <c r="AO303" s="19" t="n"/>
      <c r="AP303" s="19" t="n"/>
      <c r="AQ303" s="19" t="n"/>
      <c r="AR303" s="19" t="n"/>
      <c r="AS303" s="19" t="n"/>
      <c r="AT303" s="20"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1" t="n"/>
      <c r="P306" s="22" t="n"/>
      <c r="Q306" s="41" t="n"/>
      <c r="R306" s="41" t="n"/>
      <c r="S306" s="21" t="n"/>
      <c r="AE306" s="22" t="n"/>
      <c r="AF306" s="41" t="n"/>
      <c r="AG306" s="41" t="n"/>
      <c r="AH306" s="21" t="n"/>
      <c r="AT306" s="22" t="n"/>
    </row>
    <row r="307" outlineLevel="3">
      <c r="A307" s="8" t="n"/>
      <c r="B307" s="14" t="n"/>
      <c r="C307" s="41" t="n"/>
      <c r="D307" s="21" t="n"/>
      <c r="P307" s="22" t="n"/>
      <c r="Q307" s="41" t="n"/>
      <c r="R307" s="41" t="n"/>
      <c r="S307" s="21" t="n"/>
      <c r="AE307" s="22" t="n"/>
      <c r="AF307" s="41" t="n"/>
      <c r="AG307" s="41" t="n"/>
      <c r="AH307" s="21" t="n"/>
      <c r="AT307" s="22" t="n"/>
    </row>
    <row r="308" outlineLevel="3">
      <c r="A308" s="8" t="n"/>
      <c r="B308" s="14" t="n"/>
      <c r="C308" s="41" t="n"/>
      <c r="D308" s="21" t="n"/>
      <c r="P308" s="22" t="n"/>
      <c r="Q308" s="41" t="n"/>
      <c r="R308" s="41" t="n"/>
      <c r="S308" s="21" t="n"/>
      <c r="AE308" s="22" t="n"/>
      <c r="AF308" s="41" t="n"/>
      <c r="AG308" s="41" t="n"/>
      <c r="AH308" s="21" t="n"/>
      <c r="AT308" s="22" t="n"/>
    </row>
    <row r="309" outlineLevel="3">
      <c r="A309" s="8" t="n"/>
      <c r="B309" s="14" t="n"/>
      <c r="C309" s="41" t="n"/>
      <c r="D309" s="23" t="n"/>
      <c r="E309" s="24" t="n"/>
      <c r="F309" s="24" t="n"/>
      <c r="G309" s="24" t="n"/>
      <c r="H309" s="24" t="n"/>
      <c r="I309" s="24" t="n"/>
      <c r="J309" s="24" t="n"/>
      <c r="K309" s="24" t="n"/>
      <c r="L309" s="24" t="n"/>
      <c r="M309" s="24" t="n"/>
      <c r="N309" s="24" t="n"/>
      <c r="O309" s="24" t="n"/>
      <c r="P309" s="25" t="n"/>
      <c r="Q309" s="41" t="n"/>
      <c r="R309" s="41" t="n"/>
      <c r="S309" s="23" t="n"/>
      <c r="T309" s="24" t="n"/>
      <c r="U309" s="24" t="n"/>
      <c r="V309" s="24" t="n"/>
      <c r="W309" s="24" t="n"/>
      <c r="X309" s="24" t="n"/>
      <c r="Y309" s="24" t="n"/>
      <c r="Z309" s="24" t="n"/>
      <c r="AA309" s="24" t="n"/>
      <c r="AB309" s="24" t="n"/>
      <c r="AC309" s="24" t="n"/>
      <c r="AD309" s="24" t="n"/>
      <c r="AE309" s="25" t="n"/>
      <c r="AF309" s="41" t="n"/>
      <c r="AG309" s="41" t="n"/>
      <c r="AH309" s="23" t="n"/>
      <c r="AI309" s="24" t="n"/>
      <c r="AJ309" s="24" t="n"/>
      <c r="AK309" s="24" t="n"/>
      <c r="AL309" s="24" t="n"/>
      <c r="AM309" s="24" t="n"/>
      <c r="AN309" s="24" t="n"/>
      <c r="AO309" s="24" t="n"/>
      <c r="AP309" s="24" t="n"/>
      <c r="AQ309" s="24" t="n"/>
      <c r="AR309" s="24" t="n"/>
      <c r="AS309" s="24" t="n"/>
      <c r="AT309" s="25" t="n"/>
    </row>
    <row r="310" outlineLevel="2">
      <c r="A310" s="8" t="n"/>
      <c r="B310" s="14" t="n"/>
      <c r="C310" s="41" t="n"/>
      <c r="D310" s="41" t="n"/>
      <c r="E310" s="41" t="n"/>
      <c r="F310" s="41" t="n"/>
      <c r="G310" s="41" t="n"/>
      <c r="H310" s="41" t="n"/>
      <c r="I310" s="41" t="n"/>
      <c r="J310" s="41" t="n"/>
      <c r="K310" s="41" t="n"/>
      <c r="L310" s="41" t="n"/>
      <c r="M310" s="41" t="n"/>
      <c r="N310" s="41" t="n"/>
      <c r="O310" s="41" t="n"/>
      <c r="P310" s="41" t="n"/>
      <c r="Q310" s="41" t="n"/>
      <c r="R310" s="41" t="n"/>
      <c r="S310" s="41" t="n"/>
      <c r="T310" s="41" t="n"/>
      <c r="U310" s="41" t="n"/>
      <c r="V310" s="41" t="n"/>
      <c r="W310" s="41" t="n"/>
      <c r="X310" s="41" t="n"/>
      <c r="Y310" s="41" t="n"/>
      <c r="Z310" s="41" t="n"/>
      <c r="AA310" s="41" t="n"/>
      <c r="AB310" s="41" t="n"/>
      <c r="AC310" s="41" t="n"/>
      <c r="AD310" s="41" t="n"/>
      <c r="AE310" s="41" t="n"/>
      <c r="AF310" s="41" t="n"/>
      <c r="AG310" s="41" t="n"/>
      <c r="AH310" s="41" t="n"/>
      <c r="AI310" s="41" t="n"/>
      <c r="AJ310" s="41" t="n"/>
      <c r="AK310" s="41" t="n"/>
      <c r="AL310" s="41" t="n"/>
      <c r="AM310" s="41" t="n"/>
      <c r="AN310" s="41" t="n"/>
      <c r="AO310" s="41" t="n"/>
      <c r="AP310" s="41" t="n"/>
      <c r="AQ310" s="41" t="n"/>
      <c r="AR310" s="41" t="n"/>
      <c r="AS310" s="41" t="n"/>
      <c r="AT310" s="41" t="n"/>
    </row>
    <row r="311" outlineLevel="2">
      <c r="A311" s="8" t="n"/>
      <c r="B311" s="14" t="n"/>
      <c r="C311" s="41" t="n"/>
      <c r="D311" s="122">
        <f>DADOS_AM!$KQ$8</f>
        <v/>
      </c>
      <c r="E311" s="17" t="n"/>
      <c r="F311" s="120">
        <f>DADOS_AM!$JX$2</f>
        <v/>
      </c>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7" t="n"/>
      <c r="AB311" s="123">
        <f>DADOS_AM!$JY$2</f>
        <v/>
      </c>
      <c r="AC311" s="16" t="n"/>
      <c r="AD311" s="16" t="n"/>
      <c r="AE311" s="17" t="n"/>
      <c r="AF311" s="123">
        <f>DADOS_AM!$JZ$2</f>
        <v/>
      </c>
      <c r="AG311" s="16" t="n"/>
      <c r="AH311" s="16" t="n"/>
      <c r="AI311" s="16" t="n"/>
      <c r="AJ311" s="16" t="n"/>
      <c r="AK311" s="17" t="n"/>
      <c r="AL311" s="123">
        <f>DADOS_AM!$KA$2</f>
        <v/>
      </c>
      <c r="AM311" s="16" t="n"/>
      <c r="AN311" s="16" t="n"/>
      <c r="AO311" s="16" t="n"/>
      <c r="AP311" s="16" t="n"/>
      <c r="AQ311" s="16" t="n"/>
      <c r="AR311" s="16" t="n"/>
      <c r="AS311" s="16" t="n"/>
      <c r="AT311" s="17" t="n"/>
    </row>
    <row r="312" hidden="1" outlineLevel="3">
      <c r="A312" s="8" t="n"/>
      <c r="B312" s="14" t="n"/>
      <c r="C312" s="41" t="n"/>
      <c r="D312" s="121">
        <f>DADOS_AM!$KB$2</f>
        <v/>
      </c>
      <c r="E312" s="19" t="n"/>
      <c r="F312" s="19" t="n"/>
      <c r="G312" s="19" t="n"/>
      <c r="H312" s="19" t="n"/>
      <c r="I312" s="19" t="n"/>
      <c r="J312" s="19" t="n"/>
      <c r="K312" s="19" t="n"/>
      <c r="L312" s="19" t="n"/>
      <c r="M312" s="19" t="n"/>
      <c r="N312" s="19" t="n"/>
      <c r="O312" s="19" t="n"/>
      <c r="P312" s="19" t="n"/>
      <c r="Q312" s="19" t="n"/>
      <c r="R312" s="19" t="n"/>
      <c r="S312" s="19" t="n"/>
      <c r="T312" s="19" t="n"/>
      <c r="U312" s="19" t="n"/>
      <c r="V312" s="19" t="n"/>
      <c r="W312" s="19" t="n"/>
      <c r="X312" s="19" t="n"/>
      <c r="Y312" s="19" t="n"/>
      <c r="Z312" s="19" t="n"/>
      <c r="AA312" s="19" t="n"/>
      <c r="AB312" s="19" t="n"/>
      <c r="AC312" s="19" t="n"/>
      <c r="AD312" s="19" t="n"/>
      <c r="AE312" s="19" t="n"/>
      <c r="AF312" s="19" t="n"/>
      <c r="AG312" s="19" t="n"/>
      <c r="AH312" s="19" t="n"/>
      <c r="AI312" s="19" t="n"/>
      <c r="AJ312" s="19" t="n"/>
      <c r="AK312" s="19" t="n"/>
      <c r="AL312" s="19" t="n"/>
      <c r="AM312" s="19" t="n"/>
      <c r="AN312" s="19" t="n"/>
      <c r="AO312" s="19" t="n"/>
      <c r="AP312" s="19" t="n"/>
      <c r="AQ312" s="19" t="n"/>
      <c r="AR312" s="19" t="n"/>
      <c r="AS312" s="19" t="n"/>
      <c r="AT312" s="20" t="n"/>
    </row>
    <row r="313" hidden="1" outlineLevel="3">
      <c r="A313" s="8" t="n"/>
      <c r="B313" s="14" t="n"/>
      <c r="C313" s="41" t="n"/>
      <c r="D313" s="21" t="n"/>
      <c r="AT313" s="22" t="n"/>
    </row>
    <row r="314" hidden="1" outlineLevel="3">
      <c r="A314" s="8" t="n"/>
      <c r="B314" s="14" t="n"/>
      <c r="C314" s="41" t="n"/>
      <c r="D314" s="21" t="n"/>
      <c r="AT314" s="22" t="n"/>
    </row>
    <row r="315" hidden="1" outlineLevel="3">
      <c r="A315" s="8" t="n"/>
      <c r="B315" s="14" t="n"/>
      <c r="C315" s="41" t="n"/>
      <c r="D315" s="21" t="n"/>
      <c r="AT315" s="22" t="n"/>
    </row>
    <row r="316" hidden="1" outlineLevel="3">
      <c r="A316" s="8" t="n"/>
      <c r="B316" s="14" t="n"/>
      <c r="C316" s="41" t="n"/>
      <c r="D316" s="23"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c r="AA316" s="24" t="n"/>
      <c r="AB316" s="24" t="n"/>
      <c r="AC316" s="24" t="n"/>
      <c r="AD316" s="24" t="n"/>
      <c r="AE316" s="24" t="n"/>
      <c r="AF316" s="24" t="n"/>
      <c r="AG316" s="24" t="n"/>
      <c r="AH316" s="24" t="n"/>
      <c r="AI316" s="24" t="n"/>
      <c r="AJ316" s="24" t="n"/>
      <c r="AK316" s="24" t="n"/>
      <c r="AL316" s="24" t="n"/>
      <c r="AM316" s="24" t="n"/>
      <c r="AN316" s="24" t="n"/>
      <c r="AO316" s="24" t="n"/>
      <c r="AP316" s="24" t="n"/>
      <c r="AQ316" s="24" t="n"/>
      <c r="AR316" s="24" t="n"/>
      <c r="AS316" s="24" t="n"/>
      <c r="AT316" s="25" t="n"/>
    </row>
    <row r="317" outlineLevel="2">
      <c r="A317" s="8" t="n"/>
      <c r="B317" s="14"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c r="AA317" s="41" t="n"/>
      <c r="AB317" s="41" t="n"/>
      <c r="AC317" s="41" t="n"/>
      <c r="AD317" s="41" t="n"/>
      <c r="AE317" s="41" t="n"/>
      <c r="AF317" s="41" t="n"/>
      <c r="AG317" s="41" t="n"/>
      <c r="AH317" s="41" t="n"/>
      <c r="AI317" s="41" t="n"/>
      <c r="AJ317" s="41" t="n"/>
      <c r="AK317" s="41" t="n"/>
      <c r="AL317" s="41" t="n"/>
      <c r="AM317" s="41" t="n"/>
      <c r="AN317" s="41" t="n"/>
      <c r="AO317" s="41" t="n"/>
      <c r="AP317" s="41" t="n"/>
      <c r="AQ317" s="41" t="n"/>
      <c r="AR317" s="41" t="n"/>
      <c r="AS317" s="41" t="n"/>
      <c r="AT317" s="41" t="n"/>
    </row>
    <row r="318" outlineLevel="2">
      <c r="A318" s="8" t="n"/>
      <c r="B318" s="14" t="n"/>
      <c r="C318" s="41" t="n"/>
      <c r="D318" s="122">
        <f>DADOS_AM!$KQ$9</f>
        <v/>
      </c>
      <c r="E318" s="17" t="n"/>
      <c r="F318" s="120">
        <f>DADOS_AM!$JX$3</f>
        <v/>
      </c>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7" t="n"/>
      <c r="AB318" s="123">
        <f>DADOS_AM!$JY$3</f>
        <v/>
      </c>
      <c r="AC318" s="16" t="n"/>
      <c r="AD318" s="16" t="n"/>
      <c r="AE318" s="17" t="n"/>
      <c r="AF318" s="123">
        <f>DADOS_AM!$JZ$3</f>
        <v/>
      </c>
      <c r="AG318" s="16" t="n"/>
      <c r="AH318" s="16" t="n"/>
      <c r="AI318" s="16" t="n"/>
      <c r="AJ318" s="16" t="n"/>
      <c r="AK318" s="17" t="n"/>
      <c r="AL318" s="123">
        <f>DADOS_AM!$KA$3</f>
        <v/>
      </c>
      <c r="AM318" s="16" t="n"/>
      <c r="AN318" s="16" t="n"/>
      <c r="AO318" s="16" t="n"/>
      <c r="AP318" s="16" t="n"/>
      <c r="AQ318" s="16" t="n"/>
      <c r="AR318" s="16" t="n"/>
      <c r="AS318" s="16" t="n"/>
      <c r="AT318" s="17" t="n"/>
    </row>
    <row r="319" hidden="1" outlineLevel="3">
      <c r="A319" s="8" t="n"/>
      <c r="B319" s="14" t="n"/>
      <c r="C319" s="41" t="n"/>
      <c r="D319" s="121">
        <f>DADOS_AM!$KB$3</f>
        <v/>
      </c>
      <c r="E319" s="19" t="n"/>
      <c r="F319" s="19" t="n"/>
      <c r="G319" s="19" t="n"/>
      <c r="H319" s="19" t="n"/>
      <c r="I319" s="19" t="n"/>
      <c r="J319" s="19" t="n"/>
      <c r="K319" s="19" t="n"/>
      <c r="L319" s="19" t="n"/>
      <c r="M319" s="19" t="n"/>
      <c r="N319" s="19" t="n"/>
      <c r="O319" s="19" t="n"/>
      <c r="P319" s="19" t="n"/>
      <c r="Q319" s="19" t="n"/>
      <c r="R319" s="19" t="n"/>
      <c r="S319" s="19" t="n"/>
      <c r="T319" s="19" t="n"/>
      <c r="U319" s="19" t="n"/>
      <c r="V319" s="19" t="n"/>
      <c r="W319" s="19" t="n"/>
      <c r="X319" s="19" t="n"/>
      <c r="Y319" s="19" t="n"/>
      <c r="Z319" s="19" t="n"/>
      <c r="AA319" s="19" t="n"/>
      <c r="AB319" s="19" t="n"/>
      <c r="AC319" s="19" t="n"/>
      <c r="AD319" s="19" t="n"/>
      <c r="AE319" s="19" t="n"/>
      <c r="AF319" s="19" t="n"/>
      <c r="AG319" s="19" t="n"/>
      <c r="AH319" s="19" t="n"/>
      <c r="AI319" s="19" t="n"/>
      <c r="AJ319" s="19" t="n"/>
      <c r="AK319" s="19" t="n"/>
      <c r="AL319" s="19" t="n"/>
      <c r="AM319" s="19" t="n"/>
      <c r="AN319" s="19" t="n"/>
      <c r="AO319" s="19" t="n"/>
      <c r="AP319" s="19" t="n"/>
      <c r="AQ319" s="19" t="n"/>
      <c r="AR319" s="19" t="n"/>
      <c r="AS319" s="19" t="n"/>
      <c r="AT319" s="20" t="n"/>
    </row>
    <row r="320" hidden="1" outlineLevel="3">
      <c r="A320" s="8" t="n"/>
      <c r="B320" s="14" t="n"/>
      <c r="C320" s="41" t="n"/>
      <c r="D320" s="21" t="n"/>
      <c r="AT320" s="22" t="n"/>
    </row>
    <row r="321" hidden="1" outlineLevel="3">
      <c r="A321" s="8" t="n"/>
      <c r="B321" s="14" t="n"/>
      <c r="C321" s="41" t="n"/>
      <c r="D321" s="21" t="n"/>
      <c r="AT321" s="22" t="n"/>
    </row>
    <row r="322" hidden="1" outlineLevel="3">
      <c r="A322" s="8" t="n"/>
      <c r="B322" s="14" t="n"/>
      <c r="C322" s="41" t="n"/>
      <c r="D322" s="21" t="n"/>
      <c r="AT322" s="22" t="n"/>
    </row>
    <row r="323" hidden="1" outlineLevel="3">
      <c r="A323" s="8" t="n"/>
      <c r="B323" s="14" t="n"/>
      <c r="C323" s="41" t="n"/>
      <c r="D323" s="23"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c r="AA323" s="24" t="n"/>
      <c r="AB323" s="24" t="n"/>
      <c r="AC323" s="24" t="n"/>
      <c r="AD323" s="24" t="n"/>
      <c r="AE323" s="24" t="n"/>
      <c r="AF323" s="24" t="n"/>
      <c r="AG323" s="24" t="n"/>
      <c r="AH323" s="24" t="n"/>
      <c r="AI323" s="24" t="n"/>
      <c r="AJ323" s="24" t="n"/>
      <c r="AK323" s="24" t="n"/>
      <c r="AL323" s="24" t="n"/>
      <c r="AM323" s="24" t="n"/>
      <c r="AN323" s="24" t="n"/>
      <c r="AO323" s="24" t="n"/>
      <c r="AP323" s="24" t="n"/>
      <c r="AQ323" s="24" t="n"/>
      <c r="AR323" s="24" t="n"/>
      <c r="AS323" s="24" t="n"/>
      <c r="AT323" s="25" t="n"/>
    </row>
    <row r="324" outlineLevel="2">
      <c r="A324" s="8" t="n"/>
      <c r="B324" s="14" t="n"/>
      <c r="C324" s="41" t="n"/>
      <c r="D324" s="41" t="n"/>
      <c r="E324" s="41" t="n"/>
      <c r="F324" s="41" t="n"/>
      <c r="G324" s="41" t="n"/>
      <c r="H324" s="41" t="n"/>
      <c r="I324" s="41" t="n"/>
      <c r="J324" s="41" t="n"/>
      <c r="K324" s="41" t="n"/>
      <c r="L324" s="41" t="n"/>
      <c r="M324" s="41" t="n"/>
      <c r="N324" s="41" t="n"/>
      <c r="O324" s="41" t="n"/>
      <c r="P324" s="41" t="n"/>
      <c r="Q324" s="41" t="n"/>
      <c r="R324" s="41" t="n"/>
      <c r="S324" s="41" t="n"/>
      <c r="T324" s="41" t="n"/>
      <c r="U324" s="41" t="n"/>
      <c r="V324" s="41" t="n"/>
      <c r="W324" s="41" t="n"/>
      <c r="X324" s="41" t="n"/>
      <c r="Y324" s="41" t="n"/>
      <c r="Z324" s="41" t="n"/>
      <c r="AA324" s="41" t="n"/>
      <c r="AB324" s="41" t="n"/>
      <c r="AC324" s="41" t="n"/>
      <c r="AD324" s="41" t="n"/>
      <c r="AE324" s="41" t="n"/>
      <c r="AF324" s="41" t="n"/>
      <c r="AG324" s="41" t="n"/>
      <c r="AH324" s="41" t="n"/>
      <c r="AI324" s="41" t="n"/>
      <c r="AJ324" s="41" t="n"/>
      <c r="AK324" s="41" t="n"/>
      <c r="AL324" s="41" t="n"/>
      <c r="AM324" s="41" t="n"/>
      <c r="AN324" s="41" t="n"/>
      <c r="AO324" s="41" t="n"/>
      <c r="AP324" s="41" t="n"/>
      <c r="AQ324" s="41" t="n"/>
      <c r="AR324" s="41" t="n"/>
      <c r="AS324" s="41" t="n"/>
      <c r="AT324" s="41" t="n"/>
    </row>
    <row r="325" outlineLevel="1">
      <c r="A325" s="8" t="n"/>
      <c r="B325" s="14" t="n"/>
      <c r="C325" s="41" t="n"/>
      <c r="D325" s="118">
        <f>DADOS_AM!$KQ$5</f>
        <v/>
      </c>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c r="AB325" s="16" t="n"/>
      <c r="AC325" s="16" t="n"/>
      <c r="AD325" s="16" t="n"/>
      <c r="AE325" s="16" t="n"/>
      <c r="AF325" s="16" t="n"/>
      <c r="AG325" s="16" t="n"/>
      <c r="AH325" s="16" t="n"/>
      <c r="AI325" s="16" t="n"/>
      <c r="AJ325" s="16" t="n"/>
      <c r="AK325" s="16" t="n"/>
      <c r="AL325" s="16" t="n"/>
      <c r="AM325" s="16" t="n"/>
      <c r="AN325" s="16" t="n"/>
      <c r="AO325" s="16" t="n"/>
      <c r="AP325" s="16" t="n"/>
      <c r="AQ325" s="16" t="n"/>
      <c r="AR325" s="16" t="n"/>
      <c r="AS325" s="16" t="n"/>
      <c r="AT325" s="17" t="n"/>
    </row>
    <row r="326" outlineLevel="3">
      <c r="A326" s="8" t="n"/>
      <c r="B326" s="14" t="n"/>
      <c r="C326" s="41" t="n"/>
      <c r="D326" s="122">
        <f>DADOS_AM!$KF$2</f>
        <v/>
      </c>
      <c r="E326" s="17" t="n"/>
      <c r="F326" s="120">
        <f>DADOS_AM!$KG$2</f>
        <v/>
      </c>
      <c r="G326" s="16" t="n"/>
      <c r="H326" s="16" t="n"/>
      <c r="I326" s="16" t="n"/>
      <c r="J326" s="16" t="n"/>
      <c r="K326" s="16" t="n"/>
      <c r="L326" s="16" t="n"/>
      <c r="M326" s="16" t="n"/>
      <c r="N326" s="16" t="n"/>
      <c r="O326" s="16" t="n"/>
      <c r="P326" s="17" t="n"/>
      <c r="Q326" s="41" t="n"/>
      <c r="R326" s="41" t="n"/>
      <c r="S326" s="122">
        <f>DADOS_AM!$KF$3</f>
        <v/>
      </c>
      <c r="T326" s="17" t="n"/>
      <c r="U326" s="120">
        <f>DADOS_AM!$KG$3</f>
        <v/>
      </c>
      <c r="V326" s="16" t="n"/>
      <c r="W326" s="16" t="n"/>
      <c r="X326" s="16" t="n"/>
      <c r="Y326" s="16" t="n"/>
      <c r="Z326" s="16" t="n"/>
      <c r="AA326" s="16" t="n"/>
      <c r="AB326" s="16" t="n"/>
      <c r="AC326" s="16" t="n"/>
      <c r="AD326" s="16" t="n"/>
      <c r="AE326" s="17" t="n"/>
      <c r="AF326" s="41" t="n"/>
      <c r="AG326" s="41" t="n"/>
      <c r="AH326" s="122">
        <f>DADOS_AM!$KF$4</f>
        <v/>
      </c>
      <c r="AI326" s="17" t="n"/>
      <c r="AJ326" s="120">
        <f>DADOS_AM!$KG$4</f>
        <v/>
      </c>
      <c r="AK326" s="16" t="n"/>
      <c r="AL326" s="16" t="n"/>
      <c r="AM326" s="16" t="n"/>
      <c r="AN326" s="16" t="n"/>
      <c r="AO326" s="16" t="n"/>
      <c r="AP326" s="16" t="n"/>
      <c r="AQ326" s="16" t="n"/>
      <c r="AR326" s="16" t="n"/>
      <c r="AS326" s="16" t="n"/>
      <c r="AT326" s="17" t="n"/>
    </row>
    <row r="327" outlineLevel="4">
      <c r="A327" s="8" t="n"/>
      <c r="B327" s="14" t="n"/>
      <c r="C327" s="41" t="n"/>
      <c r="D327" s="121">
        <f>DADOS_AM!$KH$2</f>
        <v/>
      </c>
      <c r="E327" s="19" t="n"/>
      <c r="F327" s="19" t="n"/>
      <c r="G327" s="19" t="n"/>
      <c r="H327" s="19" t="n"/>
      <c r="I327" s="19" t="n"/>
      <c r="J327" s="19" t="n"/>
      <c r="K327" s="19" t="n"/>
      <c r="L327" s="19" t="n"/>
      <c r="M327" s="19" t="n"/>
      <c r="N327" s="19" t="n"/>
      <c r="O327" s="19" t="n"/>
      <c r="P327" s="20" t="n"/>
      <c r="Q327" s="41" t="n"/>
      <c r="R327" s="41" t="n"/>
      <c r="S327" s="121">
        <f>DADOS_AM!$KH$3</f>
        <v/>
      </c>
      <c r="T327" s="19" t="n"/>
      <c r="U327" s="19" t="n"/>
      <c r="V327" s="19" t="n"/>
      <c r="W327" s="19" t="n"/>
      <c r="X327" s="19" t="n"/>
      <c r="Y327" s="19" t="n"/>
      <c r="Z327" s="19" t="n"/>
      <c r="AA327" s="19" t="n"/>
      <c r="AB327" s="19" t="n"/>
      <c r="AC327" s="19" t="n"/>
      <c r="AD327" s="19" t="n"/>
      <c r="AE327" s="20" t="n"/>
      <c r="AF327" s="41" t="n"/>
      <c r="AG327" s="41" t="n"/>
      <c r="AH327" s="121">
        <f>DADOS_AM!$KH$4</f>
        <v/>
      </c>
      <c r="AI327" s="19" t="n"/>
      <c r="AJ327" s="19" t="n"/>
      <c r="AK327" s="19" t="n"/>
      <c r="AL327" s="19" t="n"/>
      <c r="AM327" s="19" t="n"/>
      <c r="AN327" s="19" t="n"/>
      <c r="AO327" s="19" t="n"/>
      <c r="AP327" s="19" t="n"/>
      <c r="AQ327" s="19" t="n"/>
      <c r="AR327" s="19" t="n"/>
      <c r="AS327" s="19" t="n"/>
      <c r="AT327" s="20" t="n"/>
    </row>
    <row r="328" outlineLevel="4">
      <c r="A328" s="8" t="n"/>
      <c r="B328" s="14" t="n"/>
      <c r="C328" s="41" t="n"/>
      <c r="D328" s="21" t="n"/>
      <c r="P328" s="22" t="n"/>
      <c r="Q328" s="41" t="n"/>
      <c r="R328" s="41" t="n"/>
      <c r="S328" s="21" t="n"/>
      <c r="AE328" s="22" t="n"/>
      <c r="AF328" s="41" t="n"/>
      <c r="AG328" s="41" t="n"/>
      <c r="AH328" s="21" t="n"/>
      <c r="AT328" s="22" t="n"/>
    </row>
    <row r="329" outlineLevel="4">
      <c r="A329" s="8" t="n"/>
      <c r="B329" s="14" t="n"/>
      <c r="C329" s="41" t="n"/>
      <c r="D329" s="21" t="n"/>
      <c r="P329" s="22" t="n"/>
      <c r="Q329" s="41" t="n"/>
      <c r="R329" s="41" t="n"/>
      <c r="S329" s="21" t="n"/>
      <c r="AE329" s="22" t="n"/>
      <c r="AF329" s="41" t="n"/>
      <c r="AG329" s="41" t="n"/>
      <c r="AH329" s="21" t="n"/>
      <c r="AT329" s="22" t="n"/>
    </row>
    <row r="330" outlineLevel="4">
      <c r="A330" s="8" t="n"/>
      <c r="B330" s="14" t="n"/>
      <c r="C330" s="41" t="n"/>
      <c r="D330" s="21" t="n"/>
      <c r="P330" s="22" t="n"/>
      <c r="Q330" s="41" t="n"/>
      <c r="R330" s="41" t="n"/>
      <c r="S330" s="21" t="n"/>
      <c r="AE330" s="22" t="n"/>
      <c r="AF330" s="41" t="n"/>
      <c r="AG330" s="41" t="n"/>
      <c r="AH330" s="21" t="n"/>
      <c r="AT330" s="22" t="n"/>
    </row>
    <row r="331" outlineLevel="4">
      <c r="A331" s="8" t="n"/>
      <c r="B331" s="14" t="n"/>
      <c r="C331" s="41" t="n"/>
      <c r="D331" s="23" t="n"/>
      <c r="E331" s="24" t="n"/>
      <c r="F331" s="24" t="n"/>
      <c r="G331" s="24" t="n"/>
      <c r="H331" s="24" t="n"/>
      <c r="I331" s="24" t="n"/>
      <c r="J331" s="24" t="n"/>
      <c r="K331" s="24" t="n"/>
      <c r="L331" s="24" t="n"/>
      <c r="M331" s="24" t="n"/>
      <c r="N331" s="24" t="n"/>
      <c r="O331" s="24" t="n"/>
      <c r="P331" s="25" t="n"/>
      <c r="Q331" s="41" t="n"/>
      <c r="R331" s="41" t="n"/>
      <c r="S331" s="23" t="n"/>
      <c r="T331" s="24" t="n"/>
      <c r="U331" s="24" t="n"/>
      <c r="V331" s="24" t="n"/>
      <c r="W331" s="24" t="n"/>
      <c r="X331" s="24" t="n"/>
      <c r="Y331" s="24" t="n"/>
      <c r="Z331" s="24" t="n"/>
      <c r="AA331" s="24" t="n"/>
      <c r="AB331" s="24" t="n"/>
      <c r="AC331" s="24" t="n"/>
      <c r="AD331" s="24" t="n"/>
      <c r="AE331" s="25" t="n"/>
      <c r="AF331" s="41" t="n"/>
      <c r="AG331" s="41" t="n"/>
      <c r="AH331" s="23" t="n"/>
      <c r="AI331" s="24" t="n"/>
      <c r="AJ331" s="24" t="n"/>
      <c r="AK331" s="24" t="n"/>
      <c r="AL331" s="24" t="n"/>
      <c r="AM331" s="24" t="n"/>
      <c r="AN331" s="24" t="n"/>
      <c r="AO331" s="24" t="n"/>
      <c r="AP331" s="24" t="n"/>
      <c r="AQ331" s="24" t="n"/>
      <c r="AR331" s="24" t="n"/>
      <c r="AS331" s="24" t="n"/>
      <c r="AT331" s="25" t="n"/>
    </row>
    <row r="332" outlineLevel="3">
      <c r="A332" s="8" t="n"/>
      <c r="B332" s="14" t="n"/>
      <c r="C332" s="41" t="n"/>
      <c r="D332" s="41" t="n"/>
      <c r="E332" s="41" t="n"/>
      <c r="F332" s="41" t="n"/>
      <c r="G332" s="41" t="n"/>
      <c r="H332" s="41" t="n"/>
      <c r="I332" s="41" t="n"/>
      <c r="J332" s="41" t="n"/>
      <c r="K332" s="41" t="n"/>
      <c r="L332" s="41" t="n"/>
      <c r="M332" s="41" t="n"/>
      <c r="N332" s="41" t="n"/>
      <c r="O332" s="41" t="n"/>
      <c r="P332" s="41" t="n"/>
      <c r="Q332" s="41" t="n"/>
      <c r="R332" s="41" t="n"/>
      <c r="S332" s="41" t="n"/>
      <c r="T332" s="41" t="n"/>
      <c r="U332" s="41" t="n"/>
      <c r="V332" s="41" t="n"/>
      <c r="W332" s="41" t="n"/>
      <c r="X332" s="41" t="n"/>
      <c r="Y332" s="41" t="n"/>
      <c r="Z332" s="41" t="n"/>
      <c r="AA332" s="41" t="n"/>
      <c r="AB332" s="41" t="n"/>
      <c r="AC332" s="41" t="n"/>
      <c r="AD332" s="41" t="n"/>
      <c r="AE332" s="41" t="n"/>
      <c r="AF332" s="41" t="n"/>
      <c r="AG332" s="41" t="n"/>
      <c r="AH332" s="41" t="n"/>
      <c r="AI332" s="41" t="n"/>
      <c r="AJ332" s="41" t="n"/>
      <c r="AK332" s="41" t="n"/>
      <c r="AL332" s="41" t="n"/>
      <c r="AM332" s="41" t="n"/>
      <c r="AN332" s="41" t="n"/>
      <c r="AO332" s="41" t="n"/>
      <c r="AP332" s="41" t="n"/>
      <c r="AQ332" s="41" t="n"/>
      <c r="AR332" s="41" t="n"/>
      <c r="AS332" s="41" t="n"/>
      <c r="AT332" s="41" t="n"/>
    </row>
    <row r="333" outlineLevel="3">
      <c r="A333" s="8" t="n"/>
      <c r="B333" s="14" t="n"/>
      <c r="C333" s="41" t="n"/>
      <c r="D333" s="122">
        <f>DADOS_AM!$KF$5</f>
        <v/>
      </c>
      <c r="E333" s="17" t="n"/>
      <c r="F333" s="120">
        <f>DADOS_AM!$KG$5</f>
        <v/>
      </c>
      <c r="G333" s="16" t="n"/>
      <c r="H333" s="16" t="n"/>
      <c r="I333" s="16" t="n"/>
      <c r="J333" s="16" t="n"/>
      <c r="K333" s="16" t="n"/>
      <c r="L333" s="16" t="n"/>
      <c r="M333" s="16" t="n"/>
      <c r="N333" s="16" t="n"/>
      <c r="O333" s="16" t="n"/>
      <c r="P333" s="17" t="n"/>
      <c r="Q333" s="41" t="n"/>
      <c r="R333" s="41" t="n"/>
      <c r="S333" s="122">
        <f>DADOS_AM!$KF$6</f>
        <v/>
      </c>
      <c r="T333" s="17" t="n"/>
      <c r="U333" s="120">
        <f>DADOS_AM!$KG$6</f>
        <v/>
      </c>
      <c r="V333" s="16" t="n"/>
      <c r="W333" s="16" t="n"/>
      <c r="X333" s="16" t="n"/>
      <c r="Y333" s="16" t="n"/>
      <c r="Z333" s="16" t="n"/>
      <c r="AA333" s="16" t="n"/>
      <c r="AB333" s="16" t="n"/>
      <c r="AC333" s="16" t="n"/>
      <c r="AD333" s="16" t="n"/>
      <c r="AE333" s="17" t="n"/>
      <c r="AF333" s="41" t="n"/>
      <c r="AG333" s="41" t="n"/>
      <c r="AH333" s="122">
        <f>DADOS_AM!$KF$7</f>
        <v/>
      </c>
      <c r="AI333" s="17" t="n"/>
      <c r="AJ333" s="120">
        <f>DADOS_AM!$KG$7</f>
        <v/>
      </c>
      <c r="AK333" s="16" t="n"/>
      <c r="AL333" s="16" t="n"/>
      <c r="AM333" s="16" t="n"/>
      <c r="AN333" s="16" t="n"/>
      <c r="AO333" s="16" t="n"/>
      <c r="AP333" s="16" t="n"/>
      <c r="AQ333" s="16" t="n"/>
      <c r="AR333" s="16" t="n"/>
      <c r="AS333" s="16" t="n"/>
      <c r="AT333" s="17" t="n"/>
    </row>
    <row r="334" hidden="1" outlineLevel="4">
      <c r="A334" s="8" t="n"/>
      <c r="B334" s="14" t="n"/>
      <c r="C334" s="41" t="n"/>
      <c r="D334" s="121">
        <f>DADOS_AM!$KH$5</f>
        <v/>
      </c>
      <c r="E334" s="19" t="n"/>
      <c r="F334" s="19" t="n"/>
      <c r="G334" s="19" t="n"/>
      <c r="H334" s="19" t="n"/>
      <c r="I334" s="19" t="n"/>
      <c r="J334" s="19" t="n"/>
      <c r="K334" s="19" t="n"/>
      <c r="L334" s="19" t="n"/>
      <c r="M334" s="19" t="n"/>
      <c r="N334" s="19" t="n"/>
      <c r="O334" s="19" t="n"/>
      <c r="P334" s="20" t="n"/>
      <c r="Q334" s="41" t="n"/>
      <c r="R334" s="41" t="n"/>
      <c r="S334" s="121">
        <f>DADOS_AM!$KH$6</f>
        <v/>
      </c>
      <c r="T334" s="19" t="n"/>
      <c r="U334" s="19" t="n"/>
      <c r="V334" s="19" t="n"/>
      <c r="W334" s="19" t="n"/>
      <c r="X334" s="19" t="n"/>
      <c r="Y334" s="19" t="n"/>
      <c r="Z334" s="19" t="n"/>
      <c r="AA334" s="19" t="n"/>
      <c r="AB334" s="19" t="n"/>
      <c r="AC334" s="19" t="n"/>
      <c r="AD334" s="19" t="n"/>
      <c r="AE334" s="20" t="n"/>
      <c r="AF334" s="41" t="n"/>
      <c r="AG334" s="41" t="n"/>
      <c r="AH334" s="121">
        <f>DADOS_AM!$KH$7</f>
        <v/>
      </c>
      <c r="AI334" s="19" t="n"/>
      <c r="AJ334" s="19" t="n"/>
      <c r="AK334" s="19" t="n"/>
      <c r="AL334" s="19" t="n"/>
      <c r="AM334" s="19" t="n"/>
      <c r="AN334" s="19" t="n"/>
      <c r="AO334" s="19" t="n"/>
      <c r="AP334" s="19" t="n"/>
      <c r="AQ334" s="19" t="n"/>
      <c r="AR334" s="19" t="n"/>
      <c r="AS334" s="19" t="n"/>
      <c r="AT334" s="20" t="n"/>
    </row>
    <row r="335" hidden="1" outlineLevel="4">
      <c r="A335" s="8" t="n"/>
      <c r="B335" s="14" t="n"/>
      <c r="C335" s="41" t="n"/>
      <c r="D335" s="21" t="n"/>
      <c r="P335" s="22" t="n"/>
      <c r="Q335" s="41" t="n"/>
      <c r="R335" s="41" t="n"/>
      <c r="S335" s="21" t="n"/>
      <c r="AE335" s="22" t="n"/>
      <c r="AF335" s="41" t="n"/>
      <c r="AG335" s="41" t="n"/>
      <c r="AH335" s="21" t="n"/>
      <c r="AT335" s="22" t="n"/>
    </row>
    <row r="336" hidden="1" outlineLevel="4">
      <c r="A336" s="8" t="n"/>
      <c r="B336" s="14" t="n"/>
      <c r="C336" s="41" t="n"/>
      <c r="D336" s="21" t="n"/>
      <c r="P336" s="22" t="n"/>
      <c r="Q336" s="41" t="n"/>
      <c r="R336" s="41" t="n"/>
      <c r="S336" s="21" t="n"/>
      <c r="AE336" s="22" t="n"/>
      <c r="AF336" s="41" t="n"/>
      <c r="AG336" s="41" t="n"/>
      <c r="AH336" s="21" t="n"/>
      <c r="AT336" s="22"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3" t="n"/>
      <c r="E338" s="24" t="n"/>
      <c r="F338" s="24" t="n"/>
      <c r="G338" s="24" t="n"/>
      <c r="H338" s="24" t="n"/>
      <c r="I338" s="24" t="n"/>
      <c r="J338" s="24" t="n"/>
      <c r="K338" s="24" t="n"/>
      <c r="L338" s="24" t="n"/>
      <c r="M338" s="24" t="n"/>
      <c r="N338" s="24" t="n"/>
      <c r="O338" s="24" t="n"/>
      <c r="P338" s="25" t="n"/>
      <c r="Q338" s="41" t="n"/>
      <c r="R338" s="41" t="n"/>
      <c r="S338" s="23" t="n"/>
      <c r="T338" s="24" t="n"/>
      <c r="U338" s="24" t="n"/>
      <c r="V338" s="24" t="n"/>
      <c r="W338" s="24" t="n"/>
      <c r="X338" s="24" t="n"/>
      <c r="Y338" s="24" t="n"/>
      <c r="Z338" s="24" t="n"/>
      <c r="AA338" s="24" t="n"/>
      <c r="AB338" s="24" t="n"/>
      <c r="AC338" s="24" t="n"/>
      <c r="AD338" s="24" t="n"/>
      <c r="AE338" s="25" t="n"/>
      <c r="AF338" s="41" t="n"/>
      <c r="AG338" s="41" t="n"/>
      <c r="AH338" s="23" t="n"/>
      <c r="AI338" s="24" t="n"/>
      <c r="AJ338" s="24" t="n"/>
      <c r="AK338" s="24" t="n"/>
      <c r="AL338" s="24" t="n"/>
      <c r="AM338" s="24" t="n"/>
      <c r="AN338" s="24" t="n"/>
      <c r="AO338" s="24" t="n"/>
      <c r="AP338" s="24" t="n"/>
      <c r="AQ338" s="24" t="n"/>
      <c r="AR338" s="24" t="n"/>
      <c r="AS338" s="24" t="n"/>
      <c r="AT338" s="25" t="n"/>
    </row>
    <row r="339" outlineLevel="2">
      <c r="A339" s="8" t="n"/>
      <c r="B339" s="14" t="n"/>
      <c r="C339" s="41" t="n"/>
      <c r="D339" s="124">
        <f>DADOS_AM!$KQ$15</f>
        <v/>
      </c>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c r="AB339" s="16" t="n"/>
      <c r="AC339" s="16" t="n"/>
      <c r="AD339" s="16" t="n"/>
      <c r="AE339" s="16" t="n"/>
      <c r="AF339" s="16" t="n"/>
      <c r="AG339" s="16" t="n"/>
      <c r="AH339" s="16" t="n"/>
      <c r="AI339" s="16" t="n"/>
      <c r="AJ339" s="16" t="n"/>
      <c r="AK339" s="16" t="n"/>
      <c r="AL339" s="16" t="n"/>
      <c r="AM339" s="16" t="n"/>
      <c r="AN339" s="16" t="n"/>
      <c r="AO339" s="16" t="n"/>
      <c r="AP339" s="16" t="n"/>
      <c r="AQ339" s="16" t="n"/>
      <c r="AR339" s="16" t="n"/>
      <c r="AS339" s="16" t="n"/>
      <c r="AT339" s="17" t="n"/>
    </row>
    <row r="340" hidden="1" outlineLevel="3">
      <c r="A340" s="8" t="n"/>
      <c r="B340" s="14" t="n"/>
      <c r="C340" s="41" t="n"/>
      <c r="D340" s="122">
        <f>DADOS_AM!$KF$8</f>
        <v/>
      </c>
      <c r="E340" s="17" t="n"/>
      <c r="F340" s="120">
        <f>DADOS_AM!$KG$8</f>
        <v/>
      </c>
      <c r="G340" s="16" t="n"/>
      <c r="H340" s="16" t="n"/>
      <c r="I340" s="16" t="n"/>
      <c r="J340" s="16" t="n"/>
      <c r="K340" s="16" t="n"/>
      <c r="L340" s="16" t="n"/>
      <c r="M340" s="16" t="n"/>
      <c r="N340" s="16" t="n"/>
      <c r="O340" s="16" t="n"/>
      <c r="P340" s="17" t="n"/>
      <c r="Q340" s="41" t="n"/>
      <c r="R340" s="41" t="n"/>
      <c r="S340" s="122">
        <f>DADOS_AM!$KF$9</f>
        <v/>
      </c>
      <c r="T340" s="17" t="n"/>
      <c r="U340" s="120">
        <f>DADOS_AM!$KG$9</f>
        <v/>
      </c>
      <c r="V340" s="16" t="n"/>
      <c r="W340" s="16" t="n"/>
      <c r="X340" s="16" t="n"/>
      <c r="Y340" s="16" t="n"/>
      <c r="Z340" s="16" t="n"/>
      <c r="AA340" s="16" t="n"/>
      <c r="AB340" s="16" t="n"/>
      <c r="AC340" s="16" t="n"/>
      <c r="AD340" s="16" t="n"/>
      <c r="AE340" s="17" t="n"/>
      <c r="AF340" s="41" t="n"/>
      <c r="AG340" s="41" t="n"/>
      <c r="AH340" s="122">
        <f>DADOS_AM!$KF$10</f>
        <v/>
      </c>
      <c r="AI340" s="17" t="n"/>
      <c r="AJ340" s="120">
        <f>DADOS_AM!$KG$10</f>
        <v/>
      </c>
      <c r="AK340" s="16" t="n"/>
      <c r="AL340" s="16" t="n"/>
      <c r="AM340" s="16" t="n"/>
      <c r="AN340" s="16" t="n"/>
      <c r="AO340" s="16" t="n"/>
      <c r="AP340" s="16" t="n"/>
      <c r="AQ340" s="16" t="n"/>
      <c r="AR340" s="16" t="n"/>
      <c r="AS340" s="16" t="n"/>
      <c r="AT340" s="17" t="n"/>
    </row>
    <row r="341" hidden="1" outlineLevel="4">
      <c r="A341" s="8" t="n"/>
      <c r="B341" s="14" t="n"/>
      <c r="C341" s="41" t="n"/>
      <c r="D341" s="121">
        <f>DADOS_AM!$KH$8</f>
        <v/>
      </c>
      <c r="E341" s="19" t="n"/>
      <c r="F341" s="19" t="n"/>
      <c r="G341" s="19" t="n"/>
      <c r="H341" s="19" t="n"/>
      <c r="I341" s="19" t="n"/>
      <c r="J341" s="19" t="n"/>
      <c r="K341" s="19" t="n"/>
      <c r="L341" s="19" t="n"/>
      <c r="M341" s="19" t="n"/>
      <c r="N341" s="19" t="n"/>
      <c r="O341" s="19" t="n"/>
      <c r="P341" s="20" t="n"/>
      <c r="Q341" s="41" t="n"/>
      <c r="R341" s="41" t="n"/>
      <c r="S341" s="121">
        <f>DADOS_AM!$KH$9</f>
        <v/>
      </c>
      <c r="T341" s="19" t="n"/>
      <c r="U341" s="19" t="n"/>
      <c r="V341" s="19" t="n"/>
      <c r="W341" s="19" t="n"/>
      <c r="X341" s="19" t="n"/>
      <c r="Y341" s="19" t="n"/>
      <c r="Z341" s="19" t="n"/>
      <c r="AA341" s="19" t="n"/>
      <c r="AB341" s="19" t="n"/>
      <c r="AC341" s="19" t="n"/>
      <c r="AD341" s="19" t="n"/>
      <c r="AE341" s="20" t="n"/>
      <c r="AF341" s="41" t="n"/>
      <c r="AG341" s="41" t="n"/>
      <c r="AH341" s="121">
        <f>DADOS_AM!$KH$10</f>
        <v/>
      </c>
      <c r="AI341" s="19" t="n"/>
      <c r="AJ341" s="19" t="n"/>
      <c r="AK341" s="19" t="n"/>
      <c r="AL341" s="19" t="n"/>
      <c r="AM341" s="19" t="n"/>
      <c r="AN341" s="19" t="n"/>
      <c r="AO341" s="19" t="n"/>
      <c r="AP341" s="19" t="n"/>
      <c r="AQ341" s="19" t="n"/>
      <c r="AR341" s="19" t="n"/>
      <c r="AS341" s="19" t="n"/>
      <c r="AT341" s="20"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1" t="n"/>
      <c r="P343" s="22" t="n"/>
      <c r="Q343" s="41" t="n"/>
      <c r="R343" s="41" t="n"/>
      <c r="S343" s="21" t="n"/>
      <c r="AE343" s="22" t="n"/>
      <c r="AF343" s="41" t="n"/>
      <c r="AG343" s="41" t="n"/>
      <c r="AH343" s="21" t="n"/>
      <c r="AT343" s="22" t="n"/>
    </row>
    <row r="344" hidden="1" outlineLevel="4">
      <c r="A344" s="8" t="n"/>
      <c r="B344" s="14" t="n"/>
      <c r="C344" s="41" t="n"/>
      <c r="D344" s="21" t="n"/>
      <c r="P344" s="22" t="n"/>
      <c r="Q344" s="41" t="n"/>
      <c r="R344" s="41" t="n"/>
      <c r="S344" s="21" t="n"/>
      <c r="AE344" s="22" t="n"/>
      <c r="AF344" s="41" t="n"/>
      <c r="AG344" s="41" t="n"/>
      <c r="AH344" s="21" t="n"/>
      <c r="AT344" s="22" t="n"/>
    </row>
    <row r="345" hidden="1" outlineLevel="4">
      <c r="A345" s="8" t="n"/>
      <c r="B345" s="14" t="n"/>
      <c r="C345" s="41" t="n"/>
      <c r="D345" s="23" t="n"/>
      <c r="E345" s="24" t="n"/>
      <c r="F345" s="24" t="n"/>
      <c r="G345" s="24" t="n"/>
      <c r="H345" s="24" t="n"/>
      <c r="I345" s="24" t="n"/>
      <c r="J345" s="24" t="n"/>
      <c r="K345" s="24" t="n"/>
      <c r="L345" s="24" t="n"/>
      <c r="M345" s="24" t="n"/>
      <c r="N345" s="24" t="n"/>
      <c r="O345" s="24" t="n"/>
      <c r="P345" s="25" t="n"/>
      <c r="Q345" s="41" t="n"/>
      <c r="R345" s="41" t="n"/>
      <c r="S345" s="23" t="n"/>
      <c r="T345" s="24" t="n"/>
      <c r="U345" s="24" t="n"/>
      <c r="V345" s="24" t="n"/>
      <c r="W345" s="24" t="n"/>
      <c r="X345" s="24" t="n"/>
      <c r="Y345" s="24" t="n"/>
      <c r="Z345" s="24" t="n"/>
      <c r="AA345" s="24" t="n"/>
      <c r="AB345" s="24" t="n"/>
      <c r="AC345" s="24" t="n"/>
      <c r="AD345" s="24" t="n"/>
      <c r="AE345" s="25" t="n"/>
      <c r="AF345" s="41" t="n"/>
      <c r="AG345" s="41" t="n"/>
      <c r="AH345" s="23" t="n"/>
      <c r="AI345" s="24" t="n"/>
      <c r="AJ345" s="24" t="n"/>
      <c r="AK345" s="24" t="n"/>
      <c r="AL345" s="24" t="n"/>
      <c r="AM345" s="24" t="n"/>
      <c r="AN345" s="24" t="n"/>
      <c r="AO345" s="24" t="n"/>
      <c r="AP345" s="24" t="n"/>
      <c r="AQ345" s="24" t="n"/>
      <c r="AR345" s="24" t="n"/>
      <c r="AS345" s="24" t="n"/>
      <c r="AT345" s="25" t="n"/>
    </row>
    <row r="346" hidden="1" outlineLevel="3">
      <c r="A346" s="8" t="n"/>
      <c r="B346" s="14" t="n"/>
      <c r="C346" s="41" t="n"/>
      <c r="D346" s="41" t="n"/>
      <c r="E346" s="41" t="n"/>
      <c r="F346" s="41" t="n"/>
      <c r="G346" s="41" t="n"/>
      <c r="H346" s="41" t="n"/>
      <c r="I346" s="41" t="n"/>
      <c r="J346" s="41" t="n"/>
      <c r="K346" s="41" t="n"/>
      <c r="L346" s="41" t="n"/>
      <c r="M346" s="41" t="n"/>
      <c r="N346" s="41" t="n"/>
      <c r="O346" s="41" t="n"/>
      <c r="P346" s="41" t="n"/>
      <c r="Q346" s="41" t="n"/>
      <c r="R346" s="41" t="n"/>
      <c r="S346" s="41" t="n"/>
      <c r="T346" s="41" t="n"/>
      <c r="U346" s="41" t="n"/>
      <c r="V346" s="41" t="n"/>
      <c r="W346" s="41" t="n"/>
      <c r="X346" s="41" t="n"/>
      <c r="Y346" s="41" t="n"/>
      <c r="Z346" s="41" t="n"/>
      <c r="AA346" s="41" t="n"/>
      <c r="AB346" s="41" t="n"/>
      <c r="AC346" s="41" t="n"/>
      <c r="AD346" s="41" t="n"/>
      <c r="AE346" s="41" t="n"/>
      <c r="AF346" s="41" t="n"/>
      <c r="AG346" s="41" t="n"/>
      <c r="AH346" s="41" t="n"/>
      <c r="AI346" s="41" t="n"/>
      <c r="AJ346" s="41" t="n"/>
      <c r="AK346" s="41" t="n"/>
      <c r="AL346" s="41" t="n"/>
      <c r="AM346" s="41" t="n"/>
      <c r="AN346" s="41" t="n"/>
      <c r="AO346" s="41" t="n"/>
      <c r="AP346" s="41" t="n"/>
      <c r="AQ346" s="41" t="n"/>
      <c r="AR346" s="41" t="n"/>
      <c r="AS346" s="41" t="n"/>
      <c r="AT346" s="41" t="n"/>
    </row>
    <row r="347" hidden="1" outlineLevel="3">
      <c r="A347" s="8" t="n"/>
      <c r="B347" s="14" t="n"/>
      <c r="C347" s="41" t="n"/>
      <c r="D347" s="122">
        <f>DADOS_AM!$KF$11</f>
        <v/>
      </c>
      <c r="E347" s="17" t="n"/>
      <c r="F347" s="120">
        <f>DADOS_AM!$KG$11</f>
        <v/>
      </c>
      <c r="G347" s="16" t="n"/>
      <c r="H347" s="16" t="n"/>
      <c r="I347" s="16" t="n"/>
      <c r="J347" s="16" t="n"/>
      <c r="K347" s="16" t="n"/>
      <c r="L347" s="16" t="n"/>
      <c r="M347" s="16" t="n"/>
      <c r="N347" s="16" t="n"/>
      <c r="O347" s="16" t="n"/>
      <c r="P347" s="17" t="n"/>
      <c r="Q347" s="41" t="n"/>
      <c r="R347" s="41" t="n"/>
      <c r="S347" s="122">
        <f>DADOS_AM!$KF$12</f>
        <v/>
      </c>
      <c r="T347" s="17" t="n"/>
      <c r="U347" s="120">
        <f>DADOS_AM!$KG$12</f>
        <v/>
      </c>
      <c r="V347" s="16" t="n"/>
      <c r="W347" s="16" t="n"/>
      <c r="X347" s="16" t="n"/>
      <c r="Y347" s="16" t="n"/>
      <c r="Z347" s="16" t="n"/>
      <c r="AA347" s="16" t="n"/>
      <c r="AB347" s="16" t="n"/>
      <c r="AC347" s="16" t="n"/>
      <c r="AD347" s="16" t="n"/>
      <c r="AE347" s="17" t="n"/>
      <c r="AF347" s="41" t="n"/>
      <c r="AG347" s="41" t="n"/>
      <c r="AH347" s="122">
        <f>DADOS_AM!$KF$13</f>
        <v/>
      </c>
      <c r="AI347" s="17" t="n"/>
      <c r="AJ347" s="120">
        <f>DADOS_AM!$KG$13</f>
        <v/>
      </c>
      <c r="AK347" s="16" t="n"/>
      <c r="AL347" s="16" t="n"/>
      <c r="AM347" s="16" t="n"/>
      <c r="AN347" s="16" t="n"/>
      <c r="AO347" s="16" t="n"/>
      <c r="AP347" s="16" t="n"/>
      <c r="AQ347" s="16" t="n"/>
      <c r="AR347" s="16" t="n"/>
      <c r="AS347" s="16" t="n"/>
      <c r="AT347" s="17" t="n"/>
    </row>
    <row r="348" hidden="1" outlineLevel="4">
      <c r="A348" s="8" t="n"/>
      <c r="B348" s="14" t="n"/>
      <c r="C348" s="41" t="n"/>
      <c r="D348" s="121">
        <f>DADOS_AM!$KH$11</f>
        <v/>
      </c>
      <c r="E348" s="19" t="n"/>
      <c r="F348" s="19" t="n"/>
      <c r="G348" s="19" t="n"/>
      <c r="H348" s="19" t="n"/>
      <c r="I348" s="19" t="n"/>
      <c r="J348" s="19" t="n"/>
      <c r="K348" s="19" t="n"/>
      <c r="L348" s="19" t="n"/>
      <c r="M348" s="19" t="n"/>
      <c r="N348" s="19" t="n"/>
      <c r="O348" s="19" t="n"/>
      <c r="P348" s="20" t="n"/>
      <c r="Q348" s="41" t="n"/>
      <c r="R348" s="41" t="n"/>
      <c r="S348" s="121">
        <f>DADOS_AM!$KH$12</f>
        <v/>
      </c>
      <c r="T348" s="19" t="n"/>
      <c r="U348" s="19" t="n"/>
      <c r="V348" s="19" t="n"/>
      <c r="W348" s="19" t="n"/>
      <c r="X348" s="19" t="n"/>
      <c r="Y348" s="19" t="n"/>
      <c r="Z348" s="19" t="n"/>
      <c r="AA348" s="19" t="n"/>
      <c r="AB348" s="19" t="n"/>
      <c r="AC348" s="19" t="n"/>
      <c r="AD348" s="19" t="n"/>
      <c r="AE348" s="20" t="n"/>
      <c r="AF348" s="41" t="n"/>
      <c r="AG348" s="41" t="n"/>
      <c r="AH348" s="121">
        <f>DADOS_AM!$KH$13</f>
        <v/>
      </c>
      <c r="AI348" s="19" t="n"/>
      <c r="AJ348" s="19" t="n"/>
      <c r="AK348" s="19" t="n"/>
      <c r="AL348" s="19" t="n"/>
      <c r="AM348" s="19" t="n"/>
      <c r="AN348" s="19" t="n"/>
      <c r="AO348" s="19" t="n"/>
      <c r="AP348" s="19" t="n"/>
      <c r="AQ348" s="19" t="n"/>
      <c r="AR348" s="19" t="n"/>
      <c r="AS348" s="19" t="n"/>
      <c r="AT348" s="20"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1" t="n"/>
      <c r="P350" s="22" t="n"/>
      <c r="Q350" s="41" t="n"/>
      <c r="R350" s="41" t="n"/>
      <c r="S350" s="21" t="n"/>
      <c r="AE350" s="22" t="n"/>
      <c r="AF350" s="41" t="n"/>
      <c r="AG350" s="41" t="n"/>
      <c r="AH350" s="21" t="n"/>
      <c r="AT350" s="22" t="n"/>
    </row>
    <row r="351" hidden="1" outlineLevel="4">
      <c r="A351" s="8" t="n"/>
      <c r="B351" s="14" t="n"/>
      <c r="C351" s="41" t="n"/>
      <c r="D351" s="21" t="n"/>
      <c r="P351" s="22" t="n"/>
      <c r="Q351" s="41" t="n"/>
      <c r="R351" s="41" t="n"/>
      <c r="S351" s="21" t="n"/>
      <c r="AE351" s="22" t="n"/>
      <c r="AF351" s="41" t="n"/>
      <c r="AG351" s="41" t="n"/>
      <c r="AH351" s="21" t="n"/>
      <c r="AT351" s="22" t="n"/>
    </row>
    <row r="352" hidden="1" outlineLevel="4">
      <c r="A352" s="8" t="n"/>
      <c r="B352" s="14" t="n"/>
      <c r="C352" s="41" t="n"/>
      <c r="D352" s="23" t="n"/>
      <c r="E352" s="24" t="n"/>
      <c r="F352" s="24" t="n"/>
      <c r="G352" s="24" t="n"/>
      <c r="H352" s="24" t="n"/>
      <c r="I352" s="24" t="n"/>
      <c r="J352" s="24" t="n"/>
      <c r="K352" s="24" t="n"/>
      <c r="L352" s="24" t="n"/>
      <c r="M352" s="24" t="n"/>
      <c r="N352" s="24" t="n"/>
      <c r="O352" s="24" t="n"/>
      <c r="P352" s="25" t="n"/>
      <c r="Q352" s="41" t="n"/>
      <c r="R352" s="41" t="n"/>
      <c r="S352" s="23" t="n"/>
      <c r="T352" s="24" t="n"/>
      <c r="U352" s="24" t="n"/>
      <c r="V352" s="24" t="n"/>
      <c r="W352" s="24" t="n"/>
      <c r="X352" s="24" t="n"/>
      <c r="Y352" s="24" t="n"/>
      <c r="Z352" s="24" t="n"/>
      <c r="AA352" s="24" t="n"/>
      <c r="AB352" s="24" t="n"/>
      <c r="AC352" s="24" t="n"/>
      <c r="AD352" s="24" t="n"/>
      <c r="AE352" s="25" t="n"/>
      <c r="AF352" s="41" t="n"/>
      <c r="AG352" s="41" t="n"/>
      <c r="AH352" s="23" t="n"/>
      <c r="AI352" s="24" t="n"/>
      <c r="AJ352" s="24" t="n"/>
      <c r="AK352" s="24" t="n"/>
      <c r="AL352" s="24" t="n"/>
      <c r="AM352" s="24" t="n"/>
      <c r="AN352" s="24" t="n"/>
      <c r="AO352" s="24" t="n"/>
      <c r="AP352" s="24" t="n"/>
      <c r="AQ352" s="24" t="n"/>
      <c r="AR352" s="24" t="n"/>
      <c r="AS352" s="24" t="n"/>
      <c r="AT352" s="25" t="n"/>
    </row>
    <row r="353" outlineLevel="2">
      <c r="A353" s="8" t="n"/>
      <c r="B353" s="14" t="n"/>
      <c r="C353" s="41" t="n"/>
      <c r="D353" s="124">
        <f>DADOS_AM!$KQ$16</f>
        <v/>
      </c>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c r="AB353" s="16" t="n"/>
      <c r="AC353" s="16" t="n"/>
      <c r="AD353" s="16" t="n"/>
      <c r="AE353" s="16" t="n"/>
      <c r="AF353" s="16" t="n"/>
      <c r="AG353" s="16" t="n"/>
      <c r="AH353" s="16" t="n"/>
      <c r="AI353" s="16" t="n"/>
      <c r="AJ353" s="16" t="n"/>
      <c r="AK353" s="16" t="n"/>
      <c r="AL353" s="16" t="n"/>
      <c r="AM353" s="16" t="n"/>
      <c r="AN353" s="16" t="n"/>
      <c r="AO353" s="16" t="n"/>
      <c r="AP353" s="16" t="n"/>
      <c r="AQ353" s="16" t="n"/>
      <c r="AR353" s="16" t="n"/>
      <c r="AS353" s="16" t="n"/>
      <c r="AT353" s="17" t="n"/>
    </row>
    <row r="354" hidden="1" outlineLevel="3">
      <c r="A354" s="8" t="n"/>
      <c r="B354" s="14" t="n"/>
      <c r="C354" s="41" t="n"/>
      <c r="D354" s="122">
        <f>DADOS_AM!$KF$14</f>
        <v/>
      </c>
      <c r="E354" s="17" t="n"/>
      <c r="F354" s="120">
        <f>DADOS_AM!$KG$14</f>
        <v/>
      </c>
      <c r="G354" s="16" t="n"/>
      <c r="H354" s="16" t="n"/>
      <c r="I354" s="16" t="n"/>
      <c r="J354" s="16" t="n"/>
      <c r="K354" s="16" t="n"/>
      <c r="L354" s="16" t="n"/>
      <c r="M354" s="16" t="n"/>
      <c r="N354" s="16" t="n"/>
      <c r="O354" s="16" t="n"/>
      <c r="P354" s="17" t="n"/>
      <c r="Q354" s="41" t="n"/>
      <c r="R354" s="41" t="n"/>
      <c r="S354" s="122">
        <f>DADOS_AM!$KF$15</f>
        <v/>
      </c>
      <c r="T354" s="17" t="n"/>
      <c r="U354" s="120">
        <f>DADOS_AM!$KG$15</f>
        <v/>
      </c>
      <c r="V354" s="16" t="n"/>
      <c r="W354" s="16" t="n"/>
      <c r="X354" s="16" t="n"/>
      <c r="Y354" s="16" t="n"/>
      <c r="Z354" s="16" t="n"/>
      <c r="AA354" s="16" t="n"/>
      <c r="AB354" s="16" t="n"/>
      <c r="AC354" s="16" t="n"/>
      <c r="AD354" s="16" t="n"/>
      <c r="AE354" s="17"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121">
        <f>DADOS_AM!$KH$14</f>
        <v/>
      </c>
      <c r="E355" s="19" t="n"/>
      <c r="F355" s="19" t="n"/>
      <c r="G355" s="19" t="n"/>
      <c r="H355" s="19" t="n"/>
      <c r="I355" s="19" t="n"/>
      <c r="J355" s="19" t="n"/>
      <c r="K355" s="19" t="n"/>
      <c r="L355" s="19" t="n"/>
      <c r="M355" s="19" t="n"/>
      <c r="N355" s="19" t="n"/>
      <c r="O355" s="19" t="n"/>
      <c r="P355" s="20" t="n"/>
      <c r="Q355" s="41" t="n"/>
      <c r="R355" s="41" t="n"/>
      <c r="S355" s="121">
        <f>DADOS_AM!$KH$15</f>
        <v/>
      </c>
      <c r="T355" s="19" t="n"/>
      <c r="U355" s="19" t="n"/>
      <c r="V355" s="19" t="n"/>
      <c r="W355" s="19" t="n"/>
      <c r="X355" s="19" t="n"/>
      <c r="Y355" s="19" t="n"/>
      <c r="Z355" s="19" t="n"/>
      <c r="AA355" s="19" t="n"/>
      <c r="AB355" s="19" t="n"/>
      <c r="AC355" s="19" t="n"/>
      <c r="AD355" s="19" t="n"/>
      <c r="AE355" s="20"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1" t="n"/>
      <c r="P356" s="22" t="n"/>
      <c r="Q356" s="41" t="n"/>
      <c r="R356" s="41" t="n"/>
      <c r="S356" s="21" t="n"/>
      <c r="AE356" s="22" t="n"/>
      <c r="AF356" s="41" t="n"/>
      <c r="AG356" s="41" t="n"/>
      <c r="AH356" s="41" t="n"/>
      <c r="AI356" s="41" t="n"/>
      <c r="AJ356" s="41" t="n"/>
      <c r="AK356" s="41" t="n"/>
      <c r="AL356" s="41" t="n"/>
      <c r="AM356" s="41" t="n"/>
      <c r="AN356" s="41" t="n"/>
      <c r="AO356" s="41" t="n"/>
      <c r="AP356" s="41" t="n"/>
      <c r="AQ356" s="41" t="n"/>
      <c r="AR356" s="41" t="n"/>
      <c r="AS356" s="41" t="n"/>
      <c r="AT356" s="41" t="n"/>
    </row>
    <row r="357" hidden="1" outlineLevel="4">
      <c r="A357" s="8" t="n"/>
      <c r="B357" s="14" t="n"/>
      <c r="C357" s="41" t="n"/>
      <c r="D357" s="21" t="n"/>
      <c r="P357" s="22" t="n"/>
      <c r="Q357" s="41" t="n"/>
      <c r="R357" s="41" t="n"/>
      <c r="S357" s="21" t="n"/>
      <c r="AE357" s="22" t="n"/>
      <c r="AF357" s="41" t="n"/>
      <c r="AG357" s="41" t="n"/>
      <c r="AH357" s="41" t="n"/>
      <c r="AI357" s="41" t="n"/>
      <c r="AJ357" s="41" t="n"/>
      <c r="AK357" s="41" t="n"/>
      <c r="AL357" s="41" t="n"/>
      <c r="AM357" s="41" t="n"/>
      <c r="AN357" s="41" t="n"/>
      <c r="AO357" s="41" t="n"/>
      <c r="AP357" s="41" t="n"/>
      <c r="AQ357" s="41" t="n"/>
      <c r="AR357" s="41" t="n"/>
      <c r="AS357" s="41" t="n"/>
      <c r="AT357" s="41" t="n"/>
    </row>
    <row r="358" hidden="1" outlineLevel="4">
      <c r="A358" s="8" t="n"/>
      <c r="B358" s="14" t="n"/>
      <c r="C358" s="41" t="n"/>
      <c r="D358" s="21" t="n"/>
      <c r="P358" s="22" t="n"/>
      <c r="Q358" s="41" t="n"/>
      <c r="R358" s="41" t="n"/>
      <c r="S358" s="21" t="n"/>
      <c r="AE358" s="22" t="n"/>
      <c r="AF358" s="41" t="n"/>
      <c r="AG358" s="41" t="n"/>
      <c r="AH358" s="41" t="n"/>
      <c r="AI358" s="41" t="n"/>
      <c r="AJ358" s="41" t="n"/>
      <c r="AK358" s="41" t="n"/>
      <c r="AL358" s="41" t="n"/>
      <c r="AM358" s="41" t="n"/>
      <c r="AN358" s="41" t="n"/>
      <c r="AO358" s="41" t="n"/>
      <c r="AP358" s="41" t="n"/>
      <c r="AQ358" s="41" t="n"/>
      <c r="AR358" s="41" t="n"/>
      <c r="AS358" s="41" t="n"/>
      <c r="AT358" s="41" t="n"/>
    </row>
    <row r="359" hidden="1" outlineLevel="4">
      <c r="A359" s="8" t="n"/>
      <c r="B359" s="14" t="n"/>
      <c r="C359" s="41" t="n"/>
      <c r="D359" s="23" t="n"/>
      <c r="E359" s="24" t="n"/>
      <c r="F359" s="24" t="n"/>
      <c r="G359" s="24" t="n"/>
      <c r="H359" s="24" t="n"/>
      <c r="I359" s="24" t="n"/>
      <c r="J359" s="24" t="n"/>
      <c r="K359" s="24" t="n"/>
      <c r="L359" s="24" t="n"/>
      <c r="M359" s="24" t="n"/>
      <c r="N359" s="24" t="n"/>
      <c r="O359" s="24" t="n"/>
      <c r="P359" s="25" t="n"/>
      <c r="Q359" s="41" t="n"/>
      <c r="R359" s="41" t="n"/>
      <c r="S359" s="23" t="n"/>
      <c r="T359" s="24" t="n"/>
      <c r="U359" s="24" t="n"/>
      <c r="V359" s="24" t="n"/>
      <c r="W359" s="24" t="n"/>
      <c r="X359" s="24" t="n"/>
      <c r="Y359" s="24" t="n"/>
      <c r="Z359" s="24" t="n"/>
      <c r="AA359" s="24" t="n"/>
      <c r="AB359" s="24" t="n"/>
      <c r="AC359" s="24" t="n"/>
      <c r="AD359" s="24" t="n"/>
      <c r="AE359" s="25" t="n"/>
      <c r="AF359" s="41" t="n"/>
      <c r="AG359" s="41" t="n"/>
      <c r="AH359" s="41" t="n"/>
      <c r="AI359" s="41" t="n"/>
      <c r="AJ359" s="41" t="n"/>
      <c r="AK359" s="41" t="n"/>
      <c r="AL359" s="41" t="n"/>
      <c r="AM359" s="41" t="n"/>
      <c r="AN359" s="41" t="n"/>
      <c r="AO359" s="41" t="n"/>
      <c r="AP359" s="41" t="n"/>
      <c r="AQ359" s="41" t="n"/>
      <c r="AR359" s="41" t="n"/>
      <c r="AS359" s="41" t="n"/>
      <c r="AT359" s="41" t="n"/>
    </row>
    <row r="360" outlineLevel="2">
      <c r="A360" s="8" t="n"/>
      <c r="B360" s="14" t="n"/>
      <c r="C360" s="41" t="n"/>
      <c r="D360" s="41" t="n"/>
      <c r="E360" s="41" t="n"/>
      <c r="F360" s="41" t="n"/>
      <c r="G360" s="41" t="n"/>
      <c r="H360" s="41" t="n"/>
      <c r="I360" s="41" t="n"/>
      <c r="J360" s="41" t="n"/>
      <c r="K360" s="41" t="n"/>
      <c r="L360" s="41" t="n"/>
      <c r="M360" s="41" t="n"/>
      <c r="N360" s="41" t="n"/>
      <c r="O360" s="41" t="n"/>
      <c r="P360" s="41" t="n"/>
      <c r="Q360" s="41" t="n"/>
      <c r="R360" s="41" t="n"/>
      <c r="S360" s="41" t="n"/>
      <c r="T360" s="41" t="n"/>
      <c r="U360" s="41" t="n"/>
      <c r="V360" s="41" t="n"/>
      <c r="W360" s="41" t="n"/>
      <c r="X360" s="41" t="n"/>
      <c r="Y360" s="41" t="n"/>
      <c r="Z360" s="41" t="n"/>
      <c r="AA360" s="41" t="n"/>
      <c r="AB360" s="41" t="n"/>
      <c r="AC360" s="41" t="n"/>
      <c r="AD360" s="41" t="n"/>
      <c r="AE360" s="41" t="n"/>
      <c r="AF360" s="41" t="n"/>
      <c r="AG360" s="41" t="n"/>
      <c r="AH360" s="41" t="n"/>
      <c r="AI360" s="41" t="n"/>
      <c r="AJ360" s="41" t="n"/>
      <c r="AK360" s="41" t="n"/>
      <c r="AL360" s="41" t="n"/>
      <c r="AM360" s="41" t="n"/>
      <c r="AN360" s="41" t="n"/>
      <c r="AO360" s="41" t="n"/>
      <c r="AP360" s="41" t="n"/>
      <c r="AQ360" s="41" t="n"/>
      <c r="AR360" s="41" t="n"/>
      <c r="AS360" s="41" t="n"/>
      <c r="AT360" s="41" t="n"/>
    </row>
    <row r="361" outlineLevel="1">
      <c r="A361" s="8" t="n"/>
      <c r="B361" s="14" t="n"/>
      <c r="C361" s="41" t="n"/>
      <c r="D361" s="118">
        <f>DADOS_AM!$KQ$6</f>
        <v/>
      </c>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c r="AB361" s="16" t="n"/>
      <c r="AC361" s="16" t="n"/>
      <c r="AD361" s="16" t="n"/>
      <c r="AE361" s="16" t="n"/>
      <c r="AF361" s="16" t="n"/>
      <c r="AG361" s="16" t="n"/>
      <c r="AH361" s="16" t="n"/>
      <c r="AI361" s="16" t="n"/>
      <c r="AJ361" s="16" t="n"/>
      <c r="AK361" s="16" t="n"/>
      <c r="AL361" s="16" t="n"/>
      <c r="AM361" s="16" t="n"/>
      <c r="AN361" s="16" t="n"/>
      <c r="AO361" s="16" t="n"/>
      <c r="AP361" s="16" t="n"/>
      <c r="AQ361" s="16" t="n"/>
      <c r="AR361" s="16" t="n"/>
      <c r="AS361" s="16" t="n"/>
      <c r="AT361" s="17" t="n"/>
    </row>
    <row r="362" outlineLevel="3">
      <c r="A362" s="8" t="n"/>
      <c r="B362" s="14" t="n"/>
      <c r="C362" s="41" t="n"/>
      <c r="D362" s="122">
        <f>DADOS_AM!$KL$2</f>
        <v/>
      </c>
      <c r="E362" s="17" t="n"/>
      <c r="F362" s="120">
        <f>DADOS_AM!$KM$2</f>
        <v/>
      </c>
      <c r="G362" s="16" t="n"/>
      <c r="H362" s="16" t="n"/>
      <c r="I362" s="16" t="n"/>
      <c r="J362" s="16" t="n"/>
      <c r="K362" s="16" t="n"/>
      <c r="L362" s="16" t="n"/>
      <c r="M362" s="16" t="n"/>
      <c r="N362" s="16" t="n"/>
      <c r="O362" s="16" t="n"/>
      <c r="P362" s="17" t="n"/>
      <c r="Q362" s="41" t="n"/>
      <c r="R362" s="41" t="n"/>
      <c r="S362" s="122">
        <f>DADOS_AM!$KL$3</f>
        <v/>
      </c>
      <c r="T362" s="17" t="n"/>
      <c r="U362" s="120">
        <f>DADOS_AM!$KM$3</f>
        <v/>
      </c>
      <c r="V362" s="16" t="n"/>
      <c r="W362" s="16" t="n"/>
      <c r="X362" s="16" t="n"/>
      <c r="Y362" s="16" t="n"/>
      <c r="Z362" s="16" t="n"/>
      <c r="AA362" s="16" t="n"/>
      <c r="AB362" s="16" t="n"/>
      <c r="AC362" s="16" t="n"/>
      <c r="AD362" s="16" t="n"/>
      <c r="AE362" s="17" t="n"/>
      <c r="AF362" s="41" t="n"/>
      <c r="AG362" s="41" t="n"/>
      <c r="AH362" s="122">
        <f>DADOS_AM!$KL$4</f>
        <v/>
      </c>
      <c r="AI362" s="17" t="n"/>
      <c r="AJ362" s="120">
        <f>DADOS_AM!$KM$4</f>
        <v/>
      </c>
      <c r="AK362" s="16" t="n"/>
      <c r="AL362" s="16" t="n"/>
      <c r="AM362" s="16" t="n"/>
      <c r="AN362" s="16" t="n"/>
      <c r="AO362" s="16" t="n"/>
      <c r="AP362" s="16" t="n"/>
      <c r="AQ362" s="16" t="n"/>
      <c r="AR362" s="16" t="n"/>
      <c r="AS362" s="16" t="n"/>
      <c r="AT362" s="17" t="n"/>
    </row>
    <row r="363" outlineLevel="4">
      <c r="A363" s="8" t="n"/>
      <c r="B363" s="14" t="n"/>
      <c r="C363" s="41" t="n"/>
      <c r="D363" s="121">
        <f>DADOS_AM!$KN$2</f>
        <v/>
      </c>
      <c r="E363" s="19" t="n"/>
      <c r="F363" s="19" t="n"/>
      <c r="G363" s="19" t="n"/>
      <c r="H363" s="19" t="n"/>
      <c r="I363" s="19" t="n"/>
      <c r="J363" s="19" t="n"/>
      <c r="K363" s="19" t="n"/>
      <c r="L363" s="19" t="n"/>
      <c r="M363" s="19" t="n"/>
      <c r="N363" s="19" t="n"/>
      <c r="O363" s="19" t="n"/>
      <c r="P363" s="20" t="n"/>
      <c r="Q363" s="41" t="n"/>
      <c r="R363" s="41" t="n"/>
      <c r="S363" s="121">
        <f>DADOS_AM!$KN$3</f>
        <v/>
      </c>
      <c r="T363" s="19" t="n"/>
      <c r="U363" s="19" t="n"/>
      <c r="V363" s="19" t="n"/>
      <c r="W363" s="19" t="n"/>
      <c r="X363" s="19" t="n"/>
      <c r="Y363" s="19" t="n"/>
      <c r="Z363" s="19" t="n"/>
      <c r="AA363" s="19" t="n"/>
      <c r="AB363" s="19" t="n"/>
      <c r="AC363" s="19" t="n"/>
      <c r="AD363" s="19" t="n"/>
      <c r="AE363" s="20" t="n"/>
      <c r="AF363" s="41" t="n"/>
      <c r="AG363" s="41" t="n"/>
      <c r="AH363" s="121">
        <f>DADOS_AM!$KN$4</f>
        <v/>
      </c>
      <c r="AI363" s="19" t="n"/>
      <c r="AJ363" s="19" t="n"/>
      <c r="AK363" s="19" t="n"/>
      <c r="AL363" s="19" t="n"/>
      <c r="AM363" s="19" t="n"/>
      <c r="AN363" s="19" t="n"/>
      <c r="AO363" s="19" t="n"/>
      <c r="AP363" s="19" t="n"/>
      <c r="AQ363" s="19" t="n"/>
      <c r="AR363" s="19" t="n"/>
      <c r="AS363" s="19" t="n"/>
      <c r="AT363" s="20"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1" t="n"/>
      <c r="P365" s="22" t="n"/>
      <c r="Q365" s="41" t="n"/>
      <c r="R365" s="41" t="n"/>
      <c r="S365" s="21" t="n"/>
      <c r="AE365" s="22" t="n"/>
      <c r="AF365" s="41" t="n"/>
      <c r="AG365" s="41" t="n"/>
      <c r="AH365" s="21" t="n"/>
      <c r="AT365" s="22" t="n"/>
    </row>
    <row r="366" outlineLevel="4">
      <c r="A366" s="8" t="n"/>
      <c r="B366" s="14" t="n"/>
      <c r="C366" s="41" t="n"/>
      <c r="D366" s="21" t="n"/>
      <c r="P366" s="22" t="n"/>
      <c r="Q366" s="41" t="n"/>
      <c r="R366" s="41" t="n"/>
      <c r="S366" s="21" t="n"/>
      <c r="AE366" s="22" t="n"/>
      <c r="AF366" s="41" t="n"/>
      <c r="AG366" s="41" t="n"/>
      <c r="AH366" s="21" t="n"/>
      <c r="AT366" s="22" t="n"/>
    </row>
    <row r="367" outlineLevel="4">
      <c r="A367" s="8" t="n"/>
      <c r="B367" s="14" t="n"/>
      <c r="C367" s="41" t="n"/>
      <c r="D367" s="21" t="n"/>
      <c r="P367" s="22" t="n"/>
      <c r="Q367" s="41" t="n"/>
      <c r="R367" s="41" t="n"/>
      <c r="S367" s="21" t="n"/>
      <c r="AE367" s="22" t="n"/>
      <c r="AF367" s="41" t="n"/>
      <c r="AG367" s="41" t="n"/>
      <c r="AH367" s="21" t="n"/>
      <c r="AT367" s="22" t="n"/>
    </row>
    <row r="368" outlineLevel="4">
      <c r="A368" s="8" t="n"/>
      <c r="B368" s="14" t="n"/>
      <c r="C368" s="41" t="n"/>
      <c r="D368" s="23" t="n"/>
      <c r="E368" s="24" t="n"/>
      <c r="F368" s="24" t="n"/>
      <c r="G368" s="24" t="n"/>
      <c r="H368" s="24" t="n"/>
      <c r="I368" s="24" t="n"/>
      <c r="J368" s="24" t="n"/>
      <c r="K368" s="24" t="n"/>
      <c r="L368" s="24" t="n"/>
      <c r="M368" s="24" t="n"/>
      <c r="N368" s="24" t="n"/>
      <c r="O368" s="24" t="n"/>
      <c r="P368" s="25" t="n"/>
      <c r="Q368" s="41" t="n"/>
      <c r="R368" s="41" t="n"/>
      <c r="S368" s="23" t="n"/>
      <c r="T368" s="24" t="n"/>
      <c r="U368" s="24" t="n"/>
      <c r="V368" s="24" t="n"/>
      <c r="W368" s="24" t="n"/>
      <c r="X368" s="24" t="n"/>
      <c r="Y368" s="24" t="n"/>
      <c r="Z368" s="24" t="n"/>
      <c r="AA368" s="24" t="n"/>
      <c r="AB368" s="24" t="n"/>
      <c r="AC368" s="24" t="n"/>
      <c r="AD368" s="24" t="n"/>
      <c r="AE368" s="25" t="n"/>
      <c r="AF368" s="41" t="n"/>
      <c r="AG368" s="41" t="n"/>
      <c r="AH368" s="23" t="n"/>
      <c r="AI368" s="24" t="n"/>
      <c r="AJ368" s="24" t="n"/>
      <c r="AK368" s="24" t="n"/>
      <c r="AL368" s="24" t="n"/>
      <c r="AM368" s="24" t="n"/>
      <c r="AN368" s="24" t="n"/>
      <c r="AO368" s="24" t="n"/>
      <c r="AP368" s="24" t="n"/>
      <c r="AQ368" s="24" t="n"/>
      <c r="AR368" s="24" t="n"/>
      <c r="AS368" s="24" t="n"/>
      <c r="AT368" s="25" t="n"/>
    </row>
    <row r="369" outlineLevel="3">
      <c r="A369" s="8" t="n"/>
      <c r="B369" s="14"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c r="AA369" s="41" t="n"/>
      <c r="AB369" s="41" t="n"/>
      <c r="AC369" s="41" t="n"/>
      <c r="AD369" s="41" t="n"/>
      <c r="AE369" s="41" t="n"/>
      <c r="AF369" s="41" t="n"/>
      <c r="AG369" s="41" t="n"/>
      <c r="AH369" s="41" t="n"/>
      <c r="AI369" s="41" t="n"/>
      <c r="AJ369" s="41" t="n"/>
      <c r="AK369" s="41" t="n"/>
      <c r="AL369" s="41" t="n"/>
      <c r="AM369" s="41" t="n"/>
      <c r="AN369" s="41" t="n"/>
      <c r="AO369" s="41" t="n"/>
      <c r="AP369" s="41" t="n"/>
      <c r="AQ369" s="41" t="n"/>
      <c r="AR369" s="41" t="n"/>
      <c r="AS369" s="41" t="n"/>
      <c r="AT369" s="41" t="n"/>
    </row>
    <row r="370" outlineLevel="3">
      <c r="A370" s="8" t="n"/>
      <c r="B370" s="14" t="n"/>
      <c r="C370" s="41" t="n"/>
      <c r="D370" s="122">
        <f>DADOS_AM!$KL$5</f>
        <v/>
      </c>
      <c r="E370" s="17" t="n"/>
      <c r="F370" s="120">
        <f>DADOS_AM!$KM$5</f>
        <v/>
      </c>
      <c r="G370" s="16" t="n"/>
      <c r="H370" s="16" t="n"/>
      <c r="I370" s="16" t="n"/>
      <c r="J370" s="16" t="n"/>
      <c r="K370" s="16" t="n"/>
      <c r="L370" s="16" t="n"/>
      <c r="M370" s="16" t="n"/>
      <c r="N370" s="16" t="n"/>
      <c r="O370" s="16" t="n"/>
      <c r="P370" s="17" t="n"/>
      <c r="Q370" s="41" t="n"/>
      <c r="R370" s="41" t="n"/>
      <c r="S370" s="122">
        <f>DADOS_AM!$KL$6</f>
        <v/>
      </c>
      <c r="T370" s="17" t="n"/>
      <c r="U370" s="120">
        <f>DADOS_AM!$KM$6</f>
        <v/>
      </c>
      <c r="V370" s="16" t="n"/>
      <c r="W370" s="16" t="n"/>
      <c r="X370" s="16" t="n"/>
      <c r="Y370" s="16" t="n"/>
      <c r="Z370" s="16" t="n"/>
      <c r="AA370" s="16" t="n"/>
      <c r="AB370" s="16" t="n"/>
      <c r="AC370" s="16" t="n"/>
      <c r="AD370" s="16" t="n"/>
      <c r="AE370" s="17" t="n"/>
      <c r="AF370" s="41" t="n"/>
      <c r="AG370" s="41" t="n"/>
      <c r="AH370" s="122">
        <f>DADOS_AM!$KL$7</f>
        <v/>
      </c>
      <c r="AI370" s="17" t="n"/>
      <c r="AJ370" s="120">
        <f>DADOS_AM!$KM$7</f>
        <v/>
      </c>
      <c r="AK370" s="16" t="n"/>
      <c r="AL370" s="16" t="n"/>
      <c r="AM370" s="16" t="n"/>
      <c r="AN370" s="16" t="n"/>
      <c r="AO370" s="16" t="n"/>
      <c r="AP370" s="16" t="n"/>
      <c r="AQ370" s="16" t="n"/>
      <c r="AR370" s="16" t="n"/>
      <c r="AS370" s="16" t="n"/>
      <c r="AT370" s="17" t="n"/>
    </row>
    <row r="371" hidden="1" outlineLevel="4">
      <c r="A371" s="8" t="n"/>
      <c r="B371" s="14" t="n"/>
      <c r="C371" s="41" t="n"/>
      <c r="D371" s="121">
        <f>DADOS_AM!$KN$5</f>
        <v/>
      </c>
      <c r="E371" s="19" t="n"/>
      <c r="F371" s="19" t="n"/>
      <c r="G371" s="19" t="n"/>
      <c r="H371" s="19" t="n"/>
      <c r="I371" s="19" t="n"/>
      <c r="J371" s="19" t="n"/>
      <c r="K371" s="19" t="n"/>
      <c r="L371" s="19" t="n"/>
      <c r="M371" s="19" t="n"/>
      <c r="N371" s="19" t="n"/>
      <c r="O371" s="19" t="n"/>
      <c r="P371" s="20" t="n"/>
      <c r="Q371" s="41" t="n"/>
      <c r="R371" s="41" t="n"/>
      <c r="S371" s="121">
        <f>DADOS_AM!$KN$6</f>
        <v/>
      </c>
      <c r="T371" s="19" t="n"/>
      <c r="U371" s="19" t="n"/>
      <c r="V371" s="19" t="n"/>
      <c r="W371" s="19" t="n"/>
      <c r="X371" s="19" t="n"/>
      <c r="Y371" s="19" t="n"/>
      <c r="Z371" s="19" t="n"/>
      <c r="AA371" s="19" t="n"/>
      <c r="AB371" s="19" t="n"/>
      <c r="AC371" s="19" t="n"/>
      <c r="AD371" s="19" t="n"/>
      <c r="AE371" s="20" t="n"/>
      <c r="AF371" s="41" t="n"/>
      <c r="AG371" s="41" t="n"/>
      <c r="AH371" s="121">
        <f>DADOS_AM!$KN$7</f>
        <v/>
      </c>
      <c r="AI371" s="19" t="n"/>
      <c r="AJ371" s="19" t="n"/>
      <c r="AK371" s="19" t="n"/>
      <c r="AL371" s="19" t="n"/>
      <c r="AM371" s="19" t="n"/>
      <c r="AN371" s="19" t="n"/>
      <c r="AO371" s="19" t="n"/>
      <c r="AP371" s="19" t="n"/>
      <c r="AQ371" s="19" t="n"/>
      <c r="AR371" s="19" t="n"/>
      <c r="AS371" s="19" t="n"/>
      <c r="AT371" s="20"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1" t="n"/>
      <c r="P373" s="22" t="n"/>
      <c r="Q373" s="41" t="n"/>
      <c r="R373" s="41" t="n"/>
      <c r="S373" s="21" t="n"/>
      <c r="AE373" s="22" t="n"/>
      <c r="AF373" s="41" t="n"/>
      <c r="AG373" s="41" t="n"/>
      <c r="AH373" s="21" t="n"/>
      <c r="AT373" s="22" t="n"/>
    </row>
    <row r="374" hidden="1" outlineLevel="4">
      <c r="A374" s="8" t="n"/>
      <c r="B374" s="14" t="n"/>
      <c r="C374" s="41" t="n"/>
      <c r="D374" s="21" t="n"/>
      <c r="P374" s="22" t="n"/>
      <c r="Q374" s="41" t="n"/>
      <c r="R374" s="41" t="n"/>
      <c r="S374" s="21" t="n"/>
      <c r="AE374" s="22" t="n"/>
      <c r="AF374" s="41" t="n"/>
      <c r="AG374" s="41" t="n"/>
      <c r="AH374" s="21" t="n"/>
      <c r="AT374" s="22" t="n"/>
    </row>
    <row r="375" hidden="1" outlineLevel="4">
      <c r="A375" s="8" t="n"/>
      <c r="B375" s="14" t="n"/>
      <c r="C375" s="41" t="n"/>
      <c r="D375" s="21" t="n"/>
      <c r="P375" s="22" t="n"/>
      <c r="Q375" s="41" t="n"/>
      <c r="R375" s="41" t="n"/>
      <c r="S375" s="21" t="n"/>
      <c r="AE375" s="22" t="n"/>
      <c r="AF375" s="41" t="n"/>
      <c r="AG375" s="41" t="n"/>
      <c r="AH375" s="21" t="n"/>
      <c r="AT375" s="22" t="n"/>
    </row>
    <row r="376" hidden="1" outlineLevel="4">
      <c r="A376" s="8" t="n"/>
      <c r="B376" s="14" t="n"/>
      <c r="C376" s="41" t="n"/>
      <c r="D376" s="23" t="n"/>
      <c r="E376" s="24" t="n"/>
      <c r="F376" s="24" t="n"/>
      <c r="G376" s="24" t="n"/>
      <c r="H376" s="24" t="n"/>
      <c r="I376" s="24" t="n"/>
      <c r="J376" s="24" t="n"/>
      <c r="K376" s="24" t="n"/>
      <c r="L376" s="24" t="n"/>
      <c r="M376" s="24" t="n"/>
      <c r="N376" s="24" t="n"/>
      <c r="O376" s="24" t="n"/>
      <c r="P376" s="25" t="n"/>
      <c r="Q376" s="41" t="n"/>
      <c r="R376" s="41" t="n"/>
      <c r="S376" s="23" t="n"/>
      <c r="T376" s="24" t="n"/>
      <c r="U376" s="24" t="n"/>
      <c r="V376" s="24" t="n"/>
      <c r="W376" s="24" t="n"/>
      <c r="X376" s="24" t="n"/>
      <c r="Y376" s="24" t="n"/>
      <c r="Z376" s="24" t="n"/>
      <c r="AA376" s="24" t="n"/>
      <c r="AB376" s="24" t="n"/>
      <c r="AC376" s="24" t="n"/>
      <c r="AD376" s="24" t="n"/>
      <c r="AE376" s="25" t="n"/>
      <c r="AF376" s="41" t="n"/>
      <c r="AG376" s="41" t="n"/>
      <c r="AH376" s="23" t="n"/>
      <c r="AI376" s="24" t="n"/>
      <c r="AJ376" s="24" t="n"/>
      <c r="AK376" s="24" t="n"/>
      <c r="AL376" s="24" t="n"/>
      <c r="AM376" s="24" t="n"/>
      <c r="AN376" s="24" t="n"/>
      <c r="AO376" s="24" t="n"/>
      <c r="AP376" s="24" t="n"/>
      <c r="AQ376" s="24" t="n"/>
      <c r="AR376" s="24" t="n"/>
      <c r="AS376" s="24" t="n"/>
      <c r="AT376" s="25" t="n"/>
    </row>
    <row r="377" outlineLevel="2">
      <c r="A377" s="8" t="n"/>
      <c r="B377" s="14" t="n"/>
      <c r="C377" s="41" t="n"/>
      <c r="D377" s="124">
        <f>DADOS_AM!$KQ$17</f>
        <v/>
      </c>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c r="AB377" s="16" t="n"/>
      <c r="AC377" s="16" t="n"/>
      <c r="AD377" s="16" t="n"/>
      <c r="AE377" s="16" t="n"/>
      <c r="AF377" s="16" t="n"/>
      <c r="AG377" s="16" t="n"/>
      <c r="AH377" s="16" t="n"/>
      <c r="AI377" s="16" t="n"/>
      <c r="AJ377" s="16" t="n"/>
      <c r="AK377" s="16" t="n"/>
      <c r="AL377" s="16" t="n"/>
      <c r="AM377" s="16" t="n"/>
      <c r="AN377" s="16" t="n"/>
      <c r="AO377" s="16" t="n"/>
      <c r="AP377" s="16" t="n"/>
      <c r="AQ377" s="16" t="n"/>
      <c r="AR377" s="16" t="n"/>
      <c r="AS377" s="16" t="n"/>
      <c r="AT377" s="17" t="n"/>
    </row>
    <row r="378" hidden="1" outlineLevel="3">
      <c r="A378" s="8" t="n"/>
      <c r="B378" s="14" t="n"/>
      <c r="C378" s="41" t="n"/>
      <c r="D378" s="122">
        <f>DADOS_AM!$KL$8</f>
        <v/>
      </c>
      <c r="E378" s="17" t="n"/>
      <c r="F378" s="120">
        <f>DADOS_AM!$KM$8</f>
        <v/>
      </c>
      <c r="G378" s="16" t="n"/>
      <c r="H378" s="16" t="n"/>
      <c r="I378" s="16" t="n"/>
      <c r="J378" s="16" t="n"/>
      <c r="K378" s="16" t="n"/>
      <c r="L378" s="16" t="n"/>
      <c r="M378" s="16" t="n"/>
      <c r="N378" s="16" t="n"/>
      <c r="O378" s="16" t="n"/>
      <c r="P378" s="17" t="n"/>
      <c r="Q378" s="41" t="n"/>
      <c r="R378" s="41" t="n"/>
      <c r="S378" s="122">
        <f>DADOS_AM!$KL$9</f>
        <v/>
      </c>
      <c r="T378" s="17" t="n"/>
      <c r="U378" s="120">
        <f>DADOS_AM!$KM$9</f>
        <v/>
      </c>
      <c r="V378" s="16" t="n"/>
      <c r="W378" s="16" t="n"/>
      <c r="X378" s="16" t="n"/>
      <c r="Y378" s="16" t="n"/>
      <c r="Z378" s="16" t="n"/>
      <c r="AA378" s="16" t="n"/>
      <c r="AB378" s="16" t="n"/>
      <c r="AC378" s="16" t="n"/>
      <c r="AD378" s="16" t="n"/>
      <c r="AE378" s="17" t="n"/>
      <c r="AF378" s="41" t="n"/>
      <c r="AG378" s="41" t="n"/>
      <c r="AH378" s="122">
        <f>DADOS_AM!$KL$10</f>
        <v/>
      </c>
      <c r="AI378" s="17" t="n"/>
      <c r="AJ378" s="120">
        <f>DADOS_AM!$KM$10</f>
        <v/>
      </c>
      <c r="AK378" s="16" t="n"/>
      <c r="AL378" s="16" t="n"/>
      <c r="AM378" s="16" t="n"/>
      <c r="AN378" s="16" t="n"/>
      <c r="AO378" s="16" t="n"/>
      <c r="AP378" s="16" t="n"/>
      <c r="AQ378" s="16" t="n"/>
      <c r="AR378" s="16" t="n"/>
      <c r="AS378" s="16" t="n"/>
      <c r="AT378" s="17" t="n"/>
    </row>
    <row r="379" hidden="1" outlineLevel="4">
      <c r="A379" s="8" t="n"/>
      <c r="B379" s="14" t="n"/>
      <c r="C379" s="41" t="n"/>
      <c r="D379" s="121">
        <f>DADOS_AM!$KN$8</f>
        <v/>
      </c>
      <c r="E379" s="19" t="n"/>
      <c r="F379" s="19" t="n"/>
      <c r="G379" s="19" t="n"/>
      <c r="H379" s="19" t="n"/>
      <c r="I379" s="19" t="n"/>
      <c r="J379" s="19" t="n"/>
      <c r="K379" s="19" t="n"/>
      <c r="L379" s="19" t="n"/>
      <c r="M379" s="19" t="n"/>
      <c r="N379" s="19" t="n"/>
      <c r="O379" s="19" t="n"/>
      <c r="P379" s="20" t="n"/>
      <c r="Q379" s="41" t="n"/>
      <c r="R379" s="41" t="n"/>
      <c r="S379" s="121">
        <f>DADOS_AM!$KN$9</f>
        <v/>
      </c>
      <c r="T379" s="19" t="n"/>
      <c r="U379" s="19" t="n"/>
      <c r="V379" s="19" t="n"/>
      <c r="W379" s="19" t="n"/>
      <c r="X379" s="19" t="n"/>
      <c r="Y379" s="19" t="n"/>
      <c r="Z379" s="19" t="n"/>
      <c r="AA379" s="19" t="n"/>
      <c r="AB379" s="19" t="n"/>
      <c r="AC379" s="19" t="n"/>
      <c r="AD379" s="19" t="n"/>
      <c r="AE379" s="20" t="n"/>
      <c r="AF379" s="41" t="n"/>
      <c r="AG379" s="41" t="n"/>
      <c r="AH379" s="121">
        <f>DADOS_AM!$KN$10</f>
        <v/>
      </c>
      <c r="AI379" s="19" t="n"/>
      <c r="AJ379" s="19" t="n"/>
      <c r="AK379" s="19" t="n"/>
      <c r="AL379" s="19" t="n"/>
      <c r="AM379" s="19" t="n"/>
      <c r="AN379" s="19" t="n"/>
      <c r="AO379" s="19" t="n"/>
      <c r="AP379" s="19" t="n"/>
      <c r="AQ379" s="19" t="n"/>
      <c r="AR379" s="19" t="n"/>
      <c r="AS379" s="19" t="n"/>
      <c r="AT379" s="20"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1" t="n"/>
      <c r="P381" s="22" t="n"/>
      <c r="Q381" s="41" t="n"/>
      <c r="R381" s="41" t="n"/>
      <c r="S381" s="21" t="n"/>
      <c r="AE381" s="22" t="n"/>
      <c r="AF381" s="41" t="n"/>
      <c r="AG381" s="41" t="n"/>
      <c r="AH381" s="21" t="n"/>
      <c r="AT381" s="22" t="n"/>
    </row>
    <row r="382" hidden="1" outlineLevel="4">
      <c r="A382" s="8" t="n"/>
      <c r="B382" s="14" t="n"/>
      <c r="C382" s="41" t="n"/>
      <c r="D382" s="21" t="n"/>
      <c r="P382" s="22" t="n"/>
      <c r="Q382" s="41" t="n"/>
      <c r="R382" s="41" t="n"/>
      <c r="S382" s="21" t="n"/>
      <c r="AE382" s="22" t="n"/>
      <c r="AF382" s="41" t="n"/>
      <c r="AG382" s="41" t="n"/>
      <c r="AH382" s="21" t="n"/>
      <c r="AT382" s="22" t="n"/>
    </row>
    <row r="383" hidden="1" outlineLevel="4">
      <c r="A383" s="8" t="n"/>
      <c r="B383" s="14" t="n"/>
      <c r="C383" s="41" t="n"/>
      <c r="D383" s="21" t="n"/>
      <c r="P383" s="22" t="n"/>
      <c r="Q383" s="41" t="n"/>
      <c r="R383" s="41" t="n"/>
      <c r="S383" s="21" t="n"/>
      <c r="AE383" s="22" t="n"/>
      <c r="AF383" s="41" t="n"/>
      <c r="AG383" s="41" t="n"/>
      <c r="AH383" s="21" t="n"/>
      <c r="AT383" s="22" t="n"/>
    </row>
    <row r="384" hidden="1" outlineLevel="4">
      <c r="A384" s="8" t="n"/>
      <c r="B384" s="14" t="n"/>
      <c r="C384" s="41" t="n"/>
      <c r="D384" s="23" t="n"/>
      <c r="E384" s="24" t="n"/>
      <c r="F384" s="24" t="n"/>
      <c r="G384" s="24" t="n"/>
      <c r="H384" s="24" t="n"/>
      <c r="I384" s="24" t="n"/>
      <c r="J384" s="24" t="n"/>
      <c r="K384" s="24" t="n"/>
      <c r="L384" s="24" t="n"/>
      <c r="M384" s="24" t="n"/>
      <c r="N384" s="24" t="n"/>
      <c r="O384" s="24" t="n"/>
      <c r="P384" s="25" t="n"/>
      <c r="Q384" s="41" t="n"/>
      <c r="R384" s="41" t="n"/>
      <c r="S384" s="23" t="n"/>
      <c r="T384" s="24" t="n"/>
      <c r="U384" s="24" t="n"/>
      <c r="V384" s="24" t="n"/>
      <c r="W384" s="24" t="n"/>
      <c r="X384" s="24" t="n"/>
      <c r="Y384" s="24" t="n"/>
      <c r="Z384" s="24" t="n"/>
      <c r="AA384" s="24" t="n"/>
      <c r="AB384" s="24" t="n"/>
      <c r="AC384" s="24" t="n"/>
      <c r="AD384" s="24" t="n"/>
      <c r="AE384" s="25" t="n"/>
      <c r="AF384" s="41" t="n"/>
      <c r="AG384" s="41" t="n"/>
      <c r="AH384" s="23" t="n"/>
      <c r="AI384" s="24" t="n"/>
      <c r="AJ384" s="24" t="n"/>
      <c r="AK384" s="24" t="n"/>
      <c r="AL384" s="24" t="n"/>
      <c r="AM384" s="24" t="n"/>
      <c r="AN384" s="24" t="n"/>
      <c r="AO384" s="24" t="n"/>
      <c r="AP384" s="24" t="n"/>
      <c r="AQ384" s="24" t="n"/>
      <c r="AR384" s="24" t="n"/>
      <c r="AS384" s="24" t="n"/>
      <c r="AT384" s="25" t="n"/>
    </row>
    <row r="385" hidden="1" outlineLevel="3">
      <c r="A385" s="8" t="n"/>
      <c r="B385" s="14"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c r="AA385" s="41" t="n"/>
      <c r="AB385" s="41" t="n"/>
      <c r="AC385" s="41" t="n"/>
      <c r="AD385" s="41" t="n"/>
      <c r="AE385" s="41" t="n"/>
      <c r="AF385" s="41" t="n"/>
      <c r="AG385" s="41" t="n"/>
      <c r="AH385" s="41" t="n"/>
      <c r="AI385" s="41" t="n"/>
      <c r="AJ385" s="41" t="n"/>
      <c r="AK385" s="41" t="n"/>
      <c r="AL385" s="41" t="n"/>
      <c r="AM385" s="41" t="n"/>
      <c r="AN385" s="41" t="n"/>
      <c r="AO385" s="41" t="n"/>
      <c r="AP385" s="41" t="n"/>
      <c r="AQ385" s="41" t="n"/>
      <c r="AR385" s="41" t="n"/>
      <c r="AS385" s="41" t="n"/>
      <c r="AT385" s="41" t="n"/>
    </row>
    <row r="386" hidden="1" outlineLevel="3">
      <c r="A386" s="8" t="n"/>
      <c r="B386" s="14" t="n"/>
      <c r="C386" s="41" t="n"/>
      <c r="D386" s="122">
        <f>DADOS_AM!$KL$11</f>
        <v/>
      </c>
      <c r="E386" s="17" t="n"/>
      <c r="F386" s="120">
        <f>DADOS_AM!$KM$11</f>
        <v/>
      </c>
      <c r="G386" s="16" t="n"/>
      <c r="H386" s="16" t="n"/>
      <c r="I386" s="16" t="n"/>
      <c r="J386" s="16" t="n"/>
      <c r="K386" s="16" t="n"/>
      <c r="L386" s="16" t="n"/>
      <c r="M386" s="16" t="n"/>
      <c r="N386" s="16" t="n"/>
      <c r="O386" s="16" t="n"/>
      <c r="P386" s="17" t="n"/>
      <c r="Q386" s="41" t="n"/>
      <c r="R386" s="41" t="n"/>
      <c r="S386" s="122">
        <f>DADOS_AM!$KL$12</f>
        <v/>
      </c>
      <c r="T386" s="17" t="n"/>
      <c r="U386" s="120">
        <f>DADOS_AM!$KM$12</f>
        <v/>
      </c>
      <c r="V386" s="16" t="n"/>
      <c r="W386" s="16" t="n"/>
      <c r="X386" s="16" t="n"/>
      <c r="Y386" s="16" t="n"/>
      <c r="Z386" s="16" t="n"/>
      <c r="AA386" s="16" t="n"/>
      <c r="AB386" s="16" t="n"/>
      <c r="AC386" s="16" t="n"/>
      <c r="AD386" s="16" t="n"/>
      <c r="AE386" s="17" t="n"/>
      <c r="AF386" s="41" t="n"/>
      <c r="AG386" s="41" t="n"/>
      <c r="AH386" s="122">
        <f>DADOS_AM!$KL$13</f>
        <v/>
      </c>
      <c r="AI386" s="17" t="n"/>
      <c r="AJ386" s="120">
        <f>DADOS_AM!$KM$13</f>
        <v/>
      </c>
      <c r="AK386" s="16" t="n"/>
      <c r="AL386" s="16" t="n"/>
      <c r="AM386" s="16" t="n"/>
      <c r="AN386" s="16" t="n"/>
      <c r="AO386" s="16" t="n"/>
      <c r="AP386" s="16" t="n"/>
      <c r="AQ386" s="16" t="n"/>
      <c r="AR386" s="16" t="n"/>
      <c r="AS386" s="16" t="n"/>
      <c r="AT386" s="17" t="n"/>
    </row>
    <row r="387" hidden="1" outlineLevel="4">
      <c r="A387" s="8" t="n"/>
      <c r="B387" s="14" t="n"/>
      <c r="C387" s="41" t="n"/>
      <c r="D387" s="121">
        <f>DADOS_AM!$KN$11</f>
        <v/>
      </c>
      <c r="E387" s="19" t="n"/>
      <c r="F387" s="19" t="n"/>
      <c r="G387" s="19" t="n"/>
      <c r="H387" s="19" t="n"/>
      <c r="I387" s="19" t="n"/>
      <c r="J387" s="19" t="n"/>
      <c r="K387" s="19" t="n"/>
      <c r="L387" s="19" t="n"/>
      <c r="M387" s="19" t="n"/>
      <c r="N387" s="19" t="n"/>
      <c r="O387" s="19" t="n"/>
      <c r="P387" s="20" t="n"/>
      <c r="Q387" s="41" t="n"/>
      <c r="R387" s="41" t="n"/>
      <c r="S387" s="121">
        <f>DADOS_AM!$KN$12</f>
        <v/>
      </c>
      <c r="T387" s="19" t="n"/>
      <c r="U387" s="19" t="n"/>
      <c r="V387" s="19" t="n"/>
      <c r="W387" s="19" t="n"/>
      <c r="X387" s="19" t="n"/>
      <c r="Y387" s="19" t="n"/>
      <c r="Z387" s="19" t="n"/>
      <c r="AA387" s="19" t="n"/>
      <c r="AB387" s="19" t="n"/>
      <c r="AC387" s="19" t="n"/>
      <c r="AD387" s="19" t="n"/>
      <c r="AE387" s="20" t="n"/>
      <c r="AF387" s="41" t="n"/>
      <c r="AG387" s="41" t="n"/>
      <c r="AH387" s="121">
        <f>DADOS_AM!$KN$13</f>
        <v/>
      </c>
      <c r="AI387" s="19" t="n"/>
      <c r="AJ387" s="19" t="n"/>
      <c r="AK387" s="19" t="n"/>
      <c r="AL387" s="19" t="n"/>
      <c r="AM387" s="19" t="n"/>
      <c r="AN387" s="19" t="n"/>
      <c r="AO387" s="19" t="n"/>
      <c r="AP387" s="19" t="n"/>
      <c r="AQ387" s="19" t="n"/>
      <c r="AR387" s="19" t="n"/>
      <c r="AS387" s="19" t="n"/>
      <c r="AT387" s="20"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1" t="n"/>
      <c r="P389" s="22" t="n"/>
      <c r="Q389" s="41" t="n"/>
      <c r="R389" s="41" t="n"/>
      <c r="S389" s="21" t="n"/>
      <c r="AE389" s="22" t="n"/>
      <c r="AF389" s="41" t="n"/>
      <c r="AG389" s="41" t="n"/>
      <c r="AH389" s="21" t="n"/>
      <c r="AT389" s="22" t="n"/>
    </row>
    <row r="390" hidden="1" outlineLevel="4">
      <c r="A390" s="8" t="n"/>
      <c r="B390" s="14" t="n"/>
      <c r="C390" s="41" t="n"/>
      <c r="D390" s="21" t="n"/>
      <c r="P390" s="22" t="n"/>
      <c r="Q390" s="41" t="n"/>
      <c r="R390" s="41" t="n"/>
      <c r="S390" s="21" t="n"/>
      <c r="AE390" s="22" t="n"/>
      <c r="AF390" s="41" t="n"/>
      <c r="AG390" s="41" t="n"/>
      <c r="AH390" s="21" t="n"/>
      <c r="AT390" s="22" t="n"/>
    </row>
    <row r="391" hidden="1" outlineLevel="4">
      <c r="A391" s="8" t="n"/>
      <c r="B391" s="14" t="n"/>
      <c r="C391" s="41" t="n"/>
      <c r="D391" s="21" t="n"/>
      <c r="P391" s="22" t="n"/>
      <c r="Q391" s="41" t="n"/>
      <c r="R391" s="41" t="n"/>
      <c r="S391" s="21" t="n"/>
      <c r="AE391" s="22" t="n"/>
      <c r="AF391" s="41" t="n"/>
      <c r="AG391" s="41" t="n"/>
      <c r="AH391" s="21" t="n"/>
      <c r="AT391" s="22" t="n"/>
    </row>
    <row r="392" hidden="1" outlineLevel="4">
      <c r="A392" s="8" t="n"/>
      <c r="B392" s="14" t="n"/>
      <c r="C392" s="41" t="n"/>
      <c r="D392" s="23" t="n"/>
      <c r="E392" s="24" t="n"/>
      <c r="F392" s="24" t="n"/>
      <c r="G392" s="24" t="n"/>
      <c r="H392" s="24" t="n"/>
      <c r="I392" s="24" t="n"/>
      <c r="J392" s="24" t="n"/>
      <c r="K392" s="24" t="n"/>
      <c r="L392" s="24" t="n"/>
      <c r="M392" s="24" t="n"/>
      <c r="N392" s="24" t="n"/>
      <c r="O392" s="24" t="n"/>
      <c r="P392" s="25" t="n"/>
      <c r="Q392" s="41" t="n"/>
      <c r="R392" s="41" t="n"/>
      <c r="S392" s="23" t="n"/>
      <c r="T392" s="24" t="n"/>
      <c r="U392" s="24" t="n"/>
      <c r="V392" s="24" t="n"/>
      <c r="W392" s="24" t="n"/>
      <c r="X392" s="24" t="n"/>
      <c r="Y392" s="24" t="n"/>
      <c r="Z392" s="24" t="n"/>
      <c r="AA392" s="24" t="n"/>
      <c r="AB392" s="24" t="n"/>
      <c r="AC392" s="24" t="n"/>
      <c r="AD392" s="24" t="n"/>
      <c r="AE392" s="25" t="n"/>
      <c r="AF392" s="41" t="n"/>
      <c r="AG392" s="41" t="n"/>
      <c r="AH392" s="23" t="n"/>
      <c r="AI392" s="24" t="n"/>
      <c r="AJ392" s="24" t="n"/>
      <c r="AK392" s="24" t="n"/>
      <c r="AL392" s="24" t="n"/>
      <c r="AM392" s="24" t="n"/>
      <c r="AN392" s="24" t="n"/>
      <c r="AO392" s="24" t="n"/>
      <c r="AP392" s="24" t="n"/>
      <c r="AQ392" s="24" t="n"/>
      <c r="AR392" s="24" t="n"/>
      <c r="AS392" s="24" t="n"/>
      <c r="AT392" s="25" t="n"/>
    </row>
    <row r="393" outlineLevel="2">
      <c r="A393" s="8" t="n"/>
      <c r="B393" s="14" t="n"/>
      <c r="C393" s="41" t="n"/>
      <c r="D393" s="124">
        <f>DADOS_AM!$KQ$18</f>
        <v/>
      </c>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c r="AB393" s="16" t="n"/>
      <c r="AC393" s="16" t="n"/>
      <c r="AD393" s="16" t="n"/>
      <c r="AE393" s="16" t="n"/>
      <c r="AF393" s="16" t="n"/>
      <c r="AG393" s="16" t="n"/>
      <c r="AH393" s="16" t="n"/>
      <c r="AI393" s="16" t="n"/>
      <c r="AJ393" s="16" t="n"/>
      <c r="AK393" s="16" t="n"/>
      <c r="AL393" s="16" t="n"/>
      <c r="AM393" s="16" t="n"/>
      <c r="AN393" s="16" t="n"/>
      <c r="AO393" s="16" t="n"/>
      <c r="AP393" s="16" t="n"/>
      <c r="AQ393" s="16" t="n"/>
      <c r="AR393" s="16" t="n"/>
      <c r="AS393" s="16" t="n"/>
      <c r="AT393" s="17" t="n"/>
    </row>
    <row r="394" hidden="1" outlineLevel="3">
      <c r="A394" s="8" t="n"/>
      <c r="B394" s="14" t="n"/>
      <c r="C394" s="41" t="n"/>
      <c r="D394" s="122">
        <f>DADOS_AM!$KL$14</f>
        <v/>
      </c>
      <c r="E394" s="17" t="n"/>
      <c r="F394" s="120">
        <f>DADOS_AM!$KM$14</f>
        <v/>
      </c>
      <c r="G394" s="16" t="n"/>
      <c r="H394" s="16" t="n"/>
      <c r="I394" s="16" t="n"/>
      <c r="J394" s="16" t="n"/>
      <c r="K394" s="16" t="n"/>
      <c r="L394" s="16" t="n"/>
      <c r="M394" s="16" t="n"/>
      <c r="N394" s="16" t="n"/>
      <c r="O394" s="16" t="n"/>
      <c r="P394" s="17" t="n"/>
      <c r="Q394" s="41" t="n"/>
      <c r="R394" s="41" t="n"/>
      <c r="S394" s="122">
        <f>DADOS_AM!$KL$15</f>
        <v/>
      </c>
      <c r="T394" s="17" t="n"/>
      <c r="U394" s="120">
        <f>DADOS_AM!$KM$15</f>
        <v/>
      </c>
      <c r="V394" s="16" t="n"/>
      <c r="W394" s="16" t="n"/>
      <c r="X394" s="16" t="n"/>
      <c r="Y394" s="16" t="n"/>
      <c r="Z394" s="16" t="n"/>
      <c r="AA394" s="16" t="n"/>
      <c r="AB394" s="16" t="n"/>
      <c r="AC394" s="16" t="n"/>
      <c r="AD394" s="16" t="n"/>
      <c r="AE394" s="17"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121">
        <f>DADOS_AM!$KN$14</f>
        <v/>
      </c>
      <c r="E395" s="19" t="n"/>
      <c r="F395" s="19" t="n"/>
      <c r="G395" s="19" t="n"/>
      <c r="H395" s="19" t="n"/>
      <c r="I395" s="19" t="n"/>
      <c r="J395" s="19" t="n"/>
      <c r="K395" s="19" t="n"/>
      <c r="L395" s="19" t="n"/>
      <c r="M395" s="19" t="n"/>
      <c r="N395" s="19" t="n"/>
      <c r="O395" s="19" t="n"/>
      <c r="P395" s="20" t="n"/>
      <c r="Q395" s="41" t="n"/>
      <c r="R395" s="41" t="n"/>
      <c r="S395" s="121">
        <f>DADOS_AM!$KN$15</f>
        <v/>
      </c>
      <c r="T395" s="19" t="n"/>
      <c r="U395" s="19" t="n"/>
      <c r="V395" s="19" t="n"/>
      <c r="W395" s="19" t="n"/>
      <c r="X395" s="19" t="n"/>
      <c r="Y395" s="19" t="n"/>
      <c r="Z395" s="19" t="n"/>
      <c r="AA395" s="19" t="n"/>
      <c r="AB395" s="19" t="n"/>
      <c r="AC395" s="19" t="n"/>
      <c r="AD395" s="19" t="n"/>
      <c r="AE395" s="20"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1" t="n"/>
      <c r="P397" s="22" t="n"/>
      <c r="Q397" s="41" t="n"/>
      <c r="R397" s="41" t="n"/>
      <c r="S397" s="21" t="n"/>
      <c r="AE397" s="22" t="n"/>
      <c r="AF397" s="41" t="n"/>
      <c r="AG397" s="41" t="n"/>
      <c r="AH397" s="41" t="n"/>
      <c r="AI397" s="41" t="n"/>
      <c r="AJ397" s="41" t="n"/>
      <c r="AK397" s="41" t="n"/>
      <c r="AL397" s="41" t="n"/>
      <c r="AM397" s="41" t="n"/>
      <c r="AN397" s="41" t="n"/>
      <c r="AO397" s="41" t="n"/>
      <c r="AP397" s="41" t="n"/>
      <c r="AQ397" s="41" t="n"/>
      <c r="AR397" s="41" t="n"/>
      <c r="AS397" s="41" t="n"/>
      <c r="AT397" s="41" t="n"/>
    </row>
    <row r="398" hidden="1" outlineLevel="4">
      <c r="A398" s="8" t="n"/>
      <c r="B398" s="14" t="n"/>
      <c r="C398" s="41" t="n"/>
      <c r="D398" s="21" t="n"/>
      <c r="P398" s="22" t="n"/>
      <c r="Q398" s="41" t="n"/>
      <c r="R398" s="41" t="n"/>
      <c r="S398" s="21" t="n"/>
      <c r="AE398" s="22" t="n"/>
      <c r="AF398" s="41" t="n"/>
      <c r="AG398" s="41" t="n"/>
      <c r="AH398" s="41" t="n"/>
      <c r="AI398" s="41" t="n"/>
      <c r="AJ398" s="41" t="n"/>
      <c r="AK398" s="41" t="n"/>
      <c r="AL398" s="41" t="n"/>
      <c r="AM398" s="41" t="n"/>
      <c r="AN398" s="41" t="n"/>
      <c r="AO398" s="41" t="n"/>
      <c r="AP398" s="41" t="n"/>
      <c r="AQ398" s="41" t="n"/>
      <c r="AR398" s="41" t="n"/>
      <c r="AS398" s="41" t="n"/>
      <c r="AT398" s="41" t="n"/>
    </row>
    <row r="399" hidden="1" outlineLevel="4">
      <c r="A399" s="8" t="n"/>
      <c r="B399" s="14" t="n"/>
      <c r="C399" s="41" t="n"/>
      <c r="D399" s="21" t="n"/>
      <c r="P399" s="22" t="n"/>
      <c r="Q399" s="41" t="n"/>
      <c r="R399" s="41" t="n"/>
      <c r="S399" s="21" t="n"/>
      <c r="AE399" s="22"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23" t="n"/>
      <c r="E400" s="24" t="n"/>
      <c r="F400" s="24" t="n"/>
      <c r="G400" s="24" t="n"/>
      <c r="H400" s="24" t="n"/>
      <c r="I400" s="24" t="n"/>
      <c r="J400" s="24" t="n"/>
      <c r="K400" s="24" t="n"/>
      <c r="L400" s="24" t="n"/>
      <c r="M400" s="24" t="n"/>
      <c r="N400" s="24" t="n"/>
      <c r="O400" s="24" t="n"/>
      <c r="P400" s="25" t="n"/>
      <c r="Q400" s="41" t="n"/>
      <c r="R400" s="41" t="n"/>
      <c r="S400" s="23" t="n"/>
      <c r="T400" s="24" t="n"/>
      <c r="U400" s="24" t="n"/>
      <c r="V400" s="24" t="n"/>
      <c r="W400" s="24" t="n"/>
      <c r="X400" s="24" t="n"/>
      <c r="Y400" s="24" t="n"/>
      <c r="Z400" s="24" t="n"/>
      <c r="AA400" s="24" t="n"/>
      <c r="AB400" s="24" t="n"/>
      <c r="AC400" s="24" t="n"/>
      <c r="AD400" s="24" t="n"/>
      <c r="AE400" s="25" t="n"/>
      <c r="AF400" s="41" t="n"/>
      <c r="AG400" s="41" t="n"/>
      <c r="AH400" s="41" t="n"/>
      <c r="AI400" s="41" t="n"/>
      <c r="AJ400" s="41" t="n"/>
      <c r="AK400" s="41" t="n"/>
      <c r="AL400" s="41" t="n"/>
      <c r="AM400" s="41" t="n"/>
      <c r="AN400" s="41" t="n"/>
      <c r="AO400" s="41" t="n"/>
      <c r="AP400" s="41" t="n"/>
      <c r="AQ400" s="41" t="n"/>
      <c r="AR400" s="41" t="n"/>
      <c r="AS400" s="41" t="n"/>
      <c r="AT400" s="41" t="n"/>
    </row>
    <row r="401" outlineLevel="2">
      <c r="A401" s="8" t="n"/>
      <c r="B401" s="14"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c r="AA401" s="41" t="n"/>
      <c r="AB401" s="41" t="n"/>
      <c r="AC401" s="41" t="n"/>
      <c r="AD401" s="41" t="n"/>
      <c r="AE401" s="41" t="n"/>
      <c r="AF401" s="41" t="n"/>
      <c r="AG401" s="41" t="n"/>
      <c r="AH401" s="41" t="n"/>
      <c r="AI401" s="41" t="n"/>
      <c r="AJ401" s="41" t="n"/>
      <c r="AK401" s="41" t="n"/>
      <c r="AL401" s="41" t="n"/>
      <c r="AM401" s="41" t="n"/>
      <c r="AN401" s="41" t="n"/>
      <c r="AO401" s="41" t="n"/>
      <c r="AP401" s="41" t="n"/>
      <c r="AQ401" s="41" t="n"/>
      <c r="AR401" s="41" t="n"/>
      <c r="AS401" s="41" t="n"/>
      <c r="AT401" s="41" t="n"/>
    </row>
    <row r="402">
      <c r="A402" s="8" t="n"/>
      <c r="B402" s="14" t="n"/>
      <c r="C402" s="41" t="n"/>
      <c r="D402" s="41" t="n"/>
      <c r="E402" s="41" t="n"/>
      <c r="F402" s="41" t="n"/>
      <c r="G402" s="41" t="n"/>
      <c r="H402" s="41" t="n"/>
      <c r="I402" s="41" t="n"/>
      <c r="J402" s="41" t="n"/>
      <c r="K402" s="41" t="n"/>
      <c r="L402" s="41" t="n"/>
      <c r="M402" s="41" t="n"/>
      <c r="N402" s="41" t="n"/>
      <c r="O402" s="41" t="n"/>
      <c r="P402" s="41" t="n"/>
      <c r="Q402" s="41" t="n"/>
      <c r="R402" s="41" t="n"/>
      <c r="S402" s="41" t="n"/>
      <c r="T402" s="41" t="n"/>
      <c r="U402" s="41" t="n"/>
      <c r="V402" s="41" t="n"/>
      <c r="W402" s="41" t="n"/>
      <c r="X402" s="41" t="n"/>
      <c r="Y402" s="41" t="n"/>
      <c r="Z402" s="41" t="n"/>
      <c r="AA402" s="41" t="n"/>
      <c r="AB402" s="41" t="n"/>
      <c r="AC402" s="41" t="n"/>
      <c r="AD402" s="41" t="n"/>
      <c r="AE402" s="41" t="n"/>
      <c r="AF402" s="41" t="n"/>
      <c r="AG402" s="41" t="n"/>
      <c r="AH402" s="41" t="n"/>
      <c r="AI402" s="41" t="n"/>
      <c r="AJ402" s="41" t="n"/>
      <c r="AK402" s="41" t="n"/>
      <c r="AL402" s="41" t="n"/>
      <c r="AM402" s="41" t="n"/>
      <c r="AN402" s="41" t="n"/>
      <c r="AO402" s="41" t="n"/>
      <c r="AP402" s="41" t="n"/>
      <c r="AQ402" s="41" t="n"/>
      <c r="AR402" s="41" t="n"/>
      <c r="AS402" s="41" t="n"/>
      <c r="AT402" s="41" t="n"/>
    </row>
    <row r="403">
      <c r="A403" s="8" t="n"/>
      <c r="B403" s="14" t="n"/>
    </row>
    <row r="404">
      <c r="A404" s="8" t="n"/>
      <c r="B404" s="14" t="n"/>
    </row>
  </sheetData>
  <mergeCells count="671">
    <mergeCell ref="N76:O76"/>
    <mergeCell ref="P76:Q76"/>
    <mergeCell ref="D355:P359"/>
    <mergeCell ref="S370:T370"/>
    <mergeCell ref="D39:M39"/>
    <mergeCell ref="U370:AE370"/>
    <mergeCell ref="AH261:AJ261"/>
    <mergeCell ref="D128:AT131"/>
    <mergeCell ref="V251:Y251"/>
    <mergeCell ref="N77:O77"/>
    <mergeCell ref="G291:J291"/>
    <mergeCell ref="AH190:AI190"/>
    <mergeCell ref="AO15:AP15"/>
    <mergeCell ref="F326:P326"/>
    <mergeCell ref="AJ190:AT190"/>
    <mergeCell ref="AK84:AT85"/>
    <mergeCell ref="S202:AE208"/>
    <mergeCell ref="F200:P200"/>
    <mergeCell ref="AJ210:AT210"/>
    <mergeCell ref="AF79:AG79"/>
    <mergeCell ref="AK231:AN231"/>
    <mergeCell ref="O61:V61"/>
    <mergeCell ref="AG90:AI90"/>
    <mergeCell ref="AD81:AE81"/>
    <mergeCell ref="AF81:AG81"/>
    <mergeCell ref="K241:P241"/>
    <mergeCell ref="AK291:AN291"/>
    <mergeCell ref="G146:AT146"/>
    <mergeCell ref="F260:P260"/>
    <mergeCell ref="D8:F9"/>
    <mergeCell ref="K94:M94"/>
    <mergeCell ref="D11:L11"/>
    <mergeCell ref="AH210:AI210"/>
    <mergeCell ref="V82:AC82"/>
    <mergeCell ref="AH211:AJ211"/>
    <mergeCell ref="L57:M57"/>
    <mergeCell ref="A8:B29"/>
    <mergeCell ref="S180:T180"/>
    <mergeCell ref="AO231:AT231"/>
    <mergeCell ref="AJ22:AP22"/>
    <mergeCell ref="AK92:AO92"/>
    <mergeCell ref="AO181:AT181"/>
    <mergeCell ref="O54:V54"/>
    <mergeCell ref="X93:Z93"/>
    <mergeCell ref="G65:X65"/>
    <mergeCell ref="D201:F201"/>
    <mergeCell ref="D192:P198"/>
    <mergeCell ref="AK87:AT87"/>
    <mergeCell ref="D99:F100"/>
    <mergeCell ref="P77:Q77"/>
    <mergeCell ref="G241:J241"/>
    <mergeCell ref="D232:P238"/>
    <mergeCell ref="AE64:AO64"/>
    <mergeCell ref="AK271:AN271"/>
    <mergeCell ref="F240:P240"/>
    <mergeCell ref="D134:AT137"/>
    <mergeCell ref="F190:P190"/>
    <mergeCell ref="S302:U302"/>
    <mergeCell ref="W58:X58"/>
    <mergeCell ref="V261:Y261"/>
    <mergeCell ref="AO191:AT191"/>
    <mergeCell ref="D139:AT139"/>
    <mergeCell ref="AE65:AO65"/>
    <mergeCell ref="AH272:AT278"/>
    <mergeCell ref="D378:E378"/>
    <mergeCell ref="F82:M82"/>
    <mergeCell ref="AJ280:AT280"/>
    <mergeCell ref="AK302:AN302"/>
    <mergeCell ref="AK281:AN281"/>
    <mergeCell ref="W53:X53"/>
    <mergeCell ref="L19:R20"/>
    <mergeCell ref="AF25:AK25"/>
    <mergeCell ref="S90:W90"/>
    <mergeCell ref="G221:J221"/>
    <mergeCell ref="AG91:AI91"/>
    <mergeCell ref="AF30:AK30"/>
    <mergeCell ref="G15:X15"/>
    <mergeCell ref="D279:AT279"/>
    <mergeCell ref="AG93:AI93"/>
    <mergeCell ref="S326:T326"/>
    <mergeCell ref="S371:AE376"/>
    <mergeCell ref="V83:AC83"/>
    <mergeCell ref="D26:H27"/>
    <mergeCell ref="F75:M75"/>
    <mergeCell ref="D182:P188"/>
    <mergeCell ref="AK221:AN221"/>
    <mergeCell ref="U386:AE386"/>
    <mergeCell ref="X90:Z90"/>
    <mergeCell ref="L58:M58"/>
    <mergeCell ref="D21:J21"/>
    <mergeCell ref="AP90:AT90"/>
    <mergeCell ref="D326:E326"/>
    <mergeCell ref="S341:AE345"/>
    <mergeCell ref="AD75:AE75"/>
    <mergeCell ref="AF75:AG75"/>
    <mergeCell ref="D140:F140"/>
    <mergeCell ref="D170:AT170"/>
    <mergeCell ref="S340:T340"/>
    <mergeCell ref="D290:E290"/>
    <mergeCell ref="D29:N29"/>
    <mergeCell ref="O57:V57"/>
    <mergeCell ref="F290:P290"/>
    <mergeCell ref="AF96:AM96"/>
    <mergeCell ref="S191:U191"/>
    <mergeCell ref="D18:J18"/>
    <mergeCell ref="U333:AE333"/>
    <mergeCell ref="S181:U181"/>
    <mergeCell ref="AH301:AI301"/>
    <mergeCell ref="D354:E354"/>
    <mergeCell ref="D272:P278"/>
    <mergeCell ref="Z251:AE251"/>
    <mergeCell ref="S262:AE268"/>
    <mergeCell ref="F354:P354"/>
    <mergeCell ref="G302:J302"/>
    <mergeCell ref="V76:AC76"/>
    <mergeCell ref="U270:AE270"/>
    <mergeCell ref="J26:N27"/>
    <mergeCell ref="K291:P291"/>
    <mergeCell ref="AH290:AI290"/>
    <mergeCell ref="D210:E210"/>
    <mergeCell ref="O68:X68"/>
    <mergeCell ref="X10:AF10"/>
    <mergeCell ref="AH212:AT218"/>
    <mergeCell ref="AK211:AN211"/>
    <mergeCell ref="K93:M93"/>
    <mergeCell ref="S270:T270"/>
    <mergeCell ref="AB19:AH20"/>
    <mergeCell ref="Z47:AT48"/>
    <mergeCell ref="D301:E301"/>
    <mergeCell ref="D250:E250"/>
    <mergeCell ref="AK90:AO90"/>
    <mergeCell ref="S271:U271"/>
    <mergeCell ref="S394:T394"/>
    <mergeCell ref="AH250:AI250"/>
    <mergeCell ref="N11:V11"/>
    <mergeCell ref="V211:Y211"/>
    <mergeCell ref="D261:F261"/>
    <mergeCell ref="AO291:AT291"/>
    <mergeCell ref="U394:AE394"/>
    <mergeCell ref="AJ250:AT250"/>
    <mergeCell ref="AO50:AP50"/>
    <mergeCell ref="AM15:AN15"/>
    <mergeCell ref="D165:AT168"/>
    <mergeCell ref="D239:AT239"/>
    <mergeCell ref="D240:E240"/>
    <mergeCell ref="U200:AE200"/>
    <mergeCell ref="AJ230:AT230"/>
    <mergeCell ref="AJ301:AT301"/>
    <mergeCell ref="AD83:AE83"/>
    <mergeCell ref="F78:M78"/>
    <mergeCell ref="G152:AT152"/>
    <mergeCell ref="L21:R21"/>
    <mergeCell ref="AH363:AT368"/>
    <mergeCell ref="L53:M53"/>
    <mergeCell ref="S347:T347"/>
    <mergeCell ref="S362:T362"/>
    <mergeCell ref="F301:P301"/>
    <mergeCell ref="AH230:AI230"/>
    <mergeCell ref="D334:P338"/>
    <mergeCell ref="AH10:AL10"/>
    <mergeCell ref="AO271:AT271"/>
    <mergeCell ref="AH180:AI180"/>
    <mergeCell ref="AH240:AI240"/>
    <mergeCell ref="AK54:AR54"/>
    <mergeCell ref="P30:Q31"/>
    <mergeCell ref="S220:T220"/>
    <mergeCell ref="G181:J181"/>
    <mergeCell ref="Z261:AE261"/>
    <mergeCell ref="D303:P309"/>
    <mergeCell ref="D147:AT150"/>
    <mergeCell ref="F370:P370"/>
    <mergeCell ref="Z46:AT46"/>
    <mergeCell ref="S192:AE198"/>
    <mergeCell ref="S261:U261"/>
    <mergeCell ref="D10:L10"/>
    <mergeCell ref="T19:Z20"/>
    <mergeCell ref="AF34:AK34"/>
    <mergeCell ref="F92:J92"/>
    <mergeCell ref="D47:X48"/>
    <mergeCell ref="AO281:AT281"/>
    <mergeCell ref="D260:E260"/>
    <mergeCell ref="U190:AE190"/>
    <mergeCell ref="D171:AT174"/>
    <mergeCell ref="AK261:AN261"/>
    <mergeCell ref="Z42:AI42"/>
    <mergeCell ref="AK78:AT79"/>
    <mergeCell ref="D311:E311"/>
    <mergeCell ref="F250:P250"/>
    <mergeCell ref="AK91:AO91"/>
    <mergeCell ref="K181:P181"/>
    <mergeCell ref="G271:J271"/>
    <mergeCell ref="D339:AT339"/>
    <mergeCell ref="F84:M84"/>
    <mergeCell ref="AK57:AR57"/>
    <mergeCell ref="AK93:AO93"/>
    <mergeCell ref="D110:AT113"/>
    <mergeCell ref="AH201:AJ201"/>
    <mergeCell ref="H2:Z3"/>
    <mergeCell ref="F80:M80"/>
    <mergeCell ref="AO221:AT221"/>
    <mergeCell ref="AH232:AT238"/>
    <mergeCell ref="AJ180:AT180"/>
    <mergeCell ref="AJ240:AT240"/>
    <mergeCell ref="AD84:AE84"/>
    <mergeCell ref="F79:M79"/>
    <mergeCell ref="AK58:AR58"/>
    <mergeCell ref="S222:AE228"/>
    <mergeCell ref="D251:F251"/>
    <mergeCell ref="D34:H35"/>
    <mergeCell ref="F81:M81"/>
    <mergeCell ref="D230:E230"/>
    <mergeCell ref="G191:J191"/>
    <mergeCell ref="F230:P230"/>
    <mergeCell ref="D180:E180"/>
    <mergeCell ref="AK68:AT68"/>
    <mergeCell ref="D109:F109"/>
    <mergeCell ref="L18:R18"/>
    <mergeCell ref="AB311:AE311"/>
    <mergeCell ref="D46:X46"/>
    <mergeCell ref="G71:AD71"/>
    <mergeCell ref="U250:AE250"/>
    <mergeCell ref="AK50:AN50"/>
    <mergeCell ref="K302:P302"/>
    <mergeCell ref="S231:U231"/>
    <mergeCell ref="F318:AA318"/>
    <mergeCell ref="O42:X42"/>
    <mergeCell ref="G121:AT121"/>
    <mergeCell ref="V271:Y271"/>
    <mergeCell ref="AJ370:AT370"/>
    <mergeCell ref="V85:AC85"/>
    <mergeCell ref="S395:AE400"/>
    <mergeCell ref="G261:J261"/>
    <mergeCell ref="D42:M42"/>
    <mergeCell ref="AD79:AE79"/>
    <mergeCell ref="Z57:AG57"/>
    <mergeCell ref="AJ19:AP20"/>
    <mergeCell ref="AH191:AJ191"/>
    <mergeCell ref="AK67:AT67"/>
    <mergeCell ref="AH182:AT188"/>
    <mergeCell ref="AK61:AT61"/>
    <mergeCell ref="F95:J95"/>
    <mergeCell ref="N10:V10"/>
    <mergeCell ref="D44:M44"/>
    <mergeCell ref="AO211:AT211"/>
    <mergeCell ref="AH222:AT228"/>
    <mergeCell ref="AH327:AT331"/>
    <mergeCell ref="AD74:AE74"/>
    <mergeCell ref="AM25:AR25"/>
    <mergeCell ref="D71:F73"/>
    <mergeCell ref="AF74:AG74"/>
    <mergeCell ref="N82:O82"/>
    <mergeCell ref="P82:Q82"/>
    <mergeCell ref="AK62:AT62"/>
    <mergeCell ref="D241:F241"/>
    <mergeCell ref="K221:P221"/>
    <mergeCell ref="F90:J90"/>
    <mergeCell ref="AO302:AT302"/>
    <mergeCell ref="AM33:AR33"/>
    <mergeCell ref="F180:P180"/>
    <mergeCell ref="AD76:AE76"/>
    <mergeCell ref="D116:AT119"/>
    <mergeCell ref="Z211:AE211"/>
    <mergeCell ref="AF95:AM95"/>
    <mergeCell ref="AF76:AG76"/>
    <mergeCell ref="P75:Q75"/>
    <mergeCell ref="Z53:AI53"/>
    <mergeCell ref="D2:G4"/>
    <mergeCell ref="D220:E220"/>
    <mergeCell ref="AL311:AT311"/>
    <mergeCell ref="S327:AE331"/>
    <mergeCell ref="S378:T378"/>
    <mergeCell ref="D363:P368"/>
    <mergeCell ref="V75:AC75"/>
    <mergeCell ref="S292:AE298"/>
    <mergeCell ref="D300:AT300"/>
    <mergeCell ref="U378:AE378"/>
    <mergeCell ref="K95:M95"/>
    <mergeCell ref="D219:AT219"/>
    <mergeCell ref="AH340:AI340"/>
    <mergeCell ref="T21:Z21"/>
    <mergeCell ref="AH231:AJ231"/>
    <mergeCell ref="S30:AD31"/>
    <mergeCell ref="V221:Y221"/>
    <mergeCell ref="AH181:AJ181"/>
    <mergeCell ref="D280:E280"/>
    <mergeCell ref="K90:M90"/>
    <mergeCell ref="AK53:AR53"/>
    <mergeCell ref="D190:E190"/>
    <mergeCell ref="AS54:AT54"/>
    <mergeCell ref="AO16:AP16"/>
    <mergeCell ref="AK74:AT75"/>
    <mergeCell ref="D259:AT259"/>
    <mergeCell ref="AQ51:AR51"/>
    <mergeCell ref="Z201:AE201"/>
    <mergeCell ref="D212:P218"/>
    <mergeCell ref="AS51:AT51"/>
    <mergeCell ref="T18:Z18"/>
    <mergeCell ref="AN10:AT10"/>
    <mergeCell ref="AK76:AT77"/>
    <mergeCell ref="AM30:AR30"/>
    <mergeCell ref="D340:E340"/>
    <mergeCell ref="D15:F17"/>
    <mergeCell ref="AH280:AI280"/>
    <mergeCell ref="D127:F127"/>
    <mergeCell ref="D353:AT353"/>
    <mergeCell ref="S201:U201"/>
    <mergeCell ref="F340:P340"/>
    <mergeCell ref="D319:AT323"/>
    <mergeCell ref="Z54:AI54"/>
    <mergeCell ref="D361:AT361"/>
    <mergeCell ref="P26:Q27"/>
    <mergeCell ref="AB2:AT3"/>
    <mergeCell ref="U301:AE301"/>
    <mergeCell ref="D222:P228"/>
    <mergeCell ref="AK201:AN201"/>
    <mergeCell ref="O62:V62"/>
    <mergeCell ref="W61:X61"/>
    <mergeCell ref="AJ340:AT340"/>
    <mergeCell ref="O40:AT40"/>
    <mergeCell ref="S282:AE288"/>
    <mergeCell ref="AH387:AT392"/>
    <mergeCell ref="V201:Y201"/>
    <mergeCell ref="D54:K54"/>
    <mergeCell ref="Z68:AI68"/>
    <mergeCell ref="N83:O83"/>
    <mergeCell ref="P83:Q83"/>
    <mergeCell ref="G8:X8"/>
    <mergeCell ref="S386:T386"/>
    <mergeCell ref="K271:P271"/>
    <mergeCell ref="D282:P288"/>
    <mergeCell ref="AM34:AR34"/>
    <mergeCell ref="Z67:AI67"/>
    <mergeCell ref="G281:J281"/>
    <mergeCell ref="D312:AT316"/>
    <mergeCell ref="AF77:AG77"/>
    <mergeCell ref="N85:O85"/>
    <mergeCell ref="P85:Q85"/>
    <mergeCell ref="P84:Q84"/>
    <mergeCell ref="V302:Y302"/>
    <mergeCell ref="D181:F181"/>
    <mergeCell ref="G211:J211"/>
    <mergeCell ref="D379:P384"/>
    <mergeCell ref="F394:P394"/>
    <mergeCell ref="AH333:AI333"/>
    <mergeCell ref="V78:AC78"/>
    <mergeCell ref="AQ16:AR16"/>
    <mergeCell ref="D57:K57"/>
    <mergeCell ref="S334:AE338"/>
    <mergeCell ref="P80:Q80"/>
    <mergeCell ref="V231:Y231"/>
    <mergeCell ref="AH371:AT376"/>
    <mergeCell ref="AJ326:AT326"/>
    <mergeCell ref="AH271:AJ271"/>
    <mergeCell ref="K191:P191"/>
    <mergeCell ref="S333:T333"/>
    <mergeCell ref="Z58:AG58"/>
    <mergeCell ref="AH242:AT248"/>
    <mergeCell ref="AF311:AK311"/>
    <mergeCell ref="D191:F191"/>
    <mergeCell ref="AK83:AT83"/>
    <mergeCell ref="AH341:AT345"/>
    <mergeCell ref="AS57:AT57"/>
    <mergeCell ref="U326:AE326"/>
    <mergeCell ref="AK51:AN51"/>
    <mergeCell ref="D347:E347"/>
    <mergeCell ref="D87:F88"/>
    <mergeCell ref="AM29:AR29"/>
    <mergeCell ref="Z62:AI62"/>
    <mergeCell ref="S34:AD35"/>
    <mergeCell ref="S251:U251"/>
    <mergeCell ref="AK14:AT14"/>
    <mergeCell ref="AJ18:AP18"/>
    <mergeCell ref="S242:AE248"/>
    <mergeCell ref="F347:P347"/>
    <mergeCell ref="D362:E362"/>
    <mergeCell ref="D291:F291"/>
    <mergeCell ref="S230:T230"/>
    <mergeCell ref="P33:Q33"/>
    <mergeCell ref="V191:Y191"/>
    <mergeCell ref="D43:M43"/>
    <mergeCell ref="Z271:AE271"/>
    <mergeCell ref="N79:O79"/>
    <mergeCell ref="U290:AE290"/>
    <mergeCell ref="G87:AH87"/>
    <mergeCell ref="P79:Q79"/>
    <mergeCell ref="Z51:AI51"/>
    <mergeCell ref="AN11:AT11"/>
    <mergeCell ref="S91:W91"/>
    <mergeCell ref="D377:AT377"/>
    <mergeCell ref="K261:P261"/>
    <mergeCell ref="U354:AE354"/>
    <mergeCell ref="D68:M68"/>
    <mergeCell ref="S93:W93"/>
    <mergeCell ref="D67:M67"/>
    <mergeCell ref="D146:F146"/>
    <mergeCell ref="AK15:AL15"/>
    <mergeCell ref="S200:T200"/>
    <mergeCell ref="D393:AT393"/>
    <mergeCell ref="AF26:AK26"/>
    <mergeCell ref="V84:AC84"/>
    <mergeCell ref="D387:P392"/>
    <mergeCell ref="AL318:AT318"/>
    <mergeCell ref="AH270:AI270"/>
    <mergeCell ref="AB4:AT4"/>
    <mergeCell ref="V181:Y181"/>
    <mergeCell ref="S260:T260"/>
    <mergeCell ref="U260:AE260"/>
    <mergeCell ref="D58:K58"/>
    <mergeCell ref="AH370:AI370"/>
    <mergeCell ref="P34:Q35"/>
    <mergeCell ref="D122:AT125"/>
    <mergeCell ref="D19:J20"/>
    <mergeCell ref="D242:P248"/>
    <mergeCell ref="AJ200:AT200"/>
    <mergeCell ref="Z221:AE221"/>
    <mergeCell ref="S232:AE238"/>
    <mergeCell ref="S303:AE309"/>
    <mergeCell ref="U240:AE240"/>
    <mergeCell ref="O43:X43"/>
    <mergeCell ref="AH302:AJ302"/>
    <mergeCell ref="AH378:AI378"/>
    <mergeCell ref="D179:AT179"/>
    <mergeCell ref="G201:J201"/>
    <mergeCell ref="AH252:AT258"/>
    <mergeCell ref="AS58:AT58"/>
    <mergeCell ref="O53:V53"/>
    <mergeCell ref="D37:AT37"/>
    <mergeCell ref="AH347:AI347"/>
    <mergeCell ref="O67:X67"/>
    <mergeCell ref="AJ347:AT347"/>
    <mergeCell ref="AH362:AI362"/>
    <mergeCell ref="AH291:AJ291"/>
    <mergeCell ref="D65:F66"/>
    <mergeCell ref="AJ362:AT362"/>
    <mergeCell ref="S190:T190"/>
    <mergeCell ref="O39:AT39"/>
    <mergeCell ref="AH241:AJ241"/>
    <mergeCell ref="S281:U281"/>
    <mergeCell ref="S355:AE359"/>
    <mergeCell ref="AH220:AI220"/>
    <mergeCell ref="G51:X51"/>
    <mergeCell ref="AO201:AT201"/>
    <mergeCell ref="G158:AT158"/>
    <mergeCell ref="D231:F231"/>
    <mergeCell ref="AO261:AT261"/>
    <mergeCell ref="AJ220:AT220"/>
    <mergeCell ref="AM82:AT82"/>
    <mergeCell ref="D395:P400"/>
    <mergeCell ref="AN95:AT95"/>
    <mergeCell ref="AH192:AT198"/>
    <mergeCell ref="S92:W92"/>
    <mergeCell ref="O58:V58"/>
    <mergeCell ref="F333:P333"/>
    <mergeCell ref="S182:AE188"/>
    <mergeCell ref="K251:P251"/>
    <mergeCell ref="D262:P268"/>
    <mergeCell ref="F270:P270"/>
    <mergeCell ref="AQ15:AR15"/>
    <mergeCell ref="AF84:AG84"/>
    <mergeCell ref="S94:W94"/>
    <mergeCell ref="AO51:AP51"/>
    <mergeCell ref="AS15:AT15"/>
    <mergeCell ref="F362:P362"/>
    <mergeCell ref="AN96:AT96"/>
    <mergeCell ref="D325:AT325"/>
    <mergeCell ref="D370:E370"/>
    <mergeCell ref="Z14:AI14"/>
    <mergeCell ref="P29:Q29"/>
    <mergeCell ref="AH221:AJ221"/>
    <mergeCell ref="Z302:AE302"/>
    <mergeCell ref="D153:AT156"/>
    <mergeCell ref="AK43:AT44"/>
    <mergeCell ref="S211:U211"/>
    <mergeCell ref="X92:Z92"/>
    <mergeCell ref="D327:P331"/>
    <mergeCell ref="D292:P298"/>
    <mergeCell ref="AH386:AI386"/>
    <mergeCell ref="AP92:AT92"/>
    <mergeCell ref="Z15:AI15"/>
    <mergeCell ref="Z231:AE231"/>
    <mergeCell ref="X94:Z94"/>
    <mergeCell ref="A33:B62"/>
    <mergeCell ref="F76:M76"/>
    <mergeCell ref="G251:J251"/>
    <mergeCell ref="D200:E200"/>
    <mergeCell ref="D22:J22"/>
    <mergeCell ref="G115:AT115"/>
    <mergeCell ref="AH11:AL11"/>
    <mergeCell ref="U230:AE230"/>
    <mergeCell ref="D302:F302"/>
    <mergeCell ref="D141:AT144"/>
    <mergeCell ref="U180:AE180"/>
    <mergeCell ref="K201:P201"/>
    <mergeCell ref="S210:T210"/>
    <mergeCell ref="AK251:AN251"/>
    <mergeCell ref="F220:P220"/>
    <mergeCell ref="U210:AE210"/>
    <mergeCell ref="V291:Y291"/>
    <mergeCell ref="S363:AE368"/>
    <mergeCell ref="AB21:AH21"/>
    <mergeCell ref="G103:AT103"/>
    <mergeCell ref="V80:AC80"/>
    <mergeCell ref="J30:N31"/>
    <mergeCell ref="D318:E318"/>
    <mergeCell ref="AH348:AT352"/>
    <mergeCell ref="AH379:AT384"/>
    <mergeCell ref="F311:AA311"/>
    <mergeCell ref="AH202:AT208"/>
    <mergeCell ref="N75:O75"/>
    <mergeCell ref="D159:AT162"/>
    <mergeCell ref="D221:F221"/>
    <mergeCell ref="AB18:AH18"/>
    <mergeCell ref="G99:AH99"/>
    <mergeCell ref="D164:AT164"/>
    <mergeCell ref="F378:P378"/>
    <mergeCell ref="D152:F152"/>
    <mergeCell ref="D386:E386"/>
    <mergeCell ref="AB318:AE318"/>
    <mergeCell ref="D371:P376"/>
    <mergeCell ref="F386:P386"/>
    <mergeCell ref="D104:AT107"/>
    <mergeCell ref="AS16:AT16"/>
    <mergeCell ref="AK16:AL16"/>
    <mergeCell ref="AM26:AR26"/>
    <mergeCell ref="U220:AE220"/>
    <mergeCell ref="AH292:AT298"/>
    <mergeCell ref="AJ378:AT378"/>
    <mergeCell ref="AK241:AN241"/>
    <mergeCell ref="F77:M77"/>
    <mergeCell ref="F210:P210"/>
    <mergeCell ref="D33:N33"/>
    <mergeCell ref="V281:Y281"/>
    <mergeCell ref="G231:J231"/>
    <mergeCell ref="S280:T280"/>
    <mergeCell ref="D333:E333"/>
    <mergeCell ref="AF318:AK318"/>
    <mergeCell ref="V241:Y241"/>
    <mergeCell ref="S348:AE352"/>
    <mergeCell ref="T22:Z22"/>
    <mergeCell ref="U280:AE280"/>
    <mergeCell ref="D176:F177"/>
    <mergeCell ref="L22:R22"/>
    <mergeCell ref="AD82:AE82"/>
    <mergeCell ref="D270:E270"/>
    <mergeCell ref="AF82:AG82"/>
    <mergeCell ref="P25:Q25"/>
    <mergeCell ref="D51:F52"/>
    <mergeCell ref="D348:P352"/>
    <mergeCell ref="D211:F211"/>
    <mergeCell ref="V81:AC81"/>
    <mergeCell ref="G109:AT109"/>
    <mergeCell ref="D202:P208"/>
    <mergeCell ref="Z43:AI44"/>
    <mergeCell ref="Z181:AE181"/>
    <mergeCell ref="U340:AE340"/>
    <mergeCell ref="W54:X54"/>
    <mergeCell ref="AJ333:AT333"/>
    <mergeCell ref="AJ21:AP21"/>
    <mergeCell ref="F91:J91"/>
    <mergeCell ref="D40:M40"/>
    <mergeCell ref="AD77:AE77"/>
    <mergeCell ref="Z61:AI61"/>
    <mergeCell ref="H4:Z4"/>
    <mergeCell ref="D271:F271"/>
    <mergeCell ref="F93:J93"/>
    <mergeCell ref="N84:O84"/>
    <mergeCell ref="N78:O78"/>
    <mergeCell ref="D394:E394"/>
    <mergeCell ref="P78:Q78"/>
    <mergeCell ref="S250:T250"/>
    <mergeCell ref="J34:N35"/>
    <mergeCell ref="AM16:AN16"/>
    <mergeCell ref="AH282:AT288"/>
    <mergeCell ref="AJ290:AT290"/>
    <mergeCell ref="AF33:AK33"/>
    <mergeCell ref="AP91:AT91"/>
    <mergeCell ref="D158:F158"/>
    <mergeCell ref="D341:P345"/>
    <mergeCell ref="N80:O80"/>
    <mergeCell ref="S272:AE278"/>
    <mergeCell ref="C6:AR6"/>
    <mergeCell ref="AH326:AI326"/>
    <mergeCell ref="AP93:AT93"/>
    <mergeCell ref="K91:M91"/>
    <mergeCell ref="AJ386:AT386"/>
    <mergeCell ref="F280:P280"/>
    <mergeCell ref="S26:AD27"/>
    <mergeCell ref="D102:AT102"/>
    <mergeCell ref="S379:AE384"/>
    <mergeCell ref="F83:M83"/>
    <mergeCell ref="K211:P211"/>
    <mergeCell ref="AQ50:AR50"/>
    <mergeCell ref="AH334:AT338"/>
    <mergeCell ref="V77:AC77"/>
    <mergeCell ref="D133:AT133"/>
    <mergeCell ref="F85:M85"/>
    <mergeCell ref="S290:T290"/>
    <mergeCell ref="AK42:AT42"/>
    <mergeCell ref="D121:F121"/>
    <mergeCell ref="AG92:AI92"/>
    <mergeCell ref="AK181:AN181"/>
    <mergeCell ref="Z191:AE191"/>
    <mergeCell ref="S252:AE258"/>
    <mergeCell ref="AF83:AG83"/>
    <mergeCell ref="S354:T354"/>
    <mergeCell ref="AO251:AT251"/>
    <mergeCell ref="G176:AH176"/>
    <mergeCell ref="AH262:AT268"/>
    <mergeCell ref="D115:F115"/>
    <mergeCell ref="AD85:AE85"/>
    <mergeCell ref="D199:AT199"/>
    <mergeCell ref="AJ270:AT270"/>
    <mergeCell ref="AF85:AG85"/>
    <mergeCell ref="Z291:AE291"/>
    <mergeCell ref="Z50:AI50"/>
    <mergeCell ref="D252:P258"/>
    <mergeCell ref="U347:AE347"/>
    <mergeCell ref="AK73:AT73"/>
    <mergeCell ref="AK80:AT81"/>
    <mergeCell ref="D25:N25"/>
    <mergeCell ref="D61:M61"/>
    <mergeCell ref="AH251:AJ251"/>
    <mergeCell ref="S291:U291"/>
    <mergeCell ref="U362:AE362"/>
    <mergeCell ref="X91:Z91"/>
    <mergeCell ref="AK191:AN191"/>
    <mergeCell ref="S241:U241"/>
    <mergeCell ref="D281:F281"/>
    <mergeCell ref="W57:X57"/>
    <mergeCell ref="G127:AT127"/>
    <mergeCell ref="D62:M62"/>
    <mergeCell ref="S301:T301"/>
    <mergeCell ref="AS50:AT50"/>
    <mergeCell ref="V79:AC79"/>
    <mergeCell ref="D103:F103"/>
    <mergeCell ref="AD78:AE78"/>
    <mergeCell ref="N81:O81"/>
    <mergeCell ref="AF78:AG78"/>
    <mergeCell ref="P81:Q81"/>
    <mergeCell ref="AH200:AI200"/>
    <mergeCell ref="S240:T240"/>
    <mergeCell ref="F94:J94"/>
    <mergeCell ref="AD80:AE80"/>
    <mergeCell ref="AF80:AG80"/>
    <mergeCell ref="D30:H31"/>
    <mergeCell ref="AH58:AI58"/>
    <mergeCell ref="S387:AE392"/>
    <mergeCell ref="V74:AC74"/>
    <mergeCell ref="G140:AT140"/>
    <mergeCell ref="W62:X62"/>
    <mergeCell ref="D53:K53"/>
    <mergeCell ref="S221:U221"/>
    <mergeCell ref="AH281:AJ281"/>
    <mergeCell ref="S212:AE218"/>
    <mergeCell ref="L54:M54"/>
    <mergeCell ref="AH260:AI260"/>
    <mergeCell ref="AO241:AT241"/>
    <mergeCell ref="K92:M92"/>
    <mergeCell ref="AJ260:AT260"/>
    <mergeCell ref="Z281:AE281"/>
    <mergeCell ref="AB22:AH22"/>
    <mergeCell ref="K231:P231"/>
    <mergeCell ref="X11:AF11"/>
    <mergeCell ref="O44:X44"/>
    <mergeCell ref="AH303:AT309"/>
    <mergeCell ref="Z241:AE241"/>
    <mergeCell ref="AS53:AT53"/>
    <mergeCell ref="AU6:AU153"/>
    <mergeCell ref="K281:P281"/>
    <mergeCell ref="AH57:AI57"/>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3 Z15 AF96 AF148 AK14 AK51 AK84 AK87 AN96">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0" showDropDown="0" showInputMessage="0" showErrorMessage="0" allowBlank="1" type="list">
      <formula1>"FORÇA,DESTREZA"</formula1>
    </dataValidation>
    <dataValidation sqref="K90:K95 X90:X94 Z62 AE65 AK62"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1 AQ15 AQ51 AS15 AS51"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3 O43" showDropDown="0" showInputMessage="0" showErrorMessage="0" allowBlank="1" type="list">
      <formula1>"0,1,2,3"</formula1>
    </dataValidation>
    <dataValidation sqref="D40" showDropDown="0" showInputMessage="0" showErrorMessage="0" allowBlank="1" type="list">
      <formula1>"Escolha o descanso,Curto · lugar propício,Curto · fora,Longo · lugar propício,Longo · fora"</formula1>
    </dataValidation>
    <dataValidation sqref="AK76"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5" t="n"/>
      <c r="T6" s="125" t="n"/>
      <c r="U6" s="125" t="n"/>
    </row>
    <row r="7">
      <c r="A7" s="8" t="n"/>
      <c r="B7" s="14" t="n"/>
      <c r="C7" s="125" t="n"/>
      <c r="D7" s="126" t="inlineStr">
        <is>
          <t>Técnica</t>
        </is>
      </c>
      <c r="E7" s="126" t="inlineStr">
        <is>
          <t>Orçamento</t>
        </is>
      </c>
      <c r="F7" s="126" t="inlineStr">
        <is>
          <t>Feitiços</t>
        </is>
      </c>
      <c r="G7" s="126" t="inlineStr">
        <is>
          <t>Classe 0</t>
        </is>
      </c>
      <c r="H7" s="17" t="n"/>
      <c r="I7" s="125" t="n"/>
      <c r="J7" s="126" t="inlineStr">
        <is>
          <t>Liberação</t>
        </is>
      </c>
      <c r="K7" s="126" t="inlineStr">
        <is>
          <t>T. Máxima</t>
        </is>
      </c>
      <c r="L7" s="126" t="inlineStr">
        <is>
          <t>Domínio</t>
        </is>
      </c>
      <c r="M7" s="126" t="inlineStr">
        <is>
          <t>Talentos</t>
        </is>
      </c>
      <c r="N7" s="17" t="n"/>
      <c r="O7" s="125" t="n"/>
      <c r="P7" s="126" t="inlineStr">
        <is>
          <t>Aptidões</t>
        </is>
      </c>
      <c r="Q7" s="126" t="inlineStr">
        <is>
          <t>Pactos</t>
        </is>
      </c>
      <c r="R7" s="127" t="inlineStr">
        <is>
          <t>← Clique num nome para ir à seção</t>
        </is>
      </c>
      <c r="U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row>
    <row r="9">
      <c r="B9" s="22" t="n"/>
      <c r="C9" s="125" t="n"/>
      <c r="D9" s="128" t="inlineStr">
        <is>
          <t>TÉCNICA</t>
        </is>
      </c>
      <c r="E9" s="19" t="n"/>
      <c r="F9" s="19" t="n"/>
      <c r="G9" s="19" t="n"/>
      <c r="H9" s="19" t="n"/>
      <c r="I9" s="19" t="n"/>
      <c r="J9" s="19" t="n"/>
      <c r="K9" s="19" t="n"/>
      <c r="L9" s="19" t="n"/>
      <c r="M9" s="19" t="n"/>
      <c r="N9" s="19" t="n"/>
      <c r="O9" s="19" t="n"/>
      <c r="P9" s="19" t="n"/>
      <c r="Q9" s="19" t="n"/>
      <c r="R9" s="19" t="n"/>
      <c r="S9" s="19" t="n"/>
      <c r="T9" s="20" t="n"/>
      <c r="U9" s="125" t="n"/>
    </row>
    <row r="10">
      <c r="B10" s="22" t="n"/>
      <c r="C10" s="125" t="n"/>
      <c r="D10" s="23" t="n"/>
      <c r="E10" s="24" t="n"/>
      <c r="F10" s="24" t="n"/>
      <c r="G10" s="24" t="n"/>
      <c r="H10" s="24" t="n"/>
      <c r="I10" s="24" t="n"/>
      <c r="J10" s="24" t="n"/>
      <c r="K10" s="24" t="n"/>
      <c r="L10" s="24" t="n"/>
      <c r="M10" s="24" t="n"/>
      <c r="N10" s="24" t="n"/>
      <c r="O10" s="24" t="n"/>
      <c r="P10" s="24" t="n"/>
      <c r="Q10" s="24" t="n"/>
      <c r="R10" s="24" t="n"/>
      <c r="S10" s="24" t="n"/>
      <c r="T10" s="25" t="n"/>
      <c r="U10" s="125" t="n"/>
    </row>
    <row r="11" outlineLevel="1">
      <c r="B11" s="22" t="n"/>
      <c r="C11" s="125" t="n"/>
      <c r="D11" s="55" t="inlineStr">
        <is>
          <t>NOME DA TÉCNICA</t>
        </is>
      </c>
      <c r="E11" s="16" t="n"/>
      <c r="F11" s="16" t="n"/>
      <c r="G11" s="16" t="n"/>
      <c r="H11" s="17" t="n"/>
      <c r="I11" s="125" t="n"/>
      <c r="J11" s="55" t="inlineStr">
        <is>
          <t>TIPO DE DANO</t>
        </is>
      </c>
      <c r="K11" s="17" t="n"/>
      <c r="L11" s="55" t="inlineStr">
        <is>
          <t>ATRIBUTO DA TÉCNICA</t>
        </is>
      </c>
      <c r="M11" s="16" t="n"/>
      <c r="N11" s="17" t="n"/>
      <c r="O11" s="125" t="n"/>
      <c r="P11" s="55" t="inlineStr">
        <is>
          <t>CONJURAÇÃO</t>
        </is>
      </c>
      <c r="Q11" s="17" t="n"/>
      <c r="R11" s="55" t="inlineStr">
        <is>
          <t>CD</t>
        </is>
      </c>
      <c r="S11" s="16" t="n"/>
      <c r="T11" s="17" t="n"/>
      <c r="U11" s="125" t="n"/>
    </row>
    <row r="12" outlineLevel="1">
      <c r="B12" s="22" t="n"/>
      <c r="C12" s="125" t="n"/>
      <c r="D12" s="84">
        <f>DADOS_AM!$KT$2</f>
        <v/>
      </c>
      <c r="E12" s="19" t="n"/>
      <c r="F12" s="19" t="n"/>
      <c r="G12" s="19" t="n"/>
      <c r="H12" s="20" t="n"/>
      <c r="I12" s="125" t="n"/>
      <c r="J12" s="84" t="n"/>
      <c r="K12" s="20" t="n"/>
      <c r="L12" s="84">
        <f>DADOS_AM!$KT$3</f>
        <v/>
      </c>
      <c r="M12" s="19" t="n"/>
      <c r="N12" s="20" t="n"/>
      <c r="O12" s="125" t="n"/>
      <c r="P12" s="98">
        <f>DADOS_AM!$KT$4</f>
        <v/>
      </c>
      <c r="Q12" s="20" t="n"/>
      <c r="R12" s="98">
        <f>DADOS_AM!$KT$5</f>
        <v/>
      </c>
      <c r="S12" s="19" t="n"/>
      <c r="T12" s="20" t="n"/>
      <c r="U12" s="125" t="n"/>
    </row>
    <row r="13" outlineLevel="1">
      <c r="B13" s="22" t="n"/>
      <c r="C13" s="125" t="n"/>
      <c r="D13" s="23" t="n"/>
      <c r="E13" s="24" t="n"/>
      <c r="F13" s="24" t="n"/>
      <c r="G13" s="24" t="n"/>
      <c r="H13" s="25" t="n"/>
      <c r="I13" s="125" t="n"/>
      <c r="J13" s="23" t="n"/>
      <c r="K13" s="25" t="n"/>
      <c r="L13" s="23" t="n"/>
      <c r="M13" s="24" t="n"/>
      <c r="N13" s="25" t="n"/>
      <c r="O13" s="125" t="n"/>
      <c r="P13" s="23" t="n"/>
      <c r="Q13" s="25" t="n"/>
      <c r="R13" s="23" t="n"/>
      <c r="S13" s="24" t="n"/>
      <c r="T13" s="25" t="n"/>
      <c r="U13" s="125" t="n"/>
    </row>
    <row r="14" outlineLevel="1">
      <c r="B14" s="22" t="n"/>
      <c r="C14" s="125" t="n"/>
      <c r="D14" s="125" t="n"/>
      <c r="E14" s="125" t="n"/>
      <c r="F14" s="125" t="n"/>
      <c r="G14" s="125" t="n"/>
      <c r="H14" s="125" t="n"/>
      <c r="I14" s="125" t="n"/>
      <c r="J14" s="125" t="n"/>
      <c r="K14" s="125" t="n"/>
      <c r="L14" s="125" t="n"/>
      <c r="M14" s="125" t="n"/>
      <c r="N14" s="125" t="n"/>
      <c r="O14" s="125" t="n"/>
      <c r="P14" s="125" t="n"/>
      <c r="Q14" s="125" t="n"/>
      <c r="R14" s="125" t="n"/>
      <c r="S14" s="125" t="n"/>
      <c r="T14" s="125" t="n"/>
      <c r="U14" s="125" t="n"/>
    </row>
    <row r="15" outlineLevel="1">
      <c r="B15" s="22" t="n"/>
      <c r="C15" s="125" t="n"/>
      <c r="D15" s="55" t="inlineStr">
        <is>
          <t>ROTA</t>
        </is>
      </c>
      <c r="E15" s="16" t="n"/>
      <c r="F15" s="16" t="n"/>
      <c r="G15" s="16" t="n"/>
      <c r="H15" s="17" t="n"/>
      <c r="I15" s="125" t="n"/>
      <c r="J15" s="55">
        <f>DADOS_AM!$KT$6</f>
        <v/>
      </c>
      <c r="K15" s="16" t="n"/>
      <c r="L15" s="16" t="n"/>
      <c r="M15" s="16" t="n"/>
      <c r="N15" s="17" t="n"/>
      <c r="O15" s="125" t="n"/>
      <c r="P15" s="55">
        <f>DADOS_AM!$KT$7</f>
        <v/>
      </c>
      <c r="Q15" s="16" t="n"/>
      <c r="R15" s="16" t="n"/>
      <c r="S15" s="16" t="n"/>
      <c r="T15" s="17" t="n"/>
      <c r="U15" s="125" t="n"/>
    </row>
    <row r="16" outlineLevel="1">
      <c r="B16" s="22" t="n"/>
      <c r="C16" s="125" t="n"/>
      <c r="D16" s="89">
        <f>DADOS_AM!$KT$8</f>
        <v/>
      </c>
      <c r="E16" s="16" t="n"/>
      <c r="F16" s="16" t="n"/>
      <c r="G16" s="16" t="n"/>
      <c r="H16" s="17" t="n"/>
      <c r="I16" s="125" t="n"/>
      <c r="J16" s="89" t="n"/>
      <c r="K16" s="16" t="n"/>
      <c r="L16" s="16" t="n"/>
      <c r="M16" s="16" t="n"/>
      <c r="N16" s="17" t="n"/>
      <c r="O16" s="125" t="n"/>
      <c r="P16" s="89">
        <f>DADOS_AM!$KT$9</f>
        <v/>
      </c>
      <c r="Q16" s="16" t="n"/>
      <c r="R16" s="16" t="n"/>
      <c r="S16" s="16" t="n"/>
      <c r="T16" s="17" t="n"/>
      <c r="U16" s="125" t="n"/>
    </row>
    <row r="17" outlineLevel="1">
      <c r="B17" s="22" t="n"/>
      <c r="C17" s="125" t="n"/>
      <c r="D17" s="55">
        <f>DADOS_AM!$KT$10</f>
        <v/>
      </c>
      <c r="E17" s="16" t="n"/>
      <c r="F17" s="16" t="n"/>
      <c r="G17" s="16" t="n"/>
      <c r="H17" s="17" t="n"/>
      <c r="I17" s="125" t="n"/>
      <c r="J17" s="55">
        <f>DADOS_AM!$KT$12</f>
        <v/>
      </c>
      <c r="K17" s="16" t="n"/>
      <c r="L17" s="16" t="n"/>
      <c r="M17" s="16" t="n"/>
      <c r="N17" s="17" t="n"/>
      <c r="O17" s="125" t="n"/>
      <c r="P17" s="55">
        <f>DADOS_AM!$KT$14</f>
        <v/>
      </c>
      <c r="Q17" s="16" t="n"/>
      <c r="R17" s="16" t="n"/>
      <c r="S17" s="16" t="n"/>
      <c r="T17" s="17" t="n"/>
      <c r="U17" s="125" t="n"/>
    </row>
    <row r="18" outlineLevel="1">
      <c r="B18" s="22" t="n"/>
      <c r="C18" s="125" t="n"/>
      <c r="D18" s="89" t="n"/>
      <c r="E18" s="16" t="n"/>
      <c r="F18" s="16" t="n"/>
      <c r="G18" s="16" t="n"/>
      <c r="H18" s="17" t="n"/>
      <c r="I18" s="125" t="n"/>
      <c r="J18" s="89" t="n"/>
      <c r="K18" s="16" t="n"/>
      <c r="L18" s="16" t="n"/>
      <c r="M18" s="16" t="n"/>
      <c r="N18" s="17" t="n"/>
      <c r="O18" s="125" t="n"/>
      <c r="P18" s="89" t="n"/>
      <c r="Q18" s="16" t="n"/>
      <c r="R18" s="16" t="n"/>
      <c r="S18" s="16" t="n"/>
      <c r="T18" s="17" t="n"/>
      <c r="U18" s="125" t="n"/>
    </row>
    <row r="19" outlineLevel="1">
      <c r="B19" s="22" t="n"/>
      <c r="C19" s="125" t="n"/>
      <c r="D19" s="89">
        <f>DADOS_AM!$KT$11</f>
        <v/>
      </c>
      <c r="E19" s="16" t="n"/>
      <c r="F19" s="16" t="n"/>
      <c r="G19" s="16" t="n"/>
      <c r="H19" s="17" t="n"/>
      <c r="I19" s="125" t="n"/>
      <c r="J19" s="89">
        <f>DADOS_AM!$KT$13</f>
        <v/>
      </c>
      <c r="K19" s="16" t="n"/>
      <c r="L19" s="16" t="n"/>
      <c r="M19" s="16" t="n"/>
      <c r="N19" s="17" t="n"/>
      <c r="O19" s="125" t="n"/>
      <c r="P19" s="89">
        <f>DADOS_AM!$KT$15</f>
        <v/>
      </c>
      <c r="Q19" s="16" t="n"/>
      <c r="R19" s="16" t="n"/>
      <c r="S19" s="16" t="n"/>
      <c r="T19" s="17" t="n"/>
      <c r="U19" s="125" t="n"/>
    </row>
    <row r="20" outlineLevel="1">
      <c r="B20" s="22" t="n"/>
      <c r="C20" s="125" t="n"/>
      <c r="D20" s="125" t="n"/>
      <c r="E20" s="125" t="n"/>
      <c r="F20" s="125" t="n"/>
      <c r="G20" s="125" t="n"/>
      <c r="H20" s="125" t="n"/>
      <c r="I20" s="125" t="n"/>
      <c r="J20" s="125" t="n"/>
      <c r="K20" s="125" t="n"/>
      <c r="L20" s="125" t="n"/>
      <c r="M20" s="125" t="n"/>
      <c r="N20" s="125" t="n"/>
      <c r="O20" s="125" t="n"/>
      <c r="P20" s="125" t="n"/>
      <c r="Q20" s="125" t="n"/>
      <c r="R20" s="125" t="n"/>
      <c r="S20" s="125" t="n"/>
      <c r="T20" s="125" t="n"/>
      <c r="U20" s="125" t="n"/>
    </row>
    <row r="21" outlineLevel="1">
      <c r="B21" s="22" t="n"/>
      <c r="C21" s="125" t="n"/>
      <c r="D21" s="55" t="inlineStr">
        <is>
          <t>REGRA</t>
        </is>
      </c>
      <c r="E21" s="16" t="n"/>
      <c r="F21" s="16" t="n"/>
      <c r="G21" s="16" t="n"/>
      <c r="H21" s="16" t="n"/>
      <c r="I21" s="16" t="n"/>
      <c r="J21" s="16" t="n"/>
      <c r="K21" s="16" t="n"/>
      <c r="L21" s="16" t="n"/>
      <c r="M21" s="16" t="n"/>
      <c r="N21" s="16" t="n"/>
      <c r="O21" s="16" t="n"/>
      <c r="P21" s="16" t="n"/>
      <c r="Q21" s="16" t="n"/>
      <c r="R21" s="16" t="n"/>
      <c r="S21" s="16" t="n"/>
      <c r="T21" s="17" t="n"/>
      <c r="U21" s="125" t="n"/>
    </row>
    <row r="22" outlineLevel="1">
      <c r="B22" s="22" t="n"/>
      <c r="C22" s="125" t="n"/>
      <c r="D22" s="121" t="n"/>
      <c r="E22" s="19" t="n"/>
      <c r="F22" s="19" t="n"/>
      <c r="G22" s="19" t="n"/>
      <c r="H22" s="19" t="n"/>
      <c r="I22" s="19" t="n"/>
      <c r="J22" s="19" t="n"/>
      <c r="K22" s="19" t="n"/>
      <c r="L22" s="19" t="n"/>
      <c r="M22" s="19" t="n"/>
      <c r="N22" s="19" t="n"/>
      <c r="O22" s="19" t="n"/>
      <c r="P22" s="19" t="n"/>
      <c r="Q22" s="19" t="n"/>
      <c r="R22" s="19" t="n"/>
      <c r="S22" s="19" t="n"/>
      <c r="T22" s="20" t="n"/>
      <c r="U22" s="125" t="n"/>
    </row>
    <row r="23" outlineLevel="1">
      <c r="B23" s="22" t="n"/>
      <c r="C23" s="125" t="n"/>
      <c r="D23" s="23" t="n"/>
      <c r="E23" s="24" t="n"/>
      <c r="F23" s="24" t="n"/>
      <c r="G23" s="24" t="n"/>
      <c r="H23" s="24" t="n"/>
      <c r="I23" s="24" t="n"/>
      <c r="J23" s="24" t="n"/>
      <c r="K23" s="24" t="n"/>
      <c r="L23" s="24" t="n"/>
      <c r="M23" s="24" t="n"/>
      <c r="N23" s="24" t="n"/>
      <c r="O23" s="24" t="n"/>
      <c r="P23" s="24" t="n"/>
      <c r="Q23" s="24" t="n"/>
      <c r="R23" s="24" t="n"/>
      <c r="S23" s="24" t="n"/>
      <c r="T23" s="25" t="n"/>
      <c r="U23" s="125" t="n"/>
    </row>
    <row r="24" outlineLevel="1">
      <c r="B24" s="22" t="n"/>
      <c r="C24" s="125" t="n"/>
      <c r="D24" s="125" t="n"/>
      <c r="E24" s="125" t="n"/>
      <c r="F24" s="125" t="n"/>
      <c r="G24" s="125" t="n"/>
      <c r="H24" s="125" t="n"/>
      <c r="I24" s="125" t="n"/>
      <c r="J24" s="125" t="n"/>
      <c r="K24" s="125" t="n"/>
      <c r="L24" s="125" t="n"/>
      <c r="M24" s="125" t="n"/>
      <c r="N24" s="125" t="n"/>
      <c r="O24" s="125" t="n"/>
      <c r="P24" s="125" t="n"/>
      <c r="Q24" s="125" t="n"/>
      <c r="R24" s="125" t="n"/>
      <c r="S24" s="125" t="n"/>
      <c r="T24" s="125" t="n"/>
      <c r="U24" s="125" t="n"/>
    </row>
    <row r="25" outlineLevel="1">
      <c r="B25" s="22" t="n"/>
      <c r="C25" s="125"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5" t="n"/>
    </row>
    <row r="26" outlineLevel="1">
      <c r="B26" s="22" t="n"/>
      <c r="C26" s="125" t="n"/>
      <c r="D26" s="121" t="n"/>
      <c r="E26" s="19" t="n"/>
      <c r="F26" s="19" t="n"/>
      <c r="G26" s="19" t="n"/>
      <c r="H26" s="19" t="n"/>
      <c r="I26" s="19" t="n"/>
      <c r="J26" s="19" t="n"/>
      <c r="K26" s="20" t="n"/>
      <c r="L26" s="121" t="n"/>
      <c r="M26" s="19" t="n"/>
      <c r="N26" s="19" t="n"/>
      <c r="O26" s="19" t="n"/>
      <c r="P26" s="19" t="n"/>
      <c r="Q26" s="19" t="n"/>
      <c r="R26" s="19" t="n"/>
      <c r="S26" s="19" t="n"/>
      <c r="T26" s="20" t="n"/>
      <c r="U26" s="125" t="n"/>
    </row>
    <row r="27" outlineLevel="1">
      <c r="B27" s="22" t="n"/>
      <c r="C27" s="125" t="n"/>
      <c r="D27" s="21" t="n"/>
      <c r="K27" s="22" t="n"/>
      <c r="L27" s="23" t="n"/>
      <c r="M27" s="24" t="n"/>
      <c r="N27" s="24" t="n"/>
      <c r="O27" s="24" t="n"/>
      <c r="P27" s="24" t="n"/>
      <c r="Q27" s="24" t="n"/>
      <c r="R27" s="24" t="n"/>
      <c r="S27" s="24" t="n"/>
      <c r="T27" s="25" t="n"/>
      <c r="U27" s="125" t="n"/>
    </row>
    <row r="28" outlineLevel="1">
      <c r="B28" s="22" t="n"/>
      <c r="C28" s="125" t="n"/>
      <c r="D28" s="21" t="n"/>
      <c r="K28" s="22" t="n"/>
      <c r="L28" s="55" t="inlineStr">
        <is>
          <t>EXPRESSÃO DA TÉCNICA</t>
        </is>
      </c>
      <c r="M28" s="16" t="n"/>
      <c r="N28" s="16" t="n"/>
      <c r="O28" s="16" t="n"/>
      <c r="P28" s="16" t="n"/>
      <c r="Q28" s="16" t="n"/>
      <c r="R28" s="16" t="n"/>
      <c r="S28" s="16" t="n"/>
      <c r="T28" s="17" t="n"/>
      <c r="U28" s="125" t="n"/>
    </row>
    <row r="29" outlineLevel="1">
      <c r="B29" s="22" t="n"/>
      <c r="C29" s="125" t="n"/>
      <c r="D29" s="21" t="n"/>
      <c r="K29" s="22" t="n"/>
      <c r="L29" s="121" t="n"/>
      <c r="M29" s="19" t="n"/>
      <c r="N29" s="19" t="n"/>
      <c r="O29" s="19" t="n"/>
      <c r="P29" s="19" t="n"/>
      <c r="Q29" s="19" t="n"/>
      <c r="R29" s="19" t="n"/>
      <c r="S29" s="19" t="n"/>
      <c r="T29" s="20" t="n"/>
      <c r="U29" s="125" t="n"/>
    </row>
    <row r="30" outlineLevel="1">
      <c r="A30" s="8" t="n"/>
      <c r="B30" s="14" t="n"/>
      <c r="C30" s="125" t="n"/>
      <c r="D30" s="23" t="n"/>
      <c r="E30" s="24" t="n"/>
      <c r="F30" s="24" t="n"/>
      <c r="G30" s="24" t="n"/>
      <c r="H30" s="24" t="n"/>
      <c r="I30" s="24" t="n"/>
      <c r="J30" s="24" t="n"/>
      <c r="K30" s="25" t="n"/>
      <c r="L30" s="23" t="n"/>
      <c r="M30" s="24" t="n"/>
      <c r="N30" s="24" t="n"/>
      <c r="O30" s="24" t="n"/>
      <c r="P30" s="24" t="n"/>
      <c r="Q30" s="24" t="n"/>
      <c r="R30" s="24" t="n"/>
      <c r="S30" s="24" t="n"/>
      <c r="T30" s="25" t="n"/>
      <c r="U30" s="125" t="n"/>
    </row>
    <row r="31" outlineLevel="1">
      <c r="A31" s="8" t="n"/>
      <c r="B31" s="14" t="n"/>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row>
    <row r="32" outlineLevel="1">
      <c r="A32" s="8" t="n"/>
      <c r="B32" s="14" t="n"/>
      <c r="C32" s="125" t="n"/>
      <c r="D32" s="55" t="inlineStr">
        <is>
          <t>REGRA PRÓPRIA</t>
        </is>
      </c>
      <c r="E32" s="16" t="n"/>
      <c r="F32" s="16" t="n"/>
      <c r="G32" s="16" t="n"/>
      <c r="H32" s="16" t="n"/>
      <c r="I32" s="16" t="n"/>
      <c r="J32" s="16" t="n"/>
      <c r="K32" s="16" t="n"/>
      <c r="L32" s="16" t="n"/>
      <c r="M32" s="16" t="n"/>
      <c r="N32" s="17" t="n"/>
      <c r="O32" s="125" t="n"/>
      <c r="P32" s="55" t="inlineStr">
        <is>
          <t>CATEGORIA</t>
        </is>
      </c>
      <c r="Q32" s="17" t="n"/>
      <c r="R32" s="55" t="inlineStr">
        <is>
          <t>ESPAÇOS</t>
        </is>
      </c>
      <c r="S32" s="16" t="n"/>
      <c r="T32" s="17" t="n"/>
      <c r="U32" s="125" t="n"/>
    </row>
    <row r="33" outlineLevel="1">
      <c r="A33" s="48" t="inlineStr">
        <is>
          <t>FICHA AMALDIÇOADA</t>
        </is>
      </c>
      <c r="B33" s="22" t="n"/>
      <c r="C33" s="125" t="n"/>
      <c r="D33" s="121" t="n"/>
      <c r="E33" s="19" t="n"/>
      <c r="F33" s="19" t="n"/>
      <c r="G33" s="19" t="n"/>
      <c r="H33" s="19" t="n"/>
      <c r="I33" s="19" t="n"/>
      <c r="J33" s="19" t="n"/>
      <c r="K33" s="19" t="n"/>
      <c r="L33" s="19" t="n"/>
      <c r="M33" s="19" t="n"/>
      <c r="N33" s="20" t="n"/>
      <c r="O33" s="125" t="n"/>
      <c r="P33" s="89" t="n"/>
      <c r="Q33" s="20" t="n"/>
      <c r="R33" s="89">
        <f>DADOS_AM!$KT$17</f>
        <v/>
      </c>
      <c r="S33" s="19" t="n"/>
      <c r="T33" s="20" t="n"/>
      <c r="U33" s="125" t="n"/>
    </row>
    <row r="34" outlineLevel="1">
      <c r="B34" s="22" t="n"/>
      <c r="C34" s="125" t="n"/>
      <c r="D34" s="23" t="n"/>
      <c r="E34" s="24" t="n"/>
      <c r="F34" s="24" t="n"/>
      <c r="G34" s="24" t="n"/>
      <c r="H34" s="24" t="n"/>
      <c r="I34" s="24" t="n"/>
      <c r="J34" s="24" t="n"/>
      <c r="K34" s="24" t="n"/>
      <c r="L34" s="24" t="n"/>
      <c r="M34" s="24" t="n"/>
      <c r="N34" s="25" t="n"/>
      <c r="O34" s="125" t="n"/>
      <c r="P34" s="23" t="n"/>
      <c r="Q34" s="25" t="n"/>
      <c r="R34" s="23" t="n"/>
      <c r="S34" s="24" t="n"/>
      <c r="T34" s="25" t="n"/>
      <c r="U34" s="125" t="n"/>
    </row>
    <row r="35" outlineLevel="1">
      <c r="B35" s="22" t="n"/>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row>
    <row r="36" outlineLevel="1">
      <c r="B36" s="22" t="n"/>
      <c r="C36" s="125" t="n"/>
      <c r="D36" s="55" t="inlineStr">
        <is>
          <t>ALCANCE</t>
        </is>
      </c>
      <c r="E36" s="55" t="inlineStr">
        <is>
          <t>ÁREA</t>
        </is>
      </c>
      <c r="F36" s="55" t="inlineStr">
        <is>
          <t>MIRA</t>
        </is>
      </c>
      <c r="G36" s="55" t="inlineStr">
        <is>
          <t>CONTROLE</t>
        </is>
      </c>
      <c r="H36" s="17" t="n"/>
      <c r="I36" s="125" t="n"/>
      <c r="J36" s="55" t="inlineStr">
        <is>
          <t>AUXILIARES</t>
        </is>
      </c>
      <c r="K36" s="55" t="inlineStr">
        <is>
          <t>CASTIGO</t>
        </is>
      </c>
      <c r="L36" s="55" t="inlineStr">
        <is>
          <t>TEMPO</t>
        </is>
      </c>
      <c r="M36" s="55" t="inlineStr">
        <is>
          <t>MARCA</t>
        </is>
      </c>
      <c r="N36" s="17" t="n"/>
      <c r="O36" s="125" t="n"/>
      <c r="P36" s="55" t="inlineStr">
        <is>
          <t>AMPARO</t>
        </is>
      </c>
      <c r="Q36" s="55" t="inlineStr">
        <is>
          <t>LIVRES · FECHADAS</t>
        </is>
      </c>
      <c r="R36" s="16" t="n"/>
      <c r="S36" s="16" t="n"/>
      <c r="T36" s="17" t="n"/>
      <c r="U36" s="125" t="n"/>
    </row>
    <row r="37" outlineLevel="1">
      <c r="B37" s="22" t="n"/>
      <c r="C37" s="125" t="n"/>
      <c r="D37" s="89" t="inlineStr">
        <is>
          <t>Neutra</t>
        </is>
      </c>
      <c r="E37" s="89" t="inlineStr">
        <is>
          <t>Neutra</t>
        </is>
      </c>
      <c r="F37" s="89" t="inlineStr">
        <is>
          <t>Neutra</t>
        </is>
      </c>
      <c r="G37" s="89" t="inlineStr">
        <is>
          <t>Neutra</t>
        </is>
      </c>
      <c r="H37" s="17" t="n"/>
      <c r="I37" s="125" t="n"/>
      <c r="J37" s="89" t="inlineStr">
        <is>
          <t>Neutra</t>
        </is>
      </c>
      <c r="K37" s="89" t="inlineStr">
        <is>
          <t>Neutra</t>
        </is>
      </c>
      <c r="L37" s="89" t="inlineStr">
        <is>
          <t>Neutra</t>
        </is>
      </c>
      <c r="M37" s="89" t="inlineStr">
        <is>
          <t>Neutra</t>
        </is>
      </c>
      <c r="N37" s="17" t="n"/>
      <c r="O37" s="125" t="n"/>
      <c r="P37" s="89" t="inlineStr">
        <is>
          <t>Neutra</t>
        </is>
      </c>
      <c r="Q37" s="89">
        <f>DADOS_AM!$KT$18</f>
        <v/>
      </c>
      <c r="R37" s="16" t="n"/>
      <c r="S37" s="16" t="n"/>
      <c r="T37" s="17" t="n"/>
      <c r="U37" s="125" t="n"/>
    </row>
    <row r="38">
      <c r="B38" s="22" t="n"/>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row>
    <row r="39">
      <c r="B39" s="22" t="n"/>
      <c r="C39" s="125" t="n"/>
      <c r="D39" s="128" t="inlineStr">
        <is>
          <t>ORÇAMENTO</t>
        </is>
      </c>
      <c r="E39" s="19" t="n"/>
      <c r="F39" s="19" t="n"/>
      <c r="G39" s="19" t="n"/>
      <c r="H39" s="19" t="n"/>
      <c r="I39" s="19" t="n"/>
      <c r="J39" s="19" t="n"/>
      <c r="K39" s="19" t="n"/>
      <c r="L39" s="19" t="n"/>
      <c r="M39" s="19" t="n"/>
      <c r="N39" s="19" t="n"/>
      <c r="O39" s="19" t="n"/>
      <c r="P39" s="19" t="n"/>
      <c r="Q39" s="19" t="n"/>
      <c r="R39" s="19" t="n"/>
      <c r="S39" s="19" t="n"/>
      <c r="T39" s="20" t="n"/>
      <c r="U39" s="125" t="n"/>
    </row>
    <row r="40">
      <c r="B40" s="22" t="n"/>
      <c r="C40" s="125" t="n"/>
      <c r="D40" s="23" t="n"/>
      <c r="E40" s="24" t="n"/>
      <c r="F40" s="24" t="n"/>
      <c r="G40" s="24" t="n"/>
      <c r="H40" s="24" t="n"/>
      <c r="I40" s="24" t="n"/>
      <c r="J40" s="24" t="n"/>
      <c r="K40" s="24" t="n"/>
      <c r="L40" s="24" t="n"/>
      <c r="M40" s="24" t="n"/>
      <c r="N40" s="24" t="n"/>
      <c r="O40" s="24" t="n"/>
      <c r="P40" s="24" t="n"/>
      <c r="Q40" s="24" t="n"/>
      <c r="R40" s="24" t="n"/>
      <c r="S40" s="24" t="n"/>
      <c r="T40" s="25" t="n"/>
      <c r="U40" s="125" t="n"/>
    </row>
    <row r="41" outlineLevel="1">
      <c r="B41" s="22" t="n"/>
      <c r="C41" s="125" t="n"/>
      <c r="D41" s="55" t="inlineStr">
        <is>
          <t>MAIOR CLASSE</t>
        </is>
      </c>
      <c r="E41" s="17" t="n"/>
      <c r="F41" s="55" t="inlineStr">
        <is>
          <t>ESPAÇOS</t>
        </is>
      </c>
      <c r="G41" s="16" t="n"/>
      <c r="H41" s="17" t="n"/>
      <c r="I41" s="125" t="n"/>
      <c r="J41" s="55" t="inlineStr">
        <is>
          <t>DO LEQUE</t>
        </is>
      </c>
      <c r="K41" s="17" t="n"/>
      <c r="L41" s="55">
        <f>DADOS_AM!$KT$20</f>
        <v/>
      </c>
      <c r="M41" s="16" t="n"/>
      <c r="N41" s="17" t="n"/>
      <c r="O41" s="125" t="n"/>
      <c r="P41" s="55" t="inlineStr">
        <is>
          <t>EM TALENTOS</t>
        </is>
      </c>
      <c r="Q41" s="55" t="inlineStr">
        <is>
          <t>NO DOMÍNIO</t>
        </is>
      </c>
      <c r="R41" s="55" t="inlineStr">
        <is>
          <t>EM INVOCAÇÕES</t>
        </is>
      </c>
      <c r="S41" s="55" t="inlineStr">
        <is>
          <t>LIVRES</t>
        </is>
      </c>
      <c r="T41" s="17" t="n"/>
      <c r="U41" s="125" t="n"/>
    </row>
    <row r="42" outlineLevel="1">
      <c r="B42" s="22" t="n"/>
      <c r="C42" s="125" t="n"/>
      <c r="D42" s="98">
        <f>DADOS_AM!$HK$4</f>
        <v/>
      </c>
      <c r="E42" s="20" t="n"/>
      <c r="F42" s="98">
        <f>DADOS_AM!$HK$13</f>
        <v/>
      </c>
      <c r="G42" s="19" t="n"/>
      <c r="H42" s="20" t="n"/>
      <c r="I42" s="125" t="n"/>
      <c r="J42" s="98">
        <f>DADOS_AM!$KT$19</f>
        <v/>
      </c>
      <c r="K42" s="20" t="n"/>
      <c r="L42" s="98">
        <f>DADOS_AM!$HK$14</f>
        <v/>
      </c>
      <c r="M42" s="19" t="n"/>
      <c r="N42" s="20" t="n"/>
      <c r="O42" s="125" t="n"/>
      <c r="P42" s="98">
        <f>DADOS_AM!$KT$21</f>
        <v/>
      </c>
      <c r="Q42" s="98">
        <f>DADOS_AM!$KT$22</f>
        <v/>
      </c>
      <c r="R42" s="98">
        <f>DADOS_AM!$KT$23</f>
        <v/>
      </c>
      <c r="S42" s="98">
        <f>DADOS_AM!$KT$24</f>
        <v/>
      </c>
      <c r="T42" s="20" t="n"/>
      <c r="U42" s="125" t="n"/>
    </row>
    <row r="43" outlineLevel="1">
      <c r="B43" s="22" t="n"/>
      <c r="C43" s="125" t="n"/>
      <c r="D43" s="23" t="n"/>
      <c r="E43" s="25" t="n"/>
      <c r="F43" s="23" t="n"/>
      <c r="G43" s="24" t="n"/>
      <c r="H43" s="25" t="n"/>
      <c r="I43" s="125" t="n"/>
      <c r="J43" s="23" t="n"/>
      <c r="K43" s="25" t="n"/>
      <c r="L43" s="23" t="n"/>
      <c r="M43" s="24" t="n"/>
      <c r="N43" s="25" t="n"/>
      <c r="O43" s="125" t="n"/>
      <c r="P43" s="129" t="n"/>
      <c r="Q43" s="129" t="n"/>
      <c r="R43" s="129" t="n"/>
      <c r="S43" s="23" t="n"/>
      <c r="T43" s="25" t="n"/>
      <c r="U43" s="125" t="n"/>
    </row>
    <row r="44" outlineLevel="1">
      <c r="B44" s="22" t="n"/>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row>
    <row r="45" outlineLevel="1">
      <c r="B45" s="22" t="n"/>
      <c r="C45" s="125" t="n"/>
      <c r="D45" s="55" t="inlineStr">
        <is>
          <t>PREÇOS DA</t>
        </is>
      </c>
      <c r="E45" s="55" t="inlineStr">
        <is>
          <t>PONTOS E PE</t>
        </is>
      </c>
      <c r="F45" s="55" t="inlineStr">
        <is>
          <t>LEVE</t>
        </is>
      </c>
      <c r="G45" s="55" t="inlineStr">
        <is>
          <t>MÉDIA</t>
        </is>
      </c>
      <c r="H45" s="17" t="n"/>
      <c r="I45" s="125" t="n"/>
      <c r="J45" s="55" t="inlineStr">
        <is>
          <t>PESADA</t>
        </is>
      </c>
      <c r="K45" s="55" t="inlineStr">
        <is>
          <t>DEVOLUÇÃO MÁX.</t>
        </is>
      </c>
      <c r="L45" s="55" t="inlineStr">
        <is>
          <t>TETO DE DADOS</t>
        </is>
      </c>
      <c r="M45" s="55" t="inlineStr">
        <is>
          <t>MELHORIAS</t>
        </is>
      </c>
      <c r="N45" s="17" t="n"/>
      <c r="O45" s="125" t="n"/>
      <c r="P45" s="55" t="inlineStr">
        <is>
          <t>CLASSE 0</t>
        </is>
      </c>
      <c r="Q45" s="16" t="n"/>
      <c r="R45" s="16" t="n"/>
      <c r="S45" s="16" t="n"/>
      <c r="T45" s="17" t="n"/>
      <c r="U45" s="125" t="n"/>
    </row>
    <row r="46" outlineLevel="1">
      <c r="B46" s="22" t="n"/>
      <c r="C46" s="125" t="n"/>
      <c r="D46" s="130" t="n">
        <v>1</v>
      </c>
      <c r="E46" s="89">
        <f>DADOS_AM!$KT$25</f>
        <v/>
      </c>
      <c r="F46" s="89">
        <f>DADOS_AM!$KT$26</f>
        <v/>
      </c>
      <c r="G46" s="89">
        <f>DADOS_AM!$KT$27</f>
        <v/>
      </c>
      <c r="H46" s="17" t="n"/>
      <c r="I46" s="125" t="n"/>
      <c r="J46" s="89">
        <f>DADOS_AM!$KT$28</f>
        <v/>
      </c>
      <c r="K46" s="89">
        <f>DADOS_AM!$KT$29</f>
        <v/>
      </c>
      <c r="L46" s="89">
        <f>DADOS_AM!$KT$30</f>
        <v/>
      </c>
      <c r="M46" s="89">
        <f>DADOS_AM!$KT$31</f>
        <v/>
      </c>
      <c r="N46" s="17" t="n"/>
      <c r="O46" s="125" t="n"/>
      <c r="P46" s="89">
        <f>DADOS_AM!$KT$32</f>
        <v/>
      </c>
      <c r="Q46" s="16" t="n"/>
      <c r="R46" s="16" t="n"/>
      <c r="S46" s="16" t="n"/>
      <c r="T46" s="17" t="n"/>
      <c r="U46" s="125" t="n"/>
    </row>
    <row r="47">
      <c r="B47" s="22" t="n"/>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row>
    <row r="48">
      <c r="B48" s="22" t="n"/>
      <c r="C48" s="125" t="n"/>
      <c r="D48" s="128">
        <f>DADOS_AM!$KT$33</f>
        <v/>
      </c>
      <c r="E48" s="19" t="n"/>
      <c r="F48" s="19" t="n"/>
      <c r="G48" s="19" t="n"/>
      <c r="H48" s="19" t="n"/>
      <c r="I48" s="19" t="n"/>
      <c r="J48" s="19" t="n"/>
      <c r="K48" s="19" t="n"/>
      <c r="L48" s="19" t="n"/>
      <c r="M48" s="19" t="n"/>
      <c r="N48" s="19" t="n"/>
      <c r="O48" s="19" t="n"/>
      <c r="P48" s="19" t="n"/>
      <c r="Q48" s="19" t="n"/>
      <c r="R48" s="19" t="n"/>
      <c r="S48" s="19" t="n"/>
      <c r="T48" s="20" t="n"/>
      <c r="U48" s="125" t="n"/>
    </row>
    <row r="49">
      <c r="B49" s="22" t="n"/>
      <c r="C49" s="125" t="n"/>
      <c r="D49" s="23" t="n"/>
      <c r="E49" s="24" t="n"/>
      <c r="F49" s="24" t="n"/>
      <c r="G49" s="24" t="n"/>
      <c r="H49" s="24" t="n"/>
      <c r="I49" s="24" t="n"/>
      <c r="J49" s="24" t="n"/>
      <c r="K49" s="24" t="n"/>
      <c r="L49" s="24" t="n"/>
      <c r="M49" s="24" t="n"/>
      <c r="N49" s="24" t="n"/>
      <c r="O49" s="24" t="n"/>
      <c r="P49" s="24" t="n"/>
      <c r="Q49" s="24" t="n"/>
      <c r="R49" s="24" t="n"/>
      <c r="S49" s="24" t="n"/>
      <c r="T49" s="25" t="n"/>
      <c r="U49" s="125" t="n"/>
    </row>
    <row r="50" outlineLevel="1">
      <c r="B50" s="22" t="n"/>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row>
    <row r="51" outlineLevel="1">
      <c r="B51" s="22" t="n"/>
      <c r="C51" s="125" t="n"/>
      <c r="D51" s="131" t="n">
        <v>1</v>
      </c>
      <c r="E51" s="120" t="n"/>
      <c r="F51" s="17" t="n"/>
      <c r="G51" s="132">
        <f>DADOS_AM!$GN$2</f>
        <v/>
      </c>
      <c r="H51" s="17" t="n"/>
      <c r="I51" s="125" t="n"/>
      <c r="J51" s="131" t="n">
        <v>1</v>
      </c>
      <c r="K51" s="120" t="n"/>
      <c r="L51" s="17" t="n"/>
      <c r="M51" s="132">
        <f>DADOS_AM!$GN$3</f>
        <v/>
      </c>
      <c r="N51" s="17" t="n"/>
      <c r="O51" s="125" t="n"/>
      <c r="P51" s="131" t="n">
        <v>1</v>
      </c>
      <c r="Q51" s="120" t="n"/>
      <c r="R51" s="17" t="n"/>
      <c r="S51" s="132">
        <f>DADOS_AM!$GN$4</f>
        <v/>
      </c>
      <c r="T51" s="17" t="n"/>
      <c r="U51" s="125" t="n"/>
    </row>
    <row r="52" outlineLevel="2">
      <c r="B52" s="22" t="n"/>
      <c r="C52" s="125" t="n"/>
      <c r="D52" s="55" t="inlineStr">
        <is>
          <t>COMO É</t>
        </is>
      </c>
      <c r="E52" s="16" t="n"/>
      <c r="F52" s="16" t="n"/>
      <c r="G52" s="16" t="n"/>
      <c r="H52" s="17" t="n"/>
      <c r="I52" s="125" t="n"/>
      <c r="J52" s="55" t="inlineStr">
        <is>
          <t>COMO É</t>
        </is>
      </c>
      <c r="K52" s="16" t="n"/>
      <c r="L52" s="16" t="n"/>
      <c r="M52" s="16" t="n"/>
      <c r="N52" s="17" t="n"/>
      <c r="O52" s="125" t="n"/>
      <c r="P52" s="55" t="inlineStr">
        <is>
          <t>COMO É</t>
        </is>
      </c>
      <c r="Q52" s="16" t="n"/>
      <c r="R52" s="16" t="n"/>
      <c r="S52" s="16" t="n"/>
      <c r="T52" s="17" t="n"/>
      <c r="U52" s="125" t="n"/>
    </row>
    <row r="53" outlineLevel="2">
      <c r="B53" s="22" t="n"/>
      <c r="C53" s="125" t="n"/>
      <c r="D53" s="121" t="n"/>
      <c r="E53" s="19" t="n"/>
      <c r="F53" s="19" t="n"/>
      <c r="G53" s="19" t="n"/>
      <c r="H53" s="20" t="n"/>
      <c r="I53" s="125" t="n"/>
      <c r="J53" s="121" t="n"/>
      <c r="K53" s="19" t="n"/>
      <c r="L53" s="19" t="n"/>
      <c r="M53" s="19" t="n"/>
      <c r="N53" s="20" t="n"/>
      <c r="O53" s="125" t="n"/>
      <c r="P53" s="121" t="n"/>
      <c r="Q53" s="19" t="n"/>
      <c r="R53" s="19" t="n"/>
      <c r="S53" s="19" t="n"/>
      <c r="T53" s="20" t="n"/>
      <c r="U53" s="125" t="n"/>
    </row>
    <row r="54" outlineLevel="2">
      <c r="B54" s="22" t="n"/>
      <c r="C54" s="125" t="n"/>
      <c r="D54" s="21" t="n"/>
      <c r="H54" s="22" t="n"/>
      <c r="I54" s="125" t="n"/>
      <c r="J54" s="21" t="n"/>
      <c r="N54" s="22" t="n"/>
      <c r="O54" s="125" t="n"/>
      <c r="P54" s="21" t="n"/>
      <c r="T54" s="22" t="n"/>
      <c r="U54" s="125" t="n"/>
    </row>
    <row r="55" outlineLevel="2">
      <c r="B55" s="22" t="n"/>
      <c r="C55" s="125" t="n"/>
      <c r="D55" s="21" t="n"/>
      <c r="H55" s="22" t="n"/>
      <c r="I55" s="125" t="n"/>
      <c r="J55" s="21" t="n"/>
      <c r="N55" s="22" t="n"/>
      <c r="O55" s="125" t="n"/>
      <c r="P55" s="21" t="n"/>
      <c r="T55" s="22" t="n"/>
      <c r="U55" s="125" t="n"/>
    </row>
    <row r="56" outlineLevel="2">
      <c r="B56" s="22" t="n"/>
      <c r="C56" s="125" t="n"/>
      <c r="D56" s="21" t="n"/>
      <c r="H56" s="22" t="n"/>
      <c r="I56" s="125" t="n"/>
      <c r="J56" s="21" t="n"/>
      <c r="N56" s="22" t="n"/>
      <c r="O56" s="125" t="n"/>
      <c r="P56" s="21" t="n"/>
      <c r="T56" s="22" t="n"/>
      <c r="U56" s="125" t="n"/>
    </row>
    <row r="57" outlineLevel="2">
      <c r="B57" s="22" t="n"/>
      <c r="C57" s="125" t="n"/>
      <c r="D57" s="23" t="n"/>
      <c r="E57" s="24" t="n"/>
      <c r="F57" s="24" t="n"/>
      <c r="G57" s="24" t="n"/>
      <c r="H57" s="25" t="n"/>
      <c r="I57" s="125" t="n"/>
      <c r="J57" s="23" t="n"/>
      <c r="K57" s="24" t="n"/>
      <c r="L57" s="24" t="n"/>
      <c r="M57" s="24" t="n"/>
      <c r="N57" s="25" t="n"/>
      <c r="O57" s="125" t="n"/>
      <c r="P57" s="23" t="n"/>
      <c r="Q57" s="24" t="n"/>
      <c r="R57" s="24" t="n"/>
      <c r="S57" s="24" t="n"/>
      <c r="T57" s="25" t="n"/>
      <c r="U57" s="125" t="n"/>
    </row>
    <row r="58" outlineLevel="1">
      <c r="B58" s="22" t="n"/>
      <c r="C58" s="125" t="n"/>
      <c r="D58" s="89" t="inlineStr">
        <is>
          <t>Projétil</t>
        </is>
      </c>
      <c r="E58" s="68">
        <f>DADOS_AM!$GS$2</f>
        <v/>
      </c>
      <c r="F58" s="68">
        <f>DADOS_AM!$GP$2</f>
        <v/>
      </c>
      <c r="G58" s="89">
        <f>DADOS_AM!$GR$2</f>
        <v/>
      </c>
      <c r="H58" s="17" t="n"/>
      <c r="I58" s="125" t="n"/>
      <c r="J58" s="89" t="inlineStr">
        <is>
          <t>Projétil</t>
        </is>
      </c>
      <c r="K58" s="68">
        <f>DADOS_AM!$GS$3</f>
        <v/>
      </c>
      <c r="L58" s="68">
        <f>DADOS_AM!$GP$3</f>
        <v/>
      </c>
      <c r="M58" s="89">
        <f>DADOS_AM!$GR$3</f>
        <v/>
      </c>
      <c r="N58" s="17" t="n"/>
      <c r="O58" s="125" t="n"/>
      <c r="P58" s="89" t="inlineStr">
        <is>
          <t>Projétil</t>
        </is>
      </c>
      <c r="Q58" s="68">
        <f>DADOS_AM!$GS$4</f>
        <v/>
      </c>
      <c r="R58" s="68">
        <f>DADOS_AM!$GP$4</f>
        <v/>
      </c>
      <c r="S58" s="89">
        <f>DADOS_AM!$GR$4</f>
        <v/>
      </c>
      <c r="T58" s="17" t="n"/>
      <c r="U58" s="125" t="n"/>
    </row>
    <row r="59" outlineLevel="1">
      <c r="B59" s="22" t="n"/>
      <c r="C59" s="125" t="n"/>
      <c r="D59" s="89">
        <f>DADOS_AM!$GQ$2</f>
        <v/>
      </c>
      <c r="E59" s="133">
        <f>DADOS_AM!$GX$2</f>
        <v/>
      </c>
      <c r="F59" s="16" t="n"/>
      <c r="G59" s="16" t="n"/>
      <c r="H59" s="17" t="n"/>
      <c r="I59" s="125" t="n"/>
      <c r="J59" s="89">
        <f>DADOS_AM!$GQ$3</f>
        <v/>
      </c>
      <c r="K59" s="133">
        <f>DADOS_AM!$GX$3</f>
        <v/>
      </c>
      <c r="L59" s="16" t="n"/>
      <c r="M59" s="16" t="n"/>
      <c r="N59" s="17" t="n"/>
      <c r="O59" s="125" t="n"/>
      <c r="P59" s="89">
        <f>DADOS_AM!$GQ$4</f>
        <v/>
      </c>
      <c r="Q59" s="133">
        <f>DADOS_AM!$GX$4</f>
        <v/>
      </c>
      <c r="R59" s="16" t="n"/>
      <c r="S59" s="16" t="n"/>
      <c r="T59" s="17" t="n"/>
      <c r="U59" s="125" t="n"/>
    </row>
    <row r="60" outlineLevel="2">
      <c r="B60" s="22" t="n"/>
      <c r="C60" s="125" t="n"/>
      <c r="D60" s="55" t="inlineStr">
        <is>
          <t>MELHORIAS</t>
        </is>
      </c>
      <c r="E60" s="134" t="n"/>
      <c r="F60" s="17" t="n"/>
      <c r="G60" s="133">
        <f>DADOS_AM!$HA$2</f>
        <v/>
      </c>
      <c r="H60" s="17" t="n"/>
      <c r="I60" s="125" t="n"/>
      <c r="J60" s="55" t="inlineStr">
        <is>
          <t>MELHORIAS</t>
        </is>
      </c>
      <c r="K60" s="134" t="n"/>
      <c r="L60" s="17" t="n"/>
      <c r="M60" s="133">
        <f>DADOS_AM!$HA$3</f>
        <v/>
      </c>
      <c r="N60" s="17" t="n"/>
      <c r="O60" s="125" t="n"/>
      <c r="P60" s="55" t="inlineStr">
        <is>
          <t>MELHORIAS</t>
        </is>
      </c>
      <c r="Q60" s="134" t="n"/>
      <c r="R60" s="17" t="n"/>
      <c r="S60" s="133">
        <f>DADOS_AM!$HA$4</f>
        <v/>
      </c>
      <c r="T60" s="17" t="n"/>
      <c r="U60" s="125" t="n"/>
    </row>
    <row r="61" outlineLevel="2">
      <c r="B61" s="22" t="n"/>
      <c r="C61" s="125" t="n"/>
      <c r="D61" s="135" t="n"/>
      <c r="E61" s="134" t="n"/>
      <c r="F61" s="17" t="n"/>
      <c r="G61" s="133">
        <f>DADOS_AM!$HB$2</f>
        <v/>
      </c>
      <c r="H61" s="17" t="n"/>
      <c r="I61" s="125" t="n"/>
      <c r="J61" s="135" t="n"/>
      <c r="K61" s="134" t="n"/>
      <c r="L61" s="17" t="n"/>
      <c r="M61" s="133">
        <f>DADOS_AM!$HB$3</f>
        <v/>
      </c>
      <c r="N61" s="17" t="n"/>
      <c r="O61" s="125" t="n"/>
      <c r="P61" s="135" t="n"/>
      <c r="Q61" s="134" t="n"/>
      <c r="R61" s="17" t="n"/>
      <c r="S61" s="133">
        <f>DADOS_AM!$HB$4</f>
        <v/>
      </c>
      <c r="T61" s="17" t="n"/>
      <c r="U61" s="125" t="n"/>
    </row>
    <row r="62" outlineLevel="2">
      <c r="B62" s="22" t="n"/>
      <c r="C62" s="125" t="n"/>
      <c r="D62" s="135" t="n"/>
      <c r="E62" s="134" t="n"/>
      <c r="F62" s="17" t="n"/>
      <c r="G62" s="133">
        <f>DADOS_AM!$HC$2</f>
        <v/>
      </c>
      <c r="H62" s="17" t="n"/>
      <c r="I62" s="125" t="n"/>
      <c r="J62" s="135" t="n"/>
      <c r="K62" s="134" t="n"/>
      <c r="L62" s="17" t="n"/>
      <c r="M62" s="133">
        <f>DADOS_AM!$HC$3</f>
        <v/>
      </c>
      <c r="N62" s="17" t="n"/>
      <c r="O62" s="125" t="n"/>
      <c r="P62" s="135" t="n"/>
      <c r="Q62" s="134" t="n"/>
      <c r="R62" s="17" t="n"/>
      <c r="S62" s="133">
        <f>DADOS_AM!$HC$4</f>
        <v/>
      </c>
      <c r="T62" s="17" t="n"/>
      <c r="U62" s="125" t="n"/>
    </row>
    <row r="63" outlineLevel="2">
      <c r="A63" s="8" t="n"/>
      <c r="B63" s="14" t="n"/>
      <c r="C63" s="125" t="n"/>
      <c r="D63" s="129" t="n"/>
      <c r="E63" s="134" t="n"/>
      <c r="F63" s="17" t="n"/>
      <c r="G63" s="133">
        <f>DADOS_AM!$HD$2</f>
        <v/>
      </c>
      <c r="H63" s="17" t="n"/>
      <c r="I63" s="125" t="n"/>
      <c r="J63" s="129" t="n"/>
      <c r="K63" s="134" t="n"/>
      <c r="L63" s="17" t="n"/>
      <c r="M63" s="133">
        <f>DADOS_AM!$HD$3</f>
        <v/>
      </c>
      <c r="N63" s="17" t="n"/>
      <c r="O63" s="125" t="n"/>
      <c r="P63" s="129" t="n"/>
      <c r="Q63" s="134" t="n"/>
      <c r="R63" s="17" t="n"/>
      <c r="S63" s="133">
        <f>DADOS_AM!$HD$4</f>
        <v/>
      </c>
      <c r="T63" s="17" t="n"/>
      <c r="U63" s="125" t="n"/>
    </row>
    <row r="64" outlineLevel="2">
      <c r="A64" s="8" t="n"/>
      <c r="B64" s="14" t="n"/>
      <c r="C64" s="125" t="n"/>
      <c r="D64" s="55" t="inlineStr">
        <is>
          <t>RESTRIÇÕES</t>
        </is>
      </c>
      <c r="E64" s="134" t="n"/>
      <c r="F64" s="17" t="n"/>
      <c r="G64" s="133">
        <f>DADOS_AM!$HE$2</f>
        <v/>
      </c>
      <c r="H64" s="17" t="n"/>
      <c r="I64" s="125" t="n"/>
      <c r="J64" s="55" t="inlineStr">
        <is>
          <t>RESTRIÇÕES</t>
        </is>
      </c>
      <c r="K64" s="134" t="n"/>
      <c r="L64" s="17" t="n"/>
      <c r="M64" s="133">
        <f>DADOS_AM!$HE$3</f>
        <v/>
      </c>
      <c r="N64" s="17" t="n"/>
      <c r="O64" s="125" t="n"/>
      <c r="P64" s="55" t="inlineStr">
        <is>
          <t>RESTRIÇÕES</t>
        </is>
      </c>
      <c r="Q64" s="134" t="n"/>
      <c r="R64" s="17" t="n"/>
      <c r="S64" s="133">
        <f>DADOS_AM!$HE$4</f>
        <v/>
      </c>
      <c r="T64" s="17" t="n"/>
      <c r="U64" s="125" t="n"/>
    </row>
    <row r="65" outlineLevel="2">
      <c r="A65" s="8" t="n"/>
      <c r="B65" s="14" t="n"/>
      <c r="C65" s="125" t="n"/>
      <c r="D65" s="129" t="n"/>
      <c r="E65" s="134" t="n"/>
      <c r="F65" s="17" t="n"/>
      <c r="G65" s="133">
        <f>DADOS_AM!$HF$2</f>
        <v/>
      </c>
      <c r="H65" s="17" t="n"/>
      <c r="I65" s="125" t="n"/>
      <c r="J65" s="129" t="n"/>
      <c r="K65" s="134" t="n"/>
      <c r="L65" s="17" t="n"/>
      <c r="M65" s="133">
        <f>DADOS_AM!$HF$3</f>
        <v/>
      </c>
      <c r="N65" s="17" t="n"/>
      <c r="O65" s="125" t="n"/>
      <c r="P65" s="129" t="n"/>
      <c r="Q65" s="134" t="n"/>
      <c r="R65" s="17" t="n"/>
      <c r="S65" s="133">
        <f>DADOS_AM!$HF$4</f>
        <v/>
      </c>
      <c r="T65" s="17" t="n"/>
      <c r="U65" s="125" t="n"/>
    </row>
    <row r="66" outlineLevel="2">
      <c r="A66" s="8" t="n"/>
      <c r="B66" s="14" t="n"/>
      <c r="C66" s="125" t="n"/>
      <c r="D66" s="55" t="inlineStr">
        <is>
          <t>CONTA</t>
        </is>
      </c>
      <c r="E66" s="136">
        <f>DADOS_AM!$GY$2</f>
        <v/>
      </c>
      <c r="F66" s="16" t="n"/>
      <c r="G66" s="16" t="n"/>
      <c r="H66" s="17" t="n"/>
      <c r="I66" s="125" t="n"/>
      <c r="J66" s="55" t="inlineStr">
        <is>
          <t>CONTA</t>
        </is>
      </c>
      <c r="K66" s="136">
        <f>DADOS_AM!$GY$3</f>
        <v/>
      </c>
      <c r="L66" s="16" t="n"/>
      <c r="M66" s="16" t="n"/>
      <c r="N66" s="17" t="n"/>
      <c r="O66" s="125" t="n"/>
      <c r="P66" s="55" t="inlineStr">
        <is>
          <t>CONTA</t>
        </is>
      </c>
      <c r="Q66" s="136">
        <f>DADOS_AM!$GY$4</f>
        <v/>
      </c>
      <c r="R66" s="16" t="n"/>
      <c r="S66" s="16" t="n"/>
      <c r="T66" s="17" t="n"/>
      <c r="U66" s="125" t="n"/>
    </row>
    <row r="67" outlineLevel="2">
      <c r="A67" s="8" t="n"/>
      <c r="B67" s="14" t="n"/>
      <c r="C67" s="125" t="n"/>
      <c r="D67" s="55" t="inlineStr">
        <is>
          <t>AMPLIAR</t>
        </is>
      </c>
      <c r="E67" s="136">
        <f>DADOS_AM!$GZ$2</f>
        <v/>
      </c>
      <c r="F67" s="19" t="n"/>
      <c r="G67" s="19" t="n"/>
      <c r="H67" s="20" t="n"/>
      <c r="I67" s="125" t="n"/>
      <c r="J67" s="55" t="inlineStr">
        <is>
          <t>AMPLIAR</t>
        </is>
      </c>
      <c r="K67" s="136">
        <f>DADOS_AM!$GZ$3</f>
        <v/>
      </c>
      <c r="L67" s="19" t="n"/>
      <c r="M67" s="19" t="n"/>
      <c r="N67" s="20" t="n"/>
      <c r="O67" s="125" t="n"/>
      <c r="P67" s="55" t="inlineStr">
        <is>
          <t>AMPLIAR</t>
        </is>
      </c>
      <c r="Q67" s="136">
        <f>DADOS_AM!$GZ$4</f>
        <v/>
      </c>
      <c r="R67" s="19" t="n"/>
      <c r="S67" s="19" t="n"/>
      <c r="T67" s="20" t="n"/>
      <c r="U67" s="125" t="n"/>
    </row>
    <row r="68" outlineLevel="2">
      <c r="A68" s="8" t="n"/>
      <c r="B68" s="14" t="n"/>
      <c r="C68" s="125" t="n"/>
      <c r="D68" s="129" t="n"/>
      <c r="E68" s="23" t="n"/>
      <c r="F68" s="24" t="n"/>
      <c r="G68" s="24" t="n"/>
      <c r="H68" s="25" t="n"/>
      <c r="I68" s="125" t="n"/>
      <c r="J68" s="129" t="n"/>
      <c r="K68" s="23" t="n"/>
      <c r="L68" s="24" t="n"/>
      <c r="M68" s="24" t="n"/>
      <c r="N68" s="25" t="n"/>
      <c r="O68" s="125" t="n"/>
      <c r="P68" s="129" t="n"/>
      <c r="Q68" s="23" t="n"/>
      <c r="R68" s="24" t="n"/>
      <c r="S68" s="24" t="n"/>
      <c r="T68" s="25" t="n"/>
      <c r="U68" s="125" t="n"/>
    </row>
    <row r="69" outlineLevel="2">
      <c r="A69" s="8" t="n"/>
      <c r="B69" s="14" t="n"/>
      <c r="C69" s="125" t="n"/>
      <c r="D69" s="55" t="inlineStr">
        <is>
          <t>AVISOS</t>
        </is>
      </c>
      <c r="E69" s="136">
        <f>DADOS_AM!$GO$2</f>
        <v/>
      </c>
      <c r="F69" s="19" t="n"/>
      <c r="G69" s="19" t="n"/>
      <c r="H69" s="20" t="n"/>
      <c r="I69" s="125" t="n"/>
      <c r="J69" s="55" t="inlineStr">
        <is>
          <t>AVISOS</t>
        </is>
      </c>
      <c r="K69" s="136">
        <f>DADOS_AM!$GO$3</f>
        <v/>
      </c>
      <c r="L69" s="19" t="n"/>
      <c r="M69" s="19" t="n"/>
      <c r="N69" s="20" t="n"/>
      <c r="O69" s="125" t="n"/>
      <c r="P69" s="55" t="inlineStr">
        <is>
          <t>AVISOS</t>
        </is>
      </c>
      <c r="Q69" s="136">
        <f>DADOS_AM!$GO$4</f>
        <v/>
      </c>
      <c r="R69" s="19" t="n"/>
      <c r="S69" s="19" t="n"/>
      <c r="T69" s="20" t="n"/>
      <c r="U69" s="125" t="n"/>
    </row>
    <row r="70" outlineLevel="2">
      <c r="A70" s="8" t="n"/>
      <c r="B70" s="14" t="n"/>
      <c r="C70" s="125" t="n"/>
      <c r="D70" s="129" t="n"/>
      <c r="E70" s="23" t="n"/>
      <c r="F70" s="24" t="n"/>
      <c r="G70" s="24" t="n"/>
      <c r="H70" s="25" t="n"/>
      <c r="I70" s="125" t="n"/>
      <c r="J70" s="129" t="n"/>
      <c r="K70" s="23" t="n"/>
      <c r="L70" s="24" t="n"/>
      <c r="M70" s="24" t="n"/>
      <c r="N70" s="25" t="n"/>
      <c r="O70" s="125" t="n"/>
      <c r="P70" s="129" t="n"/>
      <c r="Q70" s="23" t="n"/>
      <c r="R70" s="24" t="n"/>
      <c r="S70" s="24" t="n"/>
      <c r="T70" s="25" t="n"/>
      <c r="U70" s="125" t="n"/>
    </row>
    <row r="71" outlineLevel="1">
      <c r="A71" s="8" t="n"/>
      <c r="B71" s="14" t="n"/>
      <c r="C71" s="125" t="n"/>
      <c r="D71" s="125" t="n"/>
      <c r="E71" s="125" t="n"/>
      <c r="F71" s="125" t="n"/>
      <c r="G71" s="125" t="n"/>
      <c r="H71" s="125" t="n"/>
      <c r="I71" s="125" t="n"/>
      <c r="J71" s="125" t="n"/>
      <c r="K71" s="125" t="n"/>
      <c r="L71" s="125" t="n"/>
      <c r="M71" s="125" t="n"/>
      <c r="N71" s="125" t="n"/>
      <c r="O71" s="125" t="n"/>
      <c r="P71" s="125" t="n"/>
      <c r="Q71" s="125" t="n"/>
      <c r="R71" s="125" t="n"/>
      <c r="S71" s="125" t="n"/>
      <c r="T71" s="125" t="n"/>
      <c r="U71" s="125" t="n"/>
    </row>
    <row r="72" outlineLevel="1">
      <c r="A72" s="8" t="n"/>
      <c r="B72" s="14" t="n"/>
      <c r="C72" s="125" t="n"/>
      <c r="D72" s="131" t="n">
        <v>1</v>
      </c>
      <c r="E72" s="120" t="n"/>
      <c r="F72" s="17" t="n"/>
      <c r="G72" s="132">
        <f>DADOS_AM!$GN$5</f>
        <v/>
      </c>
      <c r="H72" s="17" t="n"/>
      <c r="I72" s="125" t="n"/>
      <c r="J72" s="131" t="n">
        <v>1</v>
      </c>
      <c r="K72" s="120" t="n"/>
      <c r="L72" s="17" t="n"/>
      <c r="M72" s="132">
        <f>DADOS_AM!$GN$6</f>
        <v/>
      </c>
      <c r="N72" s="17" t="n"/>
      <c r="O72" s="125" t="n"/>
      <c r="P72" s="131" t="n">
        <v>1</v>
      </c>
      <c r="Q72" s="120" t="n"/>
      <c r="R72" s="17" t="n"/>
      <c r="S72" s="132">
        <f>DADOS_AM!$GN$7</f>
        <v/>
      </c>
      <c r="T72" s="17" t="n"/>
      <c r="U72" s="125" t="n"/>
    </row>
    <row r="73" hidden="1" outlineLevel="2">
      <c r="A73" s="8" t="n"/>
      <c r="B73" s="14" t="n"/>
      <c r="C73" s="125" t="n"/>
      <c r="D73" s="55" t="inlineStr">
        <is>
          <t>COMO É</t>
        </is>
      </c>
      <c r="E73" s="16" t="n"/>
      <c r="F73" s="16" t="n"/>
      <c r="G73" s="16" t="n"/>
      <c r="H73" s="17" t="n"/>
      <c r="I73" s="125" t="n"/>
      <c r="J73" s="55" t="inlineStr">
        <is>
          <t>COMO É</t>
        </is>
      </c>
      <c r="K73" s="16" t="n"/>
      <c r="L73" s="16" t="n"/>
      <c r="M73" s="16" t="n"/>
      <c r="N73" s="17" t="n"/>
      <c r="O73" s="125" t="n"/>
      <c r="P73" s="55" t="inlineStr">
        <is>
          <t>COMO É</t>
        </is>
      </c>
      <c r="Q73" s="16" t="n"/>
      <c r="R73" s="16" t="n"/>
      <c r="S73" s="16" t="n"/>
      <c r="T73" s="17" t="n"/>
      <c r="U73" s="125" t="n"/>
    </row>
    <row r="74" hidden="1" outlineLevel="2">
      <c r="A74" s="8" t="n"/>
      <c r="B74" s="14" t="n"/>
      <c r="C74" s="125" t="n"/>
      <c r="D74" s="121" t="n"/>
      <c r="E74" s="19" t="n"/>
      <c r="F74" s="19" t="n"/>
      <c r="G74" s="19" t="n"/>
      <c r="H74" s="20" t="n"/>
      <c r="I74" s="125" t="n"/>
      <c r="J74" s="121" t="n"/>
      <c r="K74" s="19" t="n"/>
      <c r="L74" s="19" t="n"/>
      <c r="M74" s="19" t="n"/>
      <c r="N74" s="20" t="n"/>
      <c r="O74" s="125" t="n"/>
      <c r="P74" s="121" t="n"/>
      <c r="Q74" s="19" t="n"/>
      <c r="R74" s="19" t="n"/>
      <c r="S74" s="19" t="n"/>
      <c r="T74" s="20" t="n"/>
      <c r="U74" s="125" t="n"/>
    </row>
    <row r="75" hidden="1" outlineLevel="2">
      <c r="A75" s="8" t="n"/>
      <c r="B75" s="14" t="n"/>
      <c r="C75" s="125" t="n"/>
      <c r="D75" s="21" t="n"/>
      <c r="H75" s="22" t="n"/>
      <c r="I75" s="125" t="n"/>
      <c r="J75" s="21" t="n"/>
      <c r="N75" s="22" t="n"/>
      <c r="O75" s="125" t="n"/>
      <c r="P75" s="21" t="n"/>
      <c r="T75" s="22" t="n"/>
      <c r="U75" s="125" t="n"/>
    </row>
    <row r="76" hidden="1" outlineLevel="2">
      <c r="A76" s="8" t="n"/>
      <c r="B76" s="14" t="n"/>
      <c r="C76" s="125" t="n"/>
      <c r="D76" s="21" t="n"/>
      <c r="H76" s="22" t="n"/>
      <c r="I76" s="125" t="n"/>
      <c r="J76" s="21" t="n"/>
      <c r="N76" s="22" t="n"/>
      <c r="O76" s="125" t="n"/>
      <c r="P76" s="21" t="n"/>
      <c r="T76" s="22" t="n"/>
      <c r="U76" s="125" t="n"/>
    </row>
    <row r="77" hidden="1" outlineLevel="2">
      <c r="A77" s="8" t="n"/>
      <c r="B77" s="14" t="n"/>
      <c r="C77" s="125" t="n"/>
      <c r="D77" s="21" t="n"/>
      <c r="H77" s="22" t="n"/>
      <c r="I77" s="125" t="n"/>
      <c r="J77" s="21" t="n"/>
      <c r="N77" s="22" t="n"/>
      <c r="O77" s="125" t="n"/>
      <c r="P77" s="21" t="n"/>
      <c r="T77" s="22" t="n"/>
      <c r="U77" s="125" t="n"/>
    </row>
    <row r="78" hidden="1" outlineLevel="2">
      <c r="A78" s="8" t="n"/>
      <c r="B78" s="14" t="n"/>
      <c r="C78" s="125" t="n"/>
      <c r="D78" s="23" t="n"/>
      <c r="E78" s="24" t="n"/>
      <c r="F78" s="24" t="n"/>
      <c r="G78" s="24" t="n"/>
      <c r="H78" s="25" t="n"/>
      <c r="I78" s="125" t="n"/>
      <c r="J78" s="23" t="n"/>
      <c r="K78" s="24" t="n"/>
      <c r="L78" s="24" t="n"/>
      <c r="M78" s="24" t="n"/>
      <c r="N78" s="25" t="n"/>
      <c r="O78" s="125" t="n"/>
      <c r="P78" s="23" t="n"/>
      <c r="Q78" s="24" t="n"/>
      <c r="R78" s="24" t="n"/>
      <c r="S78" s="24" t="n"/>
      <c r="T78" s="25" t="n"/>
      <c r="U78" s="125" t="n"/>
    </row>
    <row r="79" outlineLevel="1">
      <c r="A79" s="8" t="n"/>
      <c r="B79" s="14" t="n"/>
      <c r="C79" s="125" t="n"/>
      <c r="D79" s="89" t="inlineStr">
        <is>
          <t>Projétil</t>
        </is>
      </c>
      <c r="E79" s="68">
        <f>DADOS_AM!$GS$5</f>
        <v/>
      </c>
      <c r="F79" s="68">
        <f>DADOS_AM!$GP$5</f>
        <v/>
      </c>
      <c r="G79" s="89">
        <f>DADOS_AM!$GR$5</f>
        <v/>
      </c>
      <c r="H79" s="17" t="n"/>
      <c r="I79" s="125" t="n"/>
      <c r="J79" s="89" t="inlineStr">
        <is>
          <t>Projétil</t>
        </is>
      </c>
      <c r="K79" s="68">
        <f>DADOS_AM!$GS$6</f>
        <v/>
      </c>
      <c r="L79" s="68">
        <f>DADOS_AM!$GP$6</f>
        <v/>
      </c>
      <c r="M79" s="89">
        <f>DADOS_AM!$GR$6</f>
        <v/>
      </c>
      <c r="N79" s="17" t="n"/>
      <c r="O79" s="125" t="n"/>
      <c r="P79" s="89" t="inlineStr">
        <is>
          <t>Projétil</t>
        </is>
      </c>
      <c r="Q79" s="68">
        <f>DADOS_AM!$GS$7</f>
        <v/>
      </c>
      <c r="R79" s="68">
        <f>DADOS_AM!$GP$7</f>
        <v/>
      </c>
      <c r="S79" s="89">
        <f>DADOS_AM!$GR$7</f>
        <v/>
      </c>
      <c r="T79" s="17" t="n"/>
      <c r="U79" s="125" t="n"/>
    </row>
    <row r="80" outlineLevel="1">
      <c r="A80" s="8" t="n"/>
      <c r="B80" s="14" t="n"/>
      <c r="C80" s="125" t="n"/>
      <c r="D80" s="89">
        <f>DADOS_AM!$GQ$5</f>
        <v/>
      </c>
      <c r="E80" s="133">
        <f>DADOS_AM!$GX$5</f>
        <v/>
      </c>
      <c r="F80" s="16" t="n"/>
      <c r="G80" s="16" t="n"/>
      <c r="H80" s="17" t="n"/>
      <c r="I80" s="125" t="n"/>
      <c r="J80" s="89">
        <f>DADOS_AM!$GQ$6</f>
        <v/>
      </c>
      <c r="K80" s="133">
        <f>DADOS_AM!$GX$6</f>
        <v/>
      </c>
      <c r="L80" s="16" t="n"/>
      <c r="M80" s="16" t="n"/>
      <c r="N80" s="17" t="n"/>
      <c r="O80" s="125" t="n"/>
      <c r="P80" s="89">
        <f>DADOS_AM!$GQ$7</f>
        <v/>
      </c>
      <c r="Q80" s="133">
        <f>DADOS_AM!$GX$7</f>
        <v/>
      </c>
      <c r="R80" s="16" t="n"/>
      <c r="S80" s="16" t="n"/>
      <c r="T80" s="17" t="n"/>
      <c r="U80" s="125" t="n"/>
    </row>
    <row r="81" hidden="1" outlineLevel="2">
      <c r="A81" s="8" t="n"/>
      <c r="B81" s="14" t="n"/>
      <c r="C81" s="125" t="n"/>
      <c r="D81" s="55" t="inlineStr">
        <is>
          <t>MELHORIAS</t>
        </is>
      </c>
      <c r="E81" s="134" t="n"/>
      <c r="F81" s="17" t="n"/>
      <c r="G81" s="133">
        <f>DADOS_AM!$HA$5</f>
        <v/>
      </c>
      <c r="H81" s="17" t="n"/>
      <c r="I81" s="125" t="n"/>
      <c r="J81" s="55" t="inlineStr">
        <is>
          <t>MELHORIAS</t>
        </is>
      </c>
      <c r="K81" s="134" t="n"/>
      <c r="L81" s="17" t="n"/>
      <c r="M81" s="133">
        <f>DADOS_AM!$HA$6</f>
        <v/>
      </c>
      <c r="N81" s="17" t="n"/>
      <c r="O81" s="125" t="n"/>
      <c r="P81" s="55" t="inlineStr">
        <is>
          <t>MELHORIAS</t>
        </is>
      </c>
      <c r="Q81" s="134" t="n"/>
      <c r="R81" s="17" t="n"/>
      <c r="S81" s="133">
        <f>DADOS_AM!$HA$7</f>
        <v/>
      </c>
      <c r="T81" s="17" t="n"/>
      <c r="U81" s="125" t="n"/>
    </row>
    <row r="82" hidden="1" outlineLevel="2">
      <c r="A82" s="8" t="n"/>
      <c r="B82" s="14" t="n"/>
      <c r="C82" s="125" t="n"/>
      <c r="D82" s="135" t="n"/>
      <c r="E82" s="134" t="n"/>
      <c r="F82" s="17" t="n"/>
      <c r="G82" s="133">
        <f>DADOS_AM!$HB$5</f>
        <v/>
      </c>
      <c r="H82" s="17" t="n"/>
      <c r="I82" s="125" t="n"/>
      <c r="J82" s="135" t="n"/>
      <c r="K82" s="134" t="n"/>
      <c r="L82" s="17" t="n"/>
      <c r="M82" s="133">
        <f>DADOS_AM!$HB$6</f>
        <v/>
      </c>
      <c r="N82" s="17" t="n"/>
      <c r="O82" s="125" t="n"/>
      <c r="P82" s="135" t="n"/>
      <c r="Q82" s="134" t="n"/>
      <c r="R82" s="17" t="n"/>
      <c r="S82" s="133">
        <f>DADOS_AM!$HB$7</f>
        <v/>
      </c>
      <c r="T82" s="17" t="n"/>
      <c r="U82" s="125" t="n"/>
    </row>
    <row r="83" hidden="1" outlineLevel="2">
      <c r="A83" s="8" t="n"/>
      <c r="B83" s="14" t="n"/>
      <c r="C83" s="125" t="n"/>
      <c r="D83" s="135" t="n"/>
      <c r="E83" s="134" t="n"/>
      <c r="F83" s="17" t="n"/>
      <c r="G83" s="133">
        <f>DADOS_AM!$HC$5</f>
        <v/>
      </c>
      <c r="H83" s="17" t="n"/>
      <c r="I83" s="125" t="n"/>
      <c r="J83" s="135" t="n"/>
      <c r="K83" s="134" t="n"/>
      <c r="L83" s="17" t="n"/>
      <c r="M83" s="133">
        <f>DADOS_AM!$HC$6</f>
        <v/>
      </c>
      <c r="N83" s="17" t="n"/>
      <c r="O83" s="125" t="n"/>
      <c r="P83" s="135" t="n"/>
      <c r="Q83" s="134" t="n"/>
      <c r="R83" s="17" t="n"/>
      <c r="S83" s="133">
        <f>DADOS_AM!$HC$7</f>
        <v/>
      </c>
      <c r="T83" s="17" t="n"/>
      <c r="U83" s="125" t="n"/>
    </row>
    <row r="84" hidden="1" outlineLevel="2">
      <c r="A84" s="8" t="n"/>
      <c r="B84" s="14" t="n"/>
      <c r="C84" s="125" t="n"/>
      <c r="D84" s="129" t="n"/>
      <c r="E84" s="134" t="n"/>
      <c r="F84" s="17" t="n"/>
      <c r="G84" s="133">
        <f>DADOS_AM!$HD$5</f>
        <v/>
      </c>
      <c r="H84" s="17" t="n"/>
      <c r="I84" s="125" t="n"/>
      <c r="J84" s="129" t="n"/>
      <c r="K84" s="134" t="n"/>
      <c r="L84" s="17" t="n"/>
      <c r="M84" s="133">
        <f>DADOS_AM!$HD$6</f>
        <v/>
      </c>
      <c r="N84" s="17" t="n"/>
      <c r="O84" s="125" t="n"/>
      <c r="P84" s="129" t="n"/>
      <c r="Q84" s="134" t="n"/>
      <c r="R84" s="17" t="n"/>
      <c r="S84" s="133">
        <f>DADOS_AM!$HD$7</f>
        <v/>
      </c>
      <c r="T84" s="17" t="n"/>
      <c r="U84" s="125" t="n"/>
    </row>
    <row r="85" hidden="1" outlineLevel="2">
      <c r="A85" s="8" t="n"/>
      <c r="B85" s="14" t="n"/>
      <c r="C85" s="125" t="n"/>
      <c r="D85" s="55" t="inlineStr">
        <is>
          <t>RESTRIÇÕES</t>
        </is>
      </c>
      <c r="E85" s="134" t="n"/>
      <c r="F85" s="17" t="n"/>
      <c r="G85" s="133">
        <f>DADOS_AM!$HE$5</f>
        <v/>
      </c>
      <c r="H85" s="17" t="n"/>
      <c r="I85" s="125" t="n"/>
      <c r="J85" s="55" t="inlineStr">
        <is>
          <t>RESTRIÇÕES</t>
        </is>
      </c>
      <c r="K85" s="134" t="n"/>
      <c r="L85" s="17" t="n"/>
      <c r="M85" s="133">
        <f>DADOS_AM!$HE$6</f>
        <v/>
      </c>
      <c r="N85" s="17" t="n"/>
      <c r="O85" s="125" t="n"/>
      <c r="P85" s="55" t="inlineStr">
        <is>
          <t>RESTRIÇÕES</t>
        </is>
      </c>
      <c r="Q85" s="134" t="n"/>
      <c r="R85" s="17" t="n"/>
      <c r="S85" s="133">
        <f>DADOS_AM!$HE$7</f>
        <v/>
      </c>
      <c r="T85" s="17" t="n"/>
      <c r="U85" s="125" t="n"/>
    </row>
    <row r="86" hidden="1" outlineLevel="2">
      <c r="A86" s="8" t="n"/>
      <c r="B86" s="14" t="n"/>
      <c r="C86" s="125" t="n"/>
      <c r="D86" s="129" t="n"/>
      <c r="E86" s="134" t="n"/>
      <c r="F86" s="17" t="n"/>
      <c r="G86" s="133">
        <f>DADOS_AM!$HF$5</f>
        <v/>
      </c>
      <c r="H86" s="17" t="n"/>
      <c r="I86" s="125" t="n"/>
      <c r="J86" s="129" t="n"/>
      <c r="K86" s="134" t="n"/>
      <c r="L86" s="17" t="n"/>
      <c r="M86" s="133">
        <f>DADOS_AM!$HF$6</f>
        <v/>
      </c>
      <c r="N86" s="17" t="n"/>
      <c r="O86" s="125" t="n"/>
      <c r="P86" s="129" t="n"/>
      <c r="Q86" s="134" t="n"/>
      <c r="R86" s="17" t="n"/>
      <c r="S86" s="133">
        <f>DADOS_AM!$HF$7</f>
        <v/>
      </c>
      <c r="T86" s="17" t="n"/>
      <c r="U86" s="125" t="n"/>
    </row>
    <row r="87" hidden="1" outlineLevel="2">
      <c r="A87" s="8" t="n"/>
      <c r="B87" s="14" t="n"/>
      <c r="C87" s="125" t="n"/>
      <c r="D87" s="55" t="inlineStr">
        <is>
          <t>CONTA</t>
        </is>
      </c>
      <c r="E87" s="136">
        <f>DADOS_AM!$GY$5</f>
        <v/>
      </c>
      <c r="F87" s="16" t="n"/>
      <c r="G87" s="16" t="n"/>
      <c r="H87" s="17" t="n"/>
      <c r="I87" s="125" t="n"/>
      <c r="J87" s="55" t="inlineStr">
        <is>
          <t>CONTA</t>
        </is>
      </c>
      <c r="K87" s="136">
        <f>DADOS_AM!$GY$6</f>
        <v/>
      </c>
      <c r="L87" s="16" t="n"/>
      <c r="M87" s="16" t="n"/>
      <c r="N87" s="17" t="n"/>
      <c r="O87" s="125" t="n"/>
      <c r="P87" s="55" t="inlineStr">
        <is>
          <t>CONTA</t>
        </is>
      </c>
      <c r="Q87" s="136">
        <f>DADOS_AM!$GY$7</f>
        <v/>
      </c>
      <c r="R87" s="16" t="n"/>
      <c r="S87" s="16" t="n"/>
      <c r="T87" s="17" t="n"/>
      <c r="U87" s="125" t="n"/>
    </row>
    <row r="88" hidden="1" outlineLevel="2">
      <c r="A88" s="8" t="n"/>
      <c r="B88" s="14" t="n"/>
      <c r="C88" s="125" t="n"/>
      <c r="D88" s="55" t="inlineStr">
        <is>
          <t>AMPLIAR</t>
        </is>
      </c>
      <c r="E88" s="136">
        <f>DADOS_AM!$GZ$5</f>
        <v/>
      </c>
      <c r="F88" s="19" t="n"/>
      <c r="G88" s="19" t="n"/>
      <c r="H88" s="20" t="n"/>
      <c r="I88" s="125" t="n"/>
      <c r="J88" s="55" t="inlineStr">
        <is>
          <t>AMPLIAR</t>
        </is>
      </c>
      <c r="K88" s="136">
        <f>DADOS_AM!$GZ$6</f>
        <v/>
      </c>
      <c r="L88" s="19" t="n"/>
      <c r="M88" s="19" t="n"/>
      <c r="N88" s="20" t="n"/>
      <c r="O88" s="125" t="n"/>
      <c r="P88" s="55" t="inlineStr">
        <is>
          <t>AMPLIAR</t>
        </is>
      </c>
      <c r="Q88" s="136">
        <f>DADOS_AM!$GZ$7</f>
        <v/>
      </c>
      <c r="R88" s="19" t="n"/>
      <c r="S88" s="19" t="n"/>
      <c r="T88" s="20" t="n"/>
      <c r="U88" s="125" t="n"/>
    </row>
    <row r="89" hidden="1" outlineLevel="2">
      <c r="A89" s="8" t="n"/>
      <c r="B89" s="14" t="n"/>
      <c r="C89" s="125" t="n"/>
      <c r="D89" s="129" t="n"/>
      <c r="E89" s="23" t="n"/>
      <c r="F89" s="24" t="n"/>
      <c r="G89" s="24" t="n"/>
      <c r="H89" s="25" t="n"/>
      <c r="I89" s="125" t="n"/>
      <c r="J89" s="129" t="n"/>
      <c r="K89" s="23" t="n"/>
      <c r="L89" s="24" t="n"/>
      <c r="M89" s="24" t="n"/>
      <c r="N89" s="25" t="n"/>
      <c r="O89" s="125" t="n"/>
      <c r="P89" s="129" t="n"/>
      <c r="Q89" s="23" t="n"/>
      <c r="R89" s="24" t="n"/>
      <c r="S89" s="24" t="n"/>
      <c r="T89" s="25" t="n"/>
      <c r="U89" s="125" t="n"/>
    </row>
    <row r="90" hidden="1" outlineLevel="2">
      <c r="A90" s="8" t="n"/>
      <c r="B90" s="14" t="n"/>
      <c r="C90" s="125" t="n"/>
      <c r="D90" s="55" t="inlineStr">
        <is>
          <t>AVISOS</t>
        </is>
      </c>
      <c r="E90" s="136">
        <f>DADOS_AM!$GO$5</f>
        <v/>
      </c>
      <c r="F90" s="19" t="n"/>
      <c r="G90" s="19" t="n"/>
      <c r="H90" s="20" t="n"/>
      <c r="I90" s="125" t="n"/>
      <c r="J90" s="55" t="inlineStr">
        <is>
          <t>AVISOS</t>
        </is>
      </c>
      <c r="K90" s="136">
        <f>DADOS_AM!$GO$6</f>
        <v/>
      </c>
      <c r="L90" s="19" t="n"/>
      <c r="M90" s="19" t="n"/>
      <c r="N90" s="20" t="n"/>
      <c r="O90" s="125" t="n"/>
      <c r="P90" s="55" t="inlineStr">
        <is>
          <t>AVISOS</t>
        </is>
      </c>
      <c r="Q90" s="136">
        <f>DADOS_AM!$GO$7</f>
        <v/>
      </c>
      <c r="R90" s="19" t="n"/>
      <c r="S90" s="19" t="n"/>
      <c r="T90" s="20" t="n"/>
      <c r="U90" s="125" t="n"/>
    </row>
    <row r="91" hidden="1" outlineLevel="2">
      <c r="A91" s="8" t="n"/>
      <c r="B91" s="14" t="n"/>
      <c r="C91" s="125" t="n"/>
      <c r="D91" s="129" t="n"/>
      <c r="E91" s="23" t="n"/>
      <c r="F91" s="24" t="n"/>
      <c r="G91" s="24" t="n"/>
      <c r="H91" s="25" t="n"/>
      <c r="I91" s="125" t="n"/>
      <c r="J91" s="129" t="n"/>
      <c r="K91" s="23" t="n"/>
      <c r="L91" s="24" t="n"/>
      <c r="M91" s="24" t="n"/>
      <c r="N91" s="25" t="n"/>
      <c r="O91" s="125" t="n"/>
      <c r="P91" s="129" t="n"/>
      <c r="Q91" s="23" t="n"/>
      <c r="R91" s="24" t="n"/>
      <c r="S91" s="24" t="n"/>
      <c r="T91" s="25" t="n"/>
      <c r="U91" s="125" t="n"/>
    </row>
    <row r="92" outlineLevel="1">
      <c r="A92" s="8" t="n"/>
      <c r="B92" s="14" t="n"/>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row>
    <row r="93" outlineLevel="1">
      <c r="A93" s="8" t="n"/>
      <c r="B93" s="14" t="n"/>
      <c r="C93" s="125" t="n"/>
      <c r="D93" s="131" t="n">
        <v>1</v>
      </c>
      <c r="E93" s="120" t="n"/>
      <c r="F93" s="17" t="n"/>
      <c r="G93" s="132">
        <f>DADOS_AM!$GN$8</f>
        <v/>
      </c>
      <c r="H93" s="17" t="n"/>
      <c r="I93" s="125" t="n"/>
      <c r="J93" s="131" t="n">
        <v>1</v>
      </c>
      <c r="K93" s="120" t="n"/>
      <c r="L93" s="17" t="n"/>
      <c r="M93" s="132">
        <f>DADOS_AM!$GN$9</f>
        <v/>
      </c>
      <c r="N93" s="17" t="n"/>
      <c r="O93" s="125" t="n"/>
      <c r="P93" s="131" t="n">
        <v>1</v>
      </c>
      <c r="Q93" s="120" t="n"/>
      <c r="R93" s="17" t="n"/>
      <c r="S93" s="132">
        <f>DADOS_AM!$GN$10</f>
        <v/>
      </c>
      <c r="T93" s="17" t="n"/>
      <c r="U93" s="125" t="n"/>
    </row>
    <row r="94" hidden="1" outlineLevel="2">
      <c r="A94" s="8" t="n"/>
      <c r="B94" s="14" t="n"/>
      <c r="C94" s="125" t="n"/>
      <c r="D94" s="55" t="inlineStr">
        <is>
          <t>COMO É</t>
        </is>
      </c>
      <c r="E94" s="16" t="n"/>
      <c r="F94" s="16" t="n"/>
      <c r="G94" s="16" t="n"/>
      <c r="H94" s="17" t="n"/>
      <c r="I94" s="125" t="n"/>
      <c r="J94" s="55" t="inlineStr">
        <is>
          <t>COMO É</t>
        </is>
      </c>
      <c r="K94" s="16" t="n"/>
      <c r="L94" s="16" t="n"/>
      <c r="M94" s="16" t="n"/>
      <c r="N94" s="17" t="n"/>
      <c r="O94" s="125" t="n"/>
      <c r="P94" s="55" t="inlineStr">
        <is>
          <t>COMO É</t>
        </is>
      </c>
      <c r="Q94" s="16" t="n"/>
      <c r="R94" s="16" t="n"/>
      <c r="S94" s="16" t="n"/>
      <c r="T94" s="17" t="n"/>
      <c r="U94" s="125" t="n"/>
    </row>
    <row r="95" hidden="1" outlineLevel="2">
      <c r="A95" s="8" t="n"/>
      <c r="B95" s="14" t="n"/>
      <c r="C95" s="125" t="n"/>
      <c r="D95" s="121" t="n"/>
      <c r="E95" s="19" t="n"/>
      <c r="F95" s="19" t="n"/>
      <c r="G95" s="19" t="n"/>
      <c r="H95" s="20" t="n"/>
      <c r="I95" s="125" t="n"/>
      <c r="J95" s="121" t="n"/>
      <c r="K95" s="19" t="n"/>
      <c r="L95" s="19" t="n"/>
      <c r="M95" s="19" t="n"/>
      <c r="N95" s="20" t="n"/>
      <c r="O95" s="125" t="n"/>
      <c r="P95" s="121" t="n"/>
      <c r="Q95" s="19" t="n"/>
      <c r="R95" s="19" t="n"/>
      <c r="S95" s="19" t="n"/>
      <c r="T95" s="20" t="n"/>
      <c r="U95" s="125" t="n"/>
    </row>
    <row r="96" hidden="1" outlineLevel="2">
      <c r="A96" s="8" t="n"/>
      <c r="B96" s="14" t="n"/>
      <c r="C96" s="125" t="n"/>
      <c r="D96" s="21" t="n"/>
      <c r="H96" s="22" t="n"/>
      <c r="I96" s="125" t="n"/>
      <c r="J96" s="21" t="n"/>
      <c r="N96" s="22" t="n"/>
      <c r="O96" s="125" t="n"/>
      <c r="P96" s="21" t="n"/>
      <c r="T96" s="22" t="n"/>
      <c r="U96" s="125" t="n"/>
    </row>
    <row r="97" hidden="1" outlineLevel="2">
      <c r="A97" s="8" t="n"/>
      <c r="B97" s="14" t="n"/>
      <c r="C97" s="125" t="n"/>
      <c r="D97" s="21" t="n"/>
      <c r="H97" s="22" t="n"/>
      <c r="I97" s="125" t="n"/>
      <c r="J97" s="21" t="n"/>
      <c r="N97" s="22" t="n"/>
      <c r="O97" s="125" t="n"/>
      <c r="P97" s="21" t="n"/>
      <c r="T97" s="22" t="n"/>
      <c r="U97" s="125" t="n"/>
    </row>
    <row r="98" hidden="1" outlineLevel="2">
      <c r="A98" s="8" t="n"/>
      <c r="B98" s="14" t="n"/>
      <c r="C98" s="125" t="n"/>
      <c r="D98" s="21" t="n"/>
      <c r="H98" s="22" t="n"/>
      <c r="I98" s="125" t="n"/>
      <c r="J98" s="21" t="n"/>
      <c r="N98" s="22" t="n"/>
      <c r="O98" s="125" t="n"/>
      <c r="P98" s="21" t="n"/>
      <c r="T98" s="22" t="n"/>
      <c r="U98" s="125" t="n"/>
    </row>
    <row r="99" hidden="1" outlineLevel="2">
      <c r="A99" s="8" t="n"/>
      <c r="B99" s="14" t="n"/>
      <c r="C99" s="125" t="n"/>
      <c r="D99" s="23" t="n"/>
      <c r="E99" s="24" t="n"/>
      <c r="F99" s="24" t="n"/>
      <c r="G99" s="24" t="n"/>
      <c r="H99" s="25" t="n"/>
      <c r="I99" s="125" t="n"/>
      <c r="J99" s="23" t="n"/>
      <c r="K99" s="24" t="n"/>
      <c r="L99" s="24" t="n"/>
      <c r="M99" s="24" t="n"/>
      <c r="N99" s="25" t="n"/>
      <c r="O99" s="125" t="n"/>
      <c r="P99" s="23" t="n"/>
      <c r="Q99" s="24" t="n"/>
      <c r="R99" s="24" t="n"/>
      <c r="S99" s="24" t="n"/>
      <c r="T99" s="25" t="n"/>
      <c r="U99" s="125" t="n"/>
    </row>
    <row r="100" outlineLevel="1">
      <c r="A100" s="8" t="n"/>
      <c r="B100" s="14" t="n"/>
      <c r="C100" s="125" t="n"/>
      <c r="D100" s="89" t="inlineStr">
        <is>
          <t>Projétil</t>
        </is>
      </c>
      <c r="E100" s="68">
        <f>DADOS_AM!$GS$8</f>
        <v/>
      </c>
      <c r="F100" s="68">
        <f>DADOS_AM!$GP$8</f>
        <v/>
      </c>
      <c r="G100" s="89">
        <f>DADOS_AM!$GR$8</f>
        <v/>
      </c>
      <c r="H100" s="17" t="n"/>
      <c r="I100" s="125" t="n"/>
      <c r="J100" s="89" t="inlineStr">
        <is>
          <t>Projétil</t>
        </is>
      </c>
      <c r="K100" s="68">
        <f>DADOS_AM!$GS$9</f>
        <v/>
      </c>
      <c r="L100" s="68">
        <f>DADOS_AM!$GP$9</f>
        <v/>
      </c>
      <c r="M100" s="89">
        <f>DADOS_AM!$GR$9</f>
        <v/>
      </c>
      <c r="N100" s="17" t="n"/>
      <c r="O100" s="125" t="n"/>
      <c r="P100" s="89" t="inlineStr">
        <is>
          <t>Projétil</t>
        </is>
      </c>
      <c r="Q100" s="68">
        <f>DADOS_AM!$GS$10</f>
        <v/>
      </c>
      <c r="R100" s="68">
        <f>DADOS_AM!$GP$10</f>
        <v/>
      </c>
      <c r="S100" s="89">
        <f>DADOS_AM!$GR$10</f>
        <v/>
      </c>
      <c r="T100" s="17" t="n"/>
      <c r="U100" s="125" t="n"/>
    </row>
    <row r="101" outlineLevel="1">
      <c r="A101" s="8" t="n"/>
      <c r="B101" s="14" t="n"/>
      <c r="C101" s="125" t="n"/>
      <c r="D101" s="89">
        <f>DADOS_AM!$GQ$8</f>
        <v/>
      </c>
      <c r="E101" s="133">
        <f>DADOS_AM!$GX$8</f>
        <v/>
      </c>
      <c r="F101" s="16" t="n"/>
      <c r="G101" s="16" t="n"/>
      <c r="H101" s="17" t="n"/>
      <c r="I101" s="125" t="n"/>
      <c r="J101" s="89">
        <f>DADOS_AM!$GQ$9</f>
        <v/>
      </c>
      <c r="K101" s="133">
        <f>DADOS_AM!$GX$9</f>
        <v/>
      </c>
      <c r="L101" s="16" t="n"/>
      <c r="M101" s="16" t="n"/>
      <c r="N101" s="17" t="n"/>
      <c r="O101" s="125" t="n"/>
      <c r="P101" s="89">
        <f>DADOS_AM!$GQ$10</f>
        <v/>
      </c>
      <c r="Q101" s="133">
        <f>DADOS_AM!$GX$10</f>
        <v/>
      </c>
      <c r="R101" s="16" t="n"/>
      <c r="S101" s="16" t="n"/>
      <c r="T101" s="17" t="n"/>
      <c r="U101" s="125" t="n"/>
    </row>
    <row r="102" hidden="1" outlineLevel="2">
      <c r="A102" s="8" t="n"/>
      <c r="B102" s="14" t="n"/>
      <c r="C102" s="125" t="n"/>
      <c r="D102" s="55" t="inlineStr">
        <is>
          <t>MELHORIAS</t>
        </is>
      </c>
      <c r="E102" s="134" t="n"/>
      <c r="F102" s="17" t="n"/>
      <c r="G102" s="133">
        <f>DADOS_AM!$HA$8</f>
        <v/>
      </c>
      <c r="H102" s="17" t="n"/>
      <c r="I102" s="125" t="n"/>
      <c r="J102" s="55" t="inlineStr">
        <is>
          <t>MELHORIAS</t>
        </is>
      </c>
      <c r="K102" s="134" t="n"/>
      <c r="L102" s="17" t="n"/>
      <c r="M102" s="133">
        <f>DADOS_AM!$HA$9</f>
        <v/>
      </c>
      <c r="N102" s="17" t="n"/>
      <c r="O102" s="125" t="n"/>
      <c r="P102" s="55" t="inlineStr">
        <is>
          <t>MELHORIAS</t>
        </is>
      </c>
      <c r="Q102" s="134" t="n"/>
      <c r="R102" s="17" t="n"/>
      <c r="S102" s="133">
        <f>DADOS_AM!$HA$10</f>
        <v/>
      </c>
      <c r="T102" s="17" t="n"/>
      <c r="U102" s="125" t="n"/>
    </row>
    <row r="103" hidden="1" outlineLevel="2">
      <c r="A103" s="8" t="n"/>
      <c r="B103" s="14" t="n"/>
      <c r="C103" s="125" t="n"/>
      <c r="D103" s="135" t="n"/>
      <c r="E103" s="134" t="n"/>
      <c r="F103" s="17" t="n"/>
      <c r="G103" s="133">
        <f>DADOS_AM!$HB$8</f>
        <v/>
      </c>
      <c r="H103" s="17" t="n"/>
      <c r="I103" s="125" t="n"/>
      <c r="J103" s="135" t="n"/>
      <c r="K103" s="134" t="n"/>
      <c r="L103" s="17" t="n"/>
      <c r="M103" s="133">
        <f>DADOS_AM!$HB$9</f>
        <v/>
      </c>
      <c r="N103" s="17" t="n"/>
      <c r="O103" s="125" t="n"/>
      <c r="P103" s="135" t="n"/>
      <c r="Q103" s="134" t="n"/>
      <c r="R103" s="17" t="n"/>
      <c r="S103" s="133">
        <f>DADOS_AM!$HB$10</f>
        <v/>
      </c>
      <c r="T103" s="17" t="n"/>
      <c r="U103" s="125" t="n"/>
    </row>
    <row r="104" hidden="1" outlineLevel="2">
      <c r="A104" s="8" t="n"/>
      <c r="B104" s="14" t="n"/>
      <c r="C104" s="125" t="n"/>
      <c r="D104" s="135" t="n"/>
      <c r="E104" s="134" t="n"/>
      <c r="F104" s="17" t="n"/>
      <c r="G104" s="133">
        <f>DADOS_AM!$HC$8</f>
        <v/>
      </c>
      <c r="H104" s="17" t="n"/>
      <c r="I104" s="125" t="n"/>
      <c r="J104" s="135" t="n"/>
      <c r="K104" s="134" t="n"/>
      <c r="L104" s="17" t="n"/>
      <c r="M104" s="133">
        <f>DADOS_AM!$HC$9</f>
        <v/>
      </c>
      <c r="N104" s="17" t="n"/>
      <c r="O104" s="125" t="n"/>
      <c r="P104" s="135" t="n"/>
      <c r="Q104" s="134" t="n"/>
      <c r="R104" s="17" t="n"/>
      <c r="S104" s="133">
        <f>DADOS_AM!$HC$10</f>
        <v/>
      </c>
      <c r="T104" s="17" t="n"/>
      <c r="U104" s="125" t="n"/>
    </row>
    <row r="105" hidden="1" outlineLevel="2">
      <c r="A105" s="8" t="n"/>
      <c r="B105" s="14" t="n"/>
      <c r="C105" s="125" t="n"/>
      <c r="D105" s="129" t="n"/>
      <c r="E105" s="134" t="n"/>
      <c r="F105" s="17" t="n"/>
      <c r="G105" s="133">
        <f>DADOS_AM!$HD$8</f>
        <v/>
      </c>
      <c r="H105" s="17" t="n"/>
      <c r="I105" s="125" t="n"/>
      <c r="J105" s="129" t="n"/>
      <c r="K105" s="134" t="n"/>
      <c r="L105" s="17" t="n"/>
      <c r="M105" s="133">
        <f>DADOS_AM!$HD$9</f>
        <v/>
      </c>
      <c r="N105" s="17" t="n"/>
      <c r="O105" s="125" t="n"/>
      <c r="P105" s="129" t="n"/>
      <c r="Q105" s="134" t="n"/>
      <c r="R105" s="17" t="n"/>
      <c r="S105" s="133">
        <f>DADOS_AM!$HD$10</f>
        <v/>
      </c>
      <c r="T105" s="17" t="n"/>
      <c r="U105" s="125" t="n"/>
    </row>
    <row r="106" hidden="1" outlineLevel="2">
      <c r="A106" s="8" t="n"/>
      <c r="B106" s="14" t="n"/>
      <c r="C106" s="125" t="n"/>
      <c r="D106" s="55" t="inlineStr">
        <is>
          <t>RESTRIÇÕES</t>
        </is>
      </c>
      <c r="E106" s="134" t="n"/>
      <c r="F106" s="17" t="n"/>
      <c r="G106" s="133">
        <f>DADOS_AM!$HE$8</f>
        <v/>
      </c>
      <c r="H106" s="17" t="n"/>
      <c r="I106" s="125" t="n"/>
      <c r="J106" s="55" t="inlineStr">
        <is>
          <t>RESTRIÇÕES</t>
        </is>
      </c>
      <c r="K106" s="134" t="n"/>
      <c r="L106" s="17" t="n"/>
      <c r="M106" s="133">
        <f>DADOS_AM!$HE$9</f>
        <v/>
      </c>
      <c r="N106" s="17" t="n"/>
      <c r="O106" s="125" t="n"/>
      <c r="P106" s="55" t="inlineStr">
        <is>
          <t>RESTRIÇÕES</t>
        </is>
      </c>
      <c r="Q106" s="134" t="n"/>
      <c r="R106" s="17" t="n"/>
      <c r="S106" s="133">
        <f>DADOS_AM!$HE$10</f>
        <v/>
      </c>
      <c r="T106" s="17" t="n"/>
      <c r="U106" s="125" t="n"/>
    </row>
    <row r="107" hidden="1" outlineLevel="2">
      <c r="A107" s="8" t="n"/>
      <c r="B107" s="14" t="n"/>
      <c r="C107" s="125" t="n"/>
      <c r="D107" s="129" t="n"/>
      <c r="E107" s="134" t="n"/>
      <c r="F107" s="17" t="n"/>
      <c r="G107" s="133">
        <f>DADOS_AM!$HF$8</f>
        <v/>
      </c>
      <c r="H107" s="17" t="n"/>
      <c r="I107" s="125" t="n"/>
      <c r="J107" s="129" t="n"/>
      <c r="K107" s="134" t="n"/>
      <c r="L107" s="17" t="n"/>
      <c r="M107" s="133">
        <f>DADOS_AM!$HF$9</f>
        <v/>
      </c>
      <c r="N107" s="17" t="n"/>
      <c r="O107" s="125" t="n"/>
      <c r="P107" s="129" t="n"/>
      <c r="Q107" s="134" t="n"/>
      <c r="R107" s="17" t="n"/>
      <c r="S107" s="133">
        <f>DADOS_AM!$HF$10</f>
        <v/>
      </c>
      <c r="T107" s="17" t="n"/>
      <c r="U107" s="125" t="n"/>
    </row>
    <row r="108" hidden="1" outlineLevel="2">
      <c r="A108" s="8" t="n"/>
      <c r="B108" s="14" t="n"/>
      <c r="C108" s="125" t="n"/>
      <c r="D108" s="55" t="inlineStr">
        <is>
          <t>CONTA</t>
        </is>
      </c>
      <c r="E108" s="136">
        <f>DADOS_AM!$GY$8</f>
        <v/>
      </c>
      <c r="F108" s="16" t="n"/>
      <c r="G108" s="16" t="n"/>
      <c r="H108" s="17" t="n"/>
      <c r="I108" s="125" t="n"/>
      <c r="J108" s="55" t="inlineStr">
        <is>
          <t>CONTA</t>
        </is>
      </c>
      <c r="K108" s="136">
        <f>DADOS_AM!$GY$9</f>
        <v/>
      </c>
      <c r="L108" s="16" t="n"/>
      <c r="M108" s="16" t="n"/>
      <c r="N108" s="17" t="n"/>
      <c r="O108" s="125" t="n"/>
      <c r="P108" s="55" t="inlineStr">
        <is>
          <t>CONTA</t>
        </is>
      </c>
      <c r="Q108" s="136">
        <f>DADOS_AM!$GY$10</f>
        <v/>
      </c>
      <c r="R108" s="16" t="n"/>
      <c r="S108" s="16" t="n"/>
      <c r="T108" s="17" t="n"/>
      <c r="U108" s="125" t="n"/>
    </row>
    <row r="109" hidden="1" outlineLevel="2">
      <c r="A109" s="8" t="n"/>
      <c r="B109" s="14" t="n"/>
      <c r="C109" s="125" t="n"/>
      <c r="D109" s="55" t="inlineStr">
        <is>
          <t>AMPLIAR</t>
        </is>
      </c>
      <c r="E109" s="136">
        <f>DADOS_AM!$GZ$8</f>
        <v/>
      </c>
      <c r="F109" s="19" t="n"/>
      <c r="G109" s="19" t="n"/>
      <c r="H109" s="20" t="n"/>
      <c r="I109" s="125" t="n"/>
      <c r="J109" s="55" t="inlineStr">
        <is>
          <t>AMPLIAR</t>
        </is>
      </c>
      <c r="K109" s="136">
        <f>DADOS_AM!$GZ$9</f>
        <v/>
      </c>
      <c r="L109" s="19" t="n"/>
      <c r="M109" s="19" t="n"/>
      <c r="N109" s="20" t="n"/>
      <c r="O109" s="125" t="n"/>
      <c r="P109" s="55" t="inlineStr">
        <is>
          <t>AMPLIAR</t>
        </is>
      </c>
      <c r="Q109" s="136">
        <f>DADOS_AM!$GZ$10</f>
        <v/>
      </c>
      <c r="R109" s="19" t="n"/>
      <c r="S109" s="19" t="n"/>
      <c r="T109" s="20" t="n"/>
      <c r="U109" s="125" t="n"/>
    </row>
    <row r="110" hidden="1" outlineLevel="2">
      <c r="A110" s="8" t="n"/>
      <c r="B110" s="14" t="n"/>
      <c r="C110" s="125" t="n"/>
      <c r="D110" s="129" t="n"/>
      <c r="E110" s="23" t="n"/>
      <c r="F110" s="24" t="n"/>
      <c r="G110" s="24" t="n"/>
      <c r="H110" s="25" t="n"/>
      <c r="I110" s="125" t="n"/>
      <c r="J110" s="129" t="n"/>
      <c r="K110" s="23" t="n"/>
      <c r="L110" s="24" t="n"/>
      <c r="M110" s="24" t="n"/>
      <c r="N110" s="25" t="n"/>
      <c r="O110" s="125" t="n"/>
      <c r="P110" s="129" t="n"/>
      <c r="Q110" s="23" t="n"/>
      <c r="R110" s="24" t="n"/>
      <c r="S110" s="24" t="n"/>
      <c r="T110" s="25" t="n"/>
      <c r="U110" s="125" t="n"/>
    </row>
    <row r="111" hidden="1" outlineLevel="2">
      <c r="A111" s="8" t="n"/>
      <c r="B111" s="14" t="n"/>
      <c r="C111" s="125" t="n"/>
      <c r="D111" s="55" t="inlineStr">
        <is>
          <t>AVISOS</t>
        </is>
      </c>
      <c r="E111" s="136">
        <f>DADOS_AM!$GO$8</f>
        <v/>
      </c>
      <c r="F111" s="19" t="n"/>
      <c r="G111" s="19" t="n"/>
      <c r="H111" s="20" t="n"/>
      <c r="I111" s="125" t="n"/>
      <c r="J111" s="55" t="inlineStr">
        <is>
          <t>AVISOS</t>
        </is>
      </c>
      <c r="K111" s="136">
        <f>DADOS_AM!$GO$9</f>
        <v/>
      </c>
      <c r="L111" s="19" t="n"/>
      <c r="M111" s="19" t="n"/>
      <c r="N111" s="20" t="n"/>
      <c r="O111" s="125" t="n"/>
      <c r="P111" s="55" t="inlineStr">
        <is>
          <t>AVISOS</t>
        </is>
      </c>
      <c r="Q111" s="136">
        <f>DADOS_AM!$GO$10</f>
        <v/>
      </c>
      <c r="R111" s="19" t="n"/>
      <c r="S111" s="19" t="n"/>
      <c r="T111" s="20" t="n"/>
      <c r="U111" s="125" t="n"/>
    </row>
    <row r="112" hidden="1" outlineLevel="2">
      <c r="A112" s="8" t="n"/>
      <c r="B112" s="14" t="n"/>
      <c r="C112" s="125" t="n"/>
      <c r="D112" s="129" t="n"/>
      <c r="E112" s="23" t="n"/>
      <c r="F112" s="24" t="n"/>
      <c r="G112" s="24" t="n"/>
      <c r="H112" s="25" t="n"/>
      <c r="I112" s="125" t="n"/>
      <c r="J112" s="129" t="n"/>
      <c r="K112" s="23" t="n"/>
      <c r="L112" s="24" t="n"/>
      <c r="M112" s="24" t="n"/>
      <c r="N112" s="25" t="n"/>
      <c r="O112" s="125" t="n"/>
      <c r="P112" s="129" t="n"/>
      <c r="Q112" s="23" t="n"/>
      <c r="R112" s="24" t="n"/>
      <c r="S112" s="24" t="n"/>
      <c r="T112" s="25" t="n"/>
      <c r="U112" s="125" t="n"/>
    </row>
    <row r="113" outlineLevel="1">
      <c r="A113" s="8" t="n"/>
      <c r="B113" s="14" t="n"/>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row>
    <row r="114" outlineLevel="1">
      <c r="A114" s="8" t="n"/>
      <c r="B114" s="14" t="n"/>
      <c r="C114" s="125" t="n"/>
      <c r="D114" s="131" t="n">
        <v>1</v>
      </c>
      <c r="E114" s="120" t="n"/>
      <c r="F114" s="17" t="n"/>
      <c r="G114" s="132">
        <f>DADOS_AM!$GN$11</f>
        <v/>
      </c>
      <c r="H114" s="17" t="n"/>
      <c r="I114" s="125" t="n"/>
      <c r="J114" s="131" t="n">
        <v>1</v>
      </c>
      <c r="K114" s="120" t="n"/>
      <c r="L114" s="17" t="n"/>
      <c r="M114" s="132">
        <f>DADOS_AM!$GN$12</f>
        <v/>
      </c>
      <c r="N114" s="17" t="n"/>
      <c r="O114" s="125" t="n"/>
      <c r="P114" s="131" t="n">
        <v>1</v>
      </c>
      <c r="Q114" s="120" t="n"/>
      <c r="R114" s="17" t="n"/>
      <c r="S114" s="132">
        <f>DADOS_AM!$GN$13</f>
        <v/>
      </c>
      <c r="T114" s="17" t="n"/>
      <c r="U114" s="125" t="n"/>
    </row>
    <row r="115" hidden="1" outlineLevel="2">
      <c r="A115" s="8" t="n"/>
      <c r="B115" s="14" t="n"/>
      <c r="C115" s="125" t="n"/>
      <c r="D115" s="55" t="inlineStr">
        <is>
          <t>COMO É</t>
        </is>
      </c>
      <c r="E115" s="16" t="n"/>
      <c r="F115" s="16" t="n"/>
      <c r="G115" s="16" t="n"/>
      <c r="H115" s="17" t="n"/>
      <c r="I115" s="125" t="n"/>
      <c r="J115" s="55" t="inlineStr">
        <is>
          <t>COMO É</t>
        </is>
      </c>
      <c r="K115" s="16" t="n"/>
      <c r="L115" s="16" t="n"/>
      <c r="M115" s="16" t="n"/>
      <c r="N115" s="17" t="n"/>
      <c r="O115" s="125" t="n"/>
      <c r="P115" s="55" t="inlineStr">
        <is>
          <t>COMO É</t>
        </is>
      </c>
      <c r="Q115" s="16" t="n"/>
      <c r="R115" s="16" t="n"/>
      <c r="S115" s="16" t="n"/>
      <c r="T115" s="17" t="n"/>
      <c r="U115" s="125" t="n"/>
    </row>
    <row r="116" hidden="1" outlineLevel="2">
      <c r="A116" s="8" t="n"/>
      <c r="B116" s="14" t="n"/>
      <c r="C116" s="125" t="n"/>
      <c r="D116" s="121" t="n"/>
      <c r="E116" s="19" t="n"/>
      <c r="F116" s="19" t="n"/>
      <c r="G116" s="19" t="n"/>
      <c r="H116" s="20" t="n"/>
      <c r="I116" s="125" t="n"/>
      <c r="J116" s="121" t="n"/>
      <c r="K116" s="19" t="n"/>
      <c r="L116" s="19" t="n"/>
      <c r="M116" s="19" t="n"/>
      <c r="N116" s="20" t="n"/>
      <c r="O116" s="125" t="n"/>
      <c r="P116" s="121" t="n"/>
      <c r="Q116" s="19" t="n"/>
      <c r="R116" s="19" t="n"/>
      <c r="S116" s="19" t="n"/>
      <c r="T116" s="20" t="n"/>
      <c r="U116" s="125" t="n"/>
    </row>
    <row r="117" hidden="1" outlineLevel="2">
      <c r="A117" s="8" t="n"/>
      <c r="B117" s="14" t="n"/>
      <c r="C117" s="125" t="n"/>
      <c r="D117" s="21" t="n"/>
      <c r="H117" s="22" t="n"/>
      <c r="I117" s="125" t="n"/>
      <c r="J117" s="21" t="n"/>
      <c r="N117" s="22" t="n"/>
      <c r="O117" s="125" t="n"/>
      <c r="P117" s="21" t="n"/>
      <c r="T117" s="22" t="n"/>
      <c r="U117" s="125" t="n"/>
    </row>
    <row r="118" hidden="1" outlineLevel="2">
      <c r="A118" s="8" t="n"/>
      <c r="B118" s="14" t="n"/>
      <c r="C118" s="125" t="n"/>
      <c r="D118" s="21" t="n"/>
      <c r="H118" s="22" t="n"/>
      <c r="I118" s="125" t="n"/>
      <c r="J118" s="21" t="n"/>
      <c r="N118" s="22" t="n"/>
      <c r="O118" s="125" t="n"/>
      <c r="P118" s="21" t="n"/>
      <c r="T118" s="22" t="n"/>
      <c r="U118" s="125" t="n"/>
    </row>
    <row r="119" hidden="1" outlineLevel="2">
      <c r="A119" s="8" t="n"/>
      <c r="B119" s="14" t="n"/>
      <c r="C119" s="125" t="n"/>
      <c r="D119" s="21" t="n"/>
      <c r="H119" s="22" t="n"/>
      <c r="I119" s="125" t="n"/>
      <c r="J119" s="21" t="n"/>
      <c r="N119" s="22" t="n"/>
      <c r="O119" s="125" t="n"/>
      <c r="P119" s="21" t="n"/>
      <c r="T119" s="22" t="n"/>
      <c r="U119" s="125" t="n"/>
    </row>
    <row r="120" hidden="1" outlineLevel="2">
      <c r="A120" s="8" t="n"/>
      <c r="B120" s="14" t="n"/>
      <c r="C120" s="125" t="n"/>
      <c r="D120" s="23" t="n"/>
      <c r="E120" s="24" t="n"/>
      <c r="F120" s="24" t="n"/>
      <c r="G120" s="24" t="n"/>
      <c r="H120" s="25" t="n"/>
      <c r="I120" s="125" t="n"/>
      <c r="J120" s="23" t="n"/>
      <c r="K120" s="24" t="n"/>
      <c r="L120" s="24" t="n"/>
      <c r="M120" s="24" t="n"/>
      <c r="N120" s="25" t="n"/>
      <c r="O120" s="125" t="n"/>
      <c r="P120" s="23" t="n"/>
      <c r="Q120" s="24" t="n"/>
      <c r="R120" s="24" t="n"/>
      <c r="S120" s="24" t="n"/>
      <c r="T120" s="25" t="n"/>
      <c r="U120" s="125" t="n"/>
    </row>
    <row r="121" outlineLevel="1">
      <c r="A121" s="8" t="n"/>
      <c r="B121" s="14" t="n"/>
      <c r="C121" s="125" t="n"/>
      <c r="D121" s="89" t="inlineStr">
        <is>
          <t>Projétil</t>
        </is>
      </c>
      <c r="E121" s="68">
        <f>DADOS_AM!$GS$11</f>
        <v/>
      </c>
      <c r="F121" s="68">
        <f>DADOS_AM!$GP$11</f>
        <v/>
      </c>
      <c r="G121" s="89">
        <f>DADOS_AM!$GR$11</f>
        <v/>
      </c>
      <c r="H121" s="17" t="n"/>
      <c r="I121" s="125" t="n"/>
      <c r="J121" s="89" t="inlineStr">
        <is>
          <t>Projétil</t>
        </is>
      </c>
      <c r="K121" s="68">
        <f>DADOS_AM!$GS$12</f>
        <v/>
      </c>
      <c r="L121" s="68">
        <f>DADOS_AM!$GP$12</f>
        <v/>
      </c>
      <c r="M121" s="89">
        <f>DADOS_AM!$GR$12</f>
        <v/>
      </c>
      <c r="N121" s="17" t="n"/>
      <c r="O121" s="125" t="n"/>
      <c r="P121" s="89" t="inlineStr">
        <is>
          <t>Projétil</t>
        </is>
      </c>
      <c r="Q121" s="68">
        <f>DADOS_AM!$GS$13</f>
        <v/>
      </c>
      <c r="R121" s="68">
        <f>DADOS_AM!$GP$13</f>
        <v/>
      </c>
      <c r="S121" s="89">
        <f>DADOS_AM!$GR$13</f>
        <v/>
      </c>
      <c r="T121" s="17" t="n"/>
      <c r="U121" s="125" t="n"/>
    </row>
    <row r="122" outlineLevel="1">
      <c r="A122" s="8" t="n"/>
      <c r="B122" s="14" t="n"/>
      <c r="C122" s="125" t="n"/>
      <c r="D122" s="89">
        <f>DADOS_AM!$GQ$11</f>
        <v/>
      </c>
      <c r="E122" s="133">
        <f>DADOS_AM!$GX$11</f>
        <v/>
      </c>
      <c r="F122" s="16" t="n"/>
      <c r="G122" s="16" t="n"/>
      <c r="H122" s="17" t="n"/>
      <c r="I122" s="125" t="n"/>
      <c r="J122" s="89">
        <f>DADOS_AM!$GQ$12</f>
        <v/>
      </c>
      <c r="K122" s="133">
        <f>DADOS_AM!$GX$12</f>
        <v/>
      </c>
      <c r="L122" s="16" t="n"/>
      <c r="M122" s="16" t="n"/>
      <c r="N122" s="17" t="n"/>
      <c r="O122" s="125" t="n"/>
      <c r="P122" s="89">
        <f>DADOS_AM!$GQ$13</f>
        <v/>
      </c>
      <c r="Q122" s="133">
        <f>DADOS_AM!$GX$13</f>
        <v/>
      </c>
      <c r="R122" s="16" t="n"/>
      <c r="S122" s="16" t="n"/>
      <c r="T122" s="17" t="n"/>
      <c r="U122" s="125" t="n"/>
    </row>
    <row r="123" hidden="1" outlineLevel="2">
      <c r="A123" s="8" t="n"/>
      <c r="B123" s="14" t="n"/>
      <c r="C123" s="125" t="n"/>
      <c r="D123" s="55" t="inlineStr">
        <is>
          <t>MELHORIAS</t>
        </is>
      </c>
      <c r="E123" s="134" t="n"/>
      <c r="F123" s="17" t="n"/>
      <c r="G123" s="133">
        <f>DADOS_AM!$HA$11</f>
        <v/>
      </c>
      <c r="H123" s="17" t="n"/>
      <c r="I123" s="125" t="n"/>
      <c r="J123" s="55" t="inlineStr">
        <is>
          <t>MELHORIAS</t>
        </is>
      </c>
      <c r="K123" s="134" t="n"/>
      <c r="L123" s="17" t="n"/>
      <c r="M123" s="133">
        <f>DADOS_AM!$HA$12</f>
        <v/>
      </c>
      <c r="N123" s="17" t="n"/>
      <c r="O123" s="125" t="n"/>
      <c r="P123" s="55" t="inlineStr">
        <is>
          <t>MELHORIAS</t>
        </is>
      </c>
      <c r="Q123" s="134" t="n"/>
      <c r="R123" s="17" t="n"/>
      <c r="S123" s="133">
        <f>DADOS_AM!$HA$13</f>
        <v/>
      </c>
      <c r="T123" s="17" t="n"/>
      <c r="U123" s="125" t="n"/>
    </row>
    <row r="124" hidden="1" outlineLevel="2">
      <c r="A124" s="8" t="n"/>
      <c r="B124" s="14" t="n"/>
      <c r="C124" s="125" t="n"/>
      <c r="D124" s="135" t="n"/>
      <c r="E124" s="134" t="n"/>
      <c r="F124" s="17" t="n"/>
      <c r="G124" s="133">
        <f>DADOS_AM!$HB$11</f>
        <v/>
      </c>
      <c r="H124" s="17" t="n"/>
      <c r="I124" s="125" t="n"/>
      <c r="J124" s="135" t="n"/>
      <c r="K124" s="134" t="n"/>
      <c r="L124" s="17" t="n"/>
      <c r="M124" s="133">
        <f>DADOS_AM!$HB$12</f>
        <v/>
      </c>
      <c r="N124" s="17" t="n"/>
      <c r="O124" s="125" t="n"/>
      <c r="P124" s="135" t="n"/>
      <c r="Q124" s="134" t="n"/>
      <c r="R124" s="17" t="n"/>
      <c r="S124" s="133">
        <f>DADOS_AM!$HB$13</f>
        <v/>
      </c>
      <c r="T124" s="17" t="n"/>
      <c r="U124" s="125" t="n"/>
    </row>
    <row r="125" hidden="1" outlineLevel="2">
      <c r="A125" s="8" t="n"/>
      <c r="B125" s="14" t="n"/>
      <c r="C125" s="125" t="n"/>
      <c r="D125" s="135" t="n"/>
      <c r="E125" s="134" t="n"/>
      <c r="F125" s="17" t="n"/>
      <c r="G125" s="133">
        <f>DADOS_AM!$HC$11</f>
        <v/>
      </c>
      <c r="H125" s="17" t="n"/>
      <c r="I125" s="125" t="n"/>
      <c r="J125" s="135" t="n"/>
      <c r="K125" s="134" t="n"/>
      <c r="L125" s="17" t="n"/>
      <c r="M125" s="133">
        <f>DADOS_AM!$HC$12</f>
        <v/>
      </c>
      <c r="N125" s="17" t="n"/>
      <c r="O125" s="125" t="n"/>
      <c r="P125" s="135" t="n"/>
      <c r="Q125" s="134" t="n"/>
      <c r="R125" s="17" t="n"/>
      <c r="S125" s="133">
        <f>DADOS_AM!$HC$13</f>
        <v/>
      </c>
      <c r="T125" s="17" t="n"/>
      <c r="U125" s="125" t="n"/>
    </row>
    <row r="126" hidden="1" outlineLevel="2">
      <c r="A126" s="8" t="n"/>
      <c r="B126" s="14" t="n"/>
      <c r="C126" s="125" t="n"/>
      <c r="D126" s="129" t="n"/>
      <c r="E126" s="134" t="n"/>
      <c r="F126" s="17" t="n"/>
      <c r="G126" s="133">
        <f>DADOS_AM!$HD$11</f>
        <v/>
      </c>
      <c r="H126" s="17" t="n"/>
      <c r="I126" s="125" t="n"/>
      <c r="J126" s="129" t="n"/>
      <c r="K126" s="134" t="n"/>
      <c r="L126" s="17" t="n"/>
      <c r="M126" s="133">
        <f>DADOS_AM!$HD$12</f>
        <v/>
      </c>
      <c r="N126" s="17" t="n"/>
      <c r="O126" s="125" t="n"/>
      <c r="P126" s="129" t="n"/>
      <c r="Q126" s="134" t="n"/>
      <c r="R126" s="17" t="n"/>
      <c r="S126" s="133">
        <f>DADOS_AM!$HD$13</f>
        <v/>
      </c>
      <c r="T126" s="17" t="n"/>
      <c r="U126" s="125" t="n"/>
    </row>
    <row r="127" hidden="1" outlineLevel="2">
      <c r="A127" s="8" t="n"/>
      <c r="B127" s="14" t="n"/>
      <c r="C127" s="125" t="n"/>
      <c r="D127" s="55" t="inlineStr">
        <is>
          <t>RESTRIÇÕES</t>
        </is>
      </c>
      <c r="E127" s="134" t="n"/>
      <c r="F127" s="17" t="n"/>
      <c r="G127" s="133">
        <f>DADOS_AM!$HE$11</f>
        <v/>
      </c>
      <c r="H127" s="17" t="n"/>
      <c r="I127" s="125" t="n"/>
      <c r="J127" s="55" t="inlineStr">
        <is>
          <t>RESTRIÇÕES</t>
        </is>
      </c>
      <c r="K127" s="134" t="n"/>
      <c r="L127" s="17" t="n"/>
      <c r="M127" s="133">
        <f>DADOS_AM!$HE$12</f>
        <v/>
      </c>
      <c r="N127" s="17" t="n"/>
      <c r="O127" s="125" t="n"/>
      <c r="P127" s="55" t="inlineStr">
        <is>
          <t>RESTRIÇÕES</t>
        </is>
      </c>
      <c r="Q127" s="134" t="n"/>
      <c r="R127" s="17" t="n"/>
      <c r="S127" s="133">
        <f>DADOS_AM!$HE$13</f>
        <v/>
      </c>
      <c r="T127" s="17" t="n"/>
      <c r="U127" s="125" t="n"/>
    </row>
    <row r="128" hidden="1" outlineLevel="2">
      <c r="A128" s="8" t="n"/>
      <c r="B128" s="14" t="n"/>
      <c r="C128" s="125" t="n"/>
      <c r="D128" s="129" t="n"/>
      <c r="E128" s="134" t="n"/>
      <c r="F128" s="17" t="n"/>
      <c r="G128" s="133">
        <f>DADOS_AM!$HF$11</f>
        <v/>
      </c>
      <c r="H128" s="17" t="n"/>
      <c r="I128" s="125" t="n"/>
      <c r="J128" s="129" t="n"/>
      <c r="K128" s="134" t="n"/>
      <c r="L128" s="17" t="n"/>
      <c r="M128" s="133">
        <f>DADOS_AM!$HF$12</f>
        <v/>
      </c>
      <c r="N128" s="17" t="n"/>
      <c r="O128" s="125" t="n"/>
      <c r="P128" s="129" t="n"/>
      <c r="Q128" s="134" t="n"/>
      <c r="R128" s="17" t="n"/>
      <c r="S128" s="133">
        <f>DADOS_AM!$HF$13</f>
        <v/>
      </c>
      <c r="T128" s="17" t="n"/>
      <c r="U128" s="125" t="n"/>
    </row>
    <row r="129" hidden="1" outlineLevel="2">
      <c r="A129" s="8" t="n"/>
      <c r="B129" s="14" t="n"/>
      <c r="C129" s="125" t="n"/>
      <c r="D129" s="55" t="inlineStr">
        <is>
          <t>CONTA</t>
        </is>
      </c>
      <c r="E129" s="136">
        <f>DADOS_AM!$GY$11</f>
        <v/>
      </c>
      <c r="F129" s="16" t="n"/>
      <c r="G129" s="16" t="n"/>
      <c r="H129" s="17" t="n"/>
      <c r="I129" s="125" t="n"/>
      <c r="J129" s="55" t="inlineStr">
        <is>
          <t>CONTA</t>
        </is>
      </c>
      <c r="K129" s="136">
        <f>DADOS_AM!$GY$12</f>
        <v/>
      </c>
      <c r="L129" s="16" t="n"/>
      <c r="M129" s="16" t="n"/>
      <c r="N129" s="17" t="n"/>
      <c r="O129" s="125" t="n"/>
      <c r="P129" s="55" t="inlineStr">
        <is>
          <t>CONTA</t>
        </is>
      </c>
      <c r="Q129" s="136">
        <f>DADOS_AM!$GY$13</f>
        <v/>
      </c>
      <c r="R129" s="16" t="n"/>
      <c r="S129" s="16" t="n"/>
      <c r="T129" s="17" t="n"/>
      <c r="U129" s="125" t="n"/>
    </row>
    <row r="130" hidden="1" outlineLevel="2">
      <c r="A130" s="8" t="n"/>
      <c r="B130" s="14" t="n"/>
      <c r="C130" s="125" t="n"/>
      <c r="D130" s="55" t="inlineStr">
        <is>
          <t>AMPLIAR</t>
        </is>
      </c>
      <c r="E130" s="136">
        <f>DADOS_AM!$GZ$11</f>
        <v/>
      </c>
      <c r="F130" s="19" t="n"/>
      <c r="G130" s="19" t="n"/>
      <c r="H130" s="20" t="n"/>
      <c r="I130" s="125" t="n"/>
      <c r="J130" s="55" t="inlineStr">
        <is>
          <t>AMPLIAR</t>
        </is>
      </c>
      <c r="K130" s="136">
        <f>DADOS_AM!$GZ$12</f>
        <v/>
      </c>
      <c r="L130" s="19" t="n"/>
      <c r="M130" s="19" t="n"/>
      <c r="N130" s="20" t="n"/>
      <c r="O130" s="125" t="n"/>
      <c r="P130" s="55" t="inlineStr">
        <is>
          <t>AMPLIAR</t>
        </is>
      </c>
      <c r="Q130" s="136">
        <f>DADOS_AM!$GZ$13</f>
        <v/>
      </c>
      <c r="R130" s="19" t="n"/>
      <c r="S130" s="19" t="n"/>
      <c r="T130" s="20" t="n"/>
      <c r="U130" s="125" t="n"/>
    </row>
    <row r="131" hidden="1" outlineLevel="2">
      <c r="A131" s="8" t="n"/>
      <c r="B131" s="14" t="n"/>
      <c r="C131" s="125" t="n"/>
      <c r="D131" s="129" t="n"/>
      <c r="E131" s="23" t="n"/>
      <c r="F131" s="24" t="n"/>
      <c r="G131" s="24" t="n"/>
      <c r="H131" s="25" t="n"/>
      <c r="I131" s="125" t="n"/>
      <c r="J131" s="129" t="n"/>
      <c r="K131" s="23" t="n"/>
      <c r="L131" s="24" t="n"/>
      <c r="M131" s="24" t="n"/>
      <c r="N131" s="25" t="n"/>
      <c r="O131" s="125" t="n"/>
      <c r="P131" s="129" t="n"/>
      <c r="Q131" s="23" t="n"/>
      <c r="R131" s="24" t="n"/>
      <c r="S131" s="24" t="n"/>
      <c r="T131" s="25" t="n"/>
      <c r="U131" s="125" t="n"/>
    </row>
    <row r="132" hidden="1" outlineLevel="2">
      <c r="A132" s="8" t="n"/>
      <c r="B132" s="14" t="n"/>
      <c r="C132" s="125" t="n"/>
      <c r="D132" s="55" t="inlineStr">
        <is>
          <t>AVISOS</t>
        </is>
      </c>
      <c r="E132" s="136">
        <f>DADOS_AM!$GO$11</f>
        <v/>
      </c>
      <c r="F132" s="19" t="n"/>
      <c r="G132" s="19" t="n"/>
      <c r="H132" s="20" t="n"/>
      <c r="I132" s="125" t="n"/>
      <c r="J132" s="55" t="inlineStr">
        <is>
          <t>AVISOS</t>
        </is>
      </c>
      <c r="K132" s="136">
        <f>DADOS_AM!$GO$12</f>
        <v/>
      </c>
      <c r="L132" s="19" t="n"/>
      <c r="M132" s="19" t="n"/>
      <c r="N132" s="20" t="n"/>
      <c r="O132" s="125" t="n"/>
      <c r="P132" s="55" t="inlineStr">
        <is>
          <t>AVISOS</t>
        </is>
      </c>
      <c r="Q132" s="136">
        <f>DADOS_AM!$GO$13</f>
        <v/>
      </c>
      <c r="R132" s="19" t="n"/>
      <c r="S132" s="19" t="n"/>
      <c r="T132" s="20" t="n"/>
      <c r="U132" s="125" t="n"/>
    </row>
    <row r="133" hidden="1" outlineLevel="2">
      <c r="A133" s="8" t="n"/>
      <c r="B133" s="14" t="n"/>
      <c r="C133" s="125" t="n"/>
      <c r="D133" s="129" t="n"/>
      <c r="E133" s="23" t="n"/>
      <c r="F133" s="24" t="n"/>
      <c r="G133" s="24" t="n"/>
      <c r="H133" s="25" t="n"/>
      <c r="I133" s="125" t="n"/>
      <c r="J133" s="129" t="n"/>
      <c r="K133" s="23" t="n"/>
      <c r="L133" s="24" t="n"/>
      <c r="M133" s="24" t="n"/>
      <c r="N133" s="25" t="n"/>
      <c r="O133" s="125" t="n"/>
      <c r="P133" s="129" t="n"/>
      <c r="Q133" s="23" t="n"/>
      <c r="R133" s="24" t="n"/>
      <c r="S133" s="24" t="n"/>
      <c r="T133" s="25" t="n"/>
      <c r="U133" s="125" t="n"/>
    </row>
    <row r="134" outlineLevel="1">
      <c r="A134" s="8" t="n"/>
      <c r="B134" s="14" t="n"/>
      <c r="C134" s="125" t="n"/>
      <c r="D134" s="125" t="n"/>
      <c r="E134" s="125" t="n"/>
      <c r="F134" s="125" t="n"/>
      <c r="G134" s="125" t="n"/>
      <c r="H134" s="125" t="n"/>
      <c r="I134" s="125" t="n"/>
      <c r="J134" s="125" t="n"/>
      <c r="K134" s="125" t="n"/>
      <c r="L134" s="125" t="n"/>
      <c r="M134" s="125" t="n"/>
      <c r="N134" s="125" t="n"/>
      <c r="O134" s="125" t="n"/>
      <c r="P134" s="125" t="n"/>
      <c r="Q134" s="125" t="n"/>
      <c r="R134" s="125" t="n"/>
      <c r="S134" s="125" t="n"/>
      <c r="T134" s="125" t="n"/>
      <c r="U134" s="125" t="n"/>
    </row>
    <row r="135" outlineLevel="1">
      <c r="A135" s="8" t="n"/>
      <c r="B135" s="14" t="n"/>
      <c r="C135" s="125" t="n"/>
      <c r="D135" s="137">
        <f>DADOS_AM!$KT$34</f>
        <v/>
      </c>
      <c r="E135" s="16" t="n"/>
      <c r="F135" s="16" t="n"/>
      <c r="G135" s="16" t="n"/>
      <c r="H135" s="16" t="n"/>
      <c r="I135" s="16" t="n"/>
      <c r="J135" s="16" t="n"/>
      <c r="K135" s="16" t="n"/>
      <c r="L135" s="16" t="n"/>
      <c r="M135" s="16" t="n"/>
      <c r="N135" s="16" t="n"/>
      <c r="O135" s="16" t="n"/>
      <c r="P135" s="16" t="n"/>
      <c r="Q135" s="16" t="n"/>
      <c r="R135" s="16" t="n"/>
      <c r="S135" s="16" t="n"/>
      <c r="T135" s="17" t="n"/>
      <c r="U135" s="125" t="n"/>
    </row>
    <row r="136" hidden="1" outlineLevel="2">
      <c r="A136" s="8" t="n"/>
      <c r="B136" s="14" t="n"/>
      <c r="C136" s="125" t="n"/>
      <c r="D136" s="125" t="n"/>
      <c r="E136" s="125" t="n"/>
      <c r="F136" s="125" t="n"/>
      <c r="G136" s="125" t="n"/>
      <c r="H136" s="125" t="n"/>
      <c r="I136" s="125" t="n"/>
      <c r="J136" s="125" t="n"/>
      <c r="K136" s="125" t="n"/>
      <c r="L136" s="125" t="n"/>
      <c r="M136" s="125" t="n"/>
      <c r="N136" s="125" t="n"/>
      <c r="O136" s="125" t="n"/>
      <c r="P136" s="125" t="n"/>
      <c r="Q136" s="125" t="n"/>
      <c r="R136" s="125" t="n"/>
      <c r="S136" s="125" t="n"/>
      <c r="T136" s="125" t="n"/>
      <c r="U136" s="125" t="n"/>
    </row>
    <row r="137" hidden="1" outlineLevel="2">
      <c r="A137" s="8" t="n"/>
      <c r="B137" s="14" t="n"/>
      <c r="C137" s="125" t="n"/>
      <c r="D137" s="131" t="n">
        <v>1</v>
      </c>
      <c r="E137" s="120" t="n"/>
      <c r="F137" s="17" t="n"/>
      <c r="G137" s="132">
        <f>DADOS_AM!$GN$14</f>
        <v/>
      </c>
      <c r="H137" s="17" t="n"/>
      <c r="I137" s="125" t="n"/>
      <c r="J137" s="131" t="n">
        <v>1</v>
      </c>
      <c r="K137" s="120" t="n"/>
      <c r="L137" s="17" t="n"/>
      <c r="M137" s="132">
        <f>DADOS_AM!$GN$15</f>
        <v/>
      </c>
      <c r="N137" s="17" t="n"/>
      <c r="O137" s="125" t="n"/>
      <c r="P137" s="131" t="n">
        <v>1</v>
      </c>
      <c r="Q137" s="120" t="n"/>
      <c r="R137" s="17" t="n"/>
      <c r="S137" s="132">
        <f>DADOS_AM!$GN$16</f>
        <v/>
      </c>
      <c r="T137" s="17" t="n"/>
      <c r="U137" s="125" t="n"/>
    </row>
    <row r="138" hidden="1" outlineLevel="3">
      <c r="A138" s="8" t="n"/>
      <c r="B138" s="14" t="n"/>
      <c r="C138" s="125" t="n"/>
      <c r="D138" s="55" t="inlineStr">
        <is>
          <t>COMO É</t>
        </is>
      </c>
      <c r="E138" s="16" t="n"/>
      <c r="F138" s="16" t="n"/>
      <c r="G138" s="16" t="n"/>
      <c r="H138" s="17" t="n"/>
      <c r="I138" s="125" t="n"/>
      <c r="J138" s="55" t="inlineStr">
        <is>
          <t>COMO É</t>
        </is>
      </c>
      <c r="K138" s="16" t="n"/>
      <c r="L138" s="16" t="n"/>
      <c r="M138" s="16" t="n"/>
      <c r="N138" s="17" t="n"/>
      <c r="O138" s="125" t="n"/>
      <c r="P138" s="55" t="inlineStr">
        <is>
          <t>COMO É</t>
        </is>
      </c>
      <c r="Q138" s="16" t="n"/>
      <c r="R138" s="16" t="n"/>
      <c r="S138" s="16" t="n"/>
      <c r="T138" s="17" t="n"/>
      <c r="U138" s="125" t="n"/>
    </row>
    <row r="139" hidden="1" outlineLevel="3">
      <c r="A139" s="8" t="n"/>
      <c r="B139" s="14" t="n"/>
      <c r="C139" s="125" t="n"/>
      <c r="D139" s="121" t="n"/>
      <c r="E139" s="19" t="n"/>
      <c r="F139" s="19" t="n"/>
      <c r="G139" s="19" t="n"/>
      <c r="H139" s="20" t="n"/>
      <c r="I139" s="125" t="n"/>
      <c r="J139" s="121" t="n"/>
      <c r="K139" s="19" t="n"/>
      <c r="L139" s="19" t="n"/>
      <c r="M139" s="19" t="n"/>
      <c r="N139" s="20" t="n"/>
      <c r="O139" s="125" t="n"/>
      <c r="P139" s="121" t="n"/>
      <c r="Q139" s="19" t="n"/>
      <c r="R139" s="19" t="n"/>
      <c r="S139" s="19" t="n"/>
      <c r="T139" s="20" t="n"/>
      <c r="U139" s="125" t="n"/>
    </row>
    <row r="140" hidden="1" outlineLevel="3">
      <c r="A140" s="8" t="n"/>
      <c r="B140" s="14" t="n"/>
      <c r="C140" s="125" t="n"/>
      <c r="D140" s="21" t="n"/>
      <c r="H140" s="22" t="n"/>
      <c r="I140" s="125" t="n"/>
      <c r="J140" s="21" t="n"/>
      <c r="N140" s="22" t="n"/>
      <c r="O140" s="125" t="n"/>
      <c r="P140" s="21" t="n"/>
      <c r="T140" s="22" t="n"/>
      <c r="U140" s="125" t="n"/>
    </row>
    <row r="141" hidden="1" outlineLevel="3">
      <c r="A141" s="8" t="n"/>
      <c r="B141" s="14" t="n"/>
      <c r="C141" s="125" t="n"/>
      <c r="D141" s="21" t="n"/>
      <c r="H141" s="22" t="n"/>
      <c r="I141" s="125" t="n"/>
      <c r="J141" s="21" t="n"/>
      <c r="N141" s="22" t="n"/>
      <c r="O141" s="125" t="n"/>
      <c r="P141" s="21" t="n"/>
      <c r="T141" s="22" t="n"/>
      <c r="U141" s="125" t="n"/>
    </row>
    <row r="142" hidden="1" outlineLevel="3">
      <c r="A142" s="8" t="n"/>
      <c r="B142" s="14" t="n"/>
      <c r="C142" s="125" t="n"/>
      <c r="D142" s="21" t="n"/>
      <c r="H142" s="22" t="n"/>
      <c r="I142" s="125" t="n"/>
      <c r="J142" s="21" t="n"/>
      <c r="N142" s="22" t="n"/>
      <c r="O142" s="125" t="n"/>
      <c r="P142" s="21" t="n"/>
      <c r="T142" s="22" t="n"/>
      <c r="U142" s="125" t="n"/>
    </row>
    <row r="143" hidden="1" outlineLevel="3">
      <c r="A143" s="8" t="n"/>
      <c r="B143" s="14" t="n"/>
      <c r="C143" s="125" t="n"/>
      <c r="D143" s="23" t="n"/>
      <c r="E143" s="24" t="n"/>
      <c r="F143" s="24" t="n"/>
      <c r="G143" s="24" t="n"/>
      <c r="H143" s="25" t="n"/>
      <c r="I143" s="125" t="n"/>
      <c r="J143" s="23" t="n"/>
      <c r="K143" s="24" t="n"/>
      <c r="L143" s="24" t="n"/>
      <c r="M143" s="24" t="n"/>
      <c r="N143" s="25" t="n"/>
      <c r="O143" s="125" t="n"/>
      <c r="P143" s="23" t="n"/>
      <c r="Q143" s="24" t="n"/>
      <c r="R143" s="24" t="n"/>
      <c r="S143" s="24" t="n"/>
      <c r="T143" s="25" t="n"/>
      <c r="U143" s="125" t="n"/>
    </row>
    <row r="144" hidden="1" outlineLevel="2">
      <c r="A144" s="8" t="n"/>
      <c r="B144" s="14" t="n"/>
      <c r="C144" s="125" t="n"/>
      <c r="D144" s="89" t="inlineStr">
        <is>
          <t>Projétil</t>
        </is>
      </c>
      <c r="E144" s="68">
        <f>DADOS_AM!$GS$14</f>
        <v/>
      </c>
      <c r="F144" s="68">
        <f>DADOS_AM!$GP$14</f>
        <v/>
      </c>
      <c r="G144" s="89">
        <f>DADOS_AM!$GR$14</f>
        <v/>
      </c>
      <c r="H144" s="17" t="n"/>
      <c r="I144" s="125" t="n"/>
      <c r="J144" s="89" t="inlineStr">
        <is>
          <t>Projétil</t>
        </is>
      </c>
      <c r="K144" s="68">
        <f>DADOS_AM!$GS$15</f>
        <v/>
      </c>
      <c r="L144" s="68">
        <f>DADOS_AM!$GP$15</f>
        <v/>
      </c>
      <c r="M144" s="89">
        <f>DADOS_AM!$GR$15</f>
        <v/>
      </c>
      <c r="N144" s="17" t="n"/>
      <c r="O144" s="125" t="n"/>
      <c r="P144" s="89" t="inlineStr">
        <is>
          <t>Projétil</t>
        </is>
      </c>
      <c r="Q144" s="68">
        <f>DADOS_AM!$GS$16</f>
        <v/>
      </c>
      <c r="R144" s="68">
        <f>DADOS_AM!$GP$16</f>
        <v/>
      </c>
      <c r="S144" s="89">
        <f>DADOS_AM!$GR$16</f>
        <v/>
      </c>
      <c r="T144" s="17" t="n"/>
      <c r="U144" s="125" t="n"/>
    </row>
    <row r="145" hidden="1" outlineLevel="2">
      <c r="A145" s="8" t="n"/>
      <c r="B145" s="14" t="n"/>
      <c r="C145" s="125" t="n"/>
      <c r="D145" s="89">
        <f>DADOS_AM!$GQ$14</f>
        <v/>
      </c>
      <c r="E145" s="133">
        <f>DADOS_AM!$GX$14</f>
        <v/>
      </c>
      <c r="F145" s="16" t="n"/>
      <c r="G145" s="16" t="n"/>
      <c r="H145" s="17" t="n"/>
      <c r="I145" s="125" t="n"/>
      <c r="J145" s="89">
        <f>DADOS_AM!$GQ$15</f>
        <v/>
      </c>
      <c r="K145" s="133">
        <f>DADOS_AM!$GX$15</f>
        <v/>
      </c>
      <c r="L145" s="16" t="n"/>
      <c r="M145" s="16" t="n"/>
      <c r="N145" s="17" t="n"/>
      <c r="O145" s="125" t="n"/>
      <c r="P145" s="89">
        <f>DADOS_AM!$GQ$16</f>
        <v/>
      </c>
      <c r="Q145" s="133">
        <f>DADOS_AM!$GX$16</f>
        <v/>
      </c>
      <c r="R145" s="16" t="n"/>
      <c r="S145" s="16" t="n"/>
      <c r="T145" s="17" t="n"/>
      <c r="U145" s="125" t="n"/>
    </row>
    <row r="146" hidden="1" outlineLevel="3">
      <c r="A146" s="8" t="n"/>
      <c r="B146" s="14" t="n"/>
      <c r="C146" s="125" t="n"/>
      <c r="D146" s="55" t="inlineStr">
        <is>
          <t>MELHORIAS</t>
        </is>
      </c>
      <c r="E146" s="134" t="n"/>
      <c r="F146" s="17" t="n"/>
      <c r="G146" s="133">
        <f>DADOS_AM!$HA$14</f>
        <v/>
      </c>
      <c r="H146" s="17" t="n"/>
      <c r="I146" s="125" t="n"/>
      <c r="J146" s="55" t="inlineStr">
        <is>
          <t>MELHORIAS</t>
        </is>
      </c>
      <c r="K146" s="134" t="n"/>
      <c r="L146" s="17" t="n"/>
      <c r="M146" s="133">
        <f>DADOS_AM!$HA$15</f>
        <v/>
      </c>
      <c r="N146" s="17" t="n"/>
      <c r="O146" s="125" t="n"/>
      <c r="P146" s="55" t="inlineStr">
        <is>
          <t>MELHORIAS</t>
        </is>
      </c>
      <c r="Q146" s="134" t="n"/>
      <c r="R146" s="17" t="n"/>
      <c r="S146" s="133">
        <f>DADOS_AM!$HA$16</f>
        <v/>
      </c>
      <c r="T146" s="17" t="n"/>
      <c r="U146" s="125" t="n"/>
    </row>
    <row r="147" hidden="1" outlineLevel="3">
      <c r="A147" s="8" t="n"/>
      <c r="B147" s="14" t="n"/>
      <c r="C147" s="125" t="n"/>
      <c r="D147" s="135" t="n"/>
      <c r="E147" s="134" t="n"/>
      <c r="F147" s="17" t="n"/>
      <c r="G147" s="133">
        <f>DADOS_AM!$HB$14</f>
        <v/>
      </c>
      <c r="H147" s="17" t="n"/>
      <c r="I147" s="125" t="n"/>
      <c r="J147" s="135" t="n"/>
      <c r="K147" s="134" t="n"/>
      <c r="L147" s="17" t="n"/>
      <c r="M147" s="133">
        <f>DADOS_AM!$HB$15</f>
        <v/>
      </c>
      <c r="N147" s="17" t="n"/>
      <c r="O147" s="125" t="n"/>
      <c r="P147" s="135" t="n"/>
      <c r="Q147" s="134" t="n"/>
      <c r="R147" s="17" t="n"/>
      <c r="S147" s="133">
        <f>DADOS_AM!$HB$16</f>
        <v/>
      </c>
      <c r="T147" s="17" t="n"/>
      <c r="U147" s="125" t="n"/>
    </row>
    <row r="148" hidden="1" outlineLevel="3">
      <c r="A148" s="8" t="n"/>
      <c r="B148" s="14" t="n"/>
      <c r="C148" s="125" t="n"/>
      <c r="D148" s="135" t="n"/>
      <c r="E148" s="134" t="n"/>
      <c r="F148" s="17" t="n"/>
      <c r="G148" s="133">
        <f>DADOS_AM!$HC$14</f>
        <v/>
      </c>
      <c r="H148" s="17" t="n"/>
      <c r="I148" s="125" t="n"/>
      <c r="J148" s="135" t="n"/>
      <c r="K148" s="134" t="n"/>
      <c r="L148" s="17" t="n"/>
      <c r="M148" s="133">
        <f>DADOS_AM!$HC$15</f>
        <v/>
      </c>
      <c r="N148" s="17" t="n"/>
      <c r="O148" s="125" t="n"/>
      <c r="P148" s="135" t="n"/>
      <c r="Q148" s="134" t="n"/>
      <c r="R148" s="17" t="n"/>
      <c r="S148" s="133">
        <f>DADOS_AM!$HC$16</f>
        <v/>
      </c>
      <c r="T148" s="17" t="n"/>
      <c r="U148" s="125" t="n"/>
    </row>
    <row r="149" hidden="1" outlineLevel="3">
      <c r="A149" s="8" t="n"/>
      <c r="B149" s="14" t="n"/>
      <c r="C149" s="125" t="n"/>
      <c r="D149" s="129" t="n"/>
      <c r="E149" s="134" t="n"/>
      <c r="F149" s="17" t="n"/>
      <c r="G149" s="133">
        <f>DADOS_AM!$HD$14</f>
        <v/>
      </c>
      <c r="H149" s="17" t="n"/>
      <c r="I149" s="125" t="n"/>
      <c r="J149" s="129" t="n"/>
      <c r="K149" s="134" t="n"/>
      <c r="L149" s="17" t="n"/>
      <c r="M149" s="133">
        <f>DADOS_AM!$HD$15</f>
        <v/>
      </c>
      <c r="N149" s="17" t="n"/>
      <c r="O149" s="125" t="n"/>
      <c r="P149" s="129" t="n"/>
      <c r="Q149" s="134" t="n"/>
      <c r="R149" s="17" t="n"/>
      <c r="S149" s="133">
        <f>DADOS_AM!$HD$16</f>
        <v/>
      </c>
      <c r="T149" s="17" t="n"/>
      <c r="U149" s="125" t="n"/>
    </row>
    <row r="150" hidden="1" outlineLevel="3">
      <c r="A150" s="8" t="n"/>
      <c r="B150" s="14" t="n"/>
      <c r="C150" s="125" t="n"/>
      <c r="D150" s="55" t="inlineStr">
        <is>
          <t>RESTRIÇÕES</t>
        </is>
      </c>
      <c r="E150" s="134" t="n"/>
      <c r="F150" s="17" t="n"/>
      <c r="G150" s="133">
        <f>DADOS_AM!$HE$14</f>
        <v/>
      </c>
      <c r="H150" s="17" t="n"/>
      <c r="I150" s="125" t="n"/>
      <c r="J150" s="55" t="inlineStr">
        <is>
          <t>RESTRIÇÕES</t>
        </is>
      </c>
      <c r="K150" s="134" t="n"/>
      <c r="L150" s="17" t="n"/>
      <c r="M150" s="133">
        <f>DADOS_AM!$HE$15</f>
        <v/>
      </c>
      <c r="N150" s="17" t="n"/>
      <c r="O150" s="125" t="n"/>
      <c r="P150" s="55" t="inlineStr">
        <is>
          <t>RESTRIÇÕES</t>
        </is>
      </c>
      <c r="Q150" s="134" t="n"/>
      <c r="R150" s="17" t="n"/>
      <c r="S150" s="133">
        <f>DADOS_AM!$HE$16</f>
        <v/>
      </c>
      <c r="T150" s="17" t="n"/>
      <c r="U150" s="125" t="n"/>
    </row>
    <row r="151" hidden="1" outlineLevel="3">
      <c r="A151" s="8" t="n"/>
      <c r="B151" s="14" t="n"/>
      <c r="C151" s="125" t="n"/>
      <c r="D151" s="129" t="n"/>
      <c r="E151" s="134" t="n"/>
      <c r="F151" s="17" t="n"/>
      <c r="G151" s="133">
        <f>DADOS_AM!$HF$14</f>
        <v/>
      </c>
      <c r="H151" s="17" t="n"/>
      <c r="I151" s="125" t="n"/>
      <c r="J151" s="129" t="n"/>
      <c r="K151" s="134" t="n"/>
      <c r="L151" s="17" t="n"/>
      <c r="M151" s="133">
        <f>DADOS_AM!$HF$15</f>
        <v/>
      </c>
      <c r="N151" s="17" t="n"/>
      <c r="O151" s="125" t="n"/>
      <c r="P151" s="129" t="n"/>
      <c r="Q151" s="134" t="n"/>
      <c r="R151" s="17" t="n"/>
      <c r="S151" s="133">
        <f>DADOS_AM!$HF$16</f>
        <v/>
      </c>
      <c r="T151" s="17" t="n"/>
      <c r="U151" s="125" t="n"/>
    </row>
    <row r="152" hidden="1" outlineLevel="3">
      <c r="A152" s="8" t="n"/>
      <c r="B152" s="14" t="n"/>
      <c r="C152" s="125" t="n"/>
      <c r="D152" s="55" t="inlineStr">
        <is>
          <t>CONTA</t>
        </is>
      </c>
      <c r="E152" s="136">
        <f>DADOS_AM!$GY$14</f>
        <v/>
      </c>
      <c r="F152" s="16" t="n"/>
      <c r="G152" s="16" t="n"/>
      <c r="H152" s="17" t="n"/>
      <c r="I152" s="125" t="n"/>
      <c r="J152" s="55" t="inlineStr">
        <is>
          <t>CONTA</t>
        </is>
      </c>
      <c r="K152" s="136">
        <f>DADOS_AM!$GY$15</f>
        <v/>
      </c>
      <c r="L152" s="16" t="n"/>
      <c r="M152" s="16" t="n"/>
      <c r="N152" s="17" t="n"/>
      <c r="O152" s="125" t="n"/>
      <c r="P152" s="55" t="inlineStr">
        <is>
          <t>CONTA</t>
        </is>
      </c>
      <c r="Q152" s="136">
        <f>DADOS_AM!$GY$16</f>
        <v/>
      </c>
      <c r="R152" s="16" t="n"/>
      <c r="S152" s="16" t="n"/>
      <c r="T152" s="17" t="n"/>
      <c r="U152" s="125" t="n"/>
    </row>
    <row r="153" hidden="1" outlineLevel="3">
      <c r="A153" s="8" t="n"/>
      <c r="B153" s="14" t="n"/>
      <c r="C153" s="125" t="n"/>
      <c r="D153" s="55" t="inlineStr">
        <is>
          <t>AMPLIAR</t>
        </is>
      </c>
      <c r="E153" s="136">
        <f>DADOS_AM!$GZ$14</f>
        <v/>
      </c>
      <c r="F153" s="19" t="n"/>
      <c r="G153" s="19" t="n"/>
      <c r="H153" s="20" t="n"/>
      <c r="I153" s="125" t="n"/>
      <c r="J153" s="55" t="inlineStr">
        <is>
          <t>AMPLIAR</t>
        </is>
      </c>
      <c r="K153" s="136">
        <f>DADOS_AM!$GZ$15</f>
        <v/>
      </c>
      <c r="L153" s="19" t="n"/>
      <c r="M153" s="19" t="n"/>
      <c r="N153" s="20" t="n"/>
      <c r="O153" s="125" t="n"/>
      <c r="P153" s="55" t="inlineStr">
        <is>
          <t>AMPLIAR</t>
        </is>
      </c>
      <c r="Q153" s="136">
        <f>DADOS_AM!$GZ$16</f>
        <v/>
      </c>
      <c r="R153" s="19" t="n"/>
      <c r="S153" s="19" t="n"/>
      <c r="T153" s="20" t="n"/>
      <c r="U153" s="125" t="n"/>
    </row>
    <row r="154" hidden="1" outlineLevel="3">
      <c r="A154" s="8" t="n"/>
      <c r="B154" s="14" t="n"/>
      <c r="C154" s="125" t="n"/>
      <c r="D154" s="129" t="n"/>
      <c r="E154" s="23" t="n"/>
      <c r="F154" s="24" t="n"/>
      <c r="G154" s="24" t="n"/>
      <c r="H154" s="25" t="n"/>
      <c r="I154" s="125" t="n"/>
      <c r="J154" s="129" t="n"/>
      <c r="K154" s="23" t="n"/>
      <c r="L154" s="24" t="n"/>
      <c r="M154" s="24" t="n"/>
      <c r="N154" s="25" t="n"/>
      <c r="O154" s="125" t="n"/>
      <c r="P154" s="129" t="n"/>
      <c r="Q154" s="23" t="n"/>
      <c r="R154" s="24" t="n"/>
      <c r="S154" s="24" t="n"/>
      <c r="T154" s="25" t="n"/>
      <c r="U154" s="125" t="n"/>
    </row>
    <row r="155" hidden="1" outlineLevel="3">
      <c r="A155" s="8" t="n"/>
      <c r="B155" s="14" t="n"/>
      <c r="C155" s="125" t="n"/>
      <c r="D155" s="55" t="inlineStr">
        <is>
          <t>AVISOS</t>
        </is>
      </c>
      <c r="E155" s="136">
        <f>DADOS_AM!$GO$14</f>
        <v/>
      </c>
      <c r="F155" s="19" t="n"/>
      <c r="G155" s="19" t="n"/>
      <c r="H155" s="20" t="n"/>
      <c r="I155" s="125" t="n"/>
      <c r="J155" s="55" t="inlineStr">
        <is>
          <t>AVISOS</t>
        </is>
      </c>
      <c r="K155" s="136">
        <f>DADOS_AM!$GO$15</f>
        <v/>
      </c>
      <c r="L155" s="19" t="n"/>
      <c r="M155" s="19" t="n"/>
      <c r="N155" s="20" t="n"/>
      <c r="O155" s="125" t="n"/>
      <c r="P155" s="55" t="inlineStr">
        <is>
          <t>AVISOS</t>
        </is>
      </c>
      <c r="Q155" s="136">
        <f>DADOS_AM!$GO$16</f>
        <v/>
      </c>
      <c r="R155" s="19" t="n"/>
      <c r="S155" s="19" t="n"/>
      <c r="T155" s="20" t="n"/>
      <c r="U155" s="125" t="n"/>
    </row>
    <row r="156" hidden="1" outlineLevel="3">
      <c r="A156" s="8" t="n"/>
      <c r="B156" s="14" t="n"/>
      <c r="C156" s="125" t="n"/>
      <c r="D156" s="129" t="n"/>
      <c r="E156" s="23" t="n"/>
      <c r="F156" s="24" t="n"/>
      <c r="G156" s="24" t="n"/>
      <c r="H156" s="25" t="n"/>
      <c r="I156" s="125" t="n"/>
      <c r="J156" s="129" t="n"/>
      <c r="K156" s="23" t="n"/>
      <c r="L156" s="24" t="n"/>
      <c r="M156" s="24" t="n"/>
      <c r="N156" s="25" t="n"/>
      <c r="O156" s="125" t="n"/>
      <c r="P156" s="129" t="n"/>
      <c r="Q156" s="23" t="n"/>
      <c r="R156" s="24" t="n"/>
      <c r="S156" s="24" t="n"/>
      <c r="T156" s="25" t="n"/>
      <c r="U156" s="125" t="n"/>
    </row>
    <row r="157" hidden="1" outlineLevel="2">
      <c r="A157" s="8" t="n"/>
      <c r="B157" s="14" t="n"/>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row>
    <row r="158" hidden="1" outlineLevel="2">
      <c r="A158" s="8" t="n"/>
      <c r="B158" s="14" t="n"/>
      <c r="C158" s="125" t="n"/>
      <c r="D158" s="131" t="n">
        <v>1</v>
      </c>
      <c r="E158" s="120" t="n"/>
      <c r="F158" s="17" t="n"/>
      <c r="G158" s="132">
        <f>DADOS_AM!$GN$17</f>
        <v/>
      </c>
      <c r="H158" s="17" t="n"/>
      <c r="I158" s="125" t="n"/>
      <c r="J158" s="131" t="n">
        <v>1</v>
      </c>
      <c r="K158" s="120" t="n"/>
      <c r="L158" s="17" t="n"/>
      <c r="M158" s="132">
        <f>DADOS_AM!$GN$18</f>
        <v/>
      </c>
      <c r="N158" s="17" t="n"/>
      <c r="O158" s="125" t="n"/>
      <c r="P158" s="131" t="n">
        <v>1</v>
      </c>
      <c r="Q158" s="120" t="n"/>
      <c r="R158" s="17" t="n"/>
      <c r="S158" s="132">
        <f>DADOS_AM!$GN$19</f>
        <v/>
      </c>
      <c r="T158" s="17" t="n"/>
      <c r="U158" s="125" t="n"/>
    </row>
    <row r="159" hidden="1" outlineLevel="3">
      <c r="A159" s="8" t="n"/>
      <c r="B159" s="14" t="n"/>
      <c r="C159" s="125" t="n"/>
      <c r="D159" s="55" t="inlineStr">
        <is>
          <t>COMO É</t>
        </is>
      </c>
      <c r="E159" s="16" t="n"/>
      <c r="F159" s="16" t="n"/>
      <c r="G159" s="16" t="n"/>
      <c r="H159" s="17" t="n"/>
      <c r="I159" s="125" t="n"/>
      <c r="J159" s="55" t="inlineStr">
        <is>
          <t>COMO É</t>
        </is>
      </c>
      <c r="K159" s="16" t="n"/>
      <c r="L159" s="16" t="n"/>
      <c r="M159" s="16" t="n"/>
      <c r="N159" s="17" t="n"/>
      <c r="O159" s="125" t="n"/>
      <c r="P159" s="55" t="inlineStr">
        <is>
          <t>COMO É</t>
        </is>
      </c>
      <c r="Q159" s="16" t="n"/>
      <c r="R159" s="16" t="n"/>
      <c r="S159" s="16" t="n"/>
      <c r="T159" s="17" t="n"/>
      <c r="U159" s="125" t="n"/>
    </row>
    <row r="160" hidden="1" outlineLevel="3">
      <c r="A160" s="8" t="n"/>
      <c r="B160" s="14" t="n"/>
      <c r="C160" s="125" t="n"/>
      <c r="D160" s="121" t="n"/>
      <c r="E160" s="19" t="n"/>
      <c r="F160" s="19" t="n"/>
      <c r="G160" s="19" t="n"/>
      <c r="H160" s="20" t="n"/>
      <c r="I160" s="125" t="n"/>
      <c r="J160" s="121" t="n"/>
      <c r="K160" s="19" t="n"/>
      <c r="L160" s="19" t="n"/>
      <c r="M160" s="19" t="n"/>
      <c r="N160" s="20" t="n"/>
      <c r="O160" s="125" t="n"/>
      <c r="P160" s="121" t="n"/>
      <c r="Q160" s="19" t="n"/>
      <c r="R160" s="19" t="n"/>
      <c r="S160" s="19" t="n"/>
      <c r="T160" s="20" t="n"/>
      <c r="U160" s="125" t="n"/>
    </row>
    <row r="161" hidden="1" outlineLevel="3">
      <c r="A161" s="8" t="n"/>
      <c r="B161" s="14" t="n"/>
      <c r="C161" s="125" t="n"/>
      <c r="D161" s="21" t="n"/>
      <c r="H161" s="22" t="n"/>
      <c r="I161" s="125" t="n"/>
      <c r="J161" s="21" t="n"/>
      <c r="N161" s="22" t="n"/>
      <c r="O161" s="125" t="n"/>
      <c r="P161" s="21" t="n"/>
      <c r="T161" s="22" t="n"/>
      <c r="U161" s="125" t="n"/>
    </row>
    <row r="162" hidden="1" outlineLevel="3">
      <c r="A162" s="8" t="n"/>
      <c r="B162" s="14" t="n"/>
      <c r="C162" s="125" t="n"/>
      <c r="D162" s="21" t="n"/>
      <c r="H162" s="22" t="n"/>
      <c r="I162" s="125" t="n"/>
      <c r="J162" s="21" t="n"/>
      <c r="N162" s="22" t="n"/>
      <c r="O162" s="125" t="n"/>
      <c r="P162" s="21" t="n"/>
      <c r="T162" s="22" t="n"/>
      <c r="U162" s="125" t="n"/>
    </row>
    <row r="163" hidden="1" outlineLevel="3">
      <c r="A163" s="8" t="n"/>
      <c r="B163" s="14" t="n"/>
      <c r="C163" s="125" t="n"/>
      <c r="D163" s="21" t="n"/>
      <c r="H163" s="22" t="n"/>
      <c r="I163" s="125" t="n"/>
      <c r="J163" s="21" t="n"/>
      <c r="N163" s="22" t="n"/>
      <c r="O163" s="125" t="n"/>
      <c r="P163" s="21" t="n"/>
      <c r="T163" s="22" t="n"/>
      <c r="U163" s="125" t="n"/>
    </row>
    <row r="164" hidden="1" outlineLevel="3">
      <c r="A164" s="8" t="n"/>
      <c r="B164" s="14" t="n"/>
      <c r="C164" s="125" t="n"/>
      <c r="D164" s="23" t="n"/>
      <c r="E164" s="24" t="n"/>
      <c r="F164" s="24" t="n"/>
      <c r="G164" s="24" t="n"/>
      <c r="H164" s="25" t="n"/>
      <c r="I164" s="125" t="n"/>
      <c r="J164" s="23" t="n"/>
      <c r="K164" s="24" t="n"/>
      <c r="L164" s="24" t="n"/>
      <c r="M164" s="24" t="n"/>
      <c r="N164" s="25" t="n"/>
      <c r="O164" s="125" t="n"/>
      <c r="P164" s="23" t="n"/>
      <c r="Q164" s="24" t="n"/>
      <c r="R164" s="24" t="n"/>
      <c r="S164" s="24" t="n"/>
      <c r="T164" s="25" t="n"/>
      <c r="U164" s="125" t="n"/>
    </row>
    <row r="165" hidden="1" outlineLevel="2">
      <c r="A165" s="8" t="n"/>
      <c r="B165" s="14" t="n"/>
      <c r="C165" s="125" t="n"/>
      <c r="D165" s="89" t="inlineStr">
        <is>
          <t>Projétil</t>
        </is>
      </c>
      <c r="E165" s="68">
        <f>DADOS_AM!$GS$17</f>
        <v/>
      </c>
      <c r="F165" s="68">
        <f>DADOS_AM!$GP$17</f>
        <v/>
      </c>
      <c r="G165" s="89">
        <f>DADOS_AM!$GR$17</f>
        <v/>
      </c>
      <c r="H165" s="17" t="n"/>
      <c r="I165" s="125" t="n"/>
      <c r="J165" s="89" t="inlineStr">
        <is>
          <t>Projétil</t>
        </is>
      </c>
      <c r="K165" s="68">
        <f>DADOS_AM!$GS$18</f>
        <v/>
      </c>
      <c r="L165" s="68">
        <f>DADOS_AM!$GP$18</f>
        <v/>
      </c>
      <c r="M165" s="89">
        <f>DADOS_AM!$GR$18</f>
        <v/>
      </c>
      <c r="N165" s="17" t="n"/>
      <c r="O165" s="125" t="n"/>
      <c r="P165" s="89" t="inlineStr">
        <is>
          <t>Projétil</t>
        </is>
      </c>
      <c r="Q165" s="68">
        <f>DADOS_AM!$GS$19</f>
        <v/>
      </c>
      <c r="R165" s="68">
        <f>DADOS_AM!$GP$19</f>
        <v/>
      </c>
      <c r="S165" s="89">
        <f>DADOS_AM!$GR$19</f>
        <v/>
      </c>
      <c r="T165" s="17" t="n"/>
      <c r="U165" s="125" t="n"/>
    </row>
    <row r="166" hidden="1" outlineLevel="2">
      <c r="A166" s="8" t="n"/>
      <c r="B166" s="14" t="n"/>
      <c r="C166" s="125" t="n"/>
      <c r="D166" s="89">
        <f>DADOS_AM!$GQ$17</f>
        <v/>
      </c>
      <c r="E166" s="133">
        <f>DADOS_AM!$GX$17</f>
        <v/>
      </c>
      <c r="F166" s="16" t="n"/>
      <c r="G166" s="16" t="n"/>
      <c r="H166" s="17" t="n"/>
      <c r="I166" s="125" t="n"/>
      <c r="J166" s="89">
        <f>DADOS_AM!$GQ$18</f>
        <v/>
      </c>
      <c r="K166" s="133">
        <f>DADOS_AM!$GX$18</f>
        <v/>
      </c>
      <c r="L166" s="16" t="n"/>
      <c r="M166" s="16" t="n"/>
      <c r="N166" s="17" t="n"/>
      <c r="O166" s="125" t="n"/>
      <c r="P166" s="89">
        <f>DADOS_AM!$GQ$19</f>
        <v/>
      </c>
      <c r="Q166" s="133">
        <f>DADOS_AM!$GX$19</f>
        <v/>
      </c>
      <c r="R166" s="16" t="n"/>
      <c r="S166" s="16" t="n"/>
      <c r="T166" s="17" t="n"/>
      <c r="U166" s="125" t="n"/>
    </row>
    <row r="167" hidden="1" outlineLevel="3">
      <c r="A167" s="8" t="n"/>
      <c r="B167" s="14" t="n"/>
      <c r="C167" s="125" t="n"/>
      <c r="D167" s="55" t="inlineStr">
        <is>
          <t>MELHORIAS</t>
        </is>
      </c>
      <c r="E167" s="134" t="n"/>
      <c r="F167" s="17" t="n"/>
      <c r="G167" s="133">
        <f>DADOS_AM!$HA$17</f>
        <v/>
      </c>
      <c r="H167" s="17" t="n"/>
      <c r="I167" s="125" t="n"/>
      <c r="J167" s="55" t="inlineStr">
        <is>
          <t>MELHORIAS</t>
        </is>
      </c>
      <c r="K167" s="134" t="n"/>
      <c r="L167" s="17" t="n"/>
      <c r="M167" s="133">
        <f>DADOS_AM!$HA$18</f>
        <v/>
      </c>
      <c r="N167" s="17" t="n"/>
      <c r="O167" s="125" t="n"/>
      <c r="P167" s="55" t="inlineStr">
        <is>
          <t>MELHORIAS</t>
        </is>
      </c>
      <c r="Q167" s="134" t="n"/>
      <c r="R167" s="17" t="n"/>
      <c r="S167" s="133">
        <f>DADOS_AM!$HA$19</f>
        <v/>
      </c>
      <c r="T167" s="17" t="n"/>
      <c r="U167" s="125" t="n"/>
    </row>
    <row r="168" hidden="1" outlineLevel="3">
      <c r="A168" s="8" t="n"/>
      <c r="B168" s="14" t="n"/>
      <c r="C168" s="125" t="n"/>
      <c r="D168" s="135" t="n"/>
      <c r="E168" s="134" t="n"/>
      <c r="F168" s="17" t="n"/>
      <c r="G168" s="133">
        <f>DADOS_AM!$HB$17</f>
        <v/>
      </c>
      <c r="H168" s="17" t="n"/>
      <c r="I168" s="125" t="n"/>
      <c r="J168" s="135" t="n"/>
      <c r="K168" s="134" t="n"/>
      <c r="L168" s="17" t="n"/>
      <c r="M168" s="133">
        <f>DADOS_AM!$HB$18</f>
        <v/>
      </c>
      <c r="N168" s="17" t="n"/>
      <c r="O168" s="125" t="n"/>
      <c r="P168" s="135" t="n"/>
      <c r="Q168" s="134" t="n"/>
      <c r="R168" s="17" t="n"/>
      <c r="S168" s="133">
        <f>DADOS_AM!$HB$19</f>
        <v/>
      </c>
      <c r="T168" s="17" t="n"/>
      <c r="U168" s="125" t="n"/>
    </row>
    <row r="169" hidden="1" outlineLevel="3">
      <c r="A169" s="8" t="n"/>
      <c r="B169" s="14" t="n"/>
      <c r="C169" s="125" t="n"/>
      <c r="D169" s="135" t="n"/>
      <c r="E169" s="134" t="n"/>
      <c r="F169" s="17" t="n"/>
      <c r="G169" s="133">
        <f>DADOS_AM!$HC$17</f>
        <v/>
      </c>
      <c r="H169" s="17" t="n"/>
      <c r="I169" s="125" t="n"/>
      <c r="J169" s="135" t="n"/>
      <c r="K169" s="134" t="n"/>
      <c r="L169" s="17" t="n"/>
      <c r="M169" s="133">
        <f>DADOS_AM!$HC$18</f>
        <v/>
      </c>
      <c r="N169" s="17" t="n"/>
      <c r="O169" s="125" t="n"/>
      <c r="P169" s="135" t="n"/>
      <c r="Q169" s="134" t="n"/>
      <c r="R169" s="17" t="n"/>
      <c r="S169" s="133">
        <f>DADOS_AM!$HC$19</f>
        <v/>
      </c>
      <c r="T169" s="17" t="n"/>
      <c r="U169" s="125" t="n"/>
    </row>
    <row r="170" hidden="1" outlineLevel="3">
      <c r="A170" s="8" t="n"/>
      <c r="B170" s="14" t="n"/>
      <c r="C170" s="125" t="n"/>
      <c r="D170" s="129" t="n"/>
      <c r="E170" s="134" t="n"/>
      <c r="F170" s="17" t="n"/>
      <c r="G170" s="133">
        <f>DADOS_AM!$HD$17</f>
        <v/>
      </c>
      <c r="H170" s="17" t="n"/>
      <c r="I170" s="125" t="n"/>
      <c r="J170" s="129" t="n"/>
      <c r="K170" s="134" t="n"/>
      <c r="L170" s="17" t="n"/>
      <c r="M170" s="133">
        <f>DADOS_AM!$HD$18</f>
        <v/>
      </c>
      <c r="N170" s="17" t="n"/>
      <c r="O170" s="125" t="n"/>
      <c r="P170" s="129" t="n"/>
      <c r="Q170" s="134" t="n"/>
      <c r="R170" s="17" t="n"/>
      <c r="S170" s="133">
        <f>DADOS_AM!$HD$19</f>
        <v/>
      </c>
      <c r="T170" s="17" t="n"/>
      <c r="U170" s="125" t="n"/>
    </row>
    <row r="171" hidden="1" outlineLevel="3">
      <c r="A171" s="8" t="n"/>
      <c r="B171" s="14" t="n"/>
      <c r="C171" s="125" t="n"/>
      <c r="D171" s="55" t="inlineStr">
        <is>
          <t>RESTRIÇÕES</t>
        </is>
      </c>
      <c r="E171" s="134" t="n"/>
      <c r="F171" s="17" t="n"/>
      <c r="G171" s="133">
        <f>DADOS_AM!$HE$17</f>
        <v/>
      </c>
      <c r="H171" s="17" t="n"/>
      <c r="I171" s="125" t="n"/>
      <c r="J171" s="55" t="inlineStr">
        <is>
          <t>RESTRIÇÕES</t>
        </is>
      </c>
      <c r="K171" s="134" t="n"/>
      <c r="L171" s="17" t="n"/>
      <c r="M171" s="133">
        <f>DADOS_AM!$HE$18</f>
        <v/>
      </c>
      <c r="N171" s="17" t="n"/>
      <c r="O171" s="125" t="n"/>
      <c r="P171" s="55" t="inlineStr">
        <is>
          <t>RESTRIÇÕES</t>
        </is>
      </c>
      <c r="Q171" s="134" t="n"/>
      <c r="R171" s="17" t="n"/>
      <c r="S171" s="133">
        <f>DADOS_AM!$HE$19</f>
        <v/>
      </c>
      <c r="T171" s="17" t="n"/>
      <c r="U171" s="125" t="n"/>
    </row>
    <row r="172" hidden="1" outlineLevel="3">
      <c r="A172" s="8" t="n"/>
      <c r="B172" s="14" t="n"/>
      <c r="C172" s="125" t="n"/>
      <c r="D172" s="129" t="n"/>
      <c r="E172" s="134" t="n"/>
      <c r="F172" s="17" t="n"/>
      <c r="G172" s="133">
        <f>DADOS_AM!$HF$17</f>
        <v/>
      </c>
      <c r="H172" s="17" t="n"/>
      <c r="I172" s="125" t="n"/>
      <c r="J172" s="129" t="n"/>
      <c r="K172" s="134" t="n"/>
      <c r="L172" s="17" t="n"/>
      <c r="M172" s="133">
        <f>DADOS_AM!$HF$18</f>
        <v/>
      </c>
      <c r="N172" s="17" t="n"/>
      <c r="O172" s="125" t="n"/>
      <c r="P172" s="129" t="n"/>
      <c r="Q172" s="134" t="n"/>
      <c r="R172" s="17" t="n"/>
      <c r="S172" s="133">
        <f>DADOS_AM!$HF$19</f>
        <v/>
      </c>
      <c r="T172" s="17" t="n"/>
      <c r="U172" s="125" t="n"/>
    </row>
    <row r="173" hidden="1" outlineLevel="3">
      <c r="A173" s="8" t="n"/>
      <c r="B173" s="14" t="n"/>
      <c r="C173" s="125" t="n"/>
      <c r="D173" s="55" t="inlineStr">
        <is>
          <t>CONTA</t>
        </is>
      </c>
      <c r="E173" s="136">
        <f>DADOS_AM!$GY$17</f>
        <v/>
      </c>
      <c r="F173" s="16" t="n"/>
      <c r="G173" s="16" t="n"/>
      <c r="H173" s="17" t="n"/>
      <c r="I173" s="125" t="n"/>
      <c r="J173" s="55" t="inlineStr">
        <is>
          <t>CONTA</t>
        </is>
      </c>
      <c r="K173" s="136">
        <f>DADOS_AM!$GY$18</f>
        <v/>
      </c>
      <c r="L173" s="16" t="n"/>
      <c r="M173" s="16" t="n"/>
      <c r="N173" s="17" t="n"/>
      <c r="O173" s="125" t="n"/>
      <c r="P173" s="55" t="inlineStr">
        <is>
          <t>CONTA</t>
        </is>
      </c>
      <c r="Q173" s="136">
        <f>DADOS_AM!$GY$19</f>
        <v/>
      </c>
      <c r="R173" s="16" t="n"/>
      <c r="S173" s="16" t="n"/>
      <c r="T173" s="17" t="n"/>
      <c r="U173" s="125" t="n"/>
    </row>
    <row r="174" hidden="1" outlineLevel="3">
      <c r="A174" s="8" t="n"/>
      <c r="B174" s="14" t="n"/>
      <c r="C174" s="125" t="n"/>
      <c r="D174" s="55" t="inlineStr">
        <is>
          <t>AMPLIAR</t>
        </is>
      </c>
      <c r="E174" s="136">
        <f>DADOS_AM!$GZ$17</f>
        <v/>
      </c>
      <c r="F174" s="19" t="n"/>
      <c r="G174" s="19" t="n"/>
      <c r="H174" s="20" t="n"/>
      <c r="I174" s="125" t="n"/>
      <c r="J174" s="55" t="inlineStr">
        <is>
          <t>AMPLIAR</t>
        </is>
      </c>
      <c r="K174" s="136">
        <f>DADOS_AM!$GZ$18</f>
        <v/>
      </c>
      <c r="L174" s="19" t="n"/>
      <c r="M174" s="19" t="n"/>
      <c r="N174" s="20" t="n"/>
      <c r="O174" s="125" t="n"/>
      <c r="P174" s="55" t="inlineStr">
        <is>
          <t>AMPLIAR</t>
        </is>
      </c>
      <c r="Q174" s="136">
        <f>DADOS_AM!$GZ$19</f>
        <v/>
      </c>
      <c r="R174" s="19" t="n"/>
      <c r="S174" s="19" t="n"/>
      <c r="T174" s="20" t="n"/>
      <c r="U174" s="125" t="n"/>
    </row>
    <row r="175" hidden="1" outlineLevel="3">
      <c r="A175" s="8" t="n"/>
      <c r="B175" s="14" t="n"/>
      <c r="C175" s="125" t="n"/>
      <c r="D175" s="129" t="n"/>
      <c r="E175" s="23" t="n"/>
      <c r="F175" s="24" t="n"/>
      <c r="G175" s="24" t="n"/>
      <c r="H175" s="25" t="n"/>
      <c r="I175" s="125" t="n"/>
      <c r="J175" s="129" t="n"/>
      <c r="K175" s="23" t="n"/>
      <c r="L175" s="24" t="n"/>
      <c r="M175" s="24" t="n"/>
      <c r="N175" s="25" t="n"/>
      <c r="O175" s="125" t="n"/>
      <c r="P175" s="129" t="n"/>
      <c r="Q175" s="23" t="n"/>
      <c r="R175" s="24" t="n"/>
      <c r="S175" s="24" t="n"/>
      <c r="T175" s="25" t="n"/>
      <c r="U175" s="125" t="n"/>
    </row>
    <row r="176" hidden="1" outlineLevel="3">
      <c r="A176" s="8" t="n"/>
      <c r="B176" s="14" t="n"/>
      <c r="C176" s="125" t="n"/>
      <c r="D176" s="55" t="inlineStr">
        <is>
          <t>AVISOS</t>
        </is>
      </c>
      <c r="E176" s="136">
        <f>DADOS_AM!$GO$17</f>
        <v/>
      </c>
      <c r="F176" s="19" t="n"/>
      <c r="G176" s="19" t="n"/>
      <c r="H176" s="20" t="n"/>
      <c r="I176" s="125" t="n"/>
      <c r="J176" s="55" t="inlineStr">
        <is>
          <t>AVISOS</t>
        </is>
      </c>
      <c r="K176" s="136">
        <f>DADOS_AM!$GO$18</f>
        <v/>
      </c>
      <c r="L176" s="19" t="n"/>
      <c r="M176" s="19" t="n"/>
      <c r="N176" s="20" t="n"/>
      <c r="O176" s="125" t="n"/>
      <c r="P176" s="55" t="inlineStr">
        <is>
          <t>AVISOS</t>
        </is>
      </c>
      <c r="Q176" s="136">
        <f>DADOS_AM!$GO$19</f>
        <v/>
      </c>
      <c r="R176" s="19" t="n"/>
      <c r="S176" s="19" t="n"/>
      <c r="T176" s="20" t="n"/>
      <c r="U176" s="125" t="n"/>
    </row>
    <row r="177" hidden="1" outlineLevel="3">
      <c r="A177" s="8" t="n"/>
      <c r="B177" s="14" t="n"/>
      <c r="C177" s="125" t="n"/>
      <c r="D177" s="129" t="n"/>
      <c r="E177" s="23" t="n"/>
      <c r="F177" s="24" t="n"/>
      <c r="G177" s="24" t="n"/>
      <c r="H177" s="25" t="n"/>
      <c r="I177" s="125" t="n"/>
      <c r="J177" s="129" t="n"/>
      <c r="K177" s="23" t="n"/>
      <c r="L177" s="24" t="n"/>
      <c r="M177" s="24" t="n"/>
      <c r="N177" s="25" t="n"/>
      <c r="O177" s="125" t="n"/>
      <c r="P177" s="129" t="n"/>
      <c r="Q177" s="23" t="n"/>
      <c r="R177" s="24" t="n"/>
      <c r="S177" s="24" t="n"/>
      <c r="T177" s="25" t="n"/>
      <c r="U177" s="125" t="n"/>
    </row>
    <row r="178" hidden="1" outlineLevel="2">
      <c r="A178" s="8" t="n"/>
      <c r="B178" s="14" t="n"/>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row>
    <row r="179" hidden="1" outlineLevel="2">
      <c r="A179" s="8" t="n"/>
      <c r="B179" s="14" t="n"/>
      <c r="C179" s="125" t="n"/>
      <c r="D179" s="131" t="n">
        <v>1</v>
      </c>
      <c r="E179" s="120" t="n"/>
      <c r="F179" s="17" t="n"/>
      <c r="G179" s="132">
        <f>DADOS_AM!$GN$20</f>
        <v/>
      </c>
      <c r="H179" s="17" t="n"/>
      <c r="I179" s="125" t="n"/>
      <c r="J179" s="131" t="n">
        <v>1</v>
      </c>
      <c r="K179" s="120" t="n"/>
      <c r="L179" s="17" t="n"/>
      <c r="M179" s="132">
        <f>DADOS_AM!$GN$21</f>
        <v/>
      </c>
      <c r="N179" s="17" t="n"/>
      <c r="O179" s="125" t="n"/>
      <c r="P179" s="131" t="n">
        <v>1</v>
      </c>
      <c r="Q179" s="120" t="n"/>
      <c r="R179" s="17" t="n"/>
      <c r="S179" s="132">
        <f>DADOS_AM!$GN$22</f>
        <v/>
      </c>
      <c r="T179" s="17" t="n"/>
      <c r="U179" s="125" t="n"/>
    </row>
    <row r="180" hidden="1" outlineLevel="3">
      <c r="A180" s="8" t="n"/>
      <c r="B180" s="14" t="n"/>
      <c r="C180" s="125" t="n"/>
      <c r="D180" s="55" t="inlineStr">
        <is>
          <t>COMO É</t>
        </is>
      </c>
      <c r="E180" s="16" t="n"/>
      <c r="F180" s="16" t="n"/>
      <c r="G180" s="16" t="n"/>
      <c r="H180" s="17" t="n"/>
      <c r="I180" s="125" t="n"/>
      <c r="J180" s="55" t="inlineStr">
        <is>
          <t>COMO É</t>
        </is>
      </c>
      <c r="K180" s="16" t="n"/>
      <c r="L180" s="16" t="n"/>
      <c r="M180" s="16" t="n"/>
      <c r="N180" s="17" t="n"/>
      <c r="O180" s="125" t="n"/>
      <c r="P180" s="55" t="inlineStr">
        <is>
          <t>COMO É</t>
        </is>
      </c>
      <c r="Q180" s="16" t="n"/>
      <c r="R180" s="16" t="n"/>
      <c r="S180" s="16" t="n"/>
      <c r="T180" s="17" t="n"/>
      <c r="U180" s="125" t="n"/>
    </row>
    <row r="181" hidden="1" outlineLevel="3">
      <c r="A181" s="8" t="n"/>
      <c r="B181" s="14" t="n"/>
      <c r="C181" s="125" t="n"/>
      <c r="D181" s="121" t="n"/>
      <c r="E181" s="19" t="n"/>
      <c r="F181" s="19" t="n"/>
      <c r="G181" s="19" t="n"/>
      <c r="H181" s="20" t="n"/>
      <c r="I181" s="125" t="n"/>
      <c r="J181" s="121" t="n"/>
      <c r="K181" s="19" t="n"/>
      <c r="L181" s="19" t="n"/>
      <c r="M181" s="19" t="n"/>
      <c r="N181" s="20" t="n"/>
      <c r="O181" s="125" t="n"/>
      <c r="P181" s="121" t="n"/>
      <c r="Q181" s="19" t="n"/>
      <c r="R181" s="19" t="n"/>
      <c r="S181" s="19" t="n"/>
      <c r="T181" s="20" t="n"/>
      <c r="U181" s="125" t="n"/>
    </row>
    <row r="182" hidden="1" outlineLevel="3">
      <c r="A182" s="8" t="n"/>
      <c r="B182" s="14" t="n"/>
      <c r="C182" s="125" t="n"/>
      <c r="D182" s="21" t="n"/>
      <c r="H182" s="22" t="n"/>
      <c r="I182" s="125" t="n"/>
      <c r="J182" s="21" t="n"/>
      <c r="N182" s="22" t="n"/>
      <c r="O182" s="125" t="n"/>
      <c r="P182" s="21" t="n"/>
      <c r="T182" s="22" t="n"/>
      <c r="U182" s="125" t="n"/>
    </row>
    <row r="183" hidden="1" outlineLevel="3">
      <c r="A183" s="8" t="n"/>
      <c r="B183" s="14" t="n"/>
      <c r="C183" s="125" t="n"/>
      <c r="D183" s="21" t="n"/>
      <c r="H183" s="22" t="n"/>
      <c r="I183" s="125" t="n"/>
      <c r="J183" s="21" t="n"/>
      <c r="N183" s="22" t="n"/>
      <c r="O183" s="125" t="n"/>
      <c r="P183" s="21" t="n"/>
      <c r="T183" s="22" t="n"/>
      <c r="U183" s="125" t="n"/>
    </row>
    <row r="184" hidden="1" outlineLevel="3">
      <c r="A184" s="8" t="n"/>
      <c r="B184" s="14" t="n"/>
      <c r="C184" s="125" t="n"/>
      <c r="D184" s="21" t="n"/>
      <c r="H184" s="22" t="n"/>
      <c r="I184" s="125" t="n"/>
      <c r="J184" s="21" t="n"/>
      <c r="N184" s="22" t="n"/>
      <c r="O184" s="125" t="n"/>
      <c r="P184" s="21" t="n"/>
      <c r="T184" s="22" t="n"/>
      <c r="U184" s="125" t="n"/>
    </row>
    <row r="185" hidden="1" outlineLevel="3">
      <c r="A185" s="8" t="n"/>
      <c r="B185" s="14" t="n"/>
      <c r="C185" s="125" t="n"/>
      <c r="D185" s="23" t="n"/>
      <c r="E185" s="24" t="n"/>
      <c r="F185" s="24" t="n"/>
      <c r="G185" s="24" t="n"/>
      <c r="H185" s="25" t="n"/>
      <c r="I185" s="125" t="n"/>
      <c r="J185" s="23" t="n"/>
      <c r="K185" s="24" t="n"/>
      <c r="L185" s="24" t="n"/>
      <c r="M185" s="24" t="n"/>
      <c r="N185" s="25" t="n"/>
      <c r="O185" s="125" t="n"/>
      <c r="P185" s="23" t="n"/>
      <c r="Q185" s="24" t="n"/>
      <c r="R185" s="24" t="n"/>
      <c r="S185" s="24" t="n"/>
      <c r="T185" s="25" t="n"/>
      <c r="U185" s="125" t="n"/>
    </row>
    <row r="186" hidden="1" outlineLevel="2">
      <c r="A186" s="8" t="n"/>
      <c r="B186" s="14" t="n"/>
      <c r="C186" s="125" t="n"/>
      <c r="D186" s="89" t="inlineStr">
        <is>
          <t>Projétil</t>
        </is>
      </c>
      <c r="E186" s="68">
        <f>DADOS_AM!$GS$20</f>
        <v/>
      </c>
      <c r="F186" s="68">
        <f>DADOS_AM!$GP$20</f>
        <v/>
      </c>
      <c r="G186" s="89">
        <f>DADOS_AM!$GR$20</f>
        <v/>
      </c>
      <c r="H186" s="17" t="n"/>
      <c r="I186" s="125" t="n"/>
      <c r="J186" s="89" t="inlineStr">
        <is>
          <t>Projétil</t>
        </is>
      </c>
      <c r="K186" s="68">
        <f>DADOS_AM!$GS$21</f>
        <v/>
      </c>
      <c r="L186" s="68">
        <f>DADOS_AM!$GP$21</f>
        <v/>
      </c>
      <c r="M186" s="89">
        <f>DADOS_AM!$GR$21</f>
        <v/>
      </c>
      <c r="N186" s="17" t="n"/>
      <c r="O186" s="125" t="n"/>
      <c r="P186" s="89" t="inlineStr">
        <is>
          <t>Projétil</t>
        </is>
      </c>
      <c r="Q186" s="68">
        <f>DADOS_AM!$GS$22</f>
        <v/>
      </c>
      <c r="R186" s="68">
        <f>DADOS_AM!$GP$22</f>
        <v/>
      </c>
      <c r="S186" s="89">
        <f>DADOS_AM!$GR$22</f>
        <v/>
      </c>
      <c r="T186" s="17" t="n"/>
      <c r="U186" s="125" t="n"/>
    </row>
    <row r="187" hidden="1" outlineLevel="2">
      <c r="A187" s="8" t="n"/>
      <c r="B187" s="14" t="n"/>
      <c r="C187" s="125" t="n"/>
      <c r="D187" s="89">
        <f>DADOS_AM!$GQ$20</f>
        <v/>
      </c>
      <c r="E187" s="133">
        <f>DADOS_AM!$GX$20</f>
        <v/>
      </c>
      <c r="F187" s="16" t="n"/>
      <c r="G187" s="16" t="n"/>
      <c r="H187" s="17" t="n"/>
      <c r="I187" s="125" t="n"/>
      <c r="J187" s="89">
        <f>DADOS_AM!$GQ$21</f>
        <v/>
      </c>
      <c r="K187" s="133">
        <f>DADOS_AM!$GX$21</f>
        <v/>
      </c>
      <c r="L187" s="16" t="n"/>
      <c r="M187" s="16" t="n"/>
      <c r="N187" s="17" t="n"/>
      <c r="O187" s="125" t="n"/>
      <c r="P187" s="89">
        <f>DADOS_AM!$GQ$22</f>
        <v/>
      </c>
      <c r="Q187" s="133">
        <f>DADOS_AM!$GX$22</f>
        <v/>
      </c>
      <c r="R187" s="16" t="n"/>
      <c r="S187" s="16" t="n"/>
      <c r="T187" s="17" t="n"/>
      <c r="U187" s="125" t="n"/>
    </row>
    <row r="188" hidden="1" outlineLevel="3">
      <c r="A188" s="8" t="n"/>
      <c r="B188" s="14" t="n"/>
      <c r="C188" s="125" t="n"/>
      <c r="D188" s="55" t="inlineStr">
        <is>
          <t>MELHORIAS</t>
        </is>
      </c>
      <c r="E188" s="134" t="n"/>
      <c r="F188" s="17" t="n"/>
      <c r="G188" s="133">
        <f>DADOS_AM!$HA$20</f>
        <v/>
      </c>
      <c r="H188" s="17" t="n"/>
      <c r="I188" s="125" t="n"/>
      <c r="J188" s="55" t="inlineStr">
        <is>
          <t>MELHORIAS</t>
        </is>
      </c>
      <c r="K188" s="134" t="n"/>
      <c r="L188" s="17" t="n"/>
      <c r="M188" s="133">
        <f>DADOS_AM!$HA$21</f>
        <v/>
      </c>
      <c r="N188" s="17" t="n"/>
      <c r="O188" s="125" t="n"/>
      <c r="P188" s="55" t="inlineStr">
        <is>
          <t>MELHORIAS</t>
        </is>
      </c>
      <c r="Q188" s="134" t="n"/>
      <c r="R188" s="17" t="n"/>
      <c r="S188" s="133">
        <f>DADOS_AM!$HA$22</f>
        <v/>
      </c>
      <c r="T188" s="17" t="n"/>
      <c r="U188" s="125" t="n"/>
    </row>
    <row r="189" hidden="1" outlineLevel="3">
      <c r="A189" s="8" t="n"/>
      <c r="B189" s="14" t="n"/>
      <c r="C189" s="125" t="n"/>
      <c r="D189" s="135" t="n"/>
      <c r="E189" s="134" t="n"/>
      <c r="F189" s="17" t="n"/>
      <c r="G189" s="133">
        <f>DADOS_AM!$HB$20</f>
        <v/>
      </c>
      <c r="H189" s="17" t="n"/>
      <c r="I189" s="125" t="n"/>
      <c r="J189" s="135" t="n"/>
      <c r="K189" s="134" t="n"/>
      <c r="L189" s="17" t="n"/>
      <c r="M189" s="133">
        <f>DADOS_AM!$HB$21</f>
        <v/>
      </c>
      <c r="N189" s="17" t="n"/>
      <c r="O189" s="125" t="n"/>
      <c r="P189" s="135" t="n"/>
      <c r="Q189" s="134" t="n"/>
      <c r="R189" s="17" t="n"/>
      <c r="S189" s="133">
        <f>DADOS_AM!$HB$22</f>
        <v/>
      </c>
      <c r="T189" s="17" t="n"/>
      <c r="U189" s="125" t="n"/>
    </row>
    <row r="190" hidden="1" outlineLevel="3">
      <c r="A190" s="8" t="n"/>
      <c r="B190" s="14" t="n"/>
      <c r="C190" s="125" t="n"/>
      <c r="D190" s="135" t="n"/>
      <c r="E190" s="134" t="n"/>
      <c r="F190" s="17" t="n"/>
      <c r="G190" s="133">
        <f>DADOS_AM!$HC$20</f>
        <v/>
      </c>
      <c r="H190" s="17" t="n"/>
      <c r="I190" s="125" t="n"/>
      <c r="J190" s="135" t="n"/>
      <c r="K190" s="134" t="n"/>
      <c r="L190" s="17" t="n"/>
      <c r="M190" s="133">
        <f>DADOS_AM!$HC$21</f>
        <v/>
      </c>
      <c r="N190" s="17" t="n"/>
      <c r="O190" s="125" t="n"/>
      <c r="P190" s="135" t="n"/>
      <c r="Q190" s="134" t="n"/>
      <c r="R190" s="17" t="n"/>
      <c r="S190" s="133">
        <f>DADOS_AM!$HC$22</f>
        <v/>
      </c>
      <c r="T190" s="17" t="n"/>
      <c r="U190" s="125" t="n"/>
    </row>
    <row r="191" hidden="1" outlineLevel="3">
      <c r="A191" s="8" t="n"/>
      <c r="B191" s="14" t="n"/>
      <c r="C191" s="125" t="n"/>
      <c r="D191" s="129" t="n"/>
      <c r="E191" s="134" t="n"/>
      <c r="F191" s="17" t="n"/>
      <c r="G191" s="133">
        <f>DADOS_AM!$HD$20</f>
        <v/>
      </c>
      <c r="H191" s="17" t="n"/>
      <c r="I191" s="125" t="n"/>
      <c r="J191" s="129" t="n"/>
      <c r="K191" s="134" t="n"/>
      <c r="L191" s="17" t="n"/>
      <c r="M191" s="133">
        <f>DADOS_AM!$HD$21</f>
        <v/>
      </c>
      <c r="N191" s="17" t="n"/>
      <c r="O191" s="125" t="n"/>
      <c r="P191" s="129" t="n"/>
      <c r="Q191" s="134" t="n"/>
      <c r="R191" s="17" t="n"/>
      <c r="S191" s="133">
        <f>DADOS_AM!$HD$22</f>
        <v/>
      </c>
      <c r="T191" s="17" t="n"/>
      <c r="U191" s="125" t="n"/>
    </row>
    <row r="192" hidden="1" outlineLevel="3">
      <c r="A192" s="8" t="n"/>
      <c r="B192" s="14" t="n"/>
      <c r="C192" s="125" t="n"/>
      <c r="D192" s="55" t="inlineStr">
        <is>
          <t>RESTRIÇÕES</t>
        </is>
      </c>
      <c r="E192" s="134" t="n"/>
      <c r="F192" s="17" t="n"/>
      <c r="G192" s="133">
        <f>DADOS_AM!$HE$20</f>
        <v/>
      </c>
      <c r="H192" s="17" t="n"/>
      <c r="I192" s="125" t="n"/>
      <c r="J192" s="55" t="inlineStr">
        <is>
          <t>RESTRIÇÕES</t>
        </is>
      </c>
      <c r="K192" s="134" t="n"/>
      <c r="L192" s="17" t="n"/>
      <c r="M192" s="133">
        <f>DADOS_AM!$HE$21</f>
        <v/>
      </c>
      <c r="N192" s="17" t="n"/>
      <c r="O192" s="125" t="n"/>
      <c r="P192" s="55" t="inlineStr">
        <is>
          <t>RESTRIÇÕES</t>
        </is>
      </c>
      <c r="Q192" s="134" t="n"/>
      <c r="R192" s="17" t="n"/>
      <c r="S192" s="133">
        <f>DADOS_AM!$HE$22</f>
        <v/>
      </c>
      <c r="T192" s="17" t="n"/>
      <c r="U192" s="125" t="n"/>
    </row>
    <row r="193" hidden="1" outlineLevel="3">
      <c r="A193" s="8" t="n"/>
      <c r="B193" s="14" t="n"/>
      <c r="C193" s="125" t="n"/>
      <c r="D193" s="129" t="n"/>
      <c r="E193" s="134" t="n"/>
      <c r="F193" s="17" t="n"/>
      <c r="G193" s="133">
        <f>DADOS_AM!$HF$20</f>
        <v/>
      </c>
      <c r="H193" s="17" t="n"/>
      <c r="I193" s="125" t="n"/>
      <c r="J193" s="129" t="n"/>
      <c r="K193" s="134" t="n"/>
      <c r="L193" s="17" t="n"/>
      <c r="M193" s="133">
        <f>DADOS_AM!$HF$21</f>
        <v/>
      </c>
      <c r="N193" s="17" t="n"/>
      <c r="O193" s="125" t="n"/>
      <c r="P193" s="129" t="n"/>
      <c r="Q193" s="134" t="n"/>
      <c r="R193" s="17" t="n"/>
      <c r="S193" s="133">
        <f>DADOS_AM!$HF$22</f>
        <v/>
      </c>
      <c r="T193" s="17" t="n"/>
      <c r="U193" s="125" t="n"/>
    </row>
    <row r="194" hidden="1" outlineLevel="3">
      <c r="A194" s="8" t="n"/>
      <c r="B194" s="14" t="n"/>
      <c r="C194" s="125" t="n"/>
      <c r="D194" s="55" t="inlineStr">
        <is>
          <t>CONTA</t>
        </is>
      </c>
      <c r="E194" s="136">
        <f>DADOS_AM!$GY$20</f>
        <v/>
      </c>
      <c r="F194" s="16" t="n"/>
      <c r="G194" s="16" t="n"/>
      <c r="H194" s="17" t="n"/>
      <c r="I194" s="125" t="n"/>
      <c r="J194" s="55" t="inlineStr">
        <is>
          <t>CONTA</t>
        </is>
      </c>
      <c r="K194" s="136">
        <f>DADOS_AM!$GY$21</f>
        <v/>
      </c>
      <c r="L194" s="16" t="n"/>
      <c r="M194" s="16" t="n"/>
      <c r="N194" s="17" t="n"/>
      <c r="O194" s="125" t="n"/>
      <c r="P194" s="55" t="inlineStr">
        <is>
          <t>CONTA</t>
        </is>
      </c>
      <c r="Q194" s="136">
        <f>DADOS_AM!$GY$22</f>
        <v/>
      </c>
      <c r="R194" s="16" t="n"/>
      <c r="S194" s="16" t="n"/>
      <c r="T194" s="17" t="n"/>
      <c r="U194" s="125" t="n"/>
    </row>
    <row r="195" hidden="1" outlineLevel="3">
      <c r="A195" s="8" t="n"/>
      <c r="B195" s="14" t="n"/>
      <c r="C195" s="125" t="n"/>
      <c r="D195" s="55" t="inlineStr">
        <is>
          <t>AMPLIAR</t>
        </is>
      </c>
      <c r="E195" s="136">
        <f>DADOS_AM!$GZ$20</f>
        <v/>
      </c>
      <c r="F195" s="19" t="n"/>
      <c r="G195" s="19" t="n"/>
      <c r="H195" s="20" t="n"/>
      <c r="I195" s="125" t="n"/>
      <c r="J195" s="55" t="inlineStr">
        <is>
          <t>AMPLIAR</t>
        </is>
      </c>
      <c r="K195" s="136">
        <f>DADOS_AM!$GZ$21</f>
        <v/>
      </c>
      <c r="L195" s="19" t="n"/>
      <c r="M195" s="19" t="n"/>
      <c r="N195" s="20" t="n"/>
      <c r="O195" s="125" t="n"/>
      <c r="P195" s="55" t="inlineStr">
        <is>
          <t>AMPLIAR</t>
        </is>
      </c>
      <c r="Q195" s="136">
        <f>DADOS_AM!$GZ$22</f>
        <v/>
      </c>
      <c r="R195" s="19" t="n"/>
      <c r="S195" s="19" t="n"/>
      <c r="T195" s="20" t="n"/>
      <c r="U195" s="125" t="n"/>
    </row>
    <row r="196" hidden="1" outlineLevel="3">
      <c r="A196" s="8" t="n"/>
      <c r="B196" s="14" t="n"/>
      <c r="C196" s="125" t="n"/>
      <c r="D196" s="129" t="n"/>
      <c r="E196" s="23" t="n"/>
      <c r="F196" s="24" t="n"/>
      <c r="G196" s="24" t="n"/>
      <c r="H196" s="25" t="n"/>
      <c r="I196" s="125" t="n"/>
      <c r="J196" s="129" t="n"/>
      <c r="K196" s="23" t="n"/>
      <c r="L196" s="24" t="n"/>
      <c r="M196" s="24" t="n"/>
      <c r="N196" s="25" t="n"/>
      <c r="O196" s="125" t="n"/>
      <c r="P196" s="129" t="n"/>
      <c r="Q196" s="23" t="n"/>
      <c r="R196" s="24" t="n"/>
      <c r="S196" s="24" t="n"/>
      <c r="T196" s="25" t="n"/>
      <c r="U196" s="125" t="n"/>
    </row>
    <row r="197" hidden="1" outlineLevel="3">
      <c r="A197" s="8" t="n"/>
      <c r="B197" s="14" t="n"/>
      <c r="C197" s="125" t="n"/>
      <c r="D197" s="55" t="inlineStr">
        <is>
          <t>AVISOS</t>
        </is>
      </c>
      <c r="E197" s="136">
        <f>DADOS_AM!$GO$20</f>
        <v/>
      </c>
      <c r="F197" s="19" t="n"/>
      <c r="G197" s="19" t="n"/>
      <c r="H197" s="20" t="n"/>
      <c r="I197" s="125" t="n"/>
      <c r="J197" s="55" t="inlineStr">
        <is>
          <t>AVISOS</t>
        </is>
      </c>
      <c r="K197" s="136">
        <f>DADOS_AM!$GO$21</f>
        <v/>
      </c>
      <c r="L197" s="19" t="n"/>
      <c r="M197" s="19" t="n"/>
      <c r="N197" s="20" t="n"/>
      <c r="O197" s="125" t="n"/>
      <c r="P197" s="55" t="inlineStr">
        <is>
          <t>AVISOS</t>
        </is>
      </c>
      <c r="Q197" s="136">
        <f>DADOS_AM!$GO$22</f>
        <v/>
      </c>
      <c r="R197" s="19" t="n"/>
      <c r="S197" s="19" t="n"/>
      <c r="T197" s="20" t="n"/>
      <c r="U197" s="125" t="n"/>
    </row>
    <row r="198" hidden="1" outlineLevel="3">
      <c r="A198" s="8" t="n"/>
      <c r="B198" s="14" t="n"/>
      <c r="C198" s="125" t="n"/>
      <c r="D198" s="129" t="n"/>
      <c r="E198" s="23" t="n"/>
      <c r="F198" s="24" t="n"/>
      <c r="G198" s="24" t="n"/>
      <c r="H198" s="25" t="n"/>
      <c r="I198" s="125" t="n"/>
      <c r="J198" s="129" t="n"/>
      <c r="K198" s="23" t="n"/>
      <c r="L198" s="24" t="n"/>
      <c r="M198" s="24" t="n"/>
      <c r="N198" s="25" t="n"/>
      <c r="O198" s="125" t="n"/>
      <c r="P198" s="129" t="n"/>
      <c r="Q198" s="23" t="n"/>
      <c r="R198" s="24" t="n"/>
      <c r="S198" s="24" t="n"/>
      <c r="T198" s="25" t="n"/>
      <c r="U198" s="125" t="n"/>
    </row>
    <row r="199" hidden="1" outlineLevel="2">
      <c r="A199" s="8" t="n"/>
      <c r="B199" s="14" t="n"/>
      <c r="C199" s="125" t="n"/>
      <c r="D199" s="125" t="n"/>
      <c r="E199" s="125" t="n"/>
      <c r="F199" s="125" t="n"/>
      <c r="G199" s="125" t="n"/>
      <c r="H199" s="125" t="n"/>
      <c r="I199" s="125" t="n"/>
      <c r="J199" s="125" t="n"/>
      <c r="K199" s="125" t="n"/>
      <c r="L199" s="125" t="n"/>
      <c r="M199" s="125" t="n"/>
      <c r="N199" s="125" t="n"/>
      <c r="O199" s="125" t="n"/>
      <c r="P199" s="125" t="n"/>
      <c r="Q199" s="125" t="n"/>
      <c r="R199" s="125" t="n"/>
      <c r="S199" s="125" t="n"/>
      <c r="T199" s="125" t="n"/>
      <c r="U199" s="125" t="n"/>
    </row>
    <row r="200" hidden="1" outlineLevel="2">
      <c r="A200" s="8" t="n"/>
      <c r="B200" s="14" t="n"/>
      <c r="C200" s="125" t="n"/>
      <c r="D200" s="131" t="n">
        <v>1</v>
      </c>
      <c r="E200" s="120" t="n"/>
      <c r="F200" s="17" t="n"/>
      <c r="G200" s="132">
        <f>DADOS_AM!$GN$23</f>
        <v/>
      </c>
      <c r="H200" s="17" t="n"/>
      <c r="I200" s="125" t="n"/>
      <c r="J200" s="131" t="n">
        <v>1</v>
      </c>
      <c r="K200" s="120" t="n"/>
      <c r="L200" s="17" t="n"/>
      <c r="M200" s="132">
        <f>DADOS_AM!$GN$24</f>
        <v/>
      </c>
      <c r="N200" s="17" t="n"/>
      <c r="O200" s="125" t="n"/>
      <c r="P200" s="131" t="n">
        <v>1</v>
      </c>
      <c r="Q200" s="120" t="n"/>
      <c r="R200" s="17" t="n"/>
      <c r="S200" s="132">
        <f>DADOS_AM!$GN$25</f>
        <v/>
      </c>
      <c r="T200" s="17" t="n"/>
      <c r="U200" s="125" t="n"/>
    </row>
    <row r="201" hidden="1" outlineLevel="3">
      <c r="A201" s="8" t="n"/>
      <c r="B201" s="14" t="n"/>
      <c r="C201" s="125" t="n"/>
      <c r="D201" s="55" t="inlineStr">
        <is>
          <t>COMO É</t>
        </is>
      </c>
      <c r="E201" s="16" t="n"/>
      <c r="F201" s="16" t="n"/>
      <c r="G201" s="16" t="n"/>
      <c r="H201" s="17" t="n"/>
      <c r="I201" s="125" t="n"/>
      <c r="J201" s="55" t="inlineStr">
        <is>
          <t>COMO É</t>
        </is>
      </c>
      <c r="K201" s="16" t="n"/>
      <c r="L201" s="16" t="n"/>
      <c r="M201" s="16" t="n"/>
      <c r="N201" s="17" t="n"/>
      <c r="O201" s="125" t="n"/>
      <c r="P201" s="55" t="inlineStr">
        <is>
          <t>COMO É</t>
        </is>
      </c>
      <c r="Q201" s="16" t="n"/>
      <c r="R201" s="16" t="n"/>
      <c r="S201" s="16" t="n"/>
      <c r="T201" s="17" t="n"/>
      <c r="U201" s="125" t="n"/>
    </row>
    <row r="202" hidden="1" outlineLevel="3">
      <c r="A202" s="8" t="n"/>
      <c r="B202" s="14" t="n"/>
      <c r="C202" s="125" t="n"/>
      <c r="D202" s="121" t="n"/>
      <c r="E202" s="19" t="n"/>
      <c r="F202" s="19" t="n"/>
      <c r="G202" s="19" t="n"/>
      <c r="H202" s="20" t="n"/>
      <c r="I202" s="125" t="n"/>
      <c r="J202" s="121" t="n"/>
      <c r="K202" s="19" t="n"/>
      <c r="L202" s="19" t="n"/>
      <c r="M202" s="19" t="n"/>
      <c r="N202" s="20" t="n"/>
      <c r="O202" s="125" t="n"/>
      <c r="P202" s="121" t="n"/>
      <c r="Q202" s="19" t="n"/>
      <c r="R202" s="19" t="n"/>
      <c r="S202" s="19" t="n"/>
      <c r="T202" s="20" t="n"/>
      <c r="U202" s="125" t="n"/>
    </row>
    <row r="203" hidden="1" outlineLevel="3">
      <c r="A203" s="8" t="n"/>
      <c r="B203" s="14" t="n"/>
      <c r="C203" s="125" t="n"/>
      <c r="D203" s="21" t="n"/>
      <c r="H203" s="22" t="n"/>
      <c r="I203" s="125" t="n"/>
      <c r="J203" s="21" t="n"/>
      <c r="N203" s="22" t="n"/>
      <c r="O203" s="125" t="n"/>
      <c r="P203" s="21" t="n"/>
      <c r="T203" s="22" t="n"/>
      <c r="U203" s="125" t="n"/>
    </row>
    <row r="204" hidden="1" outlineLevel="3">
      <c r="A204" s="8" t="n"/>
      <c r="B204" s="14" t="n"/>
      <c r="C204" s="125" t="n"/>
      <c r="D204" s="21" t="n"/>
      <c r="H204" s="22" t="n"/>
      <c r="I204" s="125" t="n"/>
      <c r="J204" s="21" t="n"/>
      <c r="N204" s="22" t="n"/>
      <c r="O204" s="125" t="n"/>
      <c r="P204" s="21" t="n"/>
      <c r="T204" s="22" t="n"/>
      <c r="U204" s="125" t="n"/>
    </row>
    <row r="205" hidden="1" outlineLevel="3">
      <c r="A205" s="8" t="n"/>
      <c r="B205" s="14" t="n"/>
      <c r="C205" s="125" t="n"/>
      <c r="D205" s="21" t="n"/>
      <c r="H205" s="22" t="n"/>
      <c r="I205" s="125" t="n"/>
      <c r="J205" s="21" t="n"/>
      <c r="N205" s="22" t="n"/>
      <c r="O205" s="125" t="n"/>
      <c r="P205" s="21" t="n"/>
      <c r="T205" s="22" t="n"/>
      <c r="U205" s="125" t="n"/>
    </row>
    <row r="206" hidden="1" outlineLevel="3">
      <c r="A206" s="8" t="n"/>
      <c r="B206" s="14" t="n"/>
      <c r="C206" s="125" t="n"/>
      <c r="D206" s="23" t="n"/>
      <c r="E206" s="24" t="n"/>
      <c r="F206" s="24" t="n"/>
      <c r="G206" s="24" t="n"/>
      <c r="H206" s="25" t="n"/>
      <c r="I206" s="125" t="n"/>
      <c r="J206" s="23" t="n"/>
      <c r="K206" s="24" t="n"/>
      <c r="L206" s="24" t="n"/>
      <c r="M206" s="24" t="n"/>
      <c r="N206" s="25" t="n"/>
      <c r="O206" s="125" t="n"/>
      <c r="P206" s="23" t="n"/>
      <c r="Q206" s="24" t="n"/>
      <c r="R206" s="24" t="n"/>
      <c r="S206" s="24" t="n"/>
      <c r="T206" s="25" t="n"/>
      <c r="U206" s="125" t="n"/>
    </row>
    <row r="207" hidden="1" outlineLevel="2">
      <c r="A207" s="8" t="n"/>
      <c r="B207" s="14" t="n"/>
      <c r="C207" s="125" t="n"/>
      <c r="D207" s="89" t="inlineStr">
        <is>
          <t>Projétil</t>
        </is>
      </c>
      <c r="E207" s="68">
        <f>DADOS_AM!$GS$23</f>
        <v/>
      </c>
      <c r="F207" s="68">
        <f>DADOS_AM!$GP$23</f>
        <v/>
      </c>
      <c r="G207" s="89">
        <f>DADOS_AM!$GR$23</f>
        <v/>
      </c>
      <c r="H207" s="17" t="n"/>
      <c r="I207" s="125" t="n"/>
      <c r="J207" s="89" t="inlineStr">
        <is>
          <t>Projétil</t>
        </is>
      </c>
      <c r="K207" s="68">
        <f>DADOS_AM!$GS$24</f>
        <v/>
      </c>
      <c r="L207" s="68">
        <f>DADOS_AM!$GP$24</f>
        <v/>
      </c>
      <c r="M207" s="89">
        <f>DADOS_AM!$GR$24</f>
        <v/>
      </c>
      <c r="N207" s="17" t="n"/>
      <c r="O207" s="125" t="n"/>
      <c r="P207" s="89" t="inlineStr">
        <is>
          <t>Projétil</t>
        </is>
      </c>
      <c r="Q207" s="68">
        <f>DADOS_AM!$GS$25</f>
        <v/>
      </c>
      <c r="R207" s="68">
        <f>DADOS_AM!$GP$25</f>
        <v/>
      </c>
      <c r="S207" s="89">
        <f>DADOS_AM!$GR$25</f>
        <v/>
      </c>
      <c r="T207" s="17" t="n"/>
      <c r="U207" s="125" t="n"/>
    </row>
    <row r="208" hidden="1" outlineLevel="2">
      <c r="A208" s="8" t="n"/>
      <c r="B208" s="14" t="n"/>
      <c r="C208" s="125" t="n"/>
      <c r="D208" s="89">
        <f>DADOS_AM!$GQ$23</f>
        <v/>
      </c>
      <c r="E208" s="133">
        <f>DADOS_AM!$GX$23</f>
        <v/>
      </c>
      <c r="F208" s="16" t="n"/>
      <c r="G208" s="16" t="n"/>
      <c r="H208" s="17" t="n"/>
      <c r="I208" s="125" t="n"/>
      <c r="J208" s="89">
        <f>DADOS_AM!$GQ$24</f>
        <v/>
      </c>
      <c r="K208" s="133">
        <f>DADOS_AM!$GX$24</f>
        <v/>
      </c>
      <c r="L208" s="16" t="n"/>
      <c r="M208" s="16" t="n"/>
      <c r="N208" s="17" t="n"/>
      <c r="O208" s="125" t="n"/>
      <c r="P208" s="89">
        <f>DADOS_AM!$GQ$25</f>
        <v/>
      </c>
      <c r="Q208" s="133">
        <f>DADOS_AM!$GX$25</f>
        <v/>
      </c>
      <c r="R208" s="16" t="n"/>
      <c r="S208" s="16" t="n"/>
      <c r="T208" s="17" t="n"/>
      <c r="U208" s="125" t="n"/>
    </row>
    <row r="209" hidden="1" outlineLevel="3">
      <c r="A209" s="8" t="n"/>
      <c r="B209" s="14" t="n"/>
      <c r="C209" s="125" t="n"/>
      <c r="D209" s="55" t="inlineStr">
        <is>
          <t>MELHORIAS</t>
        </is>
      </c>
      <c r="E209" s="134" t="n"/>
      <c r="F209" s="17" t="n"/>
      <c r="G209" s="133">
        <f>DADOS_AM!$HA$23</f>
        <v/>
      </c>
      <c r="H209" s="17" t="n"/>
      <c r="I209" s="125" t="n"/>
      <c r="J209" s="55" t="inlineStr">
        <is>
          <t>MELHORIAS</t>
        </is>
      </c>
      <c r="K209" s="134" t="n"/>
      <c r="L209" s="17" t="n"/>
      <c r="M209" s="133">
        <f>DADOS_AM!$HA$24</f>
        <v/>
      </c>
      <c r="N209" s="17" t="n"/>
      <c r="O209" s="125" t="n"/>
      <c r="P209" s="55" t="inlineStr">
        <is>
          <t>MELHORIAS</t>
        </is>
      </c>
      <c r="Q209" s="134" t="n"/>
      <c r="R209" s="17" t="n"/>
      <c r="S209" s="133">
        <f>DADOS_AM!$HA$25</f>
        <v/>
      </c>
      <c r="T209" s="17" t="n"/>
      <c r="U209" s="125" t="n"/>
    </row>
    <row r="210" hidden="1" outlineLevel="3">
      <c r="A210" s="8" t="n"/>
      <c r="B210" s="14" t="n"/>
      <c r="C210" s="125" t="n"/>
      <c r="D210" s="135" t="n"/>
      <c r="E210" s="134" t="n"/>
      <c r="F210" s="17" t="n"/>
      <c r="G210" s="133">
        <f>DADOS_AM!$HB$23</f>
        <v/>
      </c>
      <c r="H210" s="17" t="n"/>
      <c r="I210" s="125" t="n"/>
      <c r="J210" s="135" t="n"/>
      <c r="K210" s="134" t="n"/>
      <c r="L210" s="17" t="n"/>
      <c r="M210" s="133">
        <f>DADOS_AM!$HB$24</f>
        <v/>
      </c>
      <c r="N210" s="17" t="n"/>
      <c r="O210" s="125" t="n"/>
      <c r="P210" s="135" t="n"/>
      <c r="Q210" s="134" t="n"/>
      <c r="R210" s="17" t="n"/>
      <c r="S210" s="133">
        <f>DADOS_AM!$HB$25</f>
        <v/>
      </c>
      <c r="T210" s="17" t="n"/>
      <c r="U210" s="125" t="n"/>
    </row>
    <row r="211" hidden="1" outlineLevel="3">
      <c r="A211" s="8" t="n"/>
      <c r="B211" s="14" t="n"/>
      <c r="C211" s="125" t="n"/>
      <c r="D211" s="135" t="n"/>
      <c r="E211" s="134" t="n"/>
      <c r="F211" s="17" t="n"/>
      <c r="G211" s="133">
        <f>DADOS_AM!$HC$23</f>
        <v/>
      </c>
      <c r="H211" s="17" t="n"/>
      <c r="I211" s="125" t="n"/>
      <c r="J211" s="135" t="n"/>
      <c r="K211" s="134" t="n"/>
      <c r="L211" s="17" t="n"/>
      <c r="M211" s="133">
        <f>DADOS_AM!$HC$24</f>
        <v/>
      </c>
      <c r="N211" s="17" t="n"/>
      <c r="O211" s="125" t="n"/>
      <c r="P211" s="135" t="n"/>
      <c r="Q211" s="134" t="n"/>
      <c r="R211" s="17" t="n"/>
      <c r="S211" s="133">
        <f>DADOS_AM!$HC$25</f>
        <v/>
      </c>
      <c r="T211" s="17" t="n"/>
      <c r="U211" s="125" t="n"/>
    </row>
    <row r="212" hidden="1" outlineLevel="3">
      <c r="A212" s="8" t="n"/>
      <c r="B212" s="14" t="n"/>
      <c r="C212" s="125" t="n"/>
      <c r="D212" s="129" t="n"/>
      <c r="E212" s="134" t="n"/>
      <c r="F212" s="17" t="n"/>
      <c r="G212" s="133">
        <f>DADOS_AM!$HD$23</f>
        <v/>
      </c>
      <c r="H212" s="17" t="n"/>
      <c r="I212" s="125" t="n"/>
      <c r="J212" s="129" t="n"/>
      <c r="K212" s="134" t="n"/>
      <c r="L212" s="17" t="n"/>
      <c r="M212" s="133">
        <f>DADOS_AM!$HD$24</f>
        <v/>
      </c>
      <c r="N212" s="17" t="n"/>
      <c r="O212" s="125" t="n"/>
      <c r="P212" s="129" t="n"/>
      <c r="Q212" s="134" t="n"/>
      <c r="R212" s="17" t="n"/>
      <c r="S212" s="133">
        <f>DADOS_AM!$HD$25</f>
        <v/>
      </c>
      <c r="T212" s="17" t="n"/>
      <c r="U212" s="125" t="n"/>
    </row>
    <row r="213" hidden="1" outlineLevel="3">
      <c r="A213" s="8" t="n"/>
      <c r="B213" s="14" t="n"/>
      <c r="C213" s="125" t="n"/>
      <c r="D213" s="55" t="inlineStr">
        <is>
          <t>RESTRIÇÕES</t>
        </is>
      </c>
      <c r="E213" s="134" t="n"/>
      <c r="F213" s="17" t="n"/>
      <c r="G213" s="133">
        <f>DADOS_AM!$HE$23</f>
        <v/>
      </c>
      <c r="H213" s="17" t="n"/>
      <c r="I213" s="125" t="n"/>
      <c r="J213" s="55" t="inlineStr">
        <is>
          <t>RESTRIÇÕES</t>
        </is>
      </c>
      <c r="K213" s="134" t="n"/>
      <c r="L213" s="17" t="n"/>
      <c r="M213" s="133">
        <f>DADOS_AM!$HE$24</f>
        <v/>
      </c>
      <c r="N213" s="17" t="n"/>
      <c r="O213" s="125" t="n"/>
      <c r="P213" s="55" t="inlineStr">
        <is>
          <t>RESTRIÇÕES</t>
        </is>
      </c>
      <c r="Q213" s="134" t="n"/>
      <c r="R213" s="17" t="n"/>
      <c r="S213" s="133">
        <f>DADOS_AM!$HE$25</f>
        <v/>
      </c>
      <c r="T213" s="17" t="n"/>
      <c r="U213" s="125" t="n"/>
    </row>
    <row r="214" hidden="1" outlineLevel="3">
      <c r="A214" s="8" t="n"/>
      <c r="B214" s="14" t="n"/>
      <c r="C214" s="125" t="n"/>
      <c r="D214" s="129" t="n"/>
      <c r="E214" s="134" t="n"/>
      <c r="F214" s="17" t="n"/>
      <c r="G214" s="133">
        <f>DADOS_AM!$HF$23</f>
        <v/>
      </c>
      <c r="H214" s="17" t="n"/>
      <c r="I214" s="125" t="n"/>
      <c r="J214" s="129" t="n"/>
      <c r="K214" s="134" t="n"/>
      <c r="L214" s="17" t="n"/>
      <c r="M214" s="133">
        <f>DADOS_AM!$HF$24</f>
        <v/>
      </c>
      <c r="N214" s="17" t="n"/>
      <c r="O214" s="125" t="n"/>
      <c r="P214" s="129" t="n"/>
      <c r="Q214" s="134" t="n"/>
      <c r="R214" s="17" t="n"/>
      <c r="S214" s="133">
        <f>DADOS_AM!$HF$25</f>
        <v/>
      </c>
      <c r="T214" s="17" t="n"/>
      <c r="U214" s="125" t="n"/>
    </row>
    <row r="215" hidden="1" outlineLevel="3">
      <c r="A215" s="8" t="n"/>
      <c r="B215" s="14" t="n"/>
      <c r="C215" s="125" t="n"/>
      <c r="D215" s="55" t="inlineStr">
        <is>
          <t>CONTA</t>
        </is>
      </c>
      <c r="E215" s="136">
        <f>DADOS_AM!$GY$23</f>
        <v/>
      </c>
      <c r="F215" s="16" t="n"/>
      <c r="G215" s="16" t="n"/>
      <c r="H215" s="17" t="n"/>
      <c r="I215" s="125" t="n"/>
      <c r="J215" s="55" t="inlineStr">
        <is>
          <t>CONTA</t>
        </is>
      </c>
      <c r="K215" s="136">
        <f>DADOS_AM!$GY$24</f>
        <v/>
      </c>
      <c r="L215" s="16" t="n"/>
      <c r="M215" s="16" t="n"/>
      <c r="N215" s="17" t="n"/>
      <c r="O215" s="125" t="n"/>
      <c r="P215" s="55" t="inlineStr">
        <is>
          <t>CONTA</t>
        </is>
      </c>
      <c r="Q215" s="136">
        <f>DADOS_AM!$GY$25</f>
        <v/>
      </c>
      <c r="R215" s="16" t="n"/>
      <c r="S215" s="16" t="n"/>
      <c r="T215" s="17" t="n"/>
      <c r="U215" s="125" t="n"/>
    </row>
    <row r="216" hidden="1" outlineLevel="3">
      <c r="A216" s="8" t="n"/>
      <c r="B216" s="14" t="n"/>
      <c r="C216" s="125" t="n"/>
      <c r="D216" s="55" t="inlineStr">
        <is>
          <t>AMPLIAR</t>
        </is>
      </c>
      <c r="E216" s="136">
        <f>DADOS_AM!$GZ$23</f>
        <v/>
      </c>
      <c r="F216" s="19" t="n"/>
      <c r="G216" s="19" t="n"/>
      <c r="H216" s="20" t="n"/>
      <c r="I216" s="125" t="n"/>
      <c r="J216" s="55" t="inlineStr">
        <is>
          <t>AMPLIAR</t>
        </is>
      </c>
      <c r="K216" s="136">
        <f>DADOS_AM!$GZ$24</f>
        <v/>
      </c>
      <c r="L216" s="19" t="n"/>
      <c r="M216" s="19" t="n"/>
      <c r="N216" s="20" t="n"/>
      <c r="O216" s="125" t="n"/>
      <c r="P216" s="55" t="inlineStr">
        <is>
          <t>AMPLIAR</t>
        </is>
      </c>
      <c r="Q216" s="136">
        <f>DADOS_AM!$GZ$25</f>
        <v/>
      </c>
      <c r="R216" s="19" t="n"/>
      <c r="S216" s="19" t="n"/>
      <c r="T216" s="20" t="n"/>
      <c r="U216" s="125" t="n"/>
    </row>
    <row r="217" hidden="1" outlineLevel="3">
      <c r="A217" s="8" t="n"/>
      <c r="B217" s="14" t="n"/>
      <c r="C217" s="125" t="n"/>
      <c r="D217" s="129" t="n"/>
      <c r="E217" s="23" t="n"/>
      <c r="F217" s="24" t="n"/>
      <c r="G217" s="24" t="n"/>
      <c r="H217" s="25" t="n"/>
      <c r="I217" s="125" t="n"/>
      <c r="J217" s="129" t="n"/>
      <c r="K217" s="23" t="n"/>
      <c r="L217" s="24" t="n"/>
      <c r="M217" s="24" t="n"/>
      <c r="N217" s="25" t="n"/>
      <c r="O217" s="125" t="n"/>
      <c r="P217" s="129" t="n"/>
      <c r="Q217" s="23" t="n"/>
      <c r="R217" s="24" t="n"/>
      <c r="S217" s="24" t="n"/>
      <c r="T217" s="25" t="n"/>
      <c r="U217" s="125" t="n"/>
    </row>
    <row r="218" hidden="1" outlineLevel="3">
      <c r="A218" s="8" t="n"/>
      <c r="B218" s="14" t="n"/>
      <c r="C218" s="125" t="n"/>
      <c r="D218" s="55" t="inlineStr">
        <is>
          <t>AVISOS</t>
        </is>
      </c>
      <c r="E218" s="136">
        <f>DADOS_AM!$GO$23</f>
        <v/>
      </c>
      <c r="F218" s="19" t="n"/>
      <c r="G218" s="19" t="n"/>
      <c r="H218" s="20" t="n"/>
      <c r="I218" s="125" t="n"/>
      <c r="J218" s="55" t="inlineStr">
        <is>
          <t>AVISOS</t>
        </is>
      </c>
      <c r="K218" s="136">
        <f>DADOS_AM!$GO$24</f>
        <v/>
      </c>
      <c r="L218" s="19" t="n"/>
      <c r="M218" s="19" t="n"/>
      <c r="N218" s="20" t="n"/>
      <c r="O218" s="125" t="n"/>
      <c r="P218" s="55" t="inlineStr">
        <is>
          <t>AVISOS</t>
        </is>
      </c>
      <c r="Q218" s="136">
        <f>DADOS_AM!$GO$25</f>
        <v/>
      </c>
      <c r="R218" s="19" t="n"/>
      <c r="S218" s="19" t="n"/>
      <c r="T218" s="20" t="n"/>
      <c r="U218" s="125" t="n"/>
    </row>
    <row r="219" hidden="1" outlineLevel="3">
      <c r="A219" s="8" t="n"/>
      <c r="B219" s="14" t="n"/>
      <c r="C219" s="125" t="n"/>
      <c r="D219" s="129" t="n"/>
      <c r="E219" s="23" t="n"/>
      <c r="F219" s="24" t="n"/>
      <c r="G219" s="24" t="n"/>
      <c r="H219" s="25" t="n"/>
      <c r="I219" s="125" t="n"/>
      <c r="J219" s="129" t="n"/>
      <c r="K219" s="23" t="n"/>
      <c r="L219" s="24" t="n"/>
      <c r="M219" s="24" t="n"/>
      <c r="N219" s="25" t="n"/>
      <c r="O219" s="125" t="n"/>
      <c r="P219" s="129" t="n"/>
      <c r="Q219" s="23" t="n"/>
      <c r="R219" s="24" t="n"/>
      <c r="S219" s="24" t="n"/>
      <c r="T219" s="25" t="n"/>
      <c r="U219" s="125" t="n"/>
    </row>
    <row r="220" outlineLevel="1">
      <c r="A220" s="8" t="n"/>
      <c r="B220" s="14" t="n"/>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row>
    <row r="221" outlineLevel="1">
      <c r="A221" s="8" t="n"/>
      <c r="B221" s="14" t="n"/>
      <c r="C221" s="125" t="n"/>
      <c r="D221" s="137">
        <f>DADOS_AM!$KT$35</f>
        <v/>
      </c>
      <c r="E221" s="16" t="n"/>
      <c r="F221" s="16" t="n"/>
      <c r="G221" s="16" t="n"/>
      <c r="H221" s="16" t="n"/>
      <c r="I221" s="16" t="n"/>
      <c r="J221" s="16" t="n"/>
      <c r="K221" s="16" t="n"/>
      <c r="L221" s="16" t="n"/>
      <c r="M221" s="16" t="n"/>
      <c r="N221" s="16" t="n"/>
      <c r="O221" s="16" t="n"/>
      <c r="P221" s="16" t="n"/>
      <c r="Q221" s="16" t="n"/>
      <c r="R221" s="16" t="n"/>
      <c r="S221" s="16" t="n"/>
      <c r="T221" s="17" t="n"/>
      <c r="U221" s="125" t="n"/>
    </row>
    <row r="222" hidden="1" outlineLevel="2">
      <c r="A222" s="8" t="n"/>
      <c r="B222" s="14" t="n"/>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row>
    <row r="223" hidden="1" outlineLevel="2">
      <c r="A223" s="8" t="n"/>
      <c r="B223" s="14" t="n"/>
      <c r="C223" s="125" t="n"/>
      <c r="D223" s="131" t="n">
        <v>1</v>
      </c>
      <c r="E223" s="120" t="n"/>
      <c r="F223" s="17" t="n"/>
      <c r="G223" s="132">
        <f>DADOS_AM!$GN$26</f>
        <v/>
      </c>
      <c r="H223" s="17" t="n"/>
      <c r="I223" s="125" t="n"/>
      <c r="J223" s="131" t="n">
        <v>1</v>
      </c>
      <c r="K223" s="120" t="n"/>
      <c r="L223" s="17" t="n"/>
      <c r="M223" s="132">
        <f>DADOS_AM!$GN$27</f>
        <v/>
      </c>
      <c r="N223" s="17" t="n"/>
      <c r="O223" s="125" t="n"/>
      <c r="P223" s="131" t="n">
        <v>1</v>
      </c>
      <c r="Q223" s="120" t="n"/>
      <c r="R223" s="17" t="n"/>
      <c r="S223" s="132">
        <f>DADOS_AM!$GN$28</f>
        <v/>
      </c>
      <c r="T223" s="17" t="n"/>
      <c r="U223" s="125" t="n"/>
    </row>
    <row r="224" hidden="1" outlineLevel="3">
      <c r="A224" s="8" t="n"/>
      <c r="B224" s="14" t="n"/>
      <c r="C224" s="125" t="n"/>
      <c r="D224" s="55" t="inlineStr">
        <is>
          <t>COMO É</t>
        </is>
      </c>
      <c r="E224" s="16" t="n"/>
      <c r="F224" s="16" t="n"/>
      <c r="G224" s="16" t="n"/>
      <c r="H224" s="17" t="n"/>
      <c r="I224" s="125" t="n"/>
      <c r="J224" s="55" t="inlineStr">
        <is>
          <t>COMO É</t>
        </is>
      </c>
      <c r="K224" s="16" t="n"/>
      <c r="L224" s="16" t="n"/>
      <c r="M224" s="16" t="n"/>
      <c r="N224" s="17" t="n"/>
      <c r="O224" s="125" t="n"/>
      <c r="P224" s="55" t="inlineStr">
        <is>
          <t>COMO É</t>
        </is>
      </c>
      <c r="Q224" s="16" t="n"/>
      <c r="R224" s="16" t="n"/>
      <c r="S224" s="16" t="n"/>
      <c r="T224" s="17" t="n"/>
      <c r="U224" s="125" t="n"/>
    </row>
    <row r="225" hidden="1" outlineLevel="3">
      <c r="A225" s="8" t="n"/>
      <c r="B225" s="14" t="n"/>
      <c r="C225" s="125" t="n"/>
      <c r="D225" s="121" t="n"/>
      <c r="E225" s="19" t="n"/>
      <c r="F225" s="19" t="n"/>
      <c r="G225" s="19" t="n"/>
      <c r="H225" s="20" t="n"/>
      <c r="I225" s="125" t="n"/>
      <c r="J225" s="121" t="n"/>
      <c r="K225" s="19" t="n"/>
      <c r="L225" s="19" t="n"/>
      <c r="M225" s="19" t="n"/>
      <c r="N225" s="20" t="n"/>
      <c r="O225" s="125" t="n"/>
      <c r="P225" s="121" t="n"/>
      <c r="Q225" s="19" t="n"/>
      <c r="R225" s="19" t="n"/>
      <c r="S225" s="19" t="n"/>
      <c r="T225" s="20" t="n"/>
      <c r="U225" s="125" t="n"/>
    </row>
    <row r="226" hidden="1" outlineLevel="3">
      <c r="A226" s="8" t="n"/>
      <c r="B226" s="14" t="n"/>
      <c r="C226" s="125" t="n"/>
      <c r="D226" s="21" t="n"/>
      <c r="H226" s="22" t="n"/>
      <c r="I226" s="125" t="n"/>
      <c r="J226" s="21" t="n"/>
      <c r="N226" s="22" t="n"/>
      <c r="O226" s="125" t="n"/>
      <c r="P226" s="21" t="n"/>
      <c r="T226" s="22" t="n"/>
      <c r="U226" s="125" t="n"/>
    </row>
    <row r="227" hidden="1" outlineLevel="3">
      <c r="A227" s="8" t="n"/>
      <c r="B227" s="14" t="n"/>
      <c r="C227" s="125" t="n"/>
      <c r="D227" s="21" t="n"/>
      <c r="H227" s="22" t="n"/>
      <c r="I227" s="125" t="n"/>
      <c r="J227" s="21" t="n"/>
      <c r="N227" s="22" t="n"/>
      <c r="O227" s="125" t="n"/>
      <c r="P227" s="21" t="n"/>
      <c r="T227" s="22" t="n"/>
      <c r="U227" s="125" t="n"/>
    </row>
    <row r="228" hidden="1" outlineLevel="3">
      <c r="A228" s="8" t="n"/>
      <c r="B228" s="14" t="n"/>
      <c r="C228" s="125" t="n"/>
      <c r="D228" s="21" t="n"/>
      <c r="H228" s="22" t="n"/>
      <c r="I228" s="125" t="n"/>
      <c r="J228" s="21" t="n"/>
      <c r="N228" s="22" t="n"/>
      <c r="O228" s="125" t="n"/>
      <c r="P228" s="21" t="n"/>
      <c r="T228" s="22" t="n"/>
      <c r="U228" s="125" t="n"/>
    </row>
    <row r="229" hidden="1" outlineLevel="3">
      <c r="A229" s="8" t="n"/>
      <c r="B229" s="14" t="n"/>
      <c r="C229" s="125" t="n"/>
      <c r="D229" s="23" t="n"/>
      <c r="E229" s="24" t="n"/>
      <c r="F229" s="24" t="n"/>
      <c r="G229" s="24" t="n"/>
      <c r="H229" s="25" t="n"/>
      <c r="I229" s="125" t="n"/>
      <c r="J229" s="23" t="n"/>
      <c r="K229" s="24" t="n"/>
      <c r="L229" s="24" t="n"/>
      <c r="M229" s="24" t="n"/>
      <c r="N229" s="25" t="n"/>
      <c r="O229" s="125" t="n"/>
      <c r="P229" s="23" t="n"/>
      <c r="Q229" s="24" t="n"/>
      <c r="R229" s="24" t="n"/>
      <c r="S229" s="24" t="n"/>
      <c r="T229" s="25" t="n"/>
      <c r="U229" s="125" t="n"/>
    </row>
    <row r="230" hidden="1" outlineLevel="2">
      <c r="A230" s="8" t="n"/>
      <c r="B230" s="14" t="n"/>
      <c r="C230" s="125" t="n"/>
      <c r="D230" s="89" t="inlineStr">
        <is>
          <t>Projétil</t>
        </is>
      </c>
      <c r="E230" s="68">
        <f>DADOS_AM!$GS$26</f>
        <v/>
      </c>
      <c r="F230" s="68">
        <f>DADOS_AM!$GP$26</f>
        <v/>
      </c>
      <c r="G230" s="89">
        <f>DADOS_AM!$GR$26</f>
        <v/>
      </c>
      <c r="H230" s="17" t="n"/>
      <c r="I230" s="125" t="n"/>
      <c r="J230" s="89" t="inlineStr">
        <is>
          <t>Projétil</t>
        </is>
      </c>
      <c r="K230" s="68">
        <f>DADOS_AM!$GS$27</f>
        <v/>
      </c>
      <c r="L230" s="68">
        <f>DADOS_AM!$GP$27</f>
        <v/>
      </c>
      <c r="M230" s="89">
        <f>DADOS_AM!$GR$27</f>
        <v/>
      </c>
      <c r="N230" s="17" t="n"/>
      <c r="O230" s="125" t="n"/>
      <c r="P230" s="89" t="inlineStr">
        <is>
          <t>Projétil</t>
        </is>
      </c>
      <c r="Q230" s="68">
        <f>DADOS_AM!$GS$28</f>
        <v/>
      </c>
      <c r="R230" s="68">
        <f>DADOS_AM!$GP$28</f>
        <v/>
      </c>
      <c r="S230" s="89">
        <f>DADOS_AM!$GR$28</f>
        <v/>
      </c>
      <c r="T230" s="17" t="n"/>
      <c r="U230" s="125" t="n"/>
    </row>
    <row r="231" hidden="1" outlineLevel="2">
      <c r="A231" s="8" t="n"/>
      <c r="B231" s="14" t="n"/>
      <c r="C231" s="125" t="n"/>
      <c r="D231" s="89">
        <f>DADOS_AM!$GQ$26</f>
        <v/>
      </c>
      <c r="E231" s="133">
        <f>DADOS_AM!$GX$26</f>
        <v/>
      </c>
      <c r="F231" s="16" t="n"/>
      <c r="G231" s="16" t="n"/>
      <c r="H231" s="17" t="n"/>
      <c r="I231" s="125" t="n"/>
      <c r="J231" s="89">
        <f>DADOS_AM!$GQ$27</f>
        <v/>
      </c>
      <c r="K231" s="133">
        <f>DADOS_AM!$GX$27</f>
        <v/>
      </c>
      <c r="L231" s="16" t="n"/>
      <c r="M231" s="16" t="n"/>
      <c r="N231" s="17" t="n"/>
      <c r="O231" s="125" t="n"/>
      <c r="P231" s="89">
        <f>DADOS_AM!$GQ$28</f>
        <v/>
      </c>
      <c r="Q231" s="133">
        <f>DADOS_AM!$GX$28</f>
        <v/>
      </c>
      <c r="R231" s="16" t="n"/>
      <c r="S231" s="16" t="n"/>
      <c r="T231" s="17" t="n"/>
      <c r="U231" s="125" t="n"/>
    </row>
    <row r="232" hidden="1" outlineLevel="3">
      <c r="A232" s="8" t="n"/>
      <c r="B232" s="14" t="n"/>
      <c r="C232" s="125" t="n"/>
      <c r="D232" s="55" t="inlineStr">
        <is>
          <t>MELHORIAS</t>
        </is>
      </c>
      <c r="E232" s="134" t="n"/>
      <c r="F232" s="17" t="n"/>
      <c r="G232" s="133">
        <f>DADOS_AM!$HA$26</f>
        <v/>
      </c>
      <c r="H232" s="17" t="n"/>
      <c r="I232" s="125" t="n"/>
      <c r="J232" s="55" t="inlineStr">
        <is>
          <t>MELHORIAS</t>
        </is>
      </c>
      <c r="K232" s="134" t="n"/>
      <c r="L232" s="17" t="n"/>
      <c r="M232" s="133">
        <f>DADOS_AM!$HA$27</f>
        <v/>
      </c>
      <c r="N232" s="17" t="n"/>
      <c r="O232" s="125" t="n"/>
      <c r="P232" s="55" t="inlineStr">
        <is>
          <t>MELHORIAS</t>
        </is>
      </c>
      <c r="Q232" s="134" t="n"/>
      <c r="R232" s="17" t="n"/>
      <c r="S232" s="133">
        <f>DADOS_AM!$HA$28</f>
        <v/>
      </c>
      <c r="T232" s="17" t="n"/>
      <c r="U232" s="125" t="n"/>
    </row>
    <row r="233" hidden="1" outlineLevel="3">
      <c r="A233" s="8" t="n"/>
      <c r="B233" s="14" t="n"/>
      <c r="C233" s="125" t="n"/>
      <c r="D233" s="135" t="n"/>
      <c r="E233" s="134" t="n"/>
      <c r="F233" s="17" t="n"/>
      <c r="G233" s="133">
        <f>DADOS_AM!$HB$26</f>
        <v/>
      </c>
      <c r="H233" s="17" t="n"/>
      <c r="I233" s="125" t="n"/>
      <c r="J233" s="135" t="n"/>
      <c r="K233" s="134" t="n"/>
      <c r="L233" s="17" t="n"/>
      <c r="M233" s="133">
        <f>DADOS_AM!$HB$27</f>
        <v/>
      </c>
      <c r="N233" s="17" t="n"/>
      <c r="O233" s="125" t="n"/>
      <c r="P233" s="135" t="n"/>
      <c r="Q233" s="134" t="n"/>
      <c r="R233" s="17" t="n"/>
      <c r="S233" s="133">
        <f>DADOS_AM!$HB$28</f>
        <v/>
      </c>
      <c r="T233" s="17" t="n"/>
      <c r="U233" s="125" t="n"/>
    </row>
    <row r="234" hidden="1" outlineLevel="3">
      <c r="A234" s="8" t="n"/>
      <c r="B234" s="14" t="n"/>
      <c r="C234" s="125" t="n"/>
      <c r="D234" s="135" t="n"/>
      <c r="E234" s="134" t="n"/>
      <c r="F234" s="17" t="n"/>
      <c r="G234" s="133">
        <f>DADOS_AM!$HC$26</f>
        <v/>
      </c>
      <c r="H234" s="17" t="n"/>
      <c r="I234" s="125" t="n"/>
      <c r="J234" s="135" t="n"/>
      <c r="K234" s="134" t="n"/>
      <c r="L234" s="17" t="n"/>
      <c r="M234" s="133">
        <f>DADOS_AM!$HC$27</f>
        <v/>
      </c>
      <c r="N234" s="17" t="n"/>
      <c r="O234" s="125" t="n"/>
      <c r="P234" s="135" t="n"/>
      <c r="Q234" s="134" t="n"/>
      <c r="R234" s="17" t="n"/>
      <c r="S234" s="133">
        <f>DADOS_AM!$HC$28</f>
        <v/>
      </c>
      <c r="T234" s="17" t="n"/>
      <c r="U234" s="125" t="n"/>
    </row>
    <row r="235" hidden="1" outlineLevel="3">
      <c r="A235" s="8" t="n"/>
      <c r="B235" s="14" t="n"/>
      <c r="C235" s="125" t="n"/>
      <c r="D235" s="129" t="n"/>
      <c r="E235" s="134" t="n"/>
      <c r="F235" s="17" t="n"/>
      <c r="G235" s="133">
        <f>DADOS_AM!$HD$26</f>
        <v/>
      </c>
      <c r="H235" s="17" t="n"/>
      <c r="I235" s="125" t="n"/>
      <c r="J235" s="129" t="n"/>
      <c r="K235" s="134" t="n"/>
      <c r="L235" s="17" t="n"/>
      <c r="M235" s="133">
        <f>DADOS_AM!$HD$27</f>
        <v/>
      </c>
      <c r="N235" s="17" t="n"/>
      <c r="O235" s="125" t="n"/>
      <c r="P235" s="129" t="n"/>
      <c r="Q235" s="134" t="n"/>
      <c r="R235" s="17" t="n"/>
      <c r="S235" s="133">
        <f>DADOS_AM!$HD$28</f>
        <v/>
      </c>
      <c r="T235" s="17" t="n"/>
      <c r="U235" s="125" t="n"/>
    </row>
    <row r="236" hidden="1" outlineLevel="3">
      <c r="A236" s="8" t="n"/>
      <c r="B236" s="14" t="n"/>
      <c r="C236" s="125" t="n"/>
      <c r="D236" s="55" t="inlineStr">
        <is>
          <t>RESTRIÇÕES</t>
        </is>
      </c>
      <c r="E236" s="134" t="n"/>
      <c r="F236" s="17" t="n"/>
      <c r="G236" s="133">
        <f>DADOS_AM!$HE$26</f>
        <v/>
      </c>
      <c r="H236" s="17" t="n"/>
      <c r="I236" s="125" t="n"/>
      <c r="J236" s="55" t="inlineStr">
        <is>
          <t>RESTRIÇÕES</t>
        </is>
      </c>
      <c r="K236" s="134" t="n"/>
      <c r="L236" s="17" t="n"/>
      <c r="M236" s="133">
        <f>DADOS_AM!$HE$27</f>
        <v/>
      </c>
      <c r="N236" s="17" t="n"/>
      <c r="O236" s="125" t="n"/>
      <c r="P236" s="55" t="inlineStr">
        <is>
          <t>RESTRIÇÕES</t>
        </is>
      </c>
      <c r="Q236" s="134" t="n"/>
      <c r="R236" s="17" t="n"/>
      <c r="S236" s="133">
        <f>DADOS_AM!$HE$28</f>
        <v/>
      </c>
      <c r="T236" s="17" t="n"/>
      <c r="U236" s="125" t="n"/>
    </row>
    <row r="237" hidden="1" outlineLevel="3">
      <c r="A237" s="8" t="n"/>
      <c r="B237" s="14" t="n"/>
      <c r="C237" s="125" t="n"/>
      <c r="D237" s="129" t="n"/>
      <c r="E237" s="134" t="n"/>
      <c r="F237" s="17" t="n"/>
      <c r="G237" s="133">
        <f>DADOS_AM!$HF$26</f>
        <v/>
      </c>
      <c r="H237" s="17" t="n"/>
      <c r="I237" s="125" t="n"/>
      <c r="J237" s="129" t="n"/>
      <c r="K237" s="134" t="n"/>
      <c r="L237" s="17" t="n"/>
      <c r="M237" s="133">
        <f>DADOS_AM!$HF$27</f>
        <v/>
      </c>
      <c r="N237" s="17" t="n"/>
      <c r="O237" s="125" t="n"/>
      <c r="P237" s="129" t="n"/>
      <c r="Q237" s="134" t="n"/>
      <c r="R237" s="17" t="n"/>
      <c r="S237" s="133">
        <f>DADOS_AM!$HF$28</f>
        <v/>
      </c>
      <c r="T237" s="17" t="n"/>
      <c r="U237" s="125" t="n"/>
    </row>
    <row r="238" hidden="1" outlineLevel="3">
      <c r="A238" s="8" t="n"/>
      <c r="B238" s="14" t="n"/>
      <c r="C238" s="125" t="n"/>
      <c r="D238" s="55" t="inlineStr">
        <is>
          <t>CONTA</t>
        </is>
      </c>
      <c r="E238" s="136">
        <f>DADOS_AM!$GY$26</f>
        <v/>
      </c>
      <c r="F238" s="16" t="n"/>
      <c r="G238" s="16" t="n"/>
      <c r="H238" s="17" t="n"/>
      <c r="I238" s="125" t="n"/>
      <c r="J238" s="55" t="inlineStr">
        <is>
          <t>CONTA</t>
        </is>
      </c>
      <c r="K238" s="136">
        <f>DADOS_AM!$GY$27</f>
        <v/>
      </c>
      <c r="L238" s="16" t="n"/>
      <c r="M238" s="16" t="n"/>
      <c r="N238" s="17" t="n"/>
      <c r="O238" s="125" t="n"/>
      <c r="P238" s="55" t="inlineStr">
        <is>
          <t>CONTA</t>
        </is>
      </c>
      <c r="Q238" s="136">
        <f>DADOS_AM!$GY$28</f>
        <v/>
      </c>
      <c r="R238" s="16" t="n"/>
      <c r="S238" s="16" t="n"/>
      <c r="T238" s="17" t="n"/>
      <c r="U238" s="125" t="n"/>
    </row>
    <row r="239" hidden="1" outlineLevel="3">
      <c r="A239" s="8" t="n"/>
      <c r="B239" s="14" t="n"/>
      <c r="C239" s="125" t="n"/>
      <c r="D239" s="55" t="inlineStr">
        <is>
          <t>AMPLIAR</t>
        </is>
      </c>
      <c r="E239" s="136">
        <f>DADOS_AM!$GZ$26</f>
        <v/>
      </c>
      <c r="F239" s="19" t="n"/>
      <c r="G239" s="19" t="n"/>
      <c r="H239" s="20" t="n"/>
      <c r="I239" s="125" t="n"/>
      <c r="J239" s="55" t="inlineStr">
        <is>
          <t>AMPLIAR</t>
        </is>
      </c>
      <c r="K239" s="136">
        <f>DADOS_AM!$GZ$27</f>
        <v/>
      </c>
      <c r="L239" s="19" t="n"/>
      <c r="M239" s="19" t="n"/>
      <c r="N239" s="20" t="n"/>
      <c r="O239" s="125" t="n"/>
      <c r="P239" s="55" t="inlineStr">
        <is>
          <t>AMPLIAR</t>
        </is>
      </c>
      <c r="Q239" s="136">
        <f>DADOS_AM!$GZ$28</f>
        <v/>
      </c>
      <c r="R239" s="19" t="n"/>
      <c r="S239" s="19" t="n"/>
      <c r="T239" s="20" t="n"/>
      <c r="U239" s="125" t="n"/>
    </row>
    <row r="240" hidden="1" outlineLevel="3">
      <c r="A240" s="8" t="n"/>
      <c r="B240" s="14" t="n"/>
      <c r="C240" s="125" t="n"/>
      <c r="D240" s="129" t="n"/>
      <c r="E240" s="23" t="n"/>
      <c r="F240" s="24" t="n"/>
      <c r="G240" s="24" t="n"/>
      <c r="H240" s="25" t="n"/>
      <c r="I240" s="125" t="n"/>
      <c r="J240" s="129" t="n"/>
      <c r="K240" s="23" t="n"/>
      <c r="L240" s="24" t="n"/>
      <c r="M240" s="24" t="n"/>
      <c r="N240" s="25" t="n"/>
      <c r="O240" s="125" t="n"/>
      <c r="P240" s="129" t="n"/>
      <c r="Q240" s="23" t="n"/>
      <c r="R240" s="24" t="n"/>
      <c r="S240" s="24" t="n"/>
      <c r="T240" s="25" t="n"/>
      <c r="U240" s="125" t="n"/>
    </row>
    <row r="241" hidden="1" outlineLevel="3">
      <c r="A241" s="8" t="n"/>
      <c r="B241" s="14" t="n"/>
      <c r="C241" s="125" t="n"/>
      <c r="D241" s="55" t="inlineStr">
        <is>
          <t>AVISOS</t>
        </is>
      </c>
      <c r="E241" s="136">
        <f>DADOS_AM!$GO$26</f>
        <v/>
      </c>
      <c r="F241" s="19" t="n"/>
      <c r="G241" s="19" t="n"/>
      <c r="H241" s="20" t="n"/>
      <c r="I241" s="125" t="n"/>
      <c r="J241" s="55" t="inlineStr">
        <is>
          <t>AVISOS</t>
        </is>
      </c>
      <c r="K241" s="136">
        <f>DADOS_AM!$GO$27</f>
        <v/>
      </c>
      <c r="L241" s="19" t="n"/>
      <c r="M241" s="19" t="n"/>
      <c r="N241" s="20" t="n"/>
      <c r="O241" s="125" t="n"/>
      <c r="P241" s="55" t="inlineStr">
        <is>
          <t>AVISOS</t>
        </is>
      </c>
      <c r="Q241" s="136">
        <f>DADOS_AM!$GO$28</f>
        <v/>
      </c>
      <c r="R241" s="19" t="n"/>
      <c r="S241" s="19" t="n"/>
      <c r="T241" s="20" t="n"/>
      <c r="U241" s="125" t="n"/>
    </row>
    <row r="242" hidden="1" outlineLevel="3">
      <c r="A242" s="8" t="n"/>
      <c r="B242" s="14" t="n"/>
      <c r="C242" s="125" t="n"/>
      <c r="D242" s="129" t="n"/>
      <c r="E242" s="23" t="n"/>
      <c r="F242" s="24" t="n"/>
      <c r="G242" s="24" t="n"/>
      <c r="H242" s="25" t="n"/>
      <c r="I242" s="125" t="n"/>
      <c r="J242" s="129" t="n"/>
      <c r="K242" s="23" t="n"/>
      <c r="L242" s="24" t="n"/>
      <c r="M242" s="24" t="n"/>
      <c r="N242" s="25" t="n"/>
      <c r="O242" s="125" t="n"/>
      <c r="P242" s="129" t="n"/>
      <c r="Q242" s="23" t="n"/>
      <c r="R242" s="24" t="n"/>
      <c r="S242" s="24" t="n"/>
      <c r="T242" s="25" t="n"/>
      <c r="U242" s="125" t="n"/>
    </row>
    <row r="243" hidden="1" outlineLevel="2">
      <c r="A243" s="8" t="n"/>
      <c r="B243" s="14" t="n"/>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row>
    <row r="244" hidden="1" outlineLevel="2">
      <c r="A244" s="8" t="n"/>
      <c r="B244" s="14" t="n"/>
      <c r="C244" s="125" t="n"/>
      <c r="D244" s="131" t="n">
        <v>1</v>
      </c>
      <c r="E244" s="120" t="n"/>
      <c r="F244" s="17" t="n"/>
      <c r="G244" s="132">
        <f>DADOS_AM!$GN$29</f>
        <v/>
      </c>
      <c r="H244" s="17" t="n"/>
      <c r="I244" s="125" t="n"/>
      <c r="J244" s="131" t="n">
        <v>1</v>
      </c>
      <c r="K244" s="120" t="n"/>
      <c r="L244" s="17" t="n"/>
      <c r="M244" s="132">
        <f>DADOS_AM!$GN$30</f>
        <v/>
      </c>
      <c r="N244" s="17" t="n"/>
      <c r="O244" s="125" t="n"/>
      <c r="P244" s="131" t="n">
        <v>1</v>
      </c>
      <c r="Q244" s="120" t="n"/>
      <c r="R244" s="17" t="n"/>
      <c r="S244" s="132">
        <f>DADOS_AM!$GN$31</f>
        <v/>
      </c>
      <c r="T244" s="17" t="n"/>
      <c r="U244" s="125" t="n"/>
    </row>
    <row r="245" hidden="1" outlineLevel="3">
      <c r="A245" s="8" t="n"/>
      <c r="B245" s="14" t="n"/>
      <c r="C245" s="125" t="n"/>
      <c r="D245" s="55" t="inlineStr">
        <is>
          <t>COMO É</t>
        </is>
      </c>
      <c r="E245" s="16" t="n"/>
      <c r="F245" s="16" t="n"/>
      <c r="G245" s="16" t="n"/>
      <c r="H245" s="17" t="n"/>
      <c r="I245" s="125" t="n"/>
      <c r="J245" s="55" t="inlineStr">
        <is>
          <t>COMO É</t>
        </is>
      </c>
      <c r="K245" s="16" t="n"/>
      <c r="L245" s="16" t="n"/>
      <c r="M245" s="16" t="n"/>
      <c r="N245" s="17" t="n"/>
      <c r="O245" s="125" t="n"/>
      <c r="P245" s="55" t="inlineStr">
        <is>
          <t>COMO É</t>
        </is>
      </c>
      <c r="Q245" s="16" t="n"/>
      <c r="R245" s="16" t="n"/>
      <c r="S245" s="16" t="n"/>
      <c r="T245" s="17" t="n"/>
      <c r="U245" s="125" t="n"/>
    </row>
    <row r="246" hidden="1" outlineLevel="3">
      <c r="A246" s="8" t="n"/>
      <c r="B246" s="14" t="n"/>
      <c r="C246" s="125" t="n"/>
      <c r="D246" s="121" t="n"/>
      <c r="E246" s="19" t="n"/>
      <c r="F246" s="19" t="n"/>
      <c r="G246" s="19" t="n"/>
      <c r="H246" s="20" t="n"/>
      <c r="I246" s="125" t="n"/>
      <c r="J246" s="121" t="n"/>
      <c r="K246" s="19" t="n"/>
      <c r="L246" s="19" t="n"/>
      <c r="M246" s="19" t="n"/>
      <c r="N246" s="20" t="n"/>
      <c r="O246" s="125" t="n"/>
      <c r="P246" s="121" t="n"/>
      <c r="Q246" s="19" t="n"/>
      <c r="R246" s="19" t="n"/>
      <c r="S246" s="19" t="n"/>
      <c r="T246" s="20" t="n"/>
      <c r="U246" s="125" t="n"/>
    </row>
    <row r="247" hidden="1" outlineLevel="3">
      <c r="A247" s="8" t="n"/>
      <c r="B247" s="14" t="n"/>
      <c r="C247" s="125" t="n"/>
      <c r="D247" s="21" t="n"/>
      <c r="H247" s="22" t="n"/>
      <c r="I247" s="125" t="n"/>
      <c r="J247" s="21" t="n"/>
      <c r="N247" s="22" t="n"/>
      <c r="O247" s="125" t="n"/>
      <c r="P247" s="21" t="n"/>
      <c r="T247" s="22" t="n"/>
      <c r="U247" s="125" t="n"/>
    </row>
    <row r="248" hidden="1" outlineLevel="3">
      <c r="A248" s="8" t="n"/>
      <c r="B248" s="14" t="n"/>
      <c r="C248" s="125" t="n"/>
      <c r="D248" s="21" t="n"/>
      <c r="H248" s="22" t="n"/>
      <c r="I248" s="125" t="n"/>
      <c r="J248" s="21" t="n"/>
      <c r="N248" s="22" t="n"/>
      <c r="O248" s="125" t="n"/>
      <c r="P248" s="21" t="n"/>
      <c r="T248" s="22" t="n"/>
      <c r="U248" s="125" t="n"/>
    </row>
    <row r="249" hidden="1" outlineLevel="3">
      <c r="A249" s="8" t="n"/>
      <c r="B249" s="14" t="n"/>
      <c r="C249" s="125" t="n"/>
      <c r="D249" s="21" t="n"/>
      <c r="H249" s="22" t="n"/>
      <c r="I249" s="125" t="n"/>
      <c r="J249" s="21" t="n"/>
      <c r="N249" s="22" t="n"/>
      <c r="O249" s="125" t="n"/>
      <c r="P249" s="21" t="n"/>
      <c r="T249" s="22" t="n"/>
      <c r="U249" s="125" t="n"/>
    </row>
    <row r="250" hidden="1" outlineLevel="3">
      <c r="A250" s="8" t="n"/>
      <c r="B250" s="14" t="n"/>
      <c r="C250" s="125" t="n"/>
      <c r="D250" s="23" t="n"/>
      <c r="E250" s="24" t="n"/>
      <c r="F250" s="24" t="n"/>
      <c r="G250" s="24" t="n"/>
      <c r="H250" s="25" t="n"/>
      <c r="I250" s="125" t="n"/>
      <c r="J250" s="23" t="n"/>
      <c r="K250" s="24" t="n"/>
      <c r="L250" s="24" t="n"/>
      <c r="M250" s="24" t="n"/>
      <c r="N250" s="25" t="n"/>
      <c r="O250" s="125" t="n"/>
      <c r="P250" s="23" t="n"/>
      <c r="Q250" s="24" t="n"/>
      <c r="R250" s="24" t="n"/>
      <c r="S250" s="24" t="n"/>
      <c r="T250" s="25" t="n"/>
      <c r="U250" s="125" t="n"/>
    </row>
    <row r="251" hidden="1" outlineLevel="2">
      <c r="A251" s="8" t="n"/>
      <c r="B251" s="14" t="n"/>
      <c r="C251" s="125" t="n"/>
      <c r="D251" s="89" t="inlineStr">
        <is>
          <t>Projétil</t>
        </is>
      </c>
      <c r="E251" s="68">
        <f>DADOS_AM!$GS$29</f>
        <v/>
      </c>
      <c r="F251" s="68">
        <f>DADOS_AM!$GP$29</f>
        <v/>
      </c>
      <c r="G251" s="89">
        <f>DADOS_AM!$GR$29</f>
        <v/>
      </c>
      <c r="H251" s="17" t="n"/>
      <c r="I251" s="125" t="n"/>
      <c r="J251" s="89" t="inlineStr">
        <is>
          <t>Projétil</t>
        </is>
      </c>
      <c r="K251" s="68">
        <f>DADOS_AM!$GS$30</f>
        <v/>
      </c>
      <c r="L251" s="68">
        <f>DADOS_AM!$GP$30</f>
        <v/>
      </c>
      <c r="M251" s="89">
        <f>DADOS_AM!$GR$30</f>
        <v/>
      </c>
      <c r="N251" s="17" t="n"/>
      <c r="O251" s="125" t="n"/>
      <c r="P251" s="89" t="inlineStr">
        <is>
          <t>Projétil</t>
        </is>
      </c>
      <c r="Q251" s="68">
        <f>DADOS_AM!$GS$31</f>
        <v/>
      </c>
      <c r="R251" s="68">
        <f>DADOS_AM!$GP$31</f>
        <v/>
      </c>
      <c r="S251" s="89">
        <f>DADOS_AM!$GR$31</f>
        <v/>
      </c>
      <c r="T251" s="17" t="n"/>
      <c r="U251" s="125" t="n"/>
    </row>
    <row r="252" hidden="1" outlineLevel="2">
      <c r="A252" s="8" t="n"/>
      <c r="B252" s="14" t="n"/>
      <c r="C252" s="125" t="n"/>
      <c r="D252" s="89">
        <f>DADOS_AM!$GQ$29</f>
        <v/>
      </c>
      <c r="E252" s="133">
        <f>DADOS_AM!$GX$29</f>
        <v/>
      </c>
      <c r="F252" s="16" t="n"/>
      <c r="G252" s="16" t="n"/>
      <c r="H252" s="17" t="n"/>
      <c r="I252" s="125" t="n"/>
      <c r="J252" s="89">
        <f>DADOS_AM!$GQ$30</f>
        <v/>
      </c>
      <c r="K252" s="133">
        <f>DADOS_AM!$GX$30</f>
        <v/>
      </c>
      <c r="L252" s="16" t="n"/>
      <c r="M252" s="16" t="n"/>
      <c r="N252" s="17" t="n"/>
      <c r="O252" s="125" t="n"/>
      <c r="P252" s="89">
        <f>DADOS_AM!$GQ$31</f>
        <v/>
      </c>
      <c r="Q252" s="133">
        <f>DADOS_AM!$GX$31</f>
        <v/>
      </c>
      <c r="R252" s="16" t="n"/>
      <c r="S252" s="16" t="n"/>
      <c r="T252" s="17" t="n"/>
      <c r="U252" s="125" t="n"/>
    </row>
    <row r="253" hidden="1" outlineLevel="3">
      <c r="A253" s="8" t="n"/>
      <c r="B253" s="14" t="n"/>
      <c r="C253" s="125" t="n"/>
      <c r="D253" s="55" t="inlineStr">
        <is>
          <t>MELHORIAS</t>
        </is>
      </c>
      <c r="E253" s="134" t="n"/>
      <c r="F253" s="17" t="n"/>
      <c r="G253" s="133">
        <f>DADOS_AM!$HA$29</f>
        <v/>
      </c>
      <c r="H253" s="17" t="n"/>
      <c r="I253" s="125" t="n"/>
      <c r="J253" s="55" t="inlineStr">
        <is>
          <t>MELHORIAS</t>
        </is>
      </c>
      <c r="K253" s="134" t="n"/>
      <c r="L253" s="17" t="n"/>
      <c r="M253" s="133">
        <f>DADOS_AM!$HA$30</f>
        <v/>
      </c>
      <c r="N253" s="17" t="n"/>
      <c r="O253" s="125" t="n"/>
      <c r="P253" s="55" t="inlineStr">
        <is>
          <t>MELHORIAS</t>
        </is>
      </c>
      <c r="Q253" s="134" t="n"/>
      <c r="R253" s="17" t="n"/>
      <c r="S253" s="133">
        <f>DADOS_AM!$HA$31</f>
        <v/>
      </c>
      <c r="T253" s="17" t="n"/>
      <c r="U253" s="125" t="n"/>
    </row>
    <row r="254" hidden="1" outlineLevel="3">
      <c r="A254" s="8" t="n"/>
      <c r="B254" s="14" t="n"/>
      <c r="C254" s="125" t="n"/>
      <c r="D254" s="135" t="n"/>
      <c r="E254" s="134" t="n"/>
      <c r="F254" s="17" t="n"/>
      <c r="G254" s="133">
        <f>DADOS_AM!$HB$29</f>
        <v/>
      </c>
      <c r="H254" s="17" t="n"/>
      <c r="I254" s="125" t="n"/>
      <c r="J254" s="135" t="n"/>
      <c r="K254" s="134" t="n"/>
      <c r="L254" s="17" t="n"/>
      <c r="M254" s="133">
        <f>DADOS_AM!$HB$30</f>
        <v/>
      </c>
      <c r="N254" s="17" t="n"/>
      <c r="O254" s="125" t="n"/>
      <c r="P254" s="135" t="n"/>
      <c r="Q254" s="134" t="n"/>
      <c r="R254" s="17" t="n"/>
      <c r="S254" s="133">
        <f>DADOS_AM!$HB$31</f>
        <v/>
      </c>
      <c r="T254" s="17" t="n"/>
      <c r="U254" s="125" t="n"/>
    </row>
    <row r="255" hidden="1" outlineLevel="3">
      <c r="A255" s="8" t="n"/>
      <c r="B255" s="14" t="n"/>
      <c r="C255" s="125" t="n"/>
      <c r="D255" s="135" t="n"/>
      <c r="E255" s="134" t="n"/>
      <c r="F255" s="17" t="n"/>
      <c r="G255" s="133">
        <f>DADOS_AM!$HC$29</f>
        <v/>
      </c>
      <c r="H255" s="17" t="n"/>
      <c r="I255" s="125" t="n"/>
      <c r="J255" s="135" t="n"/>
      <c r="K255" s="134" t="n"/>
      <c r="L255" s="17" t="n"/>
      <c r="M255" s="133">
        <f>DADOS_AM!$HC$30</f>
        <v/>
      </c>
      <c r="N255" s="17" t="n"/>
      <c r="O255" s="125" t="n"/>
      <c r="P255" s="135" t="n"/>
      <c r="Q255" s="134" t="n"/>
      <c r="R255" s="17" t="n"/>
      <c r="S255" s="133">
        <f>DADOS_AM!$HC$31</f>
        <v/>
      </c>
      <c r="T255" s="17" t="n"/>
      <c r="U255" s="125" t="n"/>
    </row>
    <row r="256" hidden="1" outlineLevel="3">
      <c r="A256" s="8" t="n"/>
      <c r="B256" s="14" t="n"/>
      <c r="C256" s="125" t="n"/>
      <c r="D256" s="129" t="n"/>
      <c r="E256" s="134" t="n"/>
      <c r="F256" s="17" t="n"/>
      <c r="G256" s="133">
        <f>DADOS_AM!$HD$29</f>
        <v/>
      </c>
      <c r="H256" s="17" t="n"/>
      <c r="I256" s="125" t="n"/>
      <c r="J256" s="129" t="n"/>
      <c r="K256" s="134" t="n"/>
      <c r="L256" s="17" t="n"/>
      <c r="M256" s="133">
        <f>DADOS_AM!$HD$30</f>
        <v/>
      </c>
      <c r="N256" s="17" t="n"/>
      <c r="O256" s="125" t="n"/>
      <c r="P256" s="129" t="n"/>
      <c r="Q256" s="134" t="n"/>
      <c r="R256" s="17" t="n"/>
      <c r="S256" s="133">
        <f>DADOS_AM!$HD$31</f>
        <v/>
      </c>
      <c r="T256" s="17" t="n"/>
      <c r="U256" s="125" t="n"/>
    </row>
    <row r="257" hidden="1" outlineLevel="3">
      <c r="A257" s="8" t="n"/>
      <c r="B257" s="14" t="n"/>
      <c r="C257" s="125" t="n"/>
      <c r="D257" s="55" t="inlineStr">
        <is>
          <t>RESTRIÇÕES</t>
        </is>
      </c>
      <c r="E257" s="134" t="n"/>
      <c r="F257" s="17" t="n"/>
      <c r="G257" s="133">
        <f>DADOS_AM!$HE$29</f>
        <v/>
      </c>
      <c r="H257" s="17" t="n"/>
      <c r="I257" s="125" t="n"/>
      <c r="J257" s="55" t="inlineStr">
        <is>
          <t>RESTRIÇÕES</t>
        </is>
      </c>
      <c r="K257" s="134" t="n"/>
      <c r="L257" s="17" t="n"/>
      <c r="M257" s="133">
        <f>DADOS_AM!$HE$30</f>
        <v/>
      </c>
      <c r="N257" s="17" t="n"/>
      <c r="O257" s="125" t="n"/>
      <c r="P257" s="55" t="inlineStr">
        <is>
          <t>RESTRIÇÕES</t>
        </is>
      </c>
      <c r="Q257" s="134" t="n"/>
      <c r="R257" s="17" t="n"/>
      <c r="S257" s="133">
        <f>DADOS_AM!$HE$31</f>
        <v/>
      </c>
      <c r="T257" s="17" t="n"/>
      <c r="U257" s="125" t="n"/>
    </row>
    <row r="258" hidden="1" outlineLevel="3">
      <c r="A258" s="8" t="n"/>
      <c r="B258" s="14" t="n"/>
      <c r="C258" s="125" t="n"/>
      <c r="D258" s="129" t="n"/>
      <c r="E258" s="134" t="n"/>
      <c r="F258" s="17" t="n"/>
      <c r="G258" s="133">
        <f>DADOS_AM!$HF$29</f>
        <v/>
      </c>
      <c r="H258" s="17" t="n"/>
      <c r="I258" s="125" t="n"/>
      <c r="J258" s="129" t="n"/>
      <c r="K258" s="134" t="n"/>
      <c r="L258" s="17" t="n"/>
      <c r="M258" s="133">
        <f>DADOS_AM!$HF$30</f>
        <v/>
      </c>
      <c r="N258" s="17" t="n"/>
      <c r="O258" s="125" t="n"/>
      <c r="P258" s="129" t="n"/>
      <c r="Q258" s="134" t="n"/>
      <c r="R258" s="17" t="n"/>
      <c r="S258" s="133">
        <f>DADOS_AM!$HF$31</f>
        <v/>
      </c>
      <c r="T258" s="17" t="n"/>
      <c r="U258" s="125" t="n"/>
    </row>
    <row r="259" hidden="1" outlineLevel="3">
      <c r="A259" s="8" t="n"/>
      <c r="B259" s="14" t="n"/>
      <c r="C259" s="125" t="n"/>
      <c r="D259" s="55" t="inlineStr">
        <is>
          <t>CONTA</t>
        </is>
      </c>
      <c r="E259" s="136">
        <f>DADOS_AM!$GY$29</f>
        <v/>
      </c>
      <c r="F259" s="16" t="n"/>
      <c r="G259" s="16" t="n"/>
      <c r="H259" s="17" t="n"/>
      <c r="I259" s="125" t="n"/>
      <c r="J259" s="55" t="inlineStr">
        <is>
          <t>CONTA</t>
        </is>
      </c>
      <c r="K259" s="136">
        <f>DADOS_AM!$GY$30</f>
        <v/>
      </c>
      <c r="L259" s="16" t="n"/>
      <c r="M259" s="16" t="n"/>
      <c r="N259" s="17" t="n"/>
      <c r="O259" s="125" t="n"/>
      <c r="P259" s="55" t="inlineStr">
        <is>
          <t>CONTA</t>
        </is>
      </c>
      <c r="Q259" s="136">
        <f>DADOS_AM!$GY$31</f>
        <v/>
      </c>
      <c r="R259" s="16" t="n"/>
      <c r="S259" s="16" t="n"/>
      <c r="T259" s="17" t="n"/>
      <c r="U259" s="125" t="n"/>
    </row>
    <row r="260" hidden="1" outlineLevel="3">
      <c r="A260" s="8" t="n"/>
      <c r="B260" s="14" t="n"/>
      <c r="C260" s="125" t="n"/>
      <c r="D260" s="55" t="inlineStr">
        <is>
          <t>AMPLIAR</t>
        </is>
      </c>
      <c r="E260" s="136">
        <f>DADOS_AM!$GZ$29</f>
        <v/>
      </c>
      <c r="F260" s="19" t="n"/>
      <c r="G260" s="19" t="n"/>
      <c r="H260" s="20" t="n"/>
      <c r="I260" s="125" t="n"/>
      <c r="J260" s="55" t="inlineStr">
        <is>
          <t>AMPLIAR</t>
        </is>
      </c>
      <c r="K260" s="136">
        <f>DADOS_AM!$GZ$30</f>
        <v/>
      </c>
      <c r="L260" s="19" t="n"/>
      <c r="M260" s="19" t="n"/>
      <c r="N260" s="20" t="n"/>
      <c r="O260" s="125" t="n"/>
      <c r="P260" s="55" t="inlineStr">
        <is>
          <t>AMPLIAR</t>
        </is>
      </c>
      <c r="Q260" s="136">
        <f>DADOS_AM!$GZ$31</f>
        <v/>
      </c>
      <c r="R260" s="19" t="n"/>
      <c r="S260" s="19" t="n"/>
      <c r="T260" s="20" t="n"/>
      <c r="U260" s="125" t="n"/>
    </row>
    <row r="261" hidden="1" outlineLevel="3">
      <c r="A261" s="8" t="n"/>
      <c r="B261" s="14" t="n"/>
      <c r="C261" s="125" t="n"/>
      <c r="D261" s="129" t="n"/>
      <c r="E261" s="23" t="n"/>
      <c r="F261" s="24" t="n"/>
      <c r="G261" s="24" t="n"/>
      <c r="H261" s="25" t="n"/>
      <c r="I261" s="125" t="n"/>
      <c r="J261" s="129" t="n"/>
      <c r="K261" s="23" t="n"/>
      <c r="L261" s="24" t="n"/>
      <c r="M261" s="24" t="n"/>
      <c r="N261" s="25" t="n"/>
      <c r="O261" s="125" t="n"/>
      <c r="P261" s="129" t="n"/>
      <c r="Q261" s="23" t="n"/>
      <c r="R261" s="24" t="n"/>
      <c r="S261" s="24" t="n"/>
      <c r="T261" s="25" t="n"/>
      <c r="U261" s="125" t="n"/>
    </row>
    <row r="262" hidden="1" outlineLevel="3">
      <c r="A262" s="8" t="n"/>
      <c r="B262" s="14" t="n"/>
      <c r="C262" s="125" t="n"/>
      <c r="D262" s="55" t="inlineStr">
        <is>
          <t>AVISOS</t>
        </is>
      </c>
      <c r="E262" s="136">
        <f>DADOS_AM!$GO$29</f>
        <v/>
      </c>
      <c r="F262" s="19" t="n"/>
      <c r="G262" s="19" t="n"/>
      <c r="H262" s="20" t="n"/>
      <c r="I262" s="125" t="n"/>
      <c r="J262" s="55" t="inlineStr">
        <is>
          <t>AVISOS</t>
        </is>
      </c>
      <c r="K262" s="136">
        <f>DADOS_AM!$GO$30</f>
        <v/>
      </c>
      <c r="L262" s="19" t="n"/>
      <c r="M262" s="19" t="n"/>
      <c r="N262" s="20" t="n"/>
      <c r="O262" s="125" t="n"/>
      <c r="P262" s="55" t="inlineStr">
        <is>
          <t>AVISOS</t>
        </is>
      </c>
      <c r="Q262" s="136">
        <f>DADOS_AM!$GO$31</f>
        <v/>
      </c>
      <c r="R262" s="19" t="n"/>
      <c r="S262" s="19" t="n"/>
      <c r="T262" s="20" t="n"/>
      <c r="U262" s="125" t="n"/>
    </row>
    <row r="263" hidden="1" outlineLevel="3">
      <c r="A263" s="8" t="n"/>
      <c r="B263" s="14" t="n"/>
      <c r="C263" s="125" t="n"/>
      <c r="D263" s="129" t="n"/>
      <c r="E263" s="23" t="n"/>
      <c r="F263" s="24" t="n"/>
      <c r="G263" s="24" t="n"/>
      <c r="H263" s="25" t="n"/>
      <c r="I263" s="125" t="n"/>
      <c r="J263" s="129" t="n"/>
      <c r="K263" s="23" t="n"/>
      <c r="L263" s="24" t="n"/>
      <c r="M263" s="24" t="n"/>
      <c r="N263" s="25" t="n"/>
      <c r="O263" s="125" t="n"/>
      <c r="P263" s="129" t="n"/>
      <c r="Q263" s="23" t="n"/>
      <c r="R263" s="24" t="n"/>
      <c r="S263" s="24" t="n"/>
      <c r="T263" s="25" t="n"/>
      <c r="U263" s="125" t="n"/>
    </row>
    <row r="264" hidden="1" outlineLevel="2">
      <c r="A264" s="8" t="n"/>
      <c r="B264" s="14" t="n"/>
      <c r="C264" s="125" t="n"/>
      <c r="D264" s="125" t="n"/>
      <c r="E264" s="125" t="n"/>
      <c r="F264" s="125" t="n"/>
      <c r="G264" s="125" t="n"/>
      <c r="H264" s="125" t="n"/>
      <c r="I264" s="125" t="n"/>
      <c r="J264" s="125" t="n"/>
      <c r="K264" s="125" t="n"/>
      <c r="L264" s="125" t="n"/>
      <c r="M264" s="125" t="n"/>
      <c r="N264" s="125" t="n"/>
      <c r="O264" s="125" t="n"/>
      <c r="P264" s="125" t="n"/>
      <c r="Q264" s="125" t="n"/>
      <c r="R264" s="125" t="n"/>
      <c r="S264" s="125" t="n"/>
      <c r="T264" s="125" t="n"/>
      <c r="U264" s="125" t="n"/>
    </row>
    <row r="265" hidden="1" outlineLevel="2">
      <c r="A265" s="8" t="n"/>
      <c r="B265" s="14" t="n"/>
      <c r="C265" s="125" t="n"/>
      <c r="D265" s="131" t="n">
        <v>1</v>
      </c>
      <c r="E265" s="120" t="n"/>
      <c r="F265" s="17" t="n"/>
      <c r="G265" s="132">
        <f>DADOS_AM!$GN$32</f>
        <v/>
      </c>
      <c r="H265" s="17" t="n"/>
      <c r="I265" s="125" t="n"/>
      <c r="J265" s="131" t="n">
        <v>1</v>
      </c>
      <c r="K265" s="120" t="n"/>
      <c r="L265" s="17" t="n"/>
      <c r="M265" s="132">
        <f>DADOS_AM!$GN$33</f>
        <v/>
      </c>
      <c r="N265" s="17" t="n"/>
      <c r="O265" s="125" t="n"/>
      <c r="P265" s="131" t="n">
        <v>1</v>
      </c>
      <c r="Q265" s="120" t="n"/>
      <c r="R265" s="17" t="n"/>
      <c r="S265" s="132">
        <f>DADOS_AM!$GN$34</f>
        <v/>
      </c>
      <c r="T265" s="17" t="n"/>
      <c r="U265" s="125" t="n"/>
    </row>
    <row r="266" hidden="1" outlineLevel="3">
      <c r="A266" s="8" t="n"/>
      <c r="B266" s="14" t="n"/>
      <c r="C266" s="125" t="n"/>
      <c r="D266" s="55" t="inlineStr">
        <is>
          <t>COMO É</t>
        </is>
      </c>
      <c r="E266" s="16" t="n"/>
      <c r="F266" s="16" t="n"/>
      <c r="G266" s="16" t="n"/>
      <c r="H266" s="17" t="n"/>
      <c r="I266" s="125" t="n"/>
      <c r="J266" s="55" t="inlineStr">
        <is>
          <t>COMO É</t>
        </is>
      </c>
      <c r="K266" s="16" t="n"/>
      <c r="L266" s="16" t="n"/>
      <c r="M266" s="16" t="n"/>
      <c r="N266" s="17" t="n"/>
      <c r="O266" s="125" t="n"/>
      <c r="P266" s="55" t="inlineStr">
        <is>
          <t>COMO É</t>
        </is>
      </c>
      <c r="Q266" s="16" t="n"/>
      <c r="R266" s="16" t="n"/>
      <c r="S266" s="16" t="n"/>
      <c r="T266" s="17" t="n"/>
      <c r="U266" s="125" t="n"/>
    </row>
    <row r="267" hidden="1" outlineLevel="3">
      <c r="A267" s="8" t="n"/>
      <c r="B267" s="14" t="n"/>
      <c r="C267" s="125" t="n"/>
      <c r="D267" s="121" t="n"/>
      <c r="E267" s="19" t="n"/>
      <c r="F267" s="19" t="n"/>
      <c r="G267" s="19" t="n"/>
      <c r="H267" s="20" t="n"/>
      <c r="I267" s="125" t="n"/>
      <c r="J267" s="121" t="n"/>
      <c r="K267" s="19" t="n"/>
      <c r="L267" s="19" t="n"/>
      <c r="M267" s="19" t="n"/>
      <c r="N267" s="20" t="n"/>
      <c r="O267" s="125" t="n"/>
      <c r="P267" s="121" t="n"/>
      <c r="Q267" s="19" t="n"/>
      <c r="R267" s="19" t="n"/>
      <c r="S267" s="19" t="n"/>
      <c r="T267" s="20" t="n"/>
      <c r="U267" s="125" t="n"/>
    </row>
    <row r="268" hidden="1" outlineLevel="3">
      <c r="A268" s="8" t="n"/>
      <c r="B268" s="14" t="n"/>
      <c r="C268" s="125" t="n"/>
      <c r="D268" s="21" t="n"/>
      <c r="H268" s="22" t="n"/>
      <c r="I268" s="125" t="n"/>
      <c r="J268" s="21" t="n"/>
      <c r="N268" s="22" t="n"/>
      <c r="O268" s="125" t="n"/>
      <c r="P268" s="21" t="n"/>
      <c r="T268" s="22" t="n"/>
      <c r="U268" s="125" t="n"/>
    </row>
    <row r="269" hidden="1" outlineLevel="3">
      <c r="A269" s="8" t="n"/>
      <c r="B269" s="14" t="n"/>
      <c r="C269" s="125" t="n"/>
      <c r="D269" s="21" t="n"/>
      <c r="H269" s="22" t="n"/>
      <c r="I269" s="125" t="n"/>
      <c r="J269" s="21" t="n"/>
      <c r="N269" s="22" t="n"/>
      <c r="O269" s="125" t="n"/>
      <c r="P269" s="21" t="n"/>
      <c r="T269" s="22" t="n"/>
      <c r="U269" s="125" t="n"/>
    </row>
    <row r="270" hidden="1" outlineLevel="3">
      <c r="A270" s="8" t="n"/>
      <c r="B270" s="14" t="n"/>
      <c r="C270" s="125" t="n"/>
      <c r="D270" s="21" t="n"/>
      <c r="H270" s="22" t="n"/>
      <c r="I270" s="125" t="n"/>
      <c r="J270" s="21" t="n"/>
      <c r="N270" s="22" t="n"/>
      <c r="O270" s="125" t="n"/>
      <c r="P270" s="21" t="n"/>
      <c r="T270" s="22" t="n"/>
      <c r="U270" s="125" t="n"/>
    </row>
    <row r="271" hidden="1" outlineLevel="3">
      <c r="A271" s="8" t="n"/>
      <c r="B271" s="14" t="n"/>
      <c r="C271" s="125" t="n"/>
      <c r="D271" s="23" t="n"/>
      <c r="E271" s="24" t="n"/>
      <c r="F271" s="24" t="n"/>
      <c r="G271" s="24" t="n"/>
      <c r="H271" s="25" t="n"/>
      <c r="I271" s="125" t="n"/>
      <c r="J271" s="23" t="n"/>
      <c r="K271" s="24" t="n"/>
      <c r="L271" s="24" t="n"/>
      <c r="M271" s="24" t="n"/>
      <c r="N271" s="25" t="n"/>
      <c r="O271" s="125" t="n"/>
      <c r="P271" s="23" t="n"/>
      <c r="Q271" s="24" t="n"/>
      <c r="R271" s="24" t="n"/>
      <c r="S271" s="24" t="n"/>
      <c r="T271" s="25" t="n"/>
      <c r="U271" s="125" t="n"/>
    </row>
    <row r="272" hidden="1" outlineLevel="2">
      <c r="A272" s="8" t="n"/>
      <c r="B272" s="14" t="n"/>
      <c r="C272" s="125" t="n"/>
      <c r="D272" s="89" t="inlineStr">
        <is>
          <t>Projétil</t>
        </is>
      </c>
      <c r="E272" s="68">
        <f>DADOS_AM!$GS$32</f>
        <v/>
      </c>
      <c r="F272" s="68">
        <f>DADOS_AM!$GP$32</f>
        <v/>
      </c>
      <c r="G272" s="89">
        <f>DADOS_AM!$GR$32</f>
        <v/>
      </c>
      <c r="H272" s="17" t="n"/>
      <c r="I272" s="125" t="n"/>
      <c r="J272" s="89" t="inlineStr">
        <is>
          <t>Projétil</t>
        </is>
      </c>
      <c r="K272" s="68">
        <f>DADOS_AM!$GS$33</f>
        <v/>
      </c>
      <c r="L272" s="68">
        <f>DADOS_AM!$GP$33</f>
        <v/>
      </c>
      <c r="M272" s="89">
        <f>DADOS_AM!$GR$33</f>
        <v/>
      </c>
      <c r="N272" s="17" t="n"/>
      <c r="O272" s="125" t="n"/>
      <c r="P272" s="89" t="inlineStr">
        <is>
          <t>Projétil</t>
        </is>
      </c>
      <c r="Q272" s="68">
        <f>DADOS_AM!$GS$34</f>
        <v/>
      </c>
      <c r="R272" s="68">
        <f>DADOS_AM!$GP$34</f>
        <v/>
      </c>
      <c r="S272" s="89">
        <f>DADOS_AM!$GR$34</f>
        <v/>
      </c>
      <c r="T272" s="17" t="n"/>
      <c r="U272" s="125" t="n"/>
    </row>
    <row r="273" hidden="1" outlineLevel="2">
      <c r="A273" s="8" t="n"/>
      <c r="B273" s="14" t="n"/>
      <c r="C273" s="125" t="n"/>
      <c r="D273" s="89">
        <f>DADOS_AM!$GQ$32</f>
        <v/>
      </c>
      <c r="E273" s="133">
        <f>DADOS_AM!$GX$32</f>
        <v/>
      </c>
      <c r="F273" s="16" t="n"/>
      <c r="G273" s="16" t="n"/>
      <c r="H273" s="17" t="n"/>
      <c r="I273" s="125" t="n"/>
      <c r="J273" s="89">
        <f>DADOS_AM!$GQ$33</f>
        <v/>
      </c>
      <c r="K273" s="133">
        <f>DADOS_AM!$GX$33</f>
        <v/>
      </c>
      <c r="L273" s="16" t="n"/>
      <c r="M273" s="16" t="n"/>
      <c r="N273" s="17" t="n"/>
      <c r="O273" s="125" t="n"/>
      <c r="P273" s="89">
        <f>DADOS_AM!$GQ$34</f>
        <v/>
      </c>
      <c r="Q273" s="133">
        <f>DADOS_AM!$GX$34</f>
        <v/>
      </c>
      <c r="R273" s="16" t="n"/>
      <c r="S273" s="16" t="n"/>
      <c r="T273" s="17" t="n"/>
      <c r="U273" s="125" t="n"/>
    </row>
    <row r="274" hidden="1" outlineLevel="3">
      <c r="A274" s="8" t="n"/>
      <c r="B274" s="14" t="n"/>
      <c r="C274" s="125" t="n"/>
      <c r="D274" s="55" t="inlineStr">
        <is>
          <t>MELHORIAS</t>
        </is>
      </c>
      <c r="E274" s="134" t="n"/>
      <c r="F274" s="17" t="n"/>
      <c r="G274" s="133">
        <f>DADOS_AM!$HA$32</f>
        <v/>
      </c>
      <c r="H274" s="17" t="n"/>
      <c r="I274" s="125" t="n"/>
      <c r="J274" s="55" t="inlineStr">
        <is>
          <t>MELHORIAS</t>
        </is>
      </c>
      <c r="K274" s="134" t="n"/>
      <c r="L274" s="17" t="n"/>
      <c r="M274" s="133">
        <f>DADOS_AM!$HA$33</f>
        <v/>
      </c>
      <c r="N274" s="17" t="n"/>
      <c r="O274" s="125" t="n"/>
      <c r="P274" s="55" t="inlineStr">
        <is>
          <t>MELHORIAS</t>
        </is>
      </c>
      <c r="Q274" s="134" t="n"/>
      <c r="R274" s="17" t="n"/>
      <c r="S274" s="133">
        <f>DADOS_AM!$HA$34</f>
        <v/>
      </c>
      <c r="T274" s="17" t="n"/>
      <c r="U274" s="125" t="n"/>
    </row>
    <row r="275" hidden="1" outlineLevel="3">
      <c r="A275" s="8" t="n"/>
      <c r="B275" s="14" t="n"/>
      <c r="C275" s="125" t="n"/>
      <c r="D275" s="135" t="n"/>
      <c r="E275" s="134" t="n"/>
      <c r="F275" s="17" t="n"/>
      <c r="G275" s="133">
        <f>DADOS_AM!$HB$32</f>
        <v/>
      </c>
      <c r="H275" s="17" t="n"/>
      <c r="I275" s="125" t="n"/>
      <c r="J275" s="135" t="n"/>
      <c r="K275" s="134" t="n"/>
      <c r="L275" s="17" t="n"/>
      <c r="M275" s="133">
        <f>DADOS_AM!$HB$33</f>
        <v/>
      </c>
      <c r="N275" s="17" t="n"/>
      <c r="O275" s="125" t="n"/>
      <c r="P275" s="135" t="n"/>
      <c r="Q275" s="134" t="n"/>
      <c r="R275" s="17" t="n"/>
      <c r="S275" s="133">
        <f>DADOS_AM!$HB$34</f>
        <v/>
      </c>
      <c r="T275" s="17" t="n"/>
      <c r="U275" s="125" t="n"/>
    </row>
    <row r="276" hidden="1" outlineLevel="3">
      <c r="A276" s="8" t="n"/>
      <c r="B276" s="14" t="n"/>
      <c r="C276" s="125" t="n"/>
      <c r="D276" s="135" t="n"/>
      <c r="E276" s="134" t="n"/>
      <c r="F276" s="17" t="n"/>
      <c r="G276" s="133">
        <f>DADOS_AM!$HC$32</f>
        <v/>
      </c>
      <c r="H276" s="17" t="n"/>
      <c r="I276" s="125" t="n"/>
      <c r="J276" s="135" t="n"/>
      <c r="K276" s="134" t="n"/>
      <c r="L276" s="17" t="n"/>
      <c r="M276" s="133">
        <f>DADOS_AM!$HC$33</f>
        <v/>
      </c>
      <c r="N276" s="17" t="n"/>
      <c r="O276" s="125" t="n"/>
      <c r="P276" s="135" t="n"/>
      <c r="Q276" s="134" t="n"/>
      <c r="R276" s="17" t="n"/>
      <c r="S276" s="133">
        <f>DADOS_AM!$HC$34</f>
        <v/>
      </c>
      <c r="T276" s="17" t="n"/>
      <c r="U276" s="125" t="n"/>
    </row>
    <row r="277" hidden="1" outlineLevel="3">
      <c r="A277" s="8" t="n"/>
      <c r="B277" s="14" t="n"/>
      <c r="C277" s="125" t="n"/>
      <c r="D277" s="129" t="n"/>
      <c r="E277" s="134" t="n"/>
      <c r="F277" s="17" t="n"/>
      <c r="G277" s="133">
        <f>DADOS_AM!$HD$32</f>
        <v/>
      </c>
      <c r="H277" s="17" t="n"/>
      <c r="I277" s="125" t="n"/>
      <c r="J277" s="129" t="n"/>
      <c r="K277" s="134" t="n"/>
      <c r="L277" s="17" t="n"/>
      <c r="M277" s="133">
        <f>DADOS_AM!$HD$33</f>
        <v/>
      </c>
      <c r="N277" s="17" t="n"/>
      <c r="O277" s="125" t="n"/>
      <c r="P277" s="129" t="n"/>
      <c r="Q277" s="134" t="n"/>
      <c r="R277" s="17" t="n"/>
      <c r="S277" s="133">
        <f>DADOS_AM!$HD$34</f>
        <v/>
      </c>
      <c r="T277" s="17" t="n"/>
      <c r="U277" s="125" t="n"/>
    </row>
    <row r="278" hidden="1" outlineLevel="3">
      <c r="A278" s="8" t="n"/>
      <c r="B278" s="14" t="n"/>
      <c r="C278" s="125" t="n"/>
      <c r="D278" s="55" t="inlineStr">
        <is>
          <t>RESTRIÇÕES</t>
        </is>
      </c>
      <c r="E278" s="134" t="n"/>
      <c r="F278" s="17" t="n"/>
      <c r="G278" s="133">
        <f>DADOS_AM!$HE$32</f>
        <v/>
      </c>
      <c r="H278" s="17" t="n"/>
      <c r="I278" s="125" t="n"/>
      <c r="J278" s="55" t="inlineStr">
        <is>
          <t>RESTRIÇÕES</t>
        </is>
      </c>
      <c r="K278" s="134" t="n"/>
      <c r="L278" s="17" t="n"/>
      <c r="M278" s="133">
        <f>DADOS_AM!$HE$33</f>
        <v/>
      </c>
      <c r="N278" s="17" t="n"/>
      <c r="O278" s="125" t="n"/>
      <c r="P278" s="55" t="inlineStr">
        <is>
          <t>RESTRIÇÕES</t>
        </is>
      </c>
      <c r="Q278" s="134" t="n"/>
      <c r="R278" s="17" t="n"/>
      <c r="S278" s="133">
        <f>DADOS_AM!$HE$34</f>
        <v/>
      </c>
      <c r="T278" s="17" t="n"/>
      <c r="U278" s="125" t="n"/>
    </row>
    <row r="279" hidden="1" outlineLevel="3">
      <c r="A279" s="8" t="n"/>
      <c r="B279" s="14" t="n"/>
      <c r="C279" s="125" t="n"/>
      <c r="D279" s="129" t="n"/>
      <c r="E279" s="134" t="n"/>
      <c r="F279" s="17" t="n"/>
      <c r="G279" s="133">
        <f>DADOS_AM!$HF$32</f>
        <v/>
      </c>
      <c r="H279" s="17" t="n"/>
      <c r="I279" s="125" t="n"/>
      <c r="J279" s="129" t="n"/>
      <c r="K279" s="134" t="n"/>
      <c r="L279" s="17" t="n"/>
      <c r="M279" s="133">
        <f>DADOS_AM!$HF$33</f>
        <v/>
      </c>
      <c r="N279" s="17" t="n"/>
      <c r="O279" s="125" t="n"/>
      <c r="P279" s="129" t="n"/>
      <c r="Q279" s="134" t="n"/>
      <c r="R279" s="17" t="n"/>
      <c r="S279" s="133">
        <f>DADOS_AM!$HF$34</f>
        <v/>
      </c>
      <c r="T279" s="17" t="n"/>
      <c r="U279" s="125" t="n"/>
    </row>
    <row r="280" hidden="1" outlineLevel="3">
      <c r="A280" s="8" t="n"/>
      <c r="B280" s="14" t="n"/>
      <c r="C280" s="125" t="n"/>
      <c r="D280" s="55" t="inlineStr">
        <is>
          <t>CONTA</t>
        </is>
      </c>
      <c r="E280" s="136">
        <f>DADOS_AM!$GY$32</f>
        <v/>
      </c>
      <c r="F280" s="16" t="n"/>
      <c r="G280" s="16" t="n"/>
      <c r="H280" s="17" t="n"/>
      <c r="I280" s="125" t="n"/>
      <c r="J280" s="55" t="inlineStr">
        <is>
          <t>CONTA</t>
        </is>
      </c>
      <c r="K280" s="136">
        <f>DADOS_AM!$GY$33</f>
        <v/>
      </c>
      <c r="L280" s="16" t="n"/>
      <c r="M280" s="16" t="n"/>
      <c r="N280" s="17" t="n"/>
      <c r="O280" s="125" t="n"/>
      <c r="P280" s="55" t="inlineStr">
        <is>
          <t>CONTA</t>
        </is>
      </c>
      <c r="Q280" s="136">
        <f>DADOS_AM!$GY$34</f>
        <v/>
      </c>
      <c r="R280" s="16" t="n"/>
      <c r="S280" s="16" t="n"/>
      <c r="T280" s="17" t="n"/>
      <c r="U280" s="125" t="n"/>
    </row>
    <row r="281" hidden="1" outlineLevel="3">
      <c r="A281" s="8" t="n"/>
      <c r="B281" s="14" t="n"/>
      <c r="C281" s="125" t="n"/>
      <c r="D281" s="55" t="inlineStr">
        <is>
          <t>AMPLIAR</t>
        </is>
      </c>
      <c r="E281" s="136">
        <f>DADOS_AM!$GZ$32</f>
        <v/>
      </c>
      <c r="F281" s="19" t="n"/>
      <c r="G281" s="19" t="n"/>
      <c r="H281" s="20" t="n"/>
      <c r="I281" s="125" t="n"/>
      <c r="J281" s="55" t="inlineStr">
        <is>
          <t>AMPLIAR</t>
        </is>
      </c>
      <c r="K281" s="136">
        <f>DADOS_AM!$GZ$33</f>
        <v/>
      </c>
      <c r="L281" s="19" t="n"/>
      <c r="M281" s="19" t="n"/>
      <c r="N281" s="20" t="n"/>
      <c r="O281" s="125" t="n"/>
      <c r="P281" s="55" t="inlineStr">
        <is>
          <t>AMPLIAR</t>
        </is>
      </c>
      <c r="Q281" s="136">
        <f>DADOS_AM!$GZ$34</f>
        <v/>
      </c>
      <c r="R281" s="19" t="n"/>
      <c r="S281" s="19" t="n"/>
      <c r="T281" s="20" t="n"/>
      <c r="U281" s="125" t="n"/>
    </row>
    <row r="282" hidden="1" outlineLevel="3">
      <c r="A282" s="8" t="n"/>
      <c r="B282" s="14" t="n"/>
      <c r="C282" s="125" t="n"/>
      <c r="D282" s="129" t="n"/>
      <c r="E282" s="23" t="n"/>
      <c r="F282" s="24" t="n"/>
      <c r="G282" s="24" t="n"/>
      <c r="H282" s="25" t="n"/>
      <c r="I282" s="125" t="n"/>
      <c r="J282" s="129" t="n"/>
      <c r="K282" s="23" t="n"/>
      <c r="L282" s="24" t="n"/>
      <c r="M282" s="24" t="n"/>
      <c r="N282" s="25" t="n"/>
      <c r="O282" s="125" t="n"/>
      <c r="P282" s="129" t="n"/>
      <c r="Q282" s="23" t="n"/>
      <c r="R282" s="24" t="n"/>
      <c r="S282" s="24" t="n"/>
      <c r="T282" s="25" t="n"/>
      <c r="U282" s="125" t="n"/>
    </row>
    <row r="283" hidden="1" outlineLevel="3">
      <c r="A283" s="8" t="n"/>
      <c r="B283" s="14" t="n"/>
      <c r="C283" s="125" t="n"/>
      <c r="D283" s="55" t="inlineStr">
        <is>
          <t>AVISOS</t>
        </is>
      </c>
      <c r="E283" s="136">
        <f>DADOS_AM!$GO$32</f>
        <v/>
      </c>
      <c r="F283" s="19" t="n"/>
      <c r="G283" s="19" t="n"/>
      <c r="H283" s="20" t="n"/>
      <c r="I283" s="125" t="n"/>
      <c r="J283" s="55" t="inlineStr">
        <is>
          <t>AVISOS</t>
        </is>
      </c>
      <c r="K283" s="136">
        <f>DADOS_AM!$GO$33</f>
        <v/>
      </c>
      <c r="L283" s="19" t="n"/>
      <c r="M283" s="19" t="n"/>
      <c r="N283" s="20" t="n"/>
      <c r="O283" s="125" t="n"/>
      <c r="P283" s="55" t="inlineStr">
        <is>
          <t>AVISOS</t>
        </is>
      </c>
      <c r="Q283" s="136">
        <f>DADOS_AM!$GO$34</f>
        <v/>
      </c>
      <c r="R283" s="19" t="n"/>
      <c r="S283" s="19" t="n"/>
      <c r="T283" s="20" t="n"/>
      <c r="U283" s="125" t="n"/>
    </row>
    <row r="284" hidden="1" outlineLevel="3">
      <c r="A284" s="8" t="n"/>
      <c r="B284" s="14" t="n"/>
      <c r="C284" s="125" t="n"/>
      <c r="D284" s="129" t="n"/>
      <c r="E284" s="23" t="n"/>
      <c r="F284" s="24" t="n"/>
      <c r="G284" s="24" t="n"/>
      <c r="H284" s="25" t="n"/>
      <c r="I284" s="125" t="n"/>
      <c r="J284" s="129" t="n"/>
      <c r="K284" s="23" t="n"/>
      <c r="L284" s="24" t="n"/>
      <c r="M284" s="24" t="n"/>
      <c r="N284" s="25" t="n"/>
      <c r="O284" s="125" t="n"/>
      <c r="P284" s="129" t="n"/>
      <c r="Q284" s="23" t="n"/>
      <c r="R284" s="24" t="n"/>
      <c r="S284" s="24" t="n"/>
      <c r="T284" s="25" t="n"/>
      <c r="U284" s="125" t="n"/>
    </row>
    <row r="285" hidden="1" outlineLevel="2">
      <c r="A285" s="8" t="n"/>
      <c r="B285" s="14" t="n"/>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row>
    <row r="286" hidden="1" outlineLevel="2">
      <c r="A286" s="8" t="n"/>
      <c r="B286" s="14" t="n"/>
      <c r="C286" s="125" t="n"/>
      <c r="D286" s="131" t="n">
        <v>1</v>
      </c>
      <c r="E286" s="120" t="n"/>
      <c r="F286" s="17" t="n"/>
      <c r="G286" s="132">
        <f>DADOS_AM!$GN$35</f>
        <v/>
      </c>
      <c r="H286" s="17" t="n"/>
      <c r="I286" s="125" t="n"/>
      <c r="J286" s="131" t="n">
        <v>1</v>
      </c>
      <c r="K286" s="120" t="n"/>
      <c r="L286" s="17" t="n"/>
      <c r="M286" s="132">
        <f>DADOS_AM!$GN$36</f>
        <v/>
      </c>
      <c r="N286" s="17" t="n"/>
      <c r="O286" s="125" t="n"/>
      <c r="P286" s="131" t="n">
        <v>1</v>
      </c>
      <c r="Q286" s="120" t="n"/>
      <c r="R286" s="17" t="n"/>
      <c r="S286" s="132">
        <f>DADOS_AM!$GN$37</f>
        <v/>
      </c>
      <c r="T286" s="17" t="n"/>
      <c r="U286" s="125" t="n"/>
    </row>
    <row r="287" hidden="1" outlineLevel="3">
      <c r="A287" s="8" t="n"/>
      <c r="B287" s="14" t="n"/>
      <c r="C287" s="125" t="n"/>
      <c r="D287" s="55" t="inlineStr">
        <is>
          <t>COMO É</t>
        </is>
      </c>
      <c r="E287" s="16" t="n"/>
      <c r="F287" s="16" t="n"/>
      <c r="G287" s="16" t="n"/>
      <c r="H287" s="17" t="n"/>
      <c r="I287" s="125" t="n"/>
      <c r="J287" s="55" t="inlineStr">
        <is>
          <t>COMO É</t>
        </is>
      </c>
      <c r="K287" s="16" t="n"/>
      <c r="L287" s="16" t="n"/>
      <c r="M287" s="16" t="n"/>
      <c r="N287" s="17" t="n"/>
      <c r="O287" s="125" t="n"/>
      <c r="P287" s="55" t="inlineStr">
        <is>
          <t>COMO É</t>
        </is>
      </c>
      <c r="Q287" s="16" t="n"/>
      <c r="R287" s="16" t="n"/>
      <c r="S287" s="16" t="n"/>
      <c r="T287" s="17" t="n"/>
      <c r="U287" s="125" t="n"/>
    </row>
    <row r="288" hidden="1" outlineLevel="3">
      <c r="A288" s="8" t="n"/>
      <c r="B288" s="14" t="n"/>
      <c r="C288" s="125" t="n"/>
      <c r="D288" s="121" t="n"/>
      <c r="E288" s="19" t="n"/>
      <c r="F288" s="19" t="n"/>
      <c r="G288" s="19" t="n"/>
      <c r="H288" s="20" t="n"/>
      <c r="I288" s="125" t="n"/>
      <c r="J288" s="121" t="n"/>
      <c r="K288" s="19" t="n"/>
      <c r="L288" s="19" t="n"/>
      <c r="M288" s="19" t="n"/>
      <c r="N288" s="20" t="n"/>
      <c r="O288" s="125" t="n"/>
      <c r="P288" s="121" t="n"/>
      <c r="Q288" s="19" t="n"/>
      <c r="R288" s="19" t="n"/>
      <c r="S288" s="19" t="n"/>
      <c r="T288" s="20" t="n"/>
      <c r="U288" s="125" t="n"/>
    </row>
    <row r="289" hidden="1" outlineLevel="3">
      <c r="A289" s="8" t="n"/>
      <c r="B289" s="14" t="n"/>
      <c r="C289" s="125" t="n"/>
      <c r="D289" s="21" t="n"/>
      <c r="H289" s="22" t="n"/>
      <c r="I289" s="125" t="n"/>
      <c r="J289" s="21" t="n"/>
      <c r="N289" s="22" t="n"/>
      <c r="O289" s="125" t="n"/>
      <c r="P289" s="21" t="n"/>
      <c r="T289" s="22" t="n"/>
      <c r="U289" s="125" t="n"/>
    </row>
    <row r="290" hidden="1" outlineLevel="3">
      <c r="A290" s="8" t="n"/>
      <c r="B290" s="14" t="n"/>
      <c r="C290" s="125" t="n"/>
      <c r="D290" s="21" t="n"/>
      <c r="H290" s="22" t="n"/>
      <c r="I290" s="125" t="n"/>
      <c r="J290" s="21" t="n"/>
      <c r="N290" s="22" t="n"/>
      <c r="O290" s="125" t="n"/>
      <c r="P290" s="21" t="n"/>
      <c r="T290" s="22" t="n"/>
      <c r="U290" s="125" t="n"/>
    </row>
    <row r="291" hidden="1" outlineLevel="3">
      <c r="A291" s="8" t="n"/>
      <c r="B291" s="14" t="n"/>
      <c r="C291" s="125" t="n"/>
      <c r="D291" s="21" t="n"/>
      <c r="H291" s="22" t="n"/>
      <c r="I291" s="125" t="n"/>
      <c r="J291" s="21" t="n"/>
      <c r="N291" s="22" t="n"/>
      <c r="O291" s="125" t="n"/>
      <c r="P291" s="21" t="n"/>
      <c r="T291" s="22" t="n"/>
      <c r="U291" s="125" t="n"/>
    </row>
    <row r="292" hidden="1" outlineLevel="3">
      <c r="A292" s="8" t="n"/>
      <c r="B292" s="14" t="n"/>
      <c r="C292" s="125" t="n"/>
      <c r="D292" s="23" t="n"/>
      <c r="E292" s="24" t="n"/>
      <c r="F292" s="24" t="n"/>
      <c r="G292" s="24" t="n"/>
      <c r="H292" s="25" t="n"/>
      <c r="I292" s="125" t="n"/>
      <c r="J292" s="23" t="n"/>
      <c r="K292" s="24" t="n"/>
      <c r="L292" s="24" t="n"/>
      <c r="M292" s="24" t="n"/>
      <c r="N292" s="25" t="n"/>
      <c r="O292" s="125" t="n"/>
      <c r="P292" s="23" t="n"/>
      <c r="Q292" s="24" t="n"/>
      <c r="R292" s="24" t="n"/>
      <c r="S292" s="24" t="n"/>
      <c r="T292" s="25" t="n"/>
      <c r="U292" s="125" t="n"/>
    </row>
    <row r="293" hidden="1" outlineLevel="2">
      <c r="A293" s="8" t="n"/>
      <c r="B293" s="14" t="n"/>
      <c r="C293" s="125" t="n"/>
      <c r="D293" s="89" t="inlineStr">
        <is>
          <t>Projétil</t>
        </is>
      </c>
      <c r="E293" s="68">
        <f>DADOS_AM!$GS$35</f>
        <v/>
      </c>
      <c r="F293" s="68">
        <f>DADOS_AM!$GP$35</f>
        <v/>
      </c>
      <c r="G293" s="89">
        <f>DADOS_AM!$GR$35</f>
        <v/>
      </c>
      <c r="H293" s="17" t="n"/>
      <c r="I293" s="125" t="n"/>
      <c r="J293" s="89" t="inlineStr">
        <is>
          <t>Projétil</t>
        </is>
      </c>
      <c r="K293" s="68">
        <f>DADOS_AM!$GS$36</f>
        <v/>
      </c>
      <c r="L293" s="68">
        <f>DADOS_AM!$GP$36</f>
        <v/>
      </c>
      <c r="M293" s="89">
        <f>DADOS_AM!$GR$36</f>
        <v/>
      </c>
      <c r="N293" s="17" t="n"/>
      <c r="O293" s="125" t="n"/>
      <c r="P293" s="89" t="inlineStr">
        <is>
          <t>Projétil</t>
        </is>
      </c>
      <c r="Q293" s="68">
        <f>DADOS_AM!$GS$37</f>
        <v/>
      </c>
      <c r="R293" s="68">
        <f>DADOS_AM!$GP$37</f>
        <v/>
      </c>
      <c r="S293" s="89">
        <f>DADOS_AM!$GR$37</f>
        <v/>
      </c>
      <c r="T293" s="17" t="n"/>
      <c r="U293" s="125" t="n"/>
    </row>
    <row r="294" hidden="1" outlineLevel="2">
      <c r="A294" s="8" t="n"/>
      <c r="B294" s="14" t="n"/>
      <c r="C294" s="125" t="n"/>
      <c r="D294" s="89">
        <f>DADOS_AM!$GQ$35</f>
        <v/>
      </c>
      <c r="E294" s="133">
        <f>DADOS_AM!$GX$35</f>
        <v/>
      </c>
      <c r="F294" s="16" t="n"/>
      <c r="G294" s="16" t="n"/>
      <c r="H294" s="17" t="n"/>
      <c r="I294" s="125" t="n"/>
      <c r="J294" s="89">
        <f>DADOS_AM!$GQ$36</f>
        <v/>
      </c>
      <c r="K294" s="133">
        <f>DADOS_AM!$GX$36</f>
        <v/>
      </c>
      <c r="L294" s="16" t="n"/>
      <c r="M294" s="16" t="n"/>
      <c r="N294" s="17" t="n"/>
      <c r="O294" s="125" t="n"/>
      <c r="P294" s="89">
        <f>DADOS_AM!$GQ$37</f>
        <v/>
      </c>
      <c r="Q294" s="133">
        <f>DADOS_AM!$GX$37</f>
        <v/>
      </c>
      <c r="R294" s="16" t="n"/>
      <c r="S294" s="16" t="n"/>
      <c r="T294" s="17" t="n"/>
      <c r="U294" s="125" t="n"/>
    </row>
    <row r="295" hidden="1" outlineLevel="3">
      <c r="A295" s="8" t="n"/>
      <c r="B295" s="14" t="n"/>
      <c r="C295" s="125" t="n"/>
      <c r="D295" s="55" t="inlineStr">
        <is>
          <t>MELHORIAS</t>
        </is>
      </c>
      <c r="E295" s="134" t="n"/>
      <c r="F295" s="17" t="n"/>
      <c r="G295" s="133">
        <f>DADOS_AM!$HA$35</f>
        <v/>
      </c>
      <c r="H295" s="17" t="n"/>
      <c r="I295" s="125" t="n"/>
      <c r="J295" s="55" t="inlineStr">
        <is>
          <t>MELHORIAS</t>
        </is>
      </c>
      <c r="K295" s="134" t="n"/>
      <c r="L295" s="17" t="n"/>
      <c r="M295" s="133">
        <f>DADOS_AM!$HA$36</f>
        <v/>
      </c>
      <c r="N295" s="17" t="n"/>
      <c r="O295" s="125" t="n"/>
      <c r="P295" s="55" t="inlineStr">
        <is>
          <t>MELHORIAS</t>
        </is>
      </c>
      <c r="Q295" s="134" t="n"/>
      <c r="R295" s="17" t="n"/>
      <c r="S295" s="133">
        <f>DADOS_AM!$HA$37</f>
        <v/>
      </c>
      <c r="T295" s="17" t="n"/>
      <c r="U295" s="125" t="n"/>
    </row>
    <row r="296" hidden="1" outlineLevel="3">
      <c r="A296" s="8" t="n"/>
      <c r="B296" s="14" t="n"/>
      <c r="C296" s="125" t="n"/>
      <c r="D296" s="135" t="n"/>
      <c r="E296" s="134" t="n"/>
      <c r="F296" s="17" t="n"/>
      <c r="G296" s="133">
        <f>DADOS_AM!$HB$35</f>
        <v/>
      </c>
      <c r="H296" s="17" t="n"/>
      <c r="I296" s="125" t="n"/>
      <c r="J296" s="135" t="n"/>
      <c r="K296" s="134" t="n"/>
      <c r="L296" s="17" t="n"/>
      <c r="M296" s="133">
        <f>DADOS_AM!$HB$36</f>
        <v/>
      </c>
      <c r="N296" s="17" t="n"/>
      <c r="O296" s="125" t="n"/>
      <c r="P296" s="135" t="n"/>
      <c r="Q296" s="134" t="n"/>
      <c r="R296" s="17" t="n"/>
      <c r="S296" s="133">
        <f>DADOS_AM!$HB$37</f>
        <v/>
      </c>
      <c r="T296" s="17" t="n"/>
      <c r="U296" s="125" t="n"/>
    </row>
    <row r="297" hidden="1" outlineLevel="3">
      <c r="A297" s="8" t="n"/>
      <c r="B297" s="14" t="n"/>
      <c r="C297" s="125" t="n"/>
      <c r="D297" s="135" t="n"/>
      <c r="E297" s="134" t="n"/>
      <c r="F297" s="17" t="n"/>
      <c r="G297" s="133">
        <f>DADOS_AM!$HC$35</f>
        <v/>
      </c>
      <c r="H297" s="17" t="n"/>
      <c r="I297" s="125" t="n"/>
      <c r="J297" s="135" t="n"/>
      <c r="K297" s="134" t="n"/>
      <c r="L297" s="17" t="n"/>
      <c r="M297" s="133">
        <f>DADOS_AM!$HC$36</f>
        <v/>
      </c>
      <c r="N297" s="17" t="n"/>
      <c r="O297" s="125" t="n"/>
      <c r="P297" s="135" t="n"/>
      <c r="Q297" s="134" t="n"/>
      <c r="R297" s="17" t="n"/>
      <c r="S297" s="133">
        <f>DADOS_AM!$HC$37</f>
        <v/>
      </c>
      <c r="T297" s="17" t="n"/>
      <c r="U297" s="125" t="n"/>
    </row>
    <row r="298" hidden="1" outlineLevel="3">
      <c r="A298" s="8" t="n"/>
      <c r="B298" s="14" t="n"/>
      <c r="C298" s="125" t="n"/>
      <c r="D298" s="129" t="n"/>
      <c r="E298" s="134" t="n"/>
      <c r="F298" s="17" t="n"/>
      <c r="G298" s="133">
        <f>DADOS_AM!$HD$35</f>
        <v/>
      </c>
      <c r="H298" s="17" t="n"/>
      <c r="I298" s="125" t="n"/>
      <c r="J298" s="129" t="n"/>
      <c r="K298" s="134" t="n"/>
      <c r="L298" s="17" t="n"/>
      <c r="M298" s="133">
        <f>DADOS_AM!$HD$36</f>
        <v/>
      </c>
      <c r="N298" s="17" t="n"/>
      <c r="O298" s="125" t="n"/>
      <c r="P298" s="129" t="n"/>
      <c r="Q298" s="134" t="n"/>
      <c r="R298" s="17" t="n"/>
      <c r="S298" s="133">
        <f>DADOS_AM!$HD$37</f>
        <v/>
      </c>
      <c r="T298" s="17" t="n"/>
      <c r="U298" s="125" t="n"/>
    </row>
    <row r="299" hidden="1" outlineLevel="3">
      <c r="A299" s="8" t="n"/>
      <c r="B299" s="14" t="n"/>
      <c r="C299" s="125" t="n"/>
      <c r="D299" s="55" t="inlineStr">
        <is>
          <t>RESTRIÇÕES</t>
        </is>
      </c>
      <c r="E299" s="134" t="n"/>
      <c r="F299" s="17" t="n"/>
      <c r="G299" s="133">
        <f>DADOS_AM!$HE$35</f>
        <v/>
      </c>
      <c r="H299" s="17" t="n"/>
      <c r="I299" s="125" t="n"/>
      <c r="J299" s="55" t="inlineStr">
        <is>
          <t>RESTRIÇÕES</t>
        </is>
      </c>
      <c r="K299" s="134" t="n"/>
      <c r="L299" s="17" t="n"/>
      <c r="M299" s="133">
        <f>DADOS_AM!$HE$36</f>
        <v/>
      </c>
      <c r="N299" s="17" t="n"/>
      <c r="O299" s="125" t="n"/>
      <c r="P299" s="55" t="inlineStr">
        <is>
          <t>RESTRIÇÕES</t>
        </is>
      </c>
      <c r="Q299" s="134" t="n"/>
      <c r="R299" s="17" t="n"/>
      <c r="S299" s="133">
        <f>DADOS_AM!$HE$37</f>
        <v/>
      </c>
      <c r="T299" s="17" t="n"/>
      <c r="U299" s="125" t="n"/>
    </row>
    <row r="300" hidden="1" outlineLevel="3">
      <c r="A300" s="8" t="n"/>
      <c r="B300" s="14" t="n"/>
      <c r="C300" s="125" t="n"/>
      <c r="D300" s="129" t="n"/>
      <c r="E300" s="134" t="n"/>
      <c r="F300" s="17" t="n"/>
      <c r="G300" s="133">
        <f>DADOS_AM!$HF$35</f>
        <v/>
      </c>
      <c r="H300" s="17" t="n"/>
      <c r="I300" s="125" t="n"/>
      <c r="J300" s="129" t="n"/>
      <c r="K300" s="134" t="n"/>
      <c r="L300" s="17" t="n"/>
      <c r="M300" s="133">
        <f>DADOS_AM!$HF$36</f>
        <v/>
      </c>
      <c r="N300" s="17" t="n"/>
      <c r="O300" s="125" t="n"/>
      <c r="P300" s="129" t="n"/>
      <c r="Q300" s="134" t="n"/>
      <c r="R300" s="17" t="n"/>
      <c r="S300" s="133">
        <f>DADOS_AM!$HF$37</f>
        <v/>
      </c>
      <c r="T300" s="17" t="n"/>
      <c r="U300" s="125" t="n"/>
    </row>
    <row r="301" hidden="1" outlineLevel="3">
      <c r="A301" s="8" t="n"/>
      <c r="B301" s="14" t="n"/>
      <c r="C301" s="125" t="n"/>
      <c r="D301" s="55" t="inlineStr">
        <is>
          <t>CONTA</t>
        </is>
      </c>
      <c r="E301" s="136">
        <f>DADOS_AM!$GY$35</f>
        <v/>
      </c>
      <c r="F301" s="16" t="n"/>
      <c r="G301" s="16" t="n"/>
      <c r="H301" s="17" t="n"/>
      <c r="I301" s="125" t="n"/>
      <c r="J301" s="55" t="inlineStr">
        <is>
          <t>CONTA</t>
        </is>
      </c>
      <c r="K301" s="136">
        <f>DADOS_AM!$GY$36</f>
        <v/>
      </c>
      <c r="L301" s="16" t="n"/>
      <c r="M301" s="16" t="n"/>
      <c r="N301" s="17" t="n"/>
      <c r="O301" s="125" t="n"/>
      <c r="P301" s="55" t="inlineStr">
        <is>
          <t>CONTA</t>
        </is>
      </c>
      <c r="Q301" s="136">
        <f>DADOS_AM!$GY$37</f>
        <v/>
      </c>
      <c r="R301" s="16" t="n"/>
      <c r="S301" s="16" t="n"/>
      <c r="T301" s="17" t="n"/>
      <c r="U301" s="125" t="n"/>
    </row>
    <row r="302" hidden="1" outlineLevel="3">
      <c r="A302" s="8" t="n"/>
      <c r="B302" s="14" t="n"/>
      <c r="C302" s="125" t="n"/>
      <c r="D302" s="55" t="inlineStr">
        <is>
          <t>AMPLIAR</t>
        </is>
      </c>
      <c r="E302" s="136">
        <f>DADOS_AM!$GZ$35</f>
        <v/>
      </c>
      <c r="F302" s="19" t="n"/>
      <c r="G302" s="19" t="n"/>
      <c r="H302" s="20" t="n"/>
      <c r="I302" s="125" t="n"/>
      <c r="J302" s="55" t="inlineStr">
        <is>
          <t>AMPLIAR</t>
        </is>
      </c>
      <c r="K302" s="136">
        <f>DADOS_AM!$GZ$36</f>
        <v/>
      </c>
      <c r="L302" s="19" t="n"/>
      <c r="M302" s="19" t="n"/>
      <c r="N302" s="20" t="n"/>
      <c r="O302" s="125" t="n"/>
      <c r="P302" s="55" t="inlineStr">
        <is>
          <t>AMPLIAR</t>
        </is>
      </c>
      <c r="Q302" s="136">
        <f>DADOS_AM!$GZ$37</f>
        <v/>
      </c>
      <c r="R302" s="19" t="n"/>
      <c r="S302" s="19" t="n"/>
      <c r="T302" s="20" t="n"/>
      <c r="U302" s="125" t="n"/>
    </row>
    <row r="303" hidden="1" outlineLevel="3">
      <c r="A303" s="8" t="n"/>
      <c r="B303" s="14" t="n"/>
      <c r="C303" s="125" t="n"/>
      <c r="D303" s="129" t="n"/>
      <c r="E303" s="23" t="n"/>
      <c r="F303" s="24" t="n"/>
      <c r="G303" s="24" t="n"/>
      <c r="H303" s="25" t="n"/>
      <c r="I303" s="125" t="n"/>
      <c r="J303" s="129" t="n"/>
      <c r="K303" s="23" t="n"/>
      <c r="L303" s="24" t="n"/>
      <c r="M303" s="24" t="n"/>
      <c r="N303" s="25" t="n"/>
      <c r="O303" s="125" t="n"/>
      <c r="P303" s="129" t="n"/>
      <c r="Q303" s="23" t="n"/>
      <c r="R303" s="24" t="n"/>
      <c r="S303" s="24" t="n"/>
      <c r="T303" s="25" t="n"/>
      <c r="U303" s="125" t="n"/>
    </row>
    <row r="304" hidden="1" outlineLevel="3">
      <c r="A304" s="8" t="n"/>
      <c r="B304" s="14" t="n"/>
      <c r="C304" s="125" t="n"/>
      <c r="D304" s="55" t="inlineStr">
        <is>
          <t>AVISOS</t>
        </is>
      </c>
      <c r="E304" s="136">
        <f>DADOS_AM!$GO$35</f>
        <v/>
      </c>
      <c r="F304" s="19" t="n"/>
      <c r="G304" s="19" t="n"/>
      <c r="H304" s="20" t="n"/>
      <c r="I304" s="125" t="n"/>
      <c r="J304" s="55" t="inlineStr">
        <is>
          <t>AVISOS</t>
        </is>
      </c>
      <c r="K304" s="136">
        <f>DADOS_AM!$GO$36</f>
        <v/>
      </c>
      <c r="L304" s="19" t="n"/>
      <c r="M304" s="19" t="n"/>
      <c r="N304" s="20" t="n"/>
      <c r="O304" s="125" t="n"/>
      <c r="P304" s="55" t="inlineStr">
        <is>
          <t>AVISOS</t>
        </is>
      </c>
      <c r="Q304" s="136">
        <f>DADOS_AM!$GO$37</f>
        <v/>
      </c>
      <c r="R304" s="19" t="n"/>
      <c r="S304" s="19" t="n"/>
      <c r="T304" s="20" t="n"/>
      <c r="U304" s="125" t="n"/>
    </row>
    <row r="305" hidden="1" outlineLevel="3">
      <c r="A305" s="8" t="n"/>
      <c r="B305" s="14" t="n"/>
      <c r="C305" s="125" t="n"/>
      <c r="D305" s="129" t="n"/>
      <c r="E305" s="23" t="n"/>
      <c r="F305" s="24" t="n"/>
      <c r="G305" s="24" t="n"/>
      <c r="H305" s="25" t="n"/>
      <c r="I305" s="125" t="n"/>
      <c r="J305" s="129" t="n"/>
      <c r="K305" s="23" t="n"/>
      <c r="L305" s="24" t="n"/>
      <c r="M305" s="24" t="n"/>
      <c r="N305" s="25" t="n"/>
      <c r="O305" s="125" t="n"/>
      <c r="P305" s="129" t="n"/>
      <c r="Q305" s="23" t="n"/>
      <c r="R305" s="24" t="n"/>
      <c r="S305" s="24" t="n"/>
      <c r="T305" s="25" t="n"/>
      <c r="U305" s="125" t="n"/>
    </row>
    <row r="306">
      <c r="A306" s="8" t="n"/>
      <c r="B306" s="14" t="n"/>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row>
    <row r="307">
      <c r="A307" s="8" t="n"/>
      <c r="B307" s="14" t="n"/>
      <c r="C307" s="125" t="n"/>
      <c r="D307" s="128"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5" t="n"/>
    </row>
    <row r="308">
      <c r="A308" s="8" t="n"/>
      <c r="B308" s="14" t="n"/>
      <c r="C308" s="125" t="n"/>
      <c r="D308" s="23" t="n"/>
      <c r="E308" s="24" t="n"/>
      <c r="F308" s="24" t="n"/>
      <c r="G308" s="24" t="n"/>
      <c r="H308" s="24" t="n"/>
      <c r="I308" s="24" t="n"/>
      <c r="J308" s="24" t="n"/>
      <c r="K308" s="24" t="n"/>
      <c r="L308" s="24" t="n"/>
      <c r="M308" s="24" t="n"/>
      <c r="N308" s="24" t="n"/>
      <c r="O308" s="24" t="n"/>
      <c r="P308" s="24" t="n"/>
      <c r="Q308" s="24" t="n"/>
      <c r="R308" s="24" t="n"/>
      <c r="S308" s="24" t="n"/>
      <c r="T308" s="25" t="n"/>
      <c r="U308" s="125" t="n"/>
    </row>
    <row r="309" outlineLevel="1">
      <c r="A309" s="8" t="n"/>
      <c r="B309" s="14" t="n"/>
      <c r="C309" s="125" t="n"/>
      <c r="D309" s="55" t="inlineStr">
        <is>
          <t>NOME</t>
        </is>
      </c>
      <c r="E309" s="17" t="n"/>
      <c r="F309" s="55" t="inlineStr">
        <is>
          <t>FORMA</t>
        </is>
      </c>
      <c r="G309" s="16" t="n"/>
      <c r="H309" s="17" t="n"/>
      <c r="I309" s="125" t="n"/>
      <c r="J309" s="55" t="inlineStr">
        <is>
          <t>MELHORIA LEVE</t>
        </is>
      </c>
      <c r="K309" s="17" t="n"/>
      <c r="L309" s="55" t="inlineStr">
        <is>
          <t>RESTRIÇÃO LEVE</t>
        </is>
      </c>
      <c r="M309" s="16" t="n"/>
      <c r="N309" s="17" t="n"/>
      <c r="O309" s="125" t="n"/>
      <c r="P309" s="55" t="inlineStr">
        <is>
          <t>DANO</t>
        </is>
      </c>
      <c r="Q309" s="17" t="n"/>
      <c r="R309" s="55" t="inlineStr">
        <is>
          <t>ALCANCE</t>
        </is>
      </c>
      <c r="S309" s="16" t="n"/>
      <c r="T309" s="17" t="n"/>
      <c r="U309" s="125" t="n"/>
    </row>
    <row r="310" outlineLevel="1">
      <c r="A310" s="8" t="n"/>
      <c r="B310" s="14" t="n"/>
      <c r="C310" s="125" t="n"/>
      <c r="D310" s="134" t="n"/>
      <c r="E310" s="17" t="n"/>
      <c r="F310" s="89" t="inlineStr">
        <is>
          <t>Projétil</t>
        </is>
      </c>
      <c r="G310" s="16" t="n"/>
      <c r="H310" s="17" t="n"/>
      <c r="I310" s="125" t="n"/>
      <c r="J310" s="134" t="n"/>
      <c r="K310" s="17" t="n"/>
      <c r="L310" s="134" t="n"/>
      <c r="M310" s="16" t="n"/>
      <c r="N310" s="17" t="n"/>
      <c r="O310" s="125" t="n"/>
      <c r="P310" s="68">
        <f>DADOS_AM!$IL$2</f>
        <v/>
      </c>
      <c r="Q310" s="17" t="n"/>
      <c r="R310" s="133">
        <f>DADOS_AM!$IM$2</f>
        <v/>
      </c>
      <c r="S310" s="16" t="n"/>
      <c r="T310" s="17" t="n"/>
      <c r="U310" s="125" t="n"/>
    </row>
    <row r="311" outlineLevel="1">
      <c r="A311" s="8" t="n"/>
      <c r="B311" s="14" t="n"/>
      <c r="C311" s="125" t="n"/>
      <c r="D311" s="134" t="n"/>
      <c r="E311" s="17" t="n"/>
      <c r="F311" s="89" t="inlineStr">
        <is>
          <t>Projétil</t>
        </is>
      </c>
      <c r="G311" s="16" t="n"/>
      <c r="H311" s="17" t="n"/>
      <c r="I311" s="125" t="n"/>
      <c r="J311" s="134" t="n"/>
      <c r="K311" s="17" t="n"/>
      <c r="L311" s="134" t="n"/>
      <c r="M311" s="16" t="n"/>
      <c r="N311" s="17" t="n"/>
      <c r="O311" s="125" t="n"/>
      <c r="P311" s="68">
        <f>DADOS_AM!$IL$3</f>
        <v/>
      </c>
      <c r="Q311" s="17" t="n"/>
      <c r="R311" s="133">
        <f>DADOS_AM!$IM$3</f>
        <v/>
      </c>
      <c r="S311" s="16" t="n"/>
      <c r="T311" s="17" t="n"/>
      <c r="U311" s="125" t="n"/>
    </row>
    <row r="312" outlineLevel="1">
      <c r="A312" s="8" t="n"/>
      <c r="B312" s="14" t="n"/>
      <c r="C312" s="125" t="n"/>
      <c r="D312" s="134" t="n"/>
      <c r="E312" s="17" t="n"/>
      <c r="F312" s="89" t="inlineStr">
        <is>
          <t>Projétil</t>
        </is>
      </c>
      <c r="G312" s="16" t="n"/>
      <c r="H312" s="17" t="n"/>
      <c r="I312" s="125" t="n"/>
      <c r="J312" s="134" t="n"/>
      <c r="K312" s="17" t="n"/>
      <c r="L312" s="134" t="n"/>
      <c r="M312" s="16" t="n"/>
      <c r="N312" s="17" t="n"/>
      <c r="O312" s="125" t="n"/>
      <c r="P312" s="68">
        <f>DADOS_AM!$IL$4</f>
        <v/>
      </c>
      <c r="Q312" s="17" t="n"/>
      <c r="R312" s="133">
        <f>DADOS_AM!$IM$4</f>
        <v/>
      </c>
      <c r="S312" s="16" t="n"/>
      <c r="T312" s="17" t="n"/>
      <c r="U312" s="125" t="n"/>
    </row>
    <row r="313" outlineLevel="1">
      <c r="A313" s="8" t="n"/>
      <c r="B313" s="14" t="n"/>
      <c r="C313" s="125" t="n"/>
      <c r="D313" s="134" t="n"/>
      <c r="E313" s="17" t="n"/>
      <c r="F313" s="89" t="inlineStr">
        <is>
          <t>Projétil</t>
        </is>
      </c>
      <c r="G313" s="16" t="n"/>
      <c r="H313" s="17" t="n"/>
      <c r="I313" s="125" t="n"/>
      <c r="J313" s="134" t="n"/>
      <c r="K313" s="17" t="n"/>
      <c r="L313" s="134" t="n"/>
      <c r="M313" s="16" t="n"/>
      <c r="N313" s="17" t="n"/>
      <c r="O313" s="125" t="n"/>
      <c r="P313" s="68">
        <f>DADOS_AM!$IL$5</f>
        <v/>
      </c>
      <c r="Q313" s="17" t="n"/>
      <c r="R313" s="133">
        <f>DADOS_AM!$IM$5</f>
        <v/>
      </c>
      <c r="S313" s="16" t="n"/>
      <c r="T313" s="17" t="n"/>
      <c r="U313" s="125" t="n"/>
    </row>
    <row r="314" outlineLevel="1">
      <c r="A314" s="8" t="n"/>
      <c r="B314" s="14" t="n"/>
      <c r="C314" s="125" t="n"/>
      <c r="D314" s="134" t="n"/>
      <c r="E314" s="17" t="n"/>
      <c r="F314" s="89" t="inlineStr">
        <is>
          <t>Projétil</t>
        </is>
      </c>
      <c r="G314" s="16" t="n"/>
      <c r="H314" s="17" t="n"/>
      <c r="I314" s="125" t="n"/>
      <c r="J314" s="134" t="n"/>
      <c r="K314" s="17" t="n"/>
      <c r="L314" s="134" t="n"/>
      <c r="M314" s="16" t="n"/>
      <c r="N314" s="17" t="n"/>
      <c r="O314" s="125" t="n"/>
      <c r="P314" s="68">
        <f>DADOS_AM!$IL$6</f>
        <v/>
      </c>
      <c r="Q314" s="17" t="n"/>
      <c r="R314" s="133">
        <f>DADOS_AM!$IM$6</f>
        <v/>
      </c>
      <c r="S314" s="16" t="n"/>
      <c r="T314" s="17" t="n"/>
      <c r="U314" s="125" t="n"/>
    </row>
    <row r="315">
      <c r="A315" s="8" t="n"/>
      <c r="B315" s="14" t="n"/>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row>
    <row r="316">
      <c r="A316" s="8" t="n"/>
      <c r="B316" s="14" t="n"/>
      <c r="C316" s="125" t="n"/>
      <c r="D316" s="128">
        <f>DADOS_AM!$KT$36</f>
        <v/>
      </c>
      <c r="E316" s="19" t="n"/>
      <c r="F316" s="19" t="n"/>
      <c r="G316" s="19" t="n"/>
      <c r="H316" s="19" t="n"/>
      <c r="I316" s="19" t="n"/>
      <c r="J316" s="19" t="n"/>
      <c r="K316" s="19" t="n"/>
      <c r="L316" s="19" t="n"/>
      <c r="M316" s="19" t="n"/>
      <c r="N316" s="19" t="n"/>
      <c r="O316" s="19" t="n"/>
      <c r="P316" s="19" t="n"/>
      <c r="Q316" s="19" t="n"/>
      <c r="R316" s="19" t="n"/>
      <c r="S316" s="19" t="n"/>
      <c r="T316" s="20" t="n"/>
      <c r="U316" s="125" t="n"/>
    </row>
    <row r="317">
      <c r="A317" s="8" t="n"/>
      <c r="B317" s="14" t="n"/>
      <c r="C317" s="125" t="n"/>
      <c r="D317" s="23" t="n"/>
      <c r="E317" s="24" t="n"/>
      <c r="F317" s="24" t="n"/>
      <c r="G317" s="24" t="n"/>
      <c r="H317" s="24" t="n"/>
      <c r="I317" s="24" t="n"/>
      <c r="J317" s="24" t="n"/>
      <c r="K317" s="24" t="n"/>
      <c r="L317" s="24" t="n"/>
      <c r="M317" s="24" t="n"/>
      <c r="N317" s="24" t="n"/>
      <c r="O317" s="24" t="n"/>
      <c r="P317" s="24" t="n"/>
      <c r="Q317" s="24" t="n"/>
      <c r="R317" s="24" t="n"/>
      <c r="S317" s="24" t="n"/>
      <c r="T317" s="25" t="n"/>
      <c r="U317" s="125" t="n"/>
    </row>
    <row r="318" hidden="1" outlineLevel="1">
      <c r="A318" s="8" t="n"/>
      <c r="B318" s="14" t="n"/>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row>
    <row r="319" hidden="1" outlineLevel="1">
      <c r="A319" s="8" t="n"/>
      <c r="B319" s="14" t="n"/>
      <c r="C319" s="125" t="n"/>
      <c r="D319" s="131" t="n">
        <v>3</v>
      </c>
      <c r="E319" s="120" t="n"/>
      <c r="F319" s="17" t="n"/>
      <c r="G319" s="132">
        <f>DADOS_AM!$GN$38</f>
        <v/>
      </c>
      <c r="H319" s="17" t="n"/>
      <c r="I319" s="125" t="n"/>
      <c r="J319" s="131" t="n">
        <v>3</v>
      </c>
      <c r="K319" s="120" t="n"/>
      <c r="L319" s="17" t="n"/>
      <c r="M319" s="132">
        <f>DADOS_AM!$GN$39</f>
        <v/>
      </c>
      <c r="N319" s="17" t="n"/>
      <c r="O319" s="125" t="n"/>
      <c r="P319" s="131" t="n">
        <v>3</v>
      </c>
      <c r="Q319" s="120" t="n"/>
      <c r="R319" s="17" t="n"/>
      <c r="S319" s="132">
        <f>DADOS_AM!$GN$40</f>
        <v/>
      </c>
      <c r="T319" s="17" t="n"/>
      <c r="U319" s="125" t="n"/>
    </row>
    <row r="320" hidden="1" outlineLevel="2">
      <c r="A320" s="8" t="n"/>
      <c r="B320" s="14" t="n"/>
      <c r="C320" s="125" t="n"/>
      <c r="D320" s="55" t="inlineStr">
        <is>
          <t>COMO É</t>
        </is>
      </c>
      <c r="E320" s="16" t="n"/>
      <c r="F320" s="16" t="n"/>
      <c r="G320" s="16" t="n"/>
      <c r="H320" s="17" t="n"/>
      <c r="I320" s="125" t="n"/>
      <c r="J320" s="55" t="inlineStr">
        <is>
          <t>COMO É</t>
        </is>
      </c>
      <c r="K320" s="16" t="n"/>
      <c r="L320" s="16" t="n"/>
      <c r="M320" s="16" t="n"/>
      <c r="N320" s="17" t="n"/>
      <c r="O320" s="125" t="n"/>
      <c r="P320" s="55" t="inlineStr">
        <is>
          <t>COMO É</t>
        </is>
      </c>
      <c r="Q320" s="16" t="n"/>
      <c r="R320" s="16" t="n"/>
      <c r="S320" s="16" t="n"/>
      <c r="T320" s="17" t="n"/>
      <c r="U320" s="125" t="n"/>
    </row>
    <row r="321" hidden="1" outlineLevel="2">
      <c r="A321" s="8" t="n"/>
      <c r="B321" s="14" t="n"/>
      <c r="C321" s="125" t="n"/>
      <c r="D321" s="121" t="n"/>
      <c r="E321" s="19" t="n"/>
      <c r="F321" s="19" t="n"/>
      <c r="G321" s="19" t="n"/>
      <c r="H321" s="20" t="n"/>
      <c r="I321" s="125" t="n"/>
      <c r="J321" s="121" t="n"/>
      <c r="K321" s="19" t="n"/>
      <c r="L321" s="19" t="n"/>
      <c r="M321" s="19" t="n"/>
      <c r="N321" s="20" t="n"/>
      <c r="O321" s="125" t="n"/>
      <c r="P321" s="121" t="n"/>
      <c r="Q321" s="19" t="n"/>
      <c r="R321" s="19" t="n"/>
      <c r="S321" s="19" t="n"/>
      <c r="T321" s="20" t="n"/>
      <c r="U321" s="125" t="n"/>
    </row>
    <row r="322" hidden="1" outlineLevel="2">
      <c r="A322" s="8" t="n"/>
      <c r="B322" s="14" t="n"/>
      <c r="C322" s="125" t="n"/>
      <c r="D322" s="21" t="n"/>
      <c r="H322" s="22" t="n"/>
      <c r="I322" s="125" t="n"/>
      <c r="J322" s="21" t="n"/>
      <c r="N322" s="22" t="n"/>
      <c r="O322" s="125" t="n"/>
      <c r="P322" s="21" t="n"/>
      <c r="T322" s="22" t="n"/>
      <c r="U322" s="125" t="n"/>
    </row>
    <row r="323" hidden="1" outlineLevel="2">
      <c r="A323" s="8" t="n"/>
      <c r="B323" s="14" t="n"/>
      <c r="C323" s="125" t="n"/>
      <c r="D323" s="21" t="n"/>
      <c r="H323" s="22" t="n"/>
      <c r="I323" s="125" t="n"/>
      <c r="J323" s="21" t="n"/>
      <c r="N323" s="22" t="n"/>
      <c r="O323" s="125" t="n"/>
      <c r="P323" s="21" t="n"/>
      <c r="T323" s="22" t="n"/>
      <c r="U323" s="125" t="n"/>
    </row>
    <row r="324" hidden="1" outlineLevel="2">
      <c r="A324" s="8" t="n"/>
      <c r="B324" s="14" t="n"/>
      <c r="C324" s="125" t="n"/>
      <c r="D324" s="21" t="n"/>
      <c r="H324" s="22" t="n"/>
      <c r="I324" s="125" t="n"/>
      <c r="J324" s="21" t="n"/>
      <c r="N324" s="22" t="n"/>
      <c r="O324" s="125" t="n"/>
      <c r="P324" s="21" t="n"/>
      <c r="T324" s="22" t="n"/>
      <c r="U324" s="125" t="n"/>
    </row>
    <row r="325" hidden="1" outlineLevel="2">
      <c r="A325" s="8" t="n"/>
      <c r="B325" s="14" t="n"/>
      <c r="C325" s="125" t="n"/>
      <c r="D325" s="23" t="n"/>
      <c r="E325" s="24" t="n"/>
      <c r="F325" s="24" t="n"/>
      <c r="G325" s="24" t="n"/>
      <c r="H325" s="25" t="n"/>
      <c r="I325" s="125" t="n"/>
      <c r="J325" s="23" t="n"/>
      <c r="K325" s="24" t="n"/>
      <c r="L325" s="24" t="n"/>
      <c r="M325" s="24" t="n"/>
      <c r="N325" s="25" t="n"/>
      <c r="O325" s="125" t="n"/>
      <c r="P325" s="23" t="n"/>
      <c r="Q325" s="24" t="n"/>
      <c r="R325" s="24" t="n"/>
      <c r="S325" s="24" t="n"/>
      <c r="T325" s="25" t="n"/>
      <c r="U325" s="125" t="n"/>
    </row>
    <row r="326" hidden="1" outlineLevel="1">
      <c r="A326" s="8" t="n"/>
      <c r="B326" s="14" t="n"/>
      <c r="C326" s="125" t="n"/>
      <c r="D326" s="89" t="inlineStr">
        <is>
          <t>Projétil</t>
        </is>
      </c>
      <c r="E326" s="68">
        <f>DADOS_AM!$GS$38</f>
        <v/>
      </c>
      <c r="F326" s="68">
        <f>DADOS_AM!$GP$38</f>
        <v/>
      </c>
      <c r="G326" s="89">
        <f>DADOS_AM!$GR$38</f>
        <v/>
      </c>
      <c r="H326" s="17" t="n"/>
      <c r="I326" s="125" t="n"/>
      <c r="J326" s="89" t="inlineStr">
        <is>
          <t>Projétil</t>
        </is>
      </c>
      <c r="K326" s="68">
        <f>DADOS_AM!$GS$39</f>
        <v/>
      </c>
      <c r="L326" s="68">
        <f>DADOS_AM!$GP$39</f>
        <v/>
      </c>
      <c r="M326" s="89">
        <f>DADOS_AM!$GR$39</f>
        <v/>
      </c>
      <c r="N326" s="17" t="n"/>
      <c r="O326" s="125" t="n"/>
      <c r="P326" s="89" t="inlineStr">
        <is>
          <t>Projétil</t>
        </is>
      </c>
      <c r="Q326" s="68">
        <f>DADOS_AM!$GS$40</f>
        <v/>
      </c>
      <c r="R326" s="68">
        <f>DADOS_AM!$GP$40</f>
        <v/>
      </c>
      <c r="S326" s="89">
        <f>DADOS_AM!$GR$40</f>
        <v/>
      </c>
      <c r="T326" s="17" t="n"/>
      <c r="U326" s="125" t="n"/>
    </row>
    <row r="327" hidden="1" outlineLevel="1">
      <c r="A327" s="8" t="n"/>
      <c r="B327" s="14" t="n"/>
      <c r="C327" s="125" t="n"/>
      <c r="D327" s="89">
        <f>DADOS_AM!$GQ$38</f>
        <v/>
      </c>
      <c r="E327" s="133">
        <f>DADOS_AM!$GX$38</f>
        <v/>
      </c>
      <c r="F327" s="16" t="n"/>
      <c r="G327" s="16" t="n"/>
      <c r="H327" s="17" t="n"/>
      <c r="I327" s="125" t="n"/>
      <c r="J327" s="89">
        <f>DADOS_AM!$GQ$39</f>
        <v/>
      </c>
      <c r="K327" s="133">
        <f>DADOS_AM!$GX$39</f>
        <v/>
      </c>
      <c r="L327" s="16" t="n"/>
      <c r="M327" s="16" t="n"/>
      <c r="N327" s="17" t="n"/>
      <c r="O327" s="125" t="n"/>
      <c r="P327" s="89">
        <f>DADOS_AM!$GQ$40</f>
        <v/>
      </c>
      <c r="Q327" s="133">
        <f>DADOS_AM!$GX$40</f>
        <v/>
      </c>
      <c r="R327" s="16" t="n"/>
      <c r="S327" s="16" t="n"/>
      <c r="T327" s="17" t="n"/>
      <c r="U327" s="125" t="n"/>
    </row>
    <row r="328" hidden="1" outlineLevel="2">
      <c r="A328" s="8" t="n"/>
      <c r="B328" s="14" t="n"/>
      <c r="C328" s="125" t="n"/>
      <c r="D328" s="55" t="inlineStr">
        <is>
          <t>MELHORIAS</t>
        </is>
      </c>
      <c r="E328" s="134" t="n"/>
      <c r="F328" s="17" t="n"/>
      <c r="G328" s="133">
        <f>DADOS_AM!$HA$38</f>
        <v/>
      </c>
      <c r="H328" s="17" t="n"/>
      <c r="I328" s="125" t="n"/>
      <c r="J328" s="55" t="inlineStr">
        <is>
          <t>MELHORIAS</t>
        </is>
      </c>
      <c r="K328" s="134" t="n"/>
      <c r="L328" s="17" t="n"/>
      <c r="M328" s="133">
        <f>DADOS_AM!$HA$39</f>
        <v/>
      </c>
      <c r="N328" s="17" t="n"/>
      <c r="O328" s="125" t="n"/>
      <c r="P328" s="55" t="inlineStr">
        <is>
          <t>MELHORIAS</t>
        </is>
      </c>
      <c r="Q328" s="134" t="n"/>
      <c r="R328" s="17" t="n"/>
      <c r="S328" s="133">
        <f>DADOS_AM!$HA$40</f>
        <v/>
      </c>
      <c r="T328" s="17" t="n"/>
      <c r="U328" s="125" t="n"/>
    </row>
    <row r="329" hidden="1" outlineLevel="2">
      <c r="A329" s="8" t="n"/>
      <c r="B329" s="14" t="n"/>
      <c r="C329" s="125" t="n"/>
      <c r="D329" s="135" t="n"/>
      <c r="E329" s="134" t="n"/>
      <c r="F329" s="17" t="n"/>
      <c r="G329" s="133">
        <f>DADOS_AM!$HB$38</f>
        <v/>
      </c>
      <c r="H329" s="17" t="n"/>
      <c r="I329" s="125" t="n"/>
      <c r="J329" s="135" t="n"/>
      <c r="K329" s="134" t="n"/>
      <c r="L329" s="17" t="n"/>
      <c r="M329" s="133">
        <f>DADOS_AM!$HB$39</f>
        <v/>
      </c>
      <c r="N329" s="17" t="n"/>
      <c r="O329" s="125" t="n"/>
      <c r="P329" s="135" t="n"/>
      <c r="Q329" s="134" t="n"/>
      <c r="R329" s="17" t="n"/>
      <c r="S329" s="133">
        <f>DADOS_AM!$HB$40</f>
        <v/>
      </c>
      <c r="T329" s="17" t="n"/>
      <c r="U329" s="125" t="n"/>
    </row>
    <row r="330" hidden="1" outlineLevel="2">
      <c r="A330" s="8" t="n"/>
      <c r="B330" s="14" t="n"/>
      <c r="C330" s="125" t="n"/>
      <c r="D330" s="135" t="n"/>
      <c r="E330" s="134" t="n"/>
      <c r="F330" s="17" t="n"/>
      <c r="G330" s="133">
        <f>DADOS_AM!$HC$38</f>
        <v/>
      </c>
      <c r="H330" s="17" t="n"/>
      <c r="I330" s="125" t="n"/>
      <c r="J330" s="135" t="n"/>
      <c r="K330" s="134" t="n"/>
      <c r="L330" s="17" t="n"/>
      <c r="M330" s="133">
        <f>DADOS_AM!$HC$39</f>
        <v/>
      </c>
      <c r="N330" s="17" t="n"/>
      <c r="O330" s="125" t="n"/>
      <c r="P330" s="135" t="n"/>
      <c r="Q330" s="134" t="n"/>
      <c r="R330" s="17" t="n"/>
      <c r="S330" s="133">
        <f>DADOS_AM!$HC$40</f>
        <v/>
      </c>
      <c r="T330" s="17" t="n"/>
      <c r="U330" s="125" t="n"/>
    </row>
    <row r="331" hidden="1" outlineLevel="2">
      <c r="A331" s="8" t="n"/>
      <c r="B331" s="14" t="n"/>
      <c r="C331" s="125" t="n"/>
      <c r="D331" s="129" t="n"/>
      <c r="E331" s="134" t="n"/>
      <c r="F331" s="17" t="n"/>
      <c r="G331" s="133">
        <f>DADOS_AM!$HD$38</f>
        <v/>
      </c>
      <c r="H331" s="17" t="n"/>
      <c r="I331" s="125" t="n"/>
      <c r="J331" s="129" t="n"/>
      <c r="K331" s="134" t="n"/>
      <c r="L331" s="17" t="n"/>
      <c r="M331" s="133">
        <f>DADOS_AM!$HD$39</f>
        <v/>
      </c>
      <c r="N331" s="17" t="n"/>
      <c r="O331" s="125" t="n"/>
      <c r="P331" s="129" t="n"/>
      <c r="Q331" s="134" t="n"/>
      <c r="R331" s="17" t="n"/>
      <c r="S331" s="133">
        <f>DADOS_AM!$HD$40</f>
        <v/>
      </c>
      <c r="T331" s="17" t="n"/>
      <c r="U331" s="125" t="n"/>
    </row>
    <row r="332" hidden="1" outlineLevel="2">
      <c r="A332" s="8" t="n"/>
      <c r="B332" s="14" t="n"/>
      <c r="C332" s="125" t="n"/>
      <c r="D332" s="55" t="inlineStr">
        <is>
          <t>RESTRIÇÕES</t>
        </is>
      </c>
      <c r="E332" s="134" t="n"/>
      <c r="F332" s="17" t="n"/>
      <c r="G332" s="133">
        <f>DADOS_AM!$HE$38</f>
        <v/>
      </c>
      <c r="H332" s="17" t="n"/>
      <c r="I332" s="125" t="n"/>
      <c r="J332" s="55" t="inlineStr">
        <is>
          <t>RESTRIÇÕES</t>
        </is>
      </c>
      <c r="K332" s="134" t="n"/>
      <c r="L332" s="17" t="n"/>
      <c r="M332" s="133">
        <f>DADOS_AM!$HE$39</f>
        <v/>
      </c>
      <c r="N332" s="17" t="n"/>
      <c r="O332" s="125" t="n"/>
      <c r="P332" s="55" t="inlineStr">
        <is>
          <t>RESTRIÇÕES</t>
        </is>
      </c>
      <c r="Q332" s="134" t="n"/>
      <c r="R332" s="17" t="n"/>
      <c r="S332" s="133">
        <f>DADOS_AM!$HE$40</f>
        <v/>
      </c>
      <c r="T332" s="17" t="n"/>
      <c r="U332" s="125" t="n"/>
    </row>
    <row r="333" hidden="1" outlineLevel="2">
      <c r="A333" s="8" t="n"/>
      <c r="B333" s="14" t="n"/>
      <c r="C333" s="125" t="n"/>
      <c r="D333" s="129" t="n"/>
      <c r="E333" s="134" t="n"/>
      <c r="F333" s="17" t="n"/>
      <c r="G333" s="133">
        <f>DADOS_AM!$HF$38</f>
        <v/>
      </c>
      <c r="H333" s="17" t="n"/>
      <c r="I333" s="125" t="n"/>
      <c r="J333" s="129" t="n"/>
      <c r="K333" s="134" t="n"/>
      <c r="L333" s="17" t="n"/>
      <c r="M333" s="133">
        <f>DADOS_AM!$HF$39</f>
        <v/>
      </c>
      <c r="N333" s="17" t="n"/>
      <c r="O333" s="125" t="n"/>
      <c r="P333" s="129" t="n"/>
      <c r="Q333" s="134" t="n"/>
      <c r="R333" s="17" t="n"/>
      <c r="S333" s="133">
        <f>DADOS_AM!$HF$40</f>
        <v/>
      </c>
      <c r="T333" s="17" t="n"/>
      <c r="U333" s="125" t="n"/>
    </row>
    <row r="334" hidden="1" outlineLevel="2">
      <c r="A334" s="8" t="n"/>
      <c r="B334" s="14" t="n"/>
      <c r="C334" s="125" t="n"/>
      <c r="D334" s="55" t="inlineStr">
        <is>
          <t>CONTA</t>
        </is>
      </c>
      <c r="E334" s="136">
        <f>DADOS_AM!$GY$38</f>
        <v/>
      </c>
      <c r="F334" s="16" t="n"/>
      <c r="G334" s="16" t="n"/>
      <c r="H334" s="17" t="n"/>
      <c r="I334" s="125" t="n"/>
      <c r="J334" s="55" t="inlineStr">
        <is>
          <t>CONTA</t>
        </is>
      </c>
      <c r="K334" s="136">
        <f>DADOS_AM!$GY$39</f>
        <v/>
      </c>
      <c r="L334" s="16" t="n"/>
      <c r="M334" s="16" t="n"/>
      <c r="N334" s="17" t="n"/>
      <c r="O334" s="125" t="n"/>
      <c r="P334" s="55" t="inlineStr">
        <is>
          <t>CONTA</t>
        </is>
      </c>
      <c r="Q334" s="136">
        <f>DADOS_AM!$GY$40</f>
        <v/>
      </c>
      <c r="R334" s="16" t="n"/>
      <c r="S334" s="16" t="n"/>
      <c r="T334" s="17" t="n"/>
      <c r="U334" s="125" t="n"/>
    </row>
    <row r="335" hidden="1" outlineLevel="2">
      <c r="A335" s="8" t="n"/>
      <c r="B335" s="14" t="n"/>
      <c r="C335" s="125" t="n"/>
      <c r="D335" s="55" t="inlineStr">
        <is>
          <t>AMPLIAR</t>
        </is>
      </c>
      <c r="E335" s="136">
        <f>DADOS_AM!$GZ$38</f>
        <v/>
      </c>
      <c r="F335" s="19" t="n"/>
      <c r="G335" s="19" t="n"/>
      <c r="H335" s="20" t="n"/>
      <c r="I335" s="125" t="n"/>
      <c r="J335" s="55" t="inlineStr">
        <is>
          <t>AMPLIAR</t>
        </is>
      </c>
      <c r="K335" s="136">
        <f>DADOS_AM!$GZ$39</f>
        <v/>
      </c>
      <c r="L335" s="19" t="n"/>
      <c r="M335" s="19" t="n"/>
      <c r="N335" s="20" t="n"/>
      <c r="O335" s="125" t="n"/>
      <c r="P335" s="55" t="inlineStr">
        <is>
          <t>AMPLIAR</t>
        </is>
      </c>
      <c r="Q335" s="136">
        <f>DADOS_AM!$GZ$40</f>
        <v/>
      </c>
      <c r="R335" s="19" t="n"/>
      <c r="S335" s="19" t="n"/>
      <c r="T335" s="20" t="n"/>
      <c r="U335" s="125" t="n"/>
    </row>
    <row r="336" hidden="1" outlineLevel="2">
      <c r="A336" s="8" t="n"/>
      <c r="B336" s="14" t="n"/>
      <c r="C336" s="125" t="n"/>
      <c r="D336" s="129" t="n"/>
      <c r="E336" s="23" t="n"/>
      <c r="F336" s="24" t="n"/>
      <c r="G336" s="24" t="n"/>
      <c r="H336" s="25" t="n"/>
      <c r="I336" s="125" t="n"/>
      <c r="J336" s="129" t="n"/>
      <c r="K336" s="23" t="n"/>
      <c r="L336" s="24" t="n"/>
      <c r="M336" s="24" t="n"/>
      <c r="N336" s="25" t="n"/>
      <c r="O336" s="125" t="n"/>
      <c r="P336" s="129" t="n"/>
      <c r="Q336" s="23" t="n"/>
      <c r="R336" s="24" t="n"/>
      <c r="S336" s="24" t="n"/>
      <c r="T336" s="25" t="n"/>
      <c r="U336" s="125" t="n"/>
    </row>
    <row r="337" hidden="1" outlineLevel="2">
      <c r="A337" s="8" t="n"/>
      <c r="B337" s="14" t="n"/>
      <c r="C337" s="125" t="n"/>
      <c r="D337" s="55" t="inlineStr">
        <is>
          <t>AVISOS</t>
        </is>
      </c>
      <c r="E337" s="136">
        <f>DADOS_AM!$GO$38</f>
        <v/>
      </c>
      <c r="F337" s="19" t="n"/>
      <c r="G337" s="19" t="n"/>
      <c r="H337" s="20" t="n"/>
      <c r="I337" s="125" t="n"/>
      <c r="J337" s="55" t="inlineStr">
        <is>
          <t>AVISOS</t>
        </is>
      </c>
      <c r="K337" s="136">
        <f>DADOS_AM!$GO$39</f>
        <v/>
      </c>
      <c r="L337" s="19" t="n"/>
      <c r="M337" s="19" t="n"/>
      <c r="N337" s="20" t="n"/>
      <c r="O337" s="125" t="n"/>
      <c r="P337" s="55" t="inlineStr">
        <is>
          <t>AVISOS</t>
        </is>
      </c>
      <c r="Q337" s="136">
        <f>DADOS_AM!$GO$40</f>
        <v/>
      </c>
      <c r="R337" s="19" t="n"/>
      <c r="S337" s="19" t="n"/>
      <c r="T337" s="20" t="n"/>
      <c r="U337" s="125" t="n"/>
    </row>
    <row r="338" hidden="1" outlineLevel="2">
      <c r="A338" s="8" t="n"/>
      <c r="B338" s="14" t="n"/>
      <c r="C338" s="125" t="n"/>
      <c r="D338" s="129" t="n"/>
      <c r="E338" s="23" t="n"/>
      <c r="F338" s="24" t="n"/>
      <c r="G338" s="24" t="n"/>
      <c r="H338" s="25" t="n"/>
      <c r="I338" s="125" t="n"/>
      <c r="J338" s="129" t="n"/>
      <c r="K338" s="23" t="n"/>
      <c r="L338" s="24" t="n"/>
      <c r="M338" s="24" t="n"/>
      <c r="N338" s="25" t="n"/>
      <c r="O338" s="125" t="n"/>
      <c r="P338" s="129" t="n"/>
      <c r="Q338" s="23" t="n"/>
      <c r="R338" s="24" t="n"/>
      <c r="S338" s="24" t="n"/>
      <c r="T338" s="25" t="n"/>
      <c r="U338" s="125" t="n"/>
    </row>
    <row r="339">
      <c r="A339" s="8" t="n"/>
      <c r="B339" s="14" t="n"/>
      <c r="C339" s="125" t="n"/>
      <c r="D339" s="125" t="n"/>
      <c r="E339" s="125" t="n"/>
      <c r="F339" s="125" t="n"/>
      <c r="G339" s="125" t="n"/>
      <c r="H339" s="125" t="n"/>
      <c r="I339" s="125" t="n"/>
      <c r="J339" s="125" t="n"/>
      <c r="K339" s="125" t="n"/>
      <c r="L339" s="125" t="n"/>
      <c r="M339" s="125" t="n"/>
      <c r="N339" s="125" t="n"/>
      <c r="O339" s="125" t="n"/>
      <c r="P339" s="125" t="n"/>
      <c r="Q339" s="125" t="n"/>
      <c r="R339" s="125" t="n"/>
      <c r="S339" s="125" t="n"/>
      <c r="T339" s="125" t="n"/>
      <c r="U339" s="125" t="n"/>
    </row>
    <row r="340">
      <c r="A340" s="8" t="n"/>
      <c r="B340" s="14" t="n"/>
      <c r="C340" s="125" t="n"/>
      <c r="D340" s="128">
        <f>DADOS_AM!$KT$37</f>
        <v/>
      </c>
      <c r="E340" s="19" t="n"/>
      <c r="F340" s="19" t="n"/>
      <c r="G340" s="19" t="n"/>
      <c r="H340" s="19" t="n"/>
      <c r="I340" s="19" t="n"/>
      <c r="J340" s="19" t="n"/>
      <c r="K340" s="19" t="n"/>
      <c r="L340" s="19" t="n"/>
      <c r="M340" s="19" t="n"/>
      <c r="N340" s="19" t="n"/>
      <c r="O340" s="19" t="n"/>
      <c r="P340" s="19" t="n"/>
      <c r="Q340" s="19" t="n"/>
      <c r="R340" s="19" t="n"/>
      <c r="S340" s="19" t="n"/>
      <c r="T340" s="20" t="n"/>
      <c r="U340" s="125" t="n"/>
    </row>
    <row r="341">
      <c r="A341" s="8" t="n"/>
      <c r="B341" s="14" t="n"/>
      <c r="C341" s="125" t="n"/>
      <c r="D341" s="23" t="n"/>
      <c r="E341" s="24" t="n"/>
      <c r="F341" s="24" t="n"/>
      <c r="G341" s="24" t="n"/>
      <c r="H341" s="24" t="n"/>
      <c r="I341" s="24" t="n"/>
      <c r="J341" s="24" t="n"/>
      <c r="K341" s="24" t="n"/>
      <c r="L341" s="24" t="n"/>
      <c r="M341" s="24" t="n"/>
      <c r="N341" s="24" t="n"/>
      <c r="O341" s="24" t="n"/>
      <c r="P341" s="24" t="n"/>
      <c r="Q341" s="24" t="n"/>
      <c r="R341" s="24" t="n"/>
      <c r="S341" s="24" t="n"/>
      <c r="T341" s="25" t="n"/>
      <c r="U341" s="125" t="n"/>
    </row>
    <row r="342" hidden="1" outlineLevel="1">
      <c r="A342" s="8" t="n"/>
      <c r="B342" s="14" t="n"/>
      <c r="C342" s="125" t="n"/>
      <c r="D342" s="55" t="inlineStr">
        <is>
          <t>NOME</t>
        </is>
      </c>
      <c r="E342" s="16" t="n"/>
      <c r="F342" s="16" t="n"/>
      <c r="G342" s="16" t="n"/>
      <c r="H342" s="17" t="n"/>
      <c r="I342" s="125" t="n"/>
      <c r="J342" s="55" t="inlineStr">
        <is>
          <t>FORMA</t>
        </is>
      </c>
      <c r="K342" s="17" t="n"/>
      <c r="L342" s="55" t="inlineStr">
        <is>
          <t>DANO</t>
        </is>
      </c>
      <c r="M342" s="16" t="n"/>
      <c r="N342" s="17" t="n"/>
      <c r="O342" s="125" t="n"/>
      <c r="P342" s="55" t="inlineStr">
        <is>
          <t>PE</t>
        </is>
      </c>
      <c r="Q342" s="17" t="n"/>
      <c r="R342" s="55" t="inlineStr">
        <is>
          <t>MONTAGEM</t>
        </is>
      </c>
      <c r="S342" s="16" t="n"/>
      <c r="T342" s="17" t="n"/>
      <c r="U342" s="125" t="n"/>
    </row>
    <row r="343" hidden="1" outlineLevel="1">
      <c r="A343" s="8" t="n"/>
      <c r="B343" s="14" t="n"/>
      <c r="C343" s="125" t="n"/>
      <c r="D343" s="84" t="n"/>
      <c r="E343" s="19" t="n"/>
      <c r="F343" s="19" t="n"/>
      <c r="G343" s="19" t="n"/>
      <c r="H343" s="20" t="n"/>
      <c r="I343" s="125" t="n"/>
      <c r="J343" s="89" t="inlineStr">
        <is>
          <t>Projétil</t>
        </is>
      </c>
      <c r="K343" s="20" t="n"/>
      <c r="L343" s="98">
        <f>DADOS_AM!$KT$38</f>
        <v/>
      </c>
      <c r="M343" s="19" t="n"/>
      <c r="N343" s="20" t="n"/>
      <c r="O343" s="125" t="n"/>
      <c r="P343" s="98">
        <f>DADOS_AM!$KT$39</f>
        <v/>
      </c>
      <c r="Q343" s="20" t="n"/>
      <c r="R343" s="98">
        <f>DADOS_AM!$KT$40</f>
        <v/>
      </c>
      <c r="S343" s="19" t="n"/>
      <c r="T343" s="20" t="n"/>
      <c r="U343" s="125" t="n"/>
    </row>
    <row r="344" hidden="1" outlineLevel="1">
      <c r="A344" s="8" t="n"/>
      <c r="B344" s="14" t="n"/>
      <c r="C344" s="125" t="n"/>
      <c r="D344" s="23" t="n"/>
      <c r="E344" s="24" t="n"/>
      <c r="F344" s="24" t="n"/>
      <c r="G344" s="24" t="n"/>
      <c r="H344" s="25" t="n"/>
      <c r="I344" s="125" t="n"/>
      <c r="J344" s="23" t="n"/>
      <c r="K344" s="25" t="n"/>
      <c r="L344" s="23" t="n"/>
      <c r="M344" s="24" t="n"/>
      <c r="N344" s="25" t="n"/>
      <c r="O344" s="125" t="n"/>
      <c r="P344" s="23" t="n"/>
      <c r="Q344" s="25" t="n"/>
      <c r="R344" s="23" t="n"/>
      <c r="S344" s="24" t="n"/>
      <c r="T344" s="25" t="n"/>
      <c r="U344" s="125" t="n"/>
    </row>
    <row r="345" hidden="1" outlineLevel="1">
      <c r="A345" s="8" t="n"/>
      <c r="B345" s="14" t="n"/>
      <c r="C345" s="125" t="n"/>
      <c r="D345" s="125" t="n"/>
      <c r="E345" s="125" t="n"/>
      <c r="F345" s="125" t="n"/>
      <c r="G345" s="125" t="n"/>
      <c r="H345" s="125" t="n"/>
      <c r="I345" s="125" t="n"/>
      <c r="J345" s="125" t="n"/>
      <c r="K345" s="125" t="n"/>
      <c r="L345" s="125" t="n"/>
      <c r="M345" s="125" t="n"/>
      <c r="N345" s="125" t="n"/>
      <c r="O345" s="125" t="n"/>
      <c r="P345" s="125" t="n"/>
      <c r="Q345" s="125" t="n"/>
      <c r="R345" s="125" t="n"/>
      <c r="S345" s="125" t="n"/>
      <c r="T345" s="125" t="n"/>
      <c r="U345" s="125" t="n"/>
    </row>
    <row r="346" hidden="1" outlineLevel="1">
      <c r="A346" s="8" t="n"/>
      <c r="B346" s="14" t="n"/>
      <c r="C346" s="125" t="n"/>
      <c r="D346" s="55" t="inlineStr">
        <is>
          <t>MELHORIAS · NOS PREÇOS DA MAIOR CLASSE</t>
        </is>
      </c>
      <c r="E346" s="16" t="n"/>
      <c r="F346" s="16" t="n"/>
      <c r="G346" s="16" t="n"/>
      <c r="H346" s="17" t="n"/>
      <c r="I346" s="125" t="n"/>
      <c r="J346" s="134" t="n"/>
      <c r="K346" s="17" t="n"/>
      <c r="L346" s="134" t="n"/>
      <c r="M346" s="16" t="n"/>
      <c r="N346" s="17" t="n"/>
      <c r="O346" s="125" t="n"/>
      <c r="P346" s="134" t="n"/>
      <c r="Q346" s="17" t="n"/>
      <c r="R346" s="134" t="n"/>
      <c r="S346" s="16" t="n"/>
      <c r="T346" s="17" t="n"/>
      <c r="U346" s="125" t="n"/>
    </row>
    <row r="347" hidden="1" outlineLevel="1">
      <c r="A347" s="8" t="n"/>
      <c r="B347" s="14" t="n"/>
      <c r="C347" s="125" t="n"/>
      <c r="D347" s="125" t="n"/>
      <c r="E347" s="125" t="n"/>
      <c r="F347" s="125" t="n"/>
      <c r="G347" s="125" t="n"/>
      <c r="H347" s="125" t="n"/>
      <c r="I347" s="125" t="n"/>
      <c r="J347" s="125" t="n"/>
      <c r="K347" s="125" t="n"/>
      <c r="L347" s="125" t="n"/>
      <c r="M347" s="125" t="n"/>
      <c r="N347" s="125" t="n"/>
      <c r="O347" s="125" t="n"/>
      <c r="P347" s="125" t="n"/>
      <c r="Q347" s="125" t="n"/>
      <c r="R347" s="125" t="n"/>
      <c r="S347" s="125" t="n"/>
      <c r="T347" s="125" t="n"/>
      <c r="U347" s="125" t="n"/>
    </row>
    <row r="348" hidden="1" outlineLevel="1">
      <c r="A348" s="8" t="n"/>
      <c r="B348" s="14" t="n"/>
      <c r="C348" s="125"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5" t="n"/>
    </row>
    <row r="349" hidden="1" outlineLevel="1">
      <c r="A349" s="8" t="n"/>
      <c r="B349" s="14" t="n"/>
      <c r="C349" s="125" t="n"/>
      <c r="D349" s="121" t="n"/>
      <c r="E349" s="19" t="n"/>
      <c r="F349" s="19" t="n"/>
      <c r="G349" s="19" t="n"/>
      <c r="H349" s="19" t="n"/>
      <c r="I349" s="19" t="n"/>
      <c r="J349" s="19" t="n"/>
      <c r="K349" s="19" t="n"/>
      <c r="L349" s="19" t="n"/>
      <c r="M349" s="19" t="n"/>
      <c r="N349" s="19" t="n"/>
      <c r="O349" s="19" t="n"/>
      <c r="P349" s="19" t="n"/>
      <c r="Q349" s="19" t="n"/>
      <c r="R349" s="19" t="n"/>
      <c r="S349" s="19" t="n"/>
      <c r="T349" s="20" t="n"/>
      <c r="U349" s="125" t="n"/>
    </row>
    <row r="350" hidden="1" outlineLevel="1">
      <c r="A350" s="8" t="n"/>
      <c r="B350" s="14" t="n"/>
      <c r="C350" s="125" t="n"/>
      <c r="D350" s="21" t="n"/>
      <c r="T350" s="22" t="n"/>
      <c r="U350" s="125" t="n"/>
    </row>
    <row r="351" hidden="1" outlineLevel="1">
      <c r="A351" s="8" t="n"/>
      <c r="B351" s="14" t="n"/>
      <c r="C351" s="125" t="n"/>
      <c r="D351" s="21" t="n"/>
      <c r="T351" s="22" t="n"/>
      <c r="U351" s="125" t="n"/>
    </row>
    <row r="352" hidden="1" outlineLevel="1">
      <c r="A352" s="8" t="n"/>
      <c r="B352" s="14" t="n"/>
      <c r="C352" s="125" t="n"/>
      <c r="D352" s="23" t="n"/>
      <c r="E352" s="24" t="n"/>
      <c r="F352" s="24" t="n"/>
      <c r="G352" s="24" t="n"/>
      <c r="H352" s="24" t="n"/>
      <c r="I352" s="24" t="n"/>
      <c r="J352" s="24" t="n"/>
      <c r="K352" s="24" t="n"/>
      <c r="L352" s="24" t="n"/>
      <c r="M352" s="24" t="n"/>
      <c r="N352" s="24" t="n"/>
      <c r="O352" s="24" t="n"/>
      <c r="P352" s="24" t="n"/>
      <c r="Q352" s="24" t="n"/>
      <c r="R352" s="24" t="n"/>
      <c r="S352" s="24" t="n"/>
      <c r="T352" s="25" t="n"/>
      <c r="U352" s="125" t="n"/>
    </row>
    <row r="353">
      <c r="A353" s="8" t="n"/>
      <c r="B353" s="14" t="n"/>
      <c r="C353" s="125" t="n"/>
      <c r="D353" s="125" t="n"/>
      <c r="E353" s="125" t="n"/>
      <c r="F353" s="125" t="n"/>
      <c r="G353" s="125" t="n"/>
      <c r="H353" s="125" t="n"/>
      <c r="I353" s="125" t="n"/>
      <c r="J353" s="125" t="n"/>
      <c r="K353" s="125" t="n"/>
      <c r="L353" s="125" t="n"/>
      <c r="M353" s="125" t="n"/>
      <c r="N353" s="125" t="n"/>
      <c r="O353" s="125" t="n"/>
      <c r="P353" s="125" t="n"/>
      <c r="Q353" s="125" t="n"/>
      <c r="R353" s="125" t="n"/>
      <c r="S353" s="125" t="n"/>
      <c r="T353" s="125" t="n"/>
      <c r="U353" s="125" t="n"/>
    </row>
    <row r="354">
      <c r="A354" s="8" t="n"/>
      <c r="B354" s="14" t="n"/>
      <c r="C354" s="125" t="n"/>
      <c r="D354" s="128">
        <f>DADOS_AM!$KT$41</f>
        <v/>
      </c>
      <c r="E354" s="19" t="n"/>
      <c r="F354" s="19" t="n"/>
      <c r="G354" s="19" t="n"/>
      <c r="H354" s="19" t="n"/>
      <c r="I354" s="19" t="n"/>
      <c r="J354" s="19" t="n"/>
      <c r="K354" s="19" t="n"/>
      <c r="L354" s="19" t="n"/>
      <c r="M354" s="19" t="n"/>
      <c r="N354" s="19" t="n"/>
      <c r="O354" s="19" t="n"/>
      <c r="P354" s="19" t="n"/>
      <c r="Q354" s="19" t="n"/>
      <c r="R354" s="19" t="n"/>
      <c r="S354" s="19" t="n"/>
      <c r="T354" s="20" t="n"/>
      <c r="U354" s="125" t="n"/>
    </row>
    <row r="355">
      <c r="A355" s="8" t="n"/>
      <c r="B355" s="14" t="n"/>
      <c r="C355" s="125" t="n"/>
      <c r="D355" s="23" t="n"/>
      <c r="E355" s="24" t="n"/>
      <c r="F355" s="24" t="n"/>
      <c r="G355" s="24" t="n"/>
      <c r="H355" s="24" t="n"/>
      <c r="I355" s="24" t="n"/>
      <c r="J355" s="24" t="n"/>
      <c r="K355" s="24" t="n"/>
      <c r="L355" s="24" t="n"/>
      <c r="M355" s="24" t="n"/>
      <c r="N355" s="24" t="n"/>
      <c r="O355" s="24" t="n"/>
      <c r="P355" s="24" t="n"/>
      <c r="Q355" s="24" t="n"/>
      <c r="R355" s="24" t="n"/>
      <c r="S355" s="24" t="n"/>
      <c r="T355" s="25" t="n"/>
      <c r="U355" s="125" t="n"/>
    </row>
    <row r="356" hidden="1" outlineLevel="1">
      <c r="A356" s="8" t="n"/>
      <c r="B356" s="14" t="n"/>
      <c r="C356" s="125" t="n"/>
      <c r="D356" s="55" t="inlineStr">
        <is>
          <t>DEGRAU</t>
        </is>
      </c>
      <c r="E356" s="17" t="n"/>
      <c r="F356" s="55" t="inlineStr">
        <is>
          <t>CUSTA</t>
        </is>
      </c>
      <c r="G356" s="16" t="n"/>
      <c r="H356" s="17" t="n"/>
      <c r="I356" s="125" t="n"/>
      <c r="J356" s="55" t="inlineStr">
        <is>
          <t>REQUISITO</t>
        </is>
      </c>
      <c r="K356" s="16" t="n"/>
      <c r="L356" s="16" t="n"/>
      <c r="M356" s="16" t="n"/>
      <c r="N356" s="17" t="n"/>
      <c r="O356" s="125" t="n"/>
      <c r="P356" s="55" t="inlineStr">
        <is>
          <t>REFINO</t>
        </is>
      </c>
      <c r="Q356" s="17" t="n"/>
      <c r="R356" s="55" t="inlineStr">
        <is>
          <t>NA CORRIDA</t>
        </is>
      </c>
      <c r="S356" s="16" t="n"/>
      <c r="T356" s="17" t="n"/>
      <c r="U356" s="125" t="n"/>
    </row>
    <row r="357" hidden="1" outlineLevel="1">
      <c r="A357" s="8" t="n"/>
      <c r="B357" s="14" t="n"/>
      <c r="C357" s="125" t="n"/>
      <c r="D357" s="89" t="n"/>
      <c r="E357" s="20" t="n"/>
      <c r="F357" s="89">
        <f>DADOS_AM!$KT$42</f>
        <v/>
      </c>
      <c r="G357" s="19" t="n"/>
      <c r="H357" s="20" t="n"/>
      <c r="I357" s="125" t="n"/>
      <c r="J357" s="89">
        <f>DADOS_AM!$KT$43</f>
        <v/>
      </c>
      <c r="K357" s="19" t="n"/>
      <c r="L357" s="19" t="n"/>
      <c r="M357" s="19" t="n"/>
      <c r="N357" s="20" t="n"/>
      <c r="O357" s="125" t="n"/>
      <c r="P357" s="98">
        <f>DADOS_AM!$KT$44</f>
        <v/>
      </c>
      <c r="Q357" s="20" t="n"/>
      <c r="R357" s="89">
        <f>DADOS_AM!$KT$45</f>
        <v/>
      </c>
      <c r="S357" s="19" t="n"/>
      <c r="T357" s="20" t="n"/>
      <c r="U357" s="125" t="n"/>
    </row>
    <row r="358" hidden="1" outlineLevel="1">
      <c r="A358" s="8" t="n"/>
      <c r="B358" s="14" t="n"/>
      <c r="C358" s="125" t="n"/>
      <c r="D358" s="23" t="n"/>
      <c r="E358" s="25" t="n"/>
      <c r="F358" s="23" t="n"/>
      <c r="G358" s="24" t="n"/>
      <c r="H358" s="25" t="n"/>
      <c r="I358" s="125" t="n"/>
      <c r="J358" s="23" t="n"/>
      <c r="K358" s="24" t="n"/>
      <c r="L358" s="24" t="n"/>
      <c r="M358" s="24" t="n"/>
      <c r="N358" s="25" t="n"/>
      <c r="O358" s="125" t="n"/>
      <c r="P358" s="23" t="n"/>
      <c r="Q358" s="25" t="n"/>
      <c r="R358" s="23" t="n"/>
      <c r="S358" s="24" t="n"/>
      <c r="T358" s="25" t="n"/>
      <c r="U358" s="125" t="n"/>
    </row>
    <row r="359" hidden="1" outlineLevel="1">
      <c r="A359" s="8" t="n"/>
      <c r="B359" s="14" t="n"/>
      <c r="C359" s="125" t="n"/>
      <c r="D359" s="125" t="n"/>
      <c r="E359" s="125" t="n"/>
      <c r="F359" s="125" t="n"/>
      <c r="G359" s="125" t="n"/>
      <c r="H359" s="125" t="n"/>
      <c r="I359" s="125" t="n"/>
      <c r="J359" s="125" t="n"/>
      <c r="K359" s="125" t="n"/>
      <c r="L359" s="125" t="n"/>
      <c r="M359" s="125" t="n"/>
      <c r="N359" s="125" t="n"/>
      <c r="O359" s="125" t="n"/>
      <c r="P359" s="125" t="n"/>
      <c r="Q359" s="125" t="n"/>
      <c r="R359" s="125" t="n"/>
      <c r="S359" s="125" t="n"/>
      <c r="T359" s="125" t="n"/>
      <c r="U359" s="125" t="n"/>
    </row>
    <row r="360" hidden="1" outlineLevel="1">
      <c r="A360" s="8" t="n"/>
      <c r="B360" s="14" t="n"/>
      <c r="C360" s="125" t="n"/>
      <c r="D360" s="55" t="inlineStr">
        <is>
          <t>AO ABRIR</t>
        </is>
      </c>
      <c r="E360" s="17" t="n"/>
      <c r="F360" s="55" t="inlineStr">
        <is>
          <t>PE</t>
        </is>
      </c>
      <c r="G360" s="55" t="inlineStr">
        <is>
          <t>DURA</t>
        </is>
      </c>
      <c r="H360" s="17" t="n"/>
      <c r="I360" s="125" t="n"/>
      <c r="J360" s="55" t="inlineStr">
        <is>
          <t>RAIO</t>
        </is>
      </c>
      <c r="K360" s="55" t="inlineStr">
        <is>
          <t>FEITIÇO LÁ DENTRO</t>
        </is>
      </c>
      <c r="L360" s="55" t="inlineStr">
        <is>
          <t>BARREIRA</t>
        </is>
      </c>
      <c r="M360" s="55" t="inlineStr">
        <is>
          <t>O ACERTO</t>
        </is>
      </c>
      <c r="N360" s="17" t="n"/>
      <c r="O360" s="125" t="n"/>
      <c r="P360" s="55" t="inlineStr">
        <is>
          <t>NOME DO DOMÍNIO</t>
        </is>
      </c>
      <c r="Q360" s="16" t="n"/>
      <c r="R360" s="16" t="n"/>
      <c r="S360" s="16" t="n"/>
      <c r="T360" s="17" t="n"/>
      <c r="U360" s="125" t="n"/>
    </row>
    <row r="361" hidden="1" outlineLevel="1">
      <c r="A361" s="8" t="n"/>
      <c r="B361" s="14" t="n"/>
      <c r="C361" s="125" t="n"/>
      <c r="D361" s="134">
        <f>DADOS_AM!$KT$46</f>
        <v/>
      </c>
      <c r="E361" s="17" t="n"/>
      <c r="F361" s="89">
        <f>DADOS_AM!$KT$47</f>
        <v/>
      </c>
      <c r="G361" s="89">
        <f>DADOS_AM!$KT$48</f>
        <v/>
      </c>
      <c r="H361" s="17" t="n"/>
      <c r="I361" s="125" t="n"/>
      <c r="J361" s="89">
        <f>DADOS_AM!$KT$49</f>
        <v/>
      </c>
      <c r="K361" s="89">
        <f>DADOS_AM!$KT$50</f>
        <v/>
      </c>
      <c r="L361" s="89" t="inlineStr">
        <is>
          <t>Não fecha</t>
        </is>
      </c>
      <c r="M361" s="89" t="inlineStr">
        <is>
          <t>Rola</t>
        </is>
      </c>
      <c r="N361" s="17" t="n"/>
      <c r="O361" s="125" t="n"/>
      <c r="P361" s="84" t="n"/>
      <c r="Q361" s="19" t="n"/>
      <c r="R361" s="19" t="n"/>
      <c r="S361" s="19" t="n"/>
      <c r="T361" s="20" t="n"/>
      <c r="U361" s="125" t="n"/>
    </row>
    <row r="362" hidden="1" outlineLevel="1">
      <c r="A362" s="8" t="n"/>
      <c r="B362" s="14" t="n"/>
      <c r="C362" s="125" t="n"/>
      <c r="D362" s="134">
        <f>DADOS_AM!$KT$51</f>
        <v/>
      </c>
      <c r="E362" s="17" t="n"/>
      <c r="F362" s="89">
        <f>DADOS_AM!$KT$52</f>
        <v/>
      </c>
      <c r="G362" s="89">
        <f>DADOS_AM!$KT$53</f>
        <v/>
      </c>
      <c r="H362" s="17" t="n"/>
      <c r="I362" s="125" t="n"/>
      <c r="J362" s="89">
        <f>DADOS_AM!$KT$54</f>
        <v/>
      </c>
      <c r="K362" s="89">
        <f>DADOS_AM!$KT$55</f>
        <v/>
      </c>
      <c r="L362" s="89">
        <f>DADOS_AM!$KT$56</f>
        <v/>
      </c>
      <c r="M362" s="89" t="inlineStr">
        <is>
          <t>Acontece</t>
        </is>
      </c>
      <c r="N362" s="17" t="n"/>
      <c r="O362" s="125" t="n"/>
      <c r="P362" s="21" t="n"/>
      <c r="T362" s="22" t="n"/>
      <c r="U362" s="125" t="n"/>
    </row>
    <row r="363" hidden="1" outlineLevel="1">
      <c r="A363" s="8" t="n"/>
      <c r="B363" s="14" t="n"/>
      <c r="C363" s="125" t="n"/>
      <c r="D363" s="134">
        <f>DADOS_AM!$KT$57</f>
        <v/>
      </c>
      <c r="E363" s="17" t="n"/>
      <c r="F363" s="89">
        <f>DADOS_AM!$KT$58</f>
        <v/>
      </c>
      <c r="G363" s="89">
        <f>DADOS_AM!$KT$59</f>
        <v/>
      </c>
      <c r="H363" s="17" t="n"/>
      <c r="I363" s="125" t="n"/>
      <c r="J363" s="89" t="inlineStr">
        <is>
          <t>199,5 m</t>
        </is>
      </c>
      <c r="K363" s="89">
        <f>DADOS_AM!$KT$60</f>
        <v/>
      </c>
      <c r="L363" s="89" t="inlineStr">
        <is>
          <t>Não tem</t>
        </is>
      </c>
      <c r="M363" s="89" t="inlineStr">
        <is>
          <t>Acontece</t>
        </is>
      </c>
      <c r="N363" s="17" t="n"/>
      <c r="O363" s="125" t="n"/>
      <c r="P363" s="23" t="n"/>
      <c r="Q363" s="24" t="n"/>
      <c r="R363" s="24" t="n"/>
      <c r="S363" s="24" t="n"/>
      <c r="T363" s="25" t="n"/>
      <c r="U363" s="125" t="n"/>
    </row>
    <row r="364" hidden="1" outlineLevel="1">
      <c r="A364" s="8" t="n"/>
      <c r="B364" s="14" t="n"/>
      <c r="C364" s="125" t="n"/>
      <c r="D364" s="125" t="n"/>
      <c r="E364" s="125" t="n"/>
      <c r="F364" s="125" t="n"/>
      <c r="G364" s="125" t="n"/>
      <c r="H364" s="125" t="n"/>
      <c r="I364" s="125" t="n"/>
      <c r="J364" s="125" t="n"/>
      <c r="K364" s="125" t="n"/>
      <c r="L364" s="125" t="n"/>
      <c r="M364" s="125" t="n"/>
      <c r="N364" s="125" t="n"/>
      <c r="O364" s="125" t="n"/>
      <c r="P364" s="125" t="n"/>
      <c r="Q364" s="125" t="n"/>
      <c r="R364" s="125" t="n"/>
      <c r="S364" s="125" t="n"/>
      <c r="T364" s="125" t="n"/>
      <c r="U364" s="125" t="n"/>
    </row>
    <row r="365" hidden="1" outlineLevel="1">
      <c r="A365" s="8" t="n"/>
      <c r="B365" s="14" t="n"/>
      <c r="C365" s="125"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5" t="n"/>
    </row>
    <row r="366" hidden="1" outlineLevel="1">
      <c r="A366" s="8" t="n"/>
      <c r="B366" s="14" t="n"/>
      <c r="C366" s="125" t="n"/>
      <c r="D366" s="121" t="n"/>
      <c r="E366" s="19" t="n"/>
      <c r="F366" s="19" t="n"/>
      <c r="G366" s="19" t="n"/>
      <c r="H366" s="19" t="n"/>
      <c r="I366" s="19" t="n"/>
      <c r="J366" s="19" t="n"/>
      <c r="K366" s="20" t="n"/>
      <c r="L366" s="121" t="n"/>
      <c r="M366" s="19" t="n"/>
      <c r="N366" s="19" t="n"/>
      <c r="O366" s="19" t="n"/>
      <c r="P366" s="19" t="n"/>
      <c r="Q366" s="19" t="n"/>
      <c r="R366" s="19" t="n"/>
      <c r="S366" s="19" t="n"/>
      <c r="T366" s="20" t="n"/>
      <c r="U366" s="125" t="n"/>
    </row>
    <row r="367" hidden="1" outlineLevel="1">
      <c r="A367" s="8" t="n"/>
      <c r="B367" s="14" t="n"/>
      <c r="C367" s="125" t="n"/>
      <c r="D367" s="21" t="n"/>
      <c r="K367" s="22" t="n"/>
      <c r="L367" s="21" t="n"/>
      <c r="T367" s="22" t="n"/>
      <c r="U367" s="125" t="n"/>
    </row>
    <row r="368" hidden="1" outlineLevel="1">
      <c r="A368" s="8" t="n"/>
      <c r="B368" s="14" t="n"/>
      <c r="C368" s="125" t="n"/>
      <c r="D368" s="23" t="n"/>
      <c r="E368" s="24" t="n"/>
      <c r="F368" s="24" t="n"/>
      <c r="G368" s="24" t="n"/>
      <c r="H368" s="24" t="n"/>
      <c r="I368" s="24" t="n"/>
      <c r="J368" s="24" t="n"/>
      <c r="K368" s="25" t="n"/>
      <c r="L368" s="23" t="n"/>
      <c r="M368" s="24" t="n"/>
      <c r="N368" s="24" t="n"/>
      <c r="O368" s="24" t="n"/>
      <c r="P368" s="24" t="n"/>
      <c r="Q368" s="24" t="n"/>
      <c r="R368" s="24" t="n"/>
      <c r="S368" s="24" t="n"/>
      <c r="T368" s="25" t="n"/>
      <c r="U368" s="125" t="n"/>
    </row>
    <row r="369" hidden="1" outlineLevel="1">
      <c r="A369" s="8" t="n"/>
      <c r="B369" s="14" t="n"/>
      <c r="C369" s="125" t="n"/>
      <c r="D369" s="125" t="n"/>
      <c r="E369" s="125" t="n"/>
      <c r="F369" s="125" t="n"/>
      <c r="G369" s="125" t="n"/>
      <c r="H369" s="125" t="n"/>
      <c r="I369" s="125" t="n"/>
      <c r="J369" s="125" t="n"/>
      <c r="K369" s="125" t="n"/>
      <c r="L369" s="125" t="n"/>
      <c r="M369" s="125" t="n"/>
      <c r="N369" s="125" t="n"/>
      <c r="O369" s="125" t="n"/>
      <c r="P369" s="125" t="n"/>
      <c r="Q369" s="125" t="n"/>
      <c r="R369" s="125" t="n"/>
      <c r="S369" s="125" t="n"/>
      <c r="T369" s="125" t="n"/>
      <c r="U369" s="125" t="n"/>
    </row>
    <row r="370" hidden="1" outlineLevel="1">
      <c r="A370" s="8" t="n"/>
      <c r="B370" s="14" t="n"/>
      <c r="C370" s="125"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5" t="n"/>
    </row>
    <row r="371" hidden="1" outlineLevel="1">
      <c r="A371" s="8" t="n"/>
      <c r="B371" s="14" t="n"/>
      <c r="C371" s="125" t="n"/>
      <c r="D371" s="121" t="n"/>
      <c r="E371" s="19" t="n"/>
      <c r="F371" s="19" t="n"/>
      <c r="G371" s="19" t="n"/>
      <c r="H371" s="19" t="n"/>
      <c r="I371" s="19" t="n"/>
      <c r="J371" s="19" t="n"/>
      <c r="K371" s="19" t="n"/>
      <c r="L371" s="19" t="n"/>
      <c r="M371" s="19" t="n"/>
      <c r="N371" s="19" t="n"/>
      <c r="O371" s="19" t="n"/>
      <c r="P371" s="19" t="n"/>
      <c r="Q371" s="19" t="n"/>
      <c r="R371" s="19" t="n"/>
      <c r="S371" s="19" t="n"/>
      <c r="T371" s="20" t="n"/>
      <c r="U371" s="125" t="n"/>
    </row>
    <row r="372" hidden="1" outlineLevel="1">
      <c r="A372" s="8" t="n"/>
      <c r="B372" s="14" t="n"/>
      <c r="C372" s="125" t="n"/>
      <c r="D372" s="21" t="n"/>
      <c r="T372" s="22" t="n"/>
      <c r="U372" s="125" t="n"/>
    </row>
    <row r="373" hidden="1" outlineLevel="1">
      <c r="A373" s="8" t="n"/>
      <c r="B373" s="14" t="n"/>
      <c r="C373" s="125" t="n"/>
      <c r="D373" s="21" t="n"/>
      <c r="T373" s="22" t="n"/>
      <c r="U373" s="125" t="n"/>
    </row>
    <row r="374" hidden="1" outlineLevel="1">
      <c r="A374" s="8" t="n"/>
      <c r="B374" s="14" t="n"/>
      <c r="C374" s="125" t="n"/>
      <c r="D374" s="23" t="n"/>
      <c r="E374" s="24" t="n"/>
      <c r="F374" s="24" t="n"/>
      <c r="G374" s="24" t="n"/>
      <c r="H374" s="24" t="n"/>
      <c r="I374" s="24" t="n"/>
      <c r="J374" s="24" t="n"/>
      <c r="K374" s="24" t="n"/>
      <c r="L374" s="24" t="n"/>
      <c r="M374" s="24" t="n"/>
      <c r="N374" s="24" t="n"/>
      <c r="O374" s="24" t="n"/>
      <c r="P374" s="24" t="n"/>
      <c r="Q374" s="24" t="n"/>
      <c r="R374" s="24" t="n"/>
      <c r="S374" s="24" t="n"/>
      <c r="T374" s="25" t="n"/>
      <c r="U374" s="125" t="n"/>
    </row>
    <row r="375">
      <c r="A375" s="8" t="n"/>
      <c r="B375" s="14" t="n"/>
      <c r="C375" s="125" t="n"/>
      <c r="D375" s="125" t="n"/>
      <c r="E375" s="125" t="n"/>
      <c r="F375" s="125" t="n"/>
      <c r="G375" s="125" t="n"/>
      <c r="H375" s="125" t="n"/>
      <c r="I375" s="125" t="n"/>
      <c r="J375" s="125" t="n"/>
      <c r="K375" s="125" t="n"/>
      <c r="L375" s="125" t="n"/>
      <c r="M375" s="125" t="n"/>
      <c r="N375" s="125" t="n"/>
      <c r="O375" s="125" t="n"/>
      <c r="P375" s="125" t="n"/>
      <c r="Q375" s="125" t="n"/>
      <c r="R375" s="125" t="n"/>
      <c r="S375" s="125" t="n"/>
      <c r="T375" s="125" t="n"/>
      <c r="U375" s="125" t="n"/>
    </row>
    <row r="376">
      <c r="A376" s="8" t="n"/>
      <c r="B376" s="14" t="n"/>
      <c r="C376" s="125" t="n"/>
      <c r="D376" s="128"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5" t="n"/>
    </row>
    <row r="377">
      <c r="A377" s="8" t="n"/>
      <c r="B377" s="14" t="n"/>
      <c r="C377" s="125" t="n"/>
      <c r="D377" s="23" t="n"/>
      <c r="E377" s="24" t="n"/>
      <c r="F377" s="24" t="n"/>
      <c r="G377" s="24" t="n"/>
      <c r="H377" s="24" t="n"/>
      <c r="I377" s="24" t="n"/>
      <c r="J377" s="24" t="n"/>
      <c r="K377" s="24" t="n"/>
      <c r="L377" s="24" t="n"/>
      <c r="M377" s="24" t="n"/>
      <c r="N377" s="24" t="n"/>
      <c r="O377" s="24" t="n"/>
      <c r="P377" s="24" t="n"/>
      <c r="Q377" s="24" t="n"/>
      <c r="R377" s="24" t="n"/>
      <c r="S377" s="24" t="n"/>
      <c r="T377" s="25" t="n"/>
      <c r="U377" s="125" t="n"/>
    </row>
    <row r="378" outlineLevel="1">
      <c r="A378" s="8" t="n"/>
      <c r="B378" s="14" t="n"/>
      <c r="C378" s="125" t="n"/>
      <c r="D378" s="125" t="n"/>
      <c r="E378" s="125" t="n"/>
      <c r="F378" s="125" t="n"/>
      <c r="G378" s="125" t="n"/>
      <c r="H378" s="125" t="n"/>
      <c r="I378" s="125" t="n"/>
      <c r="J378" s="125" t="n"/>
      <c r="K378" s="125" t="n"/>
      <c r="L378" s="125" t="n"/>
      <c r="M378" s="125" t="n"/>
      <c r="N378" s="125" t="n"/>
      <c r="O378" s="125" t="n"/>
      <c r="P378" s="125" t="n"/>
      <c r="Q378" s="125" t="n"/>
      <c r="R378" s="125" t="n"/>
      <c r="S378" s="125" t="n"/>
      <c r="T378" s="125" t="n"/>
      <c r="U378" s="125" t="n"/>
    </row>
    <row r="379" outlineLevel="1">
      <c r="A379" s="8" t="n"/>
      <c r="B379" s="14" t="n"/>
      <c r="C379" s="125" t="n"/>
      <c r="D379" s="138" t="n"/>
      <c r="E379" s="17" t="n"/>
      <c r="F379" s="133">
        <f>DADOS_AM!$HR$2</f>
        <v/>
      </c>
      <c r="G379" s="133">
        <f>DADOS_AM!$HS$2</f>
        <v/>
      </c>
      <c r="H379" s="17" t="n"/>
      <c r="I379" s="125" t="n"/>
      <c r="J379" s="138" t="n"/>
      <c r="K379" s="17" t="n"/>
      <c r="L379" s="133">
        <f>DADOS_AM!$HR$3</f>
        <v/>
      </c>
      <c r="M379" s="133">
        <f>DADOS_AM!$HS$3</f>
        <v/>
      </c>
      <c r="N379" s="17" t="n"/>
      <c r="O379" s="125" t="n"/>
      <c r="P379" s="138" t="n"/>
      <c r="Q379" s="17" t="n"/>
      <c r="R379" s="133">
        <f>DADOS_AM!$HR$4</f>
        <v/>
      </c>
      <c r="S379" s="133">
        <f>DADOS_AM!$HS$4</f>
        <v/>
      </c>
      <c r="T379" s="17" t="n"/>
      <c r="U379" s="125" t="n"/>
    </row>
    <row r="380" outlineLevel="2">
      <c r="A380" s="8" t="n"/>
      <c r="B380" s="14" t="n"/>
      <c r="C380" s="125" t="n"/>
      <c r="D380" s="55" t="inlineStr">
        <is>
          <t>O QUE FAZ</t>
        </is>
      </c>
      <c r="E380" s="16" t="n"/>
      <c r="F380" s="16" t="n"/>
      <c r="G380" s="16" t="n"/>
      <c r="H380" s="17" t="n"/>
      <c r="I380" s="125" t="n"/>
      <c r="J380" s="55" t="inlineStr">
        <is>
          <t>O QUE FAZ</t>
        </is>
      </c>
      <c r="K380" s="16" t="n"/>
      <c r="L380" s="16" t="n"/>
      <c r="M380" s="16" t="n"/>
      <c r="N380" s="17" t="n"/>
      <c r="O380" s="125" t="n"/>
      <c r="P380" s="55" t="inlineStr">
        <is>
          <t>O QUE FAZ</t>
        </is>
      </c>
      <c r="Q380" s="16" t="n"/>
      <c r="R380" s="16" t="n"/>
      <c r="S380" s="16" t="n"/>
      <c r="T380" s="17" t="n"/>
      <c r="U380" s="125" t="n"/>
    </row>
    <row r="381" outlineLevel="2">
      <c r="A381" s="8" t="n"/>
      <c r="B381" s="14" t="n"/>
      <c r="C381" s="125" t="n"/>
      <c r="D381" s="121">
        <f>DADOS_AM!$HQ$2</f>
        <v/>
      </c>
      <c r="E381" s="19" t="n"/>
      <c r="F381" s="19" t="n"/>
      <c r="G381" s="19" t="n"/>
      <c r="H381" s="20" t="n"/>
      <c r="I381" s="125" t="n"/>
      <c r="J381" s="121">
        <f>DADOS_AM!$HQ$3</f>
        <v/>
      </c>
      <c r="K381" s="19" t="n"/>
      <c r="L381" s="19" t="n"/>
      <c r="M381" s="19" t="n"/>
      <c r="N381" s="20" t="n"/>
      <c r="O381" s="125" t="n"/>
      <c r="P381" s="121">
        <f>DADOS_AM!$HQ$4</f>
        <v/>
      </c>
      <c r="Q381" s="19" t="n"/>
      <c r="R381" s="19" t="n"/>
      <c r="S381" s="19" t="n"/>
      <c r="T381" s="20" t="n"/>
      <c r="U381" s="125" t="n"/>
    </row>
    <row r="382" outlineLevel="2">
      <c r="A382" s="8" t="n"/>
      <c r="B382" s="14" t="n"/>
      <c r="C382" s="125" t="n"/>
      <c r="D382" s="21" t="n"/>
      <c r="H382" s="22" t="n"/>
      <c r="I382" s="125" t="n"/>
      <c r="J382" s="21" t="n"/>
      <c r="N382" s="22" t="n"/>
      <c r="O382" s="125" t="n"/>
      <c r="P382" s="21" t="n"/>
      <c r="T382" s="22" t="n"/>
      <c r="U382" s="125" t="n"/>
    </row>
    <row r="383" outlineLevel="2">
      <c r="A383" s="8" t="n"/>
      <c r="B383" s="14" t="n"/>
      <c r="C383" s="125" t="n"/>
      <c r="D383" s="23" t="n"/>
      <c r="E383" s="24" t="n"/>
      <c r="F383" s="24" t="n"/>
      <c r="G383" s="24" t="n"/>
      <c r="H383" s="25" t="n"/>
      <c r="I383" s="125" t="n"/>
      <c r="J383" s="23" t="n"/>
      <c r="K383" s="24" t="n"/>
      <c r="L383" s="24" t="n"/>
      <c r="M383" s="24" t="n"/>
      <c r="N383" s="25" t="n"/>
      <c r="O383" s="125" t="n"/>
      <c r="P383" s="23" t="n"/>
      <c r="Q383" s="24" t="n"/>
      <c r="R383" s="24" t="n"/>
      <c r="S383" s="24" t="n"/>
      <c r="T383" s="25" t="n"/>
      <c r="U383" s="125" t="n"/>
    </row>
    <row r="384" outlineLevel="2">
      <c r="A384" s="8" t="n"/>
      <c r="B384" s="14" t="n"/>
      <c r="C384" s="125" t="n"/>
      <c r="D384" s="55" t="inlineStr">
        <is>
          <t>SEU TEXTO</t>
        </is>
      </c>
      <c r="E384" s="121" t="n"/>
      <c r="F384" s="19" t="n"/>
      <c r="G384" s="19" t="n"/>
      <c r="H384" s="20" t="n"/>
      <c r="I384" s="125" t="n"/>
      <c r="J384" s="55" t="inlineStr">
        <is>
          <t>SEU TEXTO</t>
        </is>
      </c>
      <c r="K384" s="121" t="n"/>
      <c r="L384" s="19" t="n"/>
      <c r="M384" s="19" t="n"/>
      <c r="N384" s="20" t="n"/>
      <c r="O384" s="125" t="n"/>
      <c r="P384" s="55" t="inlineStr">
        <is>
          <t>SEU TEXTO</t>
        </is>
      </c>
      <c r="Q384" s="121" t="n"/>
      <c r="R384" s="19" t="n"/>
      <c r="S384" s="19" t="n"/>
      <c r="T384" s="20" t="n"/>
      <c r="U384" s="125" t="n"/>
    </row>
    <row r="385" outlineLevel="2">
      <c r="A385" s="8" t="n"/>
      <c r="B385" s="14" t="n"/>
      <c r="C385" s="125" t="n"/>
      <c r="D385" s="129" t="n"/>
      <c r="E385" s="23" t="n"/>
      <c r="F385" s="24" t="n"/>
      <c r="G385" s="24" t="n"/>
      <c r="H385" s="25" t="n"/>
      <c r="I385" s="125" t="n"/>
      <c r="J385" s="129" t="n"/>
      <c r="K385" s="23" t="n"/>
      <c r="L385" s="24" t="n"/>
      <c r="M385" s="24" t="n"/>
      <c r="N385" s="25" t="n"/>
      <c r="O385" s="125" t="n"/>
      <c r="P385" s="129" t="n"/>
      <c r="Q385" s="23" t="n"/>
      <c r="R385" s="24" t="n"/>
      <c r="S385" s="24" t="n"/>
      <c r="T385" s="25" t="n"/>
      <c r="U385" s="125" t="n"/>
    </row>
    <row r="386" outlineLevel="1">
      <c r="A386" s="8" t="n"/>
      <c r="B386" s="14" t="n"/>
      <c r="C386" s="125" t="n"/>
      <c r="D386" s="125" t="n"/>
      <c r="E386" s="125" t="n"/>
      <c r="F386" s="125" t="n"/>
      <c r="G386" s="125" t="n"/>
      <c r="H386" s="125" t="n"/>
      <c r="I386" s="125" t="n"/>
      <c r="J386" s="125" t="n"/>
      <c r="K386" s="125" t="n"/>
      <c r="L386" s="125" t="n"/>
      <c r="M386" s="125" t="n"/>
      <c r="N386" s="125" t="n"/>
      <c r="O386" s="125" t="n"/>
      <c r="P386" s="125" t="n"/>
      <c r="Q386" s="125" t="n"/>
      <c r="R386" s="125" t="n"/>
      <c r="S386" s="125" t="n"/>
      <c r="T386" s="125" t="n"/>
      <c r="U386" s="125" t="n"/>
    </row>
    <row r="387" outlineLevel="1">
      <c r="A387" s="8" t="n"/>
      <c r="B387" s="14" t="n"/>
      <c r="C387" s="125" t="n"/>
      <c r="D387" s="138" t="n"/>
      <c r="E387" s="17" t="n"/>
      <c r="F387" s="133">
        <f>DADOS_AM!$HR$5</f>
        <v/>
      </c>
      <c r="G387" s="133">
        <f>DADOS_AM!$HS$5</f>
        <v/>
      </c>
      <c r="H387" s="17" t="n"/>
      <c r="I387" s="125" t="n"/>
      <c r="J387" s="138" t="n"/>
      <c r="K387" s="17" t="n"/>
      <c r="L387" s="133">
        <f>DADOS_AM!$HR$6</f>
        <v/>
      </c>
      <c r="M387" s="133">
        <f>DADOS_AM!$HS$6</f>
        <v/>
      </c>
      <c r="N387" s="17" t="n"/>
      <c r="O387" s="125" t="n"/>
      <c r="P387" s="125" t="n"/>
      <c r="Q387" s="125" t="n"/>
      <c r="R387" s="125" t="n"/>
      <c r="S387" s="125" t="n"/>
      <c r="T387" s="125" t="n"/>
      <c r="U387" s="125" t="n"/>
    </row>
    <row r="388" hidden="1" outlineLevel="2">
      <c r="A388" s="8" t="n"/>
      <c r="B388" s="14" t="n"/>
      <c r="C388" s="125" t="n"/>
      <c r="D388" s="55" t="inlineStr">
        <is>
          <t>O QUE FAZ</t>
        </is>
      </c>
      <c r="E388" s="16" t="n"/>
      <c r="F388" s="16" t="n"/>
      <c r="G388" s="16" t="n"/>
      <c r="H388" s="17" t="n"/>
      <c r="I388" s="125" t="n"/>
      <c r="J388" s="55" t="inlineStr">
        <is>
          <t>O QUE FAZ</t>
        </is>
      </c>
      <c r="K388" s="16" t="n"/>
      <c r="L388" s="16" t="n"/>
      <c r="M388" s="16" t="n"/>
      <c r="N388" s="17" t="n"/>
      <c r="O388" s="125" t="n"/>
      <c r="P388" s="125" t="n"/>
      <c r="Q388" s="125" t="n"/>
      <c r="R388" s="125" t="n"/>
      <c r="S388" s="125" t="n"/>
      <c r="T388" s="125" t="n"/>
      <c r="U388" s="125" t="n"/>
    </row>
    <row r="389" hidden="1" outlineLevel="2">
      <c r="A389" s="8" t="n"/>
      <c r="B389" s="14" t="n"/>
      <c r="C389" s="125" t="n"/>
      <c r="D389" s="121">
        <f>DADOS_AM!$HQ$5</f>
        <v/>
      </c>
      <c r="E389" s="19" t="n"/>
      <c r="F389" s="19" t="n"/>
      <c r="G389" s="19" t="n"/>
      <c r="H389" s="20" t="n"/>
      <c r="I389" s="125" t="n"/>
      <c r="J389" s="121">
        <f>DADOS_AM!$HQ$6</f>
        <v/>
      </c>
      <c r="K389" s="19" t="n"/>
      <c r="L389" s="19" t="n"/>
      <c r="M389" s="19" t="n"/>
      <c r="N389" s="20" t="n"/>
      <c r="O389" s="125" t="n"/>
      <c r="P389" s="125" t="n"/>
      <c r="Q389" s="125" t="n"/>
      <c r="R389" s="125" t="n"/>
      <c r="S389" s="125" t="n"/>
      <c r="T389" s="125" t="n"/>
      <c r="U389" s="125" t="n"/>
    </row>
    <row r="390" hidden="1" outlineLevel="2">
      <c r="A390" s="8" t="n"/>
      <c r="B390" s="14" t="n"/>
      <c r="C390" s="125" t="n"/>
      <c r="D390" s="21" t="n"/>
      <c r="H390" s="22" t="n"/>
      <c r="I390" s="125" t="n"/>
      <c r="J390" s="21" t="n"/>
      <c r="N390" s="22" t="n"/>
      <c r="O390" s="125" t="n"/>
      <c r="P390" s="125" t="n"/>
      <c r="Q390" s="125" t="n"/>
      <c r="R390" s="125" t="n"/>
      <c r="S390" s="125" t="n"/>
      <c r="T390" s="125" t="n"/>
      <c r="U390" s="125" t="n"/>
    </row>
    <row r="391" hidden="1" outlineLevel="2">
      <c r="A391" s="8" t="n"/>
      <c r="B391" s="14" t="n"/>
      <c r="C391" s="125" t="n"/>
      <c r="D391" s="23" t="n"/>
      <c r="E391" s="24" t="n"/>
      <c r="F391" s="24" t="n"/>
      <c r="G391" s="24" t="n"/>
      <c r="H391" s="25" t="n"/>
      <c r="I391" s="125" t="n"/>
      <c r="J391" s="23" t="n"/>
      <c r="K391" s="24" t="n"/>
      <c r="L391" s="24" t="n"/>
      <c r="M391" s="24" t="n"/>
      <c r="N391" s="25" t="n"/>
      <c r="O391" s="125" t="n"/>
      <c r="P391" s="125" t="n"/>
      <c r="Q391" s="125" t="n"/>
      <c r="R391" s="125" t="n"/>
      <c r="S391" s="125" t="n"/>
      <c r="T391" s="125" t="n"/>
      <c r="U391" s="125" t="n"/>
    </row>
    <row r="392" hidden="1" outlineLevel="2">
      <c r="A392" s="8" t="n"/>
      <c r="B392" s="14" t="n"/>
      <c r="C392" s="125" t="n"/>
      <c r="D392" s="55" t="inlineStr">
        <is>
          <t>SEU TEXTO</t>
        </is>
      </c>
      <c r="E392" s="121" t="n"/>
      <c r="F392" s="19" t="n"/>
      <c r="G392" s="19" t="n"/>
      <c r="H392" s="20" t="n"/>
      <c r="I392" s="125" t="n"/>
      <c r="J392" s="55" t="inlineStr">
        <is>
          <t>SEU TEXTO</t>
        </is>
      </c>
      <c r="K392" s="121" t="n"/>
      <c r="L392" s="19" t="n"/>
      <c r="M392" s="19" t="n"/>
      <c r="N392" s="20" t="n"/>
      <c r="O392" s="125" t="n"/>
      <c r="P392" s="125" t="n"/>
      <c r="Q392" s="125" t="n"/>
      <c r="R392" s="125" t="n"/>
      <c r="S392" s="125" t="n"/>
      <c r="T392" s="125" t="n"/>
      <c r="U392" s="125" t="n"/>
    </row>
    <row r="393" hidden="1" outlineLevel="2">
      <c r="A393" s="8" t="n"/>
      <c r="B393" s="14" t="n"/>
      <c r="C393" s="125" t="n"/>
      <c r="D393" s="129" t="n"/>
      <c r="E393" s="23" t="n"/>
      <c r="F393" s="24" t="n"/>
      <c r="G393" s="24" t="n"/>
      <c r="H393" s="25" t="n"/>
      <c r="I393" s="125" t="n"/>
      <c r="J393" s="129" t="n"/>
      <c r="K393" s="23" t="n"/>
      <c r="L393" s="24" t="n"/>
      <c r="M393" s="24" t="n"/>
      <c r="N393" s="25" t="n"/>
      <c r="O393" s="125" t="n"/>
      <c r="P393" s="125" t="n"/>
      <c r="Q393" s="125" t="n"/>
      <c r="R393" s="125" t="n"/>
      <c r="S393" s="125" t="n"/>
      <c r="T393" s="125" t="n"/>
      <c r="U393" s="125" t="n"/>
    </row>
    <row r="394" outlineLevel="1">
      <c r="A394" s="8" t="n"/>
      <c r="B394" s="14" t="n"/>
      <c r="C394" s="125" t="n"/>
      <c r="D394" s="125" t="n"/>
      <c r="E394" s="125" t="n"/>
      <c r="F394" s="125" t="n"/>
      <c r="G394" s="125" t="n"/>
      <c r="H394" s="125" t="n"/>
      <c r="I394" s="125" t="n"/>
      <c r="J394" s="125" t="n"/>
      <c r="K394" s="125" t="n"/>
      <c r="L394" s="125" t="n"/>
      <c r="M394" s="125" t="n"/>
      <c r="N394" s="125" t="n"/>
      <c r="O394" s="125" t="n"/>
      <c r="P394" s="125" t="n"/>
      <c r="Q394" s="125" t="n"/>
      <c r="R394" s="125" t="n"/>
      <c r="S394" s="125" t="n"/>
      <c r="T394" s="125" t="n"/>
      <c r="U394" s="125" t="n"/>
    </row>
    <row r="395" outlineLevel="1">
      <c r="A395" s="8" t="n"/>
      <c r="B395" s="14" t="n"/>
      <c r="C395" s="125" t="n"/>
      <c r="D395" s="137"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5" t="n"/>
    </row>
    <row r="396" hidden="1" outlineLevel="2">
      <c r="A396" s="8" t="n"/>
      <c r="B396" s="14" t="n"/>
      <c r="C396" s="125" t="n"/>
      <c r="D396" s="125" t="n"/>
      <c r="E396" s="125" t="n"/>
      <c r="F396" s="125" t="n"/>
      <c r="G396" s="125" t="n"/>
      <c r="H396" s="125" t="n"/>
      <c r="I396" s="125" t="n"/>
      <c r="J396" s="125" t="n"/>
      <c r="K396" s="125" t="n"/>
      <c r="L396" s="125" t="n"/>
      <c r="M396" s="125" t="n"/>
      <c r="N396" s="125" t="n"/>
      <c r="O396" s="125" t="n"/>
      <c r="P396" s="125" t="n"/>
      <c r="Q396" s="125" t="n"/>
      <c r="R396" s="125" t="n"/>
      <c r="S396" s="125" t="n"/>
      <c r="T396" s="125" t="n"/>
      <c r="U396" s="125" t="n"/>
    </row>
    <row r="397" hidden="1" outlineLevel="2">
      <c r="A397" s="8" t="n"/>
      <c r="B397" s="14" t="n"/>
      <c r="C397" s="125" t="n"/>
      <c r="D397" s="138" t="n"/>
      <c r="E397" s="17" t="n"/>
      <c r="F397" s="133">
        <f>DADOS_AM!$HR$7</f>
        <v/>
      </c>
      <c r="G397" s="133">
        <f>DADOS_AM!$HS$7</f>
        <v/>
      </c>
      <c r="H397" s="17" t="n"/>
      <c r="I397" s="125" t="n"/>
      <c r="J397" s="138" t="n"/>
      <c r="K397" s="17" t="n"/>
      <c r="L397" s="133">
        <f>DADOS_AM!$HR$8</f>
        <v/>
      </c>
      <c r="M397" s="133">
        <f>DADOS_AM!$HS$8</f>
        <v/>
      </c>
      <c r="N397" s="17" t="n"/>
      <c r="O397" s="125" t="n"/>
      <c r="P397" s="138" t="n"/>
      <c r="Q397" s="17" t="n"/>
      <c r="R397" s="133">
        <f>DADOS_AM!$HR$9</f>
        <v/>
      </c>
      <c r="S397" s="133">
        <f>DADOS_AM!$HS$9</f>
        <v/>
      </c>
      <c r="T397" s="17" t="n"/>
      <c r="U397" s="125" t="n"/>
    </row>
    <row r="398" hidden="1" outlineLevel="3">
      <c r="A398" s="8" t="n"/>
      <c r="B398" s="14" t="n"/>
      <c r="C398" s="125" t="n"/>
      <c r="D398" s="55" t="inlineStr">
        <is>
          <t>O QUE FAZ</t>
        </is>
      </c>
      <c r="E398" s="16" t="n"/>
      <c r="F398" s="16" t="n"/>
      <c r="G398" s="16" t="n"/>
      <c r="H398" s="17" t="n"/>
      <c r="I398" s="125" t="n"/>
      <c r="J398" s="55" t="inlineStr">
        <is>
          <t>O QUE FAZ</t>
        </is>
      </c>
      <c r="K398" s="16" t="n"/>
      <c r="L398" s="16" t="n"/>
      <c r="M398" s="16" t="n"/>
      <c r="N398" s="17" t="n"/>
      <c r="O398" s="125" t="n"/>
      <c r="P398" s="55" t="inlineStr">
        <is>
          <t>O QUE FAZ</t>
        </is>
      </c>
      <c r="Q398" s="16" t="n"/>
      <c r="R398" s="16" t="n"/>
      <c r="S398" s="16" t="n"/>
      <c r="T398" s="17" t="n"/>
      <c r="U398" s="125" t="n"/>
    </row>
    <row r="399" hidden="1" outlineLevel="3">
      <c r="A399" s="8" t="n"/>
      <c r="B399" s="14" t="n"/>
      <c r="C399" s="125" t="n"/>
      <c r="D399" s="121">
        <f>DADOS_AM!$HQ$7</f>
        <v/>
      </c>
      <c r="E399" s="19" t="n"/>
      <c r="F399" s="19" t="n"/>
      <c r="G399" s="19" t="n"/>
      <c r="H399" s="20" t="n"/>
      <c r="I399" s="125" t="n"/>
      <c r="J399" s="121">
        <f>DADOS_AM!$HQ$8</f>
        <v/>
      </c>
      <c r="K399" s="19" t="n"/>
      <c r="L399" s="19" t="n"/>
      <c r="M399" s="19" t="n"/>
      <c r="N399" s="20" t="n"/>
      <c r="O399" s="125" t="n"/>
      <c r="P399" s="121">
        <f>DADOS_AM!$HQ$9</f>
        <v/>
      </c>
      <c r="Q399" s="19" t="n"/>
      <c r="R399" s="19" t="n"/>
      <c r="S399" s="19" t="n"/>
      <c r="T399" s="20" t="n"/>
      <c r="U399" s="125" t="n"/>
    </row>
    <row r="400" hidden="1" outlineLevel="3">
      <c r="A400" s="8" t="n"/>
      <c r="B400" s="14" t="n"/>
      <c r="C400" s="125" t="n"/>
      <c r="D400" s="21" t="n"/>
      <c r="H400" s="22" t="n"/>
      <c r="I400" s="125" t="n"/>
      <c r="J400" s="21" t="n"/>
      <c r="N400" s="22" t="n"/>
      <c r="O400" s="125" t="n"/>
      <c r="P400" s="21" t="n"/>
      <c r="T400" s="22" t="n"/>
      <c r="U400" s="125" t="n"/>
    </row>
    <row r="401" hidden="1" outlineLevel="3">
      <c r="A401" s="8" t="n"/>
      <c r="B401" s="14" t="n"/>
      <c r="C401" s="125" t="n"/>
      <c r="D401" s="23" t="n"/>
      <c r="E401" s="24" t="n"/>
      <c r="F401" s="24" t="n"/>
      <c r="G401" s="24" t="n"/>
      <c r="H401" s="25" t="n"/>
      <c r="I401" s="125" t="n"/>
      <c r="J401" s="23" t="n"/>
      <c r="K401" s="24" t="n"/>
      <c r="L401" s="24" t="n"/>
      <c r="M401" s="24" t="n"/>
      <c r="N401" s="25" t="n"/>
      <c r="O401" s="125" t="n"/>
      <c r="P401" s="23" t="n"/>
      <c r="Q401" s="24" t="n"/>
      <c r="R401" s="24" t="n"/>
      <c r="S401" s="24" t="n"/>
      <c r="T401" s="25" t="n"/>
      <c r="U401" s="125" t="n"/>
    </row>
    <row r="402" hidden="1" outlineLevel="3">
      <c r="A402" s="8" t="n"/>
      <c r="B402" s="14" t="n"/>
      <c r="C402" s="125" t="n"/>
      <c r="D402" s="55" t="inlineStr">
        <is>
          <t>SEU TEXTO</t>
        </is>
      </c>
      <c r="E402" s="121" t="n"/>
      <c r="F402" s="19" t="n"/>
      <c r="G402" s="19" t="n"/>
      <c r="H402" s="20" t="n"/>
      <c r="I402" s="125" t="n"/>
      <c r="J402" s="55" t="inlineStr">
        <is>
          <t>SEU TEXTO</t>
        </is>
      </c>
      <c r="K402" s="121" t="n"/>
      <c r="L402" s="19" t="n"/>
      <c r="M402" s="19" t="n"/>
      <c r="N402" s="20" t="n"/>
      <c r="O402" s="125" t="n"/>
      <c r="P402" s="55" t="inlineStr">
        <is>
          <t>SEU TEXTO</t>
        </is>
      </c>
      <c r="Q402" s="121" t="n"/>
      <c r="R402" s="19" t="n"/>
      <c r="S402" s="19" t="n"/>
      <c r="T402" s="20" t="n"/>
      <c r="U402" s="125" t="n"/>
    </row>
    <row r="403" hidden="1" outlineLevel="3">
      <c r="A403" s="8" t="n"/>
      <c r="B403" s="14" t="n"/>
      <c r="C403" s="125" t="n"/>
      <c r="D403" s="129" t="n"/>
      <c r="E403" s="23" t="n"/>
      <c r="F403" s="24" t="n"/>
      <c r="G403" s="24" t="n"/>
      <c r="H403" s="25" t="n"/>
      <c r="I403" s="125" t="n"/>
      <c r="J403" s="129" t="n"/>
      <c r="K403" s="23" t="n"/>
      <c r="L403" s="24" t="n"/>
      <c r="M403" s="24" t="n"/>
      <c r="N403" s="25" t="n"/>
      <c r="O403" s="125" t="n"/>
      <c r="P403" s="129" t="n"/>
      <c r="Q403" s="23" t="n"/>
      <c r="R403" s="24" t="n"/>
      <c r="S403" s="24" t="n"/>
      <c r="T403" s="25" t="n"/>
      <c r="U403" s="125" t="n"/>
    </row>
    <row r="404" hidden="1" outlineLevel="2">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row>
    <row r="405" hidden="1" outlineLevel="2">
      <c r="A405" s="8" t="n"/>
      <c r="B405" s="14" t="n"/>
      <c r="C405" s="125" t="n"/>
      <c r="D405" s="138" t="n"/>
      <c r="E405" s="17" t="n"/>
      <c r="F405" s="133">
        <f>DADOS_AM!$HR$10</f>
        <v/>
      </c>
      <c r="G405" s="133">
        <f>DADOS_AM!$HS$10</f>
        <v/>
      </c>
      <c r="H405" s="17" t="n"/>
      <c r="I405" s="125" t="n"/>
      <c r="J405" s="138" t="n"/>
      <c r="K405" s="17" t="n"/>
      <c r="L405" s="133">
        <f>DADOS_AM!$HR$11</f>
        <v/>
      </c>
      <c r="M405" s="133">
        <f>DADOS_AM!$HS$11</f>
        <v/>
      </c>
      <c r="N405" s="17" t="n"/>
      <c r="O405" s="125" t="n"/>
      <c r="P405" s="138" t="n"/>
      <c r="Q405" s="17" t="n"/>
      <c r="R405" s="133">
        <f>DADOS_AM!$HR$12</f>
        <v/>
      </c>
      <c r="S405" s="133">
        <f>DADOS_AM!$HS$12</f>
        <v/>
      </c>
      <c r="T405" s="17" t="n"/>
      <c r="U405" s="125" t="n"/>
    </row>
    <row r="406" hidden="1" outlineLevel="3">
      <c r="A406" s="8" t="n"/>
      <c r="B406" s="14" t="n"/>
      <c r="C406" s="125" t="n"/>
      <c r="D406" s="55" t="inlineStr">
        <is>
          <t>O QUE FAZ</t>
        </is>
      </c>
      <c r="E406" s="16" t="n"/>
      <c r="F406" s="16" t="n"/>
      <c r="G406" s="16" t="n"/>
      <c r="H406" s="17" t="n"/>
      <c r="I406" s="125" t="n"/>
      <c r="J406" s="55" t="inlineStr">
        <is>
          <t>O QUE FAZ</t>
        </is>
      </c>
      <c r="K406" s="16" t="n"/>
      <c r="L406" s="16" t="n"/>
      <c r="M406" s="16" t="n"/>
      <c r="N406" s="17" t="n"/>
      <c r="O406" s="125" t="n"/>
      <c r="P406" s="55" t="inlineStr">
        <is>
          <t>O QUE FAZ</t>
        </is>
      </c>
      <c r="Q406" s="16" t="n"/>
      <c r="R406" s="16" t="n"/>
      <c r="S406" s="16" t="n"/>
      <c r="T406" s="17" t="n"/>
      <c r="U406" s="125" t="n"/>
    </row>
    <row r="407" hidden="1" outlineLevel="3">
      <c r="A407" s="8" t="n"/>
      <c r="B407" s="14" t="n"/>
      <c r="C407" s="125" t="n"/>
      <c r="D407" s="121">
        <f>DADOS_AM!$HQ$10</f>
        <v/>
      </c>
      <c r="E407" s="19" t="n"/>
      <c r="F407" s="19" t="n"/>
      <c r="G407" s="19" t="n"/>
      <c r="H407" s="20" t="n"/>
      <c r="I407" s="125" t="n"/>
      <c r="J407" s="121">
        <f>DADOS_AM!$HQ$11</f>
        <v/>
      </c>
      <c r="K407" s="19" t="n"/>
      <c r="L407" s="19" t="n"/>
      <c r="M407" s="19" t="n"/>
      <c r="N407" s="20" t="n"/>
      <c r="O407" s="125" t="n"/>
      <c r="P407" s="121">
        <f>DADOS_AM!$HQ$12</f>
        <v/>
      </c>
      <c r="Q407" s="19" t="n"/>
      <c r="R407" s="19" t="n"/>
      <c r="S407" s="19" t="n"/>
      <c r="T407" s="20" t="n"/>
      <c r="U407" s="125" t="n"/>
    </row>
    <row r="408" hidden="1" outlineLevel="3">
      <c r="A408" s="8" t="n"/>
      <c r="B408" s="14" t="n"/>
      <c r="C408" s="125" t="n"/>
      <c r="D408" s="21" t="n"/>
      <c r="H408" s="22" t="n"/>
      <c r="I408" s="125" t="n"/>
      <c r="J408" s="21" t="n"/>
      <c r="N408" s="22" t="n"/>
      <c r="O408" s="125" t="n"/>
      <c r="P408" s="21" t="n"/>
      <c r="T408" s="22" t="n"/>
      <c r="U408" s="125" t="n"/>
    </row>
    <row r="409" hidden="1" outlineLevel="3">
      <c r="A409" s="8" t="n"/>
      <c r="B409" s="14" t="n"/>
      <c r="C409" s="125" t="n"/>
      <c r="D409" s="23" t="n"/>
      <c r="E409" s="24" t="n"/>
      <c r="F409" s="24" t="n"/>
      <c r="G409" s="24" t="n"/>
      <c r="H409" s="25" t="n"/>
      <c r="I409" s="125" t="n"/>
      <c r="J409" s="23" t="n"/>
      <c r="K409" s="24" t="n"/>
      <c r="L409" s="24" t="n"/>
      <c r="M409" s="24" t="n"/>
      <c r="N409" s="25" t="n"/>
      <c r="O409" s="125" t="n"/>
      <c r="P409" s="23" t="n"/>
      <c r="Q409" s="24" t="n"/>
      <c r="R409" s="24" t="n"/>
      <c r="S409" s="24" t="n"/>
      <c r="T409" s="25" t="n"/>
      <c r="U409" s="125" t="n"/>
    </row>
    <row r="410" hidden="1" outlineLevel="3">
      <c r="A410" s="8" t="n"/>
      <c r="B410" s="14" t="n"/>
      <c r="C410" s="125" t="n"/>
      <c r="D410" s="55" t="inlineStr">
        <is>
          <t>SEU TEXTO</t>
        </is>
      </c>
      <c r="E410" s="121" t="n"/>
      <c r="F410" s="19" t="n"/>
      <c r="G410" s="19" t="n"/>
      <c r="H410" s="20" t="n"/>
      <c r="I410" s="125" t="n"/>
      <c r="J410" s="55" t="inlineStr">
        <is>
          <t>SEU TEXTO</t>
        </is>
      </c>
      <c r="K410" s="121" t="n"/>
      <c r="L410" s="19" t="n"/>
      <c r="M410" s="19" t="n"/>
      <c r="N410" s="20" t="n"/>
      <c r="O410" s="125" t="n"/>
      <c r="P410" s="55" t="inlineStr">
        <is>
          <t>SEU TEXTO</t>
        </is>
      </c>
      <c r="Q410" s="121" t="n"/>
      <c r="R410" s="19" t="n"/>
      <c r="S410" s="19" t="n"/>
      <c r="T410" s="20" t="n"/>
      <c r="U410" s="125" t="n"/>
    </row>
    <row r="411" hidden="1" outlineLevel="3">
      <c r="A411" s="8" t="n"/>
      <c r="B411" s="14" t="n"/>
      <c r="C411" s="125" t="n"/>
      <c r="D411" s="129" t="n"/>
      <c r="E411" s="23" t="n"/>
      <c r="F411" s="24" t="n"/>
      <c r="G411" s="24" t="n"/>
      <c r="H411" s="25" t="n"/>
      <c r="I411" s="125" t="n"/>
      <c r="J411" s="129" t="n"/>
      <c r="K411" s="23" t="n"/>
      <c r="L411" s="24" t="n"/>
      <c r="M411" s="24" t="n"/>
      <c r="N411" s="25" t="n"/>
      <c r="O411" s="125" t="n"/>
      <c r="P411" s="129" t="n"/>
      <c r="Q411" s="23" t="n"/>
      <c r="R411" s="24" t="n"/>
      <c r="S411" s="24" t="n"/>
      <c r="T411" s="25" t="n"/>
      <c r="U411" s="125" t="n"/>
    </row>
    <row r="412" hidden="1" outlineLevel="2">
      <c r="A412" s="8" t="n"/>
      <c r="B412" s="14" t="n"/>
      <c r="C412" s="125" t="n"/>
      <c r="D412" s="125" t="n"/>
      <c r="E412" s="125" t="n"/>
      <c r="F412" s="125" t="n"/>
      <c r="G412" s="125" t="n"/>
      <c r="H412" s="125" t="n"/>
      <c r="I412" s="125" t="n"/>
      <c r="J412" s="125" t="n"/>
      <c r="K412" s="125" t="n"/>
      <c r="L412" s="125" t="n"/>
      <c r="M412" s="125" t="n"/>
      <c r="N412" s="125" t="n"/>
      <c r="O412" s="125" t="n"/>
      <c r="P412" s="125" t="n"/>
      <c r="Q412" s="125" t="n"/>
      <c r="R412" s="125" t="n"/>
      <c r="S412" s="125" t="n"/>
      <c r="T412" s="125" t="n"/>
      <c r="U412" s="125" t="n"/>
    </row>
    <row r="413" hidden="1" outlineLevel="2">
      <c r="A413" s="8" t="n"/>
      <c r="B413" s="14" t="n"/>
      <c r="C413" s="125" t="n"/>
      <c r="D413" s="138" t="n"/>
      <c r="E413" s="17" t="n"/>
      <c r="F413" s="133">
        <f>DADOS_AM!$HR$13</f>
        <v/>
      </c>
      <c r="G413" s="133">
        <f>DADOS_AM!$HS$13</f>
        <v/>
      </c>
      <c r="H413" s="17" t="n"/>
      <c r="I413" s="125" t="n"/>
      <c r="J413" s="125" t="n"/>
      <c r="K413" s="125" t="n"/>
      <c r="L413" s="125" t="n"/>
      <c r="M413" s="125" t="n"/>
      <c r="N413" s="125" t="n"/>
      <c r="O413" s="125" t="n"/>
      <c r="P413" s="125" t="n"/>
      <c r="Q413" s="125" t="n"/>
      <c r="R413" s="125" t="n"/>
      <c r="S413" s="125" t="n"/>
      <c r="T413" s="125" t="n"/>
      <c r="U413" s="125" t="n"/>
    </row>
    <row r="414" hidden="1" outlineLevel="3">
      <c r="A414" s="8" t="n"/>
      <c r="B414" s="14" t="n"/>
      <c r="C414" s="125" t="n"/>
      <c r="D414" s="55" t="inlineStr">
        <is>
          <t>O QUE FAZ</t>
        </is>
      </c>
      <c r="E414" s="16" t="n"/>
      <c r="F414" s="16" t="n"/>
      <c r="G414" s="16" t="n"/>
      <c r="H414" s="17" t="n"/>
      <c r="I414" s="125" t="n"/>
      <c r="J414" s="125" t="n"/>
      <c r="K414" s="125" t="n"/>
      <c r="L414" s="125" t="n"/>
      <c r="M414" s="125" t="n"/>
      <c r="N414" s="125" t="n"/>
      <c r="O414" s="125" t="n"/>
      <c r="P414" s="125" t="n"/>
      <c r="Q414" s="125" t="n"/>
      <c r="R414" s="125" t="n"/>
      <c r="S414" s="125" t="n"/>
      <c r="T414" s="125" t="n"/>
      <c r="U414" s="125" t="n"/>
    </row>
    <row r="415" hidden="1" outlineLevel="3">
      <c r="A415" s="8" t="n"/>
      <c r="B415" s="14" t="n"/>
      <c r="C415" s="125" t="n"/>
      <c r="D415" s="121">
        <f>DADOS_AM!$HQ$13</f>
        <v/>
      </c>
      <c r="E415" s="19" t="n"/>
      <c r="F415" s="19" t="n"/>
      <c r="G415" s="19" t="n"/>
      <c r="H415" s="20" t="n"/>
      <c r="I415" s="125" t="n"/>
      <c r="J415" s="125" t="n"/>
      <c r="K415" s="125" t="n"/>
      <c r="L415" s="125" t="n"/>
      <c r="M415" s="125" t="n"/>
      <c r="N415" s="125" t="n"/>
      <c r="O415" s="125" t="n"/>
      <c r="P415" s="125" t="n"/>
      <c r="Q415" s="125" t="n"/>
      <c r="R415" s="125" t="n"/>
      <c r="S415" s="125" t="n"/>
      <c r="T415" s="125" t="n"/>
      <c r="U415" s="125" t="n"/>
    </row>
    <row r="416" hidden="1" outlineLevel="3">
      <c r="A416" s="8" t="n"/>
      <c r="B416" s="14" t="n"/>
      <c r="C416" s="125" t="n"/>
      <c r="D416" s="21" t="n"/>
      <c r="H416" s="22" t="n"/>
      <c r="I416" s="125" t="n"/>
      <c r="J416" s="125" t="n"/>
      <c r="K416" s="125" t="n"/>
      <c r="L416" s="125" t="n"/>
      <c r="M416" s="125" t="n"/>
      <c r="N416" s="125" t="n"/>
      <c r="O416" s="125" t="n"/>
      <c r="P416" s="125" t="n"/>
      <c r="Q416" s="125" t="n"/>
      <c r="R416" s="125" t="n"/>
      <c r="S416" s="125" t="n"/>
      <c r="T416" s="125" t="n"/>
      <c r="U416" s="125" t="n"/>
    </row>
    <row r="417" hidden="1" outlineLevel="3">
      <c r="A417" s="8" t="n"/>
      <c r="B417" s="14" t="n"/>
      <c r="C417" s="125" t="n"/>
      <c r="D417" s="23" t="n"/>
      <c r="E417" s="24" t="n"/>
      <c r="F417" s="24" t="n"/>
      <c r="G417" s="24" t="n"/>
      <c r="H417" s="25" t="n"/>
      <c r="I417" s="125" t="n"/>
      <c r="J417" s="125" t="n"/>
      <c r="K417" s="125" t="n"/>
      <c r="L417" s="125" t="n"/>
      <c r="M417" s="125" t="n"/>
      <c r="N417" s="125" t="n"/>
      <c r="O417" s="125" t="n"/>
      <c r="P417" s="125" t="n"/>
      <c r="Q417" s="125" t="n"/>
      <c r="R417" s="125" t="n"/>
      <c r="S417" s="125" t="n"/>
      <c r="T417" s="125" t="n"/>
      <c r="U417" s="125" t="n"/>
    </row>
    <row r="418" hidden="1" outlineLevel="3">
      <c r="A418" s="8" t="n"/>
      <c r="B418" s="14" t="n"/>
      <c r="C418" s="125" t="n"/>
      <c r="D418" s="55" t="inlineStr">
        <is>
          <t>SEU TEXTO</t>
        </is>
      </c>
      <c r="E418" s="121" t="n"/>
      <c r="F418" s="19" t="n"/>
      <c r="G418" s="19" t="n"/>
      <c r="H418" s="20" t="n"/>
      <c r="I418" s="125" t="n"/>
      <c r="J418" s="125" t="n"/>
      <c r="K418" s="125" t="n"/>
      <c r="L418" s="125" t="n"/>
      <c r="M418" s="125" t="n"/>
      <c r="N418" s="125" t="n"/>
      <c r="O418" s="125" t="n"/>
      <c r="P418" s="125" t="n"/>
      <c r="Q418" s="125" t="n"/>
      <c r="R418" s="125" t="n"/>
      <c r="S418" s="125" t="n"/>
      <c r="T418" s="125" t="n"/>
      <c r="U418" s="125" t="n"/>
    </row>
    <row r="419" hidden="1" outlineLevel="3">
      <c r="A419" s="8" t="n"/>
      <c r="B419" s="14" t="n"/>
      <c r="C419" s="125" t="n"/>
      <c r="D419" s="129" t="n"/>
      <c r="E419" s="23" t="n"/>
      <c r="F419" s="24" t="n"/>
      <c r="G419" s="24" t="n"/>
      <c r="H419" s="25" t="n"/>
      <c r="I419" s="125" t="n"/>
      <c r="J419" s="125" t="n"/>
      <c r="K419" s="125" t="n"/>
      <c r="L419" s="125" t="n"/>
      <c r="M419" s="125" t="n"/>
      <c r="N419" s="125" t="n"/>
      <c r="O419" s="125" t="n"/>
      <c r="P419" s="125" t="n"/>
      <c r="Q419" s="125" t="n"/>
      <c r="R419" s="125" t="n"/>
      <c r="S419" s="125" t="n"/>
      <c r="T419" s="125" t="n"/>
      <c r="U419" s="125" t="n"/>
    </row>
    <row r="420">
      <c r="A420" s="8" t="n"/>
      <c r="B420" s="14" t="n"/>
      <c r="C420" s="125" t="n"/>
      <c r="D420" s="125" t="n"/>
      <c r="E420" s="125" t="n"/>
      <c r="F420" s="125" t="n"/>
      <c r="G420" s="125" t="n"/>
      <c r="H420" s="125" t="n"/>
      <c r="I420" s="125" t="n"/>
      <c r="J420" s="125" t="n"/>
      <c r="K420" s="125" t="n"/>
      <c r="L420" s="125" t="n"/>
      <c r="M420" s="125" t="n"/>
      <c r="N420" s="125" t="n"/>
      <c r="O420" s="125" t="n"/>
      <c r="P420" s="125" t="n"/>
      <c r="Q420" s="125" t="n"/>
      <c r="R420" s="125" t="n"/>
      <c r="S420" s="125" t="n"/>
      <c r="T420" s="125" t="n"/>
      <c r="U420" s="125" t="n"/>
    </row>
    <row r="421">
      <c r="A421" s="8" t="n"/>
      <c r="B421" s="14" t="n"/>
      <c r="C421" s="125" t="n"/>
      <c r="D421" s="128">
        <f>DADOS_AM!$KT$61</f>
        <v/>
      </c>
      <c r="E421" s="19" t="n"/>
      <c r="F421" s="19" t="n"/>
      <c r="G421" s="19" t="n"/>
      <c r="H421" s="19" t="n"/>
      <c r="I421" s="19" t="n"/>
      <c r="J421" s="19" t="n"/>
      <c r="K421" s="19" t="n"/>
      <c r="L421" s="19" t="n"/>
      <c r="M421" s="19" t="n"/>
      <c r="N421" s="19" t="n"/>
      <c r="O421" s="19" t="n"/>
      <c r="P421" s="19" t="n"/>
      <c r="Q421" s="19" t="n"/>
      <c r="R421" s="19" t="n"/>
      <c r="S421" s="19" t="n"/>
      <c r="T421" s="20" t="n"/>
      <c r="U421" s="125" t="n"/>
    </row>
    <row r="422">
      <c r="A422" s="8" t="n"/>
      <c r="B422" s="14" t="n"/>
      <c r="C422" s="125" t="n"/>
      <c r="D422" s="23" t="n"/>
      <c r="E422" s="24" t="n"/>
      <c r="F422" s="24" t="n"/>
      <c r="G422" s="24" t="n"/>
      <c r="H422" s="24" t="n"/>
      <c r="I422" s="24" t="n"/>
      <c r="J422" s="24" t="n"/>
      <c r="K422" s="24" t="n"/>
      <c r="L422" s="24" t="n"/>
      <c r="M422" s="24" t="n"/>
      <c r="N422" s="24" t="n"/>
      <c r="O422" s="24" t="n"/>
      <c r="P422" s="24" t="n"/>
      <c r="Q422" s="24" t="n"/>
      <c r="R422" s="24" t="n"/>
      <c r="S422" s="24" t="n"/>
      <c r="T422" s="25" t="n"/>
      <c r="U422" s="125" t="n"/>
    </row>
    <row r="423" outlineLevel="1">
      <c r="A423" s="8" t="n"/>
      <c r="B423" s="14" t="n"/>
      <c r="C423" s="125" t="n"/>
      <c r="D423" s="55">
        <f>DADOS_AM!$KT$62</f>
        <v/>
      </c>
      <c r="E423" s="17" t="n"/>
      <c r="F423" s="55" t="inlineStr">
        <is>
          <t>COMPRADAS</t>
        </is>
      </c>
      <c r="G423" s="16" t="n"/>
      <c r="H423" s="17" t="n"/>
      <c r="I423" s="125" t="n"/>
      <c r="J423" s="55">
        <f>DADOS_AM!$KT$64</f>
        <v/>
      </c>
      <c r="K423" s="17" t="n"/>
      <c r="L423" s="55">
        <f>DADOS_AM!$KT$66</f>
        <v/>
      </c>
      <c r="M423" s="16" t="n"/>
      <c r="N423" s="17" t="n"/>
      <c r="O423" s="125" t="n"/>
      <c r="P423" s="55">
        <f>DADOS_AM!$KT$68</f>
        <v/>
      </c>
      <c r="Q423" s="16" t="n"/>
      <c r="R423" s="16" t="n"/>
      <c r="S423" s="16" t="n"/>
      <c r="T423" s="17" t="n"/>
      <c r="U423" s="125" t="n"/>
    </row>
    <row r="424" outlineLevel="1">
      <c r="A424" s="8" t="n"/>
      <c r="B424" s="14" t="n"/>
      <c r="C424" s="125" t="n"/>
      <c r="D424" s="98">
        <f>DADOS_AM!$HK$6</f>
        <v/>
      </c>
      <c r="E424" s="20" t="n"/>
      <c r="F424" s="98">
        <f>DADOS_AM!$KT$63</f>
        <v/>
      </c>
      <c r="G424" s="19" t="n"/>
      <c r="H424" s="20" t="n"/>
      <c r="I424" s="125" t="n"/>
      <c r="J424" s="84">
        <f>DADOS_AM!$KT$65</f>
        <v/>
      </c>
      <c r="K424" s="20" t="n"/>
      <c r="L424" s="84">
        <f>DADOS_AM!$KT$67</f>
        <v/>
      </c>
      <c r="M424" s="19" t="n"/>
      <c r="N424" s="20" t="n"/>
      <c r="O424" s="125" t="n"/>
      <c r="P424" s="84">
        <f>DADOS_AM!$KT$69</f>
        <v/>
      </c>
      <c r="Q424" s="19" t="n"/>
      <c r="R424" s="19" t="n"/>
      <c r="S424" s="19" t="n"/>
      <c r="T424" s="20" t="n"/>
      <c r="U424" s="125" t="n"/>
    </row>
    <row r="425" outlineLevel="1">
      <c r="A425" s="8" t="n"/>
      <c r="B425" s="14" t="n"/>
      <c r="C425" s="125" t="n"/>
      <c r="D425" s="23" t="n"/>
      <c r="E425" s="25" t="n"/>
      <c r="F425" s="23" t="n"/>
      <c r="G425" s="24" t="n"/>
      <c r="H425" s="25" t="n"/>
      <c r="I425" s="125" t="n"/>
      <c r="J425" s="23" t="n"/>
      <c r="K425" s="25" t="n"/>
      <c r="L425" s="23" t="n"/>
      <c r="M425" s="24" t="n"/>
      <c r="N425" s="25" t="n"/>
      <c r="O425" s="125" t="n"/>
      <c r="P425" s="23" t="n"/>
      <c r="Q425" s="24" t="n"/>
      <c r="R425" s="24" t="n"/>
      <c r="S425" s="24" t="n"/>
      <c r="T425" s="25" t="n"/>
      <c r="U425" s="125" t="n"/>
    </row>
    <row r="426" outlineLevel="1">
      <c r="A426" s="8" t="n"/>
      <c r="B426" s="14" t="n"/>
      <c r="C426" s="125" t="n"/>
      <c r="D426" s="125" t="n"/>
      <c r="E426" s="125" t="n"/>
      <c r="F426" s="125" t="n"/>
      <c r="G426" s="125" t="n"/>
      <c r="H426" s="125" t="n"/>
      <c r="I426" s="125" t="n"/>
      <c r="J426" s="125" t="n"/>
      <c r="K426" s="125" t="n"/>
      <c r="L426" s="125" t="n"/>
      <c r="M426" s="125" t="n"/>
      <c r="N426" s="125" t="n"/>
      <c r="O426" s="125" t="n"/>
      <c r="P426" s="125" t="n"/>
      <c r="Q426" s="125" t="n"/>
      <c r="R426" s="125" t="n"/>
      <c r="S426" s="125" t="n"/>
      <c r="T426" s="125" t="n"/>
      <c r="U426" s="125" t="n"/>
    </row>
    <row r="427" outlineLevel="1">
      <c r="A427" s="8" t="n"/>
      <c r="B427" s="14" t="n"/>
      <c r="C427" s="125" t="n"/>
      <c r="D427" s="55">
        <f>DADOS_AM!$KT$70</f>
        <v/>
      </c>
      <c r="E427" s="16" t="n"/>
      <c r="F427" s="16" t="n"/>
      <c r="G427" s="16" t="n"/>
      <c r="H427" s="17" t="n"/>
      <c r="I427" s="125" t="n"/>
      <c r="J427" s="55">
        <f>DADOS_AM!$KT$71</f>
        <v/>
      </c>
      <c r="K427" s="16" t="n"/>
      <c r="L427" s="16" t="n"/>
      <c r="M427" s="16" t="n"/>
      <c r="N427" s="17" t="n"/>
      <c r="O427" s="125" t="n"/>
      <c r="P427" s="55">
        <f>DADOS_AM!$KT$72</f>
        <v/>
      </c>
      <c r="Q427" s="16" t="n"/>
      <c r="R427" s="16" t="n"/>
      <c r="S427" s="16" t="n"/>
      <c r="T427" s="17" t="n"/>
      <c r="U427" s="125" t="n"/>
    </row>
    <row r="428" outlineLevel="1">
      <c r="A428" s="8" t="n"/>
      <c r="B428" s="14" t="n"/>
      <c r="C428" s="125" t="n"/>
      <c r="D428" s="89" t="n"/>
      <c r="E428" s="16" t="n"/>
      <c r="F428" s="16" t="n"/>
      <c r="G428" s="16" t="n"/>
      <c r="H428" s="17" t="n"/>
      <c r="I428" s="125" t="n"/>
      <c r="J428" s="89" t="n"/>
      <c r="K428" s="16" t="n"/>
      <c r="L428" s="16" t="n"/>
      <c r="M428" s="16" t="n"/>
      <c r="N428" s="17" t="n"/>
      <c r="O428" s="125" t="n"/>
      <c r="P428" s="89">
        <f>DADOS_AM!$KT$73</f>
        <v/>
      </c>
      <c r="Q428" s="16" t="n"/>
      <c r="R428" s="16" t="n"/>
      <c r="S428" s="16" t="n"/>
      <c r="T428" s="17" t="n"/>
      <c r="U428" s="125" t="n"/>
    </row>
    <row r="429" outlineLevel="1">
      <c r="A429" s="8" t="n"/>
      <c r="B429" s="14" t="n"/>
      <c r="C429" s="125" t="n"/>
      <c r="D429" s="125" t="n"/>
      <c r="E429" s="125" t="n"/>
      <c r="F429" s="125" t="n"/>
      <c r="G429" s="125" t="n"/>
      <c r="H429" s="125" t="n"/>
      <c r="I429" s="125" t="n"/>
      <c r="J429" s="125" t="n"/>
      <c r="K429" s="125" t="n"/>
      <c r="L429" s="125" t="n"/>
      <c r="M429" s="125" t="n"/>
      <c r="N429" s="125" t="n"/>
      <c r="O429" s="125" t="n"/>
      <c r="P429" s="125" t="n"/>
      <c r="Q429" s="125" t="n"/>
      <c r="R429" s="125" t="n"/>
      <c r="S429" s="125" t="n"/>
      <c r="T429" s="125" t="n"/>
      <c r="U429" s="125" t="n"/>
    </row>
    <row r="430" outlineLevel="1">
      <c r="A430" s="8" t="n"/>
      <c r="B430" s="14" t="n"/>
      <c r="C430" s="125" t="n"/>
      <c r="D430" s="138" t="n"/>
      <c r="E430" s="16" t="n"/>
      <c r="F430" s="17" t="n"/>
      <c r="G430" s="133">
        <f>DADOS_AM!$HZ$2</f>
        <v/>
      </c>
      <c r="H430" s="17" t="n"/>
      <c r="I430" s="125" t="n"/>
      <c r="J430" s="138" t="n"/>
      <c r="K430" s="16" t="n"/>
      <c r="L430" s="17" t="n"/>
      <c r="M430" s="133">
        <f>DADOS_AM!$HZ$3</f>
        <v/>
      </c>
      <c r="N430" s="17" t="n"/>
      <c r="O430" s="125" t="n"/>
      <c r="P430" s="138" t="n"/>
      <c r="Q430" s="16" t="n"/>
      <c r="R430" s="17" t="n"/>
      <c r="S430" s="133">
        <f>DADOS_AM!$HZ$4</f>
        <v/>
      </c>
      <c r="T430" s="17" t="n"/>
      <c r="U430" s="125" t="n"/>
    </row>
    <row r="431" outlineLevel="1">
      <c r="A431" s="8" t="n"/>
      <c r="B431" s="14" t="n"/>
      <c r="C431" s="125" t="n"/>
      <c r="D431" s="139">
        <f>DADOS_AM!$HY$2</f>
        <v/>
      </c>
      <c r="E431" s="19" t="n"/>
      <c r="F431" s="19" t="n"/>
      <c r="G431" s="19" t="n"/>
      <c r="H431" s="20" t="n"/>
      <c r="I431" s="125" t="n"/>
      <c r="J431" s="139">
        <f>DADOS_AM!$HY$3</f>
        <v/>
      </c>
      <c r="K431" s="19" t="n"/>
      <c r="L431" s="19" t="n"/>
      <c r="M431" s="19" t="n"/>
      <c r="N431" s="20" t="n"/>
      <c r="O431" s="125" t="n"/>
      <c r="P431" s="139">
        <f>DADOS_AM!$HY$4</f>
        <v/>
      </c>
      <c r="Q431" s="19" t="n"/>
      <c r="R431" s="19" t="n"/>
      <c r="S431" s="19" t="n"/>
      <c r="T431" s="20" t="n"/>
      <c r="U431" s="125" t="n"/>
    </row>
    <row r="432" outlineLevel="1">
      <c r="A432" s="8" t="n"/>
      <c r="B432" s="14" t="n"/>
      <c r="C432" s="125" t="n"/>
      <c r="D432" s="23" t="n"/>
      <c r="E432" s="24" t="n"/>
      <c r="F432" s="24" t="n"/>
      <c r="G432" s="24" t="n"/>
      <c r="H432" s="25" t="n"/>
      <c r="I432" s="125" t="n"/>
      <c r="J432" s="23" t="n"/>
      <c r="K432" s="24" t="n"/>
      <c r="L432" s="24" t="n"/>
      <c r="M432" s="24" t="n"/>
      <c r="N432" s="25" t="n"/>
      <c r="O432" s="125" t="n"/>
      <c r="P432" s="23" t="n"/>
      <c r="Q432" s="24" t="n"/>
      <c r="R432" s="24" t="n"/>
      <c r="S432" s="24" t="n"/>
      <c r="T432" s="25" t="n"/>
      <c r="U432" s="125" t="n"/>
    </row>
    <row r="433" outlineLevel="2">
      <c r="A433" s="8" t="n"/>
      <c r="B433" s="14" t="n"/>
      <c r="C433" s="125" t="n"/>
      <c r="D433" s="55" t="inlineStr">
        <is>
          <t>O QUE FAZ</t>
        </is>
      </c>
      <c r="E433" s="16" t="n"/>
      <c r="F433" s="16" t="n"/>
      <c r="G433" s="16" t="n"/>
      <c r="H433" s="17" t="n"/>
      <c r="I433" s="125" t="n"/>
      <c r="J433" s="55" t="inlineStr">
        <is>
          <t>O QUE FAZ</t>
        </is>
      </c>
      <c r="K433" s="16" t="n"/>
      <c r="L433" s="16" t="n"/>
      <c r="M433" s="16" t="n"/>
      <c r="N433" s="17" t="n"/>
      <c r="O433" s="125" t="n"/>
      <c r="P433" s="55" t="inlineStr">
        <is>
          <t>O QUE FAZ</t>
        </is>
      </c>
      <c r="Q433" s="16" t="n"/>
      <c r="R433" s="16" t="n"/>
      <c r="S433" s="16" t="n"/>
      <c r="T433" s="17" t="n"/>
      <c r="U433" s="125" t="n"/>
    </row>
    <row r="434" outlineLevel="2">
      <c r="A434" s="8" t="n"/>
      <c r="B434" s="14" t="n"/>
      <c r="C434" s="125" t="n"/>
      <c r="D434" s="140">
        <f>DADOS_AM!$IB$2</f>
        <v/>
      </c>
      <c r="E434" s="19" t="n"/>
      <c r="F434" s="19" t="n"/>
      <c r="G434" s="19" t="n"/>
      <c r="H434" s="20" t="n"/>
      <c r="I434" s="125" t="n"/>
      <c r="J434" s="140">
        <f>DADOS_AM!$IB$3</f>
        <v/>
      </c>
      <c r="K434" s="19" t="n"/>
      <c r="L434" s="19" t="n"/>
      <c r="M434" s="19" t="n"/>
      <c r="N434" s="20" t="n"/>
      <c r="O434" s="125" t="n"/>
      <c r="P434" s="140">
        <f>DADOS_AM!$IB$4</f>
        <v/>
      </c>
      <c r="Q434" s="19" t="n"/>
      <c r="R434" s="19" t="n"/>
      <c r="S434" s="19" t="n"/>
      <c r="T434" s="20" t="n"/>
      <c r="U434" s="125" t="n"/>
    </row>
    <row r="435" outlineLevel="2">
      <c r="A435" s="8" t="n"/>
      <c r="B435" s="14" t="n"/>
      <c r="C435" s="125" t="n"/>
      <c r="D435" s="21" t="n"/>
      <c r="H435" s="22" t="n"/>
      <c r="I435" s="125" t="n"/>
      <c r="J435" s="21" t="n"/>
      <c r="N435" s="22" t="n"/>
      <c r="O435" s="125" t="n"/>
      <c r="P435" s="21" t="n"/>
      <c r="T435" s="22" t="n"/>
      <c r="U435" s="125" t="n"/>
    </row>
    <row r="436" outlineLevel="2">
      <c r="A436" s="8" t="n"/>
      <c r="B436" s="14" t="n"/>
      <c r="C436" s="125" t="n"/>
      <c r="D436" s="21" t="n"/>
      <c r="H436" s="22" t="n"/>
      <c r="I436" s="125" t="n"/>
      <c r="J436" s="21" t="n"/>
      <c r="N436" s="22" t="n"/>
      <c r="O436" s="125" t="n"/>
      <c r="P436" s="21" t="n"/>
      <c r="T436" s="22" t="n"/>
      <c r="U436" s="125" t="n"/>
    </row>
    <row r="437" outlineLevel="2">
      <c r="A437" s="8" t="n"/>
      <c r="B437" s="14" t="n"/>
      <c r="C437" s="125" t="n"/>
      <c r="D437" s="21" t="n"/>
      <c r="H437" s="22" t="n"/>
      <c r="I437" s="125" t="n"/>
      <c r="J437" s="21" t="n"/>
      <c r="N437" s="22" t="n"/>
      <c r="O437" s="125" t="n"/>
      <c r="P437" s="21" t="n"/>
      <c r="T437" s="22" t="n"/>
      <c r="U437" s="125" t="n"/>
    </row>
    <row r="438" outlineLevel="2">
      <c r="A438" s="8" t="n"/>
      <c r="B438" s="14" t="n"/>
      <c r="C438" s="125" t="n"/>
      <c r="D438" s="21" t="n"/>
      <c r="H438" s="22" t="n"/>
      <c r="I438" s="125" t="n"/>
      <c r="J438" s="21" t="n"/>
      <c r="N438" s="22" t="n"/>
      <c r="O438" s="125" t="n"/>
      <c r="P438" s="21" t="n"/>
      <c r="T438" s="22" t="n"/>
      <c r="U438" s="125" t="n"/>
    </row>
    <row r="439" outlineLevel="2">
      <c r="A439" s="8" t="n"/>
      <c r="B439" s="14" t="n"/>
      <c r="C439" s="125" t="n"/>
      <c r="D439" s="21" t="n"/>
      <c r="H439" s="22" t="n"/>
      <c r="I439" s="125" t="n"/>
      <c r="J439" s="21" t="n"/>
      <c r="N439" s="22" t="n"/>
      <c r="O439" s="125" t="n"/>
      <c r="P439" s="21" t="n"/>
      <c r="T439" s="22" t="n"/>
      <c r="U439" s="125" t="n"/>
    </row>
    <row r="440" outlineLevel="2">
      <c r="A440" s="8" t="n"/>
      <c r="B440" s="14" t="n"/>
      <c r="C440" s="125" t="n"/>
      <c r="D440" s="21" t="n"/>
      <c r="H440" s="22" t="n"/>
      <c r="I440" s="125" t="n"/>
      <c r="J440" s="21" t="n"/>
      <c r="N440" s="22" t="n"/>
      <c r="O440" s="125" t="n"/>
      <c r="P440" s="21" t="n"/>
      <c r="T440" s="22" t="n"/>
      <c r="U440" s="125" t="n"/>
    </row>
    <row r="441" outlineLevel="2">
      <c r="A441" s="8" t="n"/>
      <c r="B441" s="14" t="n"/>
      <c r="C441" s="125" t="n"/>
      <c r="D441" s="21" t="n"/>
      <c r="H441" s="22" t="n"/>
      <c r="I441" s="125" t="n"/>
      <c r="J441" s="21" t="n"/>
      <c r="N441" s="22" t="n"/>
      <c r="O441" s="125" t="n"/>
      <c r="P441" s="21" t="n"/>
      <c r="T441" s="22" t="n"/>
      <c r="U441" s="125" t="n"/>
    </row>
    <row r="442" outlineLevel="2">
      <c r="A442" s="8" t="n"/>
      <c r="B442" s="14" t="n"/>
      <c r="C442" s="125" t="n"/>
      <c r="D442" s="21" t="n"/>
      <c r="H442" s="22" t="n"/>
      <c r="I442" s="125" t="n"/>
      <c r="J442" s="21" t="n"/>
      <c r="N442" s="22" t="n"/>
      <c r="O442" s="125" t="n"/>
      <c r="P442" s="21" t="n"/>
      <c r="T442" s="22" t="n"/>
      <c r="U442" s="125" t="n"/>
    </row>
    <row r="443" outlineLevel="2">
      <c r="A443" s="8" t="n"/>
      <c r="B443" s="14" t="n"/>
      <c r="C443" s="125" t="n"/>
      <c r="D443" s="21" t="n"/>
      <c r="H443" s="22" t="n"/>
      <c r="I443" s="125" t="n"/>
      <c r="J443" s="21" t="n"/>
      <c r="N443" s="22" t="n"/>
      <c r="O443" s="125" t="n"/>
      <c r="P443" s="21" t="n"/>
      <c r="T443" s="22" t="n"/>
      <c r="U443" s="125" t="n"/>
    </row>
    <row r="444" outlineLevel="2">
      <c r="A444" s="8" t="n"/>
      <c r="B444" s="14" t="n"/>
      <c r="C444" s="125" t="n"/>
      <c r="D444" s="21" t="n"/>
      <c r="H444" s="22" t="n"/>
      <c r="I444" s="125" t="n"/>
      <c r="J444" s="21" t="n"/>
      <c r="N444" s="22" t="n"/>
      <c r="O444" s="125" t="n"/>
      <c r="P444" s="21" t="n"/>
      <c r="T444" s="22" t="n"/>
      <c r="U444" s="125" t="n"/>
    </row>
    <row r="445" outlineLevel="2">
      <c r="A445" s="8" t="n"/>
      <c r="B445" s="14" t="n"/>
      <c r="C445" s="125" t="n"/>
      <c r="D445" s="23" t="n"/>
      <c r="E445" s="24" t="n"/>
      <c r="F445" s="24" t="n"/>
      <c r="G445" s="24" t="n"/>
      <c r="H445" s="25" t="n"/>
      <c r="I445" s="125" t="n"/>
      <c r="J445" s="23" t="n"/>
      <c r="K445" s="24" t="n"/>
      <c r="L445" s="24" t="n"/>
      <c r="M445" s="24" t="n"/>
      <c r="N445" s="25" t="n"/>
      <c r="O445" s="125" t="n"/>
      <c r="P445" s="23" t="n"/>
      <c r="Q445" s="24" t="n"/>
      <c r="R445" s="24" t="n"/>
      <c r="S445" s="24" t="n"/>
      <c r="T445" s="25" t="n"/>
      <c r="U445" s="125" t="n"/>
    </row>
    <row r="446" outlineLevel="2">
      <c r="A446" s="8" t="n"/>
      <c r="B446" s="14" t="n"/>
      <c r="C446" s="125" t="n"/>
      <c r="D446" s="55">
        <f>DADOS_AM!$KT$74</f>
        <v/>
      </c>
      <c r="E446" s="141">
        <f>DADOS_AM!$IA$2</f>
        <v/>
      </c>
      <c r="F446" s="16" t="n"/>
      <c r="G446" s="16" t="n"/>
      <c r="H446" s="17" t="n"/>
      <c r="I446" s="125" t="n"/>
      <c r="J446" s="55">
        <f>DADOS_AM!$KT$75</f>
        <v/>
      </c>
      <c r="K446" s="141">
        <f>DADOS_AM!$IA$3</f>
        <v/>
      </c>
      <c r="L446" s="16" t="n"/>
      <c r="M446" s="16" t="n"/>
      <c r="N446" s="17" t="n"/>
      <c r="O446" s="125" t="n"/>
      <c r="P446" s="55">
        <f>DADOS_AM!$KT$76</f>
        <v/>
      </c>
      <c r="Q446" s="141">
        <f>DADOS_AM!$IA$4</f>
        <v/>
      </c>
      <c r="R446" s="16" t="n"/>
      <c r="S446" s="16" t="n"/>
      <c r="T446" s="17" t="n"/>
      <c r="U446" s="125" t="n"/>
    </row>
    <row r="447" outlineLevel="2">
      <c r="A447" s="8" t="n"/>
      <c r="B447" s="14" t="n"/>
      <c r="C447" s="125" t="n"/>
      <c r="D447" s="55" t="inlineStr">
        <is>
          <t>SEU TEXTO</t>
        </is>
      </c>
      <c r="E447" s="121" t="n"/>
      <c r="F447" s="19" t="n"/>
      <c r="G447" s="19" t="n"/>
      <c r="H447" s="20" t="n"/>
      <c r="I447" s="125" t="n"/>
      <c r="J447" s="55" t="inlineStr">
        <is>
          <t>SEU TEXTO</t>
        </is>
      </c>
      <c r="K447" s="121" t="n"/>
      <c r="L447" s="19" t="n"/>
      <c r="M447" s="19" t="n"/>
      <c r="N447" s="20" t="n"/>
      <c r="O447" s="125" t="n"/>
      <c r="P447" s="55" t="inlineStr">
        <is>
          <t>SEU TEXTO</t>
        </is>
      </c>
      <c r="Q447" s="121" t="n"/>
      <c r="R447" s="19" t="n"/>
      <c r="S447" s="19" t="n"/>
      <c r="T447" s="20" t="n"/>
      <c r="U447" s="125" t="n"/>
    </row>
    <row r="448" outlineLevel="2">
      <c r="A448" s="8" t="n"/>
      <c r="B448" s="14" t="n"/>
      <c r="C448" s="125" t="n"/>
      <c r="D448" s="129" t="n"/>
      <c r="E448" s="23" t="n"/>
      <c r="F448" s="24" t="n"/>
      <c r="G448" s="24" t="n"/>
      <c r="H448" s="25" t="n"/>
      <c r="I448" s="125" t="n"/>
      <c r="J448" s="129" t="n"/>
      <c r="K448" s="23" t="n"/>
      <c r="L448" s="24" t="n"/>
      <c r="M448" s="24" t="n"/>
      <c r="N448" s="25" t="n"/>
      <c r="O448" s="125" t="n"/>
      <c r="P448" s="129" t="n"/>
      <c r="Q448" s="23" t="n"/>
      <c r="R448" s="24" t="n"/>
      <c r="S448" s="24" t="n"/>
      <c r="T448" s="25" t="n"/>
      <c r="U448" s="125" t="n"/>
    </row>
    <row r="449" outlineLevel="1">
      <c r="A449" s="8" t="n"/>
      <c r="B449" s="14" t="n"/>
      <c r="C449" s="125" t="n"/>
      <c r="D449" s="125" t="n"/>
      <c r="E449" s="125" t="n"/>
      <c r="F449" s="125" t="n"/>
      <c r="G449" s="125" t="n"/>
      <c r="H449" s="125" t="n"/>
      <c r="I449" s="125" t="n"/>
      <c r="J449" s="125" t="n"/>
      <c r="K449" s="125" t="n"/>
      <c r="L449" s="125" t="n"/>
      <c r="M449" s="125" t="n"/>
      <c r="N449" s="125" t="n"/>
      <c r="O449" s="125" t="n"/>
      <c r="P449" s="125" t="n"/>
      <c r="Q449" s="125" t="n"/>
      <c r="R449" s="125" t="n"/>
      <c r="S449" s="125" t="n"/>
      <c r="T449" s="125" t="n"/>
      <c r="U449" s="125" t="n"/>
    </row>
    <row r="450" outlineLevel="1">
      <c r="A450" s="8" t="n"/>
      <c r="B450" s="14" t="n"/>
      <c r="C450" s="125" t="n"/>
      <c r="D450" s="138" t="n"/>
      <c r="E450" s="16" t="n"/>
      <c r="F450" s="17" t="n"/>
      <c r="G450" s="133">
        <f>DADOS_AM!$HZ$5</f>
        <v/>
      </c>
      <c r="H450" s="17" t="n"/>
      <c r="I450" s="125" t="n"/>
      <c r="J450" s="138" t="n"/>
      <c r="K450" s="16" t="n"/>
      <c r="L450" s="17" t="n"/>
      <c r="M450" s="133">
        <f>DADOS_AM!$HZ$6</f>
        <v/>
      </c>
      <c r="N450" s="17" t="n"/>
      <c r="O450" s="125" t="n"/>
      <c r="P450" s="138" t="n"/>
      <c r="Q450" s="16" t="n"/>
      <c r="R450" s="17" t="n"/>
      <c r="S450" s="133">
        <f>DADOS_AM!$HZ$7</f>
        <v/>
      </c>
      <c r="T450" s="17" t="n"/>
      <c r="U450" s="125" t="n"/>
    </row>
    <row r="451" outlineLevel="1">
      <c r="A451" s="8" t="n"/>
      <c r="B451" s="14" t="n"/>
      <c r="C451" s="125" t="n"/>
      <c r="D451" s="139">
        <f>DADOS_AM!$HY$5</f>
        <v/>
      </c>
      <c r="E451" s="19" t="n"/>
      <c r="F451" s="19" t="n"/>
      <c r="G451" s="19" t="n"/>
      <c r="H451" s="20" t="n"/>
      <c r="I451" s="125" t="n"/>
      <c r="J451" s="139">
        <f>DADOS_AM!$HY$6</f>
        <v/>
      </c>
      <c r="K451" s="19" t="n"/>
      <c r="L451" s="19" t="n"/>
      <c r="M451" s="19" t="n"/>
      <c r="N451" s="20" t="n"/>
      <c r="O451" s="125" t="n"/>
      <c r="P451" s="139">
        <f>DADOS_AM!$HY$7</f>
        <v/>
      </c>
      <c r="Q451" s="19" t="n"/>
      <c r="R451" s="19" t="n"/>
      <c r="S451" s="19" t="n"/>
      <c r="T451" s="20" t="n"/>
      <c r="U451" s="125" t="n"/>
    </row>
    <row r="452" outlineLevel="1">
      <c r="A452" s="8" t="n"/>
      <c r="B452" s="14" t="n"/>
      <c r="C452" s="125" t="n"/>
      <c r="D452" s="23" t="n"/>
      <c r="E452" s="24" t="n"/>
      <c r="F452" s="24" t="n"/>
      <c r="G452" s="24" t="n"/>
      <c r="H452" s="25" t="n"/>
      <c r="I452" s="125" t="n"/>
      <c r="J452" s="23" t="n"/>
      <c r="K452" s="24" t="n"/>
      <c r="L452" s="24" t="n"/>
      <c r="M452" s="24" t="n"/>
      <c r="N452" s="25" t="n"/>
      <c r="O452" s="125" t="n"/>
      <c r="P452" s="23" t="n"/>
      <c r="Q452" s="24" t="n"/>
      <c r="R452" s="24" t="n"/>
      <c r="S452" s="24" t="n"/>
      <c r="T452" s="25" t="n"/>
      <c r="U452" s="125" t="n"/>
    </row>
    <row r="453" hidden="1" outlineLevel="2">
      <c r="A453" s="8" t="n"/>
      <c r="B453" s="14" t="n"/>
      <c r="C453" s="125" t="n"/>
      <c r="D453" s="55" t="inlineStr">
        <is>
          <t>O QUE FAZ</t>
        </is>
      </c>
      <c r="E453" s="16" t="n"/>
      <c r="F453" s="16" t="n"/>
      <c r="G453" s="16" t="n"/>
      <c r="H453" s="17" t="n"/>
      <c r="I453" s="125" t="n"/>
      <c r="J453" s="55" t="inlineStr">
        <is>
          <t>O QUE FAZ</t>
        </is>
      </c>
      <c r="K453" s="16" t="n"/>
      <c r="L453" s="16" t="n"/>
      <c r="M453" s="16" t="n"/>
      <c r="N453" s="17" t="n"/>
      <c r="O453" s="125" t="n"/>
      <c r="P453" s="55" t="inlineStr">
        <is>
          <t>O QUE FAZ</t>
        </is>
      </c>
      <c r="Q453" s="16" t="n"/>
      <c r="R453" s="16" t="n"/>
      <c r="S453" s="16" t="n"/>
      <c r="T453" s="17" t="n"/>
      <c r="U453" s="125" t="n"/>
    </row>
    <row r="454" hidden="1" outlineLevel="2">
      <c r="A454" s="8" t="n"/>
      <c r="B454" s="14" t="n"/>
      <c r="C454" s="125" t="n"/>
      <c r="D454" s="140">
        <f>DADOS_AM!$IB$5</f>
        <v/>
      </c>
      <c r="E454" s="19" t="n"/>
      <c r="F454" s="19" t="n"/>
      <c r="G454" s="19" t="n"/>
      <c r="H454" s="20" t="n"/>
      <c r="I454" s="125" t="n"/>
      <c r="J454" s="140">
        <f>DADOS_AM!$IB$6</f>
        <v/>
      </c>
      <c r="K454" s="19" t="n"/>
      <c r="L454" s="19" t="n"/>
      <c r="M454" s="19" t="n"/>
      <c r="N454" s="20" t="n"/>
      <c r="O454" s="125" t="n"/>
      <c r="P454" s="140">
        <f>DADOS_AM!$IB$7</f>
        <v/>
      </c>
      <c r="Q454" s="19" t="n"/>
      <c r="R454" s="19" t="n"/>
      <c r="S454" s="19" t="n"/>
      <c r="T454" s="20" t="n"/>
      <c r="U454" s="125" t="n"/>
    </row>
    <row r="455" hidden="1" outlineLevel="2">
      <c r="A455" s="8" t="n"/>
      <c r="B455" s="14" t="n"/>
      <c r="C455" s="125" t="n"/>
      <c r="D455" s="21" t="n"/>
      <c r="H455" s="22" t="n"/>
      <c r="I455" s="125" t="n"/>
      <c r="J455" s="21" t="n"/>
      <c r="N455" s="22" t="n"/>
      <c r="O455" s="125" t="n"/>
      <c r="P455" s="21" t="n"/>
      <c r="T455" s="22" t="n"/>
      <c r="U455" s="125" t="n"/>
    </row>
    <row r="456" hidden="1" outlineLevel="2">
      <c r="A456" s="8" t="n"/>
      <c r="B456" s="14" t="n"/>
      <c r="C456" s="125" t="n"/>
      <c r="D456" s="21" t="n"/>
      <c r="H456" s="22" t="n"/>
      <c r="I456" s="125" t="n"/>
      <c r="J456" s="21" t="n"/>
      <c r="N456" s="22" t="n"/>
      <c r="O456" s="125" t="n"/>
      <c r="P456" s="21" t="n"/>
      <c r="T456" s="22" t="n"/>
      <c r="U456" s="125" t="n"/>
    </row>
    <row r="457" hidden="1" outlineLevel="2">
      <c r="A457" s="8" t="n"/>
      <c r="B457" s="14" t="n"/>
      <c r="C457" s="125" t="n"/>
      <c r="D457" s="21" t="n"/>
      <c r="H457" s="22" t="n"/>
      <c r="I457" s="125" t="n"/>
      <c r="J457" s="21" t="n"/>
      <c r="N457" s="22" t="n"/>
      <c r="O457" s="125" t="n"/>
      <c r="P457" s="21" t="n"/>
      <c r="T457" s="22" t="n"/>
      <c r="U457" s="125" t="n"/>
    </row>
    <row r="458" hidden="1" outlineLevel="2">
      <c r="A458" s="8" t="n"/>
      <c r="B458" s="14" t="n"/>
      <c r="C458" s="125" t="n"/>
      <c r="D458" s="21" t="n"/>
      <c r="H458" s="22" t="n"/>
      <c r="I458" s="125" t="n"/>
      <c r="J458" s="21" t="n"/>
      <c r="N458" s="22" t="n"/>
      <c r="O458" s="125" t="n"/>
      <c r="P458" s="21" t="n"/>
      <c r="T458" s="22" t="n"/>
      <c r="U458" s="125" t="n"/>
    </row>
    <row r="459" hidden="1" outlineLevel="2">
      <c r="A459" s="8" t="n"/>
      <c r="B459" s="14" t="n"/>
      <c r="C459" s="125" t="n"/>
      <c r="D459" s="21" t="n"/>
      <c r="H459" s="22" t="n"/>
      <c r="I459" s="125" t="n"/>
      <c r="J459" s="21" t="n"/>
      <c r="N459" s="22" t="n"/>
      <c r="O459" s="125" t="n"/>
      <c r="P459" s="21" t="n"/>
      <c r="T459" s="22" t="n"/>
      <c r="U459" s="125" t="n"/>
    </row>
    <row r="460" hidden="1" outlineLevel="2">
      <c r="A460" s="8" t="n"/>
      <c r="B460" s="14" t="n"/>
      <c r="C460" s="125" t="n"/>
      <c r="D460" s="21" t="n"/>
      <c r="H460" s="22" t="n"/>
      <c r="I460" s="125" t="n"/>
      <c r="J460" s="21" t="n"/>
      <c r="N460" s="22" t="n"/>
      <c r="O460" s="125" t="n"/>
      <c r="P460" s="21" t="n"/>
      <c r="T460" s="22" t="n"/>
      <c r="U460" s="125" t="n"/>
    </row>
    <row r="461" hidden="1" outlineLevel="2">
      <c r="A461" s="8" t="n"/>
      <c r="B461" s="14" t="n"/>
      <c r="C461" s="125" t="n"/>
      <c r="D461" s="21" t="n"/>
      <c r="H461" s="22" t="n"/>
      <c r="I461" s="125" t="n"/>
      <c r="J461" s="21" t="n"/>
      <c r="N461" s="22" t="n"/>
      <c r="O461" s="125" t="n"/>
      <c r="P461" s="21" t="n"/>
      <c r="T461" s="22" t="n"/>
      <c r="U461" s="125" t="n"/>
    </row>
    <row r="462" hidden="1" outlineLevel="2">
      <c r="A462" s="8" t="n"/>
      <c r="B462" s="14" t="n"/>
      <c r="C462" s="125" t="n"/>
      <c r="D462" s="21" t="n"/>
      <c r="H462" s="22" t="n"/>
      <c r="I462" s="125" t="n"/>
      <c r="J462" s="21" t="n"/>
      <c r="N462" s="22" t="n"/>
      <c r="O462" s="125" t="n"/>
      <c r="P462" s="21" t="n"/>
      <c r="T462" s="22" t="n"/>
      <c r="U462" s="125" t="n"/>
    </row>
    <row r="463" hidden="1" outlineLevel="2">
      <c r="A463" s="8" t="n"/>
      <c r="B463" s="14" t="n"/>
      <c r="C463" s="125" t="n"/>
      <c r="D463" s="21" t="n"/>
      <c r="H463" s="22" t="n"/>
      <c r="I463" s="125" t="n"/>
      <c r="J463" s="21" t="n"/>
      <c r="N463" s="22" t="n"/>
      <c r="O463" s="125" t="n"/>
      <c r="P463" s="21" t="n"/>
      <c r="T463" s="22" t="n"/>
      <c r="U463" s="125" t="n"/>
    </row>
    <row r="464" hidden="1" outlineLevel="2">
      <c r="A464" s="8" t="n"/>
      <c r="B464" s="14" t="n"/>
      <c r="C464" s="125" t="n"/>
      <c r="D464" s="21" t="n"/>
      <c r="H464" s="22" t="n"/>
      <c r="I464" s="125" t="n"/>
      <c r="J464" s="21" t="n"/>
      <c r="N464" s="22" t="n"/>
      <c r="O464" s="125" t="n"/>
      <c r="P464" s="21" t="n"/>
      <c r="T464" s="22" t="n"/>
      <c r="U464" s="125" t="n"/>
    </row>
    <row r="465" hidden="1" outlineLevel="2">
      <c r="A465" s="8" t="n"/>
      <c r="B465" s="14" t="n"/>
      <c r="C465" s="125" t="n"/>
      <c r="D465" s="23" t="n"/>
      <c r="E465" s="24" t="n"/>
      <c r="F465" s="24" t="n"/>
      <c r="G465" s="24" t="n"/>
      <c r="H465" s="25" t="n"/>
      <c r="I465" s="125" t="n"/>
      <c r="J465" s="23" t="n"/>
      <c r="K465" s="24" t="n"/>
      <c r="L465" s="24" t="n"/>
      <c r="M465" s="24" t="n"/>
      <c r="N465" s="25" t="n"/>
      <c r="O465" s="125" t="n"/>
      <c r="P465" s="23" t="n"/>
      <c r="Q465" s="24" t="n"/>
      <c r="R465" s="24" t="n"/>
      <c r="S465" s="24" t="n"/>
      <c r="T465" s="25" t="n"/>
      <c r="U465" s="125" t="n"/>
    </row>
    <row r="466" hidden="1" outlineLevel="2">
      <c r="A466" s="8" t="n"/>
      <c r="B466" s="14" t="n"/>
      <c r="C466" s="125" t="n"/>
      <c r="D466" s="55">
        <f>DADOS_AM!$KT$77</f>
        <v/>
      </c>
      <c r="E466" s="141">
        <f>DADOS_AM!$IA$5</f>
        <v/>
      </c>
      <c r="F466" s="16" t="n"/>
      <c r="G466" s="16" t="n"/>
      <c r="H466" s="17" t="n"/>
      <c r="I466" s="125" t="n"/>
      <c r="J466" s="55">
        <f>DADOS_AM!$KT$78</f>
        <v/>
      </c>
      <c r="K466" s="141">
        <f>DADOS_AM!$IA$6</f>
        <v/>
      </c>
      <c r="L466" s="16" t="n"/>
      <c r="M466" s="16" t="n"/>
      <c r="N466" s="17" t="n"/>
      <c r="O466" s="125" t="n"/>
      <c r="P466" s="55">
        <f>DADOS_AM!$KT$79</f>
        <v/>
      </c>
      <c r="Q466" s="141">
        <f>DADOS_AM!$IA$7</f>
        <v/>
      </c>
      <c r="R466" s="16" t="n"/>
      <c r="S466" s="16" t="n"/>
      <c r="T466" s="17" t="n"/>
      <c r="U466" s="125" t="n"/>
    </row>
    <row r="467" hidden="1" outlineLevel="2">
      <c r="A467" s="8" t="n"/>
      <c r="B467" s="14" t="n"/>
      <c r="C467" s="125" t="n"/>
      <c r="D467" s="55" t="inlineStr">
        <is>
          <t>SEU TEXTO</t>
        </is>
      </c>
      <c r="E467" s="121" t="n"/>
      <c r="F467" s="19" t="n"/>
      <c r="G467" s="19" t="n"/>
      <c r="H467" s="20" t="n"/>
      <c r="I467" s="125" t="n"/>
      <c r="J467" s="55" t="inlineStr">
        <is>
          <t>SEU TEXTO</t>
        </is>
      </c>
      <c r="K467" s="121" t="n"/>
      <c r="L467" s="19" t="n"/>
      <c r="M467" s="19" t="n"/>
      <c r="N467" s="20" t="n"/>
      <c r="O467" s="125" t="n"/>
      <c r="P467" s="55" t="inlineStr">
        <is>
          <t>SEU TEXTO</t>
        </is>
      </c>
      <c r="Q467" s="121" t="n"/>
      <c r="R467" s="19" t="n"/>
      <c r="S467" s="19" t="n"/>
      <c r="T467" s="20" t="n"/>
      <c r="U467" s="125" t="n"/>
    </row>
    <row r="468" hidden="1" outlineLevel="2">
      <c r="A468" s="8" t="n"/>
      <c r="B468" s="14" t="n"/>
      <c r="C468" s="125" t="n"/>
      <c r="D468" s="129" t="n"/>
      <c r="E468" s="23" t="n"/>
      <c r="F468" s="24" t="n"/>
      <c r="G468" s="24" t="n"/>
      <c r="H468" s="25" t="n"/>
      <c r="I468" s="125" t="n"/>
      <c r="J468" s="129" t="n"/>
      <c r="K468" s="23" t="n"/>
      <c r="L468" s="24" t="n"/>
      <c r="M468" s="24" t="n"/>
      <c r="N468" s="25" t="n"/>
      <c r="O468" s="125" t="n"/>
      <c r="P468" s="129" t="n"/>
      <c r="Q468" s="23" t="n"/>
      <c r="R468" s="24" t="n"/>
      <c r="S468" s="24" t="n"/>
      <c r="T468" s="25" t="n"/>
      <c r="U468" s="125" t="n"/>
    </row>
    <row r="469" outlineLevel="1">
      <c r="A469" s="8" t="n"/>
      <c r="B469" s="14" t="n"/>
      <c r="C469" s="125" t="n"/>
      <c r="D469" s="125" t="n"/>
      <c r="E469" s="125" t="n"/>
      <c r="F469" s="125" t="n"/>
      <c r="G469" s="125" t="n"/>
      <c r="H469" s="125" t="n"/>
      <c r="I469" s="125" t="n"/>
      <c r="J469" s="125" t="n"/>
      <c r="K469" s="125" t="n"/>
      <c r="L469" s="125" t="n"/>
      <c r="M469" s="125" t="n"/>
      <c r="N469" s="125" t="n"/>
      <c r="O469" s="125" t="n"/>
      <c r="P469" s="125" t="n"/>
      <c r="Q469" s="125" t="n"/>
      <c r="R469" s="125" t="n"/>
      <c r="S469" s="125" t="n"/>
      <c r="T469" s="125" t="n"/>
      <c r="U469" s="125" t="n"/>
    </row>
    <row r="470" outlineLevel="1">
      <c r="A470" s="8" t="n"/>
      <c r="B470" s="14" t="n"/>
      <c r="C470" s="125" t="n"/>
      <c r="D470" s="137">
        <f>DADOS_AM!$KT$86</f>
        <v/>
      </c>
      <c r="E470" s="16" t="n"/>
      <c r="F470" s="16" t="n"/>
      <c r="G470" s="16" t="n"/>
      <c r="H470" s="16" t="n"/>
      <c r="I470" s="16" t="n"/>
      <c r="J470" s="16" t="n"/>
      <c r="K470" s="16" t="n"/>
      <c r="L470" s="16" t="n"/>
      <c r="M470" s="16" t="n"/>
      <c r="N470" s="16" t="n"/>
      <c r="O470" s="16" t="n"/>
      <c r="P470" s="16" t="n"/>
      <c r="Q470" s="16" t="n"/>
      <c r="R470" s="16" t="n"/>
      <c r="S470" s="16" t="n"/>
      <c r="T470" s="17" t="n"/>
      <c r="U470" s="125" t="n"/>
    </row>
    <row r="471" hidden="1" outlineLevel="2">
      <c r="A471" s="8" t="n"/>
      <c r="B471" s="14" t="n"/>
      <c r="C471" s="125" t="n"/>
      <c r="D471" s="125" t="n"/>
      <c r="E471" s="125" t="n"/>
      <c r="F471" s="125" t="n"/>
      <c r="G471" s="125" t="n"/>
      <c r="H471" s="125" t="n"/>
      <c r="I471" s="125" t="n"/>
      <c r="J471" s="125" t="n"/>
      <c r="K471" s="125" t="n"/>
      <c r="L471" s="125" t="n"/>
      <c r="M471" s="125" t="n"/>
      <c r="N471" s="125" t="n"/>
      <c r="O471" s="125" t="n"/>
      <c r="P471" s="125" t="n"/>
      <c r="Q471" s="125" t="n"/>
      <c r="R471" s="125" t="n"/>
      <c r="S471" s="125" t="n"/>
      <c r="T471" s="125" t="n"/>
      <c r="U471" s="125" t="n"/>
    </row>
    <row r="472" hidden="1" outlineLevel="2">
      <c r="A472" s="8" t="n"/>
      <c r="B472" s="14" t="n"/>
      <c r="C472" s="125" t="n"/>
      <c r="D472" s="138" t="n"/>
      <c r="E472" s="16" t="n"/>
      <c r="F472" s="17" t="n"/>
      <c r="G472" s="133">
        <f>DADOS_AM!$HZ$8</f>
        <v/>
      </c>
      <c r="H472" s="17" t="n"/>
      <c r="I472" s="125" t="n"/>
      <c r="J472" s="138" t="n"/>
      <c r="K472" s="16" t="n"/>
      <c r="L472" s="17" t="n"/>
      <c r="M472" s="133">
        <f>DADOS_AM!$HZ$9</f>
        <v/>
      </c>
      <c r="N472" s="17" t="n"/>
      <c r="O472" s="125" t="n"/>
      <c r="P472" s="138" t="n"/>
      <c r="Q472" s="16" t="n"/>
      <c r="R472" s="17" t="n"/>
      <c r="S472" s="133">
        <f>DADOS_AM!$HZ$10</f>
        <v/>
      </c>
      <c r="T472" s="17" t="n"/>
      <c r="U472" s="125" t="n"/>
    </row>
    <row r="473" hidden="1" outlineLevel="2">
      <c r="A473" s="8" t="n"/>
      <c r="B473" s="14" t="n"/>
      <c r="C473" s="125" t="n"/>
      <c r="D473" s="139">
        <f>DADOS_AM!$HY$8</f>
        <v/>
      </c>
      <c r="E473" s="19" t="n"/>
      <c r="F473" s="19" t="n"/>
      <c r="G473" s="19" t="n"/>
      <c r="H473" s="20" t="n"/>
      <c r="I473" s="125" t="n"/>
      <c r="J473" s="139">
        <f>DADOS_AM!$HY$9</f>
        <v/>
      </c>
      <c r="K473" s="19" t="n"/>
      <c r="L473" s="19" t="n"/>
      <c r="M473" s="19" t="n"/>
      <c r="N473" s="20" t="n"/>
      <c r="O473" s="125" t="n"/>
      <c r="P473" s="139">
        <f>DADOS_AM!$HY$10</f>
        <v/>
      </c>
      <c r="Q473" s="19" t="n"/>
      <c r="R473" s="19" t="n"/>
      <c r="S473" s="19" t="n"/>
      <c r="T473" s="20" t="n"/>
      <c r="U473" s="125" t="n"/>
    </row>
    <row r="474" hidden="1" outlineLevel="2">
      <c r="A474" s="8" t="n"/>
      <c r="B474" s="14" t="n"/>
      <c r="C474" s="125" t="n"/>
      <c r="D474" s="23" t="n"/>
      <c r="E474" s="24" t="n"/>
      <c r="F474" s="24" t="n"/>
      <c r="G474" s="24" t="n"/>
      <c r="H474" s="25" t="n"/>
      <c r="I474" s="125" t="n"/>
      <c r="J474" s="23" t="n"/>
      <c r="K474" s="24" t="n"/>
      <c r="L474" s="24" t="n"/>
      <c r="M474" s="24" t="n"/>
      <c r="N474" s="25" t="n"/>
      <c r="O474" s="125" t="n"/>
      <c r="P474" s="23" t="n"/>
      <c r="Q474" s="24" t="n"/>
      <c r="R474" s="24" t="n"/>
      <c r="S474" s="24" t="n"/>
      <c r="T474" s="25" t="n"/>
      <c r="U474" s="125" t="n"/>
    </row>
    <row r="475" hidden="1" outlineLevel="3">
      <c r="A475" s="8" t="n"/>
      <c r="B475" s="14" t="n"/>
      <c r="C475" s="125" t="n"/>
      <c r="D475" s="55" t="inlineStr">
        <is>
          <t>O QUE FAZ</t>
        </is>
      </c>
      <c r="E475" s="16" t="n"/>
      <c r="F475" s="16" t="n"/>
      <c r="G475" s="16" t="n"/>
      <c r="H475" s="17" t="n"/>
      <c r="I475" s="125" t="n"/>
      <c r="J475" s="55" t="inlineStr">
        <is>
          <t>O QUE FAZ</t>
        </is>
      </c>
      <c r="K475" s="16" t="n"/>
      <c r="L475" s="16" t="n"/>
      <c r="M475" s="16" t="n"/>
      <c r="N475" s="17" t="n"/>
      <c r="O475" s="125" t="n"/>
      <c r="P475" s="55" t="inlineStr">
        <is>
          <t>O QUE FAZ</t>
        </is>
      </c>
      <c r="Q475" s="16" t="n"/>
      <c r="R475" s="16" t="n"/>
      <c r="S475" s="16" t="n"/>
      <c r="T475" s="17" t="n"/>
      <c r="U475" s="125" t="n"/>
    </row>
    <row r="476" hidden="1" outlineLevel="3">
      <c r="A476" s="8" t="n"/>
      <c r="B476" s="14" t="n"/>
      <c r="C476" s="125" t="n"/>
      <c r="D476" s="140">
        <f>DADOS_AM!$IB$8</f>
        <v/>
      </c>
      <c r="E476" s="19" t="n"/>
      <c r="F476" s="19" t="n"/>
      <c r="G476" s="19" t="n"/>
      <c r="H476" s="20" t="n"/>
      <c r="I476" s="125" t="n"/>
      <c r="J476" s="140">
        <f>DADOS_AM!$IB$9</f>
        <v/>
      </c>
      <c r="K476" s="19" t="n"/>
      <c r="L476" s="19" t="n"/>
      <c r="M476" s="19" t="n"/>
      <c r="N476" s="20" t="n"/>
      <c r="O476" s="125" t="n"/>
      <c r="P476" s="140">
        <f>DADOS_AM!$IB$10</f>
        <v/>
      </c>
      <c r="Q476" s="19" t="n"/>
      <c r="R476" s="19" t="n"/>
      <c r="S476" s="19" t="n"/>
      <c r="T476" s="20" t="n"/>
      <c r="U476" s="125" t="n"/>
    </row>
    <row r="477" hidden="1" outlineLevel="3">
      <c r="A477" s="8" t="n"/>
      <c r="B477" s="14" t="n"/>
      <c r="C477" s="125" t="n"/>
      <c r="D477" s="21" t="n"/>
      <c r="H477" s="22" t="n"/>
      <c r="I477" s="125" t="n"/>
      <c r="J477" s="21" t="n"/>
      <c r="N477" s="22" t="n"/>
      <c r="O477" s="125" t="n"/>
      <c r="P477" s="21" t="n"/>
      <c r="T477" s="22" t="n"/>
      <c r="U477" s="125" t="n"/>
    </row>
    <row r="478" hidden="1" outlineLevel="3">
      <c r="A478" s="8" t="n"/>
      <c r="B478" s="14" t="n"/>
      <c r="C478" s="125" t="n"/>
      <c r="D478" s="21" t="n"/>
      <c r="H478" s="22" t="n"/>
      <c r="I478" s="125" t="n"/>
      <c r="J478" s="21" t="n"/>
      <c r="N478" s="22" t="n"/>
      <c r="O478" s="125" t="n"/>
      <c r="P478" s="21" t="n"/>
      <c r="T478" s="22" t="n"/>
      <c r="U478" s="125" t="n"/>
    </row>
    <row r="479" hidden="1" outlineLevel="3">
      <c r="A479" s="8" t="n"/>
      <c r="B479" s="14" t="n"/>
      <c r="C479" s="125" t="n"/>
      <c r="D479" s="21" t="n"/>
      <c r="H479" s="22" t="n"/>
      <c r="I479" s="125" t="n"/>
      <c r="J479" s="21" t="n"/>
      <c r="N479" s="22" t="n"/>
      <c r="O479" s="125" t="n"/>
      <c r="P479" s="21" t="n"/>
      <c r="T479" s="22" t="n"/>
      <c r="U479" s="125" t="n"/>
    </row>
    <row r="480" hidden="1" outlineLevel="3">
      <c r="A480" s="8" t="n"/>
      <c r="B480" s="14" t="n"/>
      <c r="C480" s="125" t="n"/>
      <c r="D480" s="21" t="n"/>
      <c r="H480" s="22" t="n"/>
      <c r="I480" s="125" t="n"/>
      <c r="J480" s="21" t="n"/>
      <c r="N480" s="22" t="n"/>
      <c r="O480" s="125" t="n"/>
      <c r="P480" s="21" t="n"/>
      <c r="T480" s="22" t="n"/>
      <c r="U480" s="125" t="n"/>
    </row>
    <row r="481" hidden="1" outlineLevel="3">
      <c r="A481" s="8" t="n"/>
      <c r="B481" s="14" t="n"/>
      <c r="C481" s="125" t="n"/>
      <c r="D481" s="21" t="n"/>
      <c r="H481" s="22" t="n"/>
      <c r="I481" s="125" t="n"/>
      <c r="J481" s="21" t="n"/>
      <c r="N481" s="22" t="n"/>
      <c r="O481" s="125" t="n"/>
      <c r="P481" s="21" t="n"/>
      <c r="T481" s="22" t="n"/>
      <c r="U481" s="125" t="n"/>
    </row>
    <row r="482" hidden="1" outlineLevel="3">
      <c r="A482" s="8" t="n"/>
      <c r="B482" s="14" t="n"/>
      <c r="C482" s="125" t="n"/>
      <c r="D482" s="21" t="n"/>
      <c r="H482" s="22" t="n"/>
      <c r="I482" s="125" t="n"/>
      <c r="J482" s="21" t="n"/>
      <c r="N482" s="22" t="n"/>
      <c r="O482" s="125" t="n"/>
      <c r="P482" s="21" t="n"/>
      <c r="T482" s="22" t="n"/>
      <c r="U482" s="125" t="n"/>
    </row>
    <row r="483" hidden="1" outlineLevel="3">
      <c r="A483" s="8" t="n"/>
      <c r="B483" s="14" t="n"/>
      <c r="C483" s="125" t="n"/>
      <c r="D483" s="21" t="n"/>
      <c r="H483" s="22" t="n"/>
      <c r="I483" s="125" t="n"/>
      <c r="J483" s="21" t="n"/>
      <c r="N483" s="22" t="n"/>
      <c r="O483" s="125" t="n"/>
      <c r="P483" s="21" t="n"/>
      <c r="T483" s="22" t="n"/>
      <c r="U483" s="125" t="n"/>
    </row>
    <row r="484" hidden="1" outlineLevel="3">
      <c r="A484" s="8" t="n"/>
      <c r="B484" s="14" t="n"/>
      <c r="C484" s="125" t="n"/>
      <c r="D484" s="21" t="n"/>
      <c r="H484" s="22" t="n"/>
      <c r="I484" s="125" t="n"/>
      <c r="J484" s="21" t="n"/>
      <c r="N484" s="22" t="n"/>
      <c r="O484" s="125" t="n"/>
      <c r="P484" s="21" t="n"/>
      <c r="T484" s="22" t="n"/>
      <c r="U484" s="125" t="n"/>
    </row>
    <row r="485" hidden="1" outlineLevel="3">
      <c r="A485" s="8" t="n"/>
      <c r="B485" s="14" t="n"/>
      <c r="C485" s="125" t="n"/>
      <c r="D485" s="21" t="n"/>
      <c r="H485" s="22" t="n"/>
      <c r="I485" s="125" t="n"/>
      <c r="J485" s="21" t="n"/>
      <c r="N485" s="22" t="n"/>
      <c r="O485" s="125" t="n"/>
      <c r="P485" s="21" t="n"/>
      <c r="T485" s="22" t="n"/>
      <c r="U485" s="125" t="n"/>
    </row>
    <row r="486" hidden="1" outlineLevel="3">
      <c r="A486" s="8" t="n"/>
      <c r="B486" s="14" t="n"/>
      <c r="C486" s="125" t="n"/>
      <c r="D486" s="21" t="n"/>
      <c r="H486" s="22" t="n"/>
      <c r="I486" s="125" t="n"/>
      <c r="J486" s="21" t="n"/>
      <c r="N486" s="22" t="n"/>
      <c r="O486" s="125" t="n"/>
      <c r="P486" s="21" t="n"/>
      <c r="T486" s="22" t="n"/>
      <c r="U486" s="125" t="n"/>
    </row>
    <row r="487" hidden="1" outlineLevel="3">
      <c r="A487" s="8" t="n"/>
      <c r="B487" s="14" t="n"/>
      <c r="C487" s="125" t="n"/>
      <c r="D487" s="23" t="n"/>
      <c r="E487" s="24" t="n"/>
      <c r="F487" s="24" t="n"/>
      <c r="G487" s="24" t="n"/>
      <c r="H487" s="25" t="n"/>
      <c r="I487" s="125" t="n"/>
      <c r="J487" s="23" t="n"/>
      <c r="K487" s="24" t="n"/>
      <c r="L487" s="24" t="n"/>
      <c r="M487" s="24" t="n"/>
      <c r="N487" s="25" t="n"/>
      <c r="O487" s="125" t="n"/>
      <c r="P487" s="23" t="n"/>
      <c r="Q487" s="24" t="n"/>
      <c r="R487" s="24" t="n"/>
      <c r="S487" s="24" t="n"/>
      <c r="T487" s="25" t="n"/>
      <c r="U487" s="125" t="n"/>
    </row>
    <row r="488" hidden="1" outlineLevel="3">
      <c r="A488" s="8" t="n"/>
      <c r="B488" s="14" t="n"/>
      <c r="C488" s="125" t="n"/>
      <c r="D488" s="55">
        <f>DADOS_AM!$KT$80</f>
        <v/>
      </c>
      <c r="E488" s="141">
        <f>DADOS_AM!$IA$8</f>
        <v/>
      </c>
      <c r="F488" s="16" t="n"/>
      <c r="G488" s="16" t="n"/>
      <c r="H488" s="17" t="n"/>
      <c r="I488" s="125" t="n"/>
      <c r="J488" s="55">
        <f>DADOS_AM!$KT$81</f>
        <v/>
      </c>
      <c r="K488" s="141">
        <f>DADOS_AM!$IA$9</f>
        <v/>
      </c>
      <c r="L488" s="16" t="n"/>
      <c r="M488" s="16" t="n"/>
      <c r="N488" s="17" t="n"/>
      <c r="O488" s="125" t="n"/>
      <c r="P488" s="55">
        <f>DADOS_AM!$KT$82</f>
        <v/>
      </c>
      <c r="Q488" s="141">
        <f>DADOS_AM!$IA$10</f>
        <v/>
      </c>
      <c r="R488" s="16" t="n"/>
      <c r="S488" s="16" t="n"/>
      <c r="T488" s="17" t="n"/>
      <c r="U488" s="125" t="n"/>
    </row>
    <row r="489" hidden="1" outlineLevel="3">
      <c r="A489" s="8" t="n"/>
      <c r="B489" s="14" t="n"/>
      <c r="C489" s="125" t="n"/>
      <c r="D489" s="55" t="inlineStr">
        <is>
          <t>SEU TEXTO</t>
        </is>
      </c>
      <c r="E489" s="121" t="n"/>
      <c r="F489" s="19" t="n"/>
      <c r="G489" s="19" t="n"/>
      <c r="H489" s="20" t="n"/>
      <c r="I489" s="125" t="n"/>
      <c r="J489" s="55" t="inlineStr">
        <is>
          <t>SEU TEXTO</t>
        </is>
      </c>
      <c r="K489" s="121" t="n"/>
      <c r="L489" s="19" t="n"/>
      <c r="M489" s="19" t="n"/>
      <c r="N489" s="20" t="n"/>
      <c r="O489" s="125" t="n"/>
      <c r="P489" s="55" t="inlineStr">
        <is>
          <t>SEU TEXTO</t>
        </is>
      </c>
      <c r="Q489" s="121" t="n"/>
      <c r="R489" s="19" t="n"/>
      <c r="S489" s="19" t="n"/>
      <c r="T489" s="20" t="n"/>
      <c r="U489" s="125" t="n"/>
    </row>
    <row r="490" hidden="1" outlineLevel="3">
      <c r="A490" s="8" t="n"/>
      <c r="B490" s="14" t="n"/>
      <c r="C490" s="125" t="n"/>
      <c r="D490" s="129" t="n"/>
      <c r="E490" s="23" t="n"/>
      <c r="F490" s="24" t="n"/>
      <c r="G490" s="24" t="n"/>
      <c r="H490" s="25" t="n"/>
      <c r="I490" s="125" t="n"/>
      <c r="J490" s="129" t="n"/>
      <c r="K490" s="23" t="n"/>
      <c r="L490" s="24" t="n"/>
      <c r="M490" s="24" t="n"/>
      <c r="N490" s="25" t="n"/>
      <c r="O490" s="125" t="n"/>
      <c r="P490" s="129" t="n"/>
      <c r="Q490" s="23" t="n"/>
      <c r="R490" s="24" t="n"/>
      <c r="S490" s="24" t="n"/>
      <c r="T490" s="25" t="n"/>
      <c r="U490" s="125" t="n"/>
    </row>
    <row r="491" hidden="1" outlineLevel="2">
      <c r="A491" s="8" t="n"/>
      <c r="B491" s="14" t="n"/>
      <c r="C491" s="125" t="n"/>
      <c r="D491" s="125" t="n"/>
      <c r="E491" s="125" t="n"/>
      <c r="F491" s="125" t="n"/>
      <c r="G491" s="125" t="n"/>
      <c r="H491" s="125" t="n"/>
      <c r="I491" s="125" t="n"/>
      <c r="J491" s="125" t="n"/>
      <c r="K491" s="125" t="n"/>
      <c r="L491" s="125" t="n"/>
      <c r="M491" s="125" t="n"/>
      <c r="N491" s="125" t="n"/>
      <c r="O491" s="125" t="n"/>
      <c r="P491" s="125" t="n"/>
      <c r="Q491" s="125" t="n"/>
      <c r="R491" s="125" t="n"/>
      <c r="S491" s="125" t="n"/>
      <c r="T491" s="125" t="n"/>
      <c r="U491" s="125" t="n"/>
    </row>
    <row r="492" hidden="1" outlineLevel="2">
      <c r="A492" s="8" t="n"/>
      <c r="B492" s="14" t="n"/>
      <c r="C492" s="125" t="n"/>
      <c r="D492" s="138" t="n"/>
      <c r="E492" s="16" t="n"/>
      <c r="F492" s="17" t="n"/>
      <c r="G492" s="133">
        <f>DADOS_AM!$HZ$11</f>
        <v/>
      </c>
      <c r="H492" s="17" t="n"/>
      <c r="I492" s="125" t="n"/>
      <c r="J492" s="138" t="n"/>
      <c r="K492" s="16" t="n"/>
      <c r="L492" s="17" t="n"/>
      <c r="M492" s="133">
        <f>DADOS_AM!$HZ$12</f>
        <v/>
      </c>
      <c r="N492" s="17" t="n"/>
      <c r="O492" s="125" t="n"/>
      <c r="P492" s="138" t="n"/>
      <c r="Q492" s="16" t="n"/>
      <c r="R492" s="17" t="n"/>
      <c r="S492" s="133">
        <f>DADOS_AM!$HZ$13</f>
        <v/>
      </c>
      <c r="T492" s="17" t="n"/>
      <c r="U492" s="125" t="n"/>
    </row>
    <row r="493" hidden="1" outlineLevel="2">
      <c r="A493" s="8" t="n"/>
      <c r="B493" s="14" t="n"/>
      <c r="C493" s="125" t="n"/>
      <c r="D493" s="139">
        <f>DADOS_AM!$HY$11</f>
        <v/>
      </c>
      <c r="E493" s="19" t="n"/>
      <c r="F493" s="19" t="n"/>
      <c r="G493" s="19" t="n"/>
      <c r="H493" s="20" t="n"/>
      <c r="I493" s="125" t="n"/>
      <c r="J493" s="139">
        <f>DADOS_AM!$HY$12</f>
        <v/>
      </c>
      <c r="K493" s="19" t="n"/>
      <c r="L493" s="19" t="n"/>
      <c r="M493" s="19" t="n"/>
      <c r="N493" s="20" t="n"/>
      <c r="O493" s="125" t="n"/>
      <c r="P493" s="139">
        <f>DADOS_AM!$HY$13</f>
        <v/>
      </c>
      <c r="Q493" s="19" t="n"/>
      <c r="R493" s="19" t="n"/>
      <c r="S493" s="19" t="n"/>
      <c r="T493" s="20" t="n"/>
      <c r="U493" s="125" t="n"/>
    </row>
    <row r="494" hidden="1" outlineLevel="2">
      <c r="A494" s="8" t="n"/>
      <c r="B494" s="14" t="n"/>
      <c r="C494" s="125" t="n"/>
      <c r="D494" s="23" t="n"/>
      <c r="E494" s="24" t="n"/>
      <c r="F494" s="24" t="n"/>
      <c r="G494" s="24" t="n"/>
      <c r="H494" s="25" t="n"/>
      <c r="I494" s="125" t="n"/>
      <c r="J494" s="23" t="n"/>
      <c r="K494" s="24" t="n"/>
      <c r="L494" s="24" t="n"/>
      <c r="M494" s="24" t="n"/>
      <c r="N494" s="25" t="n"/>
      <c r="O494" s="125" t="n"/>
      <c r="P494" s="23" t="n"/>
      <c r="Q494" s="24" t="n"/>
      <c r="R494" s="24" t="n"/>
      <c r="S494" s="24" t="n"/>
      <c r="T494" s="25" t="n"/>
      <c r="U494" s="125" t="n"/>
    </row>
    <row r="495" hidden="1" outlineLevel="3">
      <c r="A495" s="8" t="n"/>
      <c r="B495" s="14" t="n"/>
      <c r="C495" s="125" t="n"/>
      <c r="D495" s="55" t="inlineStr">
        <is>
          <t>O QUE FAZ</t>
        </is>
      </c>
      <c r="E495" s="16" t="n"/>
      <c r="F495" s="16" t="n"/>
      <c r="G495" s="16" t="n"/>
      <c r="H495" s="17" t="n"/>
      <c r="I495" s="125" t="n"/>
      <c r="J495" s="55" t="inlineStr">
        <is>
          <t>O QUE FAZ</t>
        </is>
      </c>
      <c r="K495" s="16" t="n"/>
      <c r="L495" s="16" t="n"/>
      <c r="M495" s="16" t="n"/>
      <c r="N495" s="17" t="n"/>
      <c r="O495" s="125" t="n"/>
      <c r="P495" s="55" t="inlineStr">
        <is>
          <t>O QUE FAZ</t>
        </is>
      </c>
      <c r="Q495" s="16" t="n"/>
      <c r="R495" s="16" t="n"/>
      <c r="S495" s="16" t="n"/>
      <c r="T495" s="17" t="n"/>
      <c r="U495" s="125" t="n"/>
    </row>
    <row r="496" hidden="1" outlineLevel="3">
      <c r="A496" s="8" t="n"/>
      <c r="B496" s="14" t="n"/>
      <c r="C496" s="125" t="n"/>
      <c r="D496" s="140">
        <f>DADOS_AM!$IB$11</f>
        <v/>
      </c>
      <c r="E496" s="19" t="n"/>
      <c r="F496" s="19" t="n"/>
      <c r="G496" s="19" t="n"/>
      <c r="H496" s="20" t="n"/>
      <c r="I496" s="125" t="n"/>
      <c r="J496" s="140">
        <f>DADOS_AM!$IB$12</f>
        <v/>
      </c>
      <c r="K496" s="19" t="n"/>
      <c r="L496" s="19" t="n"/>
      <c r="M496" s="19" t="n"/>
      <c r="N496" s="20" t="n"/>
      <c r="O496" s="125" t="n"/>
      <c r="P496" s="140">
        <f>DADOS_AM!$IB$13</f>
        <v/>
      </c>
      <c r="Q496" s="19" t="n"/>
      <c r="R496" s="19" t="n"/>
      <c r="S496" s="19" t="n"/>
      <c r="T496" s="20" t="n"/>
      <c r="U496" s="125" t="n"/>
    </row>
    <row r="497" hidden="1" outlineLevel="3">
      <c r="A497" s="8" t="n"/>
      <c r="B497" s="14" t="n"/>
      <c r="C497" s="125" t="n"/>
      <c r="D497" s="21" t="n"/>
      <c r="H497" s="22" t="n"/>
      <c r="I497" s="125" t="n"/>
      <c r="J497" s="21" t="n"/>
      <c r="N497" s="22" t="n"/>
      <c r="O497" s="125" t="n"/>
      <c r="P497" s="21" t="n"/>
      <c r="T497" s="22" t="n"/>
      <c r="U497" s="125" t="n"/>
    </row>
    <row r="498" hidden="1" outlineLevel="3">
      <c r="A498" s="8" t="n"/>
      <c r="B498" s="14" t="n"/>
      <c r="C498" s="125" t="n"/>
      <c r="D498" s="21" t="n"/>
      <c r="H498" s="22" t="n"/>
      <c r="I498" s="125" t="n"/>
      <c r="J498" s="21" t="n"/>
      <c r="N498" s="22" t="n"/>
      <c r="O498" s="125" t="n"/>
      <c r="P498" s="21" t="n"/>
      <c r="T498" s="22" t="n"/>
      <c r="U498" s="125" t="n"/>
    </row>
    <row r="499" hidden="1" outlineLevel="3">
      <c r="A499" s="8" t="n"/>
      <c r="B499" s="14" t="n"/>
      <c r="C499" s="125" t="n"/>
      <c r="D499" s="21" t="n"/>
      <c r="H499" s="22" t="n"/>
      <c r="I499" s="125" t="n"/>
      <c r="J499" s="21" t="n"/>
      <c r="N499" s="22" t="n"/>
      <c r="O499" s="125" t="n"/>
      <c r="P499" s="21" t="n"/>
      <c r="T499" s="22" t="n"/>
      <c r="U499" s="125" t="n"/>
    </row>
    <row r="500" hidden="1" outlineLevel="3">
      <c r="A500" s="8" t="n"/>
      <c r="B500" s="14" t="n"/>
      <c r="C500" s="125" t="n"/>
      <c r="D500" s="21" t="n"/>
      <c r="H500" s="22" t="n"/>
      <c r="I500" s="125" t="n"/>
      <c r="J500" s="21" t="n"/>
      <c r="N500" s="22" t="n"/>
      <c r="O500" s="125" t="n"/>
      <c r="P500" s="21" t="n"/>
      <c r="T500" s="22" t="n"/>
      <c r="U500" s="125" t="n"/>
    </row>
    <row r="501" hidden="1" outlineLevel="3">
      <c r="A501" s="8" t="n"/>
      <c r="B501" s="14" t="n"/>
      <c r="C501" s="125" t="n"/>
      <c r="D501" s="21" t="n"/>
      <c r="H501" s="22" t="n"/>
      <c r="I501" s="125" t="n"/>
      <c r="J501" s="21" t="n"/>
      <c r="N501" s="22" t="n"/>
      <c r="O501" s="125" t="n"/>
      <c r="P501" s="21" t="n"/>
      <c r="T501" s="22" t="n"/>
      <c r="U501" s="125" t="n"/>
    </row>
    <row r="502" hidden="1" outlineLevel="3">
      <c r="A502" s="8" t="n"/>
      <c r="B502" s="14" t="n"/>
      <c r="C502" s="125" t="n"/>
      <c r="D502" s="21" t="n"/>
      <c r="H502" s="22" t="n"/>
      <c r="I502" s="125" t="n"/>
      <c r="J502" s="21" t="n"/>
      <c r="N502" s="22" t="n"/>
      <c r="O502" s="125" t="n"/>
      <c r="P502" s="21" t="n"/>
      <c r="T502" s="22" t="n"/>
      <c r="U502" s="125" t="n"/>
    </row>
    <row r="503" hidden="1" outlineLevel="3">
      <c r="A503" s="8" t="n"/>
      <c r="B503" s="14" t="n"/>
      <c r="C503" s="125" t="n"/>
      <c r="D503" s="21" t="n"/>
      <c r="H503" s="22" t="n"/>
      <c r="I503" s="125" t="n"/>
      <c r="J503" s="21" t="n"/>
      <c r="N503" s="22" t="n"/>
      <c r="O503" s="125" t="n"/>
      <c r="P503" s="21" t="n"/>
      <c r="T503" s="22" t="n"/>
      <c r="U503" s="125" t="n"/>
    </row>
    <row r="504" hidden="1" outlineLevel="3">
      <c r="A504" s="8" t="n"/>
      <c r="B504" s="14" t="n"/>
      <c r="C504" s="125" t="n"/>
      <c r="D504" s="21" t="n"/>
      <c r="H504" s="22" t="n"/>
      <c r="I504" s="125" t="n"/>
      <c r="J504" s="21" t="n"/>
      <c r="N504" s="22" t="n"/>
      <c r="O504" s="125" t="n"/>
      <c r="P504" s="21" t="n"/>
      <c r="T504" s="22" t="n"/>
      <c r="U504" s="125" t="n"/>
    </row>
    <row r="505" hidden="1" outlineLevel="3">
      <c r="A505" s="8" t="n"/>
      <c r="B505" s="14" t="n"/>
      <c r="C505" s="125" t="n"/>
      <c r="D505" s="21" t="n"/>
      <c r="H505" s="22" t="n"/>
      <c r="I505" s="125" t="n"/>
      <c r="J505" s="21" t="n"/>
      <c r="N505" s="22" t="n"/>
      <c r="O505" s="125" t="n"/>
      <c r="P505" s="21" t="n"/>
      <c r="T505" s="22" t="n"/>
      <c r="U505" s="125" t="n"/>
    </row>
    <row r="506" hidden="1" outlineLevel="3">
      <c r="A506" s="8" t="n"/>
      <c r="B506" s="14" t="n"/>
      <c r="C506" s="125" t="n"/>
      <c r="D506" s="21" t="n"/>
      <c r="H506" s="22" t="n"/>
      <c r="I506" s="125" t="n"/>
      <c r="J506" s="21" t="n"/>
      <c r="N506" s="22" t="n"/>
      <c r="O506" s="125" t="n"/>
      <c r="P506" s="21" t="n"/>
      <c r="T506" s="22" t="n"/>
      <c r="U506" s="125" t="n"/>
    </row>
    <row r="507" hidden="1" outlineLevel="3">
      <c r="A507" s="8" t="n"/>
      <c r="B507" s="14" t="n"/>
      <c r="C507" s="125" t="n"/>
      <c r="D507" s="23" t="n"/>
      <c r="E507" s="24" t="n"/>
      <c r="F507" s="24" t="n"/>
      <c r="G507" s="24" t="n"/>
      <c r="H507" s="25" t="n"/>
      <c r="I507" s="125" t="n"/>
      <c r="J507" s="23" t="n"/>
      <c r="K507" s="24" t="n"/>
      <c r="L507" s="24" t="n"/>
      <c r="M507" s="24" t="n"/>
      <c r="N507" s="25" t="n"/>
      <c r="O507" s="125" t="n"/>
      <c r="P507" s="23" t="n"/>
      <c r="Q507" s="24" t="n"/>
      <c r="R507" s="24" t="n"/>
      <c r="S507" s="24" t="n"/>
      <c r="T507" s="25" t="n"/>
      <c r="U507" s="125" t="n"/>
    </row>
    <row r="508" hidden="1" outlineLevel="3">
      <c r="A508" s="8" t="n"/>
      <c r="B508" s="14" t="n"/>
      <c r="C508" s="125" t="n"/>
      <c r="D508" s="55">
        <f>DADOS_AM!$KT$83</f>
        <v/>
      </c>
      <c r="E508" s="141">
        <f>DADOS_AM!$IA$11</f>
        <v/>
      </c>
      <c r="F508" s="16" t="n"/>
      <c r="G508" s="16" t="n"/>
      <c r="H508" s="17" t="n"/>
      <c r="I508" s="125" t="n"/>
      <c r="J508" s="55">
        <f>DADOS_AM!$KT$84</f>
        <v/>
      </c>
      <c r="K508" s="141">
        <f>DADOS_AM!$IA$12</f>
        <v/>
      </c>
      <c r="L508" s="16" t="n"/>
      <c r="M508" s="16" t="n"/>
      <c r="N508" s="17" t="n"/>
      <c r="O508" s="125" t="n"/>
      <c r="P508" s="55">
        <f>DADOS_AM!$KT$85</f>
        <v/>
      </c>
      <c r="Q508" s="141">
        <f>DADOS_AM!$IA$13</f>
        <v/>
      </c>
      <c r="R508" s="16" t="n"/>
      <c r="S508" s="16" t="n"/>
      <c r="T508" s="17" t="n"/>
      <c r="U508" s="125" t="n"/>
    </row>
    <row r="509" hidden="1" outlineLevel="3">
      <c r="A509" s="8" t="n"/>
      <c r="B509" s="14" t="n"/>
      <c r="C509" s="125" t="n"/>
      <c r="D509" s="55" t="inlineStr">
        <is>
          <t>SEU TEXTO</t>
        </is>
      </c>
      <c r="E509" s="121" t="n"/>
      <c r="F509" s="19" t="n"/>
      <c r="G509" s="19" t="n"/>
      <c r="H509" s="20" t="n"/>
      <c r="I509" s="125" t="n"/>
      <c r="J509" s="55" t="inlineStr">
        <is>
          <t>SEU TEXTO</t>
        </is>
      </c>
      <c r="K509" s="121" t="n"/>
      <c r="L509" s="19" t="n"/>
      <c r="M509" s="19" t="n"/>
      <c r="N509" s="20" t="n"/>
      <c r="O509" s="125" t="n"/>
      <c r="P509" s="55" t="inlineStr">
        <is>
          <t>SEU TEXTO</t>
        </is>
      </c>
      <c r="Q509" s="121" t="n"/>
      <c r="R509" s="19" t="n"/>
      <c r="S509" s="19" t="n"/>
      <c r="T509" s="20" t="n"/>
      <c r="U509" s="125" t="n"/>
    </row>
    <row r="510" hidden="1" outlineLevel="3">
      <c r="A510" s="8" t="n"/>
      <c r="B510" s="14" t="n"/>
      <c r="C510" s="125" t="n"/>
      <c r="D510" s="129" t="n"/>
      <c r="E510" s="23" t="n"/>
      <c r="F510" s="24" t="n"/>
      <c r="G510" s="24" t="n"/>
      <c r="H510" s="25" t="n"/>
      <c r="I510" s="125" t="n"/>
      <c r="J510" s="129" t="n"/>
      <c r="K510" s="23" t="n"/>
      <c r="L510" s="24" t="n"/>
      <c r="M510" s="24" t="n"/>
      <c r="N510" s="25" t="n"/>
      <c r="O510" s="125" t="n"/>
      <c r="P510" s="129" t="n"/>
      <c r="Q510" s="23" t="n"/>
      <c r="R510" s="24" t="n"/>
      <c r="S510" s="24" t="n"/>
      <c r="T510" s="25" t="n"/>
      <c r="U510" s="125" t="n"/>
    </row>
    <row r="511">
      <c r="A511" s="8" t="n"/>
      <c r="B511" s="14" t="n"/>
      <c r="C511" s="125" t="n"/>
      <c r="D511" s="125" t="n"/>
      <c r="E511" s="125" t="n"/>
      <c r="F511" s="125" t="n"/>
      <c r="G511" s="125" t="n"/>
      <c r="H511" s="125" t="n"/>
      <c r="I511" s="125" t="n"/>
      <c r="J511" s="125" t="n"/>
      <c r="K511" s="125" t="n"/>
      <c r="L511" s="125" t="n"/>
      <c r="M511" s="125" t="n"/>
      <c r="N511" s="125" t="n"/>
      <c r="O511" s="125" t="n"/>
      <c r="P511" s="125" t="n"/>
      <c r="Q511" s="125" t="n"/>
      <c r="R511" s="125" t="n"/>
      <c r="S511" s="125" t="n"/>
      <c r="T511" s="125" t="n"/>
      <c r="U511" s="125" t="n"/>
    </row>
    <row r="512">
      <c r="A512" s="8" t="n"/>
      <c r="B512" s="14" t="n"/>
      <c r="C512" s="125" t="n"/>
      <c r="D512" s="128"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5" t="n"/>
    </row>
    <row r="513">
      <c r="A513" s="8" t="n"/>
      <c r="B513" s="14" t="n"/>
      <c r="C513" s="125" t="n"/>
      <c r="D513" s="23" t="n"/>
      <c r="E513" s="24" t="n"/>
      <c r="F513" s="24" t="n"/>
      <c r="G513" s="24" t="n"/>
      <c r="H513" s="24" t="n"/>
      <c r="I513" s="24" t="n"/>
      <c r="J513" s="24" t="n"/>
      <c r="K513" s="24" t="n"/>
      <c r="L513" s="24" t="n"/>
      <c r="M513" s="24" t="n"/>
      <c r="N513" s="24" t="n"/>
      <c r="O513" s="24" t="n"/>
      <c r="P513" s="24" t="n"/>
      <c r="Q513" s="24" t="n"/>
      <c r="R513" s="24" t="n"/>
      <c r="S513" s="24" t="n"/>
      <c r="T513" s="25" t="n"/>
      <c r="U513" s="125" t="n"/>
    </row>
    <row r="514" outlineLevel="1">
      <c r="A514" s="8" t="n"/>
      <c r="B514" s="14" t="n"/>
      <c r="C514" s="125" t="n"/>
      <c r="D514" s="55" t="inlineStr">
        <is>
          <t>VAGAS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5" t="n"/>
    </row>
    <row r="515" outlineLevel="1">
      <c r="A515" s="8" t="n"/>
      <c r="B515" s="14" t="n"/>
      <c r="C515" s="125" t="n"/>
      <c r="D515" s="98">
        <f>DADOS_AM!$KT$87</f>
        <v/>
      </c>
      <c r="E515" s="20" t="n"/>
      <c r="F515" s="136"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5" t="n"/>
    </row>
    <row r="516" outlineLevel="1">
      <c r="A516" s="8" t="n"/>
      <c r="B516" s="14" t="n"/>
      <c r="C516" s="125" t="n"/>
      <c r="D516" s="23" t="n"/>
      <c r="E516" s="25" t="n"/>
      <c r="F516" s="23" t="n"/>
      <c r="G516" s="24" t="n"/>
      <c r="H516" s="24" t="n"/>
      <c r="I516" s="24" t="n"/>
      <c r="J516" s="24" t="n"/>
      <c r="K516" s="24" t="n"/>
      <c r="L516" s="24" t="n"/>
      <c r="M516" s="24" t="n"/>
      <c r="N516" s="24" t="n"/>
      <c r="O516" s="24" t="n"/>
      <c r="P516" s="24" t="n"/>
      <c r="Q516" s="24" t="n"/>
      <c r="R516" s="24" t="n"/>
      <c r="S516" s="24" t="n"/>
      <c r="T516" s="25" t="n"/>
      <c r="U516" s="125" t="n"/>
    </row>
    <row r="517" outlineLevel="1">
      <c r="A517" s="8" t="n"/>
      <c r="B517" s="14" t="n"/>
      <c r="C517" s="125" t="n"/>
      <c r="D517" s="125" t="n"/>
      <c r="E517" s="125" t="n"/>
      <c r="F517" s="125" t="n"/>
      <c r="G517" s="125" t="n"/>
      <c r="H517" s="125" t="n"/>
      <c r="I517" s="125" t="n"/>
      <c r="J517" s="125" t="n"/>
      <c r="K517" s="125" t="n"/>
      <c r="L517" s="125" t="n"/>
      <c r="M517" s="125" t="n"/>
      <c r="N517" s="125" t="n"/>
      <c r="O517" s="125" t="n"/>
      <c r="P517" s="125" t="n"/>
      <c r="Q517" s="125" t="n"/>
      <c r="R517" s="125" t="n"/>
      <c r="S517" s="125" t="n"/>
      <c r="T517" s="125" t="n"/>
      <c r="U517" s="125" t="n"/>
    </row>
    <row r="518" outlineLevel="1">
      <c r="A518" s="8" t="n"/>
      <c r="B518" s="14" t="n"/>
      <c r="C518" s="125" t="n"/>
      <c r="D518" s="55" t="inlineStr">
        <is>
          <t>PACTO 1</t>
        </is>
      </c>
      <c r="E518" s="120" t="n"/>
      <c r="F518" s="16" t="n"/>
      <c r="G518" s="16" t="n"/>
      <c r="H518" s="16" t="n"/>
      <c r="I518" s="16" t="n"/>
      <c r="J518" s="16" t="n"/>
      <c r="K518" s="17" t="n"/>
      <c r="L518" s="89" t="n"/>
      <c r="M518" s="16" t="n"/>
      <c r="N518" s="17" t="n"/>
      <c r="O518" s="125" t="n"/>
      <c r="P518" s="89" t="n"/>
      <c r="Q518" s="16" t="n"/>
      <c r="R518" s="16" t="n"/>
      <c r="S518" s="16" t="n"/>
      <c r="T518" s="17" t="n"/>
      <c r="U518" s="125" t="n"/>
    </row>
    <row r="519" outlineLevel="2">
      <c r="A519" s="8" t="n"/>
      <c r="B519" s="14" t="n"/>
      <c r="C519" s="125"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5" t="n"/>
    </row>
    <row r="520" outlineLevel="2">
      <c r="A520" s="8" t="n"/>
      <c r="B520" s="14" t="n"/>
      <c r="C520" s="125" t="n"/>
      <c r="D520" s="121" t="n"/>
      <c r="E520" s="19" t="n"/>
      <c r="F520" s="19" t="n"/>
      <c r="G520" s="19" t="n"/>
      <c r="H520" s="19" t="n"/>
      <c r="I520" s="19" t="n"/>
      <c r="J520" s="19" t="n"/>
      <c r="K520" s="20" t="n"/>
      <c r="L520" s="121" t="n"/>
      <c r="M520" s="19" t="n"/>
      <c r="N520" s="19" t="n"/>
      <c r="O520" s="19" t="n"/>
      <c r="P520" s="19" t="n"/>
      <c r="Q520" s="19" t="n"/>
      <c r="R520" s="19" t="n"/>
      <c r="S520" s="19" t="n"/>
      <c r="T520" s="20" t="n"/>
      <c r="U520" s="125" t="n"/>
    </row>
    <row r="521" outlineLevel="2">
      <c r="A521" s="8" t="n"/>
      <c r="B521" s="14" t="n"/>
      <c r="C521" s="125" t="n"/>
      <c r="D521" s="21" t="n"/>
      <c r="K521" s="22" t="n"/>
      <c r="L521" s="21" t="n"/>
      <c r="T521" s="22" t="n"/>
      <c r="U521" s="125" t="n"/>
    </row>
    <row r="522" outlineLevel="2">
      <c r="A522" s="8" t="n"/>
      <c r="B522" s="14" t="n"/>
      <c r="C522" s="125" t="n"/>
      <c r="D522" s="21" t="n"/>
      <c r="K522" s="22" t="n"/>
      <c r="L522" s="21" t="n"/>
      <c r="T522" s="22" t="n"/>
      <c r="U522" s="125" t="n"/>
    </row>
    <row r="523" outlineLevel="2">
      <c r="A523" s="8" t="n"/>
      <c r="B523" s="14" t="n"/>
      <c r="C523" s="125" t="n"/>
      <c r="D523" s="23" t="n"/>
      <c r="E523" s="24" t="n"/>
      <c r="F523" s="24" t="n"/>
      <c r="G523" s="24" t="n"/>
      <c r="H523" s="24" t="n"/>
      <c r="I523" s="24" t="n"/>
      <c r="J523" s="24" t="n"/>
      <c r="K523" s="25" t="n"/>
      <c r="L523" s="23" t="n"/>
      <c r="M523" s="24" t="n"/>
      <c r="N523" s="24" t="n"/>
      <c r="O523" s="24" t="n"/>
      <c r="P523" s="24" t="n"/>
      <c r="Q523" s="24" t="n"/>
      <c r="R523" s="24" t="n"/>
      <c r="S523" s="24" t="n"/>
      <c r="T523" s="25" t="n"/>
      <c r="U523" s="125" t="n"/>
    </row>
    <row r="524" outlineLevel="2">
      <c r="A524" s="8" t="n"/>
      <c r="B524" s="14" t="n"/>
      <c r="C524" s="125"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5" t="n"/>
    </row>
    <row r="525" outlineLevel="2">
      <c r="A525" s="8" t="n"/>
      <c r="B525" s="14" t="n"/>
      <c r="C525" s="125" t="n"/>
      <c r="D525" s="121" t="n"/>
      <c r="E525" s="19" t="n"/>
      <c r="F525" s="19" t="n"/>
      <c r="G525" s="19" t="n"/>
      <c r="H525" s="19" t="n"/>
      <c r="I525" s="19" t="n"/>
      <c r="J525" s="19" t="n"/>
      <c r="K525" s="19" t="n"/>
      <c r="L525" s="19" t="n"/>
      <c r="M525" s="19" t="n"/>
      <c r="N525" s="19" t="n"/>
      <c r="O525" s="19" t="n"/>
      <c r="P525" s="19" t="n"/>
      <c r="Q525" s="19" t="n"/>
      <c r="R525" s="19" t="n"/>
      <c r="S525" s="19" t="n"/>
      <c r="T525" s="20" t="n"/>
      <c r="U525" s="125" t="n"/>
    </row>
    <row r="526" outlineLevel="2">
      <c r="A526" s="8" t="n"/>
      <c r="B526" s="14" t="n"/>
      <c r="C526" s="125" t="n"/>
      <c r="D526" s="23" t="n"/>
      <c r="E526" s="24" t="n"/>
      <c r="F526" s="24" t="n"/>
      <c r="G526" s="24" t="n"/>
      <c r="H526" s="24" t="n"/>
      <c r="I526" s="24" t="n"/>
      <c r="J526" s="24" t="n"/>
      <c r="K526" s="24" t="n"/>
      <c r="L526" s="24" t="n"/>
      <c r="M526" s="24" t="n"/>
      <c r="N526" s="24" t="n"/>
      <c r="O526" s="24" t="n"/>
      <c r="P526" s="24" t="n"/>
      <c r="Q526" s="24" t="n"/>
      <c r="R526" s="24" t="n"/>
      <c r="S526" s="24" t="n"/>
      <c r="T526" s="25" t="n"/>
      <c r="U526" s="125" t="n"/>
    </row>
    <row r="527" outlineLevel="1">
      <c r="A527" s="8" t="n"/>
      <c r="B527" s="14" t="n"/>
      <c r="C527" s="125" t="n"/>
      <c r="D527" s="125" t="n"/>
      <c r="E527" s="125" t="n"/>
      <c r="F527" s="125" t="n"/>
      <c r="G527" s="125" t="n"/>
      <c r="H527" s="125" t="n"/>
      <c r="I527" s="125" t="n"/>
      <c r="J527" s="125" t="n"/>
      <c r="K527" s="125" t="n"/>
      <c r="L527" s="125" t="n"/>
      <c r="M527" s="125" t="n"/>
      <c r="N527" s="125" t="n"/>
      <c r="O527" s="125" t="n"/>
      <c r="P527" s="125" t="n"/>
      <c r="Q527" s="125" t="n"/>
      <c r="R527" s="125" t="n"/>
      <c r="S527" s="125" t="n"/>
      <c r="T527" s="125" t="n"/>
      <c r="U527" s="125" t="n"/>
    </row>
    <row r="528" outlineLevel="1">
      <c r="A528" s="8" t="n"/>
      <c r="B528" s="14" t="n"/>
      <c r="C528" s="125" t="n"/>
      <c r="D528" s="55" t="inlineStr">
        <is>
          <t>PACTO 2</t>
        </is>
      </c>
      <c r="E528" s="120" t="n"/>
      <c r="F528" s="16" t="n"/>
      <c r="G528" s="16" t="n"/>
      <c r="H528" s="16" t="n"/>
      <c r="I528" s="16" t="n"/>
      <c r="J528" s="16" t="n"/>
      <c r="K528" s="17" t="n"/>
      <c r="L528" s="89" t="n"/>
      <c r="M528" s="16" t="n"/>
      <c r="N528" s="17" t="n"/>
      <c r="O528" s="125" t="n"/>
      <c r="P528" s="89" t="n"/>
      <c r="Q528" s="16" t="n"/>
      <c r="R528" s="16" t="n"/>
      <c r="S528" s="16" t="n"/>
      <c r="T528" s="17" t="n"/>
      <c r="U528" s="125" t="n"/>
    </row>
    <row r="529" hidden="1" outlineLevel="2">
      <c r="A529" s="8" t="n"/>
      <c r="B529" s="14" t="n"/>
      <c r="C529" s="125"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5" t="n"/>
    </row>
    <row r="530" hidden="1" outlineLevel="2">
      <c r="A530" s="8" t="n"/>
      <c r="B530" s="14" t="n"/>
      <c r="C530" s="125" t="n"/>
      <c r="D530" s="121" t="n"/>
      <c r="E530" s="19" t="n"/>
      <c r="F530" s="19" t="n"/>
      <c r="G530" s="19" t="n"/>
      <c r="H530" s="19" t="n"/>
      <c r="I530" s="19" t="n"/>
      <c r="J530" s="19" t="n"/>
      <c r="K530" s="20" t="n"/>
      <c r="L530" s="121" t="n"/>
      <c r="M530" s="19" t="n"/>
      <c r="N530" s="19" t="n"/>
      <c r="O530" s="19" t="n"/>
      <c r="P530" s="19" t="n"/>
      <c r="Q530" s="19" t="n"/>
      <c r="R530" s="19" t="n"/>
      <c r="S530" s="19" t="n"/>
      <c r="T530" s="20" t="n"/>
      <c r="U530" s="125" t="n"/>
    </row>
    <row r="531" hidden="1" outlineLevel="2">
      <c r="A531" s="8" t="n"/>
      <c r="B531" s="14" t="n"/>
      <c r="C531" s="125" t="n"/>
      <c r="D531" s="21" t="n"/>
      <c r="K531" s="22" t="n"/>
      <c r="L531" s="21" t="n"/>
      <c r="T531" s="22" t="n"/>
      <c r="U531" s="125" t="n"/>
    </row>
    <row r="532" hidden="1" outlineLevel="2">
      <c r="A532" s="8" t="n"/>
      <c r="B532" s="14" t="n"/>
      <c r="C532" s="125" t="n"/>
      <c r="D532" s="21" t="n"/>
      <c r="K532" s="22" t="n"/>
      <c r="L532" s="21" t="n"/>
      <c r="T532" s="22" t="n"/>
      <c r="U532" s="125" t="n"/>
    </row>
    <row r="533" hidden="1" outlineLevel="2">
      <c r="A533" s="8" t="n"/>
      <c r="B533" s="14" t="n"/>
      <c r="C533" s="125" t="n"/>
      <c r="D533" s="23" t="n"/>
      <c r="E533" s="24" t="n"/>
      <c r="F533" s="24" t="n"/>
      <c r="G533" s="24" t="n"/>
      <c r="H533" s="24" t="n"/>
      <c r="I533" s="24" t="n"/>
      <c r="J533" s="24" t="n"/>
      <c r="K533" s="25" t="n"/>
      <c r="L533" s="23" t="n"/>
      <c r="M533" s="24" t="n"/>
      <c r="N533" s="24" t="n"/>
      <c r="O533" s="24" t="n"/>
      <c r="P533" s="24" t="n"/>
      <c r="Q533" s="24" t="n"/>
      <c r="R533" s="24" t="n"/>
      <c r="S533" s="24" t="n"/>
      <c r="T533" s="25" t="n"/>
      <c r="U533" s="125" t="n"/>
    </row>
    <row r="534" hidden="1" outlineLevel="2">
      <c r="A534" s="8" t="n"/>
      <c r="B534" s="14" t="n"/>
      <c r="C534" s="125"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5" t="n"/>
    </row>
    <row r="535" hidden="1" outlineLevel="2">
      <c r="A535" s="8" t="n"/>
      <c r="B535" s="14" t="n"/>
      <c r="C535" s="125" t="n"/>
      <c r="D535" s="121" t="n"/>
      <c r="E535" s="19" t="n"/>
      <c r="F535" s="19" t="n"/>
      <c r="G535" s="19" t="n"/>
      <c r="H535" s="19" t="n"/>
      <c r="I535" s="19" t="n"/>
      <c r="J535" s="19" t="n"/>
      <c r="K535" s="19" t="n"/>
      <c r="L535" s="19" t="n"/>
      <c r="M535" s="19" t="n"/>
      <c r="N535" s="19" t="n"/>
      <c r="O535" s="19" t="n"/>
      <c r="P535" s="19" t="n"/>
      <c r="Q535" s="19" t="n"/>
      <c r="R535" s="19" t="n"/>
      <c r="S535" s="19" t="n"/>
      <c r="T535" s="20" t="n"/>
      <c r="U535" s="125" t="n"/>
    </row>
    <row r="536" hidden="1" outlineLevel="2">
      <c r="A536" s="8" t="n"/>
      <c r="B536" s="14" t="n"/>
      <c r="C536" s="125" t="n"/>
      <c r="D536" s="23" t="n"/>
      <c r="E536" s="24" t="n"/>
      <c r="F536" s="24" t="n"/>
      <c r="G536" s="24" t="n"/>
      <c r="H536" s="24" t="n"/>
      <c r="I536" s="24" t="n"/>
      <c r="J536" s="24" t="n"/>
      <c r="K536" s="24" t="n"/>
      <c r="L536" s="24" t="n"/>
      <c r="M536" s="24" t="n"/>
      <c r="N536" s="24" t="n"/>
      <c r="O536" s="24" t="n"/>
      <c r="P536" s="24" t="n"/>
      <c r="Q536" s="24" t="n"/>
      <c r="R536" s="24" t="n"/>
      <c r="S536" s="24" t="n"/>
      <c r="T536" s="25" t="n"/>
      <c r="U536" s="125" t="n"/>
    </row>
    <row r="537" outlineLevel="1">
      <c r="A537" s="8" t="n"/>
      <c r="B537" s="14" t="n"/>
      <c r="C537" s="125" t="n"/>
      <c r="D537" s="125" t="n"/>
      <c r="E537" s="125" t="n"/>
      <c r="F537" s="125" t="n"/>
      <c r="G537" s="125" t="n"/>
      <c r="H537" s="125" t="n"/>
      <c r="I537" s="125" t="n"/>
      <c r="J537" s="125" t="n"/>
      <c r="K537" s="125" t="n"/>
      <c r="L537" s="125" t="n"/>
      <c r="M537" s="125" t="n"/>
      <c r="N537" s="125" t="n"/>
      <c r="O537" s="125" t="n"/>
      <c r="P537" s="125" t="n"/>
      <c r="Q537" s="125" t="n"/>
      <c r="R537" s="125" t="n"/>
      <c r="S537" s="125" t="n"/>
      <c r="T537" s="125" t="n"/>
      <c r="U537" s="125" t="n"/>
    </row>
    <row r="538" outlineLevel="1">
      <c r="A538" s="8" t="n"/>
      <c r="B538" s="14" t="n"/>
      <c r="C538" s="125" t="n"/>
      <c r="D538" s="55" t="inlineStr">
        <is>
          <t>PACTO 3</t>
        </is>
      </c>
      <c r="E538" s="120" t="n"/>
      <c r="F538" s="16" t="n"/>
      <c r="G538" s="16" t="n"/>
      <c r="H538" s="16" t="n"/>
      <c r="I538" s="16" t="n"/>
      <c r="J538" s="16" t="n"/>
      <c r="K538" s="17" t="n"/>
      <c r="L538" s="89" t="n"/>
      <c r="M538" s="16" t="n"/>
      <c r="N538" s="17" t="n"/>
      <c r="O538" s="125" t="n"/>
      <c r="P538" s="89" t="n"/>
      <c r="Q538" s="16" t="n"/>
      <c r="R538" s="16" t="n"/>
      <c r="S538" s="16" t="n"/>
      <c r="T538" s="17" t="n"/>
      <c r="U538" s="125" t="n"/>
    </row>
    <row r="539" hidden="1" outlineLevel="2">
      <c r="A539" s="8" t="n"/>
      <c r="B539" s="14" t="n"/>
      <c r="C539" s="125"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5" t="n"/>
    </row>
    <row r="540" hidden="1" outlineLevel="2">
      <c r="A540" s="8" t="n"/>
      <c r="B540" s="14" t="n"/>
      <c r="C540" s="125" t="n"/>
      <c r="D540" s="121" t="n"/>
      <c r="E540" s="19" t="n"/>
      <c r="F540" s="19" t="n"/>
      <c r="G540" s="19" t="n"/>
      <c r="H540" s="19" t="n"/>
      <c r="I540" s="19" t="n"/>
      <c r="J540" s="19" t="n"/>
      <c r="K540" s="20" t="n"/>
      <c r="L540" s="121" t="n"/>
      <c r="M540" s="19" t="n"/>
      <c r="N540" s="19" t="n"/>
      <c r="O540" s="19" t="n"/>
      <c r="P540" s="19" t="n"/>
      <c r="Q540" s="19" t="n"/>
      <c r="R540" s="19" t="n"/>
      <c r="S540" s="19" t="n"/>
      <c r="T540" s="20" t="n"/>
      <c r="U540" s="125" t="n"/>
    </row>
    <row r="541" hidden="1" outlineLevel="2">
      <c r="A541" s="8" t="n"/>
      <c r="B541" s="14" t="n"/>
      <c r="C541" s="125" t="n"/>
      <c r="D541" s="21" t="n"/>
      <c r="K541" s="22" t="n"/>
      <c r="L541" s="21" t="n"/>
      <c r="T541" s="22" t="n"/>
      <c r="U541" s="125" t="n"/>
    </row>
    <row r="542" hidden="1" outlineLevel="2">
      <c r="A542" s="8" t="n"/>
      <c r="B542" s="14" t="n"/>
      <c r="C542" s="125" t="n"/>
      <c r="D542" s="21" t="n"/>
      <c r="K542" s="22" t="n"/>
      <c r="L542" s="21" t="n"/>
      <c r="T542" s="22" t="n"/>
      <c r="U542" s="125" t="n"/>
    </row>
    <row r="543" hidden="1" outlineLevel="2">
      <c r="A543" s="8" t="n"/>
      <c r="B543" s="14" t="n"/>
      <c r="C543" s="125" t="n"/>
      <c r="D543" s="23" t="n"/>
      <c r="E543" s="24" t="n"/>
      <c r="F543" s="24" t="n"/>
      <c r="G543" s="24" t="n"/>
      <c r="H543" s="24" t="n"/>
      <c r="I543" s="24" t="n"/>
      <c r="J543" s="24" t="n"/>
      <c r="K543" s="25" t="n"/>
      <c r="L543" s="23" t="n"/>
      <c r="M543" s="24" t="n"/>
      <c r="N543" s="24" t="n"/>
      <c r="O543" s="24" t="n"/>
      <c r="P543" s="24" t="n"/>
      <c r="Q543" s="24" t="n"/>
      <c r="R543" s="24" t="n"/>
      <c r="S543" s="24" t="n"/>
      <c r="T543" s="25" t="n"/>
      <c r="U543" s="125" t="n"/>
    </row>
    <row r="544" hidden="1" outlineLevel="2">
      <c r="A544" s="8" t="n"/>
      <c r="B544" s="14" t="n"/>
      <c r="C544" s="125"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5" t="n"/>
    </row>
    <row r="545" hidden="1" outlineLevel="2">
      <c r="A545" s="8" t="n"/>
      <c r="B545" s="14" t="n"/>
      <c r="C545" s="125" t="n"/>
      <c r="D545" s="121" t="n"/>
      <c r="E545" s="19" t="n"/>
      <c r="F545" s="19" t="n"/>
      <c r="G545" s="19" t="n"/>
      <c r="H545" s="19" t="n"/>
      <c r="I545" s="19" t="n"/>
      <c r="J545" s="19" t="n"/>
      <c r="K545" s="19" t="n"/>
      <c r="L545" s="19" t="n"/>
      <c r="M545" s="19" t="n"/>
      <c r="N545" s="19" t="n"/>
      <c r="O545" s="19" t="n"/>
      <c r="P545" s="19" t="n"/>
      <c r="Q545" s="19" t="n"/>
      <c r="R545" s="19" t="n"/>
      <c r="S545" s="19" t="n"/>
      <c r="T545" s="20" t="n"/>
      <c r="U545" s="125" t="n"/>
    </row>
    <row r="546" hidden="1" outlineLevel="2">
      <c r="A546" s="8" t="n"/>
      <c r="B546" s="14" t="n"/>
      <c r="C546" s="125" t="n"/>
      <c r="D546" s="23" t="n"/>
      <c r="E546" s="24" t="n"/>
      <c r="F546" s="24" t="n"/>
      <c r="G546" s="24" t="n"/>
      <c r="H546" s="24" t="n"/>
      <c r="I546" s="24" t="n"/>
      <c r="J546" s="24" t="n"/>
      <c r="K546" s="24" t="n"/>
      <c r="L546" s="24" t="n"/>
      <c r="M546" s="24" t="n"/>
      <c r="N546" s="24" t="n"/>
      <c r="O546" s="24" t="n"/>
      <c r="P546" s="24" t="n"/>
      <c r="Q546" s="24" t="n"/>
      <c r="R546" s="24" t="n"/>
      <c r="S546" s="24" t="n"/>
      <c r="T546" s="25" t="n"/>
      <c r="U546" s="125" t="n"/>
    </row>
    <row r="547">
      <c r="A547" s="8" t="n"/>
      <c r="B547" s="14" t="n"/>
      <c r="C547" s="125" t="n"/>
      <c r="D547" s="125" t="n"/>
      <c r="E547" s="125" t="n"/>
      <c r="F547" s="125" t="n"/>
      <c r="G547" s="125" t="n"/>
      <c r="H547" s="125" t="n"/>
      <c r="I547" s="125" t="n"/>
      <c r="J547" s="125" t="n"/>
      <c r="K547" s="125" t="n"/>
      <c r="L547" s="125" t="n"/>
      <c r="M547" s="125" t="n"/>
      <c r="N547" s="125" t="n"/>
      <c r="O547" s="125" t="n"/>
      <c r="P547" s="125" t="n"/>
      <c r="Q547" s="125" t="n"/>
      <c r="R547" s="125" t="n"/>
      <c r="S547" s="125" t="n"/>
      <c r="T547" s="125" t="n"/>
      <c r="U547" s="125" t="n"/>
    </row>
    <row r="548">
      <c r="A548" s="8" t="n"/>
      <c r="B548" s="14" t="n"/>
      <c r="C548" s="125" t="n"/>
      <c r="D548" s="125" t="n"/>
      <c r="E548" s="125" t="n"/>
      <c r="F548" s="125" t="n"/>
      <c r="G548" s="125" t="n"/>
      <c r="H548" s="125" t="n"/>
      <c r="I548" s="125" t="n"/>
      <c r="J548" s="125" t="n"/>
      <c r="K548" s="125" t="n"/>
      <c r="L548" s="125" t="n"/>
      <c r="M548" s="125" t="n"/>
      <c r="N548" s="125" t="n"/>
      <c r="O548" s="125" t="n"/>
      <c r="P548" s="125" t="n"/>
      <c r="Q548" s="125" t="n"/>
      <c r="R548" s="125" t="n"/>
      <c r="S548" s="125" t="n"/>
      <c r="T548" s="125" t="n"/>
      <c r="U548" s="125"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A33:B62"/>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5" t="n"/>
      <c r="AR6" s="125" t="n"/>
      <c r="AS6" s="125" t="n"/>
    </row>
    <row r="7">
      <c r="A7" s="8" t="n"/>
      <c r="B7" s="14" t="n"/>
      <c r="C7" s="125" t="n"/>
      <c r="D7" s="125" t="n"/>
      <c r="E7" s="125" t="n"/>
      <c r="F7" s="125" t="n"/>
      <c r="G7" s="125" t="n"/>
      <c r="H7" s="125" t="n"/>
      <c r="I7" s="125" t="n"/>
      <c r="J7" s="125" t="n"/>
      <c r="K7" s="125" t="n"/>
      <c r="L7" s="125" t="n"/>
      <c r="M7" s="125" t="n"/>
      <c r="N7" s="125" t="n"/>
      <c r="O7" s="125" t="n"/>
      <c r="P7" s="125" t="n"/>
      <c r="Q7" s="125" t="n"/>
      <c r="R7" s="125" t="n"/>
      <c r="S7" s="125" t="n"/>
      <c r="T7" s="125" t="n"/>
      <c r="U7" s="125" t="n"/>
      <c r="V7" s="125" t="n"/>
      <c r="W7" s="125" t="n"/>
      <c r="X7" s="125" t="n"/>
      <c r="Y7" s="125" t="n"/>
      <c r="Z7" s="125" t="n"/>
      <c r="AA7" s="125" t="n"/>
      <c r="AB7" s="125" t="n"/>
      <c r="AC7" s="125" t="n"/>
      <c r="AD7" s="125" t="n"/>
      <c r="AE7" s="125" t="n"/>
      <c r="AF7" s="125" t="n"/>
      <c r="AG7" s="125" t="n"/>
      <c r="AH7" s="125" t="n"/>
      <c r="AI7" s="125" t="n"/>
      <c r="AJ7" s="125" t="n"/>
      <c r="AK7" s="125" t="n"/>
      <c r="AL7" s="125" t="n"/>
      <c r="AM7" s="125" t="n"/>
      <c r="AN7" s="125" t="n"/>
      <c r="AO7" s="125" t="n"/>
      <c r="AP7" s="125" t="n"/>
      <c r="AQ7" s="125" t="n"/>
      <c r="AR7" s="125" t="n"/>
      <c r="AS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c r="V8" s="125" t="n"/>
      <c r="W8" s="125" t="n"/>
      <c r="X8" s="125" t="n"/>
      <c r="Y8" s="125" t="n"/>
      <c r="Z8" s="125" t="n"/>
      <c r="AA8" s="125" t="n"/>
      <c r="AB8" s="125" t="n"/>
      <c r="AC8" s="125" t="n"/>
      <c r="AD8" s="125" t="n"/>
      <c r="AE8" s="125" t="n"/>
      <c r="AF8" s="125" t="n"/>
      <c r="AG8" s="125" t="n"/>
      <c r="AH8" s="125" t="n"/>
      <c r="AI8" s="125" t="n"/>
      <c r="AJ8" s="125" t="n"/>
      <c r="AK8" s="125" t="n"/>
      <c r="AL8" s="125" t="n"/>
      <c r="AM8" s="125" t="n"/>
      <c r="AN8" s="125" t="n"/>
      <c r="AO8" s="125" t="n"/>
      <c r="AP8" s="125" t="n"/>
      <c r="AQ8" s="125" t="n"/>
      <c r="AR8" s="125" t="n"/>
      <c r="AS8" s="125" t="n"/>
    </row>
    <row r="9">
      <c r="B9" s="22" t="n"/>
      <c r="C9" s="125" t="n"/>
      <c r="D9" s="128" t="inlineStr">
        <is>
          <t>O CONJUNTO</t>
        </is>
      </c>
      <c r="E9" s="19" t="n"/>
      <c r="F9" s="20" t="n"/>
      <c r="G9" s="125" t="n"/>
      <c r="H9" s="142" t="n">
        <v>1</v>
      </c>
      <c r="I9" s="143" t="n">
        <v>1</v>
      </c>
      <c r="J9" s="128">
        <f>DADOS_INVOC!$HE$2</f>
        <v/>
      </c>
      <c r="K9" s="19" t="n"/>
      <c r="L9" s="19" t="n"/>
      <c r="M9" s="19" t="n"/>
      <c r="N9" s="19" t="n"/>
      <c r="O9" s="19" t="n"/>
      <c r="P9" s="19" t="n"/>
      <c r="Q9" s="19" t="n"/>
      <c r="R9" s="19" t="n"/>
      <c r="S9" s="19" t="n"/>
      <c r="T9" s="19" t="n"/>
      <c r="U9" s="19" t="n"/>
      <c r="V9" s="19" t="n"/>
      <c r="W9" s="19" t="n"/>
      <c r="X9" s="19" t="n"/>
      <c r="Y9" s="20" t="n"/>
      <c r="Z9" s="125" t="n"/>
      <c r="AA9" s="142" t="n">
        <v>7</v>
      </c>
      <c r="AB9" s="143" t="n">
        <v>7</v>
      </c>
      <c r="AC9" s="128">
        <f>DADOS_INVOC!$HE$8</f>
        <v/>
      </c>
      <c r="AD9" s="19" t="n"/>
      <c r="AE9" s="19" t="n"/>
      <c r="AF9" s="19" t="n"/>
      <c r="AG9" s="19" t="n"/>
      <c r="AH9" s="19" t="n"/>
      <c r="AI9" s="19" t="n"/>
      <c r="AJ9" s="19" t="n"/>
      <c r="AK9" s="19" t="n"/>
      <c r="AL9" s="19" t="n"/>
      <c r="AM9" s="19" t="n"/>
      <c r="AN9" s="19" t="n"/>
      <c r="AO9" s="19" t="n"/>
      <c r="AP9" s="19" t="n"/>
      <c r="AQ9" s="19" t="n"/>
      <c r="AR9" s="20" t="n"/>
      <c r="AS9" s="125" t="n"/>
    </row>
    <row r="10">
      <c r="B10" s="22" t="n"/>
      <c r="C10" s="125" t="n"/>
      <c r="D10" s="23" t="n"/>
      <c r="E10" s="24" t="n"/>
      <c r="F10" s="25" t="n"/>
      <c r="G10" s="125" t="n"/>
      <c r="I10" s="129" t="n"/>
      <c r="J10" s="23" t="n"/>
      <c r="K10" s="24" t="n"/>
      <c r="L10" s="24" t="n"/>
      <c r="M10" s="24" t="n"/>
      <c r="N10" s="24" t="n"/>
      <c r="O10" s="24" t="n"/>
      <c r="P10" s="24" t="n"/>
      <c r="Q10" s="24" t="n"/>
      <c r="R10" s="24" t="n"/>
      <c r="S10" s="24" t="n"/>
      <c r="T10" s="24" t="n"/>
      <c r="U10" s="24" t="n"/>
      <c r="V10" s="24" t="n"/>
      <c r="W10" s="24" t="n"/>
      <c r="X10" s="24" t="n"/>
      <c r="Y10" s="25" t="n"/>
      <c r="Z10" s="125" t="n"/>
      <c r="AB10" s="129" t="n"/>
      <c r="AC10" s="23" t="n"/>
      <c r="AD10" s="24" t="n"/>
      <c r="AE10" s="24" t="n"/>
      <c r="AF10" s="24" t="n"/>
      <c r="AG10" s="24" t="n"/>
      <c r="AH10" s="24" t="n"/>
      <c r="AI10" s="24" t="n"/>
      <c r="AJ10" s="24" t="n"/>
      <c r="AK10" s="24" t="n"/>
      <c r="AL10" s="24" t="n"/>
      <c r="AM10" s="24" t="n"/>
      <c r="AN10" s="24" t="n"/>
      <c r="AO10" s="24" t="n"/>
      <c r="AP10" s="24" t="n"/>
      <c r="AQ10" s="24" t="n"/>
      <c r="AR10" s="25" t="n"/>
      <c r="AS10" s="125" t="n"/>
    </row>
    <row r="11">
      <c r="B11" s="22" t="n"/>
      <c r="C11" s="125" t="n"/>
      <c r="D11" s="125" t="n"/>
      <c r="E11" s="125" t="n"/>
      <c r="F11" s="125" t="n"/>
      <c r="G11" s="125" t="n"/>
      <c r="H11" s="144">
        <f>DADOS_INVOC!$HF$2</f>
        <v/>
      </c>
      <c r="I11" s="125" t="n"/>
      <c r="J11" s="125" t="n"/>
      <c r="K11" s="125" t="n"/>
      <c r="L11" s="125" t="n"/>
      <c r="M11" s="125" t="n"/>
      <c r="N11" s="125" t="n"/>
      <c r="O11" s="125" t="n"/>
      <c r="P11" s="125" t="n"/>
      <c r="Q11" s="125" t="n"/>
      <c r="R11" s="125" t="n"/>
      <c r="S11" s="125" t="n"/>
      <c r="T11" s="125" t="n"/>
      <c r="U11" s="125" t="n"/>
      <c r="V11" s="125" t="n"/>
      <c r="W11" s="125" t="n"/>
      <c r="X11" s="125" t="n"/>
      <c r="Y11" s="125" t="n"/>
      <c r="Z11" s="125" t="n"/>
      <c r="AA11" s="144">
        <f>DADOS_INVOC!$HF$8</f>
        <v/>
      </c>
      <c r="AB11" s="125" t="n"/>
      <c r="AC11" s="125" t="n"/>
      <c r="AD11" s="125" t="n"/>
      <c r="AE11" s="125" t="n"/>
      <c r="AF11" s="125" t="n"/>
      <c r="AG11" s="125" t="n"/>
      <c r="AH11" s="125" t="n"/>
      <c r="AI11" s="125" t="n"/>
      <c r="AJ11" s="125" t="n"/>
      <c r="AK11" s="125" t="n"/>
      <c r="AL11" s="125" t="n"/>
      <c r="AM11" s="125" t="n"/>
      <c r="AN11" s="125" t="n"/>
      <c r="AO11" s="125" t="n"/>
      <c r="AP11" s="125" t="n"/>
      <c r="AQ11" s="125" t="n"/>
      <c r="AR11" s="125" t="n"/>
      <c r="AS11" s="125" t="n"/>
    </row>
    <row r="12">
      <c r="B12" s="22" t="n"/>
      <c r="C12" s="125" t="n"/>
      <c r="D12" s="55" t="inlineStr">
        <is>
          <t>SEU NÍVEL</t>
        </is>
      </c>
      <c r="E12" s="55" t="inlineStr">
        <is>
          <t>MAESTRIA</t>
        </is>
      </c>
      <c r="F12" s="55" t="inlineStr">
        <is>
          <t>TRILHA</t>
        </is>
      </c>
      <c r="G12" s="125" t="n"/>
      <c r="I12" s="55" t="inlineStr">
        <is>
          <t>NOME</t>
        </is>
      </c>
      <c r="J12" s="16" t="n"/>
      <c r="K12" s="16" t="n"/>
      <c r="L12" s="16" t="n"/>
      <c r="M12" s="17" t="n"/>
      <c r="N12" s="125" t="n"/>
      <c r="O12" s="55" t="inlineStr">
        <is>
          <t>NÍVEL</t>
        </is>
      </c>
      <c r="P12" s="55" t="inlineStr">
        <is>
          <t>CLASSE</t>
        </is>
      </c>
      <c r="Q12" s="55" t="inlineStr">
        <is>
          <t>MAESTRIA</t>
        </is>
      </c>
      <c r="R12" s="55" t="inlineStr">
        <is>
          <t>ENTRADA</t>
        </is>
      </c>
      <c r="S12" s="55" t="inlineStr">
        <is>
          <t>RETORNO</t>
        </is>
      </c>
      <c r="T12" s="125" t="n"/>
      <c r="U12" s="55" t="inlineStr">
        <is>
          <t>VIDA ATUAL</t>
        </is>
      </c>
      <c r="V12" s="55" t="inlineStr">
        <is>
          <t>VIDA MÁXIMA</t>
        </is>
      </c>
      <c r="W12" s="55" t="inlineStr">
        <is>
          <t>TEMPORÁRIA</t>
        </is>
      </c>
      <c r="X12" s="55" t="inlineStr">
        <is>
          <t>± PERDA / GANHO</t>
        </is>
      </c>
      <c r="Y12" s="55">
        <f>DADOS_INVOC!$HZ$2</f>
        <v/>
      </c>
      <c r="Z12" s="125" t="n"/>
      <c r="AB12" s="55" t="inlineStr">
        <is>
          <t>NOME</t>
        </is>
      </c>
      <c r="AC12" s="16" t="n"/>
      <c r="AD12" s="16" t="n"/>
      <c r="AE12" s="16" t="n"/>
      <c r="AF12" s="17" t="n"/>
      <c r="AG12" s="125" t="n"/>
      <c r="AH12" s="55" t="inlineStr">
        <is>
          <t>NÍVEL</t>
        </is>
      </c>
      <c r="AI12" s="55" t="inlineStr">
        <is>
          <t>CLASSE</t>
        </is>
      </c>
      <c r="AJ12" s="55" t="inlineStr">
        <is>
          <t>MAESTRIA</t>
        </is>
      </c>
      <c r="AK12" s="55" t="inlineStr">
        <is>
          <t>ENTRADA</t>
        </is>
      </c>
      <c r="AL12" s="55" t="inlineStr">
        <is>
          <t>RETORNO</t>
        </is>
      </c>
      <c r="AM12" s="125" t="n"/>
      <c r="AN12" s="55" t="inlineStr">
        <is>
          <t>VIDA ATUAL</t>
        </is>
      </c>
      <c r="AO12" s="55" t="inlineStr">
        <is>
          <t>VIDA MÁXIMA</t>
        </is>
      </c>
      <c r="AP12" s="55" t="inlineStr">
        <is>
          <t>TEMPORÁRIA</t>
        </is>
      </c>
      <c r="AQ12" s="55" t="inlineStr">
        <is>
          <t>± PERDA / GANHO</t>
        </is>
      </c>
      <c r="AR12" s="55">
        <f>DADOS_INVOC!$HZ$8</f>
        <v/>
      </c>
      <c r="AS12" s="125" t="n"/>
    </row>
    <row r="13">
      <c r="B13" s="22" t="n"/>
      <c r="C13" s="125" t="n"/>
      <c r="D13" s="98">
        <f>DADOS_INVOC!$CZ$2</f>
        <v/>
      </c>
      <c r="E13" s="98">
        <f>DADOS_INVOC!$QS$2</f>
        <v/>
      </c>
      <c r="F13" s="89">
        <f>DADOS_INVOC!$QS$3</f>
        <v/>
      </c>
      <c r="G13" s="125" t="n"/>
      <c r="I13" s="84" t="n"/>
      <c r="J13" s="19" t="n"/>
      <c r="K13" s="19" t="n"/>
      <c r="L13" s="19" t="n"/>
      <c r="M13" s="20" t="n"/>
      <c r="N13" s="125" t="n"/>
      <c r="O13" s="98">
        <f>DADOS_INVOC!$FM$2</f>
        <v/>
      </c>
      <c r="P13" s="98">
        <f>DADOS_INVOC!$FN$2</f>
        <v/>
      </c>
      <c r="Q13" s="98">
        <f>DADOS_INVOC!$HG$2</f>
        <v/>
      </c>
      <c r="R13" s="98">
        <f>DADOS_INVOC!$HH$2</f>
        <v/>
      </c>
      <c r="S13" s="98">
        <f>DADOS_INVOC!$HI$2</f>
        <v/>
      </c>
      <c r="T13" s="125" t="n"/>
      <c r="U13" s="98">
        <f>DADOS_INVOC!$GE$2</f>
        <v/>
      </c>
      <c r="V13" s="98">
        <f>DADOS_INVOC!$GD$2</f>
        <v/>
      </c>
      <c r="W13" s="98" t="n"/>
      <c r="X13" s="98" t="n"/>
      <c r="Y13" s="98" t="n"/>
      <c r="Z13" s="125" t="n"/>
      <c r="AB13" s="84" t="n"/>
      <c r="AC13" s="19" t="n"/>
      <c r="AD13" s="19" t="n"/>
      <c r="AE13" s="19" t="n"/>
      <c r="AF13" s="20" t="n"/>
      <c r="AG13" s="125" t="n"/>
      <c r="AH13" s="98">
        <f>DADOS_INVOC!$FM$8</f>
        <v/>
      </c>
      <c r="AI13" s="98">
        <f>DADOS_INVOC!$FN$8</f>
        <v/>
      </c>
      <c r="AJ13" s="98">
        <f>DADOS_INVOC!$HG$8</f>
        <v/>
      </c>
      <c r="AK13" s="98">
        <f>DADOS_INVOC!$HH$8</f>
        <v/>
      </c>
      <c r="AL13" s="98">
        <f>DADOS_INVOC!$HI$8</f>
        <v/>
      </c>
      <c r="AM13" s="125" t="n"/>
      <c r="AN13" s="98">
        <f>DADOS_INVOC!$GE$8</f>
        <v/>
      </c>
      <c r="AO13" s="98">
        <f>DADOS_INVOC!$GD$8</f>
        <v/>
      </c>
      <c r="AP13" s="98" t="n"/>
      <c r="AQ13" s="98" t="n"/>
      <c r="AR13" s="98" t="n"/>
      <c r="AS13" s="125" t="n"/>
    </row>
    <row r="14">
      <c r="B14" s="22" t="n"/>
      <c r="C14" s="125" t="n"/>
      <c r="D14" s="129" t="n"/>
      <c r="E14" s="129" t="n"/>
      <c r="F14" s="129" t="n"/>
      <c r="G14" s="125" t="n"/>
      <c r="I14" s="23" t="n"/>
      <c r="J14" s="24" t="n"/>
      <c r="K14" s="24" t="n"/>
      <c r="L14" s="24" t="n"/>
      <c r="M14" s="25" t="n"/>
      <c r="N14" s="125" t="n"/>
      <c r="O14" s="129" t="n"/>
      <c r="P14" s="129" t="n"/>
      <c r="Q14" s="129" t="n"/>
      <c r="R14" s="129" t="n"/>
      <c r="S14" s="129" t="n"/>
      <c r="T14" s="125" t="n"/>
      <c r="U14" s="129" t="n"/>
      <c r="V14" s="129" t="n"/>
      <c r="W14" s="129" t="n"/>
      <c r="X14" s="129" t="n"/>
      <c r="Y14" s="129" t="n"/>
      <c r="Z14" s="125" t="n"/>
      <c r="AB14" s="23" t="n"/>
      <c r="AC14" s="24" t="n"/>
      <c r="AD14" s="24" t="n"/>
      <c r="AE14" s="24" t="n"/>
      <c r="AF14" s="25" t="n"/>
      <c r="AG14" s="125" t="n"/>
      <c r="AH14" s="129" t="n"/>
      <c r="AI14" s="129" t="n"/>
      <c r="AJ14" s="129" t="n"/>
      <c r="AK14" s="129" t="n"/>
      <c r="AL14" s="129" t="n"/>
      <c r="AM14" s="125" t="n"/>
      <c r="AN14" s="129" t="n"/>
      <c r="AO14" s="129" t="n"/>
      <c r="AP14" s="129" t="n"/>
      <c r="AQ14" s="129" t="n"/>
      <c r="AR14" s="129" t="n"/>
      <c r="AS14" s="125" t="n"/>
    </row>
    <row r="15">
      <c r="B15" s="22" t="n"/>
      <c r="C15" s="125" t="n"/>
      <c r="D15" s="125" t="n"/>
      <c r="E15" s="125" t="n"/>
      <c r="F15" s="125" t="n"/>
      <c r="G15" s="125" t="n"/>
      <c r="I15" s="145" t="inlineStr">
        <is>
          <t>FOTO
式神</t>
        </is>
      </c>
      <c r="J15" s="19" t="n"/>
      <c r="K15" s="19" t="n"/>
      <c r="L15" s="19" t="n"/>
      <c r="M15" s="20" t="n"/>
      <c r="N15" s="125" t="n"/>
      <c r="O15" s="125" t="n"/>
      <c r="P15" s="125" t="n"/>
      <c r="Q15" s="125" t="n"/>
      <c r="R15" s="125" t="n"/>
      <c r="S15" s="125" t="n"/>
      <c r="T15" s="125" t="n"/>
      <c r="U15" s="134">
        <f>IFERROR(SPARKLINE(DADOS_INVOC!$GF$2,{"charttype","bar";"max",MAX(1,DADOS_INVOC!$GD$2);"color1",DADOS_INVOC!$CZ$12}),"")</f>
        <v/>
      </c>
      <c r="V15" s="16" t="n"/>
      <c r="W15" s="16" t="n"/>
      <c r="X15" s="16" t="n"/>
      <c r="Y15" s="17" t="n"/>
      <c r="Z15" s="125" t="n"/>
      <c r="AB15" s="145" t="inlineStr">
        <is>
          <t>FOTO
式神</t>
        </is>
      </c>
      <c r="AC15" s="19" t="n"/>
      <c r="AD15" s="19" t="n"/>
      <c r="AE15" s="19" t="n"/>
      <c r="AF15" s="20" t="n"/>
      <c r="AG15" s="125" t="n"/>
      <c r="AH15" s="125" t="n"/>
      <c r="AI15" s="125" t="n"/>
      <c r="AJ15" s="125" t="n"/>
      <c r="AK15" s="125" t="n"/>
      <c r="AL15" s="125" t="n"/>
      <c r="AM15" s="125" t="n"/>
      <c r="AN15" s="134">
        <f>IFERROR(SPARKLINE(DADOS_INVOC!$GF$8,{"charttype","bar";"max",MAX(1,DADOS_INVOC!$GD$8);"color1",DADOS_INVOC!$CZ$12}),"")</f>
        <v/>
      </c>
      <c r="AO15" s="16" t="n"/>
      <c r="AP15" s="16" t="n"/>
      <c r="AQ15" s="16" t="n"/>
      <c r="AR15" s="17" t="n"/>
      <c r="AS15" s="125" t="n"/>
    </row>
    <row r="16">
      <c r="B16" s="22" t="n"/>
      <c r="C16" s="125" t="n"/>
      <c r="D16" s="55" t="inlineStr">
        <is>
          <t>DEFESA USA</t>
        </is>
      </c>
      <c r="E16" s="55" t="inlineStr">
        <is>
          <t>ATIVAS, NO MÁXIMO</t>
        </is>
      </c>
      <c r="F16" s="55" t="inlineStr">
        <is>
          <t>CORPOS MANTIDOS</t>
        </is>
      </c>
      <c r="G16" s="125" t="n"/>
      <c r="I16" s="21" t="n"/>
      <c r="M16" s="22" t="n"/>
      <c r="N16" s="125" t="n"/>
      <c r="O16" s="55">
        <f>DADOS_INVOC!$HJ$2</f>
        <v/>
      </c>
      <c r="P16" s="16" t="n"/>
      <c r="Q16" s="16" t="n"/>
      <c r="R16" s="16" t="n"/>
      <c r="S16" s="17" t="n"/>
      <c r="T16" s="125" t="n"/>
      <c r="U16" s="125" t="n"/>
      <c r="V16" s="125" t="n"/>
      <c r="W16" s="125" t="n"/>
      <c r="X16" s="125" t="n"/>
      <c r="Y16" s="125" t="n"/>
      <c r="Z16" s="125" t="n"/>
      <c r="AB16" s="21" t="n"/>
      <c r="AF16" s="22" t="n"/>
      <c r="AG16" s="125" t="n"/>
      <c r="AH16" s="55">
        <f>DADOS_INVOC!$HJ$8</f>
        <v/>
      </c>
      <c r="AI16" s="16" t="n"/>
      <c r="AJ16" s="16" t="n"/>
      <c r="AK16" s="16" t="n"/>
      <c r="AL16" s="17" t="n"/>
      <c r="AM16" s="125" t="n"/>
      <c r="AN16" s="125" t="n"/>
      <c r="AO16" s="125" t="n"/>
      <c r="AP16" s="125" t="n"/>
      <c r="AQ16" s="125" t="n"/>
      <c r="AR16" s="125" t="n"/>
      <c r="AS16" s="125" t="n"/>
    </row>
    <row r="17">
      <c r="B17" s="22" t="n"/>
      <c r="C17" s="125" t="n"/>
      <c r="D17" s="89" t="inlineStr">
        <is>
          <t>Essência</t>
        </is>
      </c>
      <c r="E17" s="98">
        <f>DADOS_INVOC!$CZ$8</f>
        <v/>
      </c>
      <c r="F17" s="98">
        <f>DADOS_INVOC!$CZ$9</f>
        <v/>
      </c>
      <c r="G17" s="125" t="n"/>
      <c r="I17" s="21" t="n"/>
      <c r="M17" s="22" t="n"/>
      <c r="N17" s="125" t="n"/>
      <c r="O17" s="55" t="inlineStr">
        <is>
          <t>FOR</t>
        </is>
      </c>
      <c r="P17" s="55" t="inlineStr">
        <is>
          <t>DES</t>
        </is>
      </c>
      <c r="Q17" s="55" t="inlineStr">
        <is>
          <t>CON</t>
        </is>
      </c>
      <c r="R17" s="55" t="inlineStr">
        <is>
          <t>INT</t>
        </is>
      </c>
      <c r="S17" s="55" t="inlineStr">
        <is>
          <t>ESS</t>
        </is>
      </c>
      <c r="T17" s="125" t="n"/>
      <c r="U17" s="55" t="inlineStr">
        <is>
          <t>ALMA</t>
        </is>
      </c>
      <c r="V17" s="55" t="inlineStr">
        <is>
          <t>INTEGRIDADE ATUAL</t>
        </is>
      </c>
      <c r="W17" s="55" t="inlineStr">
        <is>
          <t>INTEGRIDADE MÁXIMA</t>
        </is>
      </c>
      <c r="X17" s="55" t="inlineStr">
        <is>
          <t>ESTÁGIO</t>
        </is>
      </c>
      <c r="Y17" s="17" t="n"/>
      <c r="Z17" s="125" t="n"/>
      <c r="AB17" s="21" t="n"/>
      <c r="AF17" s="22" t="n"/>
      <c r="AG17" s="125" t="n"/>
      <c r="AH17" s="55" t="inlineStr">
        <is>
          <t>FOR</t>
        </is>
      </c>
      <c r="AI17" s="55" t="inlineStr">
        <is>
          <t>DES</t>
        </is>
      </c>
      <c r="AJ17" s="55" t="inlineStr">
        <is>
          <t>CON</t>
        </is>
      </c>
      <c r="AK17" s="55" t="inlineStr">
        <is>
          <t>INT</t>
        </is>
      </c>
      <c r="AL17" s="55" t="inlineStr">
        <is>
          <t>ESS</t>
        </is>
      </c>
      <c r="AM17" s="125" t="n"/>
      <c r="AN17" s="55" t="inlineStr">
        <is>
          <t>ALMA</t>
        </is>
      </c>
      <c r="AO17" s="55" t="inlineStr">
        <is>
          <t>INTEGRIDADE ATUAL</t>
        </is>
      </c>
      <c r="AP17" s="55" t="inlineStr">
        <is>
          <t>INTEGRIDADE MÁXIMA</t>
        </is>
      </c>
      <c r="AQ17" s="55" t="inlineStr">
        <is>
          <t>ESTÁGIO</t>
        </is>
      </c>
      <c r="AR17" s="17" t="n"/>
      <c r="AS17" s="125" t="n"/>
    </row>
    <row r="18">
      <c r="B18" s="22" t="n"/>
      <c r="C18" s="125" t="n"/>
      <c r="D18" s="129" t="n"/>
      <c r="E18" s="129" t="n"/>
      <c r="F18" s="129" t="n"/>
      <c r="G18" s="125" t="n"/>
      <c r="I18" s="21" t="n"/>
      <c r="M18" s="22" t="n"/>
      <c r="N18" s="125" t="n"/>
      <c r="O18" s="98">
        <f>DADOS_INVOC!$FP$2</f>
        <v/>
      </c>
      <c r="P18" s="98">
        <f>DADOS_INVOC!$FQ$2</f>
        <v/>
      </c>
      <c r="Q18" s="98">
        <f>DADOS_INVOC!$FR$2</f>
        <v/>
      </c>
      <c r="R18" s="98">
        <f>DADOS_INVOC!$FS$2</f>
        <v/>
      </c>
      <c r="S18" s="98">
        <f>DADOS_INVOC!$FT$2</f>
        <v/>
      </c>
      <c r="T18" s="125" t="n"/>
      <c r="U18" s="89" t="inlineStr">
        <is>
          <t>Com alma</t>
        </is>
      </c>
      <c r="V18" s="98">
        <f>DADOS_INVOC!$GH$2</f>
        <v/>
      </c>
      <c r="W18" s="98">
        <f>DADOS_INVOC!$GJ$2</f>
        <v/>
      </c>
      <c r="X18" s="89">
        <f>DADOS_INVOC!$GK$2</f>
        <v/>
      </c>
      <c r="Y18" s="20" t="n"/>
      <c r="Z18" s="125" t="n"/>
      <c r="AB18" s="21" t="n"/>
      <c r="AF18" s="22" t="n"/>
      <c r="AG18" s="125" t="n"/>
      <c r="AH18" s="98">
        <f>DADOS_INVOC!$FP$8</f>
        <v/>
      </c>
      <c r="AI18" s="98">
        <f>DADOS_INVOC!$FQ$8</f>
        <v/>
      </c>
      <c r="AJ18" s="98">
        <f>DADOS_INVOC!$FR$8</f>
        <v/>
      </c>
      <c r="AK18" s="98">
        <f>DADOS_INVOC!$FS$8</f>
        <v/>
      </c>
      <c r="AL18" s="98">
        <f>DADOS_INVOC!$FT$8</f>
        <v/>
      </c>
      <c r="AM18" s="125" t="n"/>
      <c r="AN18" s="89" t="inlineStr">
        <is>
          <t>Com alma</t>
        </is>
      </c>
      <c r="AO18" s="98">
        <f>DADOS_INVOC!$GH$8</f>
        <v/>
      </c>
      <c r="AP18" s="98">
        <f>DADOS_INVOC!$GJ$8</f>
        <v/>
      </c>
      <c r="AQ18" s="89">
        <f>DADOS_INVOC!$GK$8</f>
        <v/>
      </c>
      <c r="AR18" s="20" t="n"/>
      <c r="AS18" s="125" t="n"/>
    </row>
    <row r="19">
      <c r="B19" s="22" t="n"/>
      <c r="C19" s="125" t="n"/>
      <c r="D19" s="125" t="n"/>
      <c r="E19" s="125" t="n"/>
      <c r="F19" s="125" t="n"/>
      <c r="G19" s="125" t="n"/>
      <c r="I19" s="21" t="n"/>
      <c r="M19" s="22" t="n"/>
      <c r="N19" s="125" t="n"/>
      <c r="O19" s="129" t="n"/>
      <c r="P19" s="129" t="n"/>
      <c r="Q19" s="129" t="n"/>
      <c r="R19" s="129" t="n"/>
      <c r="S19" s="129" t="n"/>
      <c r="T19" s="125" t="n"/>
      <c r="U19" s="129" t="n"/>
      <c r="V19" s="129" t="n"/>
      <c r="W19" s="129" t="n"/>
      <c r="X19" s="23" t="n"/>
      <c r="Y19" s="25" t="n"/>
      <c r="Z19" s="125" t="n"/>
      <c r="AB19" s="21" t="n"/>
      <c r="AF19" s="22" t="n"/>
      <c r="AG19" s="125" t="n"/>
      <c r="AH19" s="129" t="n"/>
      <c r="AI19" s="129" t="n"/>
      <c r="AJ19" s="129" t="n"/>
      <c r="AK19" s="129" t="n"/>
      <c r="AL19" s="129" t="n"/>
      <c r="AM19" s="125" t="n"/>
      <c r="AN19" s="129" t="n"/>
      <c r="AO19" s="129" t="n"/>
      <c r="AP19" s="129" t="n"/>
      <c r="AQ19" s="23" t="n"/>
      <c r="AR19" s="25" t="n"/>
      <c r="AS19" s="125" t="n"/>
    </row>
    <row r="20">
      <c r="B20" s="22" t="n"/>
      <c r="C20" s="125" t="n"/>
      <c r="D20" s="55">
        <f>DADOS_INVOC!$QS$4</f>
        <v/>
      </c>
      <c r="E20" s="16" t="n"/>
      <c r="F20" s="17" t="n"/>
      <c r="G20" s="125" t="n"/>
      <c r="I20" s="21" t="n"/>
      <c r="M20" s="22" t="n"/>
      <c r="N20" s="125" t="n"/>
      <c r="O20" s="146" t="n">
        <v>0</v>
      </c>
      <c r="P20" s="146" t="n">
        <v>0</v>
      </c>
      <c r="Q20" s="146" t="n">
        <v>0</v>
      </c>
      <c r="R20" s="146" t="n">
        <v>0</v>
      </c>
      <c r="S20" s="146" t="n">
        <v>0</v>
      </c>
      <c r="T20" s="125" t="n"/>
      <c r="U20" s="125" t="n"/>
      <c r="V20" s="125" t="n"/>
      <c r="W20" s="125" t="n"/>
      <c r="X20" s="125" t="n"/>
      <c r="Y20" s="125" t="n"/>
      <c r="Z20" s="125" t="n"/>
      <c r="AB20" s="21" t="n"/>
      <c r="AF20" s="22" t="n"/>
      <c r="AG20" s="125" t="n"/>
      <c r="AH20" s="146" t="n">
        <v>0</v>
      </c>
      <c r="AI20" s="146" t="n">
        <v>0</v>
      </c>
      <c r="AJ20" s="146" t="n">
        <v>0</v>
      </c>
      <c r="AK20" s="146" t="n">
        <v>0</v>
      </c>
      <c r="AL20" s="146" t="n">
        <v>0</v>
      </c>
      <c r="AM20" s="125" t="n"/>
      <c r="AN20" s="125" t="n"/>
      <c r="AO20" s="125" t="n"/>
      <c r="AP20" s="125" t="n"/>
      <c r="AQ20" s="125" t="n"/>
      <c r="AR20" s="125" t="n"/>
      <c r="AS20" s="125" t="n"/>
    </row>
    <row r="21">
      <c r="B21" s="22" t="n"/>
      <c r="C21" s="125" t="n"/>
      <c r="D21" s="90">
        <f>DADOS_INVOC!$JI$2</f>
        <v/>
      </c>
      <c r="E21" s="16" t="n"/>
      <c r="F21" s="17" t="n"/>
      <c r="G21" s="125" t="n"/>
      <c r="I21" s="21" t="n"/>
      <c r="M21" s="22" t="n"/>
      <c r="N21" s="125" t="n"/>
      <c r="O21" s="147" t="n">
        <v>0</v>
      </c>
      <c r="P21" s="147" t="n">
        <v>0</v>
      </c>
      <c r="Q21" s="147" t="n">
        <v>0</v>
      </c>
      <c r="R21" s="147" t="n">
        <v>0</v>
      </c>
      <c r="S21" s="147" t="n">
        <v>0</v>
      </c>
      <c r="T21" s="125" t="n"/>
      <c r="U21" s="55" t="inlineStr">
        <is>
          <t>CONDIÇÕES E USOS GASTOS</t>
        </is>
      </c>
      <c r="V21" s="16" t="n"/>
      <c r="W21" s="16" t="n"/>
      <c r="X21" s="16" t="n"/>
      <c r="Y21" s="17" t="n"/>
      <c r="Z21" s="125" t="n"/>
      <c r="AB21" s="21" t="n"/>
      <c r="AF21" s="22" t="n"/>
      <c r="AG21" s="125" t="n"/>
      <c r="AH21" s="147" t="n">
        <v>0</v>
      </c>
      <c r="AI21" s="147" t="n">
        <v>0</v>
      </c>
      <c r="AJ21" s="147" t="n">
        <v>0</v>
      </c>
      <c r="AK21" s="147" t="n">
        <v>0</v>
      </c>
      <c r="AL21" s="147" t="n">
        <v>0</v>
      </c>
      <c r="AM21" s="125" t="n"/>
      <c r="AN21" s="55" t="inlineStr">
        <is>
          <t>CONDIÇÕES E USOS GASTOS</t>
        </is>
      </c>
      <c r="AO21" s="16" t="n"/>
      <c r="AP21" s="16" t="n"/>
      <c r="AQ21" s="16" t="n"/>
      <c r="AR21" s="17" t="n"/>
      <c r="AS21" s="125" t="n"/>
    </row>
    <row r="22">
      <c r="B22" s="22" t="n"/>
      <c r="C22" s="125" t="n"/>
      <c r="D22" s="90">
        <f>DADOS_INVOC!$JI$3</f>
        <v/>
      </c>
      <c r="E22" s="16" t="n"/>
      <c r="F22" s="17" t="n"/>
      <c r="G22" s="125" t="n"/>
      <c r="I22" s="21" t="n"/>
      <c r="M22" s="22" t="n"/>
      <c r="N22" s="125" t="n"/>
      <c r="O22" s="125" t="n"/>
      <c r="P22" s="125" t="n"/>
      <c r="Q22" s="125" t="n"/>
      <c r="R22" s="125" t="n"/>
      <c r="S22" s="125" t="n"/>
      <c r="T22" s="125" t="n"/>
      <c r="U22" s="121" t="n"/>
      <c r="V22" s="19" t="n"/>
      <c r="W22" s="19" t="n"/>
      <c r="X22" s="19" t="n"/>
      <c r="Y22" s="20" t="n"/>
      <c r="Z22" s="125" t="n"/>
      <c r="AB22" s="21" t="n"/>
      <c r="AF22" s="22" t="n"/>
      <c r="AG22" s="125" t="n"/>
      <c r="AH22" s="125" t="n"/>
      <c r="AI22" s="125" t="n"/>
      <c r="AJ22" s="125" t="n"/>
      <c r="AK22" s="125" t="n"/>
      <c r="AL22" s="125" t="n"/>
      <c r="AM22" s="125" t="n"/>
      <c r="AN22" s="121" t="n"/>
      <c r="AO22" s="19" t="n"/>
      <c r="AP22" s="19" t="n"/>
      <c r="AQ22" s="19" t="n"/>
      <c r="AR22" s="20" t="n"/>
      <c r="AS22" s="125" t="n"/>
    </row>
    <row r="23">
      <c r="B23" s="22" t="n"/>
      <c r="C23" s="125" t="n"/>
      <c r="D23" s="90">
        <f>DADOS_INVOC!$JI$4</f>
        <v/>
      </c>
      <c r="E23" s="16" t="n"/>
      <c r="F23" s="17" t="n"/>
      <c r="G23" s="125" t="n"/>
      <c r="I23" s="21" t="n"/>
      <c r="M23" s="22" t="n"/>
      <c r="N23" s="125" t="n"/>
      <c r="O23" s="55" t="inlineStr">
        <is>
          <t>ATAQUE</t>
        </is>
      </c>
      <c r="P23" s="55" t="inlineStr">
        <is>
          <t>CD</t>
        </is>
      </c>
      <c r="Q23" s="55" t="inlineStr">
        <is>
          <t>DEFESA</t>
        </is>
      </c>
      <c r="R23" s="55" t="inlineStr">
        <is>
          <t>VIDA MÁXIMA</t>
        </is>
      </c>
      <c r="S23" s="55" t="inlineStr">
        <is>
          <t>DESLOCAMENTO</t>
        </is>
      </c>
      <c r="T23" s="125" t="n"/>
      <c r="U23" s="21" t="n"/>
      <c r="Y23" s="22" t="n"/>
      <c r="Z23" s="125" t="n"/>
      <c r="AB23" s="21" t="n"/>
      <c r="AF23" s="22" t="n"/>
      <c r="AG23" s="125" t="n"/>
      <c r="AH23" s="55" t="inlineStr">
        <is>
          <t>ATAQUE</t>
        </is>
      </c>
      <c r="AI23" s="55" t="inlineStr">
        <is>
          <t>CD</t>
        </is>
      </c>
      <c r="AJ23" s="55" t="inlineStr">
        <is>
          <t>DEFESA</t>
        </is>
      </c>
      <c r="AK23" s="55" t="inlineStr">
        <is>
          <t>VIDA MÁXIMA</t>
        </is>
      </c>
      <c r="AL23" s="55" t="inlineStr">
        <is>
          <t>DESLOCAMENTO</t>
        </is>
      </c>
      <c r="AM23" s="125" t="n"/>
      <c r="AN23" s="21" t="n"/>
      <c r="AR23" s="22" t="n"/>
      <c r="AS23" s="125" t="n"/>
    </row>
    <row r="24">
      <c r="B24" s="22" t="n"/>
      <c r="C24" s="125" t="n"/>
      <c r="D24" s="90">
        <f>DADOS_INVOC!$JI$5</f>
        <v/>
      </c>
      <c r="E24" s="16" t="n"/>
      <c r="F24" s="17" t="n"/>
      <c r="G24" s="125" t="n"/>
      <c r="I24" s="21" t="n"/>
      <c r="M24" s="22" t="n"/>
      <c r="N24" s="125" t="n"/>
      <c r="O24" s="98">
        <f>DADOS_INVOC!$HK$2</f>
        <v/>
      </c>
      <c r="P24" s="98">
        <f>DADOS_INVOC!$HL$2</f>
        <v/>
      </c>
      <c r="Q24" s="98">
        <f>DADOS_INVOC!$GB$2</f>
        <v/>
      </c>
      <c r="R24" s="98">
        <f>DADOS_INVOC!$GD$2</f>
        <v/>
      </c>
      <c r="S24" s="98">
        <f>DADOS_INVOC!$HM$2</f>
        <v/>
      </c>
      <c r="T24" s="125" t="n"/>
      <c r="U24" s="23" t="n"/>
      <c r="V24" s="24" t="n"/>
      <c r="W24" s="24" t="n"/>
      <c r="X24" s="24" t="n"/>
      <c r="Y24" s="25" t="n"/>
      <c r="Z24" s="125" t="n"/>
      <c r="AB24" s="21" t="n"/>
      <c r="AF24" s="22" t="n"/>
      <c r="AG24" s="125" t="n"/>
      <c r="AH24" s="98">
        <f>DADOS_INVOC!$HK$8</f>
        <v/>
      </c>
      <c r="AI24" s="98">
        <f>DADOS_INVOC!$HL$8</f>
        <v/>
      </c>
      <c r="AJ24" s="98">
        <f>DADOS_INVOC!$GB$8</f>
        <v/>
      </c>
      <c r="AK24" s="98">
        <f>DADOS_INVOC!$GD$8</f>
        <v/>
      </c>
      <c r="AL24" s="98">
        <f>DADOS_INVOC!$HM$8</f>
        <v/>
      </c>
      <c r="AM24" s="125" t="n"/>
      <c r="AN24" s="23" t="n"/>
      <c r="AO24" s="24" t="n"/>
      <c r="AP24" s="24" t="n"/>
      <c r="AQ24" s="24" t="n"/>
      <c r="AR24" s="25" t="n"/>
      <c r="AS24" s="125" t="n"/>
    </row>
    <row r="25">
      <c r="B25" s="22" t="n"/>
      <c r="C25" s="125" t="n"/>
      <c r="D25" s="90">
        <f>DADOS_INVOC!$JI$6</f>
        <v/>
      </c>
      <c r="E25" s="16" t="n"/>
      <c r="F25" s="17" t="n"/>
      <c r="G25" s="125" t="n"/>
      <c r="I25" s="21" t="n"/>
      <c r="M25" s="22" t="n"/>
      <c r="N25" s="125" t="n"/>
      <c r="O25" s="129" t="n"/>
      <c r="P25" s="129" t="n"/>
      <c r="Q25" s="129" t="n"/>
      <c r="R25" s="129" t="n"/>
      <c r="S25" s="129" t="n"/>
      <c r="T25" s="125" t="n"/>
      <c r="U25" s="125" t="n"/>
      <c r="V25" s="125" t="n"/>
      <c r="W25" s="125" t="n"/>
      <c r="X25" s="125" t="n"/>
      <c r="Y25" s="125" t="n"/>
      <c r="Z25" s="125" t="n"/>
      <c r="AB25" s="21" t="n"/>
      <c r="AF25" s="22" t="n"/>
      <c r="AG25" s="125" t="n"/>
      <c r="AH25" s="129" t="n"/>
      <c r="AI25" s="129" t="n"/>
      <c r="AJ25" s="129" t="n"/>
      <c r="AK25" s="129" t="n"/>
      <c r="AL25" s="129" t="n"/>
      <c r="AM25" s="125" t="n"/>
      <c r="AN25" s="125" t="n"/>
      <c r="AO25" s="125" t="n"/>
      <c r="AP25" s="125" t="n"/>
      <c r="AQ25" s="125" t="n"/>
      <c r="AR25" s="125" t="n"/>
      <c r="AS25" s="125" t="n"/>
    </row>
    <row r="26">
      <c r="B26" s="22" t="n"/>
      <c r="C26" s="125" t="n"/>
      <c r="D26" s="90">
        <f>DADOS_INVOC!$JI$7</f>
        <v/>
      </c>
      <c r="E26" s="16" t="n"/>
      <c r="F26" s="17" t="n"/>
      <c r="G26" s="125" t="n"/>
      <c r="I26" s="21" t="n"/>
      <c r="M26" s="22" t="n"/>
      <c r="N26" s="125" t="n"/>
      <c r="O26" s="147" t="n">
        <v>0</v>
      </c>
      <c r="P26" s="147" t="n">
        <v>0</v>
      </c>
      <c r="Q26" s="147" t="n">
        <v>0</v>
      </c>
      <c r="R26" s="147" t="n">
        <v>0</v>
      </c>
      <c r="S26" s="147" t="n">
        <v>0</v>
      </c>
      <c r="T26" s="125" t="n"/>
      <c r="U26" s="55" t="inlineStr">
        <is>
          <t>ANOTAÇÕES</t>
        </is>
      </c>
      <c r="V26" s="16" t="n"/>
      <c r="W26" s="16" t="n"/>
      <c r="X26" s="16" t="n"/>
      <c r="Y26" s="17" t="n"/>
      <c r="Z26" s="125" t="n"/>
      <c r="AB26" s="21" t="n"/>
      <c r="AF26" s="22" t="n"/>
      <c r="AG26" s="125" t="n"/>
      <c r="AH26" s="147" t="n">
        <v>0</v>
      </c>
      <c r="AI26" s="147" t="n">
        <v>0</v>
      </c>
      <c r="AJ26" s="147" t="n">
        <v>0</v>
      </c>
      <c r="AK26" s="147" t="n">
        <v>0</v>
      </c>
      <c r="AL26" s="147" t="n">
        <v>0</v>
      </c>
      <c r="AM26" s="125" t="n"/>
      <c r="AN26" s="55" t="inlineStr">
        <is>
          <t>ANOTAÇÕES</t>
        </is>
      </c>
      <c r="AO26" s="16" t="n"/>
      <c r="AP26" s="16" t="n"/>
      <c r="AQ26" s="16" t="n"/>
      <c r="AR26" s="17" t="n"/>
      <c r="AS26" s="125" t="n"/>
    </row>
    <row r="27">
      <c r="B27" s="22" t="n"/>
      <c r="C27" s="125" t="n"/>
      <c r="D27" s="90">
        <f>DADOS_INVOC!$JI$8</f>
        <v/>
      </c>
      <c r="E27" s="16" t="n"/>
      <c r="F27" s="17" t="n"/>
      <c r="G27" s="125" t="n"/>
      <c r="I27" s="21" t="n"/>
      <c r="M27" s="22" t="n"/>
      <c r="N27" s="125" t="n"/>
      <c r="O27" s="125" t="n"/>
      <c r="P27" s="125" t="n"/>
      <c r="Q27" s="125" t="n"/>
      <c r="R27" s="125" t="n"/>
      <c r="S27" s="125" t="n"/>
      <c r="T27" s="125" t="n"/>
      <c r="U27" s="121" t="n"/>
      <c r="V27" s="19" t="n"/>
      <c r="W27" s="19" t="n"/>
      <c r="X27" s="19" t="n"/>
      <c r="Y27" s="20" t="n"/>
      <c r="Z27" s="125" t="n"/>
      <c r="AB27" s="21" t="n"/>
      <c r="AF27" s="22" t="n"/>
      <c r="AG27" s="125" t="n"/>
      <c r="AH27" s="125" t="n"/>
      <c r="AI27" s="125" t="n"/>
      <c r="AJ27" s="125" t="n"/>
      <c r="AK27" s="125" t="n"/>
      <c r="AL27" s="125" t="n"/>
      <c r="AM27" s="125" t="n"/>
      <c r="AN27" s="121" t="n"/>
      <c r="AO27" s="19" t="n"/>
      <c r="AP27" s="19" t="n"/>
      <c r="AQ27" s="19" t="n"/>
      <c r="AR27" s="20" t="n"/>
      <c r="AS27" s="125" t="n"/>
    </row>
    <row r="28">
      <c r="B28" s="22" t="n"/>
      <c r="C28" s="125" t="n"/>
      <c r="D28" s="90">
        <f>DADOS_INVOC!$JI$9</f>
        <v/>
      </c>
      <c r="E28" s="16" t="n"/>
      <c r="F28" s="17" t="n"/>
      <c r="G28" s="125" t="n"/>
      <c r="I28" s="21" t="n"/>
      <c r="M28" s="22" t="n"/>
      <c r="N28" s="125" t="n"/>
      <c r="O28" s="55" t="inlineStr">
        <is>
          <t>FÍSICO</t>
        </is>
      </c>
      <c r="P28" s="55" t="inlineStr">
        <is>
          <t>VIGOR</t>
        </is>
      </c>
      <c r="Q28" s="55" t="inlineStr">
        <is>
          <t>INTELECTO</t>
        </is>
      </c>
      <c r="R28" s="55" t="inlineStr">
        <is>
          <t>ESPÍRITO</t>
        </is>
      </c>
      <c r="S28" s="55" t="inlineStr">
        <is>
          <t>TR TREINADO</t>
        </is>
      </c>
      <c r="T28" s="125" t="n"/>
      <c r="U28" s="21" t="n"/>
      <c r="Y28" s="22" t="n"/>
      <c r="Z28" s="125" t="n"/>
      <c r="AB28" s="21" t="n"/>
      <c r="AF28" s="22" t="n"/>
      <c r="AG28" s="125" t="n"/>
      <c r="AH28" s="55" t="inlineStr">
        <is>
          <t>FÍSICO</t>
        </is>
      </c>
      <c r="AI28" s="55" t="inlineStr">
        <is>
          <t>VIGOR</t>
        </is>
      </c>
      <c r="AJ28" s="55" t="inlineStr">
        <is>
          <t>INTELECTO</t>
        </is>
      </c>
      <c r="AK28" s="55" t="inlineStr">
        <is>
          <t>ESPÍRITO</t>
        </is>
      </c>
      <c r="AL28" s="55" t="inlineStr">
        <is>
          <t>TR TREINADO</t>
        </is>
      </c>
      <c r="AM28" s="125" t="n"/>
      <c r="AN28" s="21" t="n"/>
      <c r="AR28" s="22" t="n"/>
      <c r="AS28" s="125" t="n"/>
    </row>
    <row r="29">
      <c r="B29" s="22" t="n"/>
      <c r="C29" s="125" t="n"/>
      <c r="D29" s="90">
        <f>DADOS_INVOC!$JI$10</f>
        <v/>
      </c>
      <c r="E29" s="16" t="n"/>
      <c r="F29" s="17" t="n"/>
      <c r="G29" s="125" t="n"/>
      <c r="I29" s="21" t="n"/>
      <c r="M29" s="22" t="n"/>
      <c r="N29" s="125" t="n"/>
      <c r="O29" s="98">
        <f>DADOS_INVOC!$HN$2</f>
        <v/>
      </c>
      <c r="P29" s="98">
        <f>DADOS_INVOC!$HO$2</f>
        <v/>
      </c>
      <c r="Q29" s="98">
        <f>DADOS_INVOC!$HP$2</f>
        <v/>
      </c>
      <c r="R29" s="98">
        <f>DADOS_INVOC!$HQ$2</f>
        <v/>
      </c>
      <c r="S29" s="89" t="n"/>
      <c r="T29" s="125" t="n"/>
      <c r="U29" s="21" t="n"/>
      <c r="Y29" s="22" t="n"/>
      <c r="Z29" s="125" t="n"/>
      <c r="AB29" s="21" t="n"/>
      <c r="AF29" s="22" t="n"/>
      <c r="AG29" s="125" t="n"/>
      <c r="AH29" s="98">
        <f>DADOS_INVOC!$HN$8</f>
        <v/>
      </c>
      <c r="AI29" s="98">
        <f>DADOS_INVOC!$HO$8</f>
        <v/>
      </c>
      <c r="AJ29" s="98">
        <f>DADOS_INVOC!$HP$8</f>
        <v/>
      </c>
      <c r="AK29" s="98">
        <f>DADOS_INVOC!$HQ$8</f>
        <v/>
      </c>
      <c r="AL29" s="89" t="n"/>
      <c r="AM29" s="125" t="n"/>
      <c r="AN29" s="21" t="n"/>
      <c r="AR29" s="22" t="n"/>
      <c r="AS29" s="125" t="n"/>
    </row>
    <row r="30">
      <c r="A30" s="8" t="n"/>
      <c r="B30" s="14" t="n"/>
      <c r="C30" s="125" t="n"/>
      <c r="D30" s="90">
        <f>DADOS_INVOC!$JI$11</f>
        <v/>
      </c>
      <c r="E30" s="16" t="n"/>
      <c r="F30" s="17" t="n"/>
      <c r="G30" s="125" t="n"/>
      <c r="I30" s="21" t="n"/>
      <c r="M30" s="22" t="n"/>
      <c r="N30" s="125" t="n"/>
      <c r="O30" s="129" t="n"/>
      <c r="P30" s="129" t="n"/>
      <c r="Q30" s="129" t="n"/>
      <c r="R30" s="129" t="n"/>
      <c r="S30" s="129" t="n"/>
      <c r="T30" s="125" t="n"/>
      <c r="U30" s="23" t="n"/>
      <c r="V30" s="24" t="n"/>
      <c r="W30" s="24" t="n"/>
      <c r="X30" s="24" t="n"/>
      <c r="Y30" s="25" t="n"/>
      <c r="Z30" s="125" t="n"/>
      <c r="AB30" s="21" t="n"/>
      <c r="AF30" s="22" t="n"/>
      <c r="AG30" s="125" t="n"/>
      <c r="AH30" s="129" t="n"/>
      <c r="AI30" s="129" t="n"/>
      <c r="AJ30" s="129" t="n"/>
      <c r="AK30" s="129" t="n"/>
      <c r="AL30" s="129" t="n"/>
      <c r="AM30" s="125" t="n"/>
      <c r="AN30" s="23" t="n"/>
      <c r="AO30" s="24" t="n"/>
      <c r="AP30" s="24" t="n"/>
      <c r="AQ30" s="24" t="n"/>
      <c r="AR30" s="25" t="n"/>
      <c r="AS30" s="125" t="n"/>
    </row>
    <row r="31">
      <c r="A31" s="8" t="n"/>
      <c r="B31" s="14" t="n"/>
      <c r="C31" s="125" t="n"/>
      <c r="D31" s="90">
        <f>DADOS_INVOC!$JI$12</f>
        <v/>
      </c>
      <c r="E31" s="16" t="n"/>
      <c r="F31" s="17" t="n"/>
      <c r="G31" s="125" t="n"/>
      <c r="I31" s="21" t="n"/>
      <c r="M31" s="22" t="n"/>
      <c r="N31" s="125" t="n"/>
      <c r="O31" s="147" t="n">
        <v>0</v>
      </c>
      <c r="P31" s="147" t="n">
        <v>0</v>
      </c>
      <c r="Q31" s="147" t="n">
        <v>0</v>
      </c>
      <c r="R31" s="147" t="n">
        <v>0</v>
      </c>
      <c r="S31" s="125" t="n"/>
      <c r="T31" s="125" t="n"/>
      <c r="U31" s="125" t="n"/>
      <c r="V31" s="125" t="n"/>
      <c r="W31" s="125" t="n"/>
      <c r="X31" s="125" t="n"/>
      <c r="Y31" s="125" t="n"/>
      <c r="Z31" s="125" t="n"/>
      <c r="AB31" s="21" t="n"/>
      <c r="AF31" s="22" t="n"/>
      <c r="AG31" s="125" t="n"/>
      <c r="AH31" s="147" t="n">
        <v>0</v>
      </c>
      <c r="AI31" s="147" t="n">
        <v>0</v>
      </c>
      <c r="AJ31" s="147" t="n">
        <v>0</v>
      </c>
      <c r="AK31" s="147" t="n">
        <v>0</v>
      </c>
      <c r="AL31" s="125" t="n"/>
      <c r="AM31" s="125" t="n"/>
      <c r="AN31" s="125" t="n"/>
      <c r="AO31" s="125" t="n"/>
      <c r="AP31" s="125" t="n"/>
      <c r="AQ31" s="125" t="n"/>
      <c r="AR31" s="125" t="n"/>
      <c r="AS31" s="125" t="n"/>
    </row>
    <row r="32">
      <c r="A32" s="8" t="n"/>
      <c r="B32" s="14" t="n"/>
      <c r="C32" s="125" t="n"/>
      <c r="D32" s="90">
        <f>DADOS_INVOC!$JI$13</f>
        <v/>
      </c>
      <c r="E32" s="16" t="n"/>
      <c r="F32" s="17" t="n"/>
      <c r="G32" s="125" t="n"/>
      <c r="I32" s="21" t="n"/>
      <c r="M32" s="22" t="n"/>
      <c r="N32" s="125" t="n"/>
      <c r="O32" s="125" t="n"/>
      <c r="P32" s="125" t="n"/>
      <c r="Q32" s="125" t="n"/>
      <c r="R32" s="125" t="n"/>
      <c r="S32" s="125" t="n"/>
      <c r="T32" s="125" t="n"/>
      <c r="U32" s="55">
        <f>DADOS_INVOC!$IA$2</f>
        <v/>
      </c>
      <c r="V32" s="16" t="n"/>
      <c r="W32" s="16" t="n"/>
      <c r="X32" s="17" t="n"/>
      <c r="Y32" s="55" t="inlineStr">
        <is>
          <t>VOL.</t>
        </is>
      </c>
      <c r="Z32" s="125" t="n"/>
      <c r="AB32" s="21" t="n"/>
      <c r="AF32" s="22" t="n"/>
      <c r="AG32" s="125" t="n"/>
      <c r="AH32" s="125" t="n"/>
      <c r="AI32" s="125" t="n"/>
      <c r="AJ32" s="125" t="n"/>
      <c r="AK32" s="125" t="n"/>
      <c r="AL32" s="125" t="n"/>
      <c r="AM32" s="125" t="n"/>
      <c r="AN32" s="55">
        <f>DADOS_INVOC!$IA$8</f>
        <v/>
      </c>
      <c r="AO32" s="16" t="n"/>
      <c r="AP32" s="16" t="n"/>
      <c r="AQ32" s="17" t="n"/>
      <c r="AR32" s="55" t="inlineStr">
        <is>
          <t>VOL.</t>
        </is>
      </c>
      <c r="AS32" s="125" t="n"/>
    </row>
    <row r="33">
      <c r="A33" s="48" t="inlineStr">
        <is>
          <t>INVOCAÇÕES</t>
        </is>
      </c>
      <c r="B33" s="22" t="n"/>
      <c r="C33" s="125" t="n"/>
      <c r="D33" s="125" t="n"/>
      <c r="E33" s="125" t="n"/>
      <c r="F33" s="125" t="n"/>
      <c r="G33" s="125" t="n"/>
      <c r="I33" s="21" t="n"/>
      <c r="M33" s="22" t="n"/>
      <c r="N33" s="125" t="n"/>
      <c r="O33" s="55" t="inlineStr">
        <is>
          <t>ATRIBUTO DE ACERTO</t>
        </is>
      </c>
      <c r="P33" s="16" t="n"/>
      <c r="Q33" s="17" t="n"/>
      <c r="R33" s="55" t="inlineStr">
        <is>
          <t>FÍSICO USA</t>
        </is>
      </c>
      <c r="S33" s="17" t="n"/>
      <c r="T33" s="125" t="n"/>
      <c r="U33" s="55" t="inlineStr">
        <is>
          <t>MÃO 1</t>
        </is>
      </c>
      <c r="V33" s="134" t="n"/>
      <c r="W33" s="16" t="n"/>
      <c r="X33" s="17" t="n"/>
      <c r="Y33" s="89" t="n"/>
      <c r="Z33" s="125" t="n"/>
      <c r="AB33" s="21" t="n"/>
      <c r="AF33" s="22" t="n"/>
      <c r="AG33" s="125" t="n"/>
      <c r="AH33" s="55" t="inlineStr">
        <is>
          <t>ATRIBUTO DE ACERTO</t>
        </is>
      </c>
      <c r="AI33" s="16" t="n"/>
      <c r="AJ33" s="17" t="n"/>
      <c r="AK33" s="55" t="inlineStr">
        <is>
          <t>FÍSICO USA</t>
        </is>
      </c>
      <c r="AL33" s="17" t="n"/>
      <c r="AM33" s="125" t="n"/>
      <c r="AN33" s="55" t="inlineStr">
        <is>
          <t>MÃO 1</t>
        </is>
      </c>
      <c r="AO33" s="134" t="n"/>
      <c r="AP33" s="16" t="n"/>
      <c r="AQ33" s="17" t="n"/>
      <c r="AR33" s="89" t="n"/>
      <c r="AS33" s="125" t="n"/>
    </row>
    <row r="34">
      <c r="B34" s="22" t="n"/>
      <c r="C34" s="125" t="n"/>
      <c r="D34" s="125" t="n"/>
      <c r="E34" s="125" t="n"/>
      <c r="F34" s="125" t="n"/>
      <c r="G34" s="125" t="n"/>
      <c r="I34" s="21" t="n"/>
      <c r="M34" s="22" t="n"/>
      <c r="N34" s="125" t="n"/>
      <c r="O34" s="89" t="n"/>
      <c r="P34" s="19" t="n"/>
      <c r="Q34" s="20" t="n"/>
      <c r="R34" s="89" t="inlineStr">
        <is>
          <t>Força</t>
        </is>
      </c>
      <c r="S34" s="20" t="n"/>
      <c r="T34" s="125" t="n"/>
      <c r="U34" s="55" t="inlineStr">
        <is>
          <t>MÃO 2</t>
        </is>
      </c>
      <c r="V34" s="134" t="n"/>
      <c r="W34" s="16" t="n"/>
      <c r="X34" s="17" t="n"/>
      <c r="Y34" s="89" t="n"/>
      <c r="Z34" s="125" t="n"/>
      <c r="AB34" s="21" t="n"/>
      <c r="AF34" s="22" t="n"/>
      <c r="AG34" s="125" t="n"/>
      <c r="AH34" s="89" t="n"/>
      <c r="AI34" s="19" t="n"/>
      <c r="AJ34" s="20" t="n"/>
      <c r="AK34" s="89" t="inlineStr">
        <is>
          <t>Força</t>
        </is>
      </c>
      <c r="AL34" s="20" t="n"/>
      <c r="AM34" s="125" t="n"/>
      <c r="AN34" s="55" t="inlineStr">
        <is>
          <t>MÃO 2</t>
        </is>
      </c>
      <c r="AO34" s="134" t="n"/>
      <c r="AP34" s="16" t="n"/>
      <c r="AQ34" s="17" t="n"/>
      <c r="AR34" s="89" t="n"/>
      <c r="AS34" s="125" t="n"/>
    </row>
    <row r="35">
      <c r="B35" s="22" t="n"/>
      <c r="C35" s="125" t="n"/>
      <c r="D35" s="125" t="n"/>
      <c r="E35" s="125" t="n"/>
      <c r="F35" s="125" t="n"/>
      <c r="G35" s="125" t="n"/>
      <c r="I35" s="21" t="n"/>
      <c r="M35" s="22" t="n"/>
      <c r="N35" s="125" t="n"/>
      <c r="O35" s="23" t="n"/>
      <c r="P35" s="24" t="n"/>
      <c r="Q35" s="25" t="n"/>
      <c r="R35" s="23" t="n"/>
      <c r="S35" s="25" t="n"/>
      <c r="T35" s="125" t="n"/>
      <c r="U35" s="55" t="inlineStr">
        <is>
          <t>VESTE</t>
        </is>
      </c>
      <c r="V35" s="134" t="n"/>
      <c r="W35" s="16" t="n"/>
      <c r="X35" s="17" t="n"/>
      <c r="Y35" s="89" t="n"/>
      <c r="Z35" s="125" t="n"/>
      <c r="AB35" s="21" t="n"/>
      <c r="AF35" s="22" t="n"/>
      <c r="AG35" s="125" t="n"/>
      <c r="AH35" s="23" t="n"/>
      <c r="AI35" s="24" t="n"/>
      <c r="AJ35" s="25" t="n"/>
      <c r="AK35" s="23" t="n"/>
      <c r="AL35" s="25" t="n"/>
      <c r="AM35" s="125" t="n"/>
      <c r="AN35" s="55" t="inlineStr">
        <is>
          <t>VESTE</t>
        </is>
      </c>
      <c r="AO35" s="134" t="n"/>
      <c r="AP35" s="16" t="n"/>
      <c r="AQ35" s="17" t="n"/>
      <c r="AR35" s="89" t="n"/>
      <c r="AS35" s="125" t="n"/>
    </row>
    <row r="36">
      <c r="B36" s="22" t="n"/>
      <c r="C36" s="125" t="n"/>
      <c r="D36" s="125" t="n"/>
      <c r="E36" s="125" t="n"/>
      <c r="F36" s="125" t="n"/>
      <c r="G36" s="125" t="n"/>
      <c r="I36" s="21" t="n"/>
      <c r="M36" s="22" t="n"/>
      <c r="N36" s="125" t="n"/>
      <c r="O36" s="125" t="n"/>
      <c r="P36" s="125" t="n"/>
      <c r="Q36" s="125" t="n"/>
      <c r="R36" s="125" t="n"/>
      <c r="S36" s="125" t="n"/>
      <c r="T36" s="125" t="n"/>
      <c r="U36" s="55" t="inlineStr">
        <is>
          <t>GUARDADO · SÓ COM A CARACTERÍSTICA DE TRANSPORTE</t>
        </is>
      </c>
      <c r="V36" s="16" t="n"/>
      <c r="W36" s="16" t="n"/>
      <c r="X36" s="17" t="n"/>
      <c r="Y36" s="55" t="inlineStr">
        <is>
          <t>VOL.</t>
        </is>
      </c>
      <c r="Z36" s="125" t="n"/>
      <c r="AB36" s="21" t="n"/>
      <c r="AF36" s="22" t="n"/>
      <c r="AG36" s="125" t="n"/>
      <c r="AH36" s="125" t="n"/>
      <c r="AI36" s="125" t="n"/>
      <c r="AJ36" s="125" t="n"/>
      <c r="AK36" s="125" t="n"/>
      <c r="AL36" s="125" t="n"/>
      <c r="AM36" s="125" t="n"/>
      <c r="AN36" s="55" t="inlineStr">
        <is>
          <t>GUARDADO · SÓ COM A CARACTERÍSTICA DE TRANSPORTE</t>
        </is>
      </c>
      <c r="AO36" s="16" t="n"/>
      <c r="AP36" s="16" t="n"/>
      <c r="AQ36" s="17" t="n"/>
      <c r="AR36" s="55" t="inlineStr">
        <is>
          <t>VOL.</t>
        </is>
      </c>
      <c r="AS36" s="125" t="n"/>
    </row>
    <row r="37">
      <c r="B37" s="22" t="n"/>
      <c r="C37" s="125" t="n"/>
      <c r="D37" s="125" t="n"/>
      <c r="E37" s="125" t="n"/>
      <c r="F37" s="125" t="n"/>
      <c r="G37" s="125" t="n"/>
      <c r="I37" s="21" t="n"/>
      <c r="M37" s="22" t="n"/>
      <c r="N37" s="125" t="n"/>
      <c r="O37" s="55">
        <f>DADOS_INVOC!$HR$2</f>
        <v/>
      </c>
      <c r="P37" s="16" t="n"/>
      <c r="Q37" s="16" t="n"/>
      <c r="R37" s="16" t="n"/>
      <c r="S37" s="17" t="n"/>
      <c r="T37" s="125" t="n"/>
      <c r="U37" s="134" t="n"/>
      <c r="V37" s="16" t="n"/>
      <c r="W37" s="16" t="n"/>
      <c r="X37" s="17" t="n"/>
      <c r="Y37" s="89" t="n"/>
      <c r="Z37" s="125" t="n"/>
      <c r="AB37" s="21" t="n"/>
      <c r="AF37" s="22" t="n"/>
      <c r="AG37" s="125" t="n"/>
      <c r="AH37" s="55">
        <f>DADOS_INVOC!$HR$8</f>
        <v/>
      </c>
      <c r="AI37" s="16" t="n"/>
      <c r="AJ37" s="16" t="n"/>
      <c r="AK37" s="16" t="n"/>
      <c r="AL37" s="17" t="n"/>
      <c r="AM37" s="125" t="n"/>
      <c r="AN37" s="134" t="n"/>
      <c r="AO37" s="16" t="n"/>
      <c r="AP37" s="16" t="n"/>
      <c r="AQ37" s="17" t="n"/>
      <c r="AR37" s="89" t="n"/>
      <c r="AS37" s="125" t="n"/>
    </row>
    <row r="38">
      <c r="B38" s="22" t="n"/>
      <c r="C38" s="125" t="n"/>
      <c r="D38" s="125" t="n"/>
      <c r="E38" s="125" t="n"/>
      <c r="F38" s="125" t="n"/>
      <c r="G38" s="125" t="n"/>
      <c r="I38" s="21" t="n"/>
      <c r="M38" s="22" t="n"/>
      <c r="N38" s="125" t="n"/>
      <c r="O38" s="134" t="n"/>
      <c r="P38" s="16" t="n"/>
      <c r="Q38" s="17" t="n"/>
      <c r="R38" s="89">
        <f>DADOS_INVOC!$HS$2</f>
        <v/>
      </c>
      <c r="S38" s="17" t="n"/>
      <c r="T38" s="125" t="n"/>
      <c r="U38" s="134" t="n"/>
      <c r="V38" s="16" t="n"/>
      <c r="W38" s="16" t="n"/>
      <c r="X38" s="17" t="n"/>
      <c r="Y38" s="89" t="n"/>
      <c r="Z38" s="125" t="n"/>
      <c r="AB38" s="21" t="n"/>
      <c r="AF38" s="22" t="n"/>
      <c r="AG38" s="125" t="n"/>
      <c r="AH38" s="134" t="n"/>
      <c r="AI38" s="16" t="n"/>
      <c r="AJ38" s="17" t="n"/>
      <c r="AK38" s="89">
        <f>DADOS_INVOC!$HS$8</f>
        <v/>
      </c>
      <c r="AL38" s="17" t="n"/>
      <c r="AM38" s="125" t="n"/>
      <c r="AN38" s="134" t="n"/>
      <c r="AO38" s="16" t="n"/>
      <c r="AP38" s="16" t="n"/>
      <c r="AQ38" s="17" t="n"/>
      <c r="AR38" s="89" t="n"/>
      <c r="AS38" s="125" t="n"/>
    </row>
    <row r="39">
      <c r="B39" s="22" t="n"/>
      <c r="C39" s="125" t="n"/>
      <c r="D39" s="125" t="n"/>
      <c r="E39" s="125" t="n"/>
      <c r="F39" s="125" t="n"/>
      <c r="G39" s="125" t="n"/>
      <c r="I39" s="21" t="n"/>
      <c r="M39" s="22" t="n"/>
      <c r="N39" s="125" t="n"/>
      <c r="O39" s="134" t="n"/>
      <c r="P39" s="16" t="n"/>
      <c r="Q39" s="17" t="n"/>
      <c r="R39" s="89">
        <f>DADOS_INVOC!$HT$2</f>
        <v/>
      </c>
      <c r="S39" s="17" t="n"/>
      <c r="T39" s="125" t="n"/>
      <c r="U39" s="134" t="n"/>
      <c r="V39" s="16" t="n"/>
      <c r="W39" s="16" t="n"/>
      <c r="X39" s="17" t="n"/>
      <c r="Y39" s="89" t="n"/>
      <c r="Z39" s="125" t="n"/>
      <c r="AB39" s="21" t="n"/>
      <c r="AF39" s="22" t="n"/>
      <c r="AG39" s="125" t="n"/>
      <c r="AH39" s="134" t="n"/>
      <c r="AI39" s="16" t="n"/>
      <c r="AJ39" s="17" t="n"/>
      <c r="AK39" s="89">
        <f>DADOS_INVOC!$HT$8</f>
        <v/>
      </c>
      <c r="AL39" s="17" t="n"/>
      <c r="AM39" s="125" t="n"/>
      <c r="AN39" s="134" t="n"/>
      <c r="AO39" s="16" t="n"/>
      <c r="AP39" s="16" t="n"/>
      <c r="AQ39" s="17" t="n"/>
      <c r="AR39" s="89" t="n"/>
      <c r="AS39" s="125" t="n"/>
    </row>
    <row r="40">
      <c r="B40" s="22" t="n"/>
      <c r="C40" s="125" t="n"/>
      <c r="D40" s="125" t="n"/>
      <c r="E40" s="125" t="n"/>
      <c r="F40" s="125" t="n"/>
      <c r="G40" s="125" t="n"/>
      <c r="I40" s="23" t="n"/>
      <c r="J40" s="24" t="n"/>
      <c r="K40" s="24" t="n"/>
      <c r="L40" s="24" t="n"/>
      <c r="M40" s="25" t="n"/>
      <c r="N40" s="125" t="n"/>
      <c r="O40" s="134" t="n"/>
      <c r="P40" s="16" t="n"/>
      <c r="Q40" s="17" t="n"/>
      <c r="R40" s="89">
        <f>DADOS_INVOC!$HU$2</f>
        <v/>
      </c>
      <c r="S40" s="17" t="n"/>
      <c r="T40" s="125" t="n"/>
      <c r="U40" s="134" t="n"/>
      <c r="V40" s="16" t="n"/>
      <c r="W40" s="16" t="n"/>
      <c r="X40" s="17" t="n"/>
      <c r="Y40" s="89" t="n"/>
      <c r="Z40" s="125" t="n"/>
      <c r="AB40" s="23" t="n"/>
      <c r="AC40" s="24" t="n"/>
      <c r="AD40" s="24" t="n"/>
      <c r="AE40" s="24" t="n"/>
      <c r="AF40" s="25" t="n"/>
      <c r="AG40" s="125" t="n"/>
      <c r="AH40" s="134" t="n"/>
      <c r="AI40" s="16" t="n"/>
      <c r="AJ40" s="17" t="n"/>
      <c r="AK40" s="89">
        <f>DADOS_INVOC!$HU$8</f>
        <v/>
      </c>
      <c r="AL40" s="17" t="n"/>
      <c r="AM40" s="125" t="n"/>
      <c r="AN40" s="134" t="n"/>
      <c r="AO40" s="16" t="n"/>
      <c r="AP40" s="16" t="n"/>
      <c r="AQ40" s="17" t="n"/>
      <c r="AR40" s="89" t="n"/>
      <c r="AS40" s="125" t="n"/>
    </row>
    <row r="41">
      <c r="B41" s="22" t="n"/>
      <c r="C41" s="125" t="n"/>
      <c r="D41" s="125" t="n"/>
      <c r="E41" s="125" t="n"/>
      <c r="F41" s="125" t="n"/>
      <c r="G41" s="125" t="n"/>
      <c r="I41" s="125" t="n"/>
      <c r="J41" s="125" t="n"/>
      <c r="K41" s="125" t="n"/>
      <c r="L41" s="125" t="n"/>
      <c r="M41" s="125" t="n"/>
      <c r="N41" s="125" t="n"/>
      <c r="O41" s="134" t="n"/>
      <c r="P41" s="16" t="n"/>
      <c r="Q41" s="17" t="n"/>
      <c r="R41" s="89">
        <f>DADOS_INVOC!$HV$2</f>
        <v/>
      </c>
      <c r="S41" s="17" t="n"/>
      <c r="T41" s="125" t="n"/>
      <c r="U41" s="134" t="n"/>
      <c r="V41" s="16" t="n"/>
      <c r="W41" s="16" t="n"/>
      <c r="X41" s="17" t="n"/>
      <c r="Y41" s="89" t="n"/>
      <c r="Z41" s="125" t="n"/>
      <c r="AB41" s="125" t="n"/>
      <c r="AC41" s="125" t="n"/>
      <c r="AD41" s="125" t="n"/>
      <c r="AE41" s="125" t="n"/>
      <c r="AF41" s="125" t="n"/>
      <c r="AG41" s="125" t="n"/>
      <c r="AH41" s="134" t="n"/>
      <c r="AI41" s="16" t="n"/>
      <c r="AJ41" s="17" t="n"/>
      <c r="AK41" s="89">
        <f>DADOS_INVOC!$HV$8</f>
        <v/>
      </c>
      <c r="AL41" s="17" t="n"/>
      <c r="AM41" s="125" t="n"/>
      <c r="AN41" s="134" t="n"/>
      <c r="AO41" s="16" t="n"/>
      <c r="AP41" s="16" t="n"/>
      <c r="AQ41" s="17" t="n"/>
      <c r="AR41" s="89" t="n"/>
      <c r="AS41" s="125" t="n"/>
    </row>
    <row r="42">
      <c r="B42" s="22" t="n"/>
      <c r="C42" s="125" t="n"/>
      <c r="D42" s="125" t="n"/>
      <c r="E42" s="125" t="n"/>
      <c r="F42" s="125" t="n"/>
      <c r="G42" s="125" t="n"/>
      <c r="I42" s="55" t="inlineStr">
        <is>
          <t>TIPO</t>
        </is>
      </c>
      <c r="J42" s="16" t="n"/>
      <c r="K42" s="16" t="n"/>
      <c r="L42" s="16" t="n"/>
      <c r="M42" s="17" t="n"/>
      <c r="N42" s="125" t="n"/>
      <c r="O42" s="134" t="n"/>
      <c r="P42" s="16" t="n"/>
      <c r="Q42" s="17" t="n"/>
      <c r="R42" s="89">
        <f>DADOS_INVOC!$HW$2</f>
        <v/>
      </c>
      <c r="S42" s="17" t="n"/>
      <c r="T42" s="125" t="n"/>
      <c r="U42" s="134" t="n"/>
      <c r="V42" s="16" t="n"/>
      <c r="W42" s="16" t="n"/>
      <c r="X42" s="17" t="n"/>
      <c r="Y42" s="89" t="n"/>
      <c r="Z42" s="125" t="n"/>
      <c r="AB42" s="55" t="inlineStr">
        <is>
          <t>TIPO</t>
        </is>
      </c>
      <c r="AC42" s="16" t="n"/>
      <c r="AD42" s="16" t="n"/>
      <c r="AE42" s="16" t="n"/>
      <c r="AF42" s="17" t="n"/>
      <c r="AG42" s="125" t="n"/>
      <c r="AH42" s="134" t="n"/>
      <c r="AI42" s="16" t="n"/>
      <c r="AJ42" s="17" t="n"/>
      <c r="AK42" s="89">
        <f>DADOS_INVOC!$HW$8</f>
        <v/>
      </c>
      <c r="AL42" s="17" t="n"/>
      <c r="AM42" s="125" t="n"/>
      <c r="AN42" s="134" t="n"/>
      <c r="AO42" s="16" t="n"/>
      <c r="AP42" s="16" t="n"/>
      <c r="AQ42" s="17" t="n"/>
      <c r="AR42" s="89" t="n"/>
      <c r="AS42" s="125" t="n"/>
    </row>
    <row r="43">
      <c r="B43" s="22" t="n"/>
      <c r="C43" s="125" t="n"/>
      <c r="D43" s="125" t="n"/>
      <c r="E43" s="125" t="n"/>
      <c r="F43" s="125" t="n"/>
      <c r="G43" s="125" t="n"/>
      <c r="I43" s="89" t="inlineStr">
        <is>
          <t>Shikigami de técnica</t>
        </is>
      </c>
      <c r="J43" s="19" t="n"/>
      <c r="K43" s="19" t="n"/>
      <c r="L43" s="19" t="n"/>
      <c r="M43" s="20" t="n"/>
      <c r="N43" s="125" t="n"/>
      <c r="O43" s="134" t="n"/>
      <c r="P43" s="16" t="n"/>
      <c r="Q43" s="17" t="n"/>
      <c r="R43" s="89">
        <f>DADOS_INVOC!$HX$2</f>
        <v/>
      </c>
      <c r="S43" s="17" t="n"/>
      <c r="T43" s="125" t="n"/>
      <c r="U43" s="125" t="n"/>
      <c r="V43" s="125" t="n"/>
      <c r="W43" s="125" t="n"/>
      <c r="X43" s="125" t="n"/>
      <c r="Y43" s="125" t="n"/>
      <c r="Z43" s="125" t="n"/>
      <c r="AB43" s="89" t="inlineStr">
        <is>
          <t>Shikigami de técnica</t>
        </is>
      </c>
      <c r="AC43" s="19" t="n"/>
      <c r="AD43" s="19" t="n"/>
      <c r="AE43" s="19" t="n"/>
      <c r="AF43" s="20" t="n"/>
      <c r="AG43" s="125" t="n"/>
      <c r="AH43" s="134" t="n"/>
      <c r="AI43" s="16" t="n"/>
      <c r="AJ43" s="17" t="n"/>
      <c r="AK43" s="89">
        <f>DADOS_INVOC!$HX$8</f>
        <v/>
      </c>
      <c r="AL43" s="17" t="n"/>
      <c r="AM43" s="125" t="n"/>
      <c r="AN43" s="125" t="n"/>
      <c r="AO43" s="125" t="n"/>
      <c r="AP43" s="125" t="n"/>
      <c r="AQ43" s="125" t="n"/>
      <c r="AR43" s="125" t="n"/>
      <c r="AS43" s="125" t="n"/>
    </row>
    <row r="44">
      <c r="B44" s="22" t="n"/>
      <c r="C44" s="125" t="n"/>
      <c r="D44" s="125" t="n"/>
      <c r="E44" s="125" t="n"/>
      <c r="F44" s="125" t="n"/>
      <c r="G44" s="125" t="n"/>
      <c r="I44" s="23" t="n"/>
      <c r="J44" s="24" t="n"/>
      <c r="K44" s="24" t="n"/>
      <c r="L44" s="24" t="n"/>
      <c r="M44" s="25" t="n"/>
      <c r="N44" s="125" t="n"/>
      <c r="O44" s="134" t="n"/>
      <c r="P44" s="16" t="n"/>
      <c r="Q44" s="17" t="n"/>
      <c r="R44" s="89">
        <f>DADOS_INVOC!$HY$2</f>
        <v/>
      </c>
      <c r="S44" s="17" t="n"/>
      <c r="T44" s="125" t="n"/>
      <c r="U44" s="55" t="inlineStr">
        <is>
          <t>CORPO, SENTIDOS E COMUNICAÇÃO</t>
        </is>
      </c>
      <c r="V44" s="16" t="n"/>
      <c r="W44" s="16" t="n"/>
      <c r="X44" s="16" t="n"/>
      <c r="Y44" s="17" t="n"/>
      <c r="Z44" s="125" t="n"/>
      <c r="AB44" s="23" t="n"/>
      <c r="AC44" s="24" t="n"/>
      <c r="AD44" s="24" t="n"/>
      <c r="AE44" s="24" t="n"/>
      <c r="AF44" s="25" t="n"/>
      <c r="AG44" s="125" t="n"/>
      <c r="AH44" s="134" t="n"/>
      <c r="AI44" s="16" t="n"/>
      <c r="AJ44" s="17" t="n"/>
      <c r="AK44" s="89">
        <f>DADOS_INVOC!$HY$8</f>
        <v/>
      </c>
      <c r="AL44" s="17" t="n"/>
      <c r="AM44" s="125" t="n"/>
      <c r="AN44" s="55" t="inlineStr">
        <is>
          <t>CORPO, SENTIDOS E COMUNICAÇÃO</t>
        </is>
      </c>
      <c r="AO44" s="16" t="n"/>
      <c r="AP44" s="16" t="n"/>
      <c r="AQ44" s="16" t="n"/>
      <c r="AR44" s="17" t="n"/>
      <c r="AS44" s="125" t="n"/>
    </row>
    <row r="45">
      <c r="B45" s="22" t="n"/>
      <c r="C45" s="125" t="n"/>
      <c r="D45" s="125" t="n"/>
      <c r="E45" s="125" t="n"/>
      <c r="F45" s="125" t="n"/>
      <c r="G45" s="125" t="n"/>
      <c r="I45" s="125" t="n"/>
      <c r="J45" s="125" t="n"/>
      <c r="K45" s="125" t="n"/>
      <c r="L45" s="125" t="n"/>
      <c r="M45" s="125" t="n"/>
      <c r="N45" s="125" t="n"/>
      <c r="O45" s="125" t="n"/>
      <c r="P45" s="125" t="n"/>
      <c r="Q45" s="125" t="n"/>
      <c r="R45" s="125" t="n"/>
      <c r="S45" s="125" t="n"/>
      <c r="T45" s="125" t="n"/>
      <c r="U45" s="121" t="n"/>
      <c r="V45" s="19" t="n"/>
      <c r="W45" s="19" t="n"/>
      <c r="X45" s="19" t="n"/>
      <c r="Y45" s="20" t="n"/>
      <c r="Z45" s="125" t="n"/>
      <c r="AB45" s="125" t="n"/>
      <c r="AC45" s="125" t="n"/>
      <c r="AD45" s="125" t="n"/>
      <c r="AE45" s="125" t="n"/>
      <c r="AF45" s="125" t="n"/>
      <c r="AG45" s="125" t="n"/>
      <c r="AH45" s="125" t="n"/>
      <c r="AI45" s="125" t="n"/>
      <c r="AJ45" s="125" t="n"/>
      <c r="AK45" s="125" t="n"/>
      <c r="AL45" s="125" t="n"/>
      <c r="AM45" s="125" t="n"/>
      <c r="AN45" s="121" t="n"/>
      <c r="AO45" s="19" t="n"/>
      <c r="AP45" s="19" t="n"/>
      <c r="AQ45" s="19" t="n"/>
      <c r="AR45" s="20" t="n"/>
      <c r="AS45" s="125" t="n"/>
    </row>
    <row r="46">
      <c r="B46" s="22" t="n"/>
      <c r="C46" s="125" t="n"/>
      <c r="D46" s="125" t="n"/>
      <c r="E46" s="125" t="n"/>
      <c r="F46" s="125" t="n"/>
      <c r="G46" s="125" t="n"/>
      <c r="I46" s="55" t="inlineStr">
        <is>
          <t>AQUISIÇÃO</t>
        </is>
      </c>
      <c r="J46" s="17" t="n"/>
      <c r="K46" s="55" t="inlineStr">
        <is>
          <t>OBTIDA NO NÍVEL</t>
        </is>
      </c>
      <c r="L46" s="55" t="inlineStr">
        <is>
          <t>TALISMÃ</t>
        </is>
      </c>
      <c r="M46" s="17" t="n"/>
      <c r="N46" s="125" t="n"/>
      <c r="O46" s="55">
        <f>DADOS_INVOC!$IB$2</f>
        <v/>
      </c>
      <c r="P46" s="16" t="n"/>
      <c r="Q46" s="16" t="n"/>
      <c r="R46" s="16" t="n"/>
      <c r="S46" s="17" t="n"/>
      <c r="T46" s="125" t="n"/>
      <c r="U46" s="21" t="n"/>
      <c r="Y46" s="22" t="n"/>
      <c r="Z46" s="125" t="n"/>
      <c r="AB46" s="55" t="inlineStr">
        <is>
          <t>AQUISIÇÃO</t>
        </is>
      </c>
      <c r="AC46" s="17" t="n"/>
      <c r="AD46" s="55" t="inlineStr">
        <is>
          <t>OBTIDA NO NÍVEL</t>
        </is>
      </c>
      <c r="AE46" s="55" t="inlineStr">
        <is>
          <t>TALISMÃ</t>
        </is>
      </c>
      <c r="AF46" s="17" t="n"/>
      <c r="AG46" s="125" t="n"/>
      <c r="AH46" s="55">
        <f>DADOS_INVOC!$IB$8</f>
        <v/>
      </c>
      <c r="AI46" s="16" t="n"/>
      <c r="AJ46" s="16" t="n"/>
      <c r="AK46" s="16" t="n"/>
      <c r="AL46" s="17" t="n"/>
      <c r="AM46" s="125" t="n"/>
      <c r="AN46" s="21" t="n"/>
      <c r="AR46" s="22" t="n"/>
      <c r="AS46" s="125" t="n"/>
    </row>
    <row r="47">
      <c r="B47" s="22" t="n"/>
      <c r="C47" s="125" t="n"/>
      <c r="D47" s="125" t="n"/>
      <c r="E47" s="125" t="n"/>
      <c r="F47" s="125" t="n"/>
      <c r="G47" s="125" t="n"/>
      <c r="I47" s="89" t="inlineStr">
        <is>
          <t>Espaço conhecido</t>
        </is>
      </c>
      <c r="J47" s="20" t="n"/>
      <c r="K47" s="89" t="n"/>
      <c r="L47" s="89" t="inlineStr">
        <is>
          <t>Sem carga</t>
        </is>
      </c>
      <c r="M47" s="20" t="n"/>
      <c r="N47" s="125" t="n"/>
      <c r="O47" s="55" t="inlineStr">
        <is>
          <t>LIVRE</t>
        </is>
      </c>
      <c r="P47" s="55" t="inlineStr">
        <is>
          <t>LIVRE · TRILHA</t>
        </is>
      </c>
      <c r="Q47" s="55" t="inlineStr">
        <is>
          <t>ABERTA</t>
        </is>
      </c>
      <c r="R47" s="55" t="inlineStr">
        <is>
          <t>ABERTA</t>
        </is>
      </c>
      <c r="S47" s="55" t="inlineStr">
        <is>
          <t>ABERTA · TRILHA</t>
        </is>
      </c>
      <c r="T47" s="125" t="n"/>
      <c r="U47" s="21" t="n"/>
      <c r="Y47" s="22" t="n"/>
      <c r="Z47" s="125" t="n"/>
      <c r="AB47" s="89" t="inlineStr">
        <is>
          <t>Espaço conhecido</t>
        </is>
      </c>
      <c r="AC47" s="20" t="n"/>
      <c r="AD47" s="89" t="n"/>
      <c r="AE47" s="89" t="inlineStr">
        <is>
          <t>Sem carga</t>
        </is>
      </c>
      <c r="AF47" s="20" t="n"/>
      <c r="AG47" s="125" t="n"/>
      <c r="AH47" s="55" t="inlineStr">
        <is>
          <t>LIVRE</t>
        </is>
      </c>
      <c r="AI47" s="55" t="inlineStr">
        <is>
          <t>LIVRE · TRILHA</t>
        </is>
      </c>
      <c r="AJ47" s="55" t="inlineStr">
        <is>
          <t>ABERTA</t>
        </is>
      </c>
      <c r="AK47" s="55" t="inlineStr">
        <is>
          <t>ABERTA</t>
        </is>
      </c>
      <c r="AL47" s="55" t="inlineStr">
        <is>
          <t>ABERTA · TRILHA</t>
        </is>
      </c>
      <c r="AM47" s="125" t="n"/>
      <c r="AN47" s="21" t="n"/>
      <c r="AR47" s="22" t="n"/>
      <c r="AS47" s="125" t="n"/>
    </row>
    <row r="48">
      <c r="B48" s="22" t="n"/>
      <c r="C48" s="125" t="n"/>
      <c r="D48" s="125" t="n"/>
      <c r="E48" s="125" t="n"/>
      <c r="F48" s="125" t="n"/>
      <c r="G48" s="125" t="n"/>
      <c r="I48" s="23" t="n"/>
      <c r="J48" s="25" t="n"/>
      <c r="K48" s="129" t="n"/>
      <c r="L48" s="23" t="n"/>
      <c r="M48" s="25" t="n"/>
      <c r="N48" s="125" t="n"/>
      <c r="O48" s="89" t="n"/>
      <c r="P48" s="89" t="n"/>
      <c r="Q48" s="89" t="n"/>
      <c r="R48" s="89" t="n"/>
      <c r="S48" s="89" t="n"/>
      <c r="T48" s="125" t="n"/>
      <c r="U48" s="21" t="n"/>
      <c r="Y48" s="22" t="n"/>
      <c r="Z48" s="125" t="n"/>
      <c r="AB48" s="23" t="n"/>
      <c r="AC48" s="25" t="n"/>
      <c r="AD48" s="129" t="n"/>
      <c r="AE48" s="23" t="n"/>
      <c r="AF48" s="25" t="n"/>
      <c r="AG48" s="125" t="n"/>
      <c r="AH48" s="89" t="n"/>
      <c r="AI48" s="89" t="n"/>
      <c r="AJ48" s="89" t="n"/>
      <c r="AK48" s="89" t="n"/>
      <c r="AL48" s="89" t="n"/>
      <c r="AM48" s="125" t="n"/>
      <c r="AN48" s="21" t="n"/>
      <c r="AR48" s="22" t="n"/>
      <c r="AS48" s="125" t="n"/>
    </row>
    <row r="49">
      <c r="B49" s="22" t="n"/>
      <c r="C49" s="125" t="n"/>
      <c r="D49" s="125" t="n"/>
      <c r="E49" s="125" t="n"/>
      <c r="F49" s="125" t="n"/>
      <c r="G49" s="125" t="n"/>
      <c r="I49" s="125" t="n"/>
      <c r="J49" s="125" t="n"/>
      <c r="K49" s="125" t="n"/>
      <c r="L49" s="125" t="n"/>
      <c r="M49" s="125" t="n"/>
      <c r="N49" s="125" t="n"/>
      <c r="O49" s="129" t="n"/>
      <c r="P49" s="129" t="n"/>
      <c r="Q49" s="129" t="n"/>
      <c r="R49" s="129" t="n"/>
      <c r="S49" s="129" t="n"/>
      <c r="T49" s="125" t="n"/>
      <c r="U49" s="23" t="n"/>
      <c r="V49" s="24" t="n"/>
      <c r="W49" s="24" t="n"/>
      <c r="X49" s="24" t="n"/>
      <c r="Y49" s="25" t="n"/>
      <c r="Z49" s="125" t="n"/>
      <c r="AB49" s="125" t="n"/>
      <c r="AC49" s="125" t="n"/>
      <c r="AD49" s="125" t="n"/>
      <c r="AE49" s="125" t="n"/>
      <c r="AF49" s="125" t="n"/>
      <c r="AG49" s="125" t="n"/>
      <c r="AH49" s="129" t="n"/>
      <c r="AI49" s="129" t="n"/>
      <c r="AJ49" s="129" t="n"/>
      <c r="AK49" s="129" t="n"/>
      <c r="AL49" s="129" t="n"/>
      <c r="AM49" s="125" t="n"/>
      <c r="AN49" s="23" t="n"/>
      <c r="AO49" s="24" t="n"/>
      <c r="AP49" s="24" t="n"/>
      <c r="AQ49" s="24" t="n"/>
      <c r="AR49" s="25" t="n"/>
      <c r="AS49" s="125" t="n"/>
    </row>
    <row r="50">
      <c r="B50" s="22" t="n"/>
      <c r="C50" s="125" t="n"/>
      <c r="D50" s="125" t="n"/>
      <c r="E50" s="125" t="n"/>
      <c r="F50" s="125" t="n"/>
      <c r="G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row>
    <row r="51">
      <c r="B51" s="22" t="n"/>
      <c r="C51" s="125" t="n"/>
      <c r="D51" s="125" t="n"/>
      <c r="E51" s="125" t="n"/>
      <c r="F51" s="125" t="n"/>
      <c r="G51" s="125"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5"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5" t="n"/>
    </row>
    <row r="52">
      <c r="B52" s="22" t="n"/>
      <c r="C52" s="125" t="n"/>
      <c r="D52" s="125" t="n"/>
      <c r="E52" s="125" t="n"/>
      <c r="F52" s="125" t="n"/>
      <c r="G52" s="125" t="n"/>
      <c r="I52" s="121" t="n"/>
      <c r="J52" s="19" t="n"/>
      <c r="K52" s="19" t="n"/>
      <c r="L52" s="19" t="n"/>
      <c r="M52" s="19" t="n"/>
      <c r="N52" s="19" t="n"/>
      <c r="O52" s="19" t="n"/>
      <c r="P52" s="19" t="n"/>
      <c r="Q52" s="19" t="n"/>
      <c r="R52" s="19" t="n"/>
      <c r="S52" s="19" t="n"/>
      <c r="T52" s="19" t="n"/>
      <c r="U52" s="19" t="n"/>
      <c r="V52" s="19" t="n"/>
      <c r="W52" s="19" t="n"/>
      <c r="X52" s="19" t="n"/>
      <c r="Y52" s="20" t="n"/>
      <c r="Z52" s="125" t="n"/>
      <c r="AB52" s="121" t="n"/>
      <c r="AC52" s="19" t="n"/>
      <c r="AD52" s="19" t="n"/>
      <c r="AE52" s="19" t="n"/>
      <c r="AF52" s="19" t="n"/>
      <c r="AG52" s="19" t="n"/>
      <c r="AH52" s="19" t="n"/>
      <c r="AI52" s="19" t="n"/>
      <c r="AJ52" s="19" t="n"/>
      <c r="AK52" s="19" t="n"/>
      <c r="AL52" s="19" t="n"/>
      <c r="AM52" s="19" t="n"/>
      <c r="AN52" s="19" t="n"/>
      <c r="AO52" s="19" t="n"/>
      <c r="AP52" s="19" t="n"/>
      <c r="AQ52" s="19" t="n"/>
      <c r="AR52" s="20" t="n"/>
      <c r="AS52" s="125" t="n"/>
    </row>
    <row r="53">
      <c r="B53" s="22" t="n"/>
      <c r="C53" s="125" t="n"/>
      <c r="D53" s="125" t="n"/>
      <c r="E53" s="125" t="n"/>
      <c r="F53" s="125" t="n"/>
      <c r="G53" s="125" t="n"/>
      <c r="I53" s="23" t="n"/>
      <c r="J53" s="24" t="n"/>
      <c r="K53" s="24" t="n"/>
      <c r="L53" s="24" t="n"/>
      <c r="M53" s="24" t="n"/>
      <c r="N53" s="24" t="n"/>
      <c r="O53" s="24" t="n"/>
      <c r="P53" s="24" t="n"/>
      <c r="Q53" s="24" t="n"/>
      <c r="R53" s="24" t="n"/>
      <c r="S53" s="24" t="n"/>
      <c r="T53" s="24" t="n"/>
      <c r="U53" s="24" t="n"/>
      <c r="V53" s="24" t="n"/>
      <c r="W53" s="24" t="n"/>
      <c r="X53" s="24" t="n"/>
      <c r="Y53" s="25" t="n"/>
      <c r="Z53" s="125" t="n"/>
      <c r="AB53" s="23" t="n"/>
      <c r="AC53" s="24" t="n"/>
      <c r="AD53" s="24" t="n"/>
      <c r="AE53" s="24" t="n"/>
      <c r="AF53" s="24" t="n"/>
      <c r="AG53" s="24" t="n"/>
      <c r="AH53" s="24" t="n"/>
      <c r="AI53" s="24" t="n"/>
      <c r="AJ53" s="24" t="n"/>
      <c r="AK53" s="24" t="n"/>
      <c r="AL53" s="24" t="n"/>
      <c r="AM53" s="24" t="n"/>
      <c r="AN53" s="24" t="n"/>
      <c r="AO53" s="24" t="n"/>
      <c r="AP53" s="24" t="n"/>
      <c r="AQ53" s="24" t="n"/>
      <c r="AR53" s="25" t="n"/>
      <c r="AS53" s="125" t="n"/>
    </row>
    <row r="54">
      <c r="B54" s="22" t="n"/>
      <c r="C54" s="125" t="n"/>
      <c r="D54" s="125" t="n"/>
      <c r="E54" s="125" t="n"/>
      <c r="F54" s="125" t="n"/>
      <c r="G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row>
    <row r="55">
      <c r="B55" s="22" t="n"/>
      <c r="C55" s="125" t="n"/>
      <c r="D55" s="125" t="n"/>
      <c r="E55" s="125" t="n"/>
      <c r="F55" s="125" t="n"/>
      <c r="G55" s="125" t="n"/>
      <c r="I55" s="137">
        <f>DADOS_INVOC!$IC$2</f>
        <v/>
      </c>
      <c r="J55" s="16" t="n"/>
      <c r="K55" s="16" t="n"/>
      <c r="L55" s="16" t="n"/>
      <c r="M55" s="16" t="n"/>
      <c r="N55" s="16" t="n"/>
      <c r="O55" s="16" t="n"/>
      <c r="P55" s="16" t="n"/>
      <c r="Q55" s="16" t="n"/>
      <c r="R55" s="16" t="n"/>
      <c r="S55" s="16" t="n"/>
      <c r="T55" s="16" t="n"/>
      <c r="U55" s="16" t="n"/>
      <c r="V55" s="16" t="n"/>
      <c r="W55" s="16" t="n"/>
      <c r="X55" s="16" t="n"/>
      <c r="Y55" s="17" t="n"/>
      <c r="Z55" s="125" t="n"/>
      <c r="AB55" s="137">
        <f>DADOS_INVOC!$IC$8</f>
        <v/>
      </c>
      <c r="AC55" s="16" t="n"/>
      <c r="AD55" s="16" t="n"/>
      <c r="AE55" s="16" t="n"/>
      <c r="AF55" s="16" t="n"/>
      <c r="AG55" s="16" t="n"/>
      <c r="AH55" s="16" t="n"/>
      <c r="AI55" s="16" t="n"/>
      <c r="AJ55" s="16" t="n"/>
      <c r="AK55" s="16" t="n"/>
      <c r="AL55" s="16" t="n"/>
      <c r="AM55" s="16" t="n"/>
      <c r="AN55" s="16" t="n"/>
      <c r="AO55" s="16" t="n"/>
      <c r="AP55" s="16" t="n"/>
      <c r="AQ55" s="16" t="n"/>
      <c r="AR55" s="17" t="n"/>
      <c r="AS55" s="125" t="n"/>
    </row>
    <row r="56" outlineLevel="1">
      <c r="B56" s="22" t="n"/>
      <c r="C56" s="125" t="n"/>
      <c r="D56" s="125" t="n"/>
      <c r="E56" s="125" t="n"/>
      <c r="F56" s="125" t="n"/>
      <c r="G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row>
    <row r="57" outlineLevel="1">
      <c r="B57" s="22" t="n"/>
      <c r="C57" s="125" t="n"/>
      <c r="D57" s="125" t="n"/>
      <c r="E57" s="125" t="n"/>
      <c r="F57" s="125" t="n"/>
      <c r="G57" s="125" t="n"/>
      <c r="I57" s="55">
        <f>DADOS_INVOC!$PX$2</f>
        <v/>
      </c>
      <c r="J57" s="16" t="n"/>
      <c r="K57" s="16" t="n"/>
      <c r="L57" s="16" t="n"/>
      <c r="M57" s="17" t="n"/>
      <c r="N57" s="125" t="n"/>
      <c r="O57" s="55">
        <f>DADOS_INVOC!$PX$3</f>
        <v/>
      </c>
      <c r="P57" s="16" t="n"/>
      <c r="Q57" s="16" t="n"/>
      <c r="R57" s="16" t="n"/>
      <c r="S57" s="17" t="n"/>
      <c r="T57" s="125" t="n"/>
      <c r="U57" s="55">
        <f>DADOS_INVOC!$PX$4</f>
        <v/>
      </c>
      <c r="V57" s="16" t="n"/>
      <c r="W57" s="16" t="n"/>
      <c r="X57" s="16" t="n"/>
      <c r="Y57" s="17" t="n"/>
      <c r="Z57" s="125" t="n"/>
      <c r="AB57" s="55">
        <f>DADOS_INVOC!$PX$80</f>
        <v/>
      </c>
      <c r="AC57" s="16" t="n"/>
      <c r="AD57" s="16" t="n"/>
      <c r="AE57" s="16" t="n"/>
      <c r="AF57" s="17" t="n"/>
      <c r="AG57" s="125" t="n"/>
      <c r="AH57" s="55">
        <f>DADOS_INVOC!$PX$81</f>
        <v/>
      </c>
      <c r="AI57" s="16" t="n"/>
      <c r="AJ57" s="16" t="n"/>
      <c r="AK57" s="16" t="n"/>
      <c r="AL57" s="17" t="n"/>
      <c r="AM57" s="125" t="n"/>
      <c r="AN57" s="55">
        <f>DADOS_INVOC!$PX$82</f>
        <v/>
      </c>
      <c r="AO57" s="16" t="n"/>
      <c r="AP57" s="16" t="n"/>
      <c r="AQ57" s="16" t="n"/>
      <c r="AR57" s="17" t="n"/>
      <c r="AS57" s="125" t="n"/>
    </row>
    <row r="58" outlineLevel="1">
      <c r="B58" s="22" t="n"/>
      <c r="C58" s="125" t="n"/>
      <c r="D58" s="125" t="n"/>
      <c r="E58" s="125" t="n"/>
      <c r="F58" s="125" t="n"/>
      <c r="G58" s="125" t="n"/>
      <c r="I58" s="131" t="n">
        <v>0</v>
      </c>
      <c r="J58" s="120" t="n"/>
      <c r="K58" s="16" t="n"/>
      <c r="L58" s="17" t="n"/>
      <c r="M58" s="132">
        <f>DADOS_INVOC!$PV$2</f>
        <v/>
      </c>
      <c r="N58" s="125" t="n"/>
      <c r="O58" s="131" t="n">
        <v>1</v>
      </c>
      <c r="P58" s="120" t="n"/>
      <c r="Q58" s="16" t="n"/>
      <c r="R58" s="17" t="n"/>
      <c r="S58" s="132">
        <f>DADOS_INVOC!$PV$3</f>
        <v/>
      </c>
      <c r="T58" s="125" t="n"/>
      <c r="U58" s="131" t="n">
        <v>1</v>
      </c>
      <c r="V58" s="120" t="n"/>
      <c r="W58" s="16" t="n"/>
      <c r="X58" s="17" t="n"/>
      <c r="Y58" s="132">
        <f>DADOS_INVOC!$PV$4</f>
        <v/>
      </c>
      <c r="Z58" s="125" t="n"/>
      <c r="AB58" s="131" t="n">
        <v>0</v>
      </c>
      <c r="AC58" s="120" t="n"/>
      <c r="AD58" s="16" t="n"/>
      <c r="AE58" s="17" t="n"/>
      <c r="AF58" s="132">
        <f>DADOS_INVOC!$PV$80</f>
        <v/>
      </c>
      <c r="AG58" s="125" t="n"/>
      <c r="AH58" s="131" t="n">
        <v>1</v>
      </c>
      <c r="AI58" s="120" t="n"/>
      <c r="AJ58" s="16" t="n"/>
      <c r="AK58" s="17" t="n"/>
      <c r="AL58" s="132">
        <f>DADOS_INVOC!$PV$81</f>
        <v/>
      </c>
      <c r="AM58" s="125" t="n"/>
      <c r="AN58" s="131" t="n">
        <v>1</v>
      </c>
      <c r="AO58" s="120" t="n"/>
      <c r="AP58" s="16" t="n"/>
      <c r="AQ58" s="17" t="n"/>
      <c r="AR58" s="132">
        <f>DADOS_INVOC!$PV$82</f>
        <v/>
      </c>
      <c r="AS58" s="125" t="n"/>
    </row>
    <row r="59" outlineLevel="2">
      <c r="B59" s="22" t="n"/>
      <c r="C59" s="125" t="n"/>
      <c r="D59" s="125" t="n"/>
      <c r="E59" s="125" t="n"/>
      <c r="F59" s="125" t="n"/>
      <c r="G59" s="125" t="n"/>
      <c r="I59" s="55" t="inlineStr">
        <is>
          <t>COMO É</t>
        </is>
      </c>
      <c r="J59" s="16" t="n"/>
      <c r="K59" s="16" t="n"/>
      <c r="L59" s="16" t="n"/>
      <c r="M59" s="17" t="n"/>
      <c r="N59" s="125" t="n"/>
      <c r="O59" s="55" t="inlineStr">
        <is>
          <t>COMO É</t>
        </is>
      </c>
      <c r="P59" s="16" t="n"/>
      <c r="Q59" s="16" t="n"/>
      <c r="R59" s="16" t="n"/>
      <c r="S59" s="17" t="n"/>
      <c r="T59" s="125" t="n"/>
      <c r="U59" s="55" t="inlineStr">
        <is>
          <t>COMO É</t>
        </is>
      </c>
      <c r="V59" s="16" t="n"/>
      <c r="W59" s="16" t="n"/>
      <c r="X59" s="16" t="n"/>
      <c r="Y59" s="17" t="n"/>
      <c r="Z59" s="125" t="n"/>
      <c r="AB59" s="55" t="inlineStr">
        <is>
          <t>COMO É</t>
        </is>
      </c>
      <c r="AC59" s="16" t="n"/>
      <c r="AD59" s="16" t="n"/>
      <c r="AE59" s="16" t="n"/>
      <c r="AF59" s="17" t="n"/>
      <c r="AG59" s="125" t="n"/>
      <c r="AH59" s="55" t="inlineStr">
        <is>
          <t>COMO É</t>
        </is>
      </c>
      <c r="AI59" s="16" t="n"/>
      <c r="AJ59" s="16" t="n"/>
      <c r="AK59" s="16" t="n"/>
      <c r="AL59" s="17" t="n"/>
      <c r="AM59" s="125" t="n"/>
      <c r="AN59" s="55" t="inlineStr">
        <is>
          <t>COMO É</t>
        </is>
      </c>
      <c r="AO59" s="16" t="n"/>
      <c r="AP59" s="16" t="n"/>
      <c r="AQ59" s="16" t="n"/>
      <c r="AR59" s="17" t="n"/>
      <c r="AS59" s="125" t="n"/>
    </row>
    <row r="60" outlineLevel="2">
      <c r="B60" s="22" t="n"/>
      <c r="C60" s="125" t="n"/>
      <c r="D60" s="125" t="n"/>
      <c r="E60" s="125" t="n"/>
      <c r="F60" s="125" t="n"/>
      <c r="G60" s="125" t="n"/>
      <c r="I60" s="121" t="n"/>
      <c r="J60" s="19" t="n"/>
      <c r="K60" s="19" t="n"/>
      <c r="L60" s="19" t="n"/>
      <c r="M60" s="20" t="n"/>
      <c r="N60" s="125" t="n"/>
      <c r="O60" s="121" t="n"/>
      <c r="P60" s="19" t="n"/>
      <c r="Q60" s="19" t="n"/>
      <c r="R60" s="19" t="n"/>
      <c r="S60" s="20" t="n"/>
      <c r="T60" s="125" t="n"/>
      <c r="U60" s="121" t="n"/>
      <c r="V60" s="19" t="n"/>
      <c r="W60" s="19" t="n"/>
      <c r="X60" s="19" t="n"/>
      <c r="Y60" s="20" t="n"/>
      <c r="Z60" s="125" t="n"/>
      <c r="AB60" s="121" t="n"/>
      <c r="AC60" s="19" t="n"/>
      <c r="AD60" s="19" t="n"/>
      <c r="AE60" s="19" t="n"/>
      <c r="AF60" s="20" t="n"/>
      <c r="AG60" s="125" t="n"/>
      <c r="AH60" s="121" t="n"/>
      <c r="AI60" s="19" t="n"/>
      <c r="AJ60" s="19" t="n"/>
      <c r="AK60" s="19" t="n"/>
      <c r="AL60" s="20" t="n"/>
      <c r="AM60" s="125" t="n"/>
      <c r="AN60" s="121" t="n"/>
      <c r="AO60" s="19" t="n"/>
      <c r="AP60" s="19" t="n"/>
      <c r="AQ60" s="19" t="n"/>
      <c r="AR60" s="20" t="n"/>
      <c r="AS60" s="125" t="n"/>
    </row>
    <row r="61" outlineLevel="2">
      <c r="B61" s="22" t="n"/>
      <c r="C61" s="125" t="n"/>
      <c r="D61" s="125" t="n"/>
      <c r="E61" s="125" t="n"/>
      <c r="F61" s="125" t="n"/>
      <c r="G61" s="125" t="n"/>
      <c r="I61" s="21" t="n"/>
      <c r="M61" s="22" t="n"/>
      <c r="N61" s="125" t="n"/>
      <c r="O61" s="21" t="n"/>
      <c r="S61" s="22" t="n"/>
      <c r="T61" s="125" t="n"/>
      <c r="U61" s="21" t="n"/>
      <c r="Y61" s="22" t="n"/>
      <c r="Z61" s="125" t="n"/>
      <c r="AB61" s="21" t="n"/>
      <c r="AF61" s="22" t="n"/>
      <c r="AG61" s="125" t="n"/>
      <c r="AH61" s="21" t="n"/>
      <c r="AL61" s="22" t="n"/>
      <c r="AM61" s="125" t="n"/>
      <c r="AN61" s="21" t="n"/>
      <c r="AR61" s="22" t="n"/>
      <c r="AS61" s="125" t="n"/>
    </row>
    <row r="62" outlineLevel="2">
      <c r="B62" s="22" t="n"/>
      <c r="C62" s="125" t="n"/>
      <c r="D62" s="125" t="n"/>
      <c r="E62" s="125" t="n"/>
      <c r="F62" s="125" t="n"/>
      <c r="G62" s="125" t="n"/>
      <c r="I62" s="23" t="n"/>
      <c r="J62" s="24" t="n"/>
      <c r="K62" s="24" t="n"/>
      <c r="L62" s="24" t="n"/>
      <c r="M62" s="25" t="n"/>
      <c r="N62" s="125" t="n"/>
      <c r="O62" s="23" t="n"/>
      <c r="P62" s="24" t="n"/>
      <c r="Q62" s="24" t="n"/>
      <c r="R62" s="24" t="n"/>
      <c r="S62" s="25" t="n"/>
      <c r="T62" s="125" t="n"/>
      <c r="U62" s="23" t="n"/>
      <c r="V62" s="24" t="n"/>
      <c r="W62" s="24" t="n"/>
      <c r="X62" s="24" t="n"/>
      <c r="Y62" s="25" t="n"/>
      <c r="Z62" s="125" t="n"/>
      <c r="AB62" s="23" t="n"/>
      <c r="AC62" s="24" t="n"/>
      <c r="AD62" s="24" t="n"/>
      <c r="AE62" s="24" t="n"/>
      <c r="AF62" s="25" t="n"/>
      <c r="AG62" s="125" t="n"/>
      <c r="AH62" s="23" t="n"/>
      <c r="AI62" s="24" t="n"/>
      <c r="AJ62" s="24" t="n"/>
      <c r="AK62" s="24" t="n"/>
      <c r="AL62" s="25" t="n"/>
      <c r="AM62" s="125" t="n"/>
      <c r="AN62" s="23" t="n"/>
      <c r="AO62" s="24" t="n"/>
      <c r="AP62" s="24" t="n"/>
      <c r="AQ62" s="24" t="n"/>
      <c r="AR62" s="25" t="n"/>
      <c r="AS62" s="125" t="n"/>
    </row>
    <row r="63" outlineLevel="1">
      <c r="A63" s="8" t="n"/>
      <c r="B63" s="14" t="n"/>
      <c r="C63" s="125" t="n"/>
      <c r="D63" s="125" t="n"/>
      <c r="E63" s="125" t="n"/>
      <c r="F63" s="125" t="n"/>
      <c r="G63" s="125" t="n"/>
      <c r="I63" s="89" t="inlineStr">
        <is>
          <t>Projétil</t>
        </is>
      </c>
      <c r="J63" s="17" t="n"/>
      <c r="K63" s="68">
        <f>DADOS_INVOC!$QC$2</f>
        <v/>
      </c>
      <c r="L63" s="17" t="n"/>
      <c r="M63" s="68">
        <f>DADOS_INVOC!$PY$2</f>
        <v/>
      </c>
      <c r="N63" s="125" t="n"/>
      <c r="O63" s="89" t="inlineStr">
        <is>
          <t>Projétil</t>
        </is>
      </c>
      <c r="P63" s="17" t="n"/>
      <c r="Q63" s="68">
        <f>DADOS_INVOC!$QC$3</f>
        <v/>
      </c>
      <c r="R63" s="17" t="n"/>
      <c r="S63" s="68">
        <f>DADOS_INVOC!$PY$3</f>
        <v/>
      </c>
      <c r="T63" s="125" t="n"/>
      <c r="U63" s="89" t="inlineStr">
        <is>
          <t>Projétil</t>
        </is>
      </c>
      <c r="V63" s="17" t="n"/>
      <c r="W63" s="68">
        <f>DADOS_INVOC!$QC$4</f>
        <v/>
      </c>
      <c r="X63" s="17" t="n"/>
      <c r="Y63" s="68">
        <f>DADOS_INVOC!$PY$4</f>
        <v/>
      </c>
      <c r="Z63" s="125" t="n"/>
      <c r="AB63" s="89" t="inlineStr">
        <is>
          <t>Projétil</t>
        </is>
      </c>
      <c r="AC63" s="17" t="n"/>
      <c r="AD63" s="68">
        <f>DADOS_INVOC!$QC$80</f>
        <v/>
      </c>
      <c r="AE63" s="17" t="n"/>
      <c r="AF63" s="68">
        <f>DADOS_INVOC!$PY$80</f>
        <v/>
      </c>
      <c r="AG63" s="125" t="n"/>
      <c r="AH63" s="89" t="inlineStr">
        <is>
          <t>Projétil</t>
        </is>
      </c>
      <c r="AI63" s="17" t="n"/>
      <c r="AJ63" s="68">
        <f>DADOS_INVOC!$QC$81</f>
        <v/>
      </c>
      <c r="AK63" s="17" t="n"/>
      <c r="AL63" s="68">
        <f>DADOS_INVOC!$PY$81</f>
        <v/>
      </c>
      <c r="AM63" s="125" t="n"/>
      <c r="AN63" s="89" t="inlineStr">
        <is>
          <t>Projétil</t>
        </is>
      </c>
      <c r="AO63" s="17" t="n"/>
      <c r="AP63" s="68">
        <f>DADOS_INVOC!$QC$82</f>
        <v/>
      </c>
      <c r="AQ63" s="17" t="n"/>
      <c r="AR63" s="68">
        <f>DADOS_INVOC!$PY$82</f>
        <v/>
      </c>
      <c r="AS63" s="125" t="n"/>
    </row>
    <row r="64" outlineLevel="1">
      <c r="A64" s="8" t="n"/>
      <c r="B64" s="14" t="n"/>
      <c r="C64" s="125" t="n"/>
      <c r="D64" s="125" t="n"/>
      <c r="E64" s="125" t="n"/>
      <c r="F64" s="125" t="n"/>
      <c r="G64" s="125" t="n"/>
      <c r="I64" s="89" t="n"/>
      <c r="J64" s="17" t="n"/>
      <c r="K64" s="89" t="n"/>
      <c r="L64" s="16" t="n"/>
      <c r="M64" s="17" t="n"/>
      <c r="N64" s="125" t="n"/>
      <c r="O64" s="89" t="n"/>
      <c r="P64" s="17" t="n"/>
      <c r="Q64" s="89" t="n"/>
      <c r="R64" s="16" t="n"/>
      <c r="S64" s="17" t="n"/>
      <c r="T64" s="125" t="n"/>
      <c r="U64" s="89" t="n"/>
      <c r="V64" s="17" t="n"/>
      <c r="W64" s="89" t="n"/>
      <c r="X64" s="16" t="n"/>
      <c r="Y64" s="17" t="n"/>
      <c r="Z64" s="125" t="n"/>
      <c r="AB64" s="89" t="n"/>
      <c r="AC64" s="17" t="n"/>
      <c r="AD64" s="89" t="n"/>
      <c r="AE64" s="16" t="n"/>
      <c r="AF64" s="17" t="n"/>
      <c r="AG64" s="125" t="n"/>
      <c r="AH64" s="89" t="n"/>
      <c r="AI64" s="17" t="n"/>
      <c r="AJ64" s="89" t="n"/>
      <c r="AK64" s="16" t="n"/>
      <c r="AL64" s="17" t="n"/>
      <c r="AM64" s="125" t="n"/>
      <c r="AN64" s="89" t="n"/>
      <c r="AO64" s="17" t="n"/>
      <c r="AP64" s="89" t="n"/>
      <c r="AQ64" s="16" t="n"/>
      <c r="AR64" s="17" t="n"/>
      <c r="AS64" s="125" t="n"/>
    </row>
    <row r="65" outlineLevel="1">
      <c r="A65" s="8" t="n"/>
      <c r="B65" s="14" t="n"/>
      <c r="C65" s="125" t="n"/>
      <c r="D65" s="125" t="n"/>
      <c r="E65" s="125" t="n"/>
      <c r="F65" s="125" t="n"/>
      <c r="G65" s="125" t="n"/>
      <c r="I65" s="89">
        <f>DADOS_INVOC!$PZ$2</f>
        <v/>
      </c>
      <c r="J65" s="17" t="n"/>
      <c r="K65" s="89">
        <f>DADOS_INVOC!$QB$2</f>
        <v/>
      </c>
      <c r="L65" s="16" t="n"/>
      <c r="M65" s="17" t="n"/>
      <c r="N65" s="125" t="n"/>
      <c r="O65" s="89">
        <f>DADOS_INVOC!$PZ$3</f>
        <v/>
      </c>
      <c r="P65" s="17" t="n"/>
      <c r="Q65" s="89">
        <f>DADOS_INVOC!$QB$3</f>
        <v/>
      </c>
      <c r="R65" s="16" t="n"/>
      <c r="S65" s="17" t="n"/>
      <c r="T65" s="125" t="n"/>
      <c r="U65" s="89">
        <f>DADOS_INVOC!$PZ$4</f>
        <v/>
      </c>
      <c r="V65" s="17" t="n"/>
      <c r="W65" s="89">
        <f>DADOS_INVOC!$QB$4</f>
        <v/>
      </c>
      <c r="X65" s="16" t="n"/>
      <c r="Y65" s="17" t="n"/>
      <c r="Z65" s="125" t="n"/>
      <c r="AB65" s="89">
        <f>DADOS_INVOC!$PZ$80</f>
        <v/>
      </c>
      <c r="AC65" s="17" t="n"/>
      <c r="AD65" s="89">
        <f>DADOS_INVOC!$QB$80</f>
        <v/>
      </c>
      <c r="AE65" s="16" t="n"/>
      <c r="AF65" s="17" t="n"/>
      <c r="AG65" s="125" t="n"/>
      <c r="AH65" s="89">
        <f>DADOS_INVOC!$PZ$81</f>
        <v/>
      </c>
      <c r="AI65" s="17" t="n"/>
      <c r="AJ65" s="89">
        <f>DADOS_INVOC!$QB$81</f>
        <v/>
      </c>
      <c r="AK65" s="16" t="n"/>
      <c r="AL65" s="17" t="n"/>
      <c r="AM65" s="125" t="n"/>
      <c r="AN65" s="89">
        <f>DADOS_INVOC!$PZ$82</f>
        <v/>
      </c>
      <c r="AO65" s="17" t="n"/>
      <c r="AP65" s="89">
        <f>DADOS_INVOC!$QB$82</f>
        <v/>
      </c>
      <c r="AQ65" s="16" t="n"/>
      <c r="AR65" s="17" t="n"/>
      <c r="AS65" s="125" t="n"/>
    </row>
    <row r="66" outlineLevel="1">
      <c r="A66" s="8" t="n"/>
      <c r="B66" s="14" t="n"/>
      <c r="C66" s="125" t="n"/>
      <c r="D66" s="125" t="n"/>
      <c r="E66" s="125" t="n"/>
      <c r="F66" s="125" t="n"/>
      <c r="G66" s="125" t="n"/>
      <c r="I66" s="133">
        <f>DADOS_INVOC!$QH$2</f>
        <v/>
      </c>
      <c r="J66" s="16" t="n"/>
      <c r="K66" s="16" t="n"/>
      <c r="L66" s="16" t="n"/>
      <c r="M66" s="17" t="n"/>
      <c r="N66" s="125" t="n"/>
      <c r="O66" s="133">
        <f>DADOS_INVOC!$QH$3</f>
        <v/>
      </c>
      <c r="P66" s="16" t="n"/>
      <c r="Q66" s="16" t="n"/>
      <c r="R66" s="16" t="n"/>
      <c r="S66" s="17" t="n"/>
      <c r="T66" s="125" t="n"/>
      <c r="U66" s="133">
        <f>DADOS_INVOC!$QH$4</f>
        <v/>
      </c>
      <c r="V66" s="16" t="n"/>
      <c r="W66" s="16" t="n"/>
      <c r="X66" s="16" t="n"/>
      <c r="Y66" s="17" t="n"/>
      <c r="Z66" s="125" t="n"/>
      <c r="AB66" s="133">
        <f>DADOS_INVOC!$QH$80</f>
        <v/>
      </c>
      <c r="AC66" s="16" t="n"/>
      <c r="AD66" s="16" t="n"/>
      <c r="AE66" s="16" t="n"/>
      <c r="AF66" s="17" t="n"/>
      <c r="AG66" s="125" t="n"/>
      <c r="AH66" s="133">
        <f>DADOS_INVOC!$QH$81</f>
        <v/>
      </c>
      <c r="AI66" s="16" t="n"/>
      <c r="AJ66" s="16" t="n"/>
      <c r="AK66" s="16" t="n"/>
      <c r="AL66" s="17" t="n"/>
      <c r="AM66" s="125" t="n"/>
      <c r="AN66" s="133">
        <f>DADOS_INVOC!$QH$82</f>
        <v/>
      </c>
      <c r="AO66" s="16" t="n"/>
      <c r="AP66" s="16" t="n"/>
      <c r="AQ66" s="16" t="n"/>
      <c r="AR66" s="17" t="n"/>
      <c r="AS66" s="125" t="n"/>
    </row>
    <row r="67" hidden="1" outlineLevel="2">
      <c r="A67" s="8" t="n"/>
      <c r="B67" s="14" t="n"/>
      <c r="C67" s="125" t="n"/>
      <c r="D67" s="125" t="n"/>
      <c r="E67" s="125" t="n"/>
      <c r="F67" s="125" t="n"/>
      <c r="G67" s="125" t="n"/>
      <c r="I67" s="55" t="inlineStr">
        <is>
          <t>MELHORIAS</t>
        </is>
      </c>
      <c r="J67" s="134" t="n"/>
      <c r="K67" s="16" t="n"/>
      <c r="L67" s="17" t="n"/>
      <c r="M67" s="133">
        <f>DADOS_INVOC!$QK$2</f>
        <v/>
      </c>
      <c r="N67" s="125" t="n"/>
      <c r="O67" s="55" t="inlineStr">
        <is>
          <t>MELHORIAS</t>
        </is>
      </c>
      <c r="P67" s="134" t="n"/>
      <c r="Q67" s="16" t="n"/>
      <c r="R67" s="17" t="n"/>
      <c r="S67" s="133">
        <f>DADOS_INVOC!$QK$3</f>
        <v/>
      </c>
      <c r="T67" s="125" t="n"/>
      <c r="U67" s="55" t="inlineStr">
        <is>
          <t>MELHORIAS</t>
        </is>
      </c>
      <c r="V67" s="134" t="n"/>
      <c r="W67" s="16" t="n"/>
      <c r="X67" s="17" t="n"/>
      <c r="Y67" s="133">
        <f>DADOS_INVOC!$QK$4</f>
        <v/>
      </c>
      <c r="Z67" s="125" t="n"/>
      <c r="AB67" s="55" t="inlineStr">
        <is>
          <t>MELHORIAS</t>
        </is>
      </c>
      <c r="AC67" s="134" t="n"/>
      <c r="AD67" s="16" t="n"/>
      <c r="AE67" s="17" t="n"/>
      <c r="AF67" s="133">
        <f>DADOS_INVOC!$QK$80</f>
        <v/>
      </c>
      <c r="AG67" s="125" t="n"/>
      <c r="AH67" s="55" t="inlineStr">
        <is>
          <t>MELHORIAS</t>
        </is>
      </c>
      <c r="AI67" s="134" t="n"/>
      <c r="AJ67" s="16" t="n"/>
      <c r="AK67" s="17" t="n"/>
      <c r="AL67" s="133">
        <f>DADOS_INVOC!$QK$81</f>
        <v/>
      </c>
      <c r="AM67" s="125" t="n"/>
      <c r="AN67" s="55" t="inlineStr">
        <is>
          <t>MELHORIAS</t>
        </is>
      </c>
      <c r="AO67" s="134" t="n"/>
      <c r="AP67" s="16" t="n"/>
      <c r="AQ67" s="17" t="n"/>
      <c r="AR67" s="133">
        <f>DADOS_INVOC!$QK$82</f>
        <v/>
      </c>
      <c r="AS67" s="125" t="n"/>
    </row>
    <row r="68" hidden="1" outlineLevel="2">
      <c r="A68" s="8" t="n"/>
      <c r="B68" s="14" t="n"/>
      <c r="C68" s="125" t="n"/>
      <c r="D68" s="125" t="n"/>
      <c r="E68" s="125" t="n"/>
      <c r="F68" s="125" t="n"/>
      <c r="G68" s="125" t="n"/>
      <c r="I68" s="135" t="n"/>
      <c r="J68" s="134" t="n"/>
      <c r="K68" s="16" t="n"/>
      <c r="L68" s="17" t="n"/>
      <c r="M68" s="133">
        <f>DADOS_INVOC!$QL$2</f>
        <v/>
      </c>
      <c r="N68" s="125" t="n"/>
      <c r="O68" s="135" t="n"/>
      <c r="P68" s="134" t="n"/>
      <c r="Q68" s="16" t="n"/>
      <c r="R68" s="17" t="n"/>
      <c r="S68" s="133">
        <f>DADOS_INVOC!$QL$3</f>
        <v/>
      </c>
      <c r="T68" s="125" t="n"/>
      <c r="U68" s="135" t="n"/>
      <c r="V68" s="134" t="n"/>
      <c r="W68" s="16" t="n"/>
      <c r="X68" s="17" t="n"/>
      <c r="Y68" s="133">
        <f>DADOS_INVOC!$QL$4</f>
        <v/>
      </c>
      <c r="Z68" s="125" t="n"/>
      <c r="AB68" s="135" t="n"/>
      <c r="AC68" s="134" t="n"/>
      <c r="AD68" s="16" t="n"/>
      <c r="AE68" s="17" t="n"/>
      <c r="AF68" s="133">
        <f>DADOS_INVOC!$QL$80</f>
        <v/>
      </c>
      <c r="AG68" s="125" t="n"/>
      <c r="AH68" s="135" t="n"/>
      <c r="AI68" s="134" t="n"/>
      <c r="AJ68" s="16" t="n"/>
      <c r="AK68" s="17" t="n"/>
      <c r="AL68" s="133">
        <f>DADOS_INVOC!$QL$81</f>
        <v/>
      </c>
      <c r="AM68" s="125" t="n"/>
      <c r="AN68" s="135" t="n"/>
      <c r="AO68" s="134" t="n"/>
      <c r="AP68" s="16" t="n"/>
      <c r="AQ68" s="17" t="n"/>
      <c r="AR68" s="133">
        <f>DADOS_INVOC!$QL$82</f>
        <v/>
      </c>
      <c r="AS68" s="125" t="n"/>
    </row>
    <row r="69" hidden="1" outlineLevel="2">
      <c r="A69" s="8" t="n"/>
      <c r="B69" s="14" t="n"/>
      <c r="C69" s="125" t="n"/>
      <c r="D69" s="125" t="n"/>
      <c r="E69" s="125" t="n"/>
      <c r="F69" s="125" t="n"/>
      <c r="G69" s="125" t="n"/>
      <c r="I69" s="135" t="n"/>
      <c r="J69" s="134" t="n"/>
      <c r="K69" s="16" t="n"/>
      <c r="L69" s="17" t="n"/>
      <c r="M69" s="133">
        <f>DADOS_INVOC!$QM$2</f>
        <v/>
      </c>
      <c r="N69" s="125" t="n"/>
      <c r="O69" s="135" t="n"/>
      <c r="P69" s="134" t="n"/>
      <c r="Q69" s="16" t="n"/>
      <c r="R69" s="17" t="n"/>
      <c r="S69" s="133">
        <f>DADOS_INVOC!$QM$3</f>
        <v/>
      </c>
      <c r="T69" s="125" t="n"/>
      <c r="U69" s="135" t="n"/>
      <c r="V69" s="134" t="n"/>
      <c r="W69" s="16" t="n"/>
      <c r="X69" s="17" t="n"/>
      <c r="Y69" s="133">
        <f>DADOS_INVOC!$QM$4</f>
        <v/>
      </c>
      <c r="Z69" s="125" t="n"/>
      <c r="AB69" s="135" t="n"/>
      <c r="AC69" s="134" t="n"/>
      <c r="AD69" s="16" t="n"/>
      <c r="AE69" s="17" t="n"/>
      <c r="AF69" s="133">
        <f>DADOS_INVOC!$QM$80</f>
        <v/>
      </c>
      <c r="AG69" s="125" t="n"/>
      <c r="AH69" s="135" t="n"/>
      <c r="AI69" s="134" t="n"/>
      <c r="AJ69" s="16" t="n"/>
      <c r="AK69" s="17" t="n"/>
      <c r="AL69" s="133">
        <f>DADOS_INVOC!$QM$81</f>
        <v/>
      </c>
      <c r="AM69" s="125" t="n"/>
      <c r="AN69" s="135" t="n"/>
      <c r="AO69" s="134" t="n"/>
      <c r="AP69" s="16" t="n"/>
      <c r="AQ69" s="17" t="n"/>
      <c r="AR69" s="133">
        <f>DADOS_INVOC!$QM$82</f>
        <v/>
      </c>
      <c r="AS69" s="125" t="n"/>
    </row>
    <row r="70" hidden="1" outlineLevel="2">
      <c r="A70" s="8" t="n"/>
      <c r="B70" s="14" t="n"/>
      <c r="C70" s="125" t="n"/>
      <c r="D70" s="125" t="n"/>
      <c r="E70" s="125" t="n"/>
      <c r="F70" s="125" t="n"/>
      <c r="G70" s="125" t="n"/>
      <c r="I70" s="129" t="n"/>
      <c r="J70" s="134" t="n"/>
      <c r="K70" s="16" t="n"/>
      <c r="L70" s="17" t="n"/>
      <c r="M70" s="133">
        <f>DADOS_INVOC!$QN$2</f>
        <v/>
      </c>
      <c r="N70" s="125" t="n"/>
      <c r="O70" s="129" t="n"/>
      <c r="P70" s="134" t="n"/>
      <c r="Q70" s="16" t="n"/>
      <c r="R70" s="17" t="n"/>
      <c r="S70" s="133">
        <f>DADOS_INVOC!$QN$3</f>
        <v/>
      </c>
      <c r="T70" s="125" t="n"/>
      <c r="U70" s="129" t="n"/>
      <c r="V70" s="134" t="n"/>
      <c r="W70" s="16" t="n"/>
      <c r="X70" s="17" t="n"/>
      <c r="Y70" s="133">
        <f>DADOS_INVOC!$QN$4</f>
        <v/>
      </c>
      <c r="Z70" s="125" t="n"/>
      <c r="AB70" s="129" t="n"/>
      <c r="AC70" s="134" t="n"/>
      <c r="AD70" s="16" t="n"/>
      <c r="AE70" s="17" t="n"/>
      <c r="AF70" s="133">
        <f>DADOS_INVOC!$QN$80</f>
        <v/>
      </c>
      <c r="AG70" s="125" t="n"/>
      <c r="AH70" s="129" t="n"/>
      <c r="AI70" s="134" t="n"/>
      <c r="AJ70" s="16" t="n"/>
      <c r="AK70" s="17" t="n"/>
      <c r="AL70" s="133">
        <f>DADOS_INVOC!$QN$81</f>
        <v/>
      </c>
      <c r="AM70" s="125" t="n"/>
      <c r="AN70" s="129" t="n"/>
      <c r="AO70" s="134" t="n"/>
      <c r="AP70" s="16" t="n"/>
      <c r="AQ70" s="17" t="n"/>
      <c r="AR70" s="133">
        <f>DADOS_INVOC!$QN$82</f>
        <v/>
      </c>
      <c r="AS70" s="125" t="n"/>
    </row>
    <row r="71" hidden="1" outlineLevel="2">
      <c r="A71" s="8" t="n"/>
      <c r="B71" s="14" t="n"/>
      <c r="C71" s="125" t="n"/>
      <c r="D71" s="125" t="n"/>
      <c r="E71" s="125" t="n"/>
      <c r="F71" s="125" t="n"/>
      <c r="G71" s="125" t="n"/>
      <c r="I71" s="55" t="inlineStr">
        <is>
          <t>RESTRIÇÕES</t>
        </is>
      </c>
      <c r="J71" s="134" t="n"/>
      <c r="K71" s="16" t="n"/>
      <c r="L71" s="17" t="n"/>
      <c r="M71" s="133">
        <f>DADOS_INVOC!$QO$2</f>
        <v/>
      </c>
      <c r="N71" s="125" t="n"/>
      <c r="O71" s="55" t="inlineStr">
        <is>
          <t>RESTRIÇÕES</t>
        </is>
      </c>
      <c r="P71" s="134" t="n"/>
      <c r="Q71" s="16" t="n"/>
      <c r="R71" s="17" t="n"/>
      <c r="S71" s="133">
        <f>DADOS_INVOC!$QO$3</f>
        <v/>
      </c>
      <c r="T71" s="125" t="n"/>
      <c r="U71" s="55" t="inlineStr">
        <is>
          <t>RESTRIÇÕES</t>
        </is>
      </c>
      <c r="V71" s="134" t="n"/>
      <c r="W71" s="16" t="n"/>
      <c r="X71" s="17" t="n"/>
      <c r="Y71" s="133">
        <f>DADOS_INVOC!$QO$4</f>
        <v/>
      </c>
      <c r="Z71" s="125" t="n"/>
      <c r="AB71" s="55" t="inlineStr">
        <is>
          <t>RESTRIÇÕES</t>
        </is>
      </c>
      <c r="AC71" s="134" t="n"/>
      <c r="AD71" s="16" t="n"/>
      <c r="AE71" s="17" t="n"/>
      <c r="AF71" s="133">
        <f>DADOS_INVOC!$QO$80</f>
        <v/>
      </c>
      <c r="AG71" s="125" t="n"/>
      <c r="AH71" s="55" t="inlineStr">
        <is>
          <t>RESTRIÇÕES</t>
        </is>
      </c>
      <c r="AI71" s="134" t="n"/>
      <c r="AJ71" s="16" t="n"/>
      <c r="AK71" s="17" t="n"/>
      <c r="AL71" s="133">
        <f>DADOS_INVOC!$QO$81</f>
        <v/>
      </c>
      <c r="AM71" s="125" t="n"/>
      <c r="AN71" s="55" t="inlineStr">
        <is>
          <t>RESTRIÇÕES</t>
        </is>
      </c>
      <c r="AO71" s="134" t="n"/>
      <c r="AP71" s="16" t="n"/>
      <c r="AQ71" s="17" t="n"/>
      <c r="AR71" s="133">
        <f>DADOS_INVOC!$QO$82</f>
        <v/>
      </c>
      <c r="AS71" s="125" t="n"/>
    </row>
    <row r="72" hidden="1" outlineLevel="2">
      <c r="A72" s="8" t="n"/>
      <c r="B72" s="14" t="n"/>
      <c r="C72" s="125" t="n"/>
      <c r="D72" s="125" t="n"/>
      <c r="E72" s="125" t="n"/>
      <c r="F72" s="125" t="n"/>
      <c r="G72" s="125" t="n"/>
      <c r="I72" s="129" t="n"/>
      <c r="J72" s="134" t="n"/>
      <c r="K72" s="16" t="n"/>
      <c r="L72" s="17" t="n"/>
      <c r="M72" s="133">
        <f>DADOS_INVOC!$QP$2</f>
        <v/>
      </c>
      <c r="N72" s="125" t="n"/>
      <c r="O72" s="129" t="n"/>
      <c r="P72" s="134" t="n"/>
      <c r="Q72" s="16" t="n"/>
      <c r="R72" s="17" t="n"/>
      <c r="S72" s="133">
        <f>DADOS_INVOC!$QP$3</f>
        <v/>
      </c>
      <c r="T72" s="125" t="n"/>
      <c r="U72" s="129" t="n"/>
      <c r="V72" s="134" t="n"/>
      <c r="W72" s="16" t="n"/>
      <c r="X72" s="17" t="n"/>
      <c r="Y72" s="133">
        <f>DADOS_INVOC!$QP$4</f>
        <v/>
      </c>
      <c r="Z72" s="125" t="n"/>
      <c r="AB72" s="129" t="n"/>
      <c r="AC72" s="134" t="n"/>
      <c r="AD72" s="16" t="n"/>
      <c r="AE72" s="17" t="n"/>
      <c r="AF72" s="133">
        <f>DADOS_INVOC!$QP$80</f>
        <v/>
      </c>
      <c r="AG72" s="125" t="n"/>
      <c r="AH72" s="129" t="n"/>
      <c r="AI72" s="134" t="n"/>
      <c r="AJ72" s="16" t="n"/>
      <c r="AK72" s="17" t="n"/>
      <c r="AL72" s="133">
        <f>DADOS_INVOC!$QP$81</f>
        <v/>
      </c>
      <c r="AM72" s="125" t="n"/>
      <c r="AN72" s="129" t="n"/>
      <c r="AO72" s="134" t="n"/>
      <c r="AP72" s="16" t="n"/>
      <c r="AQ72" s="17" t="n"/>
      <c r="AR72" s="133">
        <f>DADOS_INVOC!$QP$82</f>
        <v/>
      </c>
      <c r="AS72" s="125" t="n"/>
    </row>
    <row r="73" hidden="1" outlineLevel="2">
      <c r="A73" s="8" t="n"/>
      <c r="B73" s="14" t="n"/>
      <c r="C73" s="125" t="n"/>
      <c r="D73" s="125" t="n"/>
      <c r="E73" s="125" t="n"/>
      <c r="F73" s="125" t="n"/>
      <c r="G73" s="125" t="n"/>
      <c r="I73" s="55" t="inlineStr">
        <is>
          <t>CONTA</t>
        </is>
      </c>
      <c r="J73" s="136">
        <f>DADOS_INVOC!$QI$2</f>
        <v/>
      </c>
      <c r="K73" s="16" t="n"/>
      <c r="L73" s="16" t="n"/>
      <c r="M73" s="17" t="n"/>
      <c r="N73" s="125" t="n"/>
      <c r="O73" s="55" t="inlineStr">
        <is>
          <t>CONTA</t>
        </is>
      </c>
      <c r="P73" s="136">
        <f>DADOS_INVOC!$QI$3</f>
        <v/>
      </c>
      <c r="Q73" s="16" t="n"/>
      <c r="R73" s="16" t="n"/>
      <c r="S73" s="17" t="n"/>
      <c r="T73" s="125" t="n"/>
      <c r="U73" s="55" t="inlineStr">
        <is>
          <t>CONTA</t>
        </is>
      </c>
      <c r="V73" s="136">
        <f>DADOS_INVOC!$QI$4</f>
        <v/>
      </c>
      <c r="W73" s="16" t="n"/>
      <c r="X73" s="16" t="n"/>
      <c r="Y73" s="17" t="n"/>
      <c r="Z73" s="125" t="n"/>
      <c r="AB73" s="55" t="inlineStr">
        <is>
          <t>CONTA</t>
        </is>
      </c>
      <c r="AC73" s="136">
        <f>DADOS_INVOC!$QI$80</f>
        <v/>
      </c>
      <c r="AD73" s="16" t="n"/>
      <c r="AE73" s="16" t="n"/>
      <c r="AF73" s="17" t="n"/>
      <c r="AG73" s="125" t="n"/>
      <c r="AH73" s="55" t="inlineStr">
        <is>
          <t>CONTA</t>
        </is>
      </c>
      <c r="AI73" s="136">
        <f>DADOS_INVOC!$QI$81</f>
        <v/>
      </c>
      <c r="AJ73" s="16" t="n"/>
      <c r="AK73" s="16" t="n"/>
      <c r="AL73" s="17" t="n"/>
      <c r="AM73" s="125" t="n"/>
      <c r="AN73" s="55" t="inlineStr">
        <is>
          <t>CONTA</t>
        </is>
      </c>
      <c r="AO73" s="136">
        <f>DADOS_INVOC!$QI$82</f>
        <v/>
      </c>
      <c r="AP73" s="16" t="n"/>
      <c r="AQ73" s="16" t="n"/>
      <c r="AR73" s="17" t="n"/>
      <c r="AS73" s="125" t="n"/>
    </row>
    <row r="74" hidden="1" outlineLevel="2">
      <c r="A74" s="8" t="n"/>
      <c r="B74" s="14" t="n"/>
      <c r="C74" s="125" t="n"/>
      <c r="D74" s="125" t="n"/>
      <c r="E74" s="125" t="n"/>
      <c r="F74" s="125" t="n"/>
      <c r="G74" s="125" t="n"/>
      <c r="I74" s="55" t="inlineStr">
        <is>
          <t>AMPLIAR</t>
        </is>
      </c>
      <c r="J74" s="136">
        <f>DADOS_INVOC!$QJ$2</f>
        <v/>
      </c>
      <c r="K74" s="19" t="n"/>
      <c r="L74" s="19" t="n"/>
      <c r="M74" s="20" t="n"/>
      <c r="N74" s="125" t="n"/>
      <c r="O74" s="55" t="inlineStr">
        <is>
          <t>AMPLIAR</t>
        </is>
      </c>
      <c r="P74" s="136">
        <f>DADOS_INVOC!$QJ$3</f>
        <v/>
      </c>
      <c r="Q74" s="19" t="n"/>
      <c r="R74" s="19" t="n"/>
      <c r="S74" s="20" t="n"/>
      <c r="T74" s="125" t="n"/>
      <c r="U74" s="55" t="inlineStr">
        <is>
          <t>AMPLIAR</t>
        </is>
      </c>
      <c r="V74" s="136">
        <f>DADOS_INVOC!$QJ$4</f>
        <v/>
      </c>
      <c r="W74" s="19" t="n"/>
      <c r="X74" s="19" t="n"/>
      <c r="Y74" s="20" t="n"/>
      <c r="Z74" s="125" t="n"/>
      <c r="AB74" s="55" t="inlineStr">
        <is>
          <t>AMPLIAR</t>
        </is>
      </c>
      <c r="AC74" s="136">
        <f>DADOS_INVOC!$QJ$80</f>
        <v/>
      </c>
      <c r="AD74" s="19" t="n"/>
      <c r="AE74" s="19" t="n"/>
      <c r="AF74" s="20" t="n"/>
      <c r="AG74" s="125" t="n"/>
      <c r="AH74" s="55" t="inlineStr">
        <is>
          <t>AMPLIAR</t>
        </is>
      </c>
      <c r="AI74" s="136">
        <f>DADOS_INVOC!$QJ$81</f>
        <v/>
      </c>
      <c r="AJ74" s="19" t="n"/>
      <c r="AK74" s="19" t="n"/>
      <c r="AL74" s="20" t="n"/>
      <c r="AM74" s="125" t="n"/>
      <c r="AN74" s="55" t="inlineStr">
        <is>
          <t>AMPLIAR</t>
        </is>
      </c>
      <c r="AO74" s="136">
        <f>DADOS_INVOC!$QJ$82</f>
        <v/>
      </c>
      <c r="AP74" s="19" t="n"/>
      <c r="AQ74" s="19" t="n"/>
      <c r="AR74" s="20" t="n"/>
      <c r="AS74" s="125" t="n"/>
    </row>
    <row r="75" hidden="1" outlineLevel="2">
      <c r="A75" s="8" t="n"/>
      <c r="B75" s="14" t="n"/>
      <c r="C75" s="125" t="n"/>
      <c r="D75" s="125" t="n"/>
      <c r="E75" s="125" t="n"/>
      <c r="F75" s="125" t="n"/>
      <c r="G75" s="125" t="n"/>
      <c r="I75" s="129" t="n"/>
      <c r="J75" s="23" t="n"/>
      <c r="K75" s="24" t="n"/>
      <c r="L75" s="24" t="n"/>
      <c r="M75" s="25" t="n"/>
      <c r="N75" s="125" t="n"/>
      <c r="O75" s="129" t="n"/>
      <c r="P75" s="23" t="n"/>
      <c r="Q75" s="24" t="n"/>
      <c r="R75" s="24" t="n"/>
      <c r="S75" s="25" t="n"/>
      <c r="T75" s="125" t="n"/>
      <c r="U75" s="129" t="n"/>
      <c r="V75" s="23" t="n"/>
      <c r="W75" s="24" t="n"/>
      <c r="X75" s="24" t="n"/>
      <c r="Y75" s="25" t="n"/>
      <c r="Z75" s="125" t="n"/>
      <c r="AB75" s="129" t="n"/>
      <c r="AC75" s="23" t="n"/>
      <c r="AD75" s="24" t="n"/>
      <c r="AE75" s="24" t="n"/>
      <c r="AF75" s="25" t="n"/>
      <c r="AG75" s="125" t="n"/>
      <c r="AH75" s="129" t="n"/>
      <c r="AI75" s="23" t="n"/>
      <c r="AJ75" s="24" t="n"/>
      <c r="AK75" s="24" t="n"/>
      <c r="AL75" s="25" t="n"/>
      <c r="AM75" s="125" t="n"/>
      <c r="AN75" s="129" t="n"/>
      <c r="AO75" s="23" t="n"/>
      <c r="AP75" s="24" t="n"/>
      <c r="AQ75" s="24" t="n"/>
      <c r="AR75" s="25" t="n"/>
      <c r="AS75" s="125" t="n"/>
    </row>
    <row r="76" hidden="1" outlineLevel="2">
      <c r="A76" s="8" t="n"/>
      <c r="B76" s="14" t="n"/>
      <c r="C76" s="125" t="n"/>
      <c r="D76" s="125" t="n"/>
      <c r="E76" s="125" t="n"/>
      <c r="F76" s="125" t="n"/>
      <c r="G76" s="125" t="n"/>
      <c r="I76" s="136">
        <f>DADOS_INVOC!$PW$2</f>
        <v/>
      </c>
      <c r="J76" s="19" t="n"/>
      <c r="K76" s="19" t="n"/>
      <c r="L76" s="19" t="n"/>
      <c r="M76" s="20" t="n"/>
      <c r="N76" s="125" t="n"/>
      <c r="O76" s="136">
        <f>DADOS_INVOC!$PW$3</f>
        <v/>
      </c>
      <c r="P76" s="19" t="n"/>
      <c r="Q76" s="19" t="n"/>
      <c r="R76" s="19" t="n"/>
      <c r="S76" s="20" t="n"/>
      <c r="T76" s="125" t="n"/>
      <c r="U76" s="136">
        <f>DADOS_INVOC!$PW$4</f>
        <v/>
      </c>
      <c r="V76" s="19" t="n"/>
      <c r="W76" s="19" t="n"/>
      <c r="X76" s="19" t="n"/>
      <c r="Y76" s="20" t="n"/>
      <c r="Z76" s="125" t="n"/>
      <c r="AB76" s="136">
        <f>DADOS_INVOC!$PW$80</f>
        <v/>
      </c>
      <c r="AC76" s="19" t="n"/>
      <c r="AD76" s="19" t="n"/>
      <c r="AE76" s="19" t="n"/>
      <c r="AF76" s="20" t="n"/>
      <c r="AG76" s="125" t="n"/>
      <c r="AH76" s="136">
        <f>DADOS_INVOC!$PW$81</f>
        <v/>
      </c>
      <c r="AI76" s="19" t="n"/>
      <c r="AJ76" s="19" t="n"/>
      <c r="AK76" s="19" t="n"/>
      <c r="AL76" s="20" t="n"/>
      <c r="AM76" s="125" t="n"/>
      <c r="AN76" s="136">
        <f>DADOS_INVOC!$PW$82</f>
        <v/>
      </c>
      <c r="AO76" s="19" t="n"/>
      <c r="AP76" s="19" t="n"/>
      <c r="AQ76" s="19" t="n"/>
      <c r="AR76" s="20" t="n"/>
      <c r="AS76" s="125" t="n"/>
    </row>
    <row r="77" hidden="1" outlineLevel="2">
      <c r="A77" s="8" t="n"/>
      <c r="B77" s="14" t="n"/>
      <c r="C77" s="125" t="n"/>
      <c r="D77" s="125" t="n"/>
      <c r="E77" s="125" t="n"/>
      <c r="F77" s="125" t="n"/>
      <c r="G77" s="125" t="n"/>
      <c r="I77" s="23" t="n"/>
      <c r="J77" s="24" t="n"/>
      <c r="K77" s="24" t="n"/>
      <c r="L77" s="24" t="n"/>
      <c r="M77" s="25" t="n"/>
      <c r="N77" s="125" t="n"/>
      <c r="O77" s="23" t="n"/>
      <c r="P77" s="24" t="n"/>
      <c r="Q77" s="24" t="n"/>
      <c r="R77" s="24" t="n"/>
      <c r="S77" s="25" t="n"/>
      <c r="T77" s="125" t="n"/>
      <c r="U77" s="23" t="n"/>
      <c r="V77" s="24" t="n"/>
      <c r="W77" s="24" t="n"/>
      <c r="X77" s="24" t="n"/>
      <c r="Y77" s="25" t="n"/>
      <c r="Z77" s="125" t="n"/>
      <c r="AB77" s="23" t="n"/>
      <c r="AC77" s="24" t="n"/>
      <c r="AD77" s="24" t="n"/>
      <c r="AE77" s="24" t="n"/>
      <c r="AF77" s="25" t="n"/>
      <c r="AG77" s="125" t="n"/>
      <c r="AH77" s="23" t="n"/>
      <c r="AI77" s="24" t="n"/>
      <c r="AJ77" s="24" t="n"/>
      <c r="AK77" s="24" t="n"/>
      <c r="AL77" s="25" t="n"/>
      <c r="AM77" s="125" t="n"/>
      <c r="AN77" s="23" t="n"/>
      <c r="AO77" s="24" t="n"/>
      <c r="AP77" s="24" t="n"/>
      <c r="AQ77" s="24" t="n"/>
      <c r="AR77" s="25" t="n"/>
      <c r="AS77" s="125" t="n"/>
    </row>
    <row r="78" outlineLevel="1">
      <c r="A78" s="8" t="n"/>
      <c r="B78" s="14" t="n"/>
      <c r="C78" s="125" t="n"/>
      <c r="D78" s="125" t="n"/>
      <c r="E78" s="125" t="n"/>
      <c r="F78" s="125" t="n"/>
      <c r="G78" s="125" t="n"/>
      <c r="I78" s="125" t="n"/>
      <c r="J78" s="125" t="n"/>
      <c r="K78" s="125" t="n"/>
      <c r="L78" s="125" t="n"/>
      <c r="M78" s="125" t="n"/>
      <c r="N78" s="125" t="n"/>
      <c r="O78" s="125" t="n"/>
      <c r="P78" s="125" t="n"/>
      <c r="Q78" s="125" t="n"/>
      <c r="R78" s="125" t="n"/>
      <c r="S78" s="125" t="n"/>
      <c r="T78" s="125" t="n"/>
      <c r="U78" s="125" t="n"/>
      <c r="V78" s="125" t="n"/>
      <c r="W78" s="125" t="n"/>
      <c r="X78" s="125" t="n"/>
      <c r="Y78" s="125" t="n"/>
      <c r="Z78" s="125" t="n"/>
      <c r="AB78" s="125" t="n"/>
      <c r="AC78" s="125" t="n"/>
      <c r="AD78" s="125" t="n"/>
      <c r="AE78" s="125" t="n"/>
      <c r="AF78" s="125" t="n"/>
      <c r="AG78" s="125" t="n"/>
      <c r="AH78" s="125" t="n"/>
      <c r="AI78" s="125" t="n"/>
      <c r="AJ78" s="125" t="n"/>
      <c r="AK78" s="125" t="n"/>
      <c r="AL78" s="125" t="n"/>
      <c r="AM78" s="125" t="n"/>
      <c r="AN78" s="125" t="n"/>
      <c r="AO78" s="125" t="n"/>
      <c r="AP78" s="125" t="n"/>
      <c r="AQ78" s="125" t="n"/>
      <c r="AR78" s="125" t="n"/>
      <c r="AS78" s="125" t="n"/>
    </row>
    <row r="79" outlineLevel="1">
      <c r="A79" s="8" t="n"/>
      <c r="B79" s="14" t="n"/>
      <c r="C79" s="125" t="n"/>
      <c r="D79" s="125" t="n"/>
      <c r="E79" s="125" t="n"/>
      <c r="F79" s="125" t="n"/>
      <c r="G79" s="125" t="n"/>
      <c r="I79" s="55">
        <f>DADOS_INVOC!$ID$2</f>
        <v/>
      </c>
      <c r="J79" s="16" t="n"/>
      <c r="K79" s="16" t="n"/>
      <c r="L79" s="16" t="n"/>
      <c r="M79" s="16" t="n"/>
      <c r="N79" s="16" t="n"/>
      <c r="O79" s="16" t="n"/>
      <c r="P79" s="16" t="n"/>
      <c r="Q79" s="16" t="n"/>
      <c r="R79" s="16" t="n"/>
      <c r="S79" s="16" t="n"/>
      <c r="T79" s="16" t="n"/>
      <c r="U79" s="16" t="n"/>
      <c r="V79" s="16" t="n"/>
      <c r="W79" s="16" t="n"/>
      <c r="X79" s="16" t="n"/>
      <c r="Y79" s="17" t="n"/>
      <c r="Z79" s="125"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5" t="n"/>
    </row>
    <row r="80" outlineLevel="1">
      <c r="A80" s="8" t="n"/>
      <c r="B80" s="14" t="n"/>
      <c r="C80" s="125" t="n"/>
      <c r="D80" s="125" t="n"/>
      <c r="E80" s="125" t="n"/>
      <c r="F80" s="125" t="n"/>
      <c r="G80" s="125" t="n"/>
      <c r="I80" s="55" t="inlineStr">
        <is>
          <t>NV 1 · CE 1</t>
        </is>
      </c>
      <c r="J80" s="134" t="n"/>
      <c r="K80" s="16" t="n"/>
      <c r="L80" s="17" t="n"/>
      <c r="M80" s="141">
        <f>DADOS_INVOC!$IM$2</f>
        <v/>
      </c>
      <c r="N80" s="16" t="n"/>
      <c r="O80" s="16" t="n"/>
      <c r="P80" s="16" t="n"/>
      <c r="Q80" s="16" t="n"/>
      <c r="R80" s="16" t="n"/>
      <c r="S80" s="16" t="n"/>
      <c r="T80" s="16" t="n"/>
      <c r="U80" s="16" t="n"/>
      <c r="V80" s="16" t="n"/>
      <c r="W80" s="16" t="n"/>
      <c r="X80" s="16" t="n"/>
      <c r="Y80" s="17" t="n"/>
      <c r="Z80" s="125" t="n"/>
      <c r="AB80" s="55" t="inlineStr">
        <is>
          <t>NV 1 · CE 1</t>
        </is>
      </c>
      <c r="AC80" s="134" t="n"/>
      <c r="AD80" s="16" t="n"/>
      <c r="AE80" s="17" t="n"/>
      <c r="AF80" s="141">
        <f>DADOS_INVOC!$IM$8</f>
        <v/>
      </c>
      <c r="AG80" s="16" t="n"/>
      <c r="AH80" s="16" t="n"/>
      <c r="AI80" s="16" t="n"/>
      <c r="AJ80" s="16" t="n"/>
      <c r="AK80" s="16" t="n"/>
      <c r="AL80" s="16" t="n"/>
      <c r="AM80" s="16" t="n"/>
      <c r="AN80" s="16" t="n"/>
      <c r="AO80" s="16" t="n"/>
      <c r="AP80" s="16" t="n"/>
      <c r="AQ80" s="16" t="n"/>
      <c r="AR80" s="17" t="n"/>
      <c r="AS80" s="125" t="n"/>
    </row>
    <row r="81" outlineLevel="1">
      <c r="A81" s="8" t="n"/>
      <c r="B81" s="14" t="n"/>
      <c r="C81" s="125" t="n"/>
      <c r="D81" s="125" t="n"/>
      <c r="E81" s="125" t="n"/>
      <c r="F81" s="125" t="n"/>
      <c r="G81" s="125" t="n"/>
      <c r="I81" s="55" t="inlineStr">
        <is>
          <t>NV 6 · CE 1</t>
        </is>
      </c>
      <c r="J81" s="134" t="n"/>
      <c r="K81" s="16" t="n"/>
      <c r="L81" s="17" t="n"/>
      <c r="M81" s="141">
        <f>DADOS_INVOC!$IN$2</f>
        <v/>
      </c>
      <c r="N81" s="16" t="n"/>
      <c r="O81" s="16" t="n"/>
      <c r="P81" s="16" t="n"/>
      <c r="Q81" s="16" t="n"/>
      <c r="R81" s="16" t="n"/>
      <c r="S81" s="16" t="n"/>
      <c r="T81" s="16" t="n"/>
      <c r="U81" s="16" t="n"/>
      <c r="V81" s="16" t="n"/>
      <c r="W81" s="16" t="n"/>
      <c r="X81" s="16" t="n"/>
      <c r="Y81" s="17" t="n"/>
      <c r="Z81" s="125" t="n"/>
      <c r="AB81" s="55" t="inlineStr">
        <is>
          <t>NV 6 · CE 1</t>
        </is>
      </c>
      <c r="AC81" s="134" t="n"/>
      <c r="AD81" s="16" t="n"/>
      <c r="AE81" s="17" t="n"/>
      <c r="AF81" s="141">
        <f>DADOS_INVOC!$IN$8</f>
        <v/>
      </c>
      <c r="AG81" s="16" t="n"/>
      <c r="AH81" s="16" t="n"/>
      <c r="AI81" s="16" t="n"/>
      <c r="AJ81" s="16" t="n"/>
      <c r="AK81" s="16" t="n"/>
      <c r="AL81" s="16" t="n"/>
      <c r="AM81" s="16" t="n"/>
      <c r="AN81" s="16" t="n"/>
      <c r="AO81" s="16" t="n"/>
      <c r="AP81" s="16" t="n"/>
      <c r="AQ81" s="16" t="n"/>
      <c r="AR81" s="17" t="n"/>
      <c r="AS81" s="125" t="n"/>
    </row>
    <row r="82" outlineLevel="1">
      <c r="A82" s="8" t="n"/>
      <c r="B82" s="14" t="n"/>
      <c r="C82" s="125" t="n"/>
      <c r="D82" s="125" t="n"/>
      <c r="E82" s="125" t="n"/>
      <c r="F82" s="125" t="n"/>
      <c r="G82" s="125" t="n"/>
      <c r="I82" s="55" t="inlineStr">
        <is>
          <t>NV 10 · CE 2</t>
        </is>
      </c>
      <c r="J82" s="134" t="n"/>
      <c r="K82" s="16" t="n"/>
      <c r="L82" s="17" t="n"/>
      <c r="M82" s="141">
        <f>DADOS_INVOC!$IO$2</f>
        <v/>
      </c>
      <c r="N82" s="16" t="n"/>
      <c r="O82" s="16" t="n"/>
      <c r="P82" s="16" t="n"/>
      <c r="Q82" s="16" t="n"/>
      <c r="R82" s="16" t="n"/>
      <c r="S82" s="16" t="n"/>
      <c r="T82" s="16" t="n"/>
      <c r="U82" s="16" t="n"/>
      <c r="V82" s="16" t="n"/>
      <c r="W82" s="16" t="n"/>
      <c r="X82" s="16" t="n"/>
      <c r="Y82" s="17" t="n"/>
      <c r="Z82" s="125" t="n"/>
      <c r="AB82" s="55" t="inlineStr">
        <is>
          <t>NV 10 · CE 2</t>
        </is>
      </c>
      <c r="AC82" s="134" t="n"/>
      <c r="AD82" s="16" t="n"/>
      <c r="AE82" s="17" t="n"/>
      <c r="AF82" s="141">
        <f>DADOS_INVOC!$IO$8</f>
        <v/>
      </c>
      <c r="AG82" s="16" t="n"/>
      <c r="AH82" s="16" t="n"/>
      <c r="AI82" s="16" t="n"/>
      <c r="AJ82" s="16" t="n"/>
      <c r="AK82" s="16" t="n"/>
      <c r="AL82" s="16" t="n"/>
      <c r="AM82" s="16" t="n"/>
      <c r="AN82" s="16" t="n"/>
      <c r="AO82" s="16" t="n"/>
      <c r="AP82" s="16" t="n"/>
      <c r="AQ82" s="16" t="n"/>
      <c r="AR82" s="17" t="n"/>
      <c r="AS82" s="125" t="n"/>
    </row>
    <row r="83" outlineLevel="1">
      <c r="A83" s="8" t="n"/>
      <c r="B83" s="14" t="n"/>
      <c r="C83" s="125" t="n"/>
      <c r="D83" s="125" t="n"/>
      <c r="E83" s="125" t="n"/>
      <c r="F83" s="125" t="n"/>
      <c r="G83" s="125" t="n"/>
      <c r="I83" s="55" t="inlineStr">
        <is>
          <t>NV 14 · CE 3</t>
        </is>
      </c>
      <c r="J83" s="134" t="n"/>
      <c r="K83" s="16" t="n"/>
      <c r="L83" s="17" t="n"/>
      <c r="M83" s="141">
        <f>DADOS_INVOC!$IP$2</f>
        <v/>
      </c>
      <c r="N83" s="16" t="n"/>
      <c r="O83" s="16" t="n"/>
      <c r="P83" s="16" t="n"/>
      <c r="Q83" s="16" t="n"/>
      <c r="R83" s="16" t="n"/>
      <c r="S83" s="16" t="n"/>
      <c r="T83" s="16" t="n"/>
      <c r="U83" s="16" t="n"/>
      <c r="V83" s="16" t="n"/>
      <c r="W83" s="16" t="n"/>
      <c r="X83" s="16" t="n"/>
      <c r="Y83" s="17" t="n"/>
      <c r="Z83" s="125" t="n"/>
      <c r="AB83" s="55" t="inlineStr">
        <is>
          <t>NV 14 · CE 3</t>
        </is>
      </c>
      <c r="AC83" s="134" t="n"/>
      <c r="AD83" s="16" t="n"/>
      <c r="AE83" s="17" t="n"/>
      <c r="AF83" s="141">
        <f>DADOS_INVOC!$IP$8</f>
        <v/>
      </c>
      <c r="AG83" s="16" t="n"/>
      <c r="AH83" s="16" t="n"/>
      <c r="AI83" s="16" t="n"/>
      <c r="AJ83" s="16" t="n"/>
      <c r="AK83" s="16" t="n"/>
      <c r="AL83" s="16" t="n"/>
      <c r="AM83" s="16" t="n"/>
      <c r="AN83" s="16" t="n"/>
      <c r="AO83" s="16" t="n"/>
      <c r="AP83" s="16" t="n"/>
      <c r="AQ83" s="16" t="n"/>
      <c r="AR83" s="17" t="n"/>
      <c r="AS83" s="125" t="n"/>
    </row>
    <row r="84" outlineLevel="1">
      <c r="A84" s="8" t="n"/>
      <c r="B84" s="14" t="n"/>
      <c r="C84" s="125" t="n"/>
      <c r="D84" s="125" t="n"/>
      <c r="E84" s="125" t="n"/>
      <c r="F84" s="125" t="n"/>
      <c r="G84" s="125" t="n"/>
      <c r="I84" s="55" t="inlineStr">
        <is>
          <t>NV 18 · CE 3</t>
        </is>
      </c>
      <c r="J84" s="134" t="n"/>
      <c r="K84" s="16" t="n"/>
      <c r="L84" s="17" t="n"/>
      <c r="M84" s="141">
        <f>DADOS_INVOC!$IQ$2</f>
        <v/>
      </c>
      <c r="N84" s="16" t="n"/>
      <c r="O84" s="16" t="n"/>
      <c r="P84" s="16" t="n"/>
      <c r="Q84" s="16" t="n"/>
      <c r="R84" s="16" t="n"/>
      <c r="S84" s="16" t="n"/>
      <c r="T84" s="16" t="n"/>
      <c r="U84" s="16" t="n"/>
      <c r="V84" s="16" t="n"/>
      <c r="W84" s="16" t="n"/>
      <c r="X84" s="16" t="n"/>
      <c r="Y84" s="17" t="n"/>
      <c r="Z84" s="125" t="n"/>
      <c r="AB84" s="55" t="inlineStr">
        <is>
          <t>NV 18 · CE 3</t>
        </is>
      </c>
      <c r="AC84" s="134" t="n"/>
      <c r="AD84" s="16" t="n"/>
      <c r="AE84" s="17" t="n"/>
      <c r="AF84" s="141">
        <f>DADOS_INVOC!$IQ$8</f>
        <v/>
      </c>
      <c r="AG84" s="16" t="n"/>
      <c r="AH84" s="16" t="n"/>
      <c r="AI84" s="16" t="n"/>
      <c r="AJ84" s="16" t="n"/>
      <c r="AK84" s="16" t="n"/>
      <c r="AL84" s="16" t="n"/>
      <c r="AM84" s="16" t="n"/>
      <c r="AN84" s="16" t="n"/>
      <c r="AO84" s="16" t="n"/>
      <c r="AP84" s="16" t="n"/>
      <c r="AQ84" s="16" t="n"/>
      <c r="AR84" s="17" t="n"/>
      <c r="AS84" s="125" t="n"/>
    </row>
    <row r="85" outlineLevel="1">
      <c r="A85" s="8" t="n"/>
      <c r="B85" s="14" t="n"/>
      <c r="C85" s="125" t="n"/>
      <c r="D85" s="125" t="n"/>
      <c r="E85" s="125" t="n"/>
      <c r="F85" s="125" t="n"/>
      <c r="G85" s="125" t="n"/>
      <c r="I85" s="55" t="inlineStr">
        <is>
          <t>NV 22 · CE 3</t>
        </is>
      </c>
      <c r="J85" s="134" t="n"/>
      <c r="K85" s="16" t="n"/>
      <c r="L85" s="17" t="n"/>
      <c r="M85" s="141">
        <f>DADOS_INVOC!$IR$2</f>
        <v/>
      </c>
      <c r="N85" s="16" t="n"/>
      <c r="O85" s="16" t="n"/>
      <c r="P85" s="16" t="n"/>
      <c r="Q85" s="16" t="n"/>
      <c r="R85" s="16" t="n"/>
      <c r="S85" s="16" t="n"/>
      <c r="T85" s="16" t="n"/>
      <c r="U85" s="16" t="n"/>
      <c r="V85" s="16" t="n"/>
      <c r="W85" s="16" t="n"/>
      <c r="X85" s="16" t="n"/>
      <c r="Y85" s="17" t="n"/>
      <c r="Z85" s="125" t="n"/>
      <c r="AB85" s="55" t="inlineStr">
        <is>
          <t>NV 22 · CE 3</t>
        </is>
      </c>
      <c r="AC85" s="134" t="n"/>
      <c r="AD85" s="16" t="n"/>
      <c r="AE85" s="17" t="n"/>
      <c r="AF85" s="141">
        <f>DADOS_INVOC!$IR$8</f>
        <v/>
      </c>
      <c r="AG85" s="16" t="n"/>
      <c r="AH85" s="16" t="n"/>
      <c r="AI85" s="16" t="n"/>
      <c r="AJ85" s="16" t="n"/>
      <c r="AK85" s="16" t="n"/>
      <c r="AL85" s="16" t="n"/>
      <c r="AM85" s="16" t="n"/>
      <c r="AN85" s="16" t="n"/>
      <c r="AO85" s="16" t="n"/>
      <c r="AP85" s="16" t="n"/>
      <c r="AQ85" s="16" t="n"/>
      <c r="AR85" s="17" t="n"/>
      <c r="AS85" s="125" t="n"/>
    </row>
    <row r="86" outlineLevel="1">
      <c r="A86" s="8" t="n"/>
      <c r="B86" s="14" t="n"/>
      <c r="C86" s="125" t="n"/>
      <c r="D86" s="125" t="n"/>
      <c r="E86" s="125" t="n"/>
      <c r="F86" s="125" t="n"/>
      <c r="G86" s="125" t="n"/>
      <c r="I86" s="55" t="inlineStr">
        <is>
          <t>NV 26 · CE 3</t>
        </is>
      </c>
      <c r="J86" s="134" t="n"/>
      <c r="K86" s="16" t="n"/>
      <c r="L86" s="17" t="n"/>
      <c r="M86" s="141">
        <f>DADOS_INVOC!$IS$2</f>
        <v/>
      </c>
      <c r="N86" s="16" t="n"/>
      <c r="O86" s="16" t="n"/>
      <c r="P86" s="16" t="n"/>
      <c r="Q86" s="16" t="n"/>
      <c r="R86" s="16" t="n"/>
      <c r="S86" s="16" t="n"/>
      <c r="T86" s="16" t="n"/>
      <c r="U86" s="16" t="n"/>
      <c r="V86" s="16" t="n"/>
      <c r="W86" s="16" t="n"/>
      <c r="X86" s="16" t="n"/>
      <c r="Y86" s="17" t="n"/>
      <c r="Z86" s="125" t="n"/>
      <c r="AB86" s="55" t="inlineStr">
        <is>
          <t>NV 26 · CE 3</t>
        </is>
      </c>
      <c r="AC86" s="134" t="n"/>
      <c r="AD86" s="16" t="n"/>
      <c r="AE86" s="17" t="n"/>
      <c r="AF86" s="141">
        <f>DADOS_INVOC!$IS$8</f>
        <v/>
      </c>
      <c r="AG86" s="16" t="n"/>
      <c r="AH86" s="16" t="n"/>
      <c r="AI86" s="16" t="n"/>
      <c r="AJ86" s="16" t="n"/>
      <c r="AK86" s="16" t="n"/>
      <c r="AL86" s="16" t="n"/>
      <c r="AM86" s="16" t="n"/>
      <c r="AN86" s="16" t="n"/>
      <c r="AO86" s="16" t="n"/>
      <c r="AP86" s="16" t="n"/>
      <c r="AQ86" s="16" t="n"/>
      <c r="AR86" s="17" t="n"/>
      <c r="AS86" s="125" t="n"/>
    </row>
    <row r="87" outlineLevel="1">
      <c r="A87" s="8" t="n"/>
      <c r="B87" s="14" t="n"/>
      <c r="C87" s="125" t="n"/>
      <c r="D87" s="125" t="n"/>
      <c r="E87" s="125" t="n"/>
      <c r="F87" s="125" t="n"/>
      <c r="G87" s="125" t="n"/>
      <c r="I87" s="55" t="inlineStr">
        <is>
          <t>NV 30 · CE 3</t>
        </is>
      </c>
      <c r="J87" s="134" t="n"/>
      <c r="K87" s="16" t="n"/>
      <c r="L87" s="17" t="n"/>
      <c r="M87" s="141">
        <f>DADOS_INVOC!$IT$2</f>
        <v/>
      </c>
      <c r="N87" s="16" t="n"/>
      <c r="O87" s="16" t="n"/>
      <c r="P87" s="16" t="n"/>
      <c r="Q87" s="16" t="n"/>
      <c r="R87" s="16" t="n"/>
      <c r="S87" s="16" t="n"/>
      <c r="T87" s="16" t="n"/>
      <c r="U87" s="16" t="n"/>
      <c r="V87" s="16" t="n"/>
      <c r="W87" s="16" t="n"/>
      <c r="X87" s="16" t="n"/>
      <c r="Y87" s="17" t="n"/>
      <c r="Z87" s="125" t="n"/>
      <c r="AB87" s="55" t="inlineStr">
        <is>
          <t>NV 30 · CE 3</t>
        </is>
      </c>
      <c r="AC87" s="134" t="n"/>
      <c r="AD87" s="16" t="n"/>
      <c r="AE87" s="17" t="n"/>
      <c r="AF87" s="141">
        <f>DADOS_INVOC!$IT$8</f>
        <v/>
      </c>
      <c r="AG87" s="16" t="n"/>
      <c r="AH87" s="16" t="n"/>
      <c r="AI87" s="16" t="n"/>
      <c r="AJ87" s="16" t="n"/>
      <c r="AK87" s="16" t="n"/>
      <c r="AL87" s="16" t="n"/>
      <c r="AM87" s="16" t="n"/>
      <c r="AN87" s="16" t="n"/>
      <c r="AO87" s="16" t="n"/>
      <c r="AP87" s="16" t="n"/>
      <c r="AQ87" s="16" t="n"/>
      <c r="AR87" s="17" t="n"/>
      <c r="AS87" s="125" t="n"/>
    </row>
    <row r="88" outlineLevel="1">
      <c r="A88" s="8" t="n"/>
      <c r="B88" s="14" t="n"/>
      <c r="C88" s="125" t="n"/>
      <c r="D88" s="125" t="n"/>
      <c r="E88" s="125" t="n"/>
      <c r="F88" s="125" t="n"/>
      <c r="G88" s="125" t="n"/>
      <c r="I88" s="125" t="n"/>
      <c r="J88" s="125" t="n"/>
      <c r="K88" s="125" t="n"/>
      <c r="L88" s="125" t="n"/>
      <c r="M88" s="125" t="n"/>
      <c r="N88" s="125" t="n"/>
      <c r="O88" s="125" t="n"/>
      <c r="P88" s="125" t="n"/>
      <c r="Q88" s="125" t="n"/>
      <c r="R88" s="125" t="n"/>
      <c r="S88" s="125" t="n"/>
      <c r="T88" s="125" t="n"/>
      <c r="U88" s="125" t="n"/>
      <c r="V88" s="125" t="n"/>
      <c r="W88" s="125" t="n"/>
      <c r="X88" s="125" t="n"/>
      <c r="Y88" s="125" t="n"/>
      <c r="Z88" s="125" t="n"/>
      <c r="AB88" s="125" t="n"/>
      <c r="AC88" s="125" t="n"/>
      <c r="AD88" s="125" t="n"/>
      <c r="AE88" s="125" t="n"/>
      <c r="AF88" s="125" t="n"/>
      <c r="AG88" s="125" t="n"/>
      <c r="AH88" s="125" t="n"/>
      <c r="AI88" s="125" t="n"/>
      <c r="AJ88" s="125" t="n"/>
      <c r="AK88" s="125" t="n"/>
      <c r="AL88" s="125" t="n"/>
      <c r="AM88" s="125" t="n"/>
      <c r="AN88" s="125" t="n"/>
      <c r="AO88" s="125" t="n"/>
      <c r="AP88" s="125" t="n"/>
      <c r="AQ88" s="125" t="n"/>
      <c r="AR88" s="125" t="n"/>
      <c r="AS88" s="125" t="n"/>
    </row>
    <row r="89" outlineLevel="1">
      <c r="A89" s="8" t="n"/>
      <c r="B89" s="14" t="n"/>
      <c r="C89" s="125" t="n"/>
      <c r="D89" s="125" t="n"/>
      <c r="E89" s="125" t="n"/>
      <c r="F89" s="125" t="n"/>
      <c r="G89" s="125" t="n"/>
      <c r="I89" s="137"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5" t="n"/>
      <c r="AB89" s="137"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5" t="n"/>
    </row>
    <row r="90" hidden="1" outlineLevel="2">
      <c r="A90" s="8" t="n"/>
      <c r="B90" s="14" t="n"/>
      <c r="C90" s="125" t="n"/>
      <c r="D90" s="125" t="n"/>
      <c r="E90" s="125" t="n"/>
      <c r="F90" s="125" t="n"/>
      <c r="G90" s="125" t="n"/>
      <c r="I90" s="125" t="n"/>
      <c r="J90" s="125" t="n"/>
      <c r="K90" s="125" t="n"/>
      <c r="L90" s="125" t="n"/>
      <c r="M90" s="125" t="n"/>
      <c r="N90" s="125" t="n"/>
      <c r="O90" s="125" t="n"/>
      <c r="P90" s="125" t="n"/>
      <c r="Q90" s="125" t="n"/>
      <c r="R90" s="125" t="n"/>
      <c r="S90" s="125" t="n"/>
      <c r="T90" s="125" t="n"/>
      <c r="U90" s="125" t="n"/>
      <c r="V90" s="125" t="n"/>
      <c r="W90" s="125" t="n"/>
      <c r="X90" s="125" t="n"/>
      <c r="Y90" s="125" t="n"/>
      <c r="Z90" s="125" t="n"/>
      <c r="AB90" s="125" t="n"/>
      <c r="AC90" s="125" t="n"/>
      <c r="AD90" s="125" t="n"/>
      <c r="AE90" s="125" t="n"/>
      <c r="AF90" s="125" t="n"/>
      <c r="AG90" s="125" t="n"/>
      <c r="AH90" s="125" t="n"/>
      <c r="AI90" s="125" t="n"/>
      <c r="AJ90" s="125" t="n"/>
      <c r="AK90" s="125" t="n"/>
      <c r="AL90" s="125" t="n"/>
      <c r="AM90" s="125" t="n"/>
      <c r="AN90" s="125" t="n"/>
      <c r="AO90" s="125" t="n"/>
      <c r="AP90" s="125" t="n"/>
      <c r="AQ90" s="125" t="n"/>
      <c r="AR90" s="125" t="n"/>
      <c r="AS90" s="125" t="n"/>
    </row>
    <row r="91" hidden="1" outlineLevel="2">
      <c r="A91" s="8" t="n"/>
      <c r="B91" s="14" t="n"/>
      <c r="C91" s="125" t="n"/>
      <c r="D91" s="125" t="n"/>
      <c r="E91" s="125" t="n"/>
      <c r="F91" s="125" t="n"/>
      <c r="G91" s="125" t="n"/>
      <c r="I91" s="55">
        <f>DADOS_INVOC!$PX$5</f>
        <v/>
      </c>
      <c r="J91" s="16" t="n"/>
      <c r="K91" s="16" t="n"/>
      <c r="L91" s="16" t="n"/>
      <c r="M91" s="17" t="n"/>
      <c r="N91" s="125" t="n"/>
      <c r="O91" s="55">
        <f>DADOS_INVOC!$PX$6</f>
        <v/>
      </c>
      <c r="P91" s="16" t="n"/>
      <c r="Q91" s="16" t="n"/>
      <c r="R91" s="16" t="n"/>
      <c r="S91" s="17" t="n"/>
      <c r="T91" s="125" t="n"/>
      <c r="U91" s="55">
        <f>DADOS_INVOC!$PX$7</f>
        <v/>
      </c>
      <c r="V91" s="16" t="n"/>
      <c r="W91" s="16" t="n"/>
      <c r="X91" s="16" t="n"/>
      <c r="Y91" s="17" t="n"/>
      <c r="Z91" s="125" t="n"/>
      <c r="AB91" s="55">
        <f>DADOS_INVOC!$PX$83</f>
        <v/>
      </c>
      <c r="AC91" s="16" t="n"/>
      <c r="AD91" s="16" t="n"/>
      <c r="AE91" s="16" t="n"/>
      <c r="AF91" s="17" t="n"/>
      <c r="AG91" s="125" t="n"/>
      <c r="AH91" s="55">
        <f>DADOS_INVOC!$PX$84</f>
        <v/>
      </c>
      <c r="AI91" s="16" t="n"/>
      <c r="AJ91" s="16" t="n"/>
      <c r="AK91" s="16" t="n"/>
      <c r="AL91" s="17" t="n"/>
      <c r="AM91" s="125" t="n"/>
      <c r="AN91" s="55">
        <f>DADOS_INVOC!$PX$85</f>
        <v/>
      </c>
      <c r="AO91" s="16" t="n"/>
      <c r="AP91" s="16" t="n"/>
      <c r="AQ91" s="16" t="n"/>
      <c r="AR91" s="17" t="n"/>
      <c r="AS91" s="125" t="n"/>
    </row>
    <row r="92" hidden="1" outlineLevel="2">
      <c r="A92" s="8" t="n"/>
      <c r="B92" s="14" t="n"/>
      <c r="C92" s="125" t="n"/>
      <c r="D92" s="125" t="n"/>
      <c r="E92" s="125" t="n"/>
      <c r="F92" s="125" t="n"/>
      <c r="G92" s="125" t="n"/>
      <c r="I92" s="131" t="n">
        <v>0</v>
      </c>
      <c r="J92" s="120" t="n"/>
      <c r="K92" s="16" t="n"/>
      <c r="L92" s="17" t="n"/>
      <c r="M92" s="132">
        <f>DADOS_INVOC!$PV$5</f>
        <v/>
      </c>
      <c r="N92" s="125" t="n"/>
      <c r="O92" s="131" t="n">
        <v>1</v>
      </c>
      <c r="P92" s="120" t="n"/>
      <c r="Q92" s="16" t="n"/>
      <c r="R92" s="17" t="n"/>
      <c r="S92" s="132">
        <f>DADOS_INVOC!$PV$6</f>
        <v/>
      </c>
      <c r="T92" s="125" t="n"/>
      <c r="U92" s="131" t="n">
        <v>1</v>
      </c>
      <c r="V92" s="120" t="n"/>
      <c r="W92" s="16" t="n"/>
      <c r="X92" s="17" t="n"/>
      <c r="Y92" s="132">
        <f>DADOS_INVOC!$PV$7</f>
        <v/>
      </c>
      <c r="Z92" s="125" t="n"/>
      <c r="AB92" s="131" t="n">
        <v>0</v>
      </c>
      <c r="AC92" s="120" t="n"/>
      <c r="AD92" s="16" t="n"/>
      <c r="AE92" s="17" t="n"/>
      <c r="AF92" s="132">
        <f>DADOS_INVOC!$PV$83</f>
        <v/>
      </c>
      <c r="AG92" s="125" t="n"/>
      <c r="AH92" s="131" t="n">
        <v>1</v>
      </c>
      <c r="AI92" s="120" t="n"/>
      <c r="AJ92" s="16" t="n"/>
      <c r="AK92" s="17" t="n"/>
      <c r="AL92" s="132">
        <f>DADOS_INVOC!$PV$84</f>
        <v/>
      </c>
      <c r="AM92" s="125" t="n"/>
      <c r="AN92" s="131" t="n">
        <v>1</v>
      </c>
      <c r="AO92" s="120" t="n"/>
      <c r="AP92" s="16" t="n"/>
      <c r="AQ92" s="17" t="n"/>
      <c r="AR92" s="132">
        <f>DADOS_INVOC!$PV$85</f>
        <v/>
      </c>
      <c r="AS92" s="125" t="n"/>
    </row>
    <row r="93" hidden="1" outlineLevel="3">
      <c r="A93" s="8" t="n"/>
      <c r="B93" s="14" t="n"/>
      <c r="C93" s="125" t="n"/>
      <c r="D93" s="125" t="n"/>
      <c r="E93" s="125" t="n"/>
      <c r="F93" s="125" t="n"/>
      <c r="G93" s="125" t="n"/>
      <c r="I93" s="55" t="inlineStr">
        <is>
          <t>COMO É</t>
        </is>
      </c>
      <c r="J93" s="16" t="n"/>
      <c r="K93" s="16" t="n"/>
      <c r="L93" s="16" t="n"/>
      <c r="M93" s="17" t="n"/>
      <c r="N93" s="125" t="n"/>
      <c r="O93" s="55" t="inlineStr">
        <is>
          <t>COMO É</t>
        </is>
      </c>
      <c r="P93" s="16" t="n"/>
      <c r="Q93" s="16" t="n"/>
      <c r="R93" s="16" t="n"/>
      <c r="S93" s="17" t="n"/>
      <c r="T93" s="125" t="n"/>
      <c r="U93" s="55" t="inlineStr">
        <is>
          <t>COMO É</t>
        </is>
      </c>
      <c r="V93" s="16" t="n"/>
      <c r="W93" s="16" t="n"/>
      <c r="X93" s="16" t="n"/>
      <c r="Y93" s="17" t="n"/>
      <c r="Z93" s="125" t="n"/>
      <c r="AB93" s="55" t="inlineStr">
        <is>
          <t>COMO É</t>
        </is>
      </c>
      <c r="AC93" s="16" t="n"/>
      <c r="AD93" s="16" t="n"/>
      <c r="AE93" s="16" t="n"/>
      <c r="AF93" s="17" t="n"/>
      <c r="AG93" s="125" t="n"/>
      <c r="AH93" s="55" t="inlineStr">
        <is>
          <t>COMO É</t>
        </is>
      </c>
      <c r="AI93" s="16" t="n"/>
      <c r="AJ93" s="16" t="n"/>
      <c r="AK93" s="16" t="n"/>
      <c r="AL93" s="17" t="n"/>
      <c r="AM93" s="125" t="n"/>
      <c r="AN93" s="55" t="inlineStr">
        <is>
          <t>COMO É</t>
        </is>
      </c>
      <c r="AO93" s="16" t="n"/>
      <c r="AP93" s="16" t="n"/>
      <c r="AQ93" s="16" t="n"/>
      <c r="AR93" s="17" t="n"/>
      <c r="AS93" s="125" t="n"/>
    </row>
    <row r="94" hidden="1" outlineLevel="3">
      <c r="A94" s="8" t="n"/>
      <c r="B94" s="14" t="n"/>
      <c r="C94" s="125" t="n"/>
      <c r="D94" s="125" t="n"/>
      <c r="E94" s="125" t="n"/>
      <c r="F94" s="125" t="n"/>
      <c r="G94" s="125" t="n"/>
      <c r="I94" s="121" t="n"/>
      <c r="J94" s="19" t="n"/>
      <c r="K94" s="19" t="n"/>
      <c r="L94" s="19" t="n"/>
      <c r="M94" s="20" t="n"/>
      <c r="N94" s="125" t="n"/>
      <c r="O94" s="121" t="n"/>
      <c r="P94" s="19" t="n"/>
      <c r="Q94" s="19" t="n"/>
      <c r="R94" s="19" t="n"/>
      <c r="S94" s="20" t="n"/>
      <c r="T94" s="125" t="n"/>
      <c r="U94" s="121" t="n"/>
      <c r="V94" s="19" t="n"/>
      <c r="W94" s="19" t="n"/>
      <c r="X94" s="19" t="n"/>
      <c r="Y94" s="20" t="n"/>
      <c r="Z94" s="125" t="n"/>
      <c r="AB94" s="121" t="n"/>
      <c r="AC94" s="19" t="n"/>
      <c r="AD94" s="19" t="n"/>
      <c r="AE94" s="19" t="n"/>
      <c r="AF94" s="20" t="n"/>
      <c r="AG94" s="125" t="n"/>
      <c r="AH94" s="121" t="n"/>
      <c r="AI94" s="19" t="n"/>
      <c r="AJ94" s="19" t="n"/>
      <c r="AK94" s="19" t="n"/>
      <c r="AL94" s="20" t="n"/>
      <c r="AM94" s="125" t="n"/>
      <c r="AN94" s="121" t="n"/>
      <c r="AO94" s="19" t="n"/>
      <c r="AP94" s="19" t="n"/>
      <c r="AQ94" s="19" t="n"/>
      <c r="AR94" s="20" t="n"/>
      <c r="AS94" s="125" t="n"/>
    </row>
    <row r="95" hidden="1" outlineLevel="3">
      <c r="A95" s="8" t="n"/>
      <c r="B95" s="14" t="n"/>
      <c r="C95" s="125" t="n"/>
      <c r="D95" s="125" t="n"/>
      <c r="E95" s="125" t="n"/>
      <c r="F95" s="125" t="n"/>
      <c r="G95" s="125" t="n"/>
      <c r="I95" s="21" t="n"/>
      <c r="M95" s="22" t="n"/>
      <c r="N95" s="125" t="n"/>
      <c r="O95" s="21" t="n"/>
      <c r="S95" s="22" t="n"/>
      <c r="T95" s="125" t="n"/>
      <c r="U95" s="21" t="n"/>
      <c r="Y95" s="22" t="n"/>
      <c r="Z95" s="125" t="n"/>
      <c r="AB95" s="21" t="n"/>
      <c r="AF95" s="22" t="n"/>
      <c r="AG95" s="125" t="n"/>
      <c r="AH95" s="21" t="n"/>
      <c r="AL95" s="22" t="n"/>
      <c r="AM95" s="125" t="n"/>
      <c r="AN95" s="21" t="n"/>
      <c r="AR95" s="22" t="n"/>
      <c r="AS95" s="125" t="n"/>
    </row>
    <row r="96" hidden="1" outlineLevel="3">
      <c r="A96" s="8" t="n"/>
      <c r="B96" s="14" t="n"/>
      <c r="C96" s="125" t="n"/>
      <c r="D96" s="125" t="n"/>
      <c r="E96" s="125" t="n"/>
      <c r="F96" s="125" t="n"/>
      <c r="G96" s="125" t="n"/>
      <c r="I96" s="23" t="n"/>
      <c r="J96" s="24" t="n"/>
      <c r="K96" s="24" t="n"/>
      <c r="L96" s="24" t="n"/>
      <c r="M96" s="25" t="n"/>
      <c r="N96" s="125" t="n"/>
      <c r="O96" s="23" t="n"/>
      <c r="P96" s="24" t="n"/>
      <c r="Q96" s="24" t="n"/>
      <c r="R96" s="24" t="n"/>
      <c r="S96" s="25" t="n"/>
      <c r="T96" s="125" t="n"/>
      <c r="U96" s="23" t="n"/>
      <c r="V96" s="24" t="n"/>
      <c r="W96" s="24" t="n"/>
      <c r="X96" s="24" t="n"/>
      <c r="Y96" s="25" t="n"/>
      <c r="Z96" s="125" t="n"/>
      <c r="AB96" s="23" t="n"/>
      <c r="AC96" s="24" t="n"/>
      <c r="AD96" s="24" t="n"/>
      <c r="AE96" s="24" t="n"/>
      <c r="AF96" s="25" t="n"/>
      <c r="AG96" s="125" t="n"/>
      <c r="AH96" s="23" t="n"/>
      <c r="AI96" s="24" t="n"/>
      <c r="AJ96" s="24" t="n"/>
      <c r="AK96" s="24" t="n"/>
      <c r="AL96" s="25" t="n"/>
      <c r="AM96" s="125" t="n"/>
      <c r="AN96" s="23" t="n"/>
      <c r="AO96" s="24" t="n"/>
      <c r="AP96" s="24" t="n"/>
      <c r="AQ96" s="24" t="n"/>
      <c r="AR96" s="25" t="n"/>
      <c r="AS96" s="125" t="n"/>
    </row>
    <row r="97" hidden="1" outlineLevel="2">
      <c r="A97" s="8" t="n"/>
      <c r="B97" s="14" t="n"/>
      <c r="C97" s="125" t="n"/>
      <c r="D97" s="125" t="n"/>
      <c r="E97" s="125" t="n"/>
      <c r="F97" s="125" t="n"/>
      <c r="G97" s="125" t="n"/>
      <c r="I97" s="89" t="inlineStr">
        <is>
          <t>Projétil</t>
        </is>
      </c>
      <c r="J97" s="17" t="n"/>
      <c r="K97" s="68">
        <f>DADOS_INVOC!$QC$5</f>
        <v/>
      </c>
      <c r="L97" s="17" t="n"/>
      <c r="M97" s="68">
        <f>DADOS_INVOC!$PY$5</f>
        <v/>
      </c>
      <c r="N97" s="125" t="n"/>
      <c r="O97" s="89" t="inlineStr">
        <is>
          <t>Projétil</t>
        </is>
      </c>
      <c r="P97" s="17" t="n"/>
      <c r="Q97" s="68">
        <f>DADOS_INVOC!$QC$6</f>
        <v/>
      </c>
      <c r="R97" s="17" t="n"/>
      <c r="S97" s="68">
        <f>DADOS_INVOC!$PY$6</f>
        <v/>
      </c>
      <c r="T97" s="125" t="n"/>
      <c r="U97" s="89" t="inlineStr">
        <is>
          <t>Projétil</t>
        </is>
      </c>
      <c r="V97" s="17" t="n"/>
      <c r="W97" s="68">
        <f>DADOS_INVOC!$QC$7</f>
        <v/>
      </c>
      <c r="X97" s="17" t="n"/>
      <c r="Y97" s="68">
        <f>DADOS_INVOC!$PY$7</f>
        <v/>
      </c>
      <c r="Z97" s="125" t="n"/>
      <c r="AB97" s="89" t="inlineStr">
        <is>
          <t>Projétil</t>
        </is>
      </c>
      <c r="AC97" s="17" t="n"/>
      <c r="AD97" s="68">
        <f>DADOS_INVOC!$QC$83</f>
        <v/>
      </c>
      <c r="AE97" s="17" t="n"/>
      <c r="AF97" s="68">
        <f>DADOS_INVOC!$PY$83</f>
        <v/>
      </c>
      <c r="AG97" s="125" t="n"/>
      <c r="AH97" s="89" t="inlineStr">
        <is>
          <t>Projétil</t>
        </is>
      </c>
      <c r="AI97" s="17" t="n"/>
      <c r="AJ97" s="68">
        <f>DADOS_INVOC!$QC$84</f>
        <v/>
      </c>
      <c r="AK97" s="17" t="n"/>
      <c r="AL97" s="68">
        <f>DADOS_INVOC!$PY$84</f>
        <v/>
      </c>
      <c r="AM97" s="125" t="n"/>
      <c r="AN97" s="89" t="inlineStr">
        <is>
          <t>Projétil</t>
        </is>
      </c>
      <c r="AO97" s="17" t="n"/>
      <c r="AP97" s="68">
        <f>DADOS_INVOC!$QC$85</f>
        <v/>
      </c>
      <c r="AQ97" s="17" t="n"/>
      <c r="AR97" s="68">
        <f>DADOS_INVOC!$PY$85</f>
        <v/>
      </c>
      <c r="AS97" s="125" t="n"/>
    </row>
    <row r="98" hidden="1" outlineLevel="2">
      <c r="A98" s="8" t="n"/>
      <c r="B98" s="14" t="n"/>
      <c r="C98" s="125" t="n"/>
      <c r="D98" s="125" t="n"/>
      <c r="E98" s="125" t="n"/>
      <c r="F98" s="125" t="n"/>
      <c r="G98" s="125" t="n"/>
      <c r="I98" s="89" t="n"/>
      <c r="J98" s="17" t="n"/>
      <c r="K98" s="89" t="n"/>
      <c r="L98" s="16" t="n"/>
      <c r="M98" s="17" t="n"/>
      <c r="N98" s="125" t="n"/>
      <c r="O98" s="89" t="n"/>
      <c r="P98" s="17" t="n"/>
      <c r="Q98" s="89" t="n"/>
      <c r="R98" s="16" t="n"/>
      <c r="S98" s="17" t="n"/>
      <c r="T98" s="125" t="n"/>
      <c r="U98" s="89" t="n"/>
      <c r="V98" s="17" t="n"/>
      <c r="W98" s="89" t="n"/>
      <c r="X98" s="16" t="n"/>
      <c r="Y98" s="17" t="n"/>
      <c r="Z98" s="125" t="n"/>
      <c r="AB98" s="89" t="n"/>
      <c r="AC98" s="17" t="n"/>
      <c r="AD98" s="89" t="n"/>
      <c r="AE98" s="16" t="n"/>
      <c r="AF98" s="17" t="n"/>
      <c r="AG98" s="125" t="n"/>
      <c r="AH98" s="89" t="n"/>
      <c r="AI98" s="17" t="n"/>
      <c r="AJ98" s="89" t="n"/>
      <c r="AK98" s="16" t="n"/>
      <c r="AL98" s="17" t="n"/>
      <c r="AM98" s="125" t="n"/>
      <c r="AN98" s="89" t="n"/>
      <c r="AO98" s="17" t="n"/>
      <c r="AP98" s="89" t="n"/>
      <c r="AQ98" s="16" t="n"/>
      <c r="AR98" s="17" t="n"/>
      <c r="AS98" s="125" t="n"/>
    </row>
    <row r="99" hidden="1" outlineLevel="2">
      <c r="A99" s="8" t="n"/>
      <c r="B99" s="14" t="n"/>
      <c r="C99" s="125" t="n"/>
      <c r="D99" s="125" t="n"/>
      <c r="E99" s="125" t="n"/>
      <c r="F99" s="125" t="n"/>
      <c r="G99" s="125" t="n"/>
      <c r="I99" s="89">
        <f>DADOS_INVOC!$PZ$5</f>
        <v/>
      </c>
      <c r="J99" s="17" t="n"/>
      <c r="K99" s="89">
        <f>DADOS_INVOC!$QB$5</f>
        <v/>
      </c>
      <c r="L99" s="16" t="n"/>
      <c r="M99" s="17" t="n"/>
      <c r="N99" s="125" t="n"/>
      <c r="O99" s="89">
        <f>DADOS_INVOC!$PZ$6</f>
        <v/>
      </c>
      <c r="P99" s="17" t="n"/>
      <c r="Q99" s="89">
        <f>DADOS_INVOC!$QB$6</f>
        <v/>
      </c>
      <c r="R99" s="16" t="n"/>
      <c r="S99" s="17" t="n"/>
      <c r="T99" s="125" t="n"/>
      <c r="U99" s="89">
        <f>DADOS_INVOC!$PZ$7</f>
        <v/>
      </c>
      <c r="V99" s="17" t="n"/>
      <c r="W99" s="89">
        <f>DADOS_INVOC!$QB$7</f>
        <v/>
      </c>
      <c r="X99" s="16" t="n"/>
      <c r="Y99" s="17" t="n"/>
      <c r="Z99" s="125" t="n"/>
      <c r="AB99" s="89">
        <f>DADOS_INVOC!$PZ$83</f>
        <v/>
      </c>
      <c r="AC99" s="17" t="n"/>
      <c r="AD99" s="89">
        <f>DADOS_INVOC!$QB$83</f>
        <v/>
      </c>
      <c r="AE99" s="16" t="n"/>
      <c r="AF99" s="17" t="n"/>
      <c r="AG99" s="125" t="n"/>
      <c r="AH99" s="89">
        <f>DADOS_INVOC!$PZ$84</f>
        <v/>
      </c>
      <c r="AI99" s="17" t="n"/>
      <c r="AJ99" s="89">
        <f>DADOS_INVOC!$QB$84</f>
        <v/>
      </c>
      <c r="AK99" s="16" t="n"/>
      <c r="AL99" s="17" t="n"/>
      <c r="AM99" s="125" t="n"/>
      <c r="AN99" s="89">
        <f>DADOS_INVOC!$PZ$85</f>
        <v/>
      </c>
      <c r="AO99" s="17" t="n"/>
      <c r="AP99" s="89">
        <f>DADOS_INVOC!$QB$85</f>
        <v/>
      </c>
      <c r="AQ99" s="16" t="n"/>
      <c r="AR99" s="17" t="n"/>
      <c r="AS99" s="125" t="n"/>
    </row>
    <row r="100" hidden="1" outlineLevel="2">
      <c r="A100" s="8" t="n"/>
      <c r="B100" s="14" t="n"/>
      <c r="C100" s="125" t="n"/>
      <c r="D100" s="125" t="n"/>
      <c r="E100" s="125" t="n"/>
      <c r="F100" s="125" t="n"/>
      <c r="G100" s="125" t="n"/>
      <c r="I100" s="133">
        <f>DADOS_INVOC!$QH$5</f>
        <v/>
      </c>
      <c r="J100" s="16" t="n"/>
      <c r="K100" s="16" t="n"/>
      <c r="L100" s="16" t="n"/>
      <c r="M100" s="17" t="n"/>
      <c r="N100" s="125" t="n"/>
      <c r="O100" s="133">
        <f>DADOS_INVOC!$QH$6</f>
        <v/>
      </c>
      <c r="P100" s="16" t="n"/>
      <c r="Q100" s="16" t="n"/>
      <c r="R100" s="16" t="n"/>
      <c r="S100" s="17" t="n"/>
      <c r="T100" s="125" t="n"/>
      <c r="U100" s="133">
        <f>DADOS_INVOC!$QH$7</f>
        <v/>
      </c>
      <c r="V100" s="16" t="n"/>
      <c r="W100" s="16" t="n"/>
      <c r="X100" s="16" t="n"/>
      <c r="Y100" s="17" t="n"/>
      <c r="Z100" s="125" t="n"/>
      <c r="AB100" s="133">
        <f>DADOS_INVOC!$QH$83</f>
        <v/>
      </c>
      <c r="AC100" s="16" t="n"/>
      <c r="AD100" s="16" t="n"/>
      <c r="AE100" s="16" t="n"/>
      <c r="AF100" s="17" t="n"/>
      <c r="AG100" s="125" t="n"/>
      <c r="AH100" s="133">
        <f>DADOS_INVOC!$QH$84</f>
        <v/>
      </c>
      <c r="AI100" s="16" t="n"/>
      <c r="AJ100" s="16" t="n"/>
      <c r="AK100" s="16" t="n"/>
      <c r="AL100" s="17" t="n"/>
      <c r="AM100" s="125" t="n"/>
      <c r="AN100" s="133">
        <f>DADOS_INVOC!$QH$85</f>
        <v/>
      </c>
      <c r="AO100" s="16" t="n"/>
      <c r="AP100" s="16" t="n"/>
      <c r="AQ100" s="16" t="n"/>
      <c r="AR100" s="17" t="n"/>
      <c r="AS100" s="125" t="n"/>
    </row>
    <row r="101" hidden="1" outlineLevel="3">
      <c r="A101" s="8" t="n"/>
      <c r="B101" s="14" t="n"/>
      <c r="C101" s="125" t="n"/>
      <c r="D101" s="125" t="n"/>
      <c r="E101" s="125" t="n"/>
      <c r="F101" s="125" t="n"/>
      <c r="G101" s="125" t="n"/>
      <c r="I101" s="55" t="inlineStr">
        <is>
          <t>MELHORIAS</t>
        </is>
      </c>
      <c r="J101" s="134" t="n"/>
      <c r="K101" s="16" t="n"/>
      <c r="L101" s="17" t="n"/>
      <c r="M101" s="133">
        <f>DADOS_INVOC!$QK$5</f>
        <v/>
      </c>
      <c r="N101" s="125" t="n"/>
      <c r="O101" s="55" t="inlineStr">
        <is>
          <t>MELHORIAS</t>
        </is>
      </c>
      <c r="P101" s="134" t="n"/>
      <c r="Q101" s="16" t="n"/>
      <c r="R101" s="17" t="n"/>
      <c r="S101" s="133">
        <f>DADOS_INVOC!$QK$6</f>
        <v/>
      </c>
      <c r="T101" s="125" t="n"/>
      <c r="U101" s="55" t="inlineStr">
        <is>
          <t>MELHORIAS</t>
        </is>
      </c>
      <c r="V101" s="134" t="n"/>
      <c r="W101" s="16" t="n"/>
      <c r="X101" s="17" t="n"/>
      <c r="Y101" s="133">
        <f>DADOS_INVOC!$QK$7</f>
        <v/>
      </c>
      <c r="Z101" s="125" t="n"/>
      <c r="AB101" s="55" t="inlineStr">
        <is>
          <t>MELHORIAS</t>
        </is>
      </c>
      <c r="AC101" s="134" t="n"/>
      <c r="AD101" s="16" t="n"/>
      <c r="AE101" s="17" t="n"/>
      <c r="AF101" s="133">
        <f>DADOS_INVOC!$QK$83</f>
        <v/>
      </c>
      <c r="AG101" s="125" t="n"/>
      <c r="AH101" s="55" t="inlineStr">
        <is>
          <t>MELHORIAS</t>
        </is>
      </c>
      <c r="AI101" s="134" t="n"/>
      <c r="AJ101" s="16" t="n"/>
      <c r="AK101" s="17" t="n"/>
      <c r="AL101" s="133">
        <f>DADOS_INVOC!$QK$84</f>
        <v/>
      </c>
      <c r="AM101" s="125" t="n"/>
      <c r="AN101" s="55" t="inlineStr">
        <is>
          <t>MELHORIAS</t>
        </is>
      </c>
      <c r="AO101" s="134" t="n"/>
      <c r="AP101" s="16" t="n"/>
      <c r="AQ101" s="17" t="n"/>
      <c r="AR101" s="133">
        <f>DADOS_INVOC!$QK$85</f>
        <v/>
      </c>
      <c r="AS101" s="125" t="n"/>
    </row>
    <row r="102" hidden="1" outlineLevel="3">
      <c r="A102" s="8" t="n"/>
      <c r="B102" s="14" t="n"/>
      <c r="C102" s="125" t="n"/>
      <c r="D102" s="125" t="n"/>
      <c r="E102" s="125" t="n"/>
      <c r="F102" s="125" t="n"/>
      <c r="G102" s="125" t="n"/>
      <c r="I102" s="135" t="n"/>
      <c r="J102" s="134" t="n"/>
      <c r="K102" s="16" t="n"/>
      <c r="L102" s="17" t="n"/>
      <c r="M102" s="133">
        <f>DADOS_INVOC!$QL$5</f>
        <v/>
      </c>
      <c r="N102" s="125" t="n"/>
      <c r="O102" s="135" t="n"/>
      <c r="P102" s="134" t="n"/>
      <c r="Q102" s="16" t="n"/>
      <c r="R102" s="17" t="n"/>
      <c r="S102" s="133">
        <f>DADOS_INVOC!$QL$6</f>
        <v/>
      </c>
      <c r="T102" s="125" t="n"/>
      <c r="U102" s="135" t="n"/>
      <c r="V102" s="134" t="n"/>
      <c r="W102" s="16" t="n"/>
      <c r="X102" s="17" t="n"/>
      <c r="Y102" s="133">
        <f>DADOS_INVOC!$QL$7</f>
        <v/>
      </c>
      <c r="Z102" s="125" t="n"/>
      <c r="AB102" s="135" t="n"/>
      <c r="AC102" s="134" t="n"/>
      <c r="AD102" s="16" t="n"/>
      <c r="AE102" s="17" t="n"/>
      <c r="AF102" s="133">
        <f>DADOS_INVOC!$QL$83</f>
        <v/>
      </c>
      <c r="AG102" s="125" t="n"/>
      <c r="AH102" s="135" t="n"/>
      <c r="AI102" s="134" t="n"/>
      <c r="AJ102" s="16" t="n"/>
      <c r="AK102" s="17" t="n"/>
      <c r="AL102" s="133">
        <f>DADOS_INVOC!$QL$84</f>
        <v/>
      </c>
      <c r="AM102" s="125" t="n"/>
      <c r="AN102" s="135" t="n"/>
      <c r="AO102" s="134" t="n"/>
      <c r="AP102" s="16" t="n"/>
      <c r="AQ102" s="17" t="n"/>
      <c r="AR102" s="133">
        <f>DADOS_INVOC!$QL$85</f>
        <v/>
      </c>
      <c r="AS102" s="125" t="n"/>
    </row>
    <row r="103" hidden="1" outlineLevel="3">
      <c r="A103" s="8" t="n"/>
      <c r="B103" s="14" t="n"/>
      <c r="C103" s="125" t="n"/>
      <c r="D103" s="125" t="n"/>
      <c r="E103" s="125" t="n"/>
      <c r="F103" s="125" t="n"/>
      <c r="G103" s="125" t="n"/>
      <c r="I103" s="135" t="n"/>
      <c r="J103" s="134" t="n"/>
      <c r="K103" s="16" t="n"/>
      <c r="L103" s="17" t="n"/>
      <c r="M103" s="133">
        <f>DADOS_INVOC!$QM$5</f>
        <v/>
      </c>
      <c r="N103" s="125" t="n"/>
      <c r="O103" s="135" t="n"/>
      <c r="P103" s="134" t="n"/>
      <c r="Q103" s="16" t="n"/>
      <c r="R103" s="17" t="n"/>
      <c r="S103" s="133">
        <f>DADOS_INVOC!$QM$6</f>
        <v/>
      </c>
      <c r="T103" s="125" t="n"/>
      <c r="U103" s="135" t="n"/>
      <c r="V103" s="134" t="n"/>
      <c r="W103" s="16" t="n"/>
      <c r="X103" s="17" t="n"/>
      <c r="Y103" s="133">
        <f>DADOS_INVOC!$QM$7</f>
        <v/>
      </c>
      <c r="Z103" s="125" t="n"/>
      <c r="AB103" s="135" t="n"/>
      <c r="AC103" s="134" t="n"/>
      <c r="AD103" s="16" t="n"/>
      <c r="AE103" s="17" t="n"/>
      <c r="AF103" s="133">
        <f>DADOS_INVOC!$QM$83</f>
        <v/>
      </c>
      <c r="AG103" s="125" t="n"/>
      <c r="AH103" s="135" t="n"/>
      <c r="AI103" s="134" t="n"/>
      <c r="AJ103" s="16" t="n"/>
      <c r="AK103" s="17" t="n"/>
      <c r="AL103" s="133">
        <f>DADOS_INVOC!$QM$84</f>
        <v/>
      </c>
      <c r="AM103" s="125" t="n"/>
      <c r="AN103" s="135" t="n"/>
      <c r="AO103" s="134" t="n"/>
      <c r="AP103" s="16" t="n"/>
      <c r="AQ103" s="17" t="n"/>
      <c r="AR103" s="133">
        <f>DADOS_INVOC!$QM$85</f>
        <v/>
      </c>
      <c r="AS103" s="125" t="n"/>
    </row>
    <row r="104" hidden="1" outlineLevel="3">
      <c r="A104" s="8" t="n"/>
      <c r="B104" s="14" t="n"/>
      <c r="C104" s="125" t="n"/>
      <c r="D104" s="125" t="n"/>
      <c r="E104" s="125" t="n"/>
      <c r="F104" s="125" t="n"/>
      <c r="G104" s="125" t="n"/>
      <c r="I104" s="129" t="n"/>
      <c r="J104" s="134" t="n"/>
      <c r="K104" s="16" t="n"/>
      <c r="L104" s="17" t="n"/>
      <c r="M104" s="133">
        <f>DADOS_INVOC!$QN$5</f>
        <v/>
      </c>
      <c r="N104" s="125" t="n"/>
      <c r="O104" s="129" t="n"/>
      <c r="P104" s="134" t="n"/>
      <c r="Q104" s="16" t="n"/>
      <c r="R104" s="17" t="n"/>
      <c r="S104" s="133">
        <f>DADOS_INVOC!$QN$6</f>
        <v/>
      </c>
      <c r="T104" s="125" t="n"/>
      <c r="U104" s="129" t="n"/>
      <c r="V104" s="134" t="n"/>
      <c r="W104" s="16" t="n"/>
      <c r="X104" s="17" t="n"/>
      <c r="Y104" s="133">
        <f>DADOS_INVOC!$QN$7</f>
        <v/>
      </c>
      <c r="Z104" s="125" t="n"/>
      <c r="AB104" s="129" t="n"/>
      <c r="AC104" s="134" t="n"/>
      <c r="AD104" s="16" t="n"/>
      <c r="AE104" s="17" t="n"/>
      <c r="AF104" s="133">
        <f>DADOS_INVOC!$QN$83</f>
        <v/>
      </c>
      <c r="AG104" s="125" t="n"/>
      <c r="AH104" s="129" t="n"/>
      <c r="AI104" s="134" t="n"/>
      <c r="AJ104" s="16" t="n"/>
      <c r="AK104" s="17" t="n"/>
      <c r="AL104" s="133">
        <f>DADOS_INVOC!$QN$84</f>
        <v/>
      </c>
      <c r="AM104" s="125" t="n"/>
      <c r="AN104" s="129" t="n"/>
      <c r="AO104" s="134" t="n"/>
      <c r="AP104" s="16" t="n"/>
      <c r="AQ104" s="17" t="n"/>
      <c r="AR104" s="133">
        <f>DADOS_INVOC!$QN$85</f>
        <v/>
      </c>
      <c r="AS104" s="125" t="n"/>
    </row>
    <row r="105" hidden="1" outlineLevel="3">
      <c r="A105" s="8" t="n"/>
      <c r="B105" s="14" t="n"/>
      <c r="C105" s="125" t="n"/>
      <c r="D105" s="125" t="n"/>
      <c r="E105" s="125" t="n"/>
      <c r="F105" s="125" t="n"/>
      <c r="G105" s="125" t="n"/>
      <c r="I105" s="55" t="inlineStr">
        <is>
          <t>RESTRIÇÕES</t>
        </is>
      </c>
      <c r="J105" s="134" t="n"/>
      <c r="K105" s="16" t="n"/>
      <c r="L105" s="17" t="n"/>
      <c r="M105" s="133">
        <f>DADOS_INVOC!$QO$5</f>
        <v/>
      </c>
      <c r="N105" s="125" t="n"/>
      <c r="O105" s="55" t="inlineStr">
        <is>
          <t>RESTRIÇÕES</t>
        </is>
      </c>
      <c r="P105" s="134" t="n"/>
      <c r="Q105" s="16" t="n"/>
      <c r="R105" s="17" t="n"/>
      <c r="S105" s="133">
        <f>DADOS_INVOC!$QO$6</f>
        <v/>
      </c>
      <c r="T105" s="125" t="n"/>
      <c r="U105" s="55" t="inlineStr">
        <is>
          <t>RESTRIÇÕES</t>
        </is>
      </c>
      <c r="V105" s="134" t="n"/>
      <c r="W105" s="16" t="n"/>
      <c r="X105" s="17" t="n"/>
      <c r="Y105" s="133">
        <f>DADOS_INVOC!$QO$7</f>
        <v/>
      </c>
      <c r="Z105" s="125" t="n"/>
      <c r="AB105" s="55" t="inlineStr">
        <is>
          <t>RESTRIÇÕES</t>
        </is>
      </c>
      <c r="AC105" s="134" t="n"/>
      <c r="AD105" s="16" t="n"/>
      <c r="AE105" s="17" t="n"/>
      <c r="AF105" s="133">
        <f>DADOS_INVOC!$QO$83</f>
        <v/>
      </c>
      <c r="AG105" s="125" t="n"/>
      <c r="AH105" s="55" t="inlineStr">
        <is>
          <t>RESTRIÇÕES</t>
        </is>
      </c>
      <c r="AI105" s="134" t="n"/>
      <c r="AJ105" s="16" t="n"/>
      <c r="AK105" s="17" t="n"/>
      <c r="AL105" s="133">
        <f>DADOS_INVOC!$QO$84</f>
        <v/>
      </c>
      <c r="AM105" s="125" t="n"/>
      <c r="AN105" s="55" t="inlineStr">
        <is>
          <t>RESTRIÇÕES</t>
        </is>
      </c>
      <c r="AO105" s="134" t="n"/>
      <c r="AP105" s="16" t="n"/>
      <c r="AQ105" s="17" t="n"/>
      <c r="AR105" s="133">
        <f>DADOS_INVOC!$QO$85</f>
        <v/>
      </c>
      <c r="AS105" s="125" t="n"/>
    </row>
    <row r="106" hidden="1" outlineLevel="3">
      <c r="A106" s="8" t="n"/>
      <c r="B106" s="14" t="n"/>
      <c r="C106" s="125" t="n"/>
      <c r="D106" s="125" t="n"/>
      <c r="E106" s="125" t="n"/>
      <c r="F106" s="125" t="n"/>
      <c r="G106" s="125" t="n"/>
      <c r="I106" s="129" t="n"/>
      <c r="J106" s="134" t="n"/>
      <c r="K106" s="16" t="n"/>
      <c r="L106" s="17" t="n"/>
      <c r="M106" s="133">
        <f>DADOS_INVOC!$QP$5</f>
        <v/>
      </c>
      <c r="N106" s="125" t="n"/>
      <c r="O106" s="129" t="n"/>
      <c r="P106" s="134" t="n"/>
      <c r="Q106" s="16" t="n"/>
      <c r="R106" s="17" t="n"/>
      <c r="S106" s="133">
        <f>DADOS_INVOC!$QP$6</f>
        <v/>
      </c>
      <c r="T106" s="125" t="n"/>
      <c r="U106" s="129" t="n"/>
      <c r="V106" s="134" t="n"/>
      <c r="W106" s="16" t="n"/>
      <c r="X106" s="17" t="n"/>
      <c r="Y106" s="133">
        <f>DADOS_INVOC!$QP$7</f>
        <v/>
      </c>
      <c r="Z106" s="125" t="n"/>
      <c r="AB106" s="129" t="n"/>
      <c r="AC106" s="134" t="n"/>
      <c r="AD106" s="16" t="n"/>
      <c r="AE106" s="17" t="n"/>
      <c r="AF106" s="133">
        <f>DADOS_INVOC!$QP$83</f>
        <v/>
      </c>
      <c r="AG106" s="125" t="n"/>
      <c r="AH106" s="129" t="n"/>
      <c r="AI106" s="134" t="n"/>
      <c r="AJ106" s="16" t="n"/>
      <c r="AK106" s="17" t="n"/>
      <c r="AL106" s="133">
        <f>DADOS_INVOC!$QP$84</f>
        <v/>
      </c>
      <c r="AM106" s="125" t="n"/>
      <c r="AN106" s="129" t="n"/>
      <c r="AO106" s="134" t="n"/>
      <c r="AP106" s="16" t="n"/>
      <c r="AQ106" s="17" t="n"/>
      <c r="AR106" s="133">
        <f>DADOS_INVOC!$QP$85</f>
        <v/>
      </c>
      <c r="AS106" s="125" t="n"/>
    </row>
    <row r="107" hidden="1" outlineLevel="3">
      <c r="A107" s="8" t="n"/>
      <c r="B107" s="14" t="n"/>
      <c r="C107" s="125" t="n"/>
      <c r="D107" s="125" t="n"/>
      <c r="E107" s="125" t="n"/>
      <c r="F107" s="125" t="n"/>
      <c r="G107" s="125" t="n"/>
      <c r="I107" s="55" t="inlineStr">
        <is>
          <t>CONTA</t>
        </is>
      </c>
      <c r="J107" s="136">
        <f>DADOS_INVOC!$QI$5</f>
        <v/>
      </c>
      <c r="K107" s="16" t="n"/>
      <c r="L107" s="16" t="n"/>
      <c r="M107" s="17" t="n"/>
      <c r="N107" s="125" t="n"/>
      <c r="O107" s="55" t="inlineStr">
        <is>
          <t>CONTA</t>
        </is>
      </c>
      <c r="P107" s="136">
        <f>DADOS_INVOC!$QI$6</f>
        <v/>
      </c>
      <c r="Q107" s="16" t="n"/>
      <c r="R107" s="16" t="n"/>
      <c r="S107" s="17" t="n"/>
      <c r="T107" s="125" t="n"/>
      <c r="U107" s="55" t="inlineStr">
        <is>
          <t>CONTA</t>
        </is>
      </c>
      <c r="V107" s="136">
        <f>DADOS_INVOC!$QI$7</f>
        <v/>
      </c>
      <c r="W107" s="16" t="n"/>
      <c r="X107" s="16" t="n"/>
      <c r="Y107" s="17" t="n"/>
      <c r="Z107" s="125" t="n"/>
      <c r="AB107" s="55" t="inlineStr">
        <is>
          <t>CONTA</t>
        </is>
      </c>
      <c r="AC107" s="136">
        <f>DADOS_INVOC!$QI$83</f>
        <v/>
      </c>
      <c r="AD107" s="16" t="n"/>
      <c r="AE107" s="16" t="n"/>
      <c r="AF107" s="17" t="n"/>
      <c r="AG107" s="125" t="n"/>
      <c r="AH107" s="55" t="inlineStr">
        <is>
          <t>CONTA</t>
        </is>
      </c>
      <c r="AI107" s="136">
        <f>DADOS_INVOC!$QI$84</f>
        <v/>
      </c>
      <c r="AJ107" s="16" t="n"/>
      <c r="AK107" s="16" t="n"/>
      <c r="AL107" s="17" t="n"/>
      <c r="AM107" s="125" t="n"/>
      <c r="AN107" s="55" t="inlineStr">
        <is>
          <t>CONTA</t>
        </is>
      </c>
      <c r="AO107" s="136">
        <f>DADOS_INVOC!$QI$85</f>
        <v/>
      </c>
      <c r="AP107" s="16" t="n"/>
      <c r="AQ107" s="16" t="n"/>
      <c r="AR107" s="17" t="n"/>
      <c r="AS107" s="125" t="n"/>
    </row>
    <row r="108" hidden="1" outlineLevel="3">
      <c r="A108" s="8" t="n"/>
      <c r="B108" s="14" t="n"/>
      <c r="C108" s="125" t="n"/>
      <c r="D108" s="125" t="n"/>
      <c r="E108" s="125" t="n"/>
      <c r="F108" s="125" t="n"/>
      <c r="G108" s="125" t="n"/>
      <c r="I108" s="55" t="inlineStr">
        <is>
          <t>AMPLIAR</t>
        </is>
      </c>
      <c r="J108" s="136">
        <f>DADOS_INVOC!$QJ$5</f>
        <v/>
      </c>
      <c r="K108" s="19" t="n"/>
      <c r="L108" s="19" t="n"/>
      <c r="M108" s="20" t="n"/>
      <c r="N108" s="125" t="n"/>
      <c r="O108" s="55" t="inlineStr">
        <is>
          <t>AMPLIAR</t>
        </is>
      </c>
      <c r="P108" s="136">
        <f>DADOS_INVOC!$QJ$6</f>
        <v/>
      </c>
      <c r="Q108" s="19" t="n"/>
      <c r="R108" s="19" t="n"/>
      <c r="S108" s="20" t="n"/>
      <c r="T108" s="125" t="n"/>
      <c r="U108" s="55" t="inlineStr">
        <is>
          <t>AMPLIAR</t>
        </is>
      </c>
      <c r="V108" s="136">
        <f>DADOS_INVOC!$QJ$7</f>
        <v/>
      </c>
      <c r="W108" s="19" t="n"/>
      <c r="X108" s="19" t="n"/>
      <c r="Y108" s="20" t="n"/>
      <c r="Z108" s="125" t="n"/>
      <c r="AB108" s="55" t="inlineStr">
        <is>
          <t>AMPLIAR</t>
        </is>
      </c>
      <c r="AC108" s="136">
        <f>DADOS_INVOC!$QJ$83</f>
        <v/>
      </c>
      <c r="AD108" s="19" t="n"/>
      <c r="AE108" s="19" t="n"/>
      <c r="AF108" s="20" t="n"/>
      <c r="AG108" s="125" t="n"/>
      <c r="AH108" s="55" t="inlineStr">
        <is>
          <t>AMPLIAR</t>
        </is>
      </c>
      <c r="AI108" s="136">
        <f>DADOS_INVOC!$QJ$84</f>
        <v/>
      </c>
      <c r="AJ108" s="19" t="n"/>
      <c r="AK108" s="19" t="n"/>
      <c r="AL108" s="20" t="n"/>
      <c r="AM108" s="125" t="n"/>
      <c r="AN108" s="55" t="inlineStr">
        <is>
          <t>AMPLIAR</t>
        </is>
      </c>
      <c r="AO108" s="136">
        <f>DADOS_INVOC!$QJ$85</f>
        <v/>
      </c>
      <c r="AP108" s="19" t="n"/>
      <c r="AQ108" s="19" t="n"/>
      <c r="AR108" s="20" t="n"/>
      <c r="AS108" s="125" t="n"/>
    </row>
    <row r="109" hidden="1" outlineLevel="3">
      <c r="A109" s="8" t="n"/>
      <c r="B109" s="14" t="n"/>
      <c r="C109" s="125" t="n"/>
      <c r="D109" s="125" t="n"/>
      <c r="E109" s="125" t="n"/>
      <c r="F109" s="125" t="n"/>
      <c r="G109" s="125" t="n"/>
      <c r="I109" s="129" t="n"/>
      <c r="J109" s="23" t="n"/>
      <c r="K109" s="24" t="n"/>
      <c r="L109" s="24" t="n"/>
      <c r="M109" s="25" t="n"/>
      <c r="N109" s="125" t="n"/>
      <c r="O109" s="129" t="n"/>
      <c r="P109" s="23" t="n"/>
      <c r="Q109" s="24" t="n"/>
      <c r="R109" s="24" t="n"/>
      <c r="S109" s="25" t="n"/>
      <c r="T109" s="125" t="n"/>
      <c r="U109" s="129" t="n"/>
      <c r="V109" s="23" t="n"/>
      <c r="W109" s="24" t="n"/>
      <c r="X109" s="24" t="n"/>
      <c r="Y109" s="25" t="n"/>
      <c r="Z109" s="125" t="n"/>
      <c r="AB109" s="129" t="n"/>
      <c r="AC109" s="23" t="n"/>
      <c r="AD109" s="24" t="n"/>
      <c r="AE109" s="24" t="n"/>
      <c r="AF109" s="25" t="n"/>
      <c r="AG109" s="125" t="n"/>
      <c r="AH109" s="129" t="n"/>
      <c r="AI109" s="23" t="n"/>
      <c r="AJ109" s="24" t="n"/>
      <c r="AK109" s="24" t="n"/>
      <c r="AL109" s="25" t="n"/>
      <c r="AM109" s="125" t="n"/>
      <c r="AN109" s="129" t="n"/>
      <c r="AO109" s="23" t="n"/>
      <c r="AP109" s="24" t="n"/>
      <c r="AQ109" s="24" t="n"/>
      <c r="AR109" s="25" t="n"/>
      <c r="AS109" s="125" t="n"/>
    </row>
    <row r="110" hidden="1" outlineLevel="3">
      <c r="A110" s="8" t="n"/>
      <c r="B110" s="14" t="n"/>
      <c r="C110" s="125" t="n"/>
      <c r="D110" s="125" t="n"/>
      <c r="E110" s="125" t="n"/>
      <c r="F110" s="125" t="n"/>
      <c r="G110" s="125" t="n"/>
      <c r="I110" s="136">
        <f>DADOS_INVOC!$PW$5</f>
        <v/>
      </c>
      <c r="J110" s="19" t="n"/>
      <c r="K110" s="19" t="n"/>
      <c r="L110" s="19" t="n"/>
      <c r="M110" s="20" t="n"/>
      <c r="N110" s="125" t="n"/>
      <c r="O110" s="136">
        <f>DADOS_INVOC!$PW$6</f>
        <v/>
      </c>
      <c r="P110" s="19" t="n"/>
      <c r="Q110" s="19" t="n"/>
      <c r="R110" s="19" t="n"/>
      <c r="S110" s="20" t="n"/>
      <c r="T110" s="125" t="n"/>
      <c r="U110" s="136">
        <f>DADOS_INVOC!$PW$7</f>
        <v/>
      </c>
      <c r="V110" s="19" t="n"/>
      <c r="W110" s="19" t="n"/>
      <c r="X110" s="19" t="n"/>
      <c r="Y110" s="20" t="n"/>
      <c r="Z110" s="125" t="n"/>
      <c r="AB110" s="136">
        <f>DADOS_INVOC!$PW$83</f>
        <v/>
      </c>
      <c r="AC110" s="19" t="n"/>
      <c r="AD110" s="19" t="n"/>
      <c r="AE110" s="19" t="n"/>
      <c r="AF110" s="20" t="n"/>
      <c r="AG110" s="125" t="n"/>
      <c r="AH110" s="136">
        <f>DADOS_INVOC!$PW$84</f>
        <v/>
      </c>
      <c r="AI110" s="19" t="n"/>
      <c r="AJ110" s="19" t="n"/>
      <c r="AK110" s="19" t="n"/>
      <c r="AL110" s="20" t="n"/>
      <c r="AM110" s="125" t="n"/>
      <c r="AN110" s="136">
        <f>DADOS_INVOC!$PW$85</f>
        <v/>
      </c>
      <c r="AO110" s="19" t="n"/>
      <c r="AP110" s="19" t="n"/>
      <c r="AQ110" s="19" t="n"/>
      <c r="AR110" s="20" t="n"/>
      <c r="AS110" s="125" t="n"/>
    </row>
    <row r="111" hidden="1" outlineLevel="3">
      <c r="A111" s="8" t="n"/>
      <c r="B111" s="14" t="n"/>
      <c r="C111" s="125" t="n"/>
      <c r="D111" s="125" t="n"/>
      <c r="E111" s="125" t="n"/>
      <c r="F111" s="125" t="n"/>
      <c r="G111" s="125" t="n"/>
      <c r="I111" s="23" t="n"/>
      <c r="J111" s="24" t="n"/>
      <c r="K111" s="24" t="n"/>
      <c r="L111" s="24" t="n"/>
      <c r="M111" s="25" t="n"/>
      <c r="N111" s="125" t="n"/>
      <c r="O111" s="23" t="n"/>
      <c r="P111" s="24" t="n"/>
      <c r="Q111" s="24" t="n"/>
      <c r="R111" s="24" t="n"/>
      <c r="S111" s="25" t="n"/>
      <c r="T111" s="125" t="n"/>
      <c r="U111" s="23" t="n"/>
      <c r="V111" s="24" t="n"/>
      <c r="W111" s="24" t="n"/>
      <c r="X111" s="24" t="n"/>
      <c r="Y111" s="25" t="n"/>
      <c r="Z111" s="125" t="n"/>
      <c r="AB111" s="23" t="n"/>
      <c r="AC111" s="24" t="n"/>
      <c r="AD111" s="24" t="n"/>
      <c r="AE111" s="24" t="n"/>
      <c r="AF111" s="25" t="n"/>
      <c r="AG111" s="125" t="n"/>
      <c r="AH111" s="23" t="n"/>
      <c r="AI111" s="24" t="n"/>
      <c r="AJ111" s="24" t="n"/>
      <c r="AK111" s="24" t="n"/>
      <c r="AL111" s="25" t="n"/>
      <c r="AM111" s="125" t="n"/>
      <c r="AN111" s="23" t="n"/>
      <c r="AO111" s="24" t="n"/>
      <c r="AP111" s="24" t="n"/>
      <c r="AQ111" s="24" t="n"/>
      <c r="AR111" s="25" t="n"/>
      <c r="AS111" s="125" t="n"/>
    </row>
    <row r="112" hidden="1" outlineLevel="2">
      <c r="A112" s="8" t="n"/>
      <c r="B112" s="14" t="n"/>
      <c r="C112" s="125" t="n"/>
      <c r="D112" s="125" t="n"/>
      <c r="E112" s="125" t="n"/>
      <c r="F112" s="125" t="n"/>
      <c r="G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row>
    <row r="113" hidden="1" outlineLevel="2">
      <c r="A113" s="8" t="n"/>
      <c r="B113" s="14" t="n"/>
      <c r="C113" s="125" t="n"/>
      <c r="D113" s="125" t="n"/>
      <c r="E113" s="125" t="n"/>
      <c r="F113" s="125" t="n"/>
      <c r="G113" s="125" t="n"/>
      <c r="I113" s="55">
        <f>DADOS_INVOC!$PX$8</f>
        <v/>
      </c>
      <c r="J113" s="16" t="n"/>
      <c r="K113" s="16" t="n"/>
      <c r="L113" s="16" t="n"/>
      <c r="M113" s="17" t="n"/>
      <c r="N113" s="125" t="n"/>
      <c r="O113" s="55">
        <f>DADOS_INVOC!$PX$9</f>
        <v/>
      </c>
      <c r="P113" s="16" t="n"/>
      <c r="Q113" s="16" t="n"/>
      <c r="R113" s="16" t="n"/>
      <c r="S113" s="17" t="n"/>
      <c r="T113" s="125" t="n"/>
      <c r="U113" s="55">
        <f>DADOS_INVOC!$PX$10</f>
        <v/>
      </c>
      <c r="V113" s="16" t="n"/>
      <c r="W113" s="16" t="n"/>
      <c r="X113" s="16" t="n"/>
      <c r="Y113" s="17" t="n"/>
      <c r="Z113" s="125" t="n"/>
      <c r="AB113" s="55">
        <f>DADOS_INVOC!$PX$86</f>
        <v/>
      </c>
      <c r="AC113" s="16" t="n"/>
      <c r="AD113" s="16" t="n"/>
      <c r="AE113" s="16" t="n"/>
      <c r="AF113" s="17" t="n"/>
      <c r="AG113" s="125" t="n"/>
      <c r="AH113" s="55">
        <f>DADOS_INVOC!$PX$87</f>
        <v/>
      </c>
      <c r="AI113" s="16" t="n"/>
      <c r="AJ113" s="16" t="n"/>
      <c r="AK113" s="16" t="n"/>
      <c r="AL113" s="17" t="n"/>
      <c r="AM113" s="125" t="n"/>
      <c r="AN113" s="55">
        <f>DADOS_INVOC!$PX$88</f>
        <v/>
      </c>
      <c r="AO113" s="16" t="n"/>
      <c r="AP113" s="16" t="n"/>
      <c r="AQ113" s="16" t="n"/>
      <c r="AR113" s="17" t="n"/>
      <c r="AS113" s="125" t="n"/>
    </row>
    <row r="114" hidden="1" outlineLevel="2">
      <c r="A114" s="8" t="n"/>
      <c r="B114" s="14" t="n"/>
      <c r="C114" s="125" t="n"/>
      <c r="D114" s="125" t="n"/>
      <c r="E114" s="125" t="n"/>
      <c r="F114" s="125" t="n"/>
      <c r="G114" s="125" t="n"/>
      <c r="I114" s="131" t="n">
        <v>1</v>
      </c>
      <c r="J114" s="120" t="n"/>
      <c r="K114" s="16" t="n"/>
      <c r="L114" s="17" t="n"/>
      <c r="M114" s="132">
        <f>DADOS_INVOC!$PV$8</f>
        <v/>
      </c>
      <c r="N114" s="125" t="n"/>
      <c r="O114" s="131" t="n">
        <v>1</v>
      </c>
      <c r="P114" s="120" t="n"/>
      <c r="Q114" s="16" t="n"/>
      <c r="R114" s="17" t="n"/>
      <c r="S114" s="132">
        <f>DADOS_INVOC!$PV$9</f>
        <v/>
      </c>
      <c r="T114" s="125" t="n"/>
      <c r="U114" s="131" t="n">
        <v>1</v>
      </c>
      <c r="V114" s="120" t="n"/>
      <c r="W114" s="16" t="n"/>
      <c r="X114" s="17" t="n"/>
      <c r="Y114" s="132">
        <f>DADOS_INVOC!$PV$10</f>
        <v/>
      </c>
      <c r="Z114" s="125" t="n"/>
      <c r="AB114" s="131" t="n">
        <v>1</v>
      </c>
      <c r="AC114" s="120" t="n"/>
      <c r="AD114" s="16" t="n"/>
      <c r="AE114" s="17" t="n"/>
      <c r="AF114" s="132">
        <f>DADOS_INVOC!$PV$86</f>
        <v/>
      </c>
      <c r="AG114" s="125" t="n"/>
      <c r="AH114" s="131" t="n">
        <v>1</v>
      </c>
      <c r="AI114" s="120" t="n"/>
      <c r="AJ114" s="16" t="n"/>
      <c r="AK114" s="17" t="n"/>
      <c r="AL114" s="132">
        <f>DADOS_INVOC!$PV$87</f>
        <v/>
      </c>
      <c r="AM114" s="125" t="n"/>
      <c r="AN114" s="131" t="n">
        <v>1</v>
      </c>
      <c r="AO114" s="120" t="n"/>
      <c r="AP114" s="16" t="n"/>
      <c r="AQ114" s="17" t="n"/>
      <c r="AR114" s="132">
        <f>DADOS_INVOC!$PV$88</f>
        <v/>
      </c>
      <c r="AS114" s="125" t="n"/>
    </row>
    <row r="115" hidden="1" outlineLevel="3">
      <c r="A115" s="8" t="n"/>
      <c r="B115" s="14" t="n"/>
      <c r="C115" s="125" t="n"/>
      <c r="D115" s="125" t="n"/>
      <c r="E115" s="125" t="n"/>
      <c r="F115" s="125" t="n"/>
      <c r="G115" s="125" t="n"/>
      <c r="I115" s="55" t="inlineStr">
        <is>
          <t>COMO É</t>
        </is>
      </c>
      <c r="J115" s="16" t="n"/>
      <c r="K115" s="16" t="n"/>
      <c r="L115" s="16" t="n"/>
      <c r="M115" s="17" t="n"/>
      <c r="N115" s="125" t="n"/>
      <c r="O115" s="55" t="inlineStr">
        <is>
          <t>COMO É</t>
        </is>
      </c>
      <c r="P115" s="16" t="n"/>
      <c r="Q115" s="16" t="n"/>
      <c r="R115" s="16" t="n"/>
      <c r="S115" s="17" t="n"/>
      <c r="T115" s="125" t="n"/>
      <c r="U115" s="55" t="inlineStr">
        <is>
          <t>COMO É</t>
        </is>
      </c>
      <c r="V115" s="16" t="n"/>
      <c r="W115" s="16" t="n"/>
      <c r="X115" s="16" t="n"/>
      <c r="Y115" s="17" t="n"/>
      <c r="Z115" s="125" t="n"/>
      <c r="AB115" s="55" t="inlineStr">
        <is>
          <t>COMO É</t>
        </is>
      </c>
      <c r="AC115" s="16" t="n"/>
      <c r="AD115" s="16" t="n"/>
      <c r="AE115" s="16" t="n"/>
      <c r="AF115" s="17" t="n"/>
      <c r="AG115" s="125" t="n"/>
      <c r="AH115" s="55" t="inlineStr">
        <is>
          <t>COMO É</t>
        </is>
      </c>
      <c r="AI115" s="16" t="n"/>
      <c r="AJ115" s="16" t="n"/>
      <c r="AK115" s="16" t="n"/>
      <c r="AL115" s="17" t="n"/>
      <c r="AM115" s="125" t="n"/>
      <c r="AN115" s="55" t="inlineStr">
        <is>
          <t>COMO É</t>
        </is>
      </c>
      <c r="AO115" s="16" t="n"/>
      <c r="AP115" s="16" t="n"/>
      <c r="AQ115" s="16" t="n"/>
      <c r="AR115" s="17" t="n"/>
      <c r="AS115" s="125" t="n"/>
    </row>
    <row r="116" hidden="1" outlineLevel="3">
      <c r="A116" s="8" t="n"/>
      <c r="B116" s="14" t="n"/>
      <c r="C116" s="125" t="n"/>
      <c r="D116" s="125" t="n"/>
      <c r="E116" s="125" t="n"/>
      <c r="F116" s="125" t="n"/>
      <c r="G116" s="125" t="n"/>
      <c r="I116" s="121" t="n"/>
      <c r="J116" s="19" t="n"/>
      <c r="K116" s="19" t="n"/>
      <c r="L116" s="19" t="n"/>
      <c r="M116" s="20" t="n"/>
      <c r="N116" s="125" t="n"/>
      <c r="O116" s="121" t="n"/>
      <c r="P116" s="19" t="n"/>
      <c r="Q116" s="19" t="n"/>
      <c r="R116" s="19" t="n"/>
      <c r="S116" s="20" t="n"/>
      <c r="T116" s="125" t="n"/>
      <c r="U116" s="121" t="n"/>
      <c r="V116" s="19" t="n"/>
      <c r="W116" s="19" t="n"/>
      <c r="X116" s="19" t="n"/>
      <c r="Y116" s="20" t="n"/>
      <c r="Z116" s="125" t="n"/>
      <c r="AB116" s="121" t="n"/>
      <c r="AC116" s="19" t="n"/>
      <c r="AD116" s="19" t="n"/>
      <c r="AE116" s="19" t="n"/>
      <c r="AF116" s="20" t="n"/>
      <c r="AG116" s="125" t="n"/>
      <c r="AH116" s="121" t="n"/>
      <c r="AI116" s="19" t="n"/>
      <c r="AJ116" s="19" t="n"/>
      <c r="AK116" s="19" t="n"/>
      <c r="AL116" s="20" t="n"/>
      <c r="AM116" s="125" t="n"/>
      <c r="AN116" s="121" t="n"/>
      <c r="AO116" s="19" t="n"/>
      <c r="AP116" s="19" t="n"/>
      <c r="AQ116" s="19" t="n"/>
      <c r="AR116" s="20" t="n"/>
      <c r="AS116" s="125" t="n"/>
    </row>
    <row r="117" hidden="1" outlineLevel="3">
      <c r="A117" s="8" t="n"/>
      <c r="B117" s="14" t="n"/>
      <c r="C117" s="125" t="n"/>
      <c r="D117" s="125" t="n"/>
      <c r="E117" s="125" t="n"/>
      <c r="F117" s="125" t="n"/>
      <c r="G117" s="125" t="n"/>
      <c r="I117" s="21" t="n"/>
      <c r="M117" s="22" t="n"/>
      <c r="N117" s="125" t="n"/>
      <c r="O117" s="21" t="n"/>
      <c r="S117" s="22" t="n"/>
      <c r="T117" s="125" t="n"/>
      <c r="U117" s="21" t="n"/>
      <c r="Y117" s="22" t="n"/>
      <c r="Z117" s="125" t="n"/>
      <c r="AB117" s="21" t="n"/>
      <c r="AF117" s="22" t="n"/>
      <c r="AG117" s="125" t="n"/>
      <c r="AH117" s="21" t="n"/>
      <c r="AL117" s="22" t="n"/>
      <c r="AM117" s="125" t="n"/>
      <c r="AN117" s="21" t="n"/>
      <c r="AR117" s="22" t="n"/>
      <c r="AS117" s="125" t="n"/>
    </row>
    <row r="118" hidden="1" outlineLevel="3">
      <c r="A118" s="8" t="n"/>
      <c r="B118" s="14" t="n"/>
      <c r="C118" s="125" t="n"/>
      <c r="D118" s="125" t="n"/>
      <c r="E118" s="125" t="n"/>
      <c r="F118" s="125" t="n"/>
      <c r="G118" s="125" t="n"/>
      <c r="I118" s="23" t="n"/>
      <c r="J118" s="24" t="n"/>
      <c r="K118" s="24" t="n"/>
      <c r="L118" s="24" t="n"/>
      <c r="M118" s="25" t="n"/>
      <c r="N118" s="125" t="n"/>
      <c r="O118" s="23" t="n"/>
      <c r="P118" s="24" t="n"/>
      <c r="Q118" s="24" t="n"/>
      <c r="R118" s="24" t="n"/>
      <c r="S118" s="25" t="n"/>
      <c r="T118" s="125" t="n"/>
      <c r="U118" s="23" t="n"/>
      <c r="V118" s="24" t="n"/>
      <c r="W118" s="24" t="n"/>
      <c r="X118" s="24" t="n"/>
      <c r="Y118" s="25" t="n"/>
      <c r="Z118" s="125" t="n"/>
      <c r="AB118" s="23" t="n"/>
      <c r="AC118" s="24" t="n"/>
      <c r="AD118" s="24" t="n"/>
      <c r="AE118" s="24" t="n"/>
      <c r="AF118" s="25" t="n"/>
      <c r="AG118" s="125" t="n"/>
      <c r="AH118" s="23" t="n"/>
      <c r="AI118" s="24" t="n"/>
      <c r="AJ118" s="24" t="n"/>
      <c r="AK118" s="24" t="n"/>
      <c r="AL118" s="25" t="n"/>
      <c r="AM118" s="125" t="n"/>
      <c r="AN118" s="23" t="n"/>
      <c r="AO118" s="24" t="n"/>
      <c r="AP118" s="24" t="n"/>
      <c r="AQ118" s="24" t="n"/>
      <c r="AR118" s="25" t="n"/>
      <c r="AS118" s="125" t="n"/>
    </row>
    <row r="119" hidden="1" outlineLevel="2">
      <c r="A119" s="8" t="n"/>
      <c r="B119" s="14" t="n"/>
      <c r="C119" s="125" t="n"/>
      <c r="D119" s="125" t="n"/>
      <c r="E119" s="125" t="n"/>
      <c r="F119" s="125" t="n"/>
      <c r="G119" s="125" t="n"/>
      <c r="I119" s="89" t="inlineStr">
        <is>
          <t>Projétil</t>
        </is>
      </c>
      <c r="J119" s="17" t="n"/>
      <c r="K119" s="68">
        <f>DADOS_INVOC!$QC$8</f>
        <v/>
      </c>
      <c r="L119" s="17" t="n"/>
      <c r="M119" s="68">
        <f>DADOS_INVOC!$PY$8</f>
        <v/>
      </c>
      <c r="N119" s="125" t="n"/>
      <c r="O119" s="89" t="inlineStr">
        <is>
          <t>Projétil</t>
        </is>
      </c>
      <c r="P119" s="17" t="n"/>
      <c r="Q119" s="68">
        <f>DADOS_INVOC!$QC$9</f>
        <v/>
      </c>
      <c r="R119" s="17" t="n"/>
      <c r="S119" s="68">
        <f>DADOS_INVOC!$PY$9</f>
        <v/>
      </c>
      <c r="T119" s="125" t="n"/>
      <c r="U119" s="89" t="inlineStr">
        <is>
          <t>Projétil</t>
        </is>
      </c>
      <c r="V119" s="17" t="n"/>
      <c r="W119" s="68">
        <f>DADOS_INVOC!$QC$10</f>
        <v/>
      </c>
      <c r="X119" s="17" t="n"/>
      <c r="Y119" s="68">
        <f>DADOS_INVOC!$PY$10</f>
        <v/>
      </c>
      <c r="Z119" s="125" t="n"/>
      <c r="AB119" s="89" t="inlineStr">
        <is>
          <t>Projétil</t>
        </is>
      </c>
      <c r="AC119" s="17" t="n"/>
      <c r="AD119" s="68">
        <f>DADOS_INVOC!$QC$86</f>
        <v/>
      </c>
      <c r="AE119" s="17" t="n"/>
      <c r="AF119" s="68">
        <f>DADOS_INVOC!$PY$86</f>
        <v/>
      </c>
      <c r="AG119" s="125" t="n"/>
      <c r="AH119" s="89" t="inlineStr">
        <is>
          <t>Projétil</t>
        </is>
      </c>
      <c r="AI119" s="17" t="n"/>
      <c r="AJ119" s="68">
        <f>DADOS_INVOC!$QC$87</f>
        <v/>
      </c>
      <c r="AK119" s="17" t="n"/>
      <c r="AL119" s="68">
        <f>DADOS_INVOC!$PY$87</f>
        <v/>
      </c>
      <c r="AM119" s="125" t="n"/>
      <c r="AN119" s="89" t="inlineStr">
        <is>
          <t>Projétil</t>
        </is>
      </c>
      <c r="AO119" s="17" t="n"/>
      <c r="AP119" s="68">
        <f>DADOS_INVOC!$QC$88</f>
        <v/>
      </c>
      <c r="AQ119" s="17" t="n"/>
      <c r="AR119" s="68">
        <f>DADOS_INVOC!$PY$88</f>
        <v/>
      </c>
      <c r="AS119" s="125" t="n"/>
    </row>
    <row r="120" hidden="1" outlineLevel="2">
      <c r="A120" s="8" t="n"/>
      <c r="B120" s="14" t="n"/>
      <c r="C120" s="125" t="n"/>
      <c r="D120" s="125" t="n"/>
      <c r="E120" s="125" t="n"/>
      <c r="F120" s="125" t="n"/>
      <c r="G120" s="125" t="n"/>
      <c r="I120" s="89" t="n"/>
      <c r="J120" s="17" t="n"/>
      <c r="K120" s="89" t="n"/>
      <c r="L120" s="16" t="n"/>
      <c r="M120" s="17" t="n"/>
      <c r="N120" s="125" t="n"/>
      <c r="O120" s="89" t="n"/>
      <c r="P120" s="17" t="n"/>
      <c r="Q120" s="89" t="n"/>
      <c r="R120" s="16" t="n"/>
      <c r="S120" s="17" t="n"/>
      <c r="T120" s="125" t="n"/>
      <c r="U120" s="89" t="n"/>
      <c r="V120" s="17" t="n"/>
      <c r="W120" s="89" t="n"/>
      <c r="X120" s="16" t="n"/>
      <c r="Y120" s="17" t="n"/>
      <c r="Z120" s="125" t="n"/>
      <c r="AB120" s="89" t="n"/>
      <c r="AC120" s="17" t="n"/>
      <c r="AD120" s="89" t="n"/>
      <c r="AE120" s="16" t="n"/>
      <c r="AF120" s="17" t="n"/>
      <c r="AG120" s="125" t="n"/>
      <c r="AH120" s="89" t="n"/>
      <c r="AI120" s="17" t="n"/>
      <c r="AJ120" s="89" t="n"/>
      <c r="AK120" s="16" t="n"/>
      <c r="AL120" s="17" t="n"/>
      <c r="AM120" s="125" t="n"/>
      <c r="AN120" s="89" t="n"/>
      <c r="AO120" s="17" t="n"/>
      <c r="AP120" s="89" t="n"/>
      <c r="AQ120" s="16" t="n"/>
      <c r="AR120" s="17" t="n"/>
      <c r="AS120" s="125" t="n"/>
    </row>
    <row r="121" hidden="1" outlineLevel="2">
      <c r="A121" s="8" t="n"/>
      <c r="B121" s="14" t="n"/>
      <c r="C121" s="125" t="n"/>
      <c r="D121" s="125" t="n"/>
      <c r="E121" s="125" t="n"/>
      <c r="F121" s="125" t="n"/>
      <c r="G121" s="125" t="n"/>
      <c r="I121" s="89">
        <f>DADOS_INVOC!$PZ$8</f>
        <v/>
      </c>
      <c r="J121" s="17" t="n"/>
      <c r="K121" s="89">
        <f>DADOS_INVOC!$QB$8</f>
        <v/>
      </c>
      <c r="L121" s="16" t="n"/>
      <c r="M121" s="17" t="n"/>
      <c r="N121" s="125" t="n"/>
      <c r="O121" s="89">
        <f>DADOS_INVOC!$PZ$9</f>
        <v/>
      </c>
      <c r="P121" s="17" t="n"/>
      <c r="Q121" s="89">
        <f>DADOS_INVOC!$QB$9</f>
        <v/>
      </c>
      <c r="R121" s="16" t="n"/>
      <c r="S121" s="17" t="n"/>
      <c r="T121" s="125" t="n"/>
      <c r="U121" s="89">
        <f>DADOS_INVOC!$PZ$10</f>
        <v/>
      </c>
      <c r="V121" s="17" t="n"/>
      <c r="W121" s="89">
        <f>DADOS_INVOC!$QB$10</f>
        <v/>
      </c>
      <c r="X121" s="16" t="n"/>
      <c r="Y121" s="17" t="n"/>
      <c r="Z121" s="125" t="n"/>
      <c r="AB121" s="89">
        <f>DADOS_INVOC!$PZ$86</f>
        <v/>
      </c>
      <c r="AC121" s="17" t="n"/>
      <c r="AD121" s="89">
        <f>DADOS_INVOC!$QB$86</f>
        <v/>
      </c>
      <c r="AE121" s="16" t="n"/>
      <c r="AF121" s="17" t="n"/>
      <c r="AG121" s="125" t="n"/>
      <c r="AH121" s="89">
        <f>DADOS_INVOC!$PZ$87</f>
        <v/>
      </c>
      <c r="AI121" s="17" t="n"/>
      <c r="AJ121" s="89">
        <f>DADOS_INVOC!$QB$87</f>
        <v/>
      </c>
      <c r="AK121" s="16" t="n"/>
      <c r="AL121" s="17" t="n"/>
      <c r="AM121" s="125" t="n"/>
      <c r="AN121" s="89">
        <f>DADOS_INVOC!$PZ$88</f>
        <v/>
      </c>
      <c r="AO121" s="17" t="n"/>
      <c r="AP121" s="89">
        <f>DADOS_INVOC!$QB$88</f>
        <v/>
      </c>
      <c r="AQ121" s="16" t="n"/>
      <c r="AR121" s="17" t="n"/>
      <c r="AS121" s="125" t="n"/>
    </row>
    <row r="122" hidden="1" outlineLevel="2">
      <c r="A122" s="8" t="n"/>
      <c r="B122" s="14" t="n"/>
      <c r="C122" s="125" t="n"/>
      <c r="D122" s="125" t="n"/>
      <c r="E122" s="125" t="n"/>
      <c r="F122" s="125" t="n"/>
      <c r="G122" s="125" t="n"/>
      <c r="I122" s="133">
        <f>DADOS_INVOC!$QH$8</f>
        <v/>
      </c>
      <c r="J122" s="16" t="n"/>
      <c r="K122" s="16" t="n"/>
      <c r="L122" s="16" t="n"/>
      <c r="M122" s="17" t="n"/>
      <c r="N122" s="125" t="n"/>
      <c r="O122" s="133">
        <f>DADOS_INVOC!$QH$9</f>
        <v/>
      </c>
      <c r="P122" s="16" t="n"/>
      <c r="Q122" s="16" t="n"/>
      <c r="R122" s="16" t="n"/>
      <c r="S122" s="17" t="n"/>
      <c r="T122" s="125" t="n"/>
      <c r="U122" s="133">
        <f>DADOS_INVOC!$QH$10</f>
        <v/>
      </c>
      <c r="V122" s="16" t="n"/>
      <c r="W122" s="16" t="n"/>
      <c r="X122" s="16" t="n"/>
      <c r="Y122" s="17" t="n"/>
      <c r="Z122" s="125" t="n"/>
      <c r="AB122" s="133">
        <f>DADOS_INVOC!$QH$86</f>
        <v/>
      </c>
      <c r="AC122" s="16" t="n"/>
      <c r="AD122" s="16" t="n"/>
      <c r="AE122" s="16" t="n"/>
      <c r="AF122" s="17" t="n"/>
      <c r="AG122" s="125" t="n"/>
      <c r="AH122" s="133">
        <f>DADOS_INVOC!$QH$87</f>
        <v/>
      </c>
      <c r="AI122" s="16" t="n"/>
      <c r="AJ122" s="16" t="n"/>
      <c r="AK122" s="16" t="n"/>
      <c r="AL122" s="17" t="n"/>
      <c r="AM122" s="125" t="n"/>
      <c r="AN122" s="133">
        <f>DADOS_INVOC!$QH$88</f>
        <v/>
      </c>
      <c r="AO122" s="16" t="n"/>
      <c r="AP122" s="16" t="n"/>
      <c r="AQ122" s="16" t="n"/>
      <c r="AR122" s="17" t="n"/>
      <c r="AS122" s="125" t="n"/>
    </row>
    <row r="123" hidden="1" outlineLevel="3">
      <c r="A123" s="8" t="n"/>
      <c r="B123" s="14" t="n"/>
      <c r="C123" s="125" t="n"/>
      <c r="D123" s="125" t="n"/>
      <c r="E123" s="125" t="n"/>
      <c r="F123" s="125" t="n"/>
      <c r="G123" s="125" t="n"/>
      <c r="I123" s="55" t="inlineStr">
        <is>
          <t>MELHORIAS</t>
        </is>
      </c>
      <c r="J123" s="134" t="n"/>
      <c r="K123" s="16" t="n"/>
      <c r="L123" s="17" t="n"/>
      <c r="M123" s="133">
        <f>DADOS_INVOC!$QK$8</f>
        <v/>
      </c>
      <c r="N123" s="125" t="n"/>
      <c r="O123" s="55" t="inlineStr">
        <is>
          <t>MELHORIAS</t>
        </is>
      </c>
      <c r="P123" s="134" t="n"/>
      <c r="Q123" s="16" t="n"/>
      <c r="R123" s="17" t="n"/>
      <c r="S123" s="133">
        <f>DADOS_INVOC!$QK$9</f>
        <v/>
      </c>
      <c r="T123" s="125" t="n"/>
      <c r="U123" s="55" t="inlineStr">
        <is>
          <t>MELHORIAS</t>
        </is>
      </c>
      <c r="V123" s="134" t="n"/>
      <c r="W123" s="16" t="n"/>
      <c r="X123" s="17" t="n"/>
      <c r="Y123" s="133">
        <f>DADOS_INVOC!$QK$10</f>
        <v/>
      </c>
      <c r="Z123" s="125" t="n"/>
      <c r="AB123" s="55" t="inlineStr">
        <is>
          <t>MELHORIAS</t>
        </is>
      </c>
      <c r="AC123" s="134" t="n"/>
      <c r="AD123" s="16" t="n"/>
      <c r="AE123" s="17" t="n"/>
      <c r="AF123" s="133">
        <f>DADOS_INVOC!$QK$86</f>
        <v/>
      </c>
      <c r="AG123" s="125" t="n"/>
      <c r="AH123" s="55" t="inlineStr">
        <is>
          <t>MELHORIAS</t>
        </is>
      </c>
      <c r="AI123" s="134" t="n"/>
      <c r="AJ123" s="16" t="n"/>
      <c r="AK123" s="17" t="n"/>
      <c r="AL123" s="133">
        <f>DADOS_INVOC!$QK$87</f>
        <v/>
      </c>
      <c r="AM123" s="125" t="n"/>
      <c r="AN123" s="55" t="inlineStr">
        <is>
          <t>MELHORIAS</t>
        </is>
      </c>
      <c r="AO123" s="134" t="n"/>
      <c r="AP123" s="16" t="n"/>
      <c r="AQ123" s="17" t="n"/>
      <c r="AR123" s="133">
        <f>DADOS_INVOC!$QK$88</f>
        <v/>
      </c>
      <c r="AS123" s="125" t="n"/>
    </row>
    <row r="124" hidden="1" outlineLevel="3">
      <c r="A124" s="8" t="n"/>
      <c r="B124" s="14" t="n"/>
      <c r="C124" s="125" t="n"/>
      <c r="D124" s="125" t="n"/>
      <c r="E124" s="125" t="n"/>
      <c r="F124" s="125" t="n"/>
      <c r="G124" s="125" t="n"/>
      <c r="I124" s="135" t="n"/>
      <c r="J124" s="134" t="n"/>
      <c r="K124" s="16" t="n"/>
      <c r="L124" s="17" t="n"/>
      <c r="M124" s="133">
        <f>DADOS_INVOC!$QL$8</f>
        <v/>
      </c>
      <c r="N124" s="125" t="n"/>
      <c r="O124" s="135" t="n"/>
      <c r="P124" s="134" t="n"/>
      <c r="Q124" s="16" t="n"/>
      <c r="R124" s="17" t="n"/>
      <c r="S124" s="133">
        <f>DADOS_INVOC!$QL$9</f>
        <v/>
      </c>
      <c r="T124" s="125" t="n"/>
      <c r="U124" s="135" t="n"/>
      <c r="V124" s="134" t="n"/>
      <c r="W124" s="16" t="n"/>
      <c r="X124" s="17" t="n"/>
      <c r="Y124" s="133">
        <f>DADOS_INVOC!$QL$10</f>
        <v/>
      </c>
      <c r="Z124" s="125" t="n"/>
      <c r="AB124" s="135" t="n"/>
      <c r="AC124" s="134" t="n"/>
      <c r="AD124" s="16" t="n"/>
      <c r="AE124" s="17" t="n"/>
      <c r="AF124" s="133">
        <f>DADOS_INVOC!$QL$86</f>
        <v/>
      </c>
      <c r="AG124" s="125" t="n"/>
      <c r="AH124" s="135" t="n"/>
      <c r="AI124" s="134" t="n"/>
      <c r="AJ124" s="16" t="n"/>
      <c r="AK124" s="17" t="n"/>
      <c r="AL124" s="133">
        <f>DADOS_INVOC!$QL$87</f>
        <v/>
      </c>
      <c r="AM124" s="125" t="n"/>
      <c r="AN124" s="135" t="n"/>
      <c r="AO124" s="134" t="n"/>
      <c r="AP124" s="16" t="n"/>
      <c r="AQ124" s="17" t="n"/>
      <c r="AR124" s="133">
        <f>DADOS_INVOC!$QL$88</f>
        <v/>
      </c>
      <c r="AS124" s="125" t="n"/>
    </row>
    <row r="125" hidden="1" outlineLevel="3">
      <c r="A125" s="8" t="n"/>
      <c r="B125" s="14" t="n"/>
      <c r="C125" s="125" t="n"/>
      <c r="D125" s="125" t="n"/>
      <c r="E125" s="125" t="n"/>
      <c r="F125" s="125" t="n"/>
      <c r="G125" s="125" t="n"/>
      <c r="I125" s="135" t="n"/>
      <c r="J125" s="134" t="n"/>
      <c r="K125" s="16" t="n"/>
      <c r="L125" s="17" t="n"/>
      <c r="M125" s="133">
        <f>DADOS_INVOC!$QM$8</f>
        <v/>
      </c>
      <c r="N125" s="125" t="n"/>
      <c r="O125" s="135" t="n"/>
      <c r="P125" s="134" t="n"/>
      <c r="Q125" s="16" t="n"/>
      <c r="R125" s="17" t="n"/>
      <c r="S125" s="133">
        <f>DADOS_INVOC!$QM$9</f>
        <v/>
      </c>
      <c r="T125" s="125" t="n"/>
      <c r="U125" s="135" t="n"/>
      <c r="V125" s="134" t="n"/>
      <c r="W125" s="16" t="n"/>
      <c r="X125" s="17" t="n"/>
      <c r="Y125" s="133">
        <f>DADOS_INVOC!$QM$10</f>
        <v/>
      </c>
      <c r="Z125" s="125" t="n"/>
      <c r="AB125" s="135" t="n"/>
      <c r="AC125" s="134" t="n"/>
      <c r="AD125" s="16" t="n"/>
      <c r="AE125" s="17" t="n"/>
      <c r="AF125" s="133">
        <f>DADOS_INVOC!$QM$86</f>
        <v/>
      </c>
      <c r="AG125" s="125" t="n"/>
      <c r="AH125" s="135" t="n"/>
      <c r="AI125" s="134" t="n"/>
      <c r="AJ125" s="16" t="n"/>
      <c r="AK125" s="17" t="n"/>
      <c r="AL125" s="133">
        <f>DADOS_INVOC!$QM$87</f>
        <v/>
      </c>
      <c r="AM125" s="125" t="n"/>
      <c r="AN125" s="135" t="n"/>
      <c r="AO125" s="134" t="n"/>
      <c r="AP125" s="16" t="n"/>
      <c r="AQ125" s="17" t="n"/>
      <c r="AR125" s="133">
        <f>DADOS_INVOC!$QM$88</f>
        <v/>
      </c>
      <c r="AS125" s="125" t="n"/>
    </row>
    <row r="126" hidden="1" outlineLevel="3">
      <c r="A126" s="8" t="n"/>
      <c r="B126" s="14" t="n"/>
      <c r="C126" s="125" t="n"/>
      <c r="D126" s="125" t="n"/>
      <c r="E126" s="125" t="n"/>
      <c r="F126" s="125" t="n"/>
      <c r="G126" s="125" t="n"/>
      <c r="I126" s="129" t="n"/>
      <c r="J126" s="134" t="n"/>
      <c r="K126" s="16" t="n"/>
      <c r="L126" s="17" t="n"/>
      <c r="M126" s="133">
        <f>DADOS_INVOC!$QN$8</f>
        <v/>
      </c>
      <c r="N126" s="125" t="n"/>
      <c r="O126" s="129" t="n"/>
      <c r="P126" s="134" t="n"/>
      <c r="Q126" s="16" t="n"/>
      <c r="R126" s="17" t="n"/>
      <c r="S126" s="133">
        <f>DADOS_INVOC!$QN$9</f>
        <v/>
      </c>
      <c r="T126" s="125" t="n"/>
      <c r="U126" s="129" t="n"/>
      <c r="V126" s="134" t="n"/>
      <c r="W126" s="16" t="n"/>
      <c r="X126" s="17" t="n"/>
      <c r="Y126" s="133">
        <f>DADOS_INVOC!$QN$10</f>
        <v/>
      </c>
      <c r="Z126" s="125" t="n"/>
      <c r="AB126" s="129" t="n"/>
      <c r="AC126" s="134" t="n"/>
      <c r="AD126" s="16" t="n"/>
      <c r="AE126" s="17" t="n"/>
      <c r="AF126" s="133">
        <f>DADOS_INVOC!$QN$86</f>
        <v/>
      </c>
      <c r="AG126" s="125" t="n"/>
      <c r="AH126" s="129" t="n"/>
      <c r="AI126" s="134" t="n"/>
      <c r="AJ126" s="16" t="n"/>
      <c r="AK126" s="17" t="n"/>
      <c r="AL126" s="133">
        <f>DADOS_INVOC!$QN$87</f>
        <v/>
      </c>
      <c r="AM126" s="125" t="n"/>
      <c r="AN126" s="129" t="n"/>
      <c r="AO126" s="134" t="n"/>
      <c r="AP126" s="16" t="n"/>
      <c r="AQ126" s="17" t="n"/>
      <c r="AR126" s="133">
        <f>DADOS_INVOC!$QN$88</f>
        <v/>
      </c>
      <c r="AS126" s="125" t="n"/>
    </row>
    <row r="127" hidden="1" outlineLevel="3">
      <c r="A127" s="8" t="n"/>
      <c r="B127" s="14" t="n"/>
      <c r="C127" s="125" t="n"/>
      <c r="D127" s="125" t="n"/>
      <c r="E127" s="125" t="n"/>
      <c r="F127" s="125" t="n"/>
      <c r="G127" s="125" t="n"/>
      <c r="I127" s="55" t="inlineStr">
        <is>
          <t>RESTRIÇÕES</t>
        </is>
      </c>
      <c r="J127" s="134" t="n"/>
      <c r="K127" s="16" t="n"/>
      <c r="L127" s="17" t="n"/>
      <c r="M127" s="133">
        <f>DADOS_INVOC!$QO$8</f>
        <v/>
      </c>
      <c r="N127" s="125" t="n"/>
      <c r="O127" s="55" t="inlineStr">
        <is>
          <t>RESTRIÇÕES</t>
        </is>
      </c>
      <c r="P127" s="134" t="n"/>
      <c r="Q127" s="16" t="n"/>
      <c r="R127" s="17" t="n"/>
      <c r="S127" s="133">
        <f>DADOS_INVOC!$QO$9</f>
        <v/>
      </c>
      <c r="T127" s="125" t="n"/>
      <c r="U127" s="55" t="inlineStr">
        <is>
          <t>RESTRIÇÕES</t>
        </is>
      </c>
      <c r="V127" s="134" t="n"/>
      <c r="W127" s="16" t="n"/>
      <c r="X127" s="17" t="n"/>
      <c r="Y127" s="133">
        <f>DADOS_INVOC!$QO$10</f>
        <v/>
      </c>
      <c r="Z127" s="125" t="n"/>
      <c r="AB127" s="55" t="inlineStr">
        <is>
          <t>RESTRIÇÕES</t>
        </is>
      </c>
      <c r="AC127" s="134" t="n"/>
      <c r="AD127" s="16" t="n"/>
      <c r="AE127" s="17" t="n"/>
      <c r="AF127" s="133">
        <f>DADOS_INVOC!$QO$86</f>
        <v/>
      </c>
      <c r="AG127" s="125" t="n"/>
      <c r="AH127" s="55" t="inlineStr">
        <is>
          <t>RESTRIÇÕES</t>
        </is>
      </c>
      <c r="AI127" s="134" t="n"/>
      <c r="AJ127" s="16" t="n"/>
      <c r="AK127" s="17" t="n"/>
      <c r="AL127" s="133">
        <f>DADOS_INVOC!$QO$87</f>
        <v/>
      </c>
      <c r="AM127" s="125" t="n"/>
      <c r="AN127" s="55" t="inlineStr">
        <is>
          <t>RESTRIÇÕES</t>
        </is>
      </c>
      <c r="AO127" s="134" t="n"/>
      <c r="AP127" s="16" t="n"/>
      <c r="AQ127" s="17" t="n"/>
      <c r="AR127" s="133">
        <f>DADOS_INVOC!$QO$88</f>
        <v/>
      </c>
      <c r="AS127" s="125" t="n"/>
    </row>
    <row r="128" hidden="1" outlineLevel="3">
      <c r="A128" s="8" t="n"/>
      <c r="B128" s="14" t="n"/>
      <c r="C128" s="125" t="n"/>
      <c r="D128" s="125" t="n"/>
      <c r="E128" s="125" t="n"/>
      <c r="F128" s="125" t="n"/>
      <c r="G128" s="125" t="n"/>
      <c r="I128" s="129" t="n"/>
      <c r="J128" s="134" t="n"/>
      <c r="K128" s="16" t="n"/>
      <c r="L128" s="17" t="n"/>
      <c r="M128" s="133">
        <f>DADOS_INVOC!$QP$8</f>
        <v/>
      </c>
      <c r="N128" s="125" t="n"/>
      <c r="O128" s="129" t="n"/>
      <c r="P128" s="134" t="n"/>
      <c r="Q128" s="16" t="n"/>
      <c r="R128" s="17" t="n"/>
      <c r="S128" s="133">
        <f>DADOS_INVOC!$QP$9</f>
        <v/>
      </c>
      <c r="T128" s="125" t="n"/>
      <c r="U128" s="129" t="n"/>
      <c r="V128" s="134" t="n"/>
      <c r="W128" s="16" t="n"/>
      <c r="X128" s="17" t="n"/>
      <c r="Y128" s="133">
        <f>DADOS_INVOC!$QP$10</f>
        <v/>
      </c>
      <c r="Z128" s="125" t="n"/>
      <c r="AB128" s="129" t="n"/>
      <c r="AC128" s="134" t="n"/>
      <c r="AD128" s="16" t="n"/>
      <c r="AE128" s="17" t="n"/>
      <c r="AF128" s="133">
        <f>DADOS_INVOC!$QP$86</f>
        <v/>
      </c>
      <c r="AG128" s="125" t="n"/>
      <c r="AH128" s="129" t="n"/>
      <c r="AI128" s="134" t="n"/>
      <c r="AJ128" s="16" t="n"/>
      <c r="AK128" s="17" t="n"/>
      <c r="AL128" s="133">
        <f>DADOS_INVOC!$QP$87</f>
        <v/>
      </c>
      <c r="AM128" s="125" t="n"/>
      <c r="AN128" s="129" t="n"/>
      <c r="AO128" s="134" t="n"/>
      <c r="AP128" s="16" t="n"/>
      <c r="AQ128" s="17" t="n"/>
      <c r="AR128" s="133">
        <f>DADOS_INVOC!$QP$88</f>
        <v/>
      </c>
      <c r="AS128" s="125" t="n"/>
    </row>
    <row r="129" hidden="1" outlineLevel="3">
      <c r="A129" s="8" t="n"/>
      <c r="B129" s="14" t="n"/>
      <c r="C129" s="125" t="n"/>
      <c r="D129" s="125" t="n"/>
      <c r="E129" s="125" t="n"/>
      <c r="F129" s="125" t="n"/>
      <c r="G129" s="125" t="n"/>
      <c r="I129" s="55" t="inlineStr">
        <is>
          <t>CONTA</t>
        </is>
      </c>
      <c r="J129" s="136">
        <f>DADOS_INVOC!$QI$8</f>
        <v/>
      </c>
      <c r="K129" s="16" t="n"/>
      <c r="L129" s="16" t="n"/>
      <c r="M129" s="17" t="n"/>
      <c r="N129" s="125" t="n"/>
      <c r="O129" s="55" t="inlineStr">
        <is>
          <t>CONTA</t>
        </is>
      </c>
      <c r="P129" s="136">
        <f>DADOS_INVOC!$QI$9</f>
        <v/>
      </c>
      <c r="Q129" s="16" t="n"/>
      <c r="R129" s="16" t="n"/>
      <c r="S129" s="17" t="n"/>
      <c r="T129" s="125" t="n"/>
      <c r="U129" s="55" t="inlineStr">
        <is>
          <t>CONTA</t>
        </is>
      </c>
      <c r="V129" s="136">
        <f>DADOS_INVOC!$QI$10</f>
        <v/>
      </c>
      <c r="W129" s="16" t="n"/>
      <c r="X129" s="16" t="n"/>
      <c r="Y129" s="17" t="n"/>
      <c r="Z129" s="125" t="n"/>
      <c r="AB129" s="55" t="inlineStr">
        <is>
          <t>CONTA</t>
        </is>
      </c>
      <c r="AC129" s="136">
        <f>DADOS_INVOC!$QI$86</f>
        <v/>
      </c>
      <c r="AD129" s="16" t="n"/>
      <c r="AE129" s="16" t="n"/>
      <c r="AF129" s="17" t="n"/>
      <c r="AG129" s="125" t="n"/>
      <c r="AH129" s="55" t="inlineStr">
        <is>
          <t>CONTA</t>
        </is>
      </c>
      <c r="AI129" s="136">
        <f>DADOS_INVOC!$QI$87</f>
        <v/>
      </c>
      <c r="AJ129" s="16" t="n"/>
      <c r="AK129" s="16" t="n"/>
      <c r="AL129" s="17" t="n"/>
      <c r="AM129" s="125" t="n"/>
      <c r="AN129" s="55" t="inlineStr">
        <is>
          <t>CONTA</t>
        </is>
      </c>
      <c r="AO129" s="136">
        <f>DADOS_INVOC!$QI$88</f>
        <v/>
      </c>
      <c r="AP129" s="16" t="n"/>
      <c r="AQ129" s="16" t="n"/>
      <c r="AR129" s="17" t="n"/>
      <c r="AS129" s="125" t="n"/>
    </row>
    <row r="130" hidden="1" outlineLevel="3">
      <c r="A130" s="8" t="n"/>
      <c r="B130" s="14" t="n"/>
      <c r="C130" s="125" t="n"/>
      <c r="D130" s="125" t="n"/>
      <c r="E130" s="125" t="n"/>
      <c r="F130" s="125" t="n"/>
      <c r="G130" s="125" t="n"/>
      <c r="I130" s="55" t="inlineStr">
        <is>
          <t>AMPLIAR</t>
        </is>
      </c>
      <c r="J130" s="136">
        <f>DADOS_INVOC!$QJ$8</f>
        <v/>
      </c>
      <c r="K130" s="19" t="n"/>
      <c r="L130" s="19" t="n"/>
      <c r="M130" s="20" t="n"/>
      <c r="N130" s="125" t="n"/>
      <c r="O130" s="55" t="inlineStr">
        <is>
          <t>AMPLIAR</t>
        </is>
      </c>
      <c r="P130" s="136">
        <f>DADOS_INVOC!$QJ$9</f>
        <v/>
      </c>
      <c r="Q130" s="19" t="n"/>
      <c r="R130" s="19" t="n"/>
      <c r="S130" s="20" t="n"/>
      <c r="T130" s="125" t="n"/>
      <c r="U130" s="55" t="inlineStr">
        <is>
          <t>AMPLIAR</t>
        </is>
      </c>
      <c r="V130" s="136">
        <f>DADOS_INVOC!$QJ$10</f>
        <v/>
      </c>
      <c r="W130" s="19" t="n"/>
      <c r="X130" s="19" t="n"/>
      <c r="Y130" s="20" t="n"/>
      <c r="Z130" s="125" t="n"/>
      <c r="AB130" s="55" t="inlineStr">
        <is>
          <t>AMPLIAR</t>
        </is>
      </c>
      <c r="AC130" s="136">
        <f>DADOS_INVOC!$QJ$86</f>
        <v/>
      </c>
      <c r="AD130" s="19" t="n"/>
      <c r="AE130" s="19" t="n"/>
      <c r="AF130" s="20" t="n"/>
      <c r="AG130" s="125" t="n"/>
      <c r="AH130" s="55" t="inlineStr">
        <is>
          <t>AMPLIAR</t>
        </is>
      </c>
      <c r="AI130" s="136">
        <f>DADOS_INVOC!$QJ$87</f>
        <v/>
      </c>
      <c r="AJ130" s="19" t="n"/>
      <c r="AK130" s="19" t="n"/>
      <c r="AL130" s="20" t="n"/>
      <c r="AM130" s="125" t="n"/>
      <c r="AN130" s="55" t="inlineStr">
        <is>
          <t>AMPLIAR</t>
        </is>
      </c>
      <c r="AO130" s="136">
        <f>DADOS_INVOC!$QJ$88</f>
        <v/>
      </c>
      <c r="AP130" s="19" t="n"/>
      <c r="AQ130" s="19" t="n"/>
      <c r="AR130" s="20" t="n"/>
      <c r="AS130" s="125" t="n"/>
    </row>
    <row r="131" hidden="1" outlineLevel="3">
      <c r="A131" s="8" t="n"/>
      <c r="B131" s="14" t="n"/>
      <c r="C131" s="125" t="n"/>
      <c r="D131" s="125" t="n"/>
      <c r="E131" s="125" t="n"/>
      <c r="F131" s="125" t="n"/>
      <c r="G131" s="125" t="n"/>
      <c r="I131" s="129" t="n"/>
      <c r="J131" s="23" t="n"/>
      <c r="K131" s="24" t="n"/>
      <c r="L131" s="24" t="n"/>
      <c r="M131" s="25" t="n"/>
      <c r="N131" s="125" t="n"/>
      <c r="O131" s="129" t="n"/>
      <c r="P131" s="23" t="n"/>
      <c r="Q131" s="24" t="n"/>
      <c r="R131" s="24" t="n"/>
      <c r="S131" s="25" t="n"/>
      <c r="T131" s="125" t="n"/>
      <c r="U131" s="129" t="n"/>
      <c r="V131" s="23" t="n"/>
      <c r="W131" s="24" t="n"/>
      <c r="X131" s="24" t="n"/>
      <c r="Y131" s="25" t="n"/>
      <c r="Z131" s="125" t="n"/>
      <c r="AB131" s="129" t="n"/>
      <c r="AC131" s="23" t="n"/>
      <c r="AD131" s="24" t="n"/>
      <c r="AE131" s="24" t="n"/>
      <c r="AF131" s="25" t="n"/>
      <c r="AG131" s="125" t="n"/>
      <c r="AH131" s="129" t="n"/>
      <c r="AI131" s="23" t="n"/>
      <c r="AJ131" s="24" t="n"/>
      <c r="AK131" s="24" t="n"/>
      <c r="AL131" s="25" t="n"/>
      <c r="AM131" s="125" t="n"/>
      <c r="AN131" s="129" t="n"/>
      <c r="AO131" s="23" t="n"/>
      <c r="AP131" s="24" t="n"/>
      <c r="AQ131" s="24" t="n"/>
      <c r="AR131" s="25" t="n"/>
      <c r="AS131" s="125" t="n"/>
    </row>
    <row r="132" hidden="1" outlineLevel="3">
      <c r="A132" s="8" t="n"/>
      <c r="B132" s="14" t="n"/>
      <c r="C132" s="125" t="n"/>
      <c r="D132" s="125" t="n"/>
      <c r="E132" s="125" t="n"/>
      <c r="F132" s="125" t="n"/>
      <c r="G132" s="125" t="n"/>
      <c r="I132" s="136">
        <f>DADOS_INVOC!$PW$8</f>
        <v/>
      </c>
      <c r="J132" s="19" t="n"/>
      <c r="K132" s="19" t="n"/>
      <c r="L132" s="19" t="n"/>
      <c r="M132" s="20" t="n"/>
      <c r="N132" s="125" t="n"/>
      <c r="O132" s="136">
        <f>DADOS_INVOC!$PW$9</f>
        <v/>
      </c>
      <c r="P132" s="19" t="n"/>
      <c r="Q132" s="19" t="n"/>
      <c r="R132" s="19" t="n"/>
      <c r="S132" s="20" t="n"/>
      <c r="T132" s="125" t="n"/>
      <c r="U132" s="136">
        <f>DADOS_INVOC!$PW$10</f>
        <v/>
      </c>
      <c r="V132" s="19" t="n"/>
      <c r="W132" s="19" t="n"/>
      <c r="X132" s="19" t="n"/>
      <c r="Y132" s="20" t="n"/>
      <c r="Z132" s="125" t="n"/>
      <c r="AB132" s="136">
        <f>DADOS_INVOC!$PW$86</f>
        <v/>
      </c>
      <c r="AC132" s="19" t="n"/>
      <c r="AD132" s="19" t="n"/>
      <c r="AE132" s="19" t="n"/>
      <c r="AF132" s="20" t="n"/>
      <c r="AG132" s="125" t="n"/>
      <c r="AH132" s="136">
        <f>DADOS_INVOC!$PW$87</f>
        <v/>
      </c>
      <c r="AI132" s="19" t="n"/>
      <c r="AJ132" s="19" t="n"/>
      <c r="AK132" s="19" t="n"/>
      <c r="AL132" s="20" t="n"/>
      <c r="AM132" s="125" t="n"/>
      <c r="AN132" s="136">
        <f>DADOS_INVOC!$PW$88</f>
        <v/>
      </c>
      <c r="AO132" s="19" t="n"/>
      <c r="AP132" s="19" t="n"/>
      <c r="AQ132" s="19" t="n"/>
      <c r="AR132" s="20" t="n"/>
      <c r="AS132" s="125" t="n"/>
    </row>
    <row r="133" hidden="1" outlineLevel="3">
      <c r="A133" s="8" t="n"/>
      <c r="B133" s="14" t="n"/>
      <c r="C133" s="125" t="n"/>
      <c r="D133" s="125" t="n"/>
      <c r="E133" s="125" t="n"/>
      <c r="F133" s="125" t="n"/>
      <c r="G133" s="125" t="n"/>
      <c r="I133" s="23" t="n"/>
      <c r="J133" s="24" t="n"/>
      <c r="K133" s="24" t="n"/>
      <c r="L133" s="24" t="n"/>
      <c r="M133" s="25" t="n"/>
      <c r="N133" s="125" t="n"/>
      <c r="O133" s="23" t="n"/>
      <c r="P133" s="24" t="n"/>
      <c r="Q133" s="24" t="n"/>
      <c r="R133" s="24" t="n"/>
      <c r="S133" s="25" t="n"/>
      <c r="T133" s="125" t="n"/>
      <c r="U133" s="23" t="n"/>
      <c r="V133" s="24" t="n"/>
      <c r="W133" s="24" t="n"/>
      <c r="X133" s="24" t="n"/>
      <c r="Y133" s="25" t="n"/>
      <c r="Z133" s="125" t="n"/>
      <c r="AB133" s="23" t="n"/>
      <c r="AC133" s="24" t="n"/>
      <c r="AD133" s="24" t="n"/>
      <c r="AE133" s="24" t="n"/>
      <c r="AF133" s="25" t="n"/>
      <c r="AG133" s="125" t="n"/>
      <c r="AH133" s="23" t="n"/>
      <c r="AI133" s="24" t="n"/>
      <c r="AJ133" s="24" t="n"/>
      <c r="AK133" s="24" t="n"/>
      <c r="AL133" s="25" t="n"/>
      <c r="AM133" s="125" t="n"/>
      <c r="AN133" s="23" t="n"/>
      <c r="AO133" s="24" t="n"/>
      <c r="AP133" s="24" t="n"/>
      <c r="AQ133" s="24" t="n"/>
      <c r="AR133" s="25" t="n"/>
      <c r="AS133" s="125" t="n"/>
    </row>
    <row r="134" hidden="1" outlineLevel="2">
      <c r="A134" s="8" t="n"/>
      <c r="B134" s="14" t="n"/>
      <c r="C134" s="125" t="n"/>
      <c r="D134" s="125" t="n"/>
      <c r="E134" s="125" t="n"/>
      <c r="F134" s="125" t="n"/>
      <c r="G134" s="125" t="n"/>
      <c r="I134" s="125" t="n"/>
      <c r="J134" s="125" t="n"/>
      <c r="K134" s="125" t="n"/>
      <c r="L134" s="125" t="n"/>
      <c r="M134" s="125" t="n"/>
      <c r="N134" s="125" t="n"/>
      <c r="O134" s="125" t="n"/>
      <c r="P134" s="125" t="n"/>
      <c r="Q134" s="125" t="n"/>
      <c r="R134" s="125" t="n"/>
      <c r="S134" s="125" t="n"/>
      <c r="T134" s="125" t="n"/>
      <c r="U134" s="125" t="n"/>
      <c r="V134" s="125" t="n"/>
      <c r="W134" s="125" t="n"/>
      <c r="X134" s="125" t="n"/>
      <c r="Y134" s="125" t="n"/>
      <c r="Z134" s="125" t="n"/>
      <c r="AB134" s="125" t="n"/>
      <c r="AC134" s="125" t="n"/>
      <c r="AD134" s="125" t="n"/>
      <c r="AE134" s="125" t="n"/>
      <c r="AF134" s="125" t="n"/>
      <c r="AG134" s="125" t="n"/>
      <c r="AH134" s="125" t="n"/>
      <c r="AI134" s="125" t="n"/>
      <c r="AJ134" s="125" t="n"/>
      <c r="AK134" s="125" t="n"/>
      <c r="AL134" s="125" t="n"/>
      <c r="AM134" s="125" t="n"/>
      <c r="AN134" s="125" t="n"/>
      <c r="AO134" s="125" t="n"/>
      <c r="AP134" s="125" t="n"/>
      <c r="AQ134" s="125" t="n"/>
      <c r="AR134" s="125" t="n"/>
      <c r="AS134" s="125" t="n"/>
    </row>
    <row r="135" hidden="1" outlineLevel="2">
      <c r="A135" s="8" t="n"/>
      <c r="B135" s="14" t="n"/>
      <c r="C135" s="125" t="n"/>
      <c r="D135" s="125" t="n"/>
      <c r="E135" s="125" t="n"/>
      <c r="F135" s="125" t="n"/>
      <c r="G135" s="125" t="n"/>
      <c r="I135" s="55">
        <f>DADOS_INVOC!$PX$11</f>
        <v/>
      </c>
      <c r="J135" s="16" t="n"/>
      <c r="K135" s="16" t="n"/>
      <c r="L135" s="16" t="n"/>
      <c r="M135" s="17" t="n"/>
      <c r="N135" s="125" t="n"/>
      <c r="O135" s="125" t="n"/>
      <c r="P135" s="125" t="n"/>
      <c r="Q135" s="125" t="n"/>
      <c r="R135" s="125" t="n"/>
      <c r="S135" s="125" t="n"/>
      <c r="T135" s="125" t="n"/>
      <c r="U135" s="125" t="n"/>
      <c r="V135" s="125" t="n"/>
      <c r="W135" s="125" t="n"/>
      <c r="X135" s="125" t="n"/>
      <c r="Y135" s="125" t="n"/>
      <c r="Z135" s="125" t="n"/>
      <c r="AB135" s="55">
        <f>DADOS_INVOC!$PX$89</f>
        <v/>
      </c>
      <c r="AC135" s="16" t="n"/>
      <c r="AD135" s="16" t="n"/>
      <c r="AE135" s="16" t="n"/>
      <c r="AF135" s="17" t="n"/>
      <c r="AG135" s="125" t="n"/>
      <c r="AH135" s="125" t="n"/>
      <c r="AI135" s="125" t="n"/>
      <c r="AJ135" s="125" t="n"/>
      <c r="AK135" s="125" t="n"/>
      <c r="AL135" s="125" t="n"/>
      <c r="AM135" s="125" t="n"/>
      <c r="AN135" s="125" t="n"/>
      <c r="AO135" s="125" t="n"/>
      <c r="AP135" s="125" t="n"/>
      <c r="AQ135" s="125" t="n"/>
      <c r="AR135" s="125" t="n"/>
      <c r="AS135" s="125" t="n"/>
    </row>
    <row r="136" hidden="1" outlineLevel="2">
      <c r="A136" s="8" t="n"/>
      <c r="B136" s="14" t="n"/>
      <c r="C136" s="125" t="n"/>
      <c r="D136" s="125" t="n"/>
      <c r="E136" s="125" t="n"/>
      <c r="F136" s="125" t="n"/>
      <c r="G136" s="125" t="n"/>
      <c r="I136" s="131" t="n">
        <v>1</v>
      </c>
      <c r="J136" s="120" t="n"/>
      <c r="K136" s="16" t="n"/>
      <c r="L136" s="17" t="n"/>
      <c r="M136" s="132">
        <f>DADOS_INVOC!$PV$11</f>
        <v/>
      </c>
      <c r="N136" s="125" t="n"/>
      <c r="O136" s="125" t="n"/>
      <c r="P136" s="125" t="n"/>
      <c r="Q136" s="125" t="n"/>
      <c r="R136" s="125" t="n"/>
      <c r="S136" s="125" t="n"/>
      <c r="T136" s="125" t="n"/>
      <c r="U136" s="125" t="n"/>
      <c r="V136" s="125" t="n"/>
      <c r="W136" s="125" t="n"/>
      <c r="X136" s="125" t="n"/>
      <c r="Y136" s="125" t="n"/>
      <c r="Z136" s="125" t="n"/>
      <c r="AB136" s="131" t="n">
        <v>1</v>
      </c>
      <c r="AC136" s="120" t="n"/>
      <c r="AD136" s="16" t="n"/>
      <c r="AE136" s="17" t="n"/>
      <c r="AF136" s="132">
        <f>DADOS_INVOC!$PV$89</f>
        <v/>
      </c>
      <c r="AG136" s="125" t="n"/>
      <c r="AH136" s="125" t="n"/>
      <c r="AI136" s="125" t="n"/>
      <c r="AJ136" s="125" t="n"/>
      <c r="AK136" s="125" t="n"/>
      <c r="AL136" s="125" t="n"/>
      <c r="AM136" s="125" t="n"/>
      <c r="AN136" s="125" t="n"/>
      <c r="AO136" s="125" t="n"/>
      <c r="AP136" s="125" t="n"/>
      <c r="AQ136" s="125" t="n"/>
      <c r="AR136" s="125" t="n"/>
      <c r="AS136" s="125" t="n"/>
    </row>
    <row r="137" hidden="1" outlineLevel="3">
      <c r="A137" s="8" t="n"/>
      <c r="B137" s="14" t="n"/>
      <c r="C137" s="125" t="n"/>
      <c r="D137" s="125" t="n"/>
      <c r="E137" s="125" t="n"/>
      <c r="F137" s="125" t="n"/>
      <c r="G137" s="125" t="n"/>
      <c r="I137" s="55" t="inlineStr">
        <is>
          <t>COMO É</t>
        </is>
      </c>
      <c r="J137" s="16" t="n"/>
      <c r="K137" s="16" t="n"/>
      <c r="L137" s="16" t="n"/>
      <c r="M137" s="17" t="n"/>
      <c r="N137" s="125" t="n"/>
      <c r="O137" s="125" t="n"/>
      <c r="P137" s="125" t="n"/>
      <c r="Q137" s="125" t="n"/>
      <c r="R137" s="125" t="n"/>
      <c r="S137" s="125" t="n"/>
      <c r="T137" s="125" t="n"/>
      <c r="U137" s="125" t="n"/>
      <c r="V137" s="125" t="n"/>
      <c r="W137" s="125" t="n"/>
      <c r="X137" s="125" t="n"/>
      <c r="Y137" s="125" t="n"/>
      <c r="Z137" s="125" t="n"/>
      <c r="AB137" s="55" t="inlineStr">
        <is>
          <t>COMO É</t>
        </is>
      </c>
      <c r="AC137" s="16" t="n"/>
      <c r="AD137" s="16" t="n"/>
      <c r="AE137" s="16" t="n"/>
      <c r="AF137" s="17" t="n"/>
      <c r="AG137" s="125" t="n"/>
      <c r="AH137" s="125" t="n"/>
      <c r="AI137" s="125" t="n"/>
      <c r="AJ137" s="125" t="n"/>
      <c r="AK137" s="125" t="n"/>
      <c r="AL137" s="125" t="n"/>
      <c r="AM137" s="125" t="n"/>
      <c r="AN137" s="125" t="n"/>
      <c r="AO137" s="125" t="n"/>
      <c r="AP137" s="125" t="n"/>
      <c r="AQ137" s="125" t="n"/>
      <c r="AR137" s="125" t="n"/>
      <c r="AS137" s="125" t="n"/>
    </row>
    <row r="138" hidden="1" outlineLevel="3">
      <c r="A138" s="8" t="n"/>
      <c r="B138" s="14" t="n"/>
      <c r="C138" s="125" t="n"/>
      <c r="D138" s="125" t="n"/>
      <c r="E138" s="125" t="n"/>
      <c r="F138" s="125" t="n"/>
      <c r="G138" s="125" t="n"/>
      <c r="I138" s="121" t="n"/>
      <c r="J138" s="19" t="n"/>
      <c r="K138" s="19" t="n"/>
      <c r="L138" s="19" t="n"/>
      <c r="M138" s="20" t="n"/>
      <c r="N138" s="125" t="n"/>
      <c r="O138" s="125" t="n"/>
      <c r="P138" s="125" t="n"/>
      <c r="Q138" s="125" t="n"/>
      <c r="R138" s="125" t="n"/>
      <c r="S138" s="125" t="n"/>
      <c r="T138" s="125" t="n"/>
      <c r="U138" s="125" t="n"/>
      <c r="V138" s="125" t="n"/>
      <c r="W138" s="125" t="n"/>
      <c r="X138" s="125" t="n"/>
      <c r="Y138" s="125" t="n"/>
      <c r="Z138" s="125" t="n"/>
      <c r="AB138" s="121" t="n"/>
      <c r="AC138" s="19" t="n"/>
      <c r="AD138" s="19" t="n"/>
      <c r="AE138" s="19" t="n"/>
      <c r="AF138" s="20" t="n"/>
      <c r="AG138" s="125" t="n"/>
      <c r="AH138" s="125" t="n"/>
      <c r="AI138" s="125" t="n"/>
      <c r="AJ138" s="125" t="n"/>
      <c r="AK138" s="125" t="n"/>
      <c r="AL138" s="125" t="n"/>
      <c r="AM138" s="125" t="n"/>
      <c r="AN138" s="125" t="n"/>
      <c r="AO138" s="125" t="n"/>
      <c r="AP138" s="125" t="n"/>
      <c r="AQ138" s="125" t="n"/>
      <c r="AR138" s="125" t="n"/>
      <c r="AS138" s="125" t="n"/>
    </row>
    <row r="139" hidden="1" outlineLevel="3">
      <c r="A139" s="8" t="n"/>
      <c r="B139" s="14" t="n"/>
      <c r="C139" s="125" t="n"/>
      <c r="D139" s="125" t="n"/>
      <c r="E139" s="125" t="n"/>
      <c r="F139" s="125" t="n"/>
      <c r="G139" s="125" t="n"/>
      <c r="I139" s="21" t="n"/>
      <c r="M139" s="22" t="n"/>
      <c r="N139" s="125" t="n"/>
      <c r="O139" s="125" t="n"/>
      <c r="P139" s="125" t="n"/>
      <c r="Q139" s="125" t="n"/>
      <c r="R139" s="125" t="n"/>
      <c r="S139" s="125" t="n"/>
      <c r="T139" s="125" t="n"/>
      <c r="U139" s="125" t="n"/>
      <c r="V139" s="125" t="n"/>
      <c r="W139" s="125" t="n"/>
      <c r="X139" s="125" t="n"/>
      <c r="Y139" s="125" t="n"/>
      <c r="Z139" s="125" t="n"/>
      <c r="AB139" s="21" t="n"/>
      <c r="AF139" s="22" t="n"/>
      <c r="AG139" s="125" t="n"/>
      <c r="AH139" s="125" t="n"/>
      <c r="AI139" s="125" t="n"/>
      <c r="AJ139" s="125" t="n"/>
      <c r="AK139" s="125" t="n"/>
      <c r="AL139" s="125" t="n"/>
      <c r="AM139" s="125" t="n"/>
      <c r="AN139" s="125" t="n"/>
      <c r="AO139" s="125" t="n"/>
      <c r="AP139" s="125" t="n"/>
      <c r="AQ139" s="125" t="n"/>
      <c r="AR139" s="125" t="n"/>
      <c r="AS139" s="125" t="n"/>
    </row>
    <row r="140" hidden="1" outlineLevel="3">
      <c r="A140" s="8" t="n"/>
      <c r="B140" s="14" t="n"/>
      <c r="C140" s="125" t="n"/>
      <c r="D140" s="125" t="n"/>
      <c r="E140" s="125" t="n"/>
      <c r="F140" s="125" t="n"/>
      <c r="G140" s="125" t="n"/>
      <c r="I140" s="23" t="n"/>
      <c r="J140" s="24" t="n"/>
      <c r="K140" s="24" t="n"/>
      <c r="L140" s="24" t="n"/>
      <c r="M140" s="25" t="n"/>
      <c r="N140" s="125" t="n"/>
      <c r="O140" s="125" t="n"/>
      <c r="P140" s="125" t="n"/>
      <c r="Q140" s="125" t="n"/>
      <c r="R140" s="125" t="n"/>
      <c r="S140" s="125" t="n"/>
      <c r="T140" s="125" t="n"/>
      <c r="U140" s="125" t="n"/>
      <c r="V140" s="125" t="n"/>
      <c r="W140" s="125" t="n"/>
      <c r="X140" s="125" t="n"/>
      <c r="Y140" s="125" t="n"/>
      <c r="Z140" s="125" t="n"/>
      <c r="AB140" s="23" t="n"/>
      <c r="AC140" s="24" t="n"/>
      <c r="AD140" s="24" t="n"/>
      <c r="AE140" s="24" t="n"/>
      <c r="AF140" s="25" t="n"/>
      <c r="AG140" s="125" t="n"/>
      <c r="AH140" s="125" t="n"/>
      <c r="AI140" s="125" t="n"/>
      <c r="AJ140" s="125" t="n"/>
      <c r="AK140" s="125" t="n"/>
      <c r="AL140" s="125" t="n"/>
      <c r="AM140" s="125" t="n"/>
      <c r="AN140" s="125" t="n"/>
      <c r="AO140" s="125" t="n"/>
      <c r="AP140" s="125" t="n"/>
      <c r="AQ140" s="125" t="n"/>
      <c r="AR140" s="125" t="n"/>
      <c r="AS140" s="125" t="n"/>
    </row>
    <row r="141" hidden="1" outlineLevel="2">
      <c r="A141" s="8" t="n"/>
      <c r="B141" s="14" t="n"/>
      <c r="C141" s="125" t="n"/>
      <c r="D141" s="125" t="n"/>
      <c r="E141" s="125" t="n"/>
      <c r="F141" s="125" t="n"/>
      <c r="G141" s="125" t="n"/>
      <c r="I141" s="89" t="inlineStr">
        <is>
          <t>Projétil</t>
        </is>
      </c>
      <c r="J141" s="17" t="n"/>
      <c r="K141" s="68">
        <f>DADOS_INVOC!$QC$11</f>
        <v/>
      </c>
      <c r="L141" s="17" t="n"/>
      <c r="M141" s="68">
        <f>DADOS_INVOC!$PY$11</f>
        <v/>
      </c>
      <c r="N141" s="125" t="n"/>
      <c r="O141" s="125" t="n"/>
      <c r="P141" s="125" t="n"/>
      <c r="Q141" s="125" t="n"/>
      <c r="R141" s="125" t="n"/>
      <c r="S141" s="125" t="n"/>
      <c r="T141" s="125" t="n"/>
      <c r="U141" s="125" t="n"/>
      <c r="V141" s="125" t="n"/>
      <c r="W141" s="125" t="n"/>
      <c r="X141" s="125" t="n"/>
      <c r="Y141" s="125" t="n"/>
      <c r="Z141" s="125" t="n"/>
      <c r="AB141" s="89" t="inlineStr">
        <is>
          <t>Projétil</t>
        </is>
      </c>
      <c r="AC141" s="17" t="n"/>
      <c r="AD141" s="68">
        <f>DADOS_INVOC!$QC$89</f>
        <v/>
      </c>
      <c r="AE141" s="17" t="n"/>
      <c r="AF141" s="68">
        <f>DADOS_INVOC!$PY$89</f>
        <v/>
      </c>
      <c r="AG141" s="125" t="n"/>
      <c r="AH141" s="125" t="n"/>
      <c r="AI141" s="125" t="n"/>
      <c r="AJ141" s="125" t="n"/>
      <c r="AK141" s="125" t="n"/>
      <c r="AL141" s="125" t="n"/>
      <c r="AM141" s="125" t="n"/>
      <c r="AN141" s="125" t="n"/>
      <c r="AO141" s="125" t="n"/>
      <c r="AP141" s="125" t="n"/>
      <c r="AQ141" s="125" t="n"/>
      <c r="AR141" s="125" t="n"/>
      <c r="AS141" s="125" t="n"/>
    </row>
    <row r="142" hidden="1" outlineLevel="2">
      <c r="A142" s="8" t="n"/>
      <c r="B142" s="14" t="n"/>
      <c r="C142" s="125" t="n"/>
      <c r="D142" s="125" t="n"/>
      <c r="E142" s="125" t="n"/>
      <c r="F142" s="125" t="n"/>
      <c r="G142" s="125" t="n"/>
      <c r="I142" s="89" t="n"/>
      <c r="J142" s="17" t="n"/>
      <c r="K142" s="89" t="n"/>
      <c r="L142" s="16" t="n"/>
      <c r="M142" s="17" t="n"/>
      <c r="N142" s="125" t="n"/>
      <c r="O142" s="125" t="n"/>
      <c r="P142" s="125" t="n"/>
      <c r="Q142" s="125" t="n"/>
      <c r="R142" s="125" t="n"/>
      <c r="S142" s="125" t="n"/>
      <c r="T142" s="125" t="n"/>
      <c r="U142" s="125" t="n"/>
      <c r="V142" s="125" t="n"/>
      <c r="W142" s="125" t="n"/>
      <c r="X142" s="125" t="n"/>
      <c r="Y142" s="125" t="n"/>
      <c r="Z142" s="125" t="n"/>
      <c r="AB142" s="89" t="n"/>
      <c r="AC142" s="17" t="n"/>
      <c r="AD142" s="89" t="n"/>
      <c r="AE142" s="16" t="n"/>
      <c r="AF142" s="17" t="n"/>
      <c r="AG142" s="125" t="n"/>
      <c r="AH142" s="125" t="n"/>
      <c r="AI142" s="125" t="n"/>
      <c r="AJ142" s="125" t="n"/>
      <c r="AK142" s="125" t="n"/>
      <c r="AL142" s="125" t="n"/>
      <c r="AM142" s="125" t="n"/>
      <c r="AN142" s="125" t="n"/>
      <c r="AO142" s="125" t="n"/>
      <c r="AP142" s="125" t="n"/>
      <c r="AQ142" s="125" t="n"/>
      <c r="AR142" s="125" t="n"/>
      <c r="AS142" s="125" t="n"/>
    </row>
    <row r="143" hidden="1" outlineLevel="2">
      <c r="A143" s="8" t="n"/>
      <c r="B143" s="14" t="n"/>
      <c r="C143" s="125" t="n"/>
      <c r="D143" s="125" t="n"/>
      <c r="E143" s="125" t="n"/>
      <c r="F143" s="125" t="n"/>
      <c r="G143" s="125" t="n"/>
      <c r="I143" s="89">
        <f>DADOS_INVOC!$PZ$11</f>
        <v/>
      </c>
      <c r="J143" s="17" t="n"/>
      <c r="K143" s="89">
        <f>DADOS_INVOC!$QB$11</f>
        <v/>
      </c>
      <c r="L143" s="16" t="n"/>
      <c r="M143" s="17" t="n"/>
      <c r="N143" s="125" t="n"/>
      <c r="O143" s="125" t="n"/>
      <c r="P143" s="125" t="n"/>
      <c r="Q143" s="125" t="n"/>
      <c r="R143" s="125" t="n"/>
      <c r="S143" s="125" t="n"/>
      <c r="T143" s="125" t="n"/>
      <c r="U143" s="125" t="n"/>
      <c r="V143" s="125" t="n"/>
      <c r="W143" s="125" t="n"/>
      <c r="X143" s="125" t="n"/>
      <c r="Y143" s="125" t="n"/>
      <c r="Z143" s="125" t="n"/>
      <c r="AB143" s="89">
        <f>DADOS_INVOC!$PZ$89</f>
        <v/>
      </c>
      <c r="AC143" s="17" t="n"/>
      <c r="AD143" s="89">
        <f>DADOS_INVOC!$QB$89</f>
        <v/>
      </c>
      <c r="AE143" s="16" t="n"/>
      <c r="AF143" s="17" t="n"/>
      <c r="AG143" s="125" t="n"/>
      <c r="AH143" s="125" t="n"/>
      <c r="AI143" s="125" t="n"/>
      <c r="AJ143" s="125" t="n"/>
      <c r="AK143" s="125" t="n"/>
      <c r="AL143" s="125" t="n"/>
      <c r="AM143" s="125" t="n"/>
      <c r="AN143" s="125" t="n"/>
      <c r="AO143" s="125" t="n"/>
      <c r="AP143" s="125" t="n"/>
      <c r="AQ143" s="125" t="n"/>
      <c r="AR143" s="125" t="n"/>
      <c r="AS143" s="125" t="n"/>
    </row>
    <row r="144" hidden="1" outlineLevel="2">
      <c r="A144" s="8" t="n"/>
      <c r="B144" s="14" t="n"/>
      <c r="C144" s="125" t="n"/>
      <c r="D144" s="125" t="n"/>
      <c r="E144" s="125" t="n"/>
      <c r="F144" s="125" t="n"/>
      <c r="G144" s="125" t="n"/>
      <c r="I144" s="133">
        <f>DADOS_INVOC!$QH$11</f>
        <v/>
      </c>
      <c r="J144" s="16" t="n"/>
      <c r="K144" s="16" t="n"/>
      <c r="L144" s="16" t="n"/>
      <c r="M144" s="17" t="n"/>
      <c r="N144" s="125" t="n"/>
      <c r="O144" s="125" t="n"/>
      <c r="P144" s="125" t="n"/>
      <c r="Q144" s="125" t="n"/>
      <c r="R144" s="125" t="n"/>
      <c r="S144" s="125" t="n"/>
      <c r="T144" s="125" t="n"/>
      <c r="U144" s="125" t="n"/>
      <c r="V144" s="125" t="n"/>
      <c r="W144" s="125" t="n"/>
      <c r="X144" s="125" t="n"/>
      <c r="Y144" s="125" t="n"/>
      <c r="Z144" s="125" t="n"/>
      <c r="AB144" s="133">
        <f>DADOS_INVOC!$QH$89</f>
        <v/>
      </c>
      <c r="AC144" s="16" t="n"/>
      <c r="AD144" s="16" t="n"/>
      <c r="AE144" s="16" t="n"/>
      <c r="AF144" s="17" t="n"/>
      <c r="AG144" s="125" t="n"/>
      <c r="AH144" s="125" t="n"/>
      <c r="AI144" s="125" t="n"/>
      <c r="AJ144" s="125" t="n"/>
      <c r="AK144" s="125" t="n"/>
      <c r="AL144" s="125" t="n"/>
      <c r="AM144" s="125" t="n"/>
      <c r="AN144" s="125" t="n"/>
      <c r="AO144" s="125" t="n"/>
      <c r="AP144" s="125" t="n"/>
      <c r="AQ144" s="125" t="n"/>
      <c r="AR144" s="125" t="n"/>
      <c r="AS144" s="125" t="n"/>
    </row>
    <row r="145" hidden="1" outlineLevel="3">
      <c r="A145" s="8" t="n"/>
      <c r="B145" s="14" t="n"/>
      <c r="C145" s="125" t="n"/>
      <c r="D145" s="125" t="n"/>
      <c r="E145" s="125" t="n"/>
      <c r="F145" s="125" t="n"/>
      <c r="G145" s="125" t="n"/>
      <c r="I145" s="55" t="inlineStr">
        <is>
          <t>MELHORIAS</t>
        </is>
      </c>
      <c r="J145" s="134" t="n"/>
      <c r="K145" s="16" t="n"/>
      <c r="L145" s="17" t="n"/>
      <c r="M145" s="133">
        <f>DADOS_INVOC!$QK$11</f>
        <v/>
      </c>
      <c r="N145" s="125" t="n"/>
      <c r="O145" s="125" t="n"/>
      <c r="P145" s="125" t="n"/>
      <c r="Q145" s="125" t="n"/>
      <c r="R145" s="125" t="n"/>
      <c r="S145" s="125" t="n"/>
      <c r="T145" s="125" t="n"/>
      <c r="U145" s="125" t="n"/>
      <c r="V145" s="125" t="n"/>
      <c r="W145" s="125" t="n"/>
      <c r="X145" s="125" t="n"/>
      <c r="Y145" s="125" t="n"/>
      <c r="Z145" s="125" t="n"/>
      <c r="AB145" s="55" t="inlineStr">
        <is>
          <t>MELHORIAS</t>
        </is>
      </c>
      <c r="AC145" s="134" t="n"/>
      <c r="AD145" s="16" t="n"/>
      <c r="AE145" s="17" t="n"/>
      <c r="AF145" s="133">
        <f>DADOS_INVOC!$QK$89</f>
        <v/>
      </c>
      <c r="AG145" s="125" t="n"/>
      <c r="AH145" s="125" t="n"/>
      <c r="AI145" s="125" t="n"/>
      <c r="AJ145" s="125" t="n"/>
      <c r="AK145" s="125" t="n"/>
      <c r="AL145" s="125" t="n"/>
      <c r="AM145" s="125" t="n"/>
      <c r="AN145" s="125" t="n"/>
      <c r="AO145" s="125" t="n"/>
      <c r="AP145" s="125" t="n"/>
      <c r="AQ145" s="125" t="n"/>
      <c r="AR145" s="125" t="n"/>
      <c r="AS145" s="125" t="n"/>
    </row>
    <row r="146" hidden="1" outlineLevel="3">
      <c r="A146" s="8" t="n"/>
      <c r="B146" s="14" t="n"/>
      <c r="C146" s="125" t="n"/>
      <c r="D146" s="125" t="n"/>
      <c r="E146" s="125" t="n"/>
      <c r="F146" s="125" t="n"/>
      <c r="G146" s="125" t="n"/>
      <c r="I146" s="135" t="n"/>
      <c r="J146" s="134" t="n"/>
      <c r="K146" s="16" t="n"/>
      <c r="L146" s="17" t="n"/>
      <c r="M146" s="133">
        <f>DADOS_INVOC!$QL$11</f>
        <v/>
      </c>
      <c r="N146" s="125" t="n"/>
      <c r="O146" s="125" t="n"/>
      <c r="P146" s="125" t="n"/>
      <c r="Q146" s="125" t="n"/>
      <c r="R146" s="125" t="n"/>
      <c r="S146" s="125" t="n"/>
      <c r="T146" s="125" t="n"/>
      <c r="U146" s="125" t="n"/>
      <c r="V146" s="125" t="n"/>
      <c r="W146" s="125" t="n"/>
      <c r="X146" s="125" t="n"/>
      <c r="Y146" s="125" t="n"/>
      <c r="Z146" s="125" t="n"/>
      <c r="AB146" s="135" t="n"/>
      <c r="AC146" s="134" t="n"/>
      <c r="AD146" s="16" t="n"/>
      <c r="AE146" s="17" t="n"/>
      <c r="AF146" s="133">
        <f>DADOS_INVOC!$QL$89</f>
        <v/>
      </c>
      <c r="AG146" s="125" t="n"/>
      <c r="AH146" s="125" t="n"/>
      <c r="AI146" s="125" t="n"/>
      <c r="AJ146" s="125" t="n"/>
      <c r="AK146" s="125" t="n"/>
      <c r="AL146" s="125" t="n"/>
      <c r="AM146" s="125" t="n"/>
      <c r="AN146" s="125" t="n"/>
      <c r="AO146" s="125" t="n"/>
      <c r="AP146" s="125" t="n"/>
      <c r="AQ146" s="125" t="n"/>
      <c r="AR146" s="125" t="n"/>
      <c r="AS146" s="125" t="n"/>
    </row>
    <row r="147" hidden="1" outlineLevel="3">
      <c r="A147" s="8" t="n"/>
      <c r="B147" s="14" t="n"/>
      <c r="C147" s="125" t="n"/>
      <c r="D147" s="125" t="n"/>
      <c r="E147" s="125" t="n"/>
      <c r="F147" s="125" t="n"/>
      <c r="G147" s="125" t="n"/>
      <c r="I147" s="135" t="n"/>
      <c r="J147" s="134" t="n"/>
      <c r="K147" s="16" t="n"/>
      <c r="L147" s="17" t="n"/>
      <c r="M147" s="133">
        <f>DADOS_INVOC!$QM$11</f>
        <v/>
      </c>
      <c r="N147" s="125" t="n"/>
      <c r="O147" s="125" t="n"/>
      <c r="P147" s="125" t="n"/>
      <c r="Q147" s="125" t="n"/>
      <c r="R147" s="125" t="n"/>
      <c r="S147" s="125" t="n"/>
      <c r="T147" s="125" t="n"/>
      <c r="U147" s="125" t="n"/>
      <c r="V147" s="125" t="n"/>
      <c r="W147" s="125" t="n"/>
      <c r="X147" s="125" t="n"/>
      <c r="Y147" s="125" t="n"/>
      <c r="Z147" s="125" t="n"/>
      <c r="AB147" s="135" t="n"/>
      <c r="AC147" s="134" t="n"/>
      <c r="AD147" s="16" t="n"/>
      <c r="AE147" s="17" t="n"/>
      <c r="AF147" s="133">
        <f>DADOS_INVOC!$QM$89</f>
        <v/>
      </c>
      <c r="AG147" s="125" t="n"/>
      <c r="AH147" s="125" t="n"/>
      <c r="AI147" s="125" t="n"/>
      <c r="AJ147" s="125" t="n"/>
      <c r="AK147" s="125" t="n"/>
      <c r="AL147" s="125" t="n"/>
      <c r="AM147" s="125" t="n"/>
      <c r="AN147" s="125" t="n"/>
      <c r="AO147" s="125" t="n"/>
      <c r="AP147" s="125" t="n"/>
      <c r="AQ147" s="125" t="n"/>
      <c r="AR147" s="125" t="n"/>
      <c r="AS147" s="125" t="n"/>
    </row>
    <row r="148" hidden="1" outlineLevel="3">
      <c r="A148" s="8" t="n"/>
      <c r="B148" s="14" t="n"/>
      <c r="C148" s="125" t="n"/>
      <c r="D148" s="125" t="n"/>
      <c r="E148" s="125" t="n"/>
      <c r="F148" s="125" t="n"/>
      <c r="G148" s="125" t="n"/>
      <c r="I148" s="129" t="n"/>
      <c r="J148" s="134" t="n"/>
      <c r="K148" s="16" t="n"/>
      <c r="L148" s="17" t="n"/>
      <c r="M148" s="133">
        <f>DADOS_INVOC!$QN$11</f>
        <v/>
      </c>
      <c r="N148" s="125" t="n"/>
      <c r="O148" s="125" t="n"/>
      <c r="P148" s="125" t="n"/>
      <c r="Q148" s="125" t="n"/>
      <c r="R148" s="125" t="n"/>
      <c r="S148" s="125" t="n"/>
      <c r="T148" s="125" t="n"/>
      <c r="U148" s="125" t="n"/>
      <c r="V148" s="125" t="n"/>
      <c r="W148" s="125" t="n"/>
      <c r="X148" s="125" t="n"/>
      <c r="Y148" s="125" t="n"/>
      <c r="Z148" s="125" t="n"/>
      <c r="AB148" s="129" t="n"/>
      <c r="AC148" s="134" t="n"/>
      <c r="AD148" s="16" t="n"/>
      <c r="AE148" s="17" t="n"/>
      <c r="AF148" s="133">
        <f>DADOS_INVOC!$QN$89</f>
        <v/>
      </c>
      <c r="AG148" s="125" t="n"/>
      <c r="AH148" s="125" t="n"/>
      <c r="AI148" s="125" t="n"/>
      <c r="AJ148" s="125" t="n"/>
      <c r="AK148" s="125" t="n"/>
      <c r="AL148" s="125" t="n"/>
      <c r="AM148" s="125" t="n"/>
      <c r="AN148" s="125" t="n"/>
      <c r="AO148" s="125" t="n"/>
      <c r="AP148" s="125" t="n"/>
      <c r="AQ148" s="125" t="n"/>
      <c r="AR148" s="125" t="n"/>
      <c r="AS148" s="125" t="n"/>
    </row>
    <row r="149" hidden="1" outlineLevel="3">
      <c r="A149" s="8" t="n"/>
      <c r="B149" s="14" t="n"/>
      <c r="C149" s="125" t="n"/>
      <c r="D149" s="125" t="n"/>
      <c r="E149" s="125" t="n"/>
      <c r="F149" s="125" t="n"/>
      <c r="G149" s="125" t="n"/>
      <c r="I149" s="55" t="inlineStr">
        <is>
          <t>RESTRIÇÕES</t>
        </is>
      </c>
      <c r="J149" s="134" t="n"/>
      <c r="K149" s="16" t="n"/>
      <c r="L149" s="17" t="n"/>
      <c r="M149" s="133">
        <f>DADOS_INVOC!$QO$11</f>
        <v/>
      </c>
      <c r="N149" s="125" t="n"/>
      <c r="O149" s="125" t="n"/>
      <c r="P149" s="125" t="n"/>
      <c r="Q149" s="125" t="n"/>
      <c r="R149" s="125" t="n"/>
      <c r="S149" s="125" t="n"/>
      <c r="T149" s="125" t="n"/>
      <c r="U149" s="125" t="n"/>
      <c r="V149" s="125" t="n"/>
      <c r="W149" s="125" t="n"/>
      <c r="X149" s="125" t="n"/>
      <c r="Y149" s="125" t="n"/>
      <c r="Z149" s="125" t="n"/>
      <c r="AB149" s="55" t="inlineStr">
        <is>
          <t>RESTRIÇÕES</t>
        </is>
      </c>
      <c r="AC149" s="134" t="n"/>
      <c r="AD149" s="16" t="n"/>
      <c r="AE149" s="17" t="n"/>
      <c r="AF149" s="133">
        <f>DADOS_INVOC!$QO$89</f>
        <v/>
      </c>
      <c r="AG149" s="125" t="n"/>
      <c r="AH149" s="125" t="n"/>
      <c r="AI149" s="125" t="n"/>
      <c r="AJ149" s="125" t="n"/>
      <c r="AK149" s="125" t="n"/>
      <c r="AL149" s="125" t="n"/>
      <c r="AM149" s="125" t="n"/>
      <c r="AN149" s="125" t="n"/>
      <c r="AO149" s="125" t="n"/>
      <c r="AP149" s="125" t="n"/>
      <c r="AQ149" s="125" t="n"/>
      <c r="AR149" s="125" t="n"/>
      <c r="AS149" s="125" t="n"/>
    </row>
    <row r="150" hidden="1" outlineLevel="3">
      <c r="A150" s="8" t="n"/>
      <c r="B150" s="14" t="n"/>
      <c r="C150" s="125" t="n"/>
      <c r="D150" s="125" t="n"/>
      <c r="E150" s="125" t="n"/>
      <c r="F150" s="125" t="n"/>
      <c r="G150" s="125" t="n"/>
      <c r="I150" s="129" t="n"/>
      <c r="J150" s="134" t="n"/>
      <c r="K150" s="16" t="n"/>
      <c r="L150" s="17" t="n"/>
      <c r="M150" s="133">
        <f>DADOS_INVOC!$QP$11</f>
        <v/>
      </c>
      <c r="N150" s="125" t="n"/>
      <c r="O150" s="125" t="n"/>
      <c r="P150" s="125" t="n"/>
      <c r="Q150" s="125" t="n"/>
      <c r="R150" s="125" t="n"/>
      <c r="S150" s="125" t="n"/>
      <c r="T150" s="125" t="n"/>
      <c r="U150" s="125" t="n"/>
      <c r="V150" s="125" t="n"/>
      <c r="W150" s="125" t="n"/>
      <c r="X150" s="125" t="n"/>
      <c r="Y150" s="125" t="n"/>
      <c r="Z150" s="125" t="n"/>
      <c r="AB150" s="129" t="n"/>
      <c r="AC150" s="134" t="n"/>
      <c r="AD150" s="16" t="n"/>
      <c r="AE150" s="17" t="n"/>
      <c r="AF150" s="133">
        <f>DADOS_INVOC!$QP$89</f>
        <v/>
      </c>
      <c r="AG150" s="125" t="n"/>
      <c r="AH150" s="125" t="n"/>
      <c r="AI150" s="125" t="n"/>
      <c r="AJ150" s="125" t="n"/>
      <c r="AK150" s="125" t="n"/>
      <c r="AL150" s="125" t="n"/>
      <c r="AM150" s="125" t="n"/>
      <c r="AN150" s="125" t="n"/>
      <c r="AO150" s="125" t="n"/>
      <c r="AP150" s="125" t="n"/>
      <c r="AQ150" s="125" t="n"/>
      <c r="AR150" s="125" t="n"/>
      <c r="AS150" s="125" t="n"/>
    </row>
    <row r="151" hidden="1" outlineLevel="3">
      <c r="A151" s="8" t="n"/>
      <c r="B151" s="14" t="n"/>
      <c r="C151" s="125" t="n"/>
      <c r="D151" s="125" t="n"/>
      <c r="E151" s="125" t="n"/>
      <c r="F151" s="125" t="n"/>
      <c r="G151" s="125" t="n"/>
      <c r="I151" s="55" t="inlineStr">
        <is>
          <t>CONTA</t>
        </is>
      </c>
      <c r="J151" s="136">
        <f>DADOS_INVOC!$QI$11</f>
        <v/>
      </c>
      <c r="K151" s="16" t="n"/>
      <c r="L151" s="16" t="n"/>
      <c r="M151" s="17" t="n"/>
      <c r="N151" s="125" t="n"/>
      <c r="O151" s="125" t="n"/>
      <c r="P151" s="125" t="n"/>
      <c r="Q151" s="125" t="n"/>
      <c r="R151" s="125" t="n"/>
      <c r="S151" s="125" t="n"/>
      <c r="T151" s="125" t="n"/>
      <c r="U151" s="125" t="n"/>
      <c r="V151" s="125" t="n"/>
      <c r="W151" s="125" t="n"/>
      <c r="X151" s="125" t="n"/>
      <c r="Y151" s="125" t="n"/>
      <c r="Z151" s="125" t="n"/>
      <c r="AB151" s="55" t="inlineStr">
        <is>
          <t>CONTA</t>
        </is>
      </c>
      <c r="AC151" s="136">
        <f>DADOS_INVOC!$QI$89</f>
        <v/>
      </c>
      <c r="AD151" s="16" t="n"/>
      <c r="AE151" s="16" t="n"/>
      <c r="AF151" s="17" t="n"/>
      <c r="AG151" s="125" t="n"/>
      <c r="AH151" s="125" t="n"/>
      <c r="AI151" s="125" t="n"/>
      <c r="AJ151" s="125" t="n"/>
      <c r="AK151" s="125" t="n"/>
      <c r="AL151" s="125" t="n"/>
      <c r="AM151" s="125" t="n"/>
      <c r="AN151" s="125" t="n"/>
      <c r="AO151" s="125" t="n"/>
      <c r="AP151" s="125" t="n"/>
      <c r="AQ151" s="125" t="n"/>
      <c r="AR151" s="125" t="n"/>
      <c r="AS151" s="125" t="n"/>
    </row>
    <row r="152" hidden="1" outlineLevel="3">
      <c r="A152" s="8" t="n"/>
      <c r="B152" s="14" t="n"/>
      <c r="C152" s="125" t="n"/>
      <c r="D152" s="125" t="n"/>
      <c r="E152" s="125" t="n"/>
      <c r="F152" s="125" t="n"/>
      <c r="G152" s="125" t="n"/>
      <c r="I152" s="55" t="inlineStr">
        <is>
          <t>AMPLIAR</t>
        </is>
      </c>
      <c r="J152" s="136">
        <f>DADOS_INVOC!$QJ$11</f>
        <v/>
      </c>
      <c r="K152" s="19" t="n"/>
      <c r="L152" s="19" t="n"/>
      <c r="M152" s="20" t="n"/>
      <c r="N152" s="125" t="n"/>
      <c r="O152" s="125" t="n"/>
      <c r="P152" s="125" t="n"/>
      <c r="Q152" s="125" t="n"/>
      <c r="R152" s="125" t="n"/>
      <c r="S152" s="125" t="n"/>
      <c r="T152" s="125" t="n"/>
      <c r="U152" s="125" t="n"/>
      <c r="V152" s="125" t="n"/>
      <c r="W152" s="125" t="n"/>
      <c r="X152" s="125" t="n"/>
      <c r="Y152" s="125" t="n"/>
      <c r="Z152" s="125" t="n"/>
      <c r="AB152" s="55" t="inlineStr">
        <is>
          <t>AMPLIAR</t>
        </is>
      </c>
      <c r="AC152" s="136">
        <f>DADOS_INVOC!$QJ$89</f>
        <v/>
      </c>
      <c r="AD152" s="19" t="n"/>
      <c r="AE152" s="19" t="n"/>
      <c r="AF152" s="20" t="n"/>
      <c r="AG152" s="125" t="n"/>
      <c r="AH152" s="125" t="n"/>
      <c r="AI152" s="125" t="n"/>
      <c r="AJ152" s="125" t="n"/>
      <c r="AK152" s="125" t="n"/>
      <c r="AL152" s="125" t="n"/>
      <c r="AM152" s="125" t="n"/>
      <c r="AN152" s="125" t="n"/>
      <c r="AO152" s="125" t="n"/>
      <c r="AP152" s="125" t="n"/>
      <c r="AQ152" s="125" t="n"/>
      <c r="AR152" s="125" t="n"/>
      <c r="AS152" s="125" t="n"/>
    </row>
    <row r="153" hidden="1" outlineLevel="3">
      <c r="A153" s="8" t="n"/>
      <c r="B153" s="14" t="n"/>
      <c r="C153" s="125" t="n"/>
      <c r="D153" s="125" t="n"/>
      <c r="E153" s="125" t="n"/>
      <c r="F153" s="125" t="n"/>
      <c r="G153" s="125" t="n"/>
      <c r="I153" s="129" t="n"/>
      <c r="J153" s="23" t="n"/>
      <c r="K153" s="24" t="n"/>
      <c r="L153" s="24" t="n"/>
      <c r="M153" s="25" t="n"/>
      <c r="N153" s="125" t="n"/>
      <c r="O153" s="125" t="n"/>
      <c r="P153" s="125" t="n"/>
      <c r="Q153" s="125" t="n"/>
      <c r="R153" s="125" t="n"/>
      <c r="S153" s="125" t="n"/>
      <c r="T153" s="125" t="n"/>
      <c r="U153" s="125" t="n"/>
      <c r="V153" s="125" t="n"/>
      <c r="W153" s="125" t="n"/>
      <c r="X153" s="125" t="n"/>
      <c r="Y153" s="125" t="n"/>
      <c r="Z153" s="125" t="n"/>
      <c r="AB153" s="129" t="n"/>
      <c r="AC153" s="23" t="n"/>
      <c r="AD153" s="24" t="n"/>
      <c r="AE153" s="24" t="n"/>
      <c r="AF153" s="25" t="n"/>
      <c r="AG153" s="125" t="n"/>
      <c r="AH153" s="125" t="n"/>
      <c r="AI153" s="125" t="n"/>
      <c r="AJ153" s="125" t="n"/>
      <c r="AK153" s="125" t="n"/>
      <c r="AL153" s="125" t="n"/>
      <c r="AM153" s="125" t="n"/>
      <c r="AN153" s="125" t="n"/>
      <c r="AO153" s="125" t="n"/>
      <c r="AP153" s="125" t="n"/>
      <c r="AQ153" s="125" t="n"/>
      <c r="AR153" s="125" t="n"/>
      <c r="AS153" s="125" t="n"/>
    </row>
    <row r="154" hidden="1" outlineLevel="3">
      <c r="A154" s="8" t="n"/>
      <c r="B154" s="14" t="n"/>
      <c r="C154" s="125" t="n"/>
      <c r="D154" s="125" t="n"/>
      <c r="E154" s="125" t="n"/>
      <c r="F154" s="125" t="n"/>
      <c r="G154" s="125" t="n"/>
      <c r="I154" s="136">
        <f>DADOS_INVOC!$PW$11</f>
        <v/>
      </c>
      <c r="J154" s="19" t="n"/>
      <c r="K154" s="19" t="n"/>
      <c r="L154" s="19" t="n"/>
      <c r="M154" s="20" t="n"/>
      <c r="N154" s="125" t="n"/>
      <c r="O154" s="125" t="n"/>
      <c r="P154" s="125" t="n"/>
      <c r="Q154" s="125" t="n"/>
      <c r="R154" s="125" t="n"/>
      <c r="S154" s="125" t="n"/>
      <c r="T154" s="125" t="n"/>
      <c r="U154" s="125" t="n"/>
      <c r="V154" s="125" t="n"/>
      <c r="W154" s="125" t="n"/>
      <c r="X154" s="125" t="n"/>
      <c r="Y154" s="125" t="n"/>
      <c r="Z154" s="125" t="n"/>
      <c r="AB154" s="136">
        <f>DADOS_INVOC!$PW$89</f>
        <v/>
      </c>
      <c r="AC154" s="19" t="n"/>
      <c r="AD154" s="19" t="n"/>
      <c r="AE154" s="19" t="n"/>
      <c r="AF154" s="20" t="n"/>
      <c r="AG154" s="125" t="n"/>
      <c r="AH154" s="125" t="n"/>
      <c r="AI154" s="125" t="n"/>
      <c r="AJ154" s="125" t="n"/>
      <c r="AK154" s="125" t="n"/>
      <c r="AL154" s="125" t="n"/>
      <c r="AM154" s="125" t="n"/>
      <c r="AN154" s="125" t="n"/>
      <c r="AO154" s="125" t="n"/>
      <c r="AP154" s="125" t="n"/>
      <c r="AQ154" s="125" t="n"/>
      <c r="AR154" s="125" t="n"/>
      <c r="AS154" s="125" t="n"/>
    </row>
    <row r="155" hidden="1" outlineLevel="3">
      <c r="A155" s="8" t="n"/>
      <c r="B155" s="14" t="n"/>
      <c r="C155" s="125" t="n"/>
      <c r="D155" s="125" t="n"/>
      <c r="E155" s="125" t="n"/>
      <c r="F155" s="125" t="n"/>
      <c r="G155" s="125" t="n"/>
      <c r="I155" s="23" t="n"/>
      <c r="J155" s="24" t="n"/>
      <c r="K155" s="24" t="n"/>
      <c r="L155" s="24" t="n"/>
      <c r="M155" s="25" t="n"/>
      <c r="N155" s="125" t="n"/>
      <c r="O155" s="125" t="n"/>
      <c r="P155" s="125" t="n"/>
      <c r="Q155" s="125" t="n"/>
      <c r="R155" s="125" t="n"/>
      <c r="S155" s="125" t="n"/>
      <c r="T155" s="125" t="n"/>
      <c r="U155" s="125" t="n"/>
      <c r="V155" s="125" t="n"/>
      <c r="W155" s="125" t="n"/>
      <c r="X155" s="125" t="n"/>
      <c r="Y155" s="125" t="n"/>
      <c r="Z155" s="125" t="n"/>
      <c r="AB155" s="23" t="n"/>
      <c r="AC155" s="24" t="n"/>
      <c r="AD155" s="24" t="n"/>
      <c r="AE155" s="24" t="n"/>
      <c r="AF155" s="25" t="n"/>
      <c r="AG155" s="125" t="n"/>
      <c r="AH155" s="125" t="n"/>
      <c r="AI155" s="125" t="n"/>
      <c r="AJ155" s="125" t="n"/>
      <c r="AK155" s="125" t="n"/>
      <c r="AL155" s="125" t="n"/>
      <c r="AM155" s="125" t="n"/>
      <c r="AN155" s="125" t="n"/>
      <c r="AO155" s="125" t="n"/>
      <c r="AP155" s="125" t="n"/>
      <c r="AQ155" s="125" t="n"/>
      <c r="AR155" s="125" t="n"/>
      <c r="AS155" s="125" t="n"/>
    </row>
    <row r="156" outlineLevel="1">
      <c r="A156" s="8" t="n"/>
      <c r="B156" s="14" t="n"/>
      <c r="C156" s="125" t="n"/>
      <c r="D156" s="125" t="n"/>
      <c r="E156" s="125" t="n"/>
      <c r="F156" s="125" t="n"/>
      <c r="G156" s="125" t="n"/>
      <c r="I156" s="125" t="n"/>
      <c r="J156" s="125" t="n"/>
      <c r="K156" s="125" t="n"/>
      <c r="L156" s="125" t="n"/>
      <c r="M156" s="125" t="n"/>
      <c r="N156" s="125" t="n"/>
      <c r="O156" s="125" t="n"/>
      <c r="P156" s="125" t="n"/>
      <c r="Q156" s="125" t="n"/>
      <c r="R156" s="125" t="n"/>
      <c r="S156" s="125" t="n"/>
      <c r="T156" s="125" t="n"/>
      <c r="U156" s="125" t="n"/>
      <c r="V156" s="125" t="n"/>
      <c r="W156" s="125" t="n"/>
      <c r="X156" s="125" t="n"/>
      <c r="Y156" s="125" t="n"/>
      <c r="Z156" s="125" t="n"/>
      <c r="AB156" s="125" t="n"/>
      <c r="AC156" s="125" t="n"/>
      <c r="AD156" s="125" t="n"/>
      <c r="AE156" s="125" t="n"/>
      <c r="AF156" s="125" t="n"/>
      <c r="AG156" s="125" t="n"/>
      <c r="AH156" s="125" t="n"/>
      <c r="AI156" s="125" t="n"/>
      <c r="AJ156" s="125" t="n"/>
      <c r="AK156" s="125" t="n"/>
      <c r="AL156" s="125" t="n"/>
      <c r="AM156" s="125" t="n"/>
      <c r="AN156" s="125" t="n"/>
      <c r="AO156" s="125" t="n"/>
      <c r="AP156" s="125" t="n"/>
      <c r="AQ156" s="125" t="n"/>
      <c r="AR156" s="125" t="n"/>
      <c r="AS156" s="125" t="n"/>
    </row>
    <row r="157" outlineLevel="1">
      <c r="A157" s="8" t="n"/>
      <c r="B157" s="14" t="n"/>
      <c r="C157" s="125" t="n"/>
      <c r="D157" s="125" t="n"/>
      <c r="E157" s="125" t="n"/>
      <c r="F157" s="125" t="n"/>
      <c r="G157" s="125" t="n"/>
      <c r="I157" s="137"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5" t="n"/>
      <c r="AB157" s="137"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5" t="n"/>
    </row>
    <row r="158" hidden="1" outlineLevel="2">
      <c r="A158" s="8" t="n"/>
      <c r="B158" s="14" t="n"/>
      <c r="C158" s="125" t="n"/>
      <c r="D158" s="125" t="n"/>
      <c r="E158" s="125" t="n"/>
      <c r="F158" s="125" t="n"/>
      <c r="G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row>
    <row r="159" hidden="1" outlineLevel="2">
      <c r="A159" s="8" t="n"/>
      <c r="B159" s="14" t="n"/>
      <c r="C159" s="125" t="n"/>
      <c r="D159" s="125" t="n"/>
      <c r="E159" s="125" t="n"/>
      <c r="F159" s="125" t="n"/>
      <c r="G159" s="125" t="n"/>
      <c r="I159" s="55">
        <f>DADOS_INVOC!$PX$12</f>
        <v/>
      </c>
      <c r="J159" s="16" t="n"/>
      <c r="K159" s="16" t="n"/>
      <c r="L159" s="16" t="n"/>
      <c r="M159" s="17" t="n"/>
      <c r="N159" s="125" t="n"/>
      <c r="O159" s="55">
        <f>DADOS_INVOC!$PX$13</f>
        <v/>
      </c>
      <c r="P159" s="16" t="n"/>
      <c r="Q159" s="16" t="n"/>
      <c r="R159" s="16" t="n"/>
      <c r="S159" s="17" t="n"/>
      <c r="T159" s="125" t="n"/>
      <c r="U159" s="55">
        <f>DADOS_INVOC!$PX$14</f>
        <v/>
      </c>
      <c r="V159" s="16" t="n"/>
      <c r="W159" s="16" t="n"/>
      <c r="X159" s="16" t="n"/>
      <c r="Y159" s="17" t="n"/>
      <c r="Z159" s="125" t="n"/>
      <c r="AB159" s="55">
        <f>DADOS_INVOC!$PX$90</f>
        <v/>
      </c>
      <c r="AC159" s="16" t="n"/>
      <c r="AD159" s="16" t="n"/>
      <c r="AE159" s="16" t="n"/>
      <c r="AF159" s="17" t="n"/>
      <c r="AG159" s="125" t="n"/>
      <c r="AH159" s="55">
        <f>DADOS_INVOC!$PX$91</f>
        <v/>
      </c>
      <c r="AI159" s="16" t="n"/>
      <c r="AJ159" s="16" t="n"/>
      <c r="AK159" s="16" t="n"/>
      <c r="AL159" s="17" t="n"/>
      <c r="AM159" s="125" t="n"/>
      <c r="AN159" s="55">
        <f>DADOS_INVOC!$PX$92</f>
        <v/>
      </c>
      <c r="AO159" s="16" t="n"/>
      <c r="AP159" s="16" t="n"/>
      <c r="AQ159" s="16" t="n"/>
      <c r="AR159" s="17" t="n"/>
      <c r="AS159" s="125" t="n"/>
    </row>
    <row r="160" hidden="1" outlineLevel="2">
      <c r="A160" s="8" t="n"/>
      <c r="B160" s="14" t="n"/>
      <c r="C160" s="125" t="n"/>
      <c r="D160" s="125" t="n"/>
      <c r="E160" s="125" t="n"/>
      <c r="F160" s="125" t="n"/>
      <c r="G160" s="125" t="n"/>
      <c r="I160" s="131" t="n">
        <v>1</v>
      </c>
      <c r="J160" s="120" t="n"/>
      <c r="K160" s="16" t="n"/>
      <c r="L160" s="17" t="n"/>
      <c r="M160" s="132">
        <f>DADOS_INVOC!$PV$12</f>
        <v/>
      </c>
      <c r="N160" s="125" t="n"/>
      <c r="O160" s="131" t="n">
        <v>1</v>
      </c>
      <c r="P160" s="120" t="n"/>
      <c r="Q160" s="16" t="n"/>
      <c r="R160" s="17" t="n"/>
      <c r="S160" s="132">
        <f>DADOS_INVOC!$PV$13</f>
        <v/>
      </c>
      <c r="T160" s="125" t="n"/>
      <c r="U160" s="131" t="n">
        <v>1</v>
      </c>
      <c r="V160" s="120" t="n"/>
      <c r="W160" s="16" t="n"/>
      <c r="X160" s="17" t="n"/>
      <c r="Y160" s="132">
        <f>DADOS_INVOC!$PV$14</f>
        <v/>
      </c>
      <c r="Z160" s="125" t="n"/>
      <c r="AB160" s="131" t="n">
        <v>1</v>
      </c>
      <c r="AC160" s="120" t="n"/>
      <c r="AD160" s="16" t="n"/>
      <c r="AE160" s="17" t="n"/>
      <c r="AF160" s="132">
        <f>DADOS_INVOC!$PV$90</f>
        <v/>
      </c>
      <c r="AG160" s="125" t="n"/>
      <c r="AH160" s="131" t="n">
        <v>1</v>
      </c>
      <c r="AI160" s="120" t="n"/>
      <c r="AJ160" s="16" t="n"/>
      <c r="AK160" s="17" t="n"/>
      <c r="AL160" s="132">
        <f>DADOS_INVOC!$PV$91</f>
        <v/>
      </c>
      <c r="AM160" s="125" t="n"/>
      <c r="AN160" s="131" t="n">
        <v>1</v>
      </c>
      <c r="AO160" s="120" t="n"/>
      <c r="AP160" s="16" t="n"/>
      <c r="AQ160" s="17" t="n"/>
      <c r="AR160" s="132">
        <f>DADOS_INVOC!$PV$92</f>
        <v/>
      </c>
      <c r="AS160" s="125" t="n"/>
    </row>
    <row r="161" hidden="1" outlineLevel="3">
      <c r="A161" s="8" t="n"/>
      <c r="B161" s="14" t="n"/>
      <c r="C161" s="125" t="n"/>
      <c r="D161" s="125" t="n"/>
      <c r="E161" s="125" t="n"/>
      <c r="F161" s="125" t="n"/>
      <c r="G161" s="125" t="n"/>
      <c r="I161" s="55" t="inlineStr">
        <is>
          <t>COMO É</t>
        </is>
      </c>
      <c r="J161" s="16" t="n"/>
      <c r="K161" s="16" t="n"/>
      <c r="L161" s="16" t="n"/>
      <c r="M161" s="17" t="n"/>
      <c r="N161" s="125" t="n"/>
      <c r="O161" s="55" t="inlineStr">
        <is>
          <t>COMO É</t>
        </is>
      </c>
      <c r="P161" s="16" t="n"/>
      <c r="Q161" s="16" t="n"/>
      <c r="R161" s="16" t="n"/>
      <c r="S161" s="17" t="n"/>
      <c r="T161" s="125" t="n"/>
      <c r="U161" s="55" t="inlineStr">
        <is>
          <t>COMO É</t>
        </is>
      </c>
      <c r="V161" s="16" t="n"/>
      <c r="W161" s="16" t="n"/>
      <c r="X161" s="16" t="n"/>
      <c r="Y161" s="17" t="n"/>
      <c r="Z161" s="125" t="n"/>
      <c r="AB161" s="55" t="inlineStr">
        <is>
          <t>COMO É</t>
        </is>
      </c>
      <c r="AC161" s="16" t="n"/>
      <c r="AD161" s="16" t="n"/>
      <c r="AE161" s="16" t="n"/>
      <c r="AF161" s="17" t="n"/>
      <c r="AG161" s="125" t="n"/>
      <c r="AH161" s="55" t="inlineStr">
        <is>
          <t>COMO É</t>
        </is>
      </c>
      <c r="AI161" s="16" t="n"/>
      <c r="AJ161" s="16" t="n"/>
      <c r="AK161" s="16" t="n"/>
      <c r="AL161" s="17" t="n"/>
      <c r="AM161" s="125" t="n"/>
      <c r="AN161" s="55" t="inlineStr">
        <is>
          <t>COMO É</t>
        </is>
      </c>
      <c r="AO161" s="16" t="n"/>
      <c r="AP161" s="16" t="n"/>
      <c r="AQ161" s="16" t="n"/>
      <c r="AR161" s="17" t="n"/>
      <c r="AS161" s="125" t="n"/>
    </row>
    <row r="162" hidden="1" outlineLevel="3">
      <c r="A162" s="8" t="n"/>
      <c r="B162" s="14" t="n"/>
      <c r="C162" s="125" t="n"/>
      <c r="D162" s="125" t="n"/>
      <c r="E162" s="125" t="n"/>
      <c r="F162" s="125" t="n"/>
      <c r="G162" s="125" t="n"/>
      <c r="I162" s="121" t="n"/>
      <c r="J162" s="19" t="n"/>
      <c r="K162" s="19" t="n"/>
      <c r="L162" s="19" t="n"/>
      <c r="M162" s="20" t="n"/>
      <c r="N162" s="125" t="n"/>
      <c r="O162" s="121" t="n"/>
      <c r="P162" s="19" t="n"/>
      <c r="Q162" s="19" t="n"/>
      <c r="R162" s="19" t="n"/>
      <c r="S162" s="20" t="n"/>
      <c r="T162" s="125" t="n"/>
      <c r="U162" s="121" t="n"/>
      <c r="V162" s="19" t="n"/>
      <c r="W162" s="19" t="n"/>
      <c r="X162" s="19" t="n"/>
      <c r="Y162" s="20" t="n"/>
      <c r="Z162" s="125" t="n"/>
      <c r="AB162" s="121" t="n"/>
      <c r="AC162" s="19" t="n"/>
      <c r="AD162" s="19" t="n"/>
      <c r="AE162" s="19" t="n"/>
      <c r="AF162" s="20" t="n"/>
      <c r="AG162" s="125" t="n"/>
      <c r="AH162" s="121" t="n"/>
      <c r="AI162" s="19" t="n"/>
      <c r="AJ162" s="19" t="n"/>
      <c r="AK162" s="19" t="n"/>
      <c r="AL162" s="20" t="n"/>
      <c r="AM162" s="125" t="n"/>
      <c r="AN162" s="121" t="n"/>
      <c r="AO162" s="19" t="n"/>
      <c r="AP162" s="19" t="n"/>
      <c r="AQ162" s="19" t="n"/>
      <c r="AR162" s="20" t="n"/>
      <c r="AS162" s="125" t="n"/>
    </row>
    <row r="163" hidden="1" outlineLevel="3">
      <c r="A163" s="8" t="n"/>
      <c r="B163" s="14" t="n"/>
      <c r="C163" s="125" t="n"/>
      <c r="D163" s="125" t="n"/>
      <c r="E163" s="125" t="n"/>
      <c r="F163" s="125" t="n"/>
      <c r="G163" s="125" t="n"/>
      <c r="I163" s="21" t="n"/>
      <c r="M163" s="22" t="n"/>
      <c r="N163" s="125" t="n"/>
      <c r="O163" s="21" t="n"/>
      <c r="S163" s="22" t="n"/>
      <c r="T163" s="125" t="n"/>
      <c r="U163" s="21" t="n"/>
      <c r="Y163" s="22" t="n"/>
      <c r="Z163" s="125" t="n"/>
      <c r="AB163" s="21" t="n"/>
      <c r="AF163" s="22" t="n"/>
      <c r="AG163" s="125" t="n"/>
      <c r="AH163" s="21" t="n"/>
      <c r="AL163" s="22" t="n"/>
      <c r="AM163" s="125" t="n"/>
      <c r="AN163" s="21" t="n"/>
      <c r="AR163" s="22" t="n"/>
      <c r="AS163" s="125" t="n"/>
    </row>
    <row r="164" hidden="1" outlineLevel="3">
      <c r="A164" s="8" t="n"/>
      <c r="B164" s="14" t="n"/>
      <c r="C164" s="125" t="n"/>
      <c r="D164" s="125" t="n"/>
      <c r="E164" s="125" t="n"/>
      <c r="F164" s="125" t="n"/>
      <c r="G164" s="125" t="n"/>
      <c r="I164" s="23" t="n"/>
      <c r="J164" s="24" t="n"/>
      <c r="K164" s="24" t="n"/>
      <c r="L164" s="24" t="n"/>
      <c r="M164" s="25" t="n"/>
      <c r="N164" s="125" t="n"/>
      <c r="O164" s="23" t="n"/>
      <c r="P164" s="24" t="n"/>
      <c r="Q164" s="24" t="n"/>
      <c r="R164" s="24" t="n"/>
      <c r="S164" s="25" t="n"/>
      <c r="T164" s="125" t="n"/>
      <c r="U164" s="23" t="n"/>
      <c r="V164" s="24" t="n"/>
      <c r="W164" s="24" t="n"/>
      <c r="X164" s="24" t="n"/>
      <c r="Y164" s="25" t="n"/>
      <c r="Z164" s="125" t="n"/>
      <c r="AB164" s="23" t="n"/>
      <c r="AC164" s="24" t="n"/>
      <c r="AD164" s="24" t="n"/>
      <c r="AE164" s="24" t="n"/>
      <c r="AF164" s="25" t="n"/>
      <c r="AG164" s="125" t="n"/>
      <c r="AH164" s="23" t="n"/>
      <c r="AI164" s="24" t="n"/>
      <c r="AJ164" s="24" t="n"/>
      <c r="AK164" s="24" t="n"/>
      <c r="AL164" s="25" t="n"/>
      <c r="AM164" s="125" t="n"/>
      <c r="AN164" s="23" t="n"/>
      <c r="AO164" s="24" t="n"/>
      <c r="AP164" s="24" t="n"/>
      <c r="AQ164" s="24" t="n"/>
      <c r="AR164" s="25" t="n"/>
      <c r="AS164" s="125" t="n"/>
    </row>
    <row r="165" hidden="1" outlineLevel="2">
      <c r="A165" s="8" t="n"/>
      <c r="B165" s="14" t="n"/>
      <c r="C165" s="125" t="n"/>
      <c r="D165" s="125" t="n"/>
      <c r="E165" s="125" t="n"/>
      <c r="F165" s="125" t="n"/>
      <c r="G165" s="125" t="n"/>
      <c r="I165" s="89" t="inlineStr">
        <is>
          <t>Projétil</t>
        </is>
      </c>
      <c r="J165" s="17" t="n"/>
      <c r="K165" s="68">
        <f>DADOS_INVOC!$QC$12</f>
        <v/>
      </c>
      <c r="L165" s="17" t="n"/>
      <c r="M165" s="68">
        <f>DADOS_INVOC!$PY$12</f>
        <v/>
      </c>
      <c r="N165" s="125" t="n"/>
      <c r="O165" s="89" t="inlineStr">
        <is>
          <t>Projétil</t>
        </is>
      </c>
      <c r="P165" s="17" t="n"/>
      <c r="Q165" s="68">
        <f>DADOS_INVOC!$QC$13</f>
        <v/>
      </c>
      <c r="R165" s="17" t="n"/>
      <c r="S165" s="68">
        <f>DADOS_INVOC!$PY$13</f>
        <v/>
      </c>
      <c r="T165" s="125" t="n"/>
      <c r="U165" s="89" t="inlineStr">
        <is>
          <t>Projétil</t>
        </is>
      </c>
      <c r="V165" s="17" t="n"/>
      <c r="W165" s="68">
        <f>DADOS_INVOC!$QC$14</f>
        <v/>
      </c>
      <c r="X165" s="17" t="n"/>
      <c r="Y165" s="68">
        <f>DADOS_INVOC!$PY$14</f>
        <v/>
      </c>
      <c r="Z165" s="125" t="n"/>
      <c r="AB165" s="89" t="inlineStr">
        <is>
          <t>Projétil</t>
        </is>
      </c>
      <c r="AC165" s="17" t="n"/>
      <c r="AD165" s="68">
        <f>DADOS_INVOC!$QC$90</f>
        <v/>
      </c>
      <c r="AE165" s="17" t="n"/>
      <c r="AF165" s="68">
        <f>DADOS_INVOC!$PY$90</f>
        <v/>
      </c>
      <c r="AG165" s="125" t="n"/>
      <c r="AH165" s="89" t="inlineStr">
        <is>
          <t>Projétil</t>
        </is>
      </c>
      <c r="AI165" s="17" t="n"/>
      <c r="AJ165" s="68">
        <f>DADOS_INVOC!$QC$91</f>
        <v/>
      </c>
      <c r="AK165" s="17" t="n"/>
      <c r="AL165" s="68">
        <f>DADOS_INVOC!$PY$91</f>
        <v/>
      </c>
      <c r="AM165" s="125" t="n"/>
      <c r="AN165" s="89" t="inlineStr">
        <is>
          <t>Projétil</t>
        </is>
      </c>
      <c r="AO165" s="17" t="n"/>
      <c r="AP165" s="68">
        <f>DADOS_INVOC!$QC$92</f>
        <v/>
      </c>
      <c r="AQ165" s="17" t="n"/>
      <c r="AR165" s="68">
        <f>DADOS_INVOC!$PY$92</f>
        <v/>
      </c>
      <c r="AS165" s="125" t="n"/>
    </row>
    <row r="166" hidden="1" outlineLevel="2">
      <c r="A166" s="8" t="n"/>
      <c r="B166" s="14" t="n"/>
      <c r="C166" s="125" t="n"/>
      <c r="D166" s="125" t="n"/>
      <c r="E166" s="125" t="n"/>
      <c r="F166" s="125" t="n"/>
      <c r="G166" s="125" t="n"/>
      <c r="I166" s="89" t="n"/>
      <c r="J166" s="17" t="n"/>
      <c r="K166" s="89" t="n"/>
      <c r="L166" s="16" t="n"/>
      <c r="M166" s="17" t="n"/>
      <c r="N166" s="125" t="n"/>
      <c r="O166" s="89" t="n"/>
      <c r="P166" s="17" t="n"/>
      <c r="Q166" s="89" t="n"/>
      <c r="R166" s="16" t="n"/>
      <c r="S166" s="17" t="n"/>
      <c r="T166" s="125" t="n"/>
      <c r="U166" s="89" t="n"/>
      <c r="V166" s="17" t="n"/>
      <c r="W166" s="89" t="n"/>
      <c r="X166" s="16" t="n"/>
      <c r="Y166" s="17" t="n"/>
      <c r="Z166" s="125" t="n"/>
      <c r="AB166" s="89" t="n"/>
      <c r="AC166" s="17" t="n"/>
      <c r="AD166" s="89" t="n"/>
      <c r="AE166" s="16" t="n"/>
      <c r="AF166" s="17" t="n"/>
      <c r="AG166" s="125" t="n"/>
      <c r="AH166" s="89" t="n"/>
      <c r="AI166" s="17" t="n"/>
      <c r="AJ166" s="89" t="n"/>
      <c r="AK166" s="16" t="n"/>
      <c r="AL166" s="17" t="n"/>
      <c r="AM166" s="125" t="n"/>
      <c r="AN166" s="89" t="n"/>
      <c r="AO166" s="17" t="n"/>
      <c r="AP166" s="89" t="n"/>
      <c r="AQ166" s="16" t="n"/>
      <c r="AR166" s="17" t="n"/>
      <c r="AS166" s="125" t="n"/>
    </row>
    <row r="167" hidden="1" outlineLevel="2">
      <c r="A167" s="8" t="n"/>
      <c r="B167" s="14" t="n"/>
      <c r="C167" s="125" t="n"/>
      <c r="D167" s="125" t="n"/>
      <c r="E167" s="125" t="n"/>
      <c r="F167" s="125" t="n"/>
      <c r="G167" s="125" t="n"/>
      <c r="I167" s="89">
        <f>DADOS_INVOC!$PZ$12</f>
        <v/>
      </c>
      <c r="J167" s="17" t="n"/>
      <c r="K167" s="89">
        <f>DADOS_INVOC!$QB$12</f>
        <v/>
      </c>
      <c r="L167" s="16" t="n"/>
      <c r="M167" s="17" t="n"/>
      <c r="N167" s="125" t="n"/>
      <c r="O167" s="89">
        <f>DADOS_INVOC!$PZ$13</f>
        <v/>
      </c>
      <c r="P167" s="17" t="n"/>
      <c r="Q167" s="89">
        <f>DADOS_INVOC!$QB$13</f>
        <v/>
      </c>
      <c r="R167" s="16" t="n"/>
      <c r="S167" s="17" t="n"/>
      <c r="T167" s="125" t="n"/>
      <c r="U167" s="89">
        <f>DADOS_INVOC!$PZ$14</f>
        <v/>
      </c>
      <c r="V167" s="17" t="n"/>
      <c r="W167" s="89">
        <f>DADOS_INVOC!$QB$14</f>
        <v/>
      </c>
      <c r="X167" s="16" t="n"/>
      <c r="Y167" s="17" t="n"/>
      <c r="Z167" s="125" t="n"/>
      <c r="AB167" s="89">
        <f>DADOS_INVOC!$PZ$90</f>
        <v/>
      </c>
      <c r="AC167" s="17" t="n"/>
      <c r="AD167" s="89">
        <f>DADOS_INVOC!$QB$90</f>
        <v/>
      </c>
      <c r="AE167" s="16" t="n"/>
      <c r="AF167" s="17" t="n"/>
      <c r="AG167" s="125" t="n"/>
      <c r="AH167" s="89">
        <f>DADOS_INVOC!$PZ$91</f>
        <v/>
      </c>
      <c r="AI167" s="17" t="n"/>
      <c r="AJ167" s="89">
        <f>DADOS_INVOC!$QB$91</f>
        <v/>
      </c>
      <c r="AK167" s="16" t="n"/>
      <c r="AL167" s="17" t="n"/>
      <c r="AM167" s="125" t="n"/>
      <c r="AN167" s="89">
        <f>DADOS_INVOC!$PZ$92</f>
        <v/>
      </c>
      <c r="AO167" s="17" t="n"/>
      <c r="AP167" s="89">
        <f>DADOS_INVOC!$QB$92</f>
        <v/>
      </c>
      <c r="AQ167" s="16" t="n"/>
      <c r="AR167" s="17" t="n"/>
      <c r="AS167" s="125" t="n"/>
    </row>
    <row r="168" hidden="1" outlineLevel="2">
      <c r="A168" s="8" t="n"/>
      <c r="B168" s="14" t="n"/>
      <c r="C168" s="125" t="n"/>
      <c r="D168" s="125" t="n"/>
      <c r="E168" s="125" t="n"/>
      <c r="F168" s="125" t="n"/>
      <c r="G168" s="125" t="n"/>
      <c r="I168" s="133">
        <f>DADOS_INVOC!$QH$12</f>
        <v/>
      </c>
      <c r="J168" s="16" t="n"/>
      <c r="K168" s="16" t="n"/>
      <c r="L168" s="16" t="n"/>
      <c r="M168" s="17" t="n"/>
      <c r="N168" s="125" t="n"/>
      <c r="O168" s="133">
        <f>DADOS_INVOC!$QH$13</f>
        <v/>
      </c>
      <c r="P168" s="16" t="n"/>
      <c r="Q168" s="16" t="n"/>
      <c r="R168" s="16" t="n"/>
      <c r="S168" s="17" t="n"/>
      <c r="T168" s="125" t="n"/>
      <c r="U168" s="133">
        <f>DADOS_INVOC!$QH$14</f>
        <v/>
      </c>
      <c r="V168" s="16" t="n"/>
      <c r="W168" s="16" t="n"/>
      <c r="X168" s="16" t="n"/>
      <c r="Y168" s="17" t="n"/>
      <c r="Z168" s="125" t="n"/>
      <c r="AB168" s="133">
        <f>DADOS_INVOC!$QH$90</f>
        <v/>
      </c>
      <c r="AC168" s="16" t="n"/>
      <c r="AD168" s="16" t="n"/>
      <c r="AE168" s="16" t="n"/>
      <c r="AF168" s="17" t="n"/>
      <c r="AG168" s="125" t="n"/>
      <c r="AH168" s="133">
        <f>DADOS_INVOC!$QH$91</f>
        <v/>
      </c>
      <c r="AI168" s="16" t="n"/>
      <c r="AJ168" s="16" t="n"/>
      <c r="AK168" s="16" t="n"/>
      <c r="AL168" s="17" t="n"/>
      <c r="AM168" s="125" t="n"/>
      <c r="AN168" s="133">
        <f>DADOS_INVOC!$QH$92</f>
        <v/>
      </c>
      <c r="AO168" s="16" t="n"/>
      <c r="AP168" s="16" t="n"/>
      <c r="AQ168" s="16" t="n"/>
      <c r="AR168" s="17" t="n"/>
      <c r="AS168" s="125" t="n"/>
    </row>
    <row r="169" hidden="1" outlineLevel="3">
      <c r="A169" s="8" t="n"/>
      <c r="B169" s="14" t="n"/>
      <c r="C169" s="125" t="n"/>
      <c r="D169" s="125" t="n"/>
      <c r="E169" s="125" t="n"/>
      <c r="F169" s="125" t="n"/>
      <c r="G169" s="125" t="n"/>
      <c r="I169" s="55" t="inlineStr">
        <is>
          <t>MELHORIAS</t>
        </is>
      </c>
      <c r="J169" s="134" t="n"/>
      <c r="K169" s="16" t="n"/>
      <c r="L169" s="17" t="n"/>
      <c r="M169" s="133">
        <f>DADOS_INVOC!$QK$12</f>
        <v/>
      </c>
      <c r="N169" s="125" t="n"/>
      <c r="O169" s="55" t="inlineStr">
        <is>
          <t>MELHORIAS</t>
        </is>
      </c>
      <c r="P169" s="134" t="n"/>
      <c r="Q169" s="16" t="n"/>
      <c r="R169" s="17" t="n"/>
      <c r="S169" s="133">
        <f>DADOS_INVOC!$QK$13</f>
        <v/>
      </c>
      <c r="T169" s="125" t="n"/>
      <c r="U169" s="55" t="inlineStr">
        <is>
          <t>MELHORIAS</t>
        </is>
      </c>
      <c r="V169" s="134" t="n"/>
      <c r="W169" s="16" t="n"/>
      <c r="X169" s="17" t="n"/>
      <c r="Y169" s="133">
        <f>DADOS_INVOC!$QK$14</f>
        <v/>
      </c>
      <c r="Z169" s="125" t="n"/>
      <c r="AB169" s="55" t="inlineStr">
        <is>
          <t>MELHORIAS</t>
        </is>
      </c>
      <c r="AC169" s="134" t="n"/>
      <c r="AD169" s="16" t="n"/>
      <c r="AE169" s="17" t="n"/>
      <c r="AF169" s="133">
        <f>DADOS_INVOC!$QK$90</f>
        <v/>
      </c>
      <c r="AG169" s="125" t="n"/>
      <c r="AH169" s="55" t="inlineStr">
        <is>
          <t>MELHORIAS</t>
        </is>
      </c>
      <c r="AI169" s="134" t="n"/>
      <c r="AJ169" s="16" t="n"/>
      <c r="AK169" s="17" t="n"/>
      <c r="AL169" s="133">
        <f>DADOS_INVOC!$QK$91</f>
        <v/>
      </c>
      <c r="AM169" s="125" t="n"/>
      <c r="AN169" s="55" t="inlineStr">
        <is>
          <t>MELHORIAS</t>
        </is>
      </c>
      <c r="AO169" s="134" t="n"/>
      <c r="AP169" s="16" t="n"/>
      <c r="AQ169" s="17" t="n"/>
      <c r="AR169" s="133">
        <f>DADOS_INVOC!$QK$92</f>
        <v/>
      </c>
      <c r="AS169" s="125" t="n"/>
    </row>
    <row r="170" hidden="1" outlineLevel="3">
      <c r="A170" s="8" t="n"/>
      <c r="B170" s="14" t="n"/>
      <c r="C170" s="125" t="n"/>
      <c r="D170" s="125" t="n"/>
      <c r="E170" s="125" t="n"/>
      <c r="F170" s="125" t="n"/>
      <c r="G170" s="125" t="n"/>
      <c r="I170" s="135" t="n"/>
      <c r="J170" s="134" t="n"/>
      <c r="K170" s="16" t="n"/>
      <c r="L170" s="17" t="n"/>
      <c r="M170" s="133">
        <f>DADOS_INVOC!$QL$12</f>
        <v/>
      </c>
      <c r="N170" s="125" t="n"/>
      <c r="O170" s="135" t="n"/>
      <c r="P170" s="134" t="n"/>
      <c r="Q170" s="16" t="n"/>
      <c r="R170" s="17" t="n"/>
      <c r="S170" s="133">
        <f>DADOS_INVOC!$QL$13</f>
        <v/>
      </c>
      <c r="T170" s="125" t="n"/>
      <c r="U170" s="135" t="n"/>
      <c r="V170" s="134" t="n"/>
      <c r="W170" s="16" t="n"/>
      <c r="X170" s="17" t="n"/>
      <c r="Y170" s="133">
        <f>DADOS_INVOC!$QL$14</f>
        <v/>
      </c>
      <c r="Z170" s="125" t="n"/>
      <c r="AB170" s="135" t="n"/>
      <c r="AC170" s="134" t="n"/>
      <c r="AD170" s="16" t="n"/>
      <c r="AE170" s="17" t="n"/>
      <c r="AF170" s="133">
        <f>DADOS_INVOC!$QL$90</f>
        <v/>
      </c>
      <c r="AG170" s="125" t="n"/>
      <c r="AH170" s="135" t="n"/>
      <c r="AI170" s="134" t="n"/>
      <c r="AJ170" s="16" t="n"/>
      <c r="AK170" s="17" t="n"/>
      <c r="AL170" s="133">
        <f>DADOS_INVOC!$QL$91</f>
        <v/>
      </c>
      <c r="AM170" s="125" t="n"/>
      <c r="AN170" s="135" t="n"/>
      <c r="AO170" s="134" t="n"/>
      <c r="AP170" s="16" t="n"/>
      <c r="AQ170" s="17" t="n"/>
      <c r="AR170" s="133">
        <f>DADOS_INVOC!$QL$92</f>
        <v/>
      </c>
      <c r="AS170" s="125" t="n"/>
    </row>
    <row r="171" hidden="1" outlineLevel="3">
      <c r="A171" s="8" t="n"/>
      <c r="B171" s="14" t="n"/>
      <c r="C171" s="125" t="n"/>
      <c r="D171" s="125" t="n"/>
      <c r="E171" s="125" t="n"/>
      <c r="F171" s="125" t="n"/>
      <c r="G171" s="125" t="n"/>
      <c r="I171" s="135" t="n"/>
      <c r="J171" s="134" t="n"/>
      <c r="K171" s="16" t="n"/>
      <c r="L171" s="17" t="n"/>
      <c r="M171" s="133">
        <f>DADOS_INVOC!$QM$12</f>
        <v/>
      </c>
      <c r="N171" s="125" t="n"/>
      <c r="O171" s="135" t="n"/>
      <c r="P171" s="134" t="n"/>
      <c r="Q171" s="16" t="n"/>
      <c r="R171" s="17" t="n"/>
      <c r="S171" s="133">
        <f>DADOS_INVOC!$QM$13</f>
        <v/>
      </c>
      <c r="T171" s="125" t="n"/>
      <c r="U171" s="135" t="n"/>
      <c r="V171" s="134" t="n"/>
      <c r="W171" s="16" t="n"/>
      <c r="X171" s="17" t="n"/>
      <c r="Y171" s="133">
        <f>DADOS_INVOC!$QM$14</f>
        <v/>
      </c>
      <c r="Z171" s="125" t="n"/>
      <c r="AB171" s="135" t="n"/>
      <c r="AC171" s="134" t="n"/>
      <c r="AD171" s="16" t="n"/>
      <c r="AE171" s="17" t="n"/>
      <c r="AF171" s="133">
        <f>DADOS_INVOC!$QM$90</f>
        <v/>
      </c>
      <c r="AG171" s="125" t="n"/>
      <c r="AH171" s="135" t="n"/>
      <c r="AI171" s="134" t="n"/>
      <c r="AJ171" s="16" t="n"/>
      <c r="AK171" s="17" t="n"/>
      <c r="AL171" s="133">
        <f>DADOS_INVOC!$QM$91</f>
        <v/>
      </c>
      <c r="AM171" s="125" t="n"/>
      <c r="AN171" s="135" t="n"/>
      <c r="AO171" s="134" t="n"/>
      <c r="AP171" s="16" t="n"/>
      <c r="AQ171" s="17" t="n"/>
      <c r="AR171" s="133">
        <f>DADOS_INVOC!$QM$92</f>
        <v/>
      </c>
      <c r="AS171" s="125" t="n"/>
    </row>
    <row r="172" hidden="1" outlineLevel="3">
      <c r="A172" s="8" t="n"/>
      <c r="B172" s="14" t="n"/>
      <c r="C172" s="125" t="n"/>
      <c r="D172" s="125" t="n"/>
      <c r="E172" s="125" t="n"/>
      <c r="F172" s="125" t="n"/>
      <c r="G172" s="125" t="n"/>
      <c r="I172" s="129" t="n"/>
      <c r="J172" s="134" t="n"/>
      <c r="K172" s="16" t="n"/>
      <c r="L172" s="17" t="n"/>
      <c r="M172" s="133">
        <f>DADOS_INVOC!$QN$12</f>
        <v/>
      </c>
      <c r="N172" s="125" t="n"/>
      <c r="O172" s="129" t="n"/>
      <c r="P172" s="134" t="n"/>
      <c r="Q172" s="16" t="n"/>
      <c r="R172" s="17" t="n"/>
      <c r="S172" s="133">
        <f>DADOS_INVOC!$QN$13</f>
        <v/>
      </c>
      <c r="T172" s="125" t="n"/>
      <c r="U172" s="129" t="n"/>
      <c r="V172" s="134" t="n"/>
      <c r="W172" s="16" t="n"/>
      <c r="X172" s="17" t="n"/>
      <c r="Y172" s="133">
        <f>DADOS_INVOC!$QN$14</f>
        <v/>
      </c>
      <c r="Z172" s="125" t="n"/>
      <c r="AB172" s="129" t="n"/>
      <c r="AC172" s="134" t="n"/>
      <c r="AD172" s="16" t="n"/>
      <c r="AE172" s="17" t="n"/>
      <c r="AF172" s="133">
        <f>DADOS_INVOC!$QN$90</f>
        <v/>
      </c>
      <c r="AG172" s="125" t="n"/>
      <c r="AH172" s="129" t="n"/>
      <c r="AI172" s="134" t="n"/>
      <c r="AJ172" s="16" t="n"/>
      <c r="AK172" s="17" t="n"/>
      <c r="AL172" s="133">
        <f>DADOS_INVOC!$QN$91</f>
        <v/>
      </c>
      <c r="AM172" s="125" t="n"/>
      <c r="AN172" s="129" t="n"/>
      <c r="AO172" s="134" t="n"/>
      <c r="AP172" s="16" t="n"/>
      <c r="AQ172" s="17" t="n"/>
      <c r="AR172" s="133">
        <f>DADOS_INVOC!$QN$92</f>
        <v/>
      </c>
      <c r="AS172" s="125" t="n"/>
    </row>
    <row r="173" hidden="1" outlineLevel="3">
      <c r="A173" s="8" t="n"/>
      <c r="B173" s="14" t="n"/>
      <c r="C173" s="125" t="n"/>
      <c r="D173" s="125" t="n"/>
      <c r="E173" s="125" t="n"/>
      <c r="F173" s="125" t="n"/>
      <c r="G173" s="125" t="n"/>
      <c r="I173" s="55" t="inlineStr">
        <is>
          <t>RESTRIÇÕES</t>
        </is>
      </c>
      <c r="J173" s="134" t="n"/>
      <c r="K173" s="16" t="n"/>
      <c r="L173" s="17" t="n"/>
      <c r="M173" s="133">
        <f>DADOS_INVOC!$QO$12</f>
        <v/>
      </c>
      <c r="N173" s="125" t="n"/>
      <c r="O173" s="55" t="inlineStr">
        <is>
          <t>RESTRIÇÕES</t>
        </is>
      </c>
      <c r="P173" s="134" t="n"/>
      <c r="Q173" s="16" t="n"/>
      <c r="R173" s="17" t="n"/>
      <c r="S173" s="133">
        <f>DADOS_INVOC!$QO$13</f>
        <v/>
      </c>
      <c r="T173" s="125" t="n"/>
      <c r="U173" s="55" t="inlineStr">
        <is>
          <t>RESTRIÇÕES</t>
        </is>
      </c>
      <c r="V173" s="134" t="n"/>
      <c r="W173" s="16" t="n"/>
      <c r="X173" s="17" t="n"/>
      <c r="Y173" s="133">
        <f>DADOS_INVOC!$QO$14</f>
        <v/>
      </c>
      <c r="Z173" s="125" t="n"/>
      <c r="AB173" s="55" t="inlineStr">
        <is>
          <t>RESTRIÇÕES</t>
        </is>
      </c>
      <c r="AC173" s="134" t="n"/>
      <c r="AD173" s="16" t="n"/>
      <c r="AE173" s="17" t="n"/>
      <c r="AF173" s="133">
        <f>DADOS_INVOC!$QO$90</f>
        <v/>
      </c>
      <c r="AG173" s="125" t="n"/>
      <c r="AH173" s="55" t="inlineStr">
        <is>
          <t>RESTRIÇÕES</t>
        </is>
      </c>
      <c r="AI173" s="134" t="n"/>
      <c r="AJ173" s="16" t="n"/>
      <c r="AK173" s="17" t="n"/>
      <c r="AL173" s="133">
        <f>DADOS_INVOC!$QO$91</f>
        <v/>
      </c>
      <c r="AM173" s="125" t="n"/>
      <c r="AN173" s="55" t="inlineStr">
        <is>
          <t>RESTRIÇÕES</t>
        </is>
      </c>
      <c r="AO173" s="134" t="n"/>
      <c r="AP173" s="16" t="n"/>
      <c r="AQ173" s="17" t="n"/>
      <c r="AR173" s="133">
        <f>DADOS_INVOC!$QO$92</f>
        <v/>
      </c>
      <c r="AS173" s="125" t="n"/>
    </row>
    <row r="174" hidden="1" outlineLevel="3">
      <c r="A174" s="8" t="n"/>
      <c r="B174" s="14" t="n"/>
      <c r="C174" s="125" t="n"/>
      <c r="D174" s="125" t="n"/>
      <c r="E174" s="125" t="n"/>
      <c r="F174" s="125" t="n"/>
      <c r="G174" s="125" t="n"/>
      <c r="I174" s="129" t="n"/>
      <c r="J174" s="134" t="n"/>
      <c r="K174" s="16" t="n"/>
      <c r="L174" s="17" t="n"/>
      <c r="M174" s="133">
        <f>DADOS_INVOC!$QP$12</f>
        <v/>
      </c>
      <c r="N174" s="125" t="n"/>
      <c r="O174" s="129" t="n"/>
      <c r="P174" s="134" t="n"/>
      <c r="Q174" s="16" t="n"/>
      <c r="R174" s="17" t="n"/>
      <c r="S174" s="133">
        <f>DADOS_INVOC!$QP$13</f>
        <v/>
      </c>
      <c r="T174" s="125" t="n"/>
      <c r="U174" s="129" t="n"/>
      <c r="V174" s="134" t="n"/>
      <c r="W174" s="16" t="n"/>
      <c r="X174" s="17" t="n"/>
      <c r="Y174" s="133">
        <f>DADOS_INVOC!$QP$14</f>
        <v/>
      </c>
      <c r="Z174" s="125" t="n"/>
      <c r="AB174" s="129" t="n"/>
      <c r="AC174" s="134" t="n"/>
      <c r="AD174" s="16" t="n"/>
      <c r="AE174" s="17" t="n"/>
      <c r="AF174" s="133">
        <f>DADOS_INVOC!$QP$90</f>
        <v/>
      </c>
      <c r="AG174" s="125" t="n"/>
      <c r="AH174" s="129" t="n"/>
      <c r="AI174" s="134" t="n"/>
      <c r="AJ174" s="16" t="n"/>
      <c r="AK174" s="17" t="n"/>
      <c r="AL174" s="133">
        <f>DADOS_INVOC!$QP$91</f>
        <v/>
      </c>
      <c r="AM174" s="125" t="n"/>
      <c r="AN174" s="129" t="n"/>
      <c r="AO174" s="134" t="n"/>
      <c r="AP174" s="16" t="n"/>
      <c r="AQ174" s="17" t="n"/>
      <c r="AR174" s="133">
        <f>DADOS_INVOC!$QP$92</f>
        <v/>
      </c>
      <c r="AS174" s="125" t="n"/>
    </row>
    <row r="175" hidden="1" outlineLevel="3">
      <c r="A175" s="8" t="n"/>
      <c r="B175" s="14" t="n"/>
      <c r="C175" s="125" t="n"/>
      <c r="D175" s="125" t="n"/>
      <c r="E175" s="125" t="n"/>
      <c r="F175" s="125" t="n"/>
      <c r="G175" s="125" t="n"/>
      <c r="I175" s="55" t="inlineStr">
        <is>
          <t>CONTA</t>
        </is>
      </c>
      <c r="J175" s="136">
        <f>DADOS_INVOC!$QI$12</f>
        <v/>
      </c>
      <c r="K175" s="16" t="n"/>
      <c r="L175" s="16" t="n"/>
      <c r="M175" s="17" t="n"/>
      <c r="N175" s="125" t="n"/>
      <c r="O175" s="55" t="inlineStr">
        <is>
          <t>CONTA</t>
        </is>
      </c>
      <c r="P175" s="136">
        <f>DADOS_INVOC!$QI$13</f>
        <v/>
      </c>
      <c r="Q175" s="16" t="n"/>
      <c r="R175" s="16" t="n"/>
      <c r="S175" s="17" t="n"/>
      <c r="T175" s="125" t="n"/>
      <c r="U175" s="55" t="inlineStr">
        <is>
          <t>CONTA</t>
        </is>
      </c>
      <c r="V175" s="136">
        <f>DADOS_INVOC!$QI$14</f>
        <v/>
      </c>
      <c r="W175" s="16" t="n"/>
      <c r="X175" s="16" t="n"/>
      <c r="Y175" s="17" t="n"/>
      <c r="Z175" s="125" t="n"/>
      <c r="AB175" s="55" t="inlineStr">
        <is>
          <t>CONTA</t>
        </is>
      </c>
      <c r="AC175" s="136">
        <f>DADOS_INVOC!$QI$90</f>
        <v/>
      </c>
      <c r="AD175" s="16" t="n"/>
      <c r="AE175" s="16" t="n"/>
      <c r="AF175" s="17" t="n"/>
      <c r="AG175" s="125" t="n"/>
      <c r="AH175" s="55" t="inlineStr">
        <is>
          <t>CONTA</t>
        </is>
      </c>
      <c r="AI175" s="136">
        <f>DADOS_INVOC!$QI$91</f>
        <v/>
      </c>
      <c r="AJ175" s="16" t="n"/>
      <c r="AK175" s="16" t="n"/>
      <c r="AL175" s="17" t="n"/>
      <c r="AM175" s="125" t="n"/>
      <c r="AN175" s="55" t="inlineStr">
        <is>
          <t>CONTA</t>
        </is>
      </c>
      <c r="AO175" s="136">
        <f>DADOS_INVOC!$QI$92</f>
        <v/>
      </c>
      <c r="AP175" s="16" t="n"/>
      <c r="AQ175" s="16" t="n"/>
      <c r="AR175" s="17" t="n"/>
      <c r="AS175" s="125" t="n"/>
    </row>
    <row r="176" hidden="1" outlineLevel="3">
      <c r="A176" s="8" t="n"/>
      <c r="B176" s="14" t="n"/>
      <c r="C176" s="125" t="n"/>
      <c r="D176" s="125" t="n"/>
      <c r="E176" s="125" t="n"/>
      <c r="F176" s="125" t="n"/>
      <c r="G176" s="125" t="n"/>
      <c r="I176" s="55" t="inlineStr">
        <is>
          <t>AMPLIAR</t>
        </is>
      </c>
      <c r="J176" s="136">
        <f>DADOS_INVOC!$QJ$12</f>
        <v/>
      </c>
      <c r="K176" s="19" t="n"/>
      <c r="L176" s="19" t="n"/>
      <c r="M176" s="20" t="n"/>
      <c r="N176" s="125" t="n"/>
      <c r="O176" s="55" t="inlineStr">
        <is>
          <t>AMPLIAR</t>
        </is>
      </c>
      <c r="P176" s="136">
        <f>DADOS_INVOC!$QJ$13</f>
        <v/>
      </c>
      <c r="Q176" s="19" t="n"/>
      <c r="R176" s="19" t="n"/>
      <c r="S176" s="20" t="n"/>
      <c r="T176" s="125" t="n"/>
      <c r="U176" s="55" t="inlineStr">
        <is>
          <t>AMPLIAR</t>
        </is>
      </c>
      <c r="V176" s="136">
        <f>DADOS_INVOC!$QJ$14</f>
        <v/>
      </c>
      <c r="W176" s="19" t="n"/>
      <c r="X176" s="19" t="n"/>
      <c r="Y176" s="20" t="n"/>
      <c r="Z176" s="125" t="n"/>
      <c r="AB176" s="55" t="inlineStr">
        <is>
          <t>AMPLIAR</t>
        </is>
      </c>
      <c r="AC176" s="136">
        <f>DADOS_INVOC!$QJ$90</f>
        <v/>
      </c>
      <c r="AD176" s="19" t="n"/>
      <c r="AE176" s="19" t="n"/>
      <c r="AF176" s="20" t="n"/>
      <c r="AG176" s="125" t="n"/>
      <c r="AH176" s="55" t="inlineStr">
        <is>
          <t>AMPLIAR</t>
        </is>
      </c>
      <c r="AI176" s="136">
        <f>DADOS_INVOC!$QJ$91</f>
        <v/>
      </c>
      <c r="AJ176" s="19" t="n"/>
      <c r="AK176" s="19" t="n"/>
      <c r="AL176" s="20" t="n"/>
      <c r="AM176" s="125" t="n"/>
      <c r="AN176" s="55" t="inlineStr">
        <is>
          <t>AMPLIAR</t>
        </is>
      </c>
      <c r="AO176" s="136">
        <f>DADOS_INVOC!$QJ$92</f>
        <v/>
      </c>
      <c r="AP176" s="19" t="n"/>
      <c r="AQ176" s="19" t="n"/>
      <c r="AR176" s="20" t="n"/>
      <c r="AS176" s="125" t="n"/>
    </row>
    <row r="177" hidden="1" outlineLevel="3">
      <c r="A177" s="8" t="n"/>
      <c r="B177" s="14" t="n"/>
      <c r="C177" s="125" t="n"/>
      <c r="D177" s="125" t="n"/>
      <c r="E177" s="125" t="n"/>
      <c r="F177" s="125" t="n"/>
      <c r="G177" s="125" t="n"/>
      <c r="I177" s="129" t="n"/>
      <c r="J177" s="23" t="n"/>
      <c r="K177" s="24" t="n"/>
      <c r="L177" s="24" t="n"/>
      <c r="M177" s="25" t="n"/>
      <c r="N177" s="125" t="n"/>
      <c r="O177" s="129" t="n"/>
      <c r="P177" s="23" t="n"/>
      <c r="Q177" s="24" t="n"/>
      <c r="R177" s="24" t="n"/>
      <c r="S177" s="25" t="n"/>
      <c r="T177" s="125" t="n"/>
      <c r="U177" s="129" t="n"/>
      <c r="V177" s="23" t="n"/>
      <c r="W177" s="24" t="n"/>
      <c r="X177" s="24" t="n"/>
      <c r="Y177" s="25" t="n"/>
      <c r="Z177" s="125" t="n"/>
      <c r="AB177" s="129" t="n"/>
      <c r="AC177" s="23" t="n"/>
      <c r="AD177" s="24" t="n"/>
      <c r="AE177" s="24" t="n"/>
      <c r="AF177" s="25" t="n"/>
      <c r="AG177" s="125" t="n"/>
      <c r="AH177" s="129" t="n"/>
      <c r="AI177" s="23" t="n"/>
      <c r="AJ177" s="24" t="n"/>
      <c r="AK177" s="24" t="n"/>
      <c r="AL177" s="25" t="n"/>
      <c r="AM177" s="125" t="n"/>
      <c r="AN177" s="129" t="n"/>
      <c r="AO177" s="23" t="n"/>
      <c r="AP177" s="24" t="n"/>
      <c r="AQ177" s="24" t="n"/>
      <c r="AR177" s="25" t="n"/>
      <c r="AS177" s="125" t="n"/>
    </row>
    <row r="178" hidden="1" outlineLevel="3">
      <c r="A178" s="8" t="n"/>
      <c r="B178" s="14" t="n"/>
      <c r="C178" s="125" t="n"/>
      <c r="D178" s="125" t="n"/>
      <c r="E178" s="125" t="n"/>
      <c r="F178" s="125" t="n"/>
      <c r="G178" s="125" t="n"/>
      <c r="I178" s="136">
        <f>DADOS_INVOC!$PW$12</f>
        <v/>
      </c>
      <c r="J178" s="19" t="n"/>
      <c r="K178" s="19" t="n"/>
      <c r="L178" s="19" t="n"/>
      <c r="M178" s="20" t="n"/>
      <c r="N178" s="125" t="n"/>
      <c r="O178" s="136">
        <f>DADOS_INVOC!$PW$13</f>
        <v/>
      </c>
      <c r="P178" s="19" t="n"/>
      <c r="Q178" s="19" t="n"/>
      <c r="R178" s="19" t="n"/>
      <c r="S178" s="20" t="n"/>
      <c r="T178" s="125" t="n"/>
      <c r="U178" s="136">
        <f>DADOS_INVOC!$PW$14</f>
        <v/>
      </c>
      <c r="V178" s="19" t="n"/>
      <c r="W178" s="19" t="n"/>
      <c r="X178" s="19" t="n"/>
      <c r="Y178" s="20" t="n"/>
      <c r="Z178" s="125" t="n"/>
      <c r="AB178" s="136">
        <f>DADOS_INVOC!$PW$90</f>
        <v/>
      </c>
      <c r="AC178" s="19" t="n"/>
      <c r="AD178" s="19" t="n"/>
      <c r="AE178" s="19" t="n"/>
      <c r="AF178" s="20" t="n"/>
      <c r="AG178" s="125" t="n"/>
      <c r="AH178" s="136">
        <f>DADOS_INVOC!$PW$91</f>
        <v/>
      </c>
      <c r="AI178" s="19" t="n"/>
      <c r="AJ178" s="19" t="n"/>
      <c r="AK178" s="19" t="n"/>
      <c r="AL178" s="20" t="n"/>
      <c r="AM178" s="125" t="n"/>
      <c r="AN178" s="136">
        <f>DADOS_INVOC!$PW$92</f>
        <v/>
      </c>
      <c r="AO178" s="19" t="n"/>
      <c r="AP178" s="19" t="n"/>
      <c r="AQ178" s="19" t="n"/>
      <c r="AR178" s="20" t="n"/>
      <c r="AS178" s="125" t="n"/>
    </row>
    <row r="179" hidden="1" outlineLevel="3">
      <c r="A179" s="8" t="n"/>
      <c r="B179" s="14" t="n"/>
      <c r="C179" s="125" t="n"/>
      <c r="D179" s="125" t="n"/>
      <c r="E179" s="125" t="n"/>
      <c r="F179" s="125" t="n"/>
      <c r="G179" s="125" t="n"/>
      <c r="I179" s="23" t="n"/>
      <c r="J179" s="24" t="n"/>
      <c r="K179" s="24" t="n"/>
      <c r="L179" s="24" t="n"/>
      <c r="M179" s="25" t="n"/>
      <c r="N179" s="125" t="n"/>
      <c r="O179" s="23" t="n"/>
      <c r="P179" s="24" t="n"/>
      <c r="Q179" s="24" t="n"/>
      <c r="R179" s="24" t="n"/>
      <c r="S179" s="25" t="n"/>
      <c r="T179" s="125" t="n"/>
      <c r="U179" s="23" t="n"/>
      <c r="V179" s="24" t="n"/>
      <c r="W179" s="24" t="n"/>
      <c r="X179" s="24" t="n"/>
      <c r="Y179" s="25" t="n"/>
      <c r="Z179" s="125" t="n"/>
      <c r="AB179" s="23" t="n"/>
      <c r="AC179" s="24" t="n"/>
      <c r="AD179" s="24" t="n"/>
      <c r="AE179" s="24" t="n"/>
      <c r="AF179" s="25" t="n"/>
      <c r="AG179" s="125" t="n"/>
      <c r="AH179" s="23" t="n"/>
      <c r="AI179" s="24" t="n"/>
      <c r="AJ179" s="24" t="n"/>
      <c r="AK179" s="24" t="n"/>
      <c r="AL179" s="25" t="n"/>
      <c r="AM179" s="125" t="n"/>
      <c r="AN179" s="23" t="n"/>
      <c r="AO179" s="24" t="n"/>
      <c r="AP179" s="24" t="n"/>
      <c r="AQ179" s="24" t="n"/>
      <c r="AR179" s="25" t="n"/>
      <c r="AS179" s="125" t="n"/>
    </row>
    <row r="180" hidden="1" outlineLevel="2">
      <c r="A180" s="8" t="n"/>
      <c r="B180" s="14" t="n"/>
      <c r="C180" s="125" t="n"/>
      <c r="D180" s="125" t="n"/>
      <c r="E180" s="125" t="n"/>
      <c r="F180" s="125" t="n"/>
      <c r="G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row>
    <row r="181" hidden="1" outlineLevel="2">
      <c r="A181" s="8" t="n"/>
      <c r="B181" s="14" t="n"/>
      <c r="C181" s="125" t="n"/>
      <c r="D181" s="125" t="n"/>
      <c r="E181" s="125" t="n"/>
      <c r="F181" s="125" t="n"/>
      <c r="G181" s="125"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5"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5" t="n"/>
    </row>
    <row r="182" hidden="1" outlineLevel="2">
      <c r="A182" s="8" t="n"/>
      <c r="B182" s="14" t="n"/>
      <c r="C182" s="125" t="n"/>
      <c r="D182" s="125" t="n"/>
      <c r="E182" s="125" t="n"/>
      <c r="F182" s="125" t="n"/>
      <c r="G182" s="125" t="n"/>
      <c r="I182" s="55" t="inlineStr">
        <is>
          <t>TRILHA · CE 1</t>
        </is>
      </c>
      <c r="J182" s="134" t="n"/>
      <c r="K182" s="16" t="n"/>
      <c r="L182" s="17" t="n"/>
      <c r="M182" s="141">
        <f>DADOS_INVOC!$IU$2</f>
        <v/>
      </c>
      <c r="N182" s="16" t="n"/>
      <c r="O182" s="16" t="n"/>
      <c r="P182" s="16" t="n"/>
      <c r="Q182" s="16" t="n"/>
      <c r="R182" s="16" t="n"/>
      <c r="S182" s="16" t="n"/>
      <c r="T182" s="16" t="n"/>
      <c r="U182" s="16" t="n"/>
      <c r="V182" s="16" t="n"/>
      <c r="W182" s="16" t="n"/>
      <c r="X182" s="16" t="n"/>
      <c r="Y182" s="17" t="n"/>
      <c r="Z182" s="125" t="n"/>
      <c r="AB182" s="55" t="inlineStr">
        <is>
          <t>TRILHA · CE 1</t>
        </is>
      </c>
      <c r="AC182" s="134" t="n"/>
      <c r="AD182" s="16" t="n"/>
      <c r="AE182" s="17" t="n"/>
      <c r="AF182" s="141">
        <f>DADOS_INVOC!$IU$8</f>
        <v/>
      </c>
      <c r="AG182" s="16" t="n"/>
      <c r="AH182" s="16" t="n"/>
      <c r="AI182" s="16" t="n"/>
      <c r="AJ182" s="16" t="n"/>
      <c r="AK182" s="16" t="n"/>
      <c r="AL182" s="16" t="n"/>
      <c r="AM182" s="16" t="n"/>
      <c r="AN182" s="16" t="n"/>
      <c r="AO182" s="16" t="n"/>
      <c r="AP182" s="16" t="n"/>
      <c r="AQ182" s="16" t="n"/>
      <c r="AR182" s="17" t="n"/>
      <c r="AS182" s="125" t="n"/>
    </row>
    <row r="183" hidden="1" outlineLevel="2">
      <c r="A183" s="8" t="n"/>
      <c r="B183" s="14" t="n"/>
      <c r="C183" s="125" t="n"/>
      <c r="D183" s="125" t="n"/>
      <c r="E183" s="125" t="n"/>
      <c r="F183" s="125" t="n"/>
      <c r="G183" s="125" t="n"/>
      <c r="I183" s="55" t="inlineStr">
        <is>
          <t>TRILHA · CE 1</t>
        </is>
      </c>
      <c r="J183" s="134" t="n"/>
      <c r="K183" s="16" t="n"/>
      <c r="L183" s="17" t="n"/>
      <c r="M183" s="141">
        <f>DADOS_INVOC!$IV$2</f>
        <v/>
      </c>
      <c r="N183" s="16" t="n"/>
      <c r="O183" s="16" t="n"/>
      <c r="P183" s="16" t="n"/>
      <c r="Q183" s="16" t="n"/>
      <c r="R183" s="16" t="n"/>
      <c r="S183" s="16" t="n"/>
      <c r="T183" s="16" t="n"/>
      <c r="U183" s="16" t="n"/>
      <c r="V183" s="16" t="n"/>
      <c r="W183" s="16" t="n"/>
      <c r="X183" s="16" t="n"/>
      <c r="Y183" s="17" t="n"/>
      <c r="Z183" s="125" t="n"/>
      <c r="AB183" s="55" t="inlineStr">
        <is>
          <t>TRILHA · CE 1</t>
        </is>
      </c>
      <c r="AC183" s="134" t="n"/>
      <c r="AD183" s="16" t="n"/>
      <c r="AE183" s="17" t="n"/>
      <c r="AF183" s="141">
        <f>DADOS_INVOC!$IV$8</f>
        <v/>
      </c>
      <c r="AG183" s="16" t="n"/>
      <c r="AH183" s="16" t="n"/>
      <c r="AI183" s="16" t="n"/>
      <c r="AJ183" s="16" t="n"/>
      <c r="AK183" s="16" t="n"/>
      <c r="AL183" s="16" t="n"/>
      <c r="AM183" s="16" t="n"/>
      <c r="AN183" s="16" t="n"/>
      <c r="AO183" s="16" t="n"/>
      <c r="AP183" s="16" t="n"/>
      <c r="AQ183" s="16" t="n"/>
      <c r="AR183" s="17" t="n"/>
      <c r="AS183" s="125" t="n"/>
    </row>
    <row r="184" hidden="1" outlineLevel="2">
      <c r="A184" s="8" t="n"/>
      <c r="B184" s="14" t="n"/>
      <c r="C184" s="125" t="n"/>
      <c r="D184" s="125" t="n"/>
      <c r="E184" s="125" t="n"/>
      <c r="F184" s="125" t="n"/>
      <c r="G184" s="125" t="n"/>
      <c r="I184" s="55" t="inlineStr">
        <is>
          <t>TRILHA · CE 1</t>
        </is>
      </c>
      <c r="J184" s="134" t="n"/>
      <c r="K184" s="16" t="n"/>
      <c r="L184" s="17" t="n"/>
      <c r="M184" s="141">
        <f>DADOS_INVOC!$IW$2</f>
        <v/>
      </c>
      <c r="N184" s="16" t="n"/>
      <c r="O184" s="16" t="n"/>
      <c r="P184" s="16" t="n"/>
      <c r="Q184" s="16" t="n"/>
      <c r="R184" s="16" t="n"/>
      <c r="S184" s="16" t="n"/>
      <c r="T184" s="16" t="n"/>
      <c r="U184" s="16" t="n"/>
      <c r="V184" s="16" t="n"/>
      <c r="W184" s="16" t="n"/>
      <c r="X184" s="16" t="n"/>
      <c r="Y184" s="17" t="n"/>
      <c r="Z184" s="125" t="n"/>
      <c r="AB184" s="55" t="inlineStr">
        <is>
          <t>TRILHA · CE 1</t>
        </is>
      </c>
      <c r="AC184" s="134" t="n"/>
      <c r="AD184" s="16" t="n"/>
      <c r="AE184" s="17" t="n"/>
      <c r="AF184" s="141">
        <f>DADOS_INVOC!$IW$8</f>
        <v/>
      </c>
      <c r="AG184" s="16" t="n"/>
      <c r="AH184" s="16" t="n"/>
      <c r="AI184" s="16" t="n"/>
      <c r="AJ184" s="16" t="n"/>
      <c r="AK184" s="16" t="n"/>
      <c r="AL184" s="16" t="n"/>
      <c r="AM184" s="16" t="n"/>
      <c r="AN184" s="16" t="n"/>
      <c r="AO184" s="16" t="n"/>
      <c r="AP184" s="16" t="n"/>
      <c r="AQ184" s="16" t="n"/>
      <c r="AR184" s="17" t="n"/>
      <c r="AS184" s="125" t="n"/>
    </row>
    <row r="185" outlineLevel="1">
      <c r="A185" s="8" t="n"/>
      <c r="B185" s="14" t="n"/>
      <c r="C185" s="125" t="n"/>
      <c r="D185" s="125" t="n"/>
      <c r="E185" s="125" t="n"/>
      <c r="F185" s="125" t="n"/>
      <c r="G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row>
    <row r="186" outlineLevel="1">
      <c r="A186" s="8" t="n"/>
      <c r="B186" s="14" t="n"/>
      <c r="C186" s="125" t="n"/>
      <c r="D186" s="125" t="n"/>
      <c r="E186" s="125" t="n"/>
      <c r="F186" s="125" t="n"/>
      <c r="G186" s="125" t="n"/>
      <c r="I186" s="137"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5" t="n"/>
      <c r="AB186" s="137"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5" t="n"/>
    </row>
    <row r="187" hidden="1" outlineLevel="2">
      <c r="A187" s="8" t="n"/>
      <c r="B187" s="14" t="n"/>
      <c r="C187" s="125" t="n"/>
      <c r="D187" s="125" t="n"/>
      <c r="E187" s="125" t="n"/>
      <c r="F187" s="125" t="n"/>
      <c r="G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row>
    <row r="188" hidden="1" outlineLevel="2">
      <c r="A188" s="8" t="n"/>
      <c r="B188" s="14" t="n"/>
      <c r="C188" s="125" t="n"/>
      <c r="D188" s="125" t="n"/>
      <c r="E188" s="125" t="n"/>
      <c r="F188" s="125" t="n"/>
      <c r="G188" s="125" t="n"/>
      <c r="I188" s="55" t="inlineStr">
        <is>
          <t>LIBERAÇÃO MÁXIMA 1</t>
        </is>
      </c>
      <c r="J188" s="16" t="n"/>
      <c r="K188" s="16" t="n"/>
      <c r="L188" s="16" t="n"/>
      <c r="M188" s="17" t="n"/>
      <c r="N188" s="125" t="n"/>
      <c r="O188" s="55" t="inlineStr">
        <is>
          <t>LIBERAÇÃO MÁXIMA 2</t>
        </is>
      </c>
      <c r="P188" s="16" t="n"/>
      <c r="Q188" s="16" t="n"/>
      <c r="R188" s="16" t="n"/>
      <c r="S188" s="17" t="n"/>
      <c r="T188" s="125" t="n"/>
      <c r="U188" s="55" t="inlineStr">
        <is>
          <t>LIBERAÇÃO MÁXIMA 3</t>
        </is>
      </c>
      <c r="V188" s="16" t="n"/>
      <c r="W188" s="16" t="n"/>
      <c r="X188" s="16" t="n"/>
      <c r="Y188" s="17" t="n"/>
      <c r="Z188" s="125" t="n"/>
      <c r="AB188" s="55" t="inlineStr">
        <is>
          <t>LIBERAÇÃO MÁXIMA 1</t>
        </is>
      </c>
      <c r="AC188" s="16" t="n"/>
      <c r="AD188" s="16" t="n"/>
      <c r="AE188" s="16" t="n"/>
      <c r="AF188" s="17" t="n"/>
      <c r="AG188" s="125" t="n"/>
      <c r="AH188" s="55" t="inlineStr">
        <is>
          <t>LIBERAÇÃO MÁXIMA 2</t>
        </is>
      </c>
      <c r="AI188" s="16" t="n"/>
      <c r="AJ188" s="16" t="n"/>
      <c r="AK188" s="16" t="n"/>
      <c r="AL188" s="17" t="n"/>
      <c r="AM188" s="125" t="n"/>
      <c r="AN188" s="55" t="inlineStr">
        <is>
          <t>LIBERAÇÃO MÁXIMA 3</t>
        </is>
      </c>
      <c r="AO188" s="16" t="n"/>
      <c r="AP188" s="16" t="n"/>
      <c r="AQ188" s="16" t="n"/>
      <c r="AR188" s="17" t="n"/>
      <c r="AS188" s="125" t="n"/>
    </row>
    <row r="189" hidden="1" outlineLevel="2">
      <c r="A189" s="8" t="n"/>
      <c r="B189" s="14" t="n"/>
      <c r="C189" s="125" t="n"/>
      <c r="D189" s="125" t="n"/>
      <c r="E189" s="125" t="n"/>
      <c r="F189" s="125" t="n"/>
      <c r="G189" s="125" t="n"/>
      <c r="I189" s="131" t="n">
        <v>3</v>
      </c>
      <c r="J189" s="120" t="n"/>
      <c r="K189" s="16" t="n"/>
      <c r="L189" s="17" t="n"/>
      <c r="M189" s="132">
        <f>DADOS_INVOC!$IX$2</f>
        <v/>
      </c>
      <c r="N189" s="125" t="n"/>
      <c r="O189" s="131" t="n">
        <v>3</v>
      </c>
      <c r="P189" s="120" t="n"/>
      <c r="Q189" s="16" t="n"/>
      <c r="R189" s="17" t="n"/>
      <c r="S189" s="132">
        <f>DADOS_INVOC!$IY$2</f>
        <v/>
      </c>
      <c r="T189" s="125" t="n"/>
      <c r="U189" s="131" t="n">
        <v>3</v>
      </c>
      <c r="V189" s="120" t="n"/>
      <c r="W189" s="16" t="n"/>
      <c r="X189" s="17" t="n"/>
      <c r="Y189" s="132">
        <f>DADOS_INVOC!$IZ$2</f>
        <v/>
      </c>
      <c r="Z189" s="125" t="n"/>
      <c r="AB189" s="131" t="n">
        <v>3</v>
      </c>
      <c r="AC189" s="120" t="n"/>
      <c r="AD189" s="16" t="n"/>
      <c r="AE189" s="17" t="n"/>
      <c r="AF189" s="132">
        <f>DADOS_INVOC!$IX$8</f>
        <v/>
      </c>
      <c r="AG189" s="125" t="n"/>
      <c r="AH189" s="131" t="n">
        <v>3</v>
      </c>
      <c r="AI189" s="120" t="n"/>
      <c r="AJ189" s="16" t="n"/>
      <c r="AK189" s="17" t="n"/>
      <c r="AL189" s="132">
        <f>DADOS_INVOC!$IY$8</f>
        <v/>
      </c>
      <c r="AM189" s="125" t="n"/>
      <c r="AN189" s="131" t="n">
        <v>3</v>
      </c>
      <c r="AO189" s="120" t="n"/>
      <c r="AP189" s="16" t="n"/>
      <c r="AQ189" s="17" t="n"/>
      <c r="AR189" s="132">
        <f>DADOS_INVOC!$IZ$8</f>
        <v/>
      </c>
      <c r="AS189" s="125" t="n"/>
    </row>
    <row r="190" hidden="1" outlineLevel="2">
      <c r="A190" s="8" t="n"/>
      <c r="B190" s="14" t="n"/>
      <c r="C190" s="125" t="n"/>
      <c r="D190" s="125" t="n"/>
      <c r="E190" s="125" t="n"/>
      <c r="F190" s="125" t="n"/>
      <c r="G190" s="125" t="n"/>
      <c r="I190" s="121" t="n"/>
      <c r="J190" s="19" t="n"/>
      <c r="K190" s="19" t="n"/>
      <c r="L190" s="19" t="n"/>
      <c r="M190" s="20" t="n"/>
      <c r="N190" s="125" t="n"/>
      <c r="O190" s="121" t="n"/>
      <c r="P190" s="19" t="n"/>
      <c r="Q190" s="19" t="n"/>
      <c r="R190" s="19" t="n"/>
      <c r="S190" s="20" t="n"/>
      <c r="T190" s="125" t="n"/>
      <c r="U190" s="121" t="n"/>
      <c r="V190" s="19" t="n"/>
      <c r="W190" s="19" t="n"/>
      <c r="X190" s="19" t="n"/>
      <c r="Y190" s="20" t="n"/>
      <c r="Z190" s="125" t="n"/>
      <c r="AB190" s="121" t="n"/>
      <c r="AC190" s="19" t="n"/>
      <c r="AD190" s="19" t="n"/>
      <c r="AE190" s="19" t="n"/>
      <c r="AF190" s="20" t="n"/>
      <c r="AG190" s="125" t="n"/>
      <c r="AH190" s="121" t="n"/>
      <c r="AI190" s="19" t="n"/>
      <c r="AJ190" s="19" t="n"/>
      <c r="AK190" s="19" t="n"/>
      <c r="AL190" s="20" t="n"/>
      <c r="AM190" s="125" t="n"/>
      <c r="AN190" s="121" t="n"/>
      <c r="AO190" s="19" t="n"/>
      <c r="AP190" s="19" t="n"/>
      <c r="AQ190" s="19" t="n"/>
      <c r="AR190" s="20" t="n"/>
      <c r="AS190" s="125" t="n"/>
    </row>
    <row r="191" hidden="1" outlineLevel="2">
      <c r="A191" s="8" t="n"/>
      <c r="B191" s="14" t="n"/>
      <c r="C191" s="125" t="n"/>
      <c r="D191" s="125" t="n"/>
      <c r="E191" s="125" t="n"/>
      <c r="F191" s="125" t="n"/>
      <c r="G191" s="125" t="n"/>
      <c r="I191" s="21" t="n"/>
      <c r="M191" s="22" t="n"/>
      <c r="N191" s="125" t="n"/>
      <c r="O191" s="21" t="n"/>
      <c r="S191" s="22" t="n"/>
      <c r="T191" s="125" t="n"/>
      <c r="U191" s="21" t="n"/>
      <c r="Y191" s="22" t="n"/>
      <c r="Z191" s="125" t="n"/>
      <c r="AB191" s="21" t="n"/>
      <c r="AF191" s="22" t="n"/>
      <c r="AG191" s="125" t="n"/>
      <c r="AH191" s="21" t="n"/>
      <c r="AL191" s="22" t="n"/>
      <c r="AM191" s="125" t="n"/>
      <c r="AN191" s="21" t="n"/>
      <c r="AR191" s="22" t="n"/>
      <c r="AS191" s="125" t="n"/>
    </row>
    <row r="192" hidden="1" outlineLevel="2">
      <c r="A192" s="8" t="n"/>
      <c r="B192" s="14" t="n"/>
      <c r="C192" s="125" t="n"/>
      <c r="D192" s="125" t="n"/>
      <c r="E192" s="125" t="n"/>
      <c r="F192" s="125" t="n"/>
      <c r="G192" s="125" t="n"/>
      <c r="I192" s="21" t="n"/>
      <c r="M192" s="22" t="n"/>
      <c r="N192" s="125" t="n"/>
      <c r="O192" s="21" t="n"/>
      <c r="S192" s="22" t="n"/>
      <c r="T192" s="125" t="n"/>
      <c r="U192" s="21" t="n"/>
      <c r="Y192" s="22" t="n"/>
      <c r="Z192" s="125" t="n"/>
      <c r="AB192" s="21" t="n"/>
      <c r="AF192" s="22" t="n"/>
      <c r="AG192" s="125" t="n"/>
      <c r="AH192" s="21" t="n"/>
      <c r="AL192" s="22" t="n"/>
      <c r="AM192" s="125" t="n"/>
      <c r="AN192" s="21" t="n"/>
      <c r="AR192" s="22" t="n"/>
      <c r="AS192" s="125" t="n"/>
    </row>
    <row r="193" hidden="1" outlineLevel="2">
      <c r="A193" s="8" t="n"/>
      <c r="B193" s="14" t="n"/>
      <c r="C193" s="125" t="n"/>
      <c r="D193" s="125" t="n"/>
      <c r="E193" s="125" t="n"/>
      <c r="F193" s="125" t="n"/>
      <c r="G193" s="125" t="n"/>
      <c r="I193" s="23" t="n"/>
      <c r="J193" s="24" t="n"/>
      <c r="K193" s="24" t="n"/>
      <c r="L193" s="24" t="n"/>
      <c r="M193" s="25" t="n"/>
      <c r="N193" s="125" t="n"/>
      <c r="O193" s="23" t="n"/>
      <c r="P193" s="24" t="n"/>
      <c r="Q193" s="24" t="n"/>
      <c r="R193" s="24" t="n"/>
      <c r="S193" s="25" t="n"/>
      <c r="T193" s="125" t="n"/>
      <c r="U193" s="23" t="n"/>
      <c r="V193" s="24" t="n"/>
      <c r="W193" s="24" t="n"/>
      <c r="X193" s="24" t="n"/>
      <c r="Y193" s="25" t="n"/>
      <c r="Z193" s="125" t="n"/>
      <c r="AB193" s="23" t="n"/>
      <c r="AC193" s="24" t="n"/>
      <c r="AD193" s="24" t="n"/>
      <c r="AE193" s="24" t="n"/>
      <c r="AF193" s="25" t="n"/>
      <c r="AG193" s="125" t="n"/>
      <c r="AH193" s="23" t="n"/>
      <c r="AI193" s="24" t="n"/>
      <c r="AJ193" s="24" t="n"/>
      <c r="AK193" s="24" t="n"/>
      <c r="AL193" s="25" t="n"/>
      <c r="AM193" s="125" t="n"/>
      <c r="AN193" s="23" t="n"/>
      <c r="AO193" s="24" t="n"/>
      <c r="AP193" s="24" t="n"/>
      <c r="AQ193" s="24" t="n"/>
      <c r="AR193" s="25" t="n"/>
      <c r="AS193" s="125" t="n"/>
    </row>
    <row r="194" hidden="1" outlineLevel="2">
      <c r="A194" s="8" t="n"/>
      <c r="B194" s="14" t="n"/>
      <c r="C194" s="125" t="n"/>
      <c r="D194" s="125" t="n"/>
      <c r="E194" s="125" t="n"/>
      <c r="F194" s="125" t="n"/>
      <c r="G194" s="125" t="n"/>
      <c r="I194" s="68">
        <f>DADOS_INVOC!$JA$2</f>
        <v/>
      </c>
      <c r="J194" s="16" t="n"/>
      <c r="K194" s="16" t="n"/>
      <c r="L194" s="16" t="n"/>
      <c r="M194" s="17" t="n"/>
      <c r="N194" s="125" t="n"/>
      <c r="O194" s="68">
        <f>DADOS_INVOC!$JB$2</f>
        <v/>
      </c>
      <c r="P194" s="16" t="n"/>
      <c r="Q194" s="16" t="n"/>
      <c r="R194" s="16" t="n"/>
      <c r="S194" s="17" t="n"/>
      <c r="T194" s="125" t="n"/>
      <c r="U194" s="68">
        <f>DADOS_INVOC!$JC$2</f>
        <v/>
      </c>
      <c r="V194" s="16" t="n"/>
      <c r="W194" s="16" t="n"/>
      <c r="X194" s="16" t="n"/>
      <c r="Y194" s="17" t="n"/>
      <c r="Z194" s="125" t="n"/>
      <c r="AB194" s="68">
        <f>DADOS_INVOC!$JA$8</f>
        <v/>
      </c>
      <c r="AC194" s="16" t="n"/>
      <c r="AD194" s="16" t="n"/>
      <c r="AE194" s="16" t="n"/>
      <c r="AF194" s="17" t="n"/>
      <c r="AG194" s="125" t="n"/>
      <c r="AH194" s="68">
        <f>DADOS_INVOC!$JB$8</f>
        <v/>
      </c>
      <c r="AI194" s="16" t="n"/>
      <c r="AJ194" s="16" t="n"/>
      <c r="AK194" s="16" t="n"/>
      <c r="AL194" s="17" t="n"/>
      <c r="AM194" s="125" t="n"/>
      <c r="AN194" s="68">
        <f>DADOS_INVOC!$JC$8</f>
        <v/>
      </c>
      <c r="AO194" s="16" t="n"/>
      <c r="AP194" s="16" t="n"/>
      <c r="AQ194" s="16" t="n"/>
      <c r="AR194" s="17" t="n"/>
      <c r="AS194" s="125" t="n"/>
    </row>
    <row r="195" hidden="1" outlineLevel="2">
      <c r="A195" s="8" t="n"/>
      <c r="B195" s="14" t="n"/>
      <c r="C195" s="125" t="n"/>
      <c r="D195" s="125" t="n"/>
      <c r="E195" s="125" t="n"/>
      <c r="F195" s="125" t="n"/>
      <c r="G195" s="125" t="n"/>
      <c r="I195" s="89" t="inlineStr">
        <is>
          <t>Sua Ação Completa + a básica dela</t>
        </is>
      </c>
      <c r="J195" s="16" t="n"/>
      <c r="K195" s="16" t="n"/>
      <c r="L195" s="16" t="n"/>
      <c r="M195" s="17" t="n"/>
      <c r="N195" s="125" t="n"/>
      <c r="O195" s="89" t="inlineStr">
        <is>
          <t>Sua Ação Completa + a básica dela</t>
        </is>
      </c>
      <c r="P195" s="16" t="n"/>
      <c r="Q195" s="16" t="n"/>
      <c r="R195" s="16" t="n"/>
      <c r="S195" s="17" t="n"/>
      <c r="T195" s="125" t="n"/>
      <c r="U195" s="89" t="inlineStr">
        <is>
          <t>Sua Ação Completa + a básica dela</t>
        </is>
      </c>
      <c r="V195" s="16" t="n"/>
      <c r="W195" s="16" t="n"/>
      <c r="X195" s="16" t="n"/>
      <c r="Y195" s="17" t="n"/>
      <c r="Z195" s="125" t="n"/>
      <c r="AB195" s="89" t="inlineStr">
        <is>
          <t>Sua Ação Completa + a básica dela</t>
        </is>
      </c>
      <c r="AC195" s="16" t="n"/>
      <c r="AD195" s="16" t="n"/>
      <c r="AE195" s="16" t="n"/>
      <c r="AF195" s="17" t="n"/>
      <c r="AG195" s="125" t="n"/>
      <c r="AH195" s="89" t="inlineStr">
        <is>
          <t>Sua Ação Completa + a básica dela</t>
        </is>
      </c>
      <c r="AI195" s="16" t="n"/>
      <c r="AJ195" s="16" t="n"/>
      <c r="AK195" s="16" t="n"/>
      <c r="AL195" s="17" t="n"/>
      <c r="AM195" s="125" t="n"/>
      <c r="AN195" s="89" t="inlineStr">
        <is>
          <t>Sua Ação Completa + a básica dela</t>
        </is>
      </c>
      <c r="AO195" s="16" t="n"/>
      <c r="AP195" s="16" t="n"/>
      <c r="AQ195" s="16" t="n"/>
      <c r="AR195" s="17" t="n"/>
      <c r="AS195" s="125" t="n"/>
    </row>
    <row r="196" hidden="1" outlineLevel="2">
      <c r="A196" s="8" t="n"/>
      <c r="B196" s="14" t="n"/>
      <c r="C196" s="125" t="n"/>
      <c r="D196" s="125" t="n"/>
      <c r="E196" s="125" t="n"/>
      <c r="F196" s="125" t="n"/>
      <c r="G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row>
    <row r="197" hidden="1" outlineLevel="2">
      <c r="A197" s="8" t="n"/>
      <c r="B197" s="14" t="n"/>
      <c r="C197" s="125" t="n"/>
      <c r="D197" s="125" t="n"/>
      <c r="E197" s="125" t="n"/>
      <c r="F197" s="125" t="n"/>
      <c r="G197" s="125" t="n"/>
      <c r="I197" s="55" t="inlineStr">
        <is>
          <t>TÉCNICA MÁXIMA</t>
        </is>
      </c>
      <c r="J197" s="16" t="n"/>
      <c r="K197" s="16" t="n"/>
      <c r="L197" s="16" t="n"/>
      <c r="M197" s="17" t="n"/>
      <c r="N197" s="125" t="n"/>
      <c r="O197" s="55" t="inlineStr">
        <is>
          <t>EXPANSÃO DE DOMÍNIO</t>
        </is>
      </c>
      <c r="P197" s="16" t="n"/>
      <c r="Q197" s="16" t="n"/>
      <c r="R197" s="16" t="n"/>
      <c r="S197" s="17" t="n"/>
      <c r="T197" s="125" t="n"/>
      <c r="U197" s="125" t="n"/>
      <c r="V197" s="125" t="n"/>
      <c r="W197" s="125" t="n"/>
      <c r="X197" s="125" t="n"/>
      <c r="Y197" s="125" t="n"/>
      <c r="Z197" s="125" t="n"/>
      <c r="AB197" s="55" t="inlineStr">
        <is>
          <t>TÉCNICA MÁXIMA</t>
        </is>
      </c>
      <c r="AC197" s="16" t="n"/>
      <c r="AD197" s="16" t="n"/>
      <c r="AE197" s="16" t="n"/>
      <c r="AF197" s="17" t="n"/>
      <c r="AG197" s="125" t="n"/>
      <c r="AH197" s="55" t="inlineStr">
        <is>
          <t>EXPANSÃO DE DOMÍNIO</t>
        </is>
      </c>
      <c r="AI197" s="16" t="n"/>
      <c r="AJ197" s="16" t="n"/>
      <c r="AK197" s="16" t="n"/>
      <c r="AL197" s="17" t="n"/>
      <c r="AM197" s="125" t="n"/>
      <c r="AN197" s="125" t="n"/>
      <c r="AO197" s="125" t="n"/>
      <c r="AP197" s="125" t="n"/>
      <c r="AQ197" s="125" t="n"/>
      <c r="AR197" s="125" t="n"/>
      <c r="AS197" s="125" t="n"/>
    </row>
    <row r="198" hidden="1" outlineLevel="2">
      <c r="A198" s="8" t="n"/>
      <c r="B198" s="14" t="n"/>
      <c r="C198" s="125" t="n"/>
      <c r="D198" s="125" t="n"/>
      <c r="E198" s="125" t="n"/>
      <c r="F198" s="125" t="n"/>
      <c r="G198" s="125" t="n"/>
      <c r="I198" s="120" t="n"/>
      <c r="J198" s="16" t="n"/>
      <c r="K198" s="16" t="n"/>
      <c r="L198" s="17" t="n"/>
      <c r="M198" s="132">
        <f>DADOS_INVOC!$JD$2</f>
        <v/>
      </c>
      <c r="N198" s="125" t="n"/>
      <c r="O198" s="120" t="n"/>
      <c r="P198" s="16" t="n"/>
      <c r="Q198" s="16" t="n"/>
      <c r="R198" s="17" t="n"/>
      <c r="S198" s="132">
        <f>DADOS_INVOC!$JF$2</f>
        <v/>
      </c>
      <c r="T198" s="125" t="n"/>
      <c r="U198" s="125" t="n"/>
      <c r="V198" s="125" t="n"/>
      <c r="W198" s="125" t="n"/>
      <c r="X198" s="125" t="n"/>
      <c r="Y198" s="125" t="n"/>
      <c r="Z198" s="125" t="n"/>
      <c r="AB198" s="120" t="n"/>
      <c r="AC198" s="16" t="n"/>
      <c r="AD198" s="16" t="n"/>
      <c r="AE198" s="17" t="n"/>
      <c r="AF198" s="132">
        <f>DADOS_INVOC!$JD$8</f>
        <v/>
      </c>
      <c r="AG198" s="125" t="n"/>
      <c r="AH198" s="120" t="n"/>
      <c r="AI198" s="16" t="n"/>
      <c r="AJ198" s="16" t="n"/>
      <c r="AK198" s="17" t="n"/>
      <c r="AL198" s="132">
        <f>DADOS_INVOC!$JF$8</f>
        <v/>
      </c>
      <c r="AM198" s="125" t="n"/>
      <c r="AN198" s="125" t="n"/>
      <c r="AO198" s="125" t="n"/>
      <c r="AP198" s="125" t="n"/>
      <c r="AQ198" s="125" t="n"/>
      <c r="AR198" s="125" t="n"/>
      <c r="AS198" s="125" t="n"/>
    </row>
    <row r="199" hidden="1" outlineLevel="2">
      <c r="A199" s="8" t="n"/>
      <c r="B199" s="14" t="n"/>
      <c r="C199" s="125" t="n"/>
      <c r="D199" s="125" t="n"/>
      <c r="E199" s="125" t="n"/>
      <c r="F199" s="125" t="n"/>
      <c r="G199" s="125" t="n"/>
      <c r="I199" s="121" t="n"/>
      <c r="J199" s="19" t="n"/>
      <c r="K199" s="19" t="n"/>
      <c r="L199" s="19" t="n"/>
      <c r="M199" s="20" t="n"/>
      <c r="N199" s="125" t="n"/>
      <c r="O199" s="121" t="n"/>
      <c r="P199" s="19" t="n"/>
      <c r="Q199" s="19" t="n"/>
      <c r="R199" s="19" t="n"/>
      <c r="S199" s="20" t="n"/>
      <c r="T199" s="125" t="n"/>
      <c r="U199" s="125" t="n"/>
      <c r="V199" s="125" t="n"/>
      <c r="W199" s="125" t="n"/>
      <c r="X199" s="125" t="n"/>
      <c r="Y199" s="125" t="n"/>
      <c r="Z199" s="125" t="n"/>
      <c r="AB199" s="121" t="n"/>
      <c r="AC199" s="19" t="n"/>
      <c r="AD199" s="19" t="n"/>
      <c r="AE199" s="19" t="n"/>
      <c r="AF199" s="20" t="n"/>
      <c r="AG199" s="125" t="n"/>
      <c r="AH199" s="121" t="n"/>
      <c r="AI199" s="19" t="n"/>
      <c r="AJ199" s="19" t="n"/>
      <c r="AK199" s="19" t="n"/>
      <c r="AL199" s="20" t="n"/>
      <c r="AM199" s="125" t="n"/>
      <c r="AN199" s="125" t="n"/>
      <c r="AO199" s="125" t="n"/>
      <c r="AP199" s="125" t="n"/>
      <c r="AQ199" s="125" t="n"/>
      <c r="AR199" s="125" t="n"/>
      <c r="AS199" s="125" t="n"/>
    </row>
    <row r="200" hidden="1" outlineLevel="2">
      <c r="A200" s="8" t="n"/>
      <c r="B200" s="14" t="n"/>
      <c r="C200" s="125" t="n"/>
      <c r="D200" s="125" t="n"/>
      <c r="E200" s="125" t="n"/>
      <c r="F200" s="125" t="n"/>
      <c r="G200" s="125" t="n"/>
      <c r="I200" s="21" t="n"/>
      <c r="M200" s="22" t="n"/>
      <c r="N200" s="125" t="n"/>
      <c r="O200" s="21" t="n"/>
      <c r="S200" s="22" t="n"/>
      <c r="T200" s="125" t="n"/>
      <c r="U200" s="125" t="n"/>
      <c r="V200" s="125" t="n"/>
      <c r="W200" s="125" t="n"/>
      <c r="X200" s="125" t="n"/>
      <c r="Y200" s="125" t="n"/>
      <c r="Z200" s="125" t="n"/>
      <c r="AB200" s="21" t="n"/>
      <c r="AF200" s="22" t="n"/>
      <c r="AG200" s="125" t="n"/>
      <c r="AH200" s="21" t="n"/>
      <c r="AL200" s="22" t="n"/>
      <c r="AM200" s="125" t="n"/>
      <c r="AN200" s="125" t="n"/>
      <c r="AO200" s="125" t="n"/>
      <c r="AP200" s="125" t="n"/>
      <c r="AQ200" s="125" t="n"/>
      <c r="AR200" s="125" t="n"/>
      <c r="AS200" s="125" t="n"/>
    </row>
    <row r="201" hidden="1" outlineLevel="2">
      <c r="A201" s="8" t="n"/>
      <c r="B201" s="14" t="n"/>
      <c r="C201" s="125" t="n"/>
      <c r="D201" s="125" t="n"/>
      <c r="E201" s="125" t="n"/>
      <c r="F201" s="125" t="n"/>
      <c r="G201" s="125" t="n"/>
      <c r="I201" s="21" t="n"/>
      <c r="M201" s="22" t="n"/>
      <c r="N201" s="125" t="n"/>
      <c r="O201" s="21" t="n"/>
      <c r="S201" s="22" t="n"/>
      <c r="T201" s="125" t="n"/>
      <c r="U201" s="125" t="n"/>
      <c r="V201" s="125" t="n"/>
      <c r="W201" s="125" t="n"/>
      <c r="X201" s="125" t="n"/>
      <c r="Y201" s="125" t="n"/>
      <c r="Z201" s="125" t="n"/>
      <c r="AB201" s="21" t="n"/>
      <c r="AF201" s="22" t="n"/>
      <c r="AG201" s="125" t="n"/>
      <c r="AH201" s="21" t="n"/>
      <c r="AL201" s="22" t="n"/>
      <c r="AM201" s="125" t="n"/>
      <c r="AN201" s="125" t="n"/>
      <c r="AO201" s="125" t="n"/>
      <c r="AP201" s="125" t="n"/>
      <c r="AQ201" s="125" t="n"/>
      <c r="AR201" s="125" t="n"/>
      <c r="AS201" s="125" t="n"/>
    </row>
    <row r="202" hidden="1" outlineLevel="2">
      <c r="A202" s="8" t="n"/>
      <c r="B202" s="14" t="n"/>
      <c r="C202" s="125" t="n"/>
      <c r="D202" s="125" t="n"/>
      <c r="E202" s="125" t="n"/>
      <c r="F202" s="125" t="n"/>
      <c r="G202" s="125" t="n"/>
      <c r="I202" s="23" t="n"/>
      <c r="J202" s="24" t="n"/>
      <c r="K202" s="24" t="n"/>
      <c r="L202" s="24" t="n"/>
      <c r="M202" s="25" t="n"/>
      <c r="N202" s="125" t="n"/>
      <c r="O202" s="23" t="n"/>
      <c r="P202" s="24" t="n"/>
      <c r="Q202" s="24" t="n"/>
      <c r="R202" s="24" t="n"/>
      <c r="S202" s="25" t="n"/>
      <c r="T202" s="125" t="n"/>
      <c r="U202" s="125" t="n"/>
      <c r="V202" s="125" t="n"/>
      <c r="W202" s="125" t="n"/>
      <c r="X202" s="125" t="n"/>
      <c r="Y202" s="125" t="n"/>
      <c r="Z202" s="125" t="n"/>
      <c r="AB202" s="23" t="n"/>
      <c r="AC202" s="24" t="n"/>
      <c r="AD202" s="24" t="n"/>
      <c r="AE202" s="24" t="n"/>
      <c r="AF202" s="25" t="n"/>
      <c r="AG202" s="125" t="n"/>
      <c r="AH202" s="23" t="n"/>
      <c r="AI202" s="24" t="n"/>
      <c r="AJ202" s="24" t="n"/>
      <c r="AK202" s="24" t="n"/>
      <c r="AL202" s="25" t="n"/>
      <c r="AM202" s="125" t="n"/>
      <c r="AN202" s="125" t="n"/>
      <c r="AO202" s="125" t="n"/>
      <c r="AP202" s="125" t="n"/>
      <c r="AQ202" s="125" t="n"/>
      <c r="AR202" s="125" t="n"/>
      <c r="AS202" s="125" t="n"/>
    </row>
    <row r="203" hidden="1" outlineLevel="2">
      <c r="A203" s="8" t="n"/>
      <c r="B203" s="14" t="n"/>
      <c r="C203" s="125" t="n"/>
      <c r="D203" s="125" t="n"/>
      <c r="E203" s="125" t="n"/>
      <c r="F203" s="125" t="n"/>
      <c r="G203" s="125" t="n"/>
      <c r="I203" s="68">
        <f>DADOS_INVOC!$JE$2</f>
        <v/>
      </c>
      <c r="J203" s="16" t="n"/>
      <c r="K203" s="16" t="n"/>
      <c r="L203" s="16" t="n"/>
      <c r="M203" s="17" t="n"/>
      <c r="N203" s="125" t="n"/>
      <c r="O203" s="89" t="n"/>
      <c r="P203" s="17" t="n"/>
      <c r="Q203" s="68">
        <f>DADOS_INVOC!$JG$2</f>
        <v/>
      </c>
      <c r="R203" s="16" t="n"/>
      <c r="S203" s="17" t="n"/>
      <c r="T203" s="125" t="n"/>
      <c r="U203" s="125" t="n"/>
      <c r="V203" s="125" t="n"/>
      <c r="W203" s="125" t="n"/>
      <c r="X203" s="125" t="n"/>
      <c r="Y203" s="125" t="n"/>
      <c r="Z203" s="125" t="n"/>
      <c r="AB203" s="68">
        <f>DADOS_INVOC!$JE$8</f>
        <v/>
      </c>
      <c r="AC203" s="16" t="n"/>
      <c r="AD203" s="16" t="n"/>
      <c r="AE203" s="16" t="n"/>
      <c r="AF203" s="17" t="n"/>
      <c r="AG203" s="125" t="n"/>
      <c r="AH203" s="89" t="n"/>
      <c r="AI203" s="17" t="n"/>
      <c r="AJ203" s="68">
        <f>DADOS_INVOC!$JG$8</f>
        <v/>
      </c>
      <c r="AK203" s="16" t="n"/>
      <c r="AL203" s="17" t="n"/>
      <c r="AM203" s="125" t="n"/>
      <c r="AN203" s="125" t="n"/>
      <c r="AO203" s="125" t="n"/>
      <c r="AP203" s="125" t="n"/>
      <c r="AQ203" s="125" t="n"/>
      <c r="AR203" s="125" t="n"/>
      <c r="AS203" s="125" t="n"/>
    </row>
    <row r="204" hidden="1" outlineLevel="2">
      <c r="A204" s="8" t="n"/>
      <c r="B204" s="14" t="n"/>
      <c r="C204" s="125" t="n"/>
      <c r="D204" s="125" t="n"/>
      <c r="E204" s="125" t="n"/>
      <c r="F204" s="125" t="n"/>
      <c r="G204" s="125" t="n"/>
      <c r="I204" s="89" t="inlineStr">
        <is>
          <t>Sua Ação Completa + a básica dela</t>
        </is>
      </c>
      <c r="J204" s="16" t="n"/>
      <c r="K204" s="16" t="n"/>
      <c r="L204" s="16" t="n"/>
      <c r="M204" s="17" t="n"/>
      <c r="N204" s="125" t="n"/>
      <c r="O204" s="133">
        <f>DADOS_INVOC!$JH$2</f>
        <v/>
      </c>
      <c r="P204" s="16" t="n"/>
      <c r="Q204" s="16" t="n"/>
      <c r="R204" s="16" t="n"/>
      <c r="S204" s="17" t="n"/>
      <c r="T204" s="125" t="n"/>
      <c r="U204" s="125" t="n"/>
      <c r="V204" s="125" t="n"/>
      <c r="W204" s="125" t="n"/>
      <c r="X204" s="125" t="n"/>
      <c r="Y204" s="125" t="n"/>
      <c r="Z204" s="125" t="n"/>
      <c r="AB204" s="89" t="inlineStr">
        <is>
          <t>Sua Ação Completa + a básica dela</t>
        </is>
      </c>
      <c r="AC204" s="16" t="n"/>
      <c r="AD204" s="16" t="n"/>
      <c r="AE204" s="16" t="n"/>
      <c r="AF204" s="17" t="n"/>
      <c r="AG204" s="125" t="n"/>
      <c r="AH204" s="133">
        <f>DADOS_INVOC!$JH$8</f>
        <v/>
      </c>
      <c r="AI204" s="16" t="n"/>
      <c r="AJ204" s="16" t="n"/>
      <c r="AK204" s="16" t="n"/>
      <c r="AL204" s="17" t="n"/>
      <c r="AM204" s="125" t="n"/>
      <c r="AN204" s="125" t="n"/>
      <c r="AO204" s="125" t="n"/>
      <c r="AP204" s="125" t="n"/>
      <c r="AQ204" s="125" t="n"/>
      <c r="AR204" s="125" t="n"/>
      <c r="AS204" s="125" t="n"/>
    </row>
    <row r="205">
      <c r="A205" s="8" t="n"/>
      <c r="B205" s="14" t="n"/>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row>
    <row r="206">
      <c r="A206" s="8" t="n"/>
      <c r="B206" s="14" t="n"/>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row>
    <row r="207">
      <c r="A207" s="8" t="n"/>
      <c r="B207" s="14" t="n"/>
      <c r="C207" s="125" t="n"/>
      <c r="D207" s="125" t="n"/>
      <c r="E207" s="125" t="n"/>
      <c r="F207" s="125" t="n"/>
      <c r="G207" s="125" t="n"/>
      <c r="H207" s="142" t="n">
        <v>2</v>
      </c>
      <c r="I207" s="143" t="n">
        <v>2</v>
      </c>
      <c r="J207" s="128">
        <f>DADOS_INVOC!$HE$3</f>
        <v/>
      </c>
      <c r="K207" s="19" t="n"/>
      <c r="L207" s="19" t="n"/>
      <c r="M207" s="19" t="n"/>
      <c r="N207" s="19" t="n"/>
      <c r="O207" s="19" t="n"/>
      <c r="P207" s="19" t="n"/>
      <c r="Q207" s="19" t="n"/>
      <c r="R207" s="19" t="n"/>
      <c r="S207" s="19" t="n"/>
      <c r="T207" s="19" t="n"/>
      <c r="U207" s="19" t="n"/>
      <c r="V207" s="19" t="n"/>
      <c r="W207" s="19" t="n"/>
      <c r="X207" s="19" t="n"/>
      <c r="Y207" s="20" t="n"/>
      <c r="Z207" s="125" t="n"/>
      <c r="AA207" s="142" t="n">
        <v>8</v>
      </c>
      <c r="AB207" s="143" t="n">
        <v>8</v>
      </c>
      <c r="AC207" s="128">
        <f>DADOS_INVOC!$HE$9</f>
        <v/>
      </c>
      <c r="AD207" s="19" t="n"/>
      <c r="AE207" s="19" t="n"/>
      <c r="AF207" s="19" t="n"/>
      <c r="AG207" s="19" t="n"/>
      <c r="AH207" s="19" t="n"/>
      <c r="AI207" s="19" t="n"/>
      <c r="AJ207" s="19" t="n"/>
      <c r="AK207" s="19" t="n"/>
      <c r="AL207" s="19" t="n"/>
      <c r="AM207" s="19" t="n"/>
      <c r="AN207" s="19" t="n"/>
      <c r="AO207" s="19" t="n"/>
      <c r="AP207" s="19" t="n"/>
      <c r="AQ207" s="19" t="n"/>
      <c r="AR207" s="20" t="n"/>
      <c r="AS207" s="125" t="n"/>
    </row>
    <row r="208">
      <c r="A208" s="8" t="n"/>
      <c r="B208" s="14" t="n"/>
      <c r="C208" s="125" t="n"/>
      <c r="D208" s="125" t="n"/>
      <c r="E208" s="125" t="n"/>
      <c r="F208" s="125" t="n"/>
      <c r="G208" s="125" t="n"/>
      <c r="I208" s="129" t="n"/>
      <c r="J208" s="23" t="n"/>
      <c r="K208" s="24" t="n"/>
      <c r="L208" s="24" t="n"/>
      <c r="M208" s="24" t="n"/>
      <c r="N208" s="24" t="n"/>
      <c r="O208" s="24" t="n"/>
      <c r="P208" s="24" t="n"/>
      <c r="Q208" s="24" t="n"/>
      <c r="R208" s="24" t="n"/>
      <c r="S208" s="24" t="n"/>
      <c r="T208" s="24" t="n"/>
      <c r="U208" s="24" t="n"/>
      <c r="V208" s="24" t="n"/>
      <c r="W208" s="24" t="n"/>
      <c r="X208" s="24" t="n"/>
      <c r="Y208" s="25" t="n"/>
      <c r="Z208" s="125" t="n"/>
      <c r="AB208" s="129" t="n"/>
      <c r="AC208" s="23" t="n"/>
      <c r="AD208" s="24" t="n"/>
      <c r="AE208" s="24" t="n"/>
      <c r="AF208" s="24" t="n"/>
      <c r="AG208" s="24" t="n"/>
      <c r="AH208" s="24" t="n"/>
      <c r="AI208" s="24" t="n"/>
      <c r="AJ208" s="24" t="n"/>
      <c r="AK208" s="24" t="n"/>
      <c r="AL208" s="24" t="n"/>
      <c r="AM208" s="24" t="n"/>
      <c r="AN208" s="24" t="n"/>
      <c r="AO208" s="24" t="n"/>
      <c r="AP208" s="24" t="n"/>
      <c r="AQ208" s="24" t="n"/>
      <c r="AR208" s="25" t="n"/>
      <c r="AS208" s="125" t="n"/>
    </row>
    <row r="209" hidden="1" outlineLevel="1">
      <c r="A209" s="8" t="n"/>
      <c r="B209" s="14" t="n"/>
      <c r="C209" s="125" t="n"/>
      <c r="D209" s="125" t="n"/>
      <c r="E209" s="125" t="n"/>
      <c r="F209" s="125" t="n"/>
      <c r="G209" s="125" t="n"/>
      <c r="H209" s="144">
        <f>DADOS_INVOC!$HF$3</f>
        <v/>
      </c>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44">
        <f>DADOS_INVOC!$HF$9</f>
        <v/>
      </c>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row>
    <row r="210" hidden="1" outlineLevel="1">
      <c r="A210" s="8" t="n"/>
      <c r="B210" s="14" t="n"/>
      <c r="C210" s="125" t="n"/>
      <c r="D210" s="125" t="n"/>
      <c r="E210" s="125" t="n"/>
      <c r="F210" s="125" t="n"/>
      <c r="G210" s="125" t="n"/>
      <c r="I210" s="55" t="inlineStr">
        <is>
          <t>NOME</t>
        </is>
      </c>
      <c r="J210" s="16" t="n"/>
      <c r="K210" s="16" t="n"/>
      <c r="L210" s="16" t="n"/>
      <c r="M210" s="17" t="n"/>
      <c r="N210" s="125" t="n"/>
      <c r="O210" s="55" t="inlineStr">
        <is>
          <t>NÍVEL</t>
        </is>
      </c>
      <c r="P210" s="55" t="inlineStr">
        <is>
          <t>CLASSE</t>
        </is>
      </c>
      <c r="Q210" s="55" t="inlineStr">
        <is>
          <t>MAESTRIA</t>
        </is>
      </c>
      <c r="R210" s="55" t="inlineStr">
        <is>
          <t>ENTRADA</t>
        </is>
      </c>
      <c r="S210" s="55" t="inlineStr">
        <is>
          <t>RETORNO</t>
        </is>
      </c>
      <c r="T210" s="125" t="n"/>
      <c r="U210" s="55" t="inlineStr">
        <is>
          <t>VIDA ATUAL</t>
        </is>
      </c>
      <c r="V210" s="55" t="inlineStr">
        <is>
          <t>VIDA MÁXIMA</t>
        </is>
      </c>
      <c r="W210" s="55" t="inlineStr">
        <is>
          <t>TEMPORÁRIA</t>
        </is>
      </c>
      <c r="X210" s="55" t="inlineStr">
        <is>
          <t>± PERDA / GANHO</t>
        </is>
      </c>
      <c r="Y210" s="55">
        <f>DADOS_INVOC!$HZ$3</f>
        <v/>
      </c>
      <c r="Z210" s="125" t="n"/>
      <c r="AB210" s="55" t="inlineStr">
        <is>
          <t>NOME</t>
        </is>
      </c>
      <c r="AC210" s="16" t="n"/>
      <c r="AD210" s="16" t="n"/>
      <c r="AE210" s="16" t="n"/>
      <c r="AF210" s="17" t="n"/>
      <c r="AG210" s="125" t="n"/>
      <c r="AH210" s="55" t="inlineStr">
        <is>
          <t>NÍVEL</t>
        </is>
      </c>
      <c r="AI210" s="55" t="inlineStr">
        <is>
          <t>CLASSE</t>
        </is>
      </c>
      <c r="AJ210" s="55" t="inlineStr">
        <is>
          <t>MAESTRIA</t>
        </is>
      </c>
      <c r="AK210" s="55" t="inlineStr">
        <is>
          <t>ENTRADA</t>
        </is>
      </c>
      <c r="AL210" s="55" t="inlineStr">
        <is>
          <t>RETORNO</t>
        </is>
      </c>
      <c r="AM210" s="125" t="n"/>
      <c r="AN210" s="55" t="inlineStr">
        <is>
          <t>VIDA ATUAL</t>
        </is>
      </c>
      <c r="AO210" s="55" t="inlineStr">
        <is>
          <t>VIDA MÁXIMA</t>
        </is>
      </c>
      <c r="AP210" s="55" t="inlineStr">
        <is>
          <t>TEMPORÁRIA</t>
        </is>
      </c>
      <c r="AQ210" s="55" t="inlineStr">
        <is>
          <t>± PERDA / GANHO</t>
        </is>
      </c>
      <c r="AR210" s="55">
        <f>DADOS_INVOC!$HZ$9</f>
        <v/>
      </c>
      <c r="AS210" s="125" t="n"/>
    </row>
    <row r="211" hidden="1" outlineLevel="1">
      <c r="A211" s="8" t="n"/>
      <c r="B211" s="14" t="n"/>
      <c r="C211" s="125" t="n"/>
      <c r="D211" s="125" t="n"/>
      <c r="E211" s="125" t="n"/>
      <c r="F211" s="125" t="n"/>
      <c r="G211" s="125" t="n"/>
      <c r="I211" s="84" t="n"/>
      <c r="J211" s="19" t="n"/>
      <c r="K211" s="19" t="n"/>
      <c r="L211" s="19" t="n"/>
      <c r="M211" s="20" t="n"/>
      <c r="N211" s="125" t="n"/>
      <c r="O211" s="98">
        <f>DADOS_INVOC!$FM$3</f>
        <v/>
      </c>
      <c r="P211" s="98">
        <f>DADOS_INVOC!$FN$3</f>
        <v/>
      </c>
      <c r="Q211" s="98">
        <f>DADOS_INVOC!$HG$3</f>
        <v/>
      </c>
      <c r="R211" s="98">
        <f>DADOS_INVOC!$HH$3</f>
        <v/>
      </c>
      <c r="S211" s="98">
        <f>DADOS_INVOC!$HI$3</f>
        <v/>
      </c>
      <c r="T211" s="125" t="n"/>
      <c r="U211" s="98">
        <f>DADOS_INVOC!$GE$3</f>
        <v/>
      </c>
      <c r="V211" s="98">
        <f>DADOS_INVOC!$GD$3</f>
        <v/>
      </c>
      <c r="W211" s="98" t="n"/>
      <c r="X211" s="98" t="n"/>
      <c r="Y211" s="98" t="n"/>
      <c r="Z211" s="125" t="n"/>
      <c r="AB211" s="84" t="n"/>
      <c r="AC211" s="19" t="n"/>
      <c r="AD211" s="19" t="n"/>
      <c r="AE211" s="19" t="n"/>
      <c r="AF211" s="20" t="n"/>
      <c r="AG211" s="125" t="n"/>
      <c r="AH211" s="98">
        <f>DADOS_INVOC!$FM$9</f>
        <v/>
      </c>
      <c r="AI211" s="98">
        <f>DADOS_INVOC!$FN$9</f>
        <v/>
      </c>
      <c r="AJ211" s="98">
        <f>DADOS_INVOC!$HG$9</f>
        <v/>
      </c>
      <c r="AK211" s="98">
        <f>DADOS_INVOC!$HH$9</f>
        <v/>
      </c>
      <c r="AL211" s="98">
        <f>DADOS_INVOC!$HI$9</f>
        <v/>
      </c>
      <c r="AM211" s="125" t="n"/>
      <c r="AN211" s="98">
        <f>DADOS_INVOC!$GE$9</f>
        <v/>
      </c>
      <c r="AO211" s="98">
        <f>DADOS_INVOC!$GD$9</f>
        <v/>
      </c>
      <c r="AP211" s="98" t="n"/>
      <c r="AQ211" s="98" t="n"/>
      <c r="AR211" s="98" t="n"/>
      <c r="AS211" s="125" t="n"/>
    </row>
    <row r="212" hidden="1" outlineLevel="1">
      <c r="A212" s="8" t="n"/>
      <c r="B212" s="14" t="n"/>
      <c r="C212" s="125" t="n"/>
      <c r="D212" s="125" t="n"/>
      <c r="E212" s="125" t="n"/>
      <c r="F212" s="125" t="n"/>
      <c r="G212" s="125" t="n"/>
      <c r="I212" s="23" t="n"/>
      <c r="J212" s="24" t="n"/>
      <c r="K212" s="24" t="n"/>
      <c r="L212" s="24" t="n"/>
      <c r="M212" s="25" t="n"/>
      <c r="N212" s="125" t="n"/>
      <c r="O212" s="129" t="n"/>
      <c r="P212" s="129" t="n"/>
      <c r="Q212" s="129" t="n"/>
      <c r="R212" s="129" t="n"/>
      <c r="S212" s="129" t="n"/>
      <c r="T212" s="125" t="n"/>
      <c r="U212" s="129" t="n"/>
      <c r="V212" s="129" t="n"/>
      <c r="W212" s="129" t="n"/>
      <c r="X212" s="129" t="n"/>
      <c r="Y212" s="129" t="n"/>
      <c r="Z212" s="125" t="n"/>
      <c r="AB212" s="23" t="n"/>
      <c r="AC212" s="24" t="n"/>
      <c r="AD212" s="24" t="n"/>
      <c r="AE212" s="24" t="n"/>
      <c r="AF212" s="25" t="n"/>
      <c r="AG212" s="125" t="n"/>
      <c r="AH212" s="129" t="n"/>
      <c r="AI212" s="129" t="n"/>
      <c r="AJ212" s="129" t="n"/>
      <c r="AK212" s="129" t="n"/>
      <c r="AL212" s="129" t="n"/>
      <c r="AM212" s="125" t="n"/>
      <c r="AN212" s="129" t="n"/>
      <c r="AO212" s="129" t="n"/>
      <c r="AP212" s="129" t="n"/>
      <c r="AQ212" s="129" t="n"/>
      <c r="AR212" s="129" t="n"/>
      <c r="AS212" s="125" t="n"/>
    </row>
    <row r="213" hidden="1" outlineLevel="1">
      <c r="A213" s="8" t="n"/>
      <c r="B213" s="14" t="n"/>
      <c r="C213" s="125" t="n"/>
      <c r="D213" s="125" t="n"/>
      <c r="E213" s="125" t="n"/>
      <c r="F213" s="125" t="n"/>
      <c r="G213" s="125" t="n"/>
      <c r="I213" s="145" t="inlineStr">
        <is>
          <t>FOTO
式神</t>
        </is>
      </c>
      <c r="J213" s="19" t="n"/>
      <c r="K213" s="19" t="n"/>
      <c r="L213" s="19" t="n"/>
      <c r="M213" s="20" t="n"/>
      <c r="N213" s="125" t="n"/>
      <c r="O213" s="125" t="n"/>
      <c r="P213" s="125" t="n"/>
      <c r="Q213" s="125" t="n"/>
      <c r="R213" s="125" t="n"/>
      <c r="S213" s="125" t="n"/>
      <c r="T213" s="125" t="n"/>
      <c r="U213" s="134">
        <f>IFERROR(SPARKLINE(DADOS_INVOC!$GF$3,{"charttype","bar";"max",MAX(1,DADOS_INVOC!$GD$3);"color1",DADOS_INVOC!$CZ$12}),"")</f>
        <v/>
      </c>
      <c r="V213" s="16" t="n"/>
      <c r="W213" s="16" t="n"/>
      <c r="X213" s="16" t="n"/>
      <c r="Y213" s="17" t="n"/>
      <c r="Z213" s="125" t="n"/>
      <c r="AB213" s="145" t="inlineStr">
        <is>
          <t>FOTO
式神</t>
        </is>
      </c>
      <c r="AC213" s="19" t="n"/>
      <c r="AD213" s="19" t="n"/>
      <c r="AE213" s="19" t="n"/>
      <c r="AF213" s="20" t="n"/>
      <c r="AG213" s="125" t="n"/>
      <c r="AH213" s="125" t="n"/>
      <c r="AI213" s="125" t="n"/>
      <c r="AJ213" s="125" t="n"/>
      <c r="AK213" s="125" t="n"/>
      <c r="AL213" s="125" t="n"/>
      <c r="AM213" s="125" t="n"/>
      <c r="AN213" s="134">
        <f>IFERROR(SPARKLINE(DADOS_INVOC!$GF$9,{"charttype","bar";"max",MAX(1,DADOS_INVOC!$GD$9);"color1",DADOS_INVOC!$CZ$12}),"")</f>
        <v/>
      </c>
      <c r="AO213" s="16" t="n"/>
      <c r="AP213" s="16" t="n"/>
      <c r="AQ213" s="16" t="n"/>
      <c r="AR213" s="17" t="n"/>
      <c r="AS213" s="125" t="n"/>
    </row>
    <row r="214" hidden="1" outlineLevel="1">
      <c r="A214" s="8" t="n"/>
      <c r="B214" s="14" t="n"/>
      <c r="C214" s="125" t="n"/>
      <c r="D214" s="125" t="n"/>
      <c r="E214" s="125" t="n"/>
      <c r="F214" s="125" t="n"/>
      <c r="G214" s="125" t="n"/>
      <c r="I214" s="21" t="n"/>
      <c r="M214" s="22" t="n"/>
      <c r="N214" s="125" t="n"/>
      <c r="O214" s="55">
        <f>DADOS_INVOC!$HJ$3</f>
        <v/>
      </c>
      <c r="P214" s="16" t="n"/>
      <c r="Q214" s="16" t="n"/>
      <c r="R214" s="16" t="n"/>
      <c r="S214" s="17" t="n"/>
      <c r="T214" s="125" t="n"/>
      <c r="U214" s="125" t="n"/>
      <c r="V214" s="125" t="n"/>
      <c r="W214" s="125" t="n"/>
      <c r="X214" s="125" t="n"/>
      <c r="Y214" s="125" t="n"/>
      <c r="Z214" s="125" t="n"/>
      <c r="AB214" s="21" t="n"/>
      <c r="AF214" s="22" t="n"/>
      <c r="AG214" s="125" t="n"/>
      <c r="AH214" s="55">
        <f>DADOS_INVOC!$HJ$9</f>
        <v/>
      </c>
      <c r="AI214" s="16" t="n"/>
      <c r="AJ214" s="16" t="n"/>
      <c r="AK214" s="16" t="n"/>
      <c r="AL214" s="17" t="n"/>
      <c r="AM214" s="125" t="n"/>
      <c r="AN214" s="125" t="n"/>
      <c r="AO214" s="125" t="n"/>
      <c r="AP214" s="125" t="n"/>
      <c r="AQ214" s="125" t="n"/>
      <c r="AR214" s="125" t="n"/>
      <c r="AS214" s="125" t="n"/>
    </row>
    <row r="215" hidden="1" outlineLevel="1">
      <c r="A215" s="8" t="n"/>
      <c r="B215" s="14" t="n"/>
      <c r="C215" s="125" t="n"/>
      <c r="D215" s="125" t="n"/>
      <c r="E215" s="125" t="n"/>
      <c r="F215" s="125" t="n"/>
      <c r="G215" s="125" t="n"/>
      <c r="I215" s="21" t="n"/>
      <c r="M215" s="22" t="n"/>
      <c r="N215" s="125" t="n"/>
      <c r="O215" s="55" t="inlineStr">
        <is>
          <t>FOR</t>
        </is>
      </c>
      <c r="P215" s="55" t="inlineStr">
        <is>
          <t>DES</t>
        </is>
      </c>
      <c r="Q215" s="55" t="inlineStr">
        <is>
          <t>CON</t>
        </is>
      </c>
      <c r="R215" s="55" t="inlineStr">
        <is>
          <t>INT</t>
        </is>
      </c>
      <c r="S215" s="55" t="inlineStr">
        <is>
          <t>ESS</t>
        </is>
      </c>
      <c r="T215" s="125" t="n"/>
      <c r="U215" s="55" t="inlineStr">
        <is>
          <t>ALMA</t>
        </is>
      </c>
      <c r="V215" s="55" t="inlineStr">
        <is>
          <t>INTEGRIDADE ATUAL</t>
        </is>
      </c>
      <c r="W215" s="55" t="inlineStr">
        <is>
          <t>INTEGRIDADE MÁXIMA</t>
        </is>
      </c>
      <c r="X215" s="55" t="inlineStr">
        <is>
          <t>ESTÁGIO</t>
        </is>
      </c>
      <c r="Y215" s="17" t="n"/>
      <c r="Z215" s="125" t="n"/>
      <c r="AB215" s="21" t="n"/>
      <c r="AF215" s="22" t="n"/>
      <c r="AG215" s="125" t="n"/>
      <c r="AH215" s="55" t="inlineStr">
        <is>
          <t>FOR</t>
        </is>
      </c>
      <c r="AI215" s="55" t="inlineStr">
        <is>
          <t>DES</t>
        </is>
      </c>
      <c r="AJ215" s="55" t="inlineStr">
        <is>
          <t>CON</t>
        </is>
      </c>
      <c r="AK215" s="55" t="inlineStr">
        <is>
          <t>INT</t>
        </is>
      </c>
      <c r="AL215" s="55" t="inlineStr">
        <is>
          <t>ESS</t>
        </is>
      </c>
      <c r="AM215" s="125" t="n"/>
      <c r="AN215" s="55" t="inlineStr">
        <is>
          <t>ALMA</t>
        </is>
      </c>
      <c r="AO215" s="55" t="inlineStr">
        <is>
          <t>INTEGRIDADE ATUAL</t>
        </is>
      </c>
      <c r="AP215" s="55" t="inlineStr">
        <is>
          <t>INTEGRIDADE MÁXIMA</t>
        </is>
      </c>
      <c r="AQ215" s="55" t="inlineStr">
        <is>
          <t>ESTÁGIO</t>
        </is>
      </c>
      <c r="AR215" s="17" t="n"/>
      <c r="AS215" s="125" t="n"/>
    </row>
    <row r="216" hidden="1" outlineLevel="1">
      <c r="A216" s="8" t="n"/>
      <c r="B216" s="14" t="n"/>
      <c r="C216" s="125" t="n"/>
      <c r="D216" s="125" t="n"/>
      <c r="E216" s="125" t="n"/>
      <c r="F216" s="125" t="n"/>
      <c r="G216" s="125" t="n"/>
      <c r="I216" s="21" t="n"/>
      <c r="M216" s="22" t="n"/>
      <c r="N216" s="125" t="n"/>
      <c r="O216" s="98">
        <f>DADOS_INVOC!$FP$3</f>
        <v/>
      </c>
      <c r="P216" s="98">
        <f>DADOS_INVOC!$FQ$3</f>
        <v/>
      </c>
      <c r="Q216" s="98">
        <f>DADOS_INVOC!$FR$3</f>
        <v/>
      </c>
      <c r="R216" s="98">
        <f>DADOS_INVOC!$FS$3</f>
        <v/>
      </c>
      <c r="S216" s="98">
        <f>DADOS_INVOC!$FT$3</f>
        <v/>
      </c>
      <c r="T216" s="125" t="n"/>
      <c r="U216" s="89" t="inlineStr">
        <is>
          <t>Com alma</t>
        </is>
      </c>
      <c r="V216" s="98">
        <f>DADOS_INVOC!$GH$3</f>
        <v/>
      </c>
      <c r="W216" s="98">
        <f>DADOS_INVOC!$GJ$3</f>
        <v/>
      </c>
      <c r="X216" s="89">
        <f>DADOS_INVOC!$GK$3</f>
        <v/>
      </c>
      <c r="Y216" s="20" t="n"/>
      <c r="Z216" s="125" t="n"/>
      <c r="AB216" s="21" t="n"/>
      <c r="AF216" s="22" t="n"/>
      <c r="AG216" s="125" t="n"/>
      <c r="AH216" s="98">
        <f>DADOS_INVOC!$FP$9</f>
        <v/>
      </c>
      <c r="AI216" s="98">
        <f>DADOS_INVOC!$FQ$9</f>
        <v/>
      </c>
      <c r="AJ216" s="98">
        <f>DADOS_INVOC!$FR$9</f>
        <v/>
      </c>
      <c r="AK216" s="98">
        <f>DADOS_INVOC!$FS$9</f>
        <v/>
      </c>
      <c r="AL216" s="98">
        <f>DADOS_INVOC!$FT$9</f>
        <v/>
      </c>
      <c r="AM216" s="125" t="n"/>
      <c r="AN216" s="89" t="inlineStr">
        <is>
          <t>Com alma</t>
        </is>
      </c>
      <c r="AO216" s="98">
        <f>DADOS_INVOC!$GH$9</f>
        <v/>
      </c>
      <c r="AP216" s="98">
        <f>DADOS_INVOC!$GJ$9</f>
        <v/>
      </c>
      <c r="AQ216" s="89">
        <f>DADOS_INVOC!$GK$9</f>
        <v/>
      </c>
      <c r="AR216" s="20" t="n"/>
      <c r="AS216" s="125" t="n"/>
    </row>
    <row r="217" hidden="1" outlineLevel="1">
      <c r="A217" s="8" t="n"/>
      <c r="B217" s="14" t="n"/>
      <c r="C217" s="125" t="n"/>
      <c r="D217" s="125" t="n"/>
      <c r="E217" s="125" t="n"/>
      <c r="F217" s="125" t="n"/>
      <c r="G217" s="125" t="n"/>
      <c r="I217" s="21" t="n"/>
      <c r="M217" s="22" t="n"/>
      <c r="N217" s="125" t="n"/>
      <c r="O217" s="129" t="n"/>
      <c r="P217" s="129" t="n"/>
      <c r="Q217" s="129" t="n"/>
      <c r="R217" s="129" t="n"/>
      <c r="S217" s="129" t="n"/>
      <c r="T217" s="125" t="n"/>
      <c r="U217" s="129" t="n"/>
      <c r="V217" s="129" t="n"/>
      <c r="W217" s="129" t="n"/>
      <c r="X217" s="23" t="n"/>
      <c r="Y217" s="25" t="n"/>
      <c r="Z217" s="125" t="n"/>
      <c r="AB217" s="21" t="n"/>
      <c r="AF217" s="22" t="n"/>
      <c r="AG217" s="125" t="n"/>
      <c r="AH217" s="129" t="n"/>
      <c r="AI217" s="129" t="n"/>
      <c r="AJ217" s="129" t="n"/>
      <c r="AK217" s="129" t="n"/>
      <c r="AL217" s="129" t="n"/>
      <c r="AM217" s="125" t="n"/>
      <c r="AN217" s="129" t="n"/>
      <c r="AO217" s="129" t="n"/>
      <c r="AP217" s="129" t="n"/>
      <c r="AQ217" s="23" t="n"/>
      <c r="AR217" s="25" t="n"/>
      <c r="AS217" s="125" t="n"/>
    </row>
    <row r="218" hidden="1" outlineLevel="1">
      <c r="A218" s="8" t="n"/>
      <c r="B218" s="14" t="n"/>
      <c r="C218" s="125" t="n"/>
      <c r="D218" s="125" t="n"/>
      <c r="E218" s="125" t="n"/>
      <c r="F218" s="125" t="n"/>
      <c r="G218" s="125" t="n"/>
      <c r="I218" s="21" t="n"/>
      <c r="M218" s="22" t="n"/>
      <c r="N218" s="125" t="n"/>
      <c r="O218" s="146" t="n">
        <v>0</v>
      </c>
      <c r="P218" s="146" t="n">
        <v>0</v>
      </c>
      <c r="Q218" s="146" t="n">
        <v>0</v>
      </c>
      <c r="R218" s="146" t="n">
        <v>0</v>
      </c>
      <c r="S218" s="146" t="n">
        <v>0</v>
      </c>
      <c r="T218" s="125" t="n"/>
      <c r="U218" s="125" t="n"/>
      <c r="V218" s="125" t="n"/>
      <c r="W218" s="125" t="n"/>
      <c r="X218" s="125" t="n"/>
      <c r="Y218" s="125" t="n"/>
      <c r="Z218" s="125" t="n"/>
      <c r="AB218" s="21" t="n"/>
      <c r="AF218" s="22" t="n"/>
      <c r="AG218" s="125" t="n"/>
      <c r="AH218" s="146" t="n">
        <v>0</v>
      </c>
      <c r="AI218" s="146" t="n">
        <v>0</v>
      </c>
      <c r="AJ218" s="146" t="n">
        <v>0</v>
      </c>
      <c r="AK218" s="146" t="n">
        <v>0</v>
      </c>
      <c r="AL218" s="146" t="n">
        <v>0</v>
      </c>
      <c r="AM218" s="125" t="n"/>
      <c r="AN218" s="125" t="n"/>
      <c r="AO218" s="125" t="n"/>
      <c r="AP218" s="125" t="n"/>
      <c r="AQ218" s="125" t="n"/>
      <c r="AR218" s="125" t="n"/>
      <c r="AS218" s="125" t="n"/>
    </row>
    <row r="219" hidden="1" outlineLevel="1">
      <c r="A219" s="8" t="n"/>
      <c r="B219" s="14" t="n"/>
      <c r="C219" s="125" t="n"/>
      <c r="D219" s="125" t="n"/>
      <c r="E219" s="125" t="n"/>
      <c r="F219" s="125" t="n"/>
      <c r="G219" s="125" t="n"/>
      <c r="I219" s="21" t="n"/>
      <c r="M219" s="22" t="n"/>
      <c r="N219" s="125" t="n"/>
      <c r="O219" s="147" t="n">
        <v>0</v>
      </c>
      <c r="P219" s="147" t="n">
        <v>0</v>
      </c>
      <c r="Q219" s="147" t="n">
        <v>0</v>
      </c>
      <c r="R219" s="147" t="n">
        <v>0</v>
      </c>
      <c r="S219" s="147" t="n">
        <v>0</v>
      </c>
      <c r="T219" s="125" t="n"/>
      <c r="U219" s="55" t="inlineStr">
        <is>
          <t>CONDIÇÕES E USOS GASTOS</t>
        </is>
      </c>
      <c r="V219" s="16" t="n"/>
      <c r="W219" s="16" t="n"/>
      <c r="X219" s="16" t="n"/>
      <c r="Y219" s="17" t="n"/>
      <c r="Z219" s="125" t="n"/>
      <c r="AB219" s="21" t="n"/>
      <c r="AF219" s="22" t="n"/>
      <c r="AG219" s="125" t="n"/>
      <c r="AH219" s="147" t="n">
        <v>0</v>
      </c>
      <c r="AI219" s="147" t="n">
        <v>0</v>
      </c>
      <c r="AJ219" s="147" t="n">
        <v>0</v>
      </c>
      <c r="AK219" s="147" t="n">
        <v>0</v>
      </c>
      <c r="AL219" s="147" t="n">
        <v>0</v>
      </c>
      <c r="AM219" s="125" t="n"/>
      <c r="AN219" s="55" t="inlineStr">
        <is>
          <t>CONDIÇÕES E USOS GASTOS</t>
        </is>
      </c>
      <c r="AO219" s="16" t="n"/>
      <c r="AP219" s="16" t="n"/>
      <c r="AQ219" s="16" t="n"/>
      <c r="AR219" s="17" t="n"/>
      <c r="AS219" s="125" t="n"/>
    </row>
    <row r="220" hidden="1" outlineLevel="1">
      <c r="A220" s="8" t="n"/>
      <c r="B220" s="14" t="n"/>
      <c r="C220" s="125" t="n"/>
      <c r="D220" s="125" t="n"/>
      <c r="E220" s="125" t="n"/>
      <c r="F220" s="125" t="n"/>
      <c r="G220" s="125" t="n"/>
      <c r="I220" s="21" t="n"/>
      <c r="M220" s="22" t="n"/>
      <c r="N220" s="125" t="n"/>
      <c r="O220" s="125" t="n"/>
      <c r="P220" s="125" t="n"/>
      <c r="Q220" s="125" t="n"/>
      <c r="R220" s="125" t="n"/>
      <c r="S220" s="125" t="n"/>
      <c r="T220" s="125" t="n"/>
      <c r="U220" s="121" t="n"/>
      <c r="V220" s="19" t="n"/>
      <c r="W220" s="19" t="n"/>
      <c r="X220" s="19" t="n"/>
      <c r="Y220" s="20" t="n"/>
      <c r="Z220" s="125" t="n"/>
      <c r="AB220" s="21" t="n"/>
      <c r="AF220" s="22" t="n"/>
      <c r="AG220" s="125" t="n"/>
      <c r="AH220" s="125" t="n"/>
      <c r="AI220" s="125" t="n"/>
      <c r="AJ220" s="125" t="n"/>
      <c r="AK220" s="125" t="n"/>
      <c r="AL220" s="125" t="n"/>
      <c r="AM220" s="125" t="n"/>
      <c r="AN220" s="121" t="n"/>
      <c r="AO220" s="19" t="n"/>
      <c r="AP220" s="19" t="n"/>
      <c r="AQ220" s="19" t="n"/>
      <c r="AR220" s="20" t="n"/>
      <c r="AS220" s="125" t="n"/>
    </row>
    <row r="221" hidden="1" outlineLevel="1">
      <c r="A221" s="8" t="n"/>
      <c r="B221" s="14" t="n"/>
      <c r="C221" s="125" t="n"/>
      <c r="D221" s="125" t="n"/>
      <c r="E221" s="125" t="n"/>
      <c r="F221" s="125" t="n"/>
      <c r="G221" s="125" t="n"/>
      <c r="I221" s="21" t="n"/>
      <c r="M221" s="22" t="n"/>
      <c r="N221" s="125" t="n"/>
      <c r="O221" s="55" t="inlineStr">
        <is>
          <t>ATAQUE</t>
        </is>
      </c>
      <c r="P221" s="55" t="inlineStr">
        <is>
          <t>CD</t>
        </is>
      </c>
      <c r="Q221" s="55" t="inlineStr">
        <is>
          <t>DEFESA</t>
        </is>
      </c>
      <c r="R221" s="55" t="inlineStr">
        <is>
          <t>VIDA MÁXIMA</t>
        </is>
      </c>
      <c r="S221" s="55" t="inlineStr">
        <is>
          <t>DESLOCAMENTO</t>
        </is>
      </c>
      <c r="T221" s="125" t="n"/>
      <c r="U221" s="21" t="n"/>
      <c r="Y221" s="22" t="n"/>
      <c r="Z221" s="125" t="n"/>
      <c r="AB221" s="21" t="n"/>
      <c r="AF221" s="22" t="n"/>
      <c r="AG221" s="125" t="n"/>
      <c r="AH221" s="55" t="inlineStr">
        <is>
          <t>ATAQUE</t>
        </is>
      </c>
      <c r="AI221" s="55" t="inlineStr">
        <is>
          <t>CD</t>
        </is>
      </c>
      <c r="AJ221" s="55" t="inlineStr">
        <is>
          <t>DEFESA</t>
        </is>
      </c>
      <c r="AK221" s="55" t="inlineStr">
        <is>
          <t>VIDA MÁXIMA</t>
        </is>
      </c>
      <c r="AL221" s="55" t="inlineStr">
        <is>
          <t>DESLOCAMENTO</t>
        </is>
      </c>
      <c r="AM221" s="125" t="n"/>
      <c r="AN221" s="21" t="n"/>
      <c r="AR221" s="22" t="n"/>
      <c r="AS221" s="125" t="n"/>
    </row>
    <row r="222" hidden="1" outlineLevel="1">
      <c r="A222" s="8" t="n"/>
      <c r="B222" s="14" t="n"/>
      <c r="C222" s="125" t="n"/>
      <c r="D222" s="125" t="n"/>
      <c r="E222" s="125" t="n"/>
      <c r="F222" s="125" t="n"/>
      <c r="G222" s="125" t="n"/>
      <c r="I222" s="21" t="n"/>
      <c r="M222" s="22" t="n"/>
      <c r="N222" s="125" t="n"/>
      <c r="O222" s="98">
        <f>DADOS_INVOC!$HK$3</f>
        <v/>
      </c>
      <c r="P222" s="98">
        <f>DADOS_INVOC!$HL$3</f>
        <v/>
      </c>
      <c r="Q222" s="98">
        <f>DADOS_INVOC!$GB$3</f>
        <v/>
      </c>
      <c r="R222" s="98">
        <f>DADOS_INVOC!$GD$3</f>
        <v/>
      </c>
      <c r="S222" s="98">
        <f>DADOS_INVOC!$HM$3</f>
        <v/>
      </c>
      <c r="T222" s="125" t="n"/>
      <c r="U222" s="23" t="n"/>
      <c r="V222" s="24" t="n"/>
      <c r="W222" s="24" t="n"/>
      <c r="X222" s="24" t="n"/>
      <c r="Y222" s="25" t="n"/>
      <c r="Z222" s="125" t="n"/>
      <c r="AB222" s="21" t="n"/>
      <c r="AF222" s="22" t="n"/>
      <c r="AG222" s="125" t="n"/>
      <c r="AH222" s="98">
        <f>DADOS_INVOC!$HK$9</f>
        <v/>
      </c>
      <c r="AI222" s="98">
        <f>DADOS_INVOC!$HL$9</f>
        <v/>
      </c>
      <c r="AJ222" s="98">
        <f>DADOS_INVOC!$GB$9</f>
        <v/>
      </c>
      <c r="AK222" s="98">
        <f>DADOS_INVOC!$GD$9</f>
        <v/>
      </c>
      <c r="AL222" s="98">
        <f>DADOS_INVOC!$HM$9</f>
        <v/>
      </c>
      <c r="AM222" s="125" t="n"/>
      <c r="AN222" s="23" t="n"/>
      <c r="AO222" s="24" t="n"/>
      <c r="AP222" s="24" t="n"/>
      <c r="AQ222" s="24" t="n"/>
      <c r="AR222" s="25" t="n"/>
      <c r="AS222" s="125" t="n"/>
    </row>
    <row r="223" hidden="1" outlineLevel="1">
      <c r="A223" s="8" t="n"/>
      <c r="B223" s="14" t="n"/>
      <c r="C223" s="125" t="n"/>
      <c r="D223" s="125" t="n"/>
      <c r="E223" s="125" t="n"/>
      <c r="F223" s="125" t="n"/>
      <c r="G223" s="125" t="n"/>
      <c r="I223" s="21" t="n"/>
      <c r="M223" s="22" t="n"/>
      <c r="N223" s="125" t="n"/>
      <c r="O223" s="129" t="n"/>
      <c r="P223" s="129" t="n"/>
      <c r="Q223" s="129" t="n"/>
      <c r="R223" s="129" t="n"/>
      <c r="S223" s="129" t="n"/>
      <c r="T223" s="125" t="n"/>
      <c r="U223" s="125" t="n"/>
      <c r="V223" s="125" t="n"/>
      <c r="W223" s="125" t="n"/>
      <c r="X223" s="125" t="n"/>
      <c r="Y223" s="125" t="n"/>
      <c r="Z223" s="125" t="n"/>
      <c r="AB223" s="21" t="n"/>
      <c r="AF223" s="22" t="n"/>
      <c r="AG223" s="125" t="n"/>
      <c r="AH223" s="129" t="n"/>
      <c r="AI223" s="129" t="n"/>
      <c r="AJ223" s="129" t="n"/>
      <c r="AK223" s="129" t="n"/>
      <c r="AL223" s="129" t="n"/>
      <c r="AM223" s="125" t="n"/>
      <c r="AN223" s="125" t="n"/>
      <c r="AO223" s="125" t="n"/>
      <c r="AP223" s="125" t="n"/>
      <c r="AQ223" s="125" t="n"/>
      <c r="AR223" s="125" t="n"/>
      <c r="AS223" s="125" t="n"/>
    </row>
    <row r="224" hidden="1" outlineLevel="1">
      <c r="A224" s="8" t="n"/>
      <c r="B224" s="14" t="n"/>
      <c r="C224" s="125" t="n"/>
      <c r="D224" s="125" t="n"/>
      <c r="E224" s="125" t="n"/>
      <c r="F224" s="125" t="n"/>
      <c r="G224" s="125" t="n"/>
      <c r="I224" s="21" t="n"/>
      <c r="M224" s="22" t="n"/>
      <c r="N224" s="125" t="n"/>
      <c r="O224" s="147" t="n">
        <v>0</v>
      </c>
      <c r="P224" s="147" t="n">
        <v>0</v>
      </c>
      <c r="Q224" s="147" t="n">
        <v>0</v>
      </c>
      <c r="R224" s="147" t="n">
        <v>0</v>
      </c>
      <c r="S224" s="147" t="n">
        <v>0</v>
      </c>
      <c r="T224" s="125" t="n"/>
      <c r="U224" s="55" t="inlineStr">
        <is>
          <t>ANOTAÇÕES</t>
        </is>
      </c>
      <c r="V224" s="16" t="n"/>
      <c r="W224" s="16" t="n"/>
      <c r="X224" s="16" t="n"/>
      <c r="Y224" s="17" t="n"/>
      <c r="Z224" s="125" t="n"/>
      <c r="AB224" s="21" t="n"/>
      <c r="AF224" s="22" t="n"/>
      <c r="AG224" s="125" t="n"/>
      <c r="AH224" s="147" t="n">
        <v>0</v>
      </c>
      <c r="AI224" s="147" t="n">
        <v>0</v>
      </c>
      <c r="AJ224" s="147" t="n">
        <v>0</v>
      </c>
      <c r="AK224" s="147" t="n">
        <v>0</v>
      </c>
      <c r="AL224" s="147" t="n">
        <v>0</v>
      </c>
      <c r="AM224" s="125" t="n"/>
      <c r="AN224" s="55" t="inlineStr">
        <is>
          <t>ANOTAÇÕES</t>
        </is>
      </c>
      <c r="AO224" s="16" t="n"/>
      <c r="AP224" s="16" t="n"/>
      <c r="AQ224" s="16" t="n"/>
      <c r="AR224" s="17" t="n"/>
      <c r="AS224" s="125" t="n"/>
    </row>
    <row r="225" hidden="1" outlineLevel="1">
      <c r="A225" s="8" t="n"/>
      <c r="B225" s="14" t="n"/>
      <c r="C225" s="125" t="n"/>
      <c r="D225" s="125" t="n"/>
      <c r="E225" s="125" t="n"/>
      <c r="F225" s="125" t="n"/>
      <c r="G225" s="125" t="n"/>
      <c r="I225" s="21" t="n"/>
      <c r="M225" s="22" t="n"/>
      <c r="N225" s="125" t="n"/>
      <c r="O225" s="125" t="n"/>
      <c r="P225" s="125" t="n"/>
      <c r="Q225" s="125" t="n"/>
      <c r="R225" s="125" t="n"/>
      <c r="S225" s="125" t="n"/>
      <c r="T225" s="125" t="n"/>
      <c r="U225" s="121" t="n"/>
      <c r="V225" s="19" t="n"/>
      <c r="W225" s="19" t="n"/>
      <c r="X225" s="19" t="n"/>
      <c r="Y225" s="20" t="n"/>
      <c r="Z225" s="125" t="n"/>
      <c r="AB225" s="21" t="n"/>
      <c r="AF225" s="22" t="n"/>
      <c r="AG225" s="125" t="n"/>
      <c r="AH225" s="125" t="n"/>
      <c r="AI225" s="125" t="n"/>
      <c r="AJ225" s="125" t="n"/>
      <c r="AK225" s="125" t="n"/>
      <c r="AL225" s="125" t="n"/>
      <c r="AM225" s="125" t="n"/>
      <c r="AN225" s="121" t="n"/>
      <c r="AO225" s="19" t="n"/>
      <c r="AP225" s="19" t="n"/>
      <c r="AQ225" s="19" t="n"/>
      <c r="AR225" s="20" t="n"/>
      <c r="AS225" s="125" t="n"/>
    </row>
    <row r="226" hidden="1" outlineLevel="1">
      <c r="A226" s="8" t="n"/>
      <c r="B226" s="14" t="n"/>
      <c r="C226" s="125" t="n"/>
      <c r="D226" s="125" t="n"/>
      <c r="E226" s="125" t="n"/>
      <c r="F226" s="125" t="n"/>
      <c r="G226" s="125" t="n"/>
      <c r="I226" s="21" t="n"/>
      <c r="M226" s="22" t="n"/>
      <c r="N226" s="125" t="n"/>
      <c r="O226" s="55" t="inlineStr">
        <is>
          <t>FÍSICO</t>
        </is>
      </c>
      <c r="P226" s="55" t="inlineStr">
        <is>
          <t>VIGOR</t>
        </is>
      </c>
      <c r="Q226" s="55" t="inlineStr">
        <is>
          <t>INTELECTO</t>
        </is>
      </c>
      <c r="R226" s="55" t="inlineStr">
        <is>
          <t>ESPÍRITO</t>
        </is>
      </c>
      <c r="S226" s="55" t="inlineStr">
        <is>
          <t>TR TREINADO</t>
        </is>
      </c>
      <c r="T226" s="125" t="n"/>
      <c r="U226" s="21" t="n"/>
      <c r="Y226" s="22" t="n"/>
      <c r="Z226" s="125" t="n"/>
      <c r="AB226" s="21" t="n"/>
      <c r="AF226" s="22" t="n"/>
      <c r="AG226" s="125" t="n"/>
      <c r="AH226" s="55" t="inlineStr">
        <is>
          <t>FÍSICO</t>
        </is>
      </c>
      <c r="AI226" s="55" t="inlineStr">
        <is>
          <t>VIGOR</t>
        </is>
      </c>
      <c r="AJ226" s="55" t="inlineStr">
        <is>
          <t>INTELECTO</t>
        </is>
      </c>
      <c r="AK226" s="55" t="inlineStr">
        <is>
          <t>ESPÍRITO</t>
        </is>
      </c>
      <c r="AL226" s="55" t="inlineStr">
        <is>
          <t>TR TREINADO</t>
        </is>
      </c>
      <c r="AM226" s="125" t="n"/>
      <c r="AN226" s="21" t="n"/>
      <c r="AR226" s="22" t="n"/>
      <c r="AS226" s="125" t="n"/>
    </row>
    <row r="227" hidden="1" outlineLevel="1">
      <c r="A227" s="8" t="n"/>
      <c r="B227" s="14" t="n"/>
      <c r="C227" s="125" t="n"/>
      <c r="D227" s="125" t="n"/>
      <c r="E227" s="125" t="n"/>
      <c r="F227" s="125" t="n"/>
      <c r="G227" s="125" t="n"/>
      <c r="I227" s="21" t="n"/>
      <c r="M227" s="22" t="n"/>
      <c r="N227" s="125" t="n"/>
      <c r="O227" s="98">
        <f>DADOS_INVOC!$HN$3</f>
        <v/>
      </c>
      <c r="P227" s="98">
        <f>DADOS_INVOC!$HO$3</f>
        <v/>
      </c>
      <c r="Q227" s="98">
        <f>DADOS_INVOC!$HP$3</f>
        <v/>
      </c>
      <c r="R227" s="98">
        <f>DADOS_INVOC!$HQ$3</f>
        <v/>
      </c>
      <c r="S227" s="89" t="n"/>
      <c r="T227" s="125" t="n"/>
      <c r="U227" s="21" t="n"/>
      <c r="Y227" s="22" t="n"/>
      <c r="Z227" s="125" t="n"/>
      <c r="AB227" s="21" t="n"/>
      <c r="AF227" s="22" t="n"/>
      <c r="AG227" s="125" t="n"/>
      <c r="AH227" s="98">
        <f>DADOS_INVOC!$HN$9</f>
        <v/>
      </c>
      <c r="AI227" s="98">
        <f>DADOS_INVOC!$HO$9</f>
        <v/>
      </c>
      <c r="AJ227" s="98">
        <f>DADOS_INVOC!$HP$9</f>
        <v/>
      </c>
      <c r="AK227" s="98">
        <f>DADOS_INVOC!$HQ$9</f>
        <v/>
      </c>
      <c r="AL227" s="89" t="n"/>
      <c r="AM227" s="125" t="n"/>
      <c r="AN227" s="21" t="n"/>
      <c r="AR227" s="22" t="n"/>
      <c r="AS227" s="125" t="n"/>
    </row>
    <row r="228" hidden="1" outlineLevel="1">
      <c r="A228" s="8" t="n"/>
      <c r="B228" s="14" t="n"/>
      <c r="C228" s="125" t="n"/>
      <c r="D228" s="125" t="n"/>
      <c r="E228" s="125" t="n"/>
      <c r="F228" s="125" t="n"/>
      <c r="G228" s="125" t="n"/>
      <c r="I228" s="21" t="n"/>
      <c r="M228" s="22" t="n"/>
      <c r="N228" s="125" t="n"/>
      <c r="O228" s="129" t="n"/>
      <c r="P228" s="129" t="n"/>
      <c r="Q228" s="129" t="n"/>
      <c r="R228" s="129" t="n"/>
      <c r="S228" s="129" t="n"/>
      <c r="T228" s="125" t="n"/>
      <c r="U228" s="23" t="n"/>
      <c r="V228" s="24" t="n"/>
      <c r="W228" s="24" t="n"/>
      <c r="X228" s="24" t="n"/>
      <c r="Y228" s="25" t="n"/>
      <c r="Z228" s="125" t="n"/>
      <c r="AB228" s="21" t="n"/>
      <c r="AF228" s="22" t="n"/>
      <c r="AG228" s="125" t="n"/>
      <c r="AH228" s="129" t="n"/>
      <c r="AI228" s="129" t="n"/>
      <c r="AJ228" s="129" t="n"/>
      <c r="AK228" s="129" t="n"/>
      <c r="AL228" s="129" t="n"/>
      <c r="AM228" s="125" t="n"/>
      <c r="AN228" s="23" t="n"/>
      <c r="AO228" s="24" t="n"/>
      <c r="AP228" s="24" t="n"/>
      <c r="AQ228" s="24" t="n"/>
      <c r="AR228" s="25" t="n"/>
      <c r="AS228" s="125" t="n"/>
    </row>
    <row r="229" hidden="1" outlineLevel="1">
      <c r="A229" s="8" t="n"/>
      <c r="B229" s="14" t="n"/>
      <c r="C229" s="125" t="n"/>
      <c r="D229" s="125" t="n"/>
      <c r="E229" s="125" t="n"/>
      <c r="F229" s="125" t="n"/>
      <c r="G229" s="125" t="n"/>
      <c r="I229" s="21" t="n"/>
      <c r="M229" s="22" t="n"/>
      <c r="N229" s="125" t="n"/>
      <c r="O229" s="147" t="n">
        <v>0</v>
      </c>
      <c r="P229" s="147" t="n">
        <v>0</v>
      </c>
      <c r="Q229" s="147" t="n">
        <v>0</v>
      </c>
      <c r="R229" s="147" t="n">
        <v>0</v>
      </c>
      <c r="S229" s="125" t="n"/>
      <c r="T229" s="125" t="n"/>
      <c r="U229" s="125" t="n"/>
      <c r="V229" s="125" t="n"/>
      <c r="W229" s="125" t="n"/>
      <c r="X229" s="125" t="n"/>
      <c r="Y229" s="125" t="n"/>
      <c r="Z229" s="125" t="n"/>
      <c r="AB229" s="21" t="n"/>
      <c r="AF229" s="22" t="n"/>
      <c r="AG229" s="125" t="n"/>
      <c r="AH229" s="147" t="n">
        <v>0</v>
      </c>
      <c r="AI229" s="147" t="n">
        <v>0</v>
      </c>
      <c r="AJ229" s="147" t="n">
        <v>0</v>
      </c>
      <c r="AK229" s="147" t="n">
        <v>0</v>
      </c>
      <c r="AL229" s="125" t="n"/>
      <c r="AM229" s="125" t="n"/>
      <c r="AN229" s="125" t="n"/>
      <c r="AO229" s="125" t="n"/>
      <c r="AP229" s="125" t="n"/>
      <c r="AQ229" s="125" t="n"/>
      <c r="AR229" s="125" t="n"/>
      <c r="AS229" s="125" t="n"/>
    </row>
    <row r="230" hidden="1" outlineLevel="1">
      <c r="A230" s="8" t="n"/>
      <c r="B230" s="14" t="n"/>
      <c r="C230" s="125" t="n"/>
      <c r="D230" s="125" t="n"/>
      <c r="E230" s="125" t="n"/>
      <c r="F230" s="125" t="n"/>
      <c r="G230" s="125" t="n"/>
      <c r="I230" s="21" t="n"/>
      <c r="M230" s="22" t="n"/>
      <c r="N230" s="125" t="n"/>
      <c r="O230" s="125" t="n"/>
      <c r="P230" s="125" t="n"/>
      <c r="Q230" s="125" t="n"/>
      <c r="R230" s="125" t="n"/>
      <c r="S230" s="125" t="n"/>
      <c r="T230" s="125" t="n"/>
      <c r="U230" s="55">
        <f>DADOS_INVOC!$IA$3</f>
        <v/>
      </c>
      <c r="V230" s="16" t="n"/>
      <c r="W230" s="16" t="n"/>
      <c r="X230" s="17" t="n"/>
      <c r="Y230" s="55" t="inlineStr">
        <is>
          <t>VOL.</t>
        </is>
      </c>
      <c r="Z230" s="125" t="n"/>
      <c r="AB230" s="21" t="n"/>
      <c r="AF230" s="22" t="n"/>
      <c r="AG230" s="125" t="n"/>
      <c r="AH230" s="125" t="n"/>
      <c r="AI230" s="125" t="n"/>
      <c r="AJ230" s="125" t="n"/>
      <c r="AK230" s="125" t="n"/>
      <c r="AL230" s="125" t="n"/>
      <c r="AM230" s="125" t="n"/>
      <c r="AN230" s="55">
        <f>DADOS_INVOC!$IA$9</f>
        <v/>
      </c>
      <c r="AO230" s="16" t="n"/>
      <c r="AP230" s="16" t="n"/>
      <c r="AQ230" s="17" t="n"/>
      <c r="AR230" s="55" t="inlineStr">
        <is>
          <t>VOL.</t>
        </is>
      </c>
      <c r="AS230" s="125" t="n"/>
    </row>
    <row r="231" hidden="1" outlineLevel="1">
      <c r="A231" s="8" t="n"/>
      <c r="B231" s="14" t="n"/>
      <c r="C231" s="125" t="n"/>
      <c r="D231" s="125" t="n"/>
      <c r="E231" s="125" t="n"/>
      <c r="F231" s="125" t="n"/>
      <c r="G231" s="125" t="n"/>
      <c r="I231" s="21" t="n"/>
      <c r="M231" s="22" t="n"/>
      <c r="N231" s="125" t="n"/>
      <c r="O231" s="55" t="inlineStr">
        <is>
          <t>ATRIBUTO DE ACERTO</t>
        </is>
      </c>
      <c r="P231" s="16" t="n"/>
      <c r="Q231" s="17" t="n"/>
      <c r="R231" s="55" t="inlineStr">
        <is>
          <t>FÍSICO USA</t>
        </is>
      </c>
      <c r="S231" s="17" t="n"/>
      <c r="T231" s="125" t="n"/>
      <c r="U231" s="55" t="inlineStr">
        <is>
          <t>MÃO 1</t>
        </is>
      </c>
      <c r="V231" s="134" t="n"/>
      <c r="W231" s="16" t="n"/>
      <c r="X231" s="17" t="n"/>
      <c r="Y231" s="89" t="n"/>
      <c r="Z231" s="125" t="n"/>
      <c r="AB231" s="21" t="n"/>
      <c r="AF231" s="22" t="n"/>
      <c r="AG231" s="125" t="n"/>
      <c r="AH231" s="55" t="inlineStr">
        <is>
          <t>ATRIBUTO DE ACERTO</t>
        </is>
      </c>
      <c r="AI231" s="16" t="n"/>
      <c r="AJ231" s="17" t="n"/>
      <c r="AK231" s="55" t="inlineStr">
        <is>
          <t>FÍSICO USA</t>
        </is>
      </c>
      <c r="AL231" s="17" t="n"/>
      <c r="AM231" s="125" t="n"/>
      <c r="AN231" s="55" t="inlineStr">
        <is>
          <t>MÃO 1</t>
        </is>
      </c>
      <c r="AO231" s="134" t="n"/>
      <c r="AP231" s="16" t="n"/>
      <c r="AQ231" s="17" t="n"/>
      <c r="AR231" s="89" t="n"/>
      <c r="AS231" s="125" t="n"/>
    </row>
    <row r="232" hidden="1" outlineLevel="1">
      <c r="A232" s="8" t="n"/>
      <c r="B232" s="14" t="n"/>
      <c r="C232" s="125" t="n"/>
      <c r="D232" s="125" t="n"/>
      <c r="E232" s="125" t="n"/>
      <c r="F232" s="125" t="n"/>
      <c r="G232" s="125" t="n"/>
      <c r="I232" s="21" t="n"/>
      <c r="M232" s="22" t="n"/>
      <c r="N232" s="125" t="n"/>
      <c r="O232" s="89" t="n"/>
      <c r="P232" s="19" t="n"/>
      <c r="Q232" s="20" t="n"/>
      <c r="R232" s="89" t="inlineStr">
        <is>
          <t>Força</t>
        </is>
      </c>
      <c r="S232" s="20" t="n"/>
      <c r="T232" s="125" t="n"/>
      <c r="U232" s="55" t="inlineStr">
        <is>
          <t>MÃO 2</t>
        </is>
      </c>
      <c r="V232" s="134" t="n"/>
      <c r="W232" s="16" t="n"/>
      <c r="X232" s="17" t="n"/>
      <c r="Y232" s="89" t="n"/>
      <c r="Z232" s="125" t="n"/>
      <c r="AB232" s="21" t="n"/>
      <c r="AF232" s="22" t="n"/>
      <c r="AG232" s="125" t="n"/>
      <c r="AH232" s="89" t="n"/>
      <c r="AI232" s="19" t="n"/>
      <c r="AJ232" s="20" t="n"/>
      <c r="AK232" s="89" t="inlineStr">
        <is>
          <t>Força</t>
        </is>
      </c>
      <c r="AL232" s="20" t="n"/>
      <c r="AM232" s="125" t="n"/>
      <c r="AN232" s="55" t="inlineStr">
        <is>
          <t>MÃO 2</t>
        </is>
      </c>
      <c r="AO232" s="134" t="n"/>
      <c r="AP232" s="16" t="n"/>
      <c r="AQ232" s="17" t="n"/>
      <c r="AR232" s="89" t="n"/>
      <c r="AS232" s="125" t="n"/>
    </row>
    <row r="233" hidden="1" outlineLevel="1">
      <c r="A233" s="8" t="n"/>
      <c r="B233" s="14" t="n"/>
      <c r="C233" s="125" t="n"/>
      <c r="D233" s="125" t="n"/>
      <c r="E233" s="125" t="n"/>
      <c r="F233" s="125" t="n"/>
      <c r="G233" s="125" t="n"/>
      <c r="I233" s="21" t="n"/>
      <c r="M233" s="22" t="n"/>
      <c r="N233" s="125" t="n"/>
      <c r="O233" s="23" t="n"/>
      <c r="P233" s="24" t="n"/>
      <c r="Q233" s="25" t="n"/>
      <c r="R233" s="23" t="n"/>
      <c r="S233" s="25" t="n"/>
      <c r="T233" s="125" t="n"/>
      <c r="U233" s="55" t="inlineStr">
        <is>
          <t>VESTE</t>
        </is>
      </c>
      <c r="V233" s="134" t="n"/>
      <c r="W233" s="16" t="n"/>
      <c r="X233" s="17" t="n"/>
      <c r="Y233" s="89" t="n"/>
      <c r="Z233" s="125" t="n"/>
      <c r="AB233" s="21" t="n"/>
      <c r="AF233" s="22" t="n"/>
      <c r="AG233" s="125" t="n"/>
      <c r="AH233" s="23" t="n"/>
      <c r="AI233" s="24" t="n"/>
      <c r="AJ233" s="25" t="n"/>
      <c r="AK233" s="23" t="n"/>
      <c r="AL233" s="25" t="n"/>
      <c r="AM233" s="125" t="n"/>
      <c r="AN233" s="55" t="inlineStr">
        <is>
          <t>VESTE</t>
        </is>
      </c>
      <c r="AO233" s="134" t="n"/>
      <c r="AP233" s="16" t="n"/>
      <c r="AQ233" s="17" t="n"/>
      <c r="AR233" s="89" t="n"/>
      <c r="AS233" s="125" t="n"/>
    </row>
    <row r="234" hidden="1" outlineLevel="1">
      <c r="A234" s="8" t="n"/>
      <c r="B234" s="14" t="n"/>
      <c r="C234" s="125" t="n"/>
      <c r="D234" s="125" t="n"/>
      <c r="E234" s="125" t="n"/>
      <c r="F234" s="125" t="n"/>
      <c r="G234" s="125" t="n"/>
      <c r="I234" s="21" t="n"/>
      <c r="M234" s="22" t="n"/>
      <c r="N234" s="125" t="n"/>
      <c r="O234" s="125" t="n"/>
      <c r="P234" s="125" t="n"/>
      <c r="Q234" s="125" t="n"/>
      <c r="R234" s="125" t="n"/>
      <c r="S234" s="125" t="n"/>
      <c r="T234" s="125" t="n"/>
      <c r="U234" s="55" t="inlineStr">
        <is>
          <t>GUARDADO · SÓ COM A CARACTERÍSTICA DE TRANSPORTE</t>
        </is>
      </c>
      <c r="V234" s="16" t="n"/>
      <c r="W234" s="16" t="n"/>
      <c r="X234" s="17" t="n"/>
      <c r="Y234" s="55" t="inlineStr">
        <is>
          <t>VOL.</t>
        </is>
      </c>
      <c r="Z234" s="125" t="n"/>
      <c r="AB234" s="21" t="n"/>
      <c r="AF234" s="22" t="n"/>
      <c r="AG234" s="125" t="n"/>
      <c r="AH234" s="125" t="n"/>
      <c r="AI234" s="125" t="n"/>
      <c r="AJ234" s="125" t="n"/>
      <c r="AK234" s="125" t="n"/>
      <c r="AL234" s="125" t="n"/>
      <c r="AM234" s="125" t="n"/>
      <c r="AN234" s="55" t="inlineStr">
        <is>
          <t>GUARDADO · SÓ COM A CARACTERÍSTICA DE TRANSPORTE</t>
        </is>
      </c>
      <c r="AO234" s="16" t="n"/>
      <c r="AP234" s="16" t="n"/>
      <c r="AQ234" s="17" t="n"/>
      <c r="AR234" s="55" t="inlineStr">
        <is>
          <t>VOL.</t>
        </is>
      </c>
      <c r="AS234" s="125" t="n"/>
    </row>
    <row r="235" hidden="1" outlineLevel="1">
      <c r="A235" s="8" t="n"/>
      <c r="B235" s="14" t="n"/>
      <c r="C235" s="125" t="n"/>
      <c r="D235" s="125" t="n"/>
      <c r="E235" s="125" t="n"/>
      <c r="F235" s="125" t="n"/>
      <c r="G235" s="125" t="n"/>
      <c r="I235" s="21" t="n"/>
      <c r="M235" s="22" t="n"/>
      <c r="N235" s="125" t="n"/>
      <c r="O235" s="55">
        <f>DADOS_INVOC!$HR$3</f>
        <v/>
      </c>
      <c r="P235" s="16" t="n"/>
      <c r="Q235" s="16" t="n"/>
      <c r="R235" s="16" t="n"/>
      <c r="S235" s="17" t="n"/>
      <c r="T235" s="125" t="n"/>
      <c r="U235" s="134" t="n"/>
      <c r="V235" s="16" t="n"/>
      <c r="W235" s="16" t="n"/>
      <c r="X235" s="17" t="n"/>
      <c r="Y235" s="89" t="n"/>
      <c r="Z235" s="125" t="n"/>
      <c r="AB235" s="21" t="n"/>
      <c r="AF235" s="22" t="n"/>
      <c r="AG235" s="125" t="n"/>
      <c r="AH235" s="55">
        <f>DADOS_INVOC!$HR$9</f>
        <v/>
      </c>
      <c r="AI235" s="16" t="n"/>
      <c r="AJ235" s="16" t="n"/>
      <c r="AK235" s="16" t="n"/>
      <c r="AL235" s="17" t="n"/>
      <c r="AM235" s="125" t="n"/>
      <c r="AN235" s="134" t="n"/>
      <c r="AO235" s="16" t="n"/>
      <c r="AP235" s="16" t="n"/>
      <c r="AQ235" s="17" t="n"/>
      <c r="AR235" s="89" t="n"/>
      <c r="AS235" s="125" t="n"/>
    </row>
    <row r="236" hidden="1" outlineLevel="1">
      <c r="A236" s="8" t="n"/>
      <c r="B236" s="14" t="n"/>
      <c r="C236" s="125" t="n"/>
      <c r="D236" s="125" t="n"/>
      <c r="E236" s="125" t="n"/>
      <c r="F236" s="125" t="n"/>
      <c r="G236" s="125" t="n"/>
      <c r="I236" s="21" t="n"/>
      <c r="M236" s="22" t="n"/>
      <c r="N236" s="125" t="n"/>
      <c r="O236" s="134" t="n"/>
      <c r="P236" s="16" t="n"/>
      <c r="Q236" s="17" t="n"/>
      <c r="R236" s="89">
        <f>DADOS_INVOC!$HS$3</f>
        <v/>
      </c>
      <c r="S236" s="17" t="n"/>
      <c r="T236" s="125" t="n"/>
      <c r="U236" s="134" t="n"/>
      <c r="V236" s="16" t="n"/>
      <c r="W236" s="16" t="n"/>
      <c r="X236" s="17" t="n"/>
      <c r="Y236" s="89" t="n"/>
      <c r="Z236" s="125" t="n"/>
      <c r="AB236" s="21" t="n"/>
      <c r="AF236" s="22" t="n"/>
      <c r="AG236" s="125" t="n"/>
      <c r="AH236" s="134" t="n"/>
      <c r="AI236" s="16" t="n"/>
      <c r="AJ236" s="17" t="n"/>
      <c r="AK236" s="89">
        <f>DADOS_INVOC!$HS$9</f>
        <v/>
      </c>
      <c r="AL236" s="17" t="n"/>
      <c r="AM236" s="125" t="n"/>
      <c r="AN236" s="134" t="n"/>
      <c r="AO236" s="16" t="n"/>
      <c r="AP236" s="16" t="n"/>
      <c r="AQ236" s="17" t="n"/>
      <c r="AR236" s="89" t="n"/>
      <c r="AS236" s="125" t="n"/>
    </row>
    <row r="237" hidden="1" outlineLevel="1">
      <c r="A237" s="8" t="n"/>
      <c r="B237" s="14" t="n"/>
      <c r="C237" s="125" t="n"/>
      <c r="D237" s="125" t="n"/>
      <c r="E237" s="125" t="n"/>
      <c r="F237" s="125" t="n"/>
      <c r="G237" s="125" t="n"/>
      <c r="I237" s="21" t="n"/>
      <c r="M237" s="22" t="n"/>
      <c r="N237" s="125" t="n"/>
      <c r="O237" s="134" t="n"/>
      <c r="P237" s="16" t="n"/>
      <c r="Q237" s="17" t="n"/>
      <c r="R237" s="89">
        <f>DADOS_INVOC!$HT$3</f>
        <v/>
      </c>
      <c r="S237" s="17" t="n"/>
      <c r="T237" s="125" t="n"/>
      <c r="U237" s="134" t="n"/>
      <c r="V237" s="16" t="n"/>
      <c r="W237" s="16" t="n"/>
      <c r="X237" s="17" t="n"/>
      <c r="Y237" s="89" t="n"/>
      <c r="Z237" s="125" t="n"/>
      <c r="AB237" s="21" t="n"/>
      <c r="AF237" s="22" t="n"/>
      <c r="AG237" s="125" t="n"/>
      <c r="AH237" s="134" t="n"/>
      <c r="AI237" s="16" t="n"/>
      <c r="AJ237" s="17" t="n"/>
      <c r="AK237" s="89">
        <f>DADOS_INVOC!$HT$9</f>
        <v/>
      </c>
      <c r="AL237" s="17" t="n"/>
      <c r="AM237" s="125" t="n"/>
      <c r="AN237" s="134" t="n"/>
      <c r="AO237" s="16" t="n"/>
      <c r="AP237" s="16" t="n"/>
      <c r="AQ237" s="17" t="n"/>
      <c r="AR237" s="89" t="n"/>
      <c r="AS237" s="125" t="n"/>
    </row>
    <row r="238" hidden="1" outlineLevel="1">
      <c r="A238" s="8" t="n"/>
      <c r="B238" s="14" t="n"/>
      <c r="C238" s="125" t="n"/>
      <c r="D238" s="125" t="n"/>
      <c r="E238" s="125" t="n"/>
      <c r="F238" s="125" t="n"/>
      <c r="G238" s="125" t="n"/>
      <c r="I238" s="23" t="n"/>
      <c r="J238" s="24" t="n"/>
      <c r="K238" s="24" t="n"/>
      <c r="L238" s="24" t="n"/>
      <c r="M238" s="25" t="n"/>
      <c r="N238" s="125" t="n"/>
      <c r="O238" s="134" t="n"/>
      <c r="P238" s="16" t="n"/>
      <c r="Q238" s="17" t="n"/>
      <c r="R238" s="89">
        <f>DADOS_INVOC!$HU$3</f>
        <v/>
      </c>
      <c r="S238" s="17" t="n"/>
      <c r="T238" s="125" t="n"/>
      <c r="U238" s="134" t="n"/>
      <c r="V238" s="16" t="n"/>
      <c r="W238" s="16" t="n"/>
      <c r="X238" s="17" t="n"/>
      <c r="Y238" s="89" t="n"/>
      <c r="Z238" s="125" t="n"/>
      <c r="AB238" s="23" t="n"/>
      <c r="AC238" s="24" t="n"/>
      <c r="AD238" s="24" t="n"/>
      <c r="AE238" s="24" t="n"/>
      <c r="AF238" s="25" t="n"/>
      <c r="AG238" s="125" t="n"/>
      <c r="AH238" s="134" t="n"/>
      <c r="AI238" s="16" t="n"/>
      <c r="AJ238" s="17" t="n"/>
      <c r="AK238" s="89">
        <f>DADOS_INVOC!$HU$9</f>
        <v/>
      </c>
      <c r="AL238" s="17" t="n"/>
      <c r="AM238" s="125" t="n"/>
      <c r="AN238" s="134" t="n"/>
      <c r="AO238" s="16" t="n"/>
      <c r="AP238" s="16" t="n"/>
      <c r="AQ238" s="17" t="n"/>
      <c r="AR238" s="89" t="n"/>
      <c r="AS238" s="125" t="n"/>
    </row>
    <row r="239" hidden="1" outlineLevel="1">
      <c r="A239" s="8" t="n"/>
      <c r="B239" s="14" t="n"/>
      <c r="C239" s="125" t="n"/>
      <c r="D239" s="125" t="n"/>
      <c r="E239" s="125" t="n"/>
      <c r="F239" s="125" t="n"/>
      <c r="G239" s="125" t="n"/>
      <c r="I239" s="125" t="n"/>
      <c r="J239" s="125" t="n"/>
      <c r="K239" s="125" t="n"/>
      <c r="L239" s="125" t="n"/>
      <c r="M239" s="125" t="n"/>
      <c r="N239" s="125" t="n"/>
      <c r="O239" s="134" t="n"/>
      <c r="P239" s="16" t="n"/>
      <c r="Q239" s="17" t="n"/>
      <c r="R239" s="89">
        <f>DADOS_INVOC!$HV$3</f>
        <v/>
      </c>
      <c r="S239" s="17" t="n"/>
      <c r="T239" s="125" t="n"/>
      <c r="U239" s="134" t="n"/>
      <c r="V239" s="16" t="n"/>
      <c r="W239" s="16" t="n"/>
      <c r="X239" s="17" t="n"/>
      <c r="Y239" s="89" t="n"/>
      <c r="Z239" s="125" t="n"/>
      <c r="AB239" s="125" t="n"/>
      <c r="AC239" s="125" t="n"/>
      <c r="AD239" s="125" t="n"/>
      <c r="AE239" s="125" t="n"/>
      <c r="AF239" s="125" t="n"/>
      <c r="AG239" s="125" t="n"/>
      <c r="AH239" s="134" t="n"/>
      <c r="AI239" s="16" t="n"/>
      <c r="AJ239" s="17" t="n"/>
      <c r="AK239" s="89">
        <f>DADOS_INVOC!$HV$9</f>
        <v/>
      </c>
      <c r="AL239" s="17" t="n"/>
      <c r="AM239" s="125" t="n"/>
      <c r="AN239" s="134" t="n"/>
      <c r="AO239" s="16" t="n"/>
      <c r="AP239" s="16" t="n"/>
      <c r="AQ239" s="17" t="n"/>
      <c r="AR239" s="89" t="n"/>
      <c r="AS239" s="125" t="n"/>
    </row>
    <row r="240" hidden="1" outlineLevel="1">
      <c r="A240" s="8" t="n"/>
      <c r="B240" s="14" t="n"/>
      <c r="C240" s="125" t="n"/>
      <c r="D240" s="125" t="n"/>
      <c r="E240" s="125" t="n"/>
      <c r="F240" s="125" t="n"/>
      <c r="G240" s="125" t="n"/>
      <c r="I240" s="55" t="inlineStr">
        <is>
          <t>TIPO</t>
        </is>
      </c>
      <c r="J240" s="16" t="n"/>
      <c r="K240" s="16" t="n"/>
      <c r="L240" s="16" t="n"/>
      <c r="M240" s="17" t="n"/>
      <c r="N240" s="125" t="n"/>
      <c r="O240" s="134" t="n"/>
      <c r="P240" s="16" t="n"/>
      <c r="Q240" s="17" t="n"/>
      <c r="R240" s="89">
        <f>DADOS_INVOC!$HW$3</f>
        <v/>
      </c>
      <c r="S240" s="17" t="n"/>
      <c r="T240" s="125" t="n"/>
      <c r="U240" s="134" t="n"/>
      <c r="V240" s="16" t="n"/>
      <c r="W240" s="16" t="n"/>
      <c r="X240" s="17" t="n"/>
      <c r="Y240" s="89" t="n"/>
      <c r="Z240" s="125" t="n"/>
      <c r="AB240" s="55" t="inlineStr">
        <is>
          <t>TIPO</t>
        </is>
      </c>
      <c r="AC240" s="16" t="n"/>
      <c r="AD240" s="16" t="n"/>
      <c r="AE240" s="16" t="n"/>
      <c r="AF240" s="17" t="n"/>
      <c r="AG240" s="125" t="n"/>
      <c r="AH240" s="134" t="n"/>
      <c r="AI240" s="16" t="n"/>
      <c r="AJ240" s="17" t="n"/>
      <c r="AK240" s="89">
        <f>DADOS_INVOC!$HW$9</f>
        <v/>
      </c>
      <c r="AL240" s="17" t="n"/>
      <c r="AM240" s="125" t="n"/>
      <c r="AN240" s="134" t="n"/>
      <c r="AO240" s="16" t="n"/>
      <c r="AP240" s="16" t="n"/>
      <c r="AQ240" s="17" t="n"/>
      <c r="AR240" s="89" t="n"/>
      <c r="AS240" s="125" t="n"/>
    </row>
    <row r="241" hidden="1" outlineLevel="1">
      <c r="A241" s="8" t="n"/>
      <c r="B241" s="14" t="n"/>
      <c r="C241" s="125" t="n"/>
      <c r="D241" s="125" t="n"/>
      <c r="E241" s="125" t="n"/>
      <c r="F241" s="125" t="n"/>
      <c r="G241" s="125" t="n"/>
      <c r="I241" s="89" t="inlineStr">
        <is>
          <t>Shikigami de técnica</t>
        </is>
      </c>
      <c r="J241" s="19" t="n"/>
      <c r="K241" s="19" t="n"/>
      <c r="L241" s="19" t="n"/>
      <c r="M241" s="20" t="n"/>
      <c r="N241" s="125" t="n"/>
      <c r="O241" s="134" t="n"/>
      <c r="P241" s="16" t="n"/>
      <c r="Q241" s="17" t="n"/>
      <c r="R241" s="89">
        <f>DADOS_INVOC!$HX$3</f>
        <v/>
      </c>
      <c r="S241" s="17" t="n"/>
      <c r="T241" s="125" t="n"/>
      <c r="U241" s="125" t="n"/>
      <c r="V241" s="125" t="n"/>
      <c r="W241" s="125" t="n"/>
      <c r="X241" s="125" t="n"/>
      <c r="Y241" s="125" t="n"/>
      <c r="Z241" s="125" t="n"/>
      <c r="AB241" s="89" t="inlineStr">
        <is>
          <t>Shikigami de técnica</t>
        </is>
      </c>
      <c r="AC241" s="19" t="n"/>
      <c r="AD241" s="19" t="n"/>
      <c r="AE241" s="19" t="n"/>
      <c r="AF241" s="20" t="n"/>
      <c r="AG241" s="125" t="n"/>
      <c r="AH241" s="134" t="n"/>
      <c r="AI241" s="16" t="n"/>
      <c r="AJ241" s="17" t="n"/>
      <c r="AK241" s="89">
        <f>DADOS_INVOC!$HX$9</f>
        <v/>
      </c>
      <c r="AL241" s="17" t="n"/>
      <c r="AM241" s="125" t="n"/>
      <c r="AN241" s="125" t="n"/>
      <c r="AO241" s="125" t="n"/>
      <c r="AP241" s="125" t="n"/>
      <c r="AQ241" s="125" t="n"/>
      <c r="AR241" s="125" t="n"/>
      <c r="AS241" s="125" t="n"/>
    </row>
    <row r="242" hidden="1" outlineLevel="1">
      <c r="A242" s="8" t="n"/>
      <c r="B242" s="14" t="n"/>
      <c r="C242" s="125" t="n"/>
      <c r="D242" s="125" t="n"/>
      <c r="E242" s="125" t="n"/>
      <c r="F242" s="125" t="n"/>
      <c r="G242" s="125" t="n"/>
      <c r="I242" s="23" t="n"/>
      <c r="J242" s="24" t="n"/>
      <c r="K242" s="24" t="n"/>
      <c r="L242" s="24" t="n"/>
      <c r="M242" s="25" t="n"/>
      <c r="N242" s="125" t="n"/>
      <c r="O242" s="134" t="n"/>
      <c r="P242" s="16" t="n"/>
      <c r="Q242" s="17" t="n"/>
      <c r="R242" s="89">
        <f>DADOS_INVOC!$HY$3</f>
        <v/>
      </c>
      <c r="S242" s="17" t="n"/>
      <c r="T242" s="125" t="n"/>
      <c r="U242" s="55" t="inlineStr">
        <is>
          <t>CORPO, SENTIDOS E COMUNICAÇÃO</t>
        </is>
      </c>
      <c r="V242" s="16" t="n"/>
      <c r="W242" s="16" t="n"/>
      <c r="X242" s="16" t="n"/>
      <c r="Y242" s="17" t="n"/>
      <c r="Z242" s="125" t="n"/>
      <c r="AB242" s="23" t="n"/>
      <c r="AC242" s="24" t="n"/>
      <c r="AD242" s="24" t="n"/>
      <c r="AE242" s="24" t="n"/>
      <c r="AF242" s="25" t="n"/>
      <c r="AG242" s="125" t="n"/>
      <c r="AH242" s="134" t="n"/>
      <c r="AI242" s="16" t="n"/>
      <c r="AJ242" s="17" t="n"/>
      <c r="AK242" s="89">
        <f>DADOS_INVOC!$HY$9</f>
        <v/>
      </c>
      <c r="AL242" s="17" t="n"/>
      <c r="AM242" s="125" t="n"/>
      <c r="AN242" s="55" t="inlineStr">
        <is>
          <t>CORPO, SENTIDOS E COMUNICAÇÃO</t>
        </is>
      </c>
      <c r="AO242" s="16" t="n"/>
      <c r="AP242" s="16" t="n"/>
      <c r="AQ242" s="16" t="n"/>
      <c r="AR242" s="17" t="n"/>
      <c r="AS242" s="125" t="n"/>
    </row>
    <row r="243" hidden="1" outlineLevel="1">
      <c r="A243" s="8" t="n"/>
      <c r="B243" s="14" t="n"/>
      <c r="C243" s="125" t="n"/>
      <c r="D243" s="125" t="n"/>
      <c r="E243" s="125" t="n"/>
      <c r="F243" s="125" t="n"/>
      <c r="G243" s="125" t="n"/>
      <c r="I243" s="125" t="n"/>
      <c r="J243" s="125" t="n"/>
      <c r="K243" s="125" t="n"/>
      <c r="L243" s="125" t="n"/>
      <c r="M243" s="125" t="n"/>
      <c r="N243" s="125" t="n"/>
      <c r="O243" s="125" t="n"/>
      <c r="P243" s="125" t="n"/>
      <c r="Q243" s="125" t="n"/>
      <c r="R243" s="125" t="n"/>
      <c r="S243" s="125" t="n"/>
      <c r="T243" s="125" t="n"/>
      <c r="U243" s="121" t="n"/>
      <c r="V243" s="19" t="n"/>
      <c r="W243" s="19" t="n"/>
      <c r="X243" s="19" t="n"/>
      <c r="Y243" s="20" t="n"/>
      <c r="Z243" s="125" t="n"/>
      <c r="AB243" s="125" t="n"/>
      <c r="AC243" s="125" t="n"/>
      <c r="AD243" s="125" t="n"/>
      <c r="AE243" s="125" t="n"/>
      <c r="AF243" s="125" t="n"/>
      <c r="AG243" s="125" t="n"/>
      <c r="AH243" s="125" t="n"/>
      <c r="AI243" s="125" t="n"/>
      <c r="AJ243" s="125" t="n"/>
      <c r="AK243" s="125" t="n"/>
      <c r="AL243" s="125" t="n"/>
      <c r="AM243" s="125" t="n"/>
      <c r="AN243" s="121" t="n"/>
      <c r="AO243" s="19" t="n"/>
      <c r="AP243" s="19" t="n"/>
      <c r="AQ243" s="19" t="n"/>
      <c r="AR243" s="20" t="n"/>
      <c r="AS243" s="125" t="n"/>
    </row>
    <row r="244" hidden="1" outlineLevel="1">
      <c r="A244" s="8" t="n"/>
      <c r="B244" s="14" t="n"/>
      <c r="C244" s="125" t="n"/>
      <c r="D244" s="125" t="n"/>
      <c r="E244" s="125" t="n"/>
      <c r="F244" s="125" t="n"/>
      <c r="G244" s="125" t="n"/>
      <c r="I244" s="55" t="inlineStr">
        <is>
          <t>AQUISIÇÃO</t>
        </is>
      </c>
      <c r="J244" s="17" t="n"/>
      <c r="K244" s="55" t="inlineStr">
        <is>
          <t>OBTIDA NO NÍVEL</t>
        </is>
      </c>
      <c r="L244" s="55" t="inlineStr">
        <is>
          <t>TALISMÃ</t>
        </is>
      </c>
      <c r="M244" s="17" t="n"/>
      <c r="N244" s="125" t="n"/>
      <c r="O244" s="55">
        <f>DADOS_INVOC!$IB$3</f>
        <v/>
      </c>
      <c r="P244" s="16" t="n"/>
      <c r="Q244" s="16" t="n"/>
      <c r="R244" s="16" t="n"/>
      <c r="S244" s="17" t="n"/>
      <c r="T244" s="125" t="n"/>
      <c r="U244" s="21" t="n"/>
      <c r="Y244" s="22" t="n"/>
      <c r="Z244" s="125" t="n"/>
      <c r="AB244" s="55" t="inlineStr">
        <is>
          <t>AQUISIÇÃO</t>
        </is>
      </c>
      <c r="AC244" s="17" t="n"/>
      <c r="AD244" s="55" t="inlineStr">
        <is>
          <t>OBTIDA NO NÍVEL</t>
        </is>
      </c>
      <c r="AE244" s="55" t="inlineStr">
        <is>
          <t>TALISMÃ</t>
        </is>
      </c>
      <c r="AF244" s="17" t="n"/>
      <c r="AG244" s="125" t="n"/>
      <c r="AH244" s="55">
        <f>DADOS_INVOC!$IB$9</f>
        <v/>
      </c>
      <c r="AI244" s="16" t="n"/>
      <c r="AJ244" s="16" t="n"/>
      <c r="AK244" s="16" t="n"/>
      <c r="AL244" s="17" t="n"/>
      <c r="AM244" s="125" t="n"/>
      <c r="AN244" s="21" t="n"/>
      <c r="AR244" s="22" t="n"/>
      <c r="AS244" s="125" t="n"/>
    </row>
    <row r="245" hidden="1" outlineLevel="1">
      <c r="A245" s="8" t="n"/>
      <c r="B245" s="14" t="n"/>
      <c r="C245" s="125" t="n"/>
      <c r="D245" s="125" t="n"/>
      <c r="E245" s="125" t="n"/>
      <c r="F245" s="125" t="n"/>
      <c r="G245" s="125" t="n"/>
      <c r="I245" s="89" t="inlineStr">
        <is>
          <t>Espaço conhecido</t>
        </is>
      </c>
      <c r="J245" s="20" t="n"/>
      <c r="K245" s="89" t="n"/>
      <c r="L245" s="89" t="inlineStr">
        <is>
          <t>Sem carga</t>
        </is>
      </c>
      <c r="M245" s="20" t="n"/>
      <c r="N245" s="125" t="n"/>
      <c r="O245" s="55" t="inlineStr">
        <is>
          <t>LIVRE</t>
        </is>
      </c>
      <c r="P245" s="55" t="inlineStr">
        <is>
          <t>LIVRE · TRILHA</t>
        </is>
      </c>
      <c r="Q245" s="55" t="inlineStr">
        <is>
          <t>ABERTA</t>
        </is>
      </c>
      <c r="R245" s="55" t="inlineStr">
        <is>
          <t>ABERTA</t>
        </is>
      </c>
      <c r="S245" s="55" t="inlineStr">
        <is>
          <t>ABERTA · TRILHA</t>
        </is>
      </c>
      <c r="T245" s="125" t="n"/>
      <c r="U245" s="21" t="n"/>
      <c r="Y245" s="22" t="n"/>
      <c r="Z245" s="125" t="n"/>
      <c r="AB245" s="89" t="inlineStr">
        <is>
          <t>Espaço conhecido</t>
        </is>
      </c>
      <c r="AC245" s="20" t="n"/>
      <c r="AD245" s="89" t="n"/>
      <c r="AE245" s="89" t="inlineStr">
        <is>
          <t>Sem carga</t>
        </is>
      </c>
      <c r="AF245" s="20" t="n"/>
      <c r="AG245" s="125" t="n"/>
      <c r="AH245" s="55" t="inlineStr">
        <is>
          <t>LIVRE</t>
        </is>
      </c>
      <c r="AI245" s="55" t="inlineStr">
        <is>
          <t>LIVRE · TRILHA</t>
        </is>
      </c>
      <c r="AJ245" s="55" t="inlineStr">
        <is>
          <t>ABERTA</t>
        </is>
      </c>
      <c r="AK245" s="55" t="inlineStr">
        <is>
          <t>ABERTA</t>
        </is>
      </c>
      <c r="AL245" s="55" t="inlineStr">
        <is>
          <t>ABERTA · TRILHA</t>
        </is>
      </c>
      <c r="AM245" s="125" t="n"/>
      <c r="AN245" s="21" t="n"/>
      <c r="AR245" s="22" t="n"/>
      <c r="AS245" s="125" t="n"/>
    </row>
    <row r="246" hidden="1" outlineLevel="1">
      <c r="A246" s="8" t="n"/>
      <c r="B246" s="14" t="n"/>
      <c r="C246" s="125" t="n"/>
      <c r="D246" s="125" t="n"/>
      <c r="E246" s="125" t="n"/>
      <c r="F246" s="125" t="n"/>
      <c r="G246" s="125" t="n"/>
      <c r="I246" s="23" t="n"/>
      <c r="J246" s="25" t="n"/>
      <c r="K246" s="129" t="n"/>
      <c r="L246" s="23" t="n"/>
      <c r="M246" s="25" t="n"/>
      <c r="N246" s="125" t="n"/>
      <c r="O246" s="89" t="n"/>
      <c r="P246" s="89" t="n"/>
      <c r="Q246" s="89" t="n"/>
      <c r="R246" s="89" t="n"/>
      <c r="S246" s="89" t="n"/>
      <c r="T246" s="125" t="n"/>
      <c r="U246" s="21" t="n"/>
      <c r="Y246" s="22" t="n"/>
      <c r="Z246" s="125" t="n"/>
      <c r="AB246" s="23" t="n"/>
      <c r="AC246" s="25" t="n"/>
      <c r="AD246" s="129" t="n"/>
      <c r="AE246" s="23" t="n"/>
      <c r="AF246" s="25" t="n"/>
      <c r="AG246" s="125" t="n"/>
      <c r="AH246" s="89" t="n"/>
      <c r="AI246" s="89" t="n"/>
      <c r="AJ246" s="89" t="n"/>
      <c r="AK246" s="89" t="n"/>
      <c r="AL246" s="89" t="n"/>
      <c r="AM246" s="125" t="n"/>
      <c r="AN246" s="21" t="n"/>
      <c r="AR246" s="22" t="n"/>
      <c r="AS246" s="125" t="n"/>
    </row>
    <row r="247" hidden="1" outlineLevel="1">
      <c r="A247" s="8" t="n"/>
      <c r="B247" s="14" t="n"/>
      <c r="C247" s="125" t="n"/>
      <c r="D247" s="125" t="n"/>
      <c r="E247" s="125" t="n"/>
      <c r="F247" s="125" t="n"/>
      <c r="G247" s="125" t="n"/>
      <c r="I247" s="125" t="n"/>
      <c r="J247" s="125" t="n"/>
      <c r="K247" s="125" t="n"/>
      <c r="L247" s="125" t="n"/>
      <c r="M247" s="125" t="n"/>
      <c r="N247" s="125" t="n"/>
      <c r="O247" s="129" t="n"/>
      <c r="P247" s="129" t="n"/>
      <c r="Q247" s="129" t="n"/>
      <c r="R247" s="129" t="n"/>
      <c r="S247" s="129" t="n"/>
      <c r="T247" s="125" t="n"/>
      <c r="U247" s="23" t="n"/>
      <c r="V247" s="24" t="n"/>
      <c r="W247" s="24" t="n"/>
      <c r="X247" s="24" t="n"/>
      <c r="Y247" s="25" t="n"/>
      <c r="Z247" s="125" t="n"/>
      <c r="AB247" s="125" t="n"/>
      <c r="AC247" s="125" t="n"/>
      <c r="AD247" s="125" t="n"/>
      <c r="AE247" s="125" t="n"/>
      <c r="AF247" s="125" t="n"/>
      <c r="AG247" s="125" t="n"/>
      <c r="AH247" s="129" t="n"/>
      <c r="AI247" s="129" t="n"/>
      <c r="AJ247" s="129" t="n"/>
      <c r="AK247" s="129" t="n"/>
      <c r="AL247" s="129" t="n"/>
      <c r="AM247" s="125" t="n"/>
      <c r="AN247" s="23" t="n"/>
      <c r="AO247" s="24" t="n"/>
      <c r="AP247" s="24" t="n"/>
      <c r="AQ247" s="24" t="n"/>
      <c r="AR247" s="25" t="n"/>
      <c r="AS247" s="125" t="n"/>
    </row>
    <row r="248" hidden="1" outlineLevel="1">
      <c r="A248" s="8" t="n"/>
      <c r="B248" s="14" t="n"/>
      <c r="C248" s="125" t="n"/>
      <c r="D248" s="125" t="n"/>
      <c r="E248" s="125" t="n"/>
      <c r="F248" s="125" t="n"/>
      <c r="G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row>
    <row r="249" hidden="1" outlineLevel="1">
      <c r="A249" s="8" t="n"/>
      <c r="B249" s="14" t="n"/>
      <c r="C249" s="125" t="n"/>
      <c r="D249" s="125" t="n"/>
      <c r="E249" s="125" t="n"/>
      <c r="F249" s="125" t="n"/>
      <c r="G249" s="125"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5"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5" t="n"/>
    </row>
    <row r="250" hidden="1" outlineLevel="1">
      <c r="A250" s="8" t="n"/>
      <c r="B250" s="14" t="n"/>
      <c r="C250" s="125" t="n"/>
      <c r="D250" s="125" t="n"/>
      <c r="E250" s="125" t="n"/>
      <c r="F250" s="125" t="n"/>
      <c r="G250" s="125" t="n"/>
      <c r="I250" s="121" t="n"/>
      <c r="J250" s="19" t="n"/>
      <c r="K250" s="19" t="n"/>
      <c r="L250" s="19" t="n"/>
      <c r="M250" s="19" t="n"/>
      <c r="N250" s="19" t="n"/>
      <c r="O250" s="19" t="n"/>
      <c r="P250" s="19" t="n"/>
      <c r="Q250" s="19" t="n"/>
      <c r="R250" s="19" t="n"/>
      <c r="S250" s="19" t="n"/>
      <c r="T250" s="19" t="n"/>
      <c r="U250" s="19" t="n"/>
      <c r="V250" s="19" t="n"/>
      <c r="W250" s="19" t="n"/>
      <c r="X250" s="19" t="n"/>
      <c r="Y250" s="20" t="n"/>
      <c r="Z250" s="125" t="n"/>
      <c r="AB250" s="121" t="n"/>
      <c r="AC250" s="19" t="n"/>
      <c r="AD250" s="19" t="n"/>
      <c r="AE250" s="19" t="n"/>
      <c r="AF250" s="19" t="n"/>
      <c r="AG250" s="19" t="n"/>
      <c r="AH250" s="19" t="n"/>
      <c r="AI250" s="19" t="n"/>
      <c r="AJ250" s="19" t="n"/>
      <c r="AK250" s="19" t="n"/>
      <c r="AL250" s="19" t="n"/>
      <c r="AM250" s="19" t="n"/>
      <c r="AN250" s="19" t="n"/>
      <c r="AO250" s="19" t="n"/>
      <c r="AP250" s="19" t="n"/>
      <c r="AQ250" s="19" t="n"/>
      <c r="AR250" s="20" t="n"/>
      <c r="AS250" s="125" t="n"/>
    </row>
    <row r="251" hidden="1" outlineLevel="1">
      <c r="A251" s="8" t="n"/>
      <c r="B251" s="14" t="n"/>
      <c r="C251" s="125" t="n"/>
      <c r="D251" s="125" t="n"/>
      <c r="E251" s="125" t="n"/>
      <c r="F251" s="125" t="n"/>
      <c r="G251" s="125" t="n"/>
      <c r="I251" s="23" t="n"/>
      <c r="J251" s="24" t="n"/>
      <c r="K251" s="24" t="n"/>
      <c r="L251" s="24" t="n"/>
      <c r="M251" s="24" t="n"/>
      <c r="N251" s="24" t="n"/>
      <c r="O251" s="24" t="n"/>
      <c r="P251" s="24" t="n"/>
      <c r="Q251" s="24" t="n"/>
      <c r="R251" s="24" t="n"/>
      <c r="S251" s="24" t="n"/>
      <c r="T251" s="24" t="n"/>
      <c r="U251" s="24" t="n"/>
      <c r="V251" s="24" t="n"/>
      <c r="W251" s="24" t="n"/>
      <c r="X251" s="24" t="n"/>
      <c r="Y251" s="25" t="n"/>
      <c r="Z251" s="125"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5" t="n"/>
    </row>
    <row r="252" hidden="1" outlineLevel="1">
      <c r="A252" s="8" t="n"/>
      <c r="B252" s="14" t="n"/>
      <c r="C252" s="125" t="n"/>
      <c r="D252" s="125" t="n"/>
      <c r="E252" s="125" t="n"/>
      <c r="F252" s="125" t="n"/>
      <c r="G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row>
    <row r="253" hidden="1" outlineLevel="1">
      <c r="A253" s="8" t="n"/>
      <c r="B253" s="14" t="n"/>
      <c r="C253" s="125" t="n"/>
      <c r="D253" s="125" t="n"/>
      <c r="E253" s="125" t="n"/>
      <c r="F253" s="125" t="n"/>
      <c r="G253" s="125" t="n"/>
      <c r="I253" s="137">
        <f>DADOS_INVOC!$IC$3</f>
        <v/>
      </c>
      <c r="J253" s="16" t="n"/>
      <c r="K253" s="16" t="n"/>
      <c r="L253" s="16" t="n"/>
      <c r="M253" s="16" t="n"/>
      <c r="N253" s="16" t="n"/>
      <c r="O253" s="16" t="n"/>
      <c r="P253" s="16" t="n"/>
      <c r="Q253" s="16" t="n"/>
      <c r="R253" s="16" t="n"/>
      <c r="S253" s="16" t="n"/>
      <c r="T253" s="16" t="n"/>
      <c r="U253" s="16" t="n"/>
      <c r="V253" s="16" t="n"/>
      <c r="W253" s="16" t="n"/>
      <c r="X253" s="16" t="n"/>
      <c r="Y253" s="17" t="n"/>
      <c r="Z253" s="125" t="n"/>
      <c r="AB253" s="137">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5" t="n"/>
    </row>
    <row r="254" hidden="1" outlineLevel="1">
      <c r="A254" s="8" t="n"/>
      <c r="B254" s="14" t="n"/>
      <c r="C254" s="125" t="n"/>
      <c r="D254" s="125" t="n"/>
      <c r="E254" s="125" t="n"/>
      <c r="F254" s="125" t="n"/>
      <c r="G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row>
    <row r="255" hidden="1" outlineLevel="1">
      <c r="A255" s="8" t="n"/>
      <c r="B255" s="14" t="n"/>
      <c r="C255" s="125" t="n"/>
      <c r="D255" s="125" t="n"/>
      <c r="E255" s="125" t="n"/>
      <c r="F255" s="125" t="n"/>
      <c r="G255" s="125" t="n"/>
      <c r="I255" s="55">
        <f>DADOS_INVOC!$PX$15</f>
        <v/>
      </c>
      <c r="J255" s="16" t="n"/>
      <c r="K255" s="16" t="n"/>
      <c r="L255" s="16" t="n"/>
      <c r="M255" s="17" t="n"/>
      <c r="N255" s="125" t="n"/>
      <c r="O255" s="55">
        <f>DADOS_INVOC!$PX$16</f>
        <v/>
      </c>
      <c r="P255" s="16" t="n"/>
      <c r="Q255" s="16" t="n"/>
      <c r="R255" s="16" t="n"/>
      <c r="S255" s="17" t="n"/>
      <c r="T255" s="125" t="n"/>
      <c r="U255" s="55">
        <f>DADOS_INVOC!$PX$17</f>
        <v/>
      </c>
      <c r="V255" s="16" t="n"/>
      <c r="W255" s="16" t="n"/>
      <c r="X255" s="16" t="n"/>
      <c r="Y255" s="17" t="n"/>
      <c r="Z255" s="125" t="n"/>
      <c r="AB255" s="55">
        <f>DADOS_INVOC!$PX$93</f>
        <v/>
      </c>
      <c r="AC255" s="16" t="n"/>
      <c r="AD255" s="16" t="n"/>
      <c r="AE255" s="16" t="n"/>
      <c r="AF255" s="17" t="n"/>
      <c r="AG255" s="125" t="n"/>
      <c r="AH255" s="55">
        <f>DADOS_INVOC!$PX$94</f>
        <v/>
      </c>
      <c r="AI255" s="16" t="n"/>
      <c r="AJ255" s="16" t="n"/>
      <c r="AK255" s="16" t="n"/>
      <c r="AL255" s="17" t="n"/>
      <c r="AM255" s="125" t="n"/>
      <c r="AN255" s="55">
        <f>DADOS_INVOC!$PX$95</f>
        <v/>
      </c>
      <c r="AO255" s="16" t="n"/>
      <c r="AP255" s="16" t="n"/>
      <c r="AQ255" s="16" t="n"/>
      <c r="AR255" s="17" t="n"/>
      <c r="AS255" s="125" t="n"/>
    </row>
    <row r="256" hidden="1" outlineLevel="1">
      <c r="A256" s="8" t="n"/>
      <c r="B256" s="14" t="n"/>
      <c r="C256" s="125" t="n"/>
      <c r="D256" s="125" t="n"/>
      <c r="E256" s="125" t="n"/>
      <c r="F256" s="125" t="n"/>
      <c r="G256" s="125" t="n"/>
      <c r="I256" s="131" t="n">
        <v>0</v>
      </c>
      <c r="J256" s="120" t="n"/>
      <c r="K256" s="16" t="n"/>
      <c r="L256" s="17" t="n"/>
      <c r="M256" s="132">
        <f>DADOS_INVOC!$PV$15</f>
        <v/>
      </c>
      <c r="N256" s="125" t="n"/>
      <c r="O256" s="131" t="n">
        <v>1</v>
      </c>
      <c r="P256" s="120" t="n"/>
      <c r="Q256" s="16" t="n"/>
      <c r="R256" s="17" t="n"/>
      <c r="S256" s="132">
        <f>DADOS_INVOC!$PV$16</f>
        <v/>
      </c>
      <c r="T256" s="125" t="n"/>
      <c r="U256" s="131" t="n">
        <v>1</v>
      </c>
      <c r="V256" s="120" t="n"/>
      <c r="W256" s="16" t="n"/>
      <c r="X256" s="17" t="n"/>
      <c r="Y256" s="132">
        <f>DADOS_INVOC!$PV$17</f>
        <v/>
      </c>
      <c r="Z256" s="125" t="n"/>
      <c r="AB256" s="131" t="n">
        <v>0</v>
      </c>
      <c r="AC256" s="120" t="n"/>
      <c r="AD256" s="16" t="n"/>
      <c r="AE256" s="17" t="n"/>
      <c r="AF256" s="132">
        <f>DADOS_INVOC!$PV$93</f>
        <v/>
      </c>
      <c r="AG256" s="125" t="n"/>
      <c r="AH256" s="131" t="n">
        <v>1</v>
      </c>
      <c r="AI256" s="120" t="n"/>
      <c r="AJ256" s="16" t="n"/>
      <c r="AK256" s="17" t="n"/>
      <c r="AL256" s="132">
        <f>DADOS_INVOC!$PV$94</f>
        <v/>
      </c>
      <c r="AM256" s="125" t="n"/>
      <c r="AN256" s="131" t="n">
        <v>1</v>
      </c>
      <c r="AO256" s="120" t="n"/>
      <c r="AP256" s="16" t="n"/>
      <c r="AQ256" s="17" t="n"/>
      <c r="AR256" s="132">
        <f>DADOS_INVOC!$PV$95</f>
        <v/>
      </c>
      <c r="AS256" s="125" t="n"/>
    </row>
    <row r="257" hidden="1" outlineLevel="2">
      <c r="A257" s="8" t="n"/>
      <c r="B257" s="14" t="n"/>
      <c r="C257" s="125" t="n"/>
      <c r="D257" s="125" t="n"/>
      <c r="E257" s="125" t="n"/>
      <c r="F257" s="125" t="n"/>
      <c r="G257" s="125" t="n"/>
      <c r="I257" s="55" t="inlineStr">
        <is>
          <t>COMO É</t>
        </is>
      </c>
      <c r="J257" s="16" t="n"/>
      <c r="K257" s="16" t="n"/>
      <c r="L257" s="16" t="n"/>
      <c r="M257" s="17" t="n"/>
      <c r="N257" s="125" t="n"/>
      <c r="O257" s="55" t="inlineStr">
        <is>
          <t>COMO É</t>
        </is>
      </c>
      <c r="P257" s="16" t="n"/>
      <c r="Q257" s="16" t="n"/>
      <c r="R257" s="16" t="n"/>
      <c r="S257" s="17" t="n"/>
      <c r="T257" s="125" t="n"/>
      <c r="U257" s="55" t="inlineStr">
        <is>
          <t>COMO É</t>
        </is>
      </c>
      <c r="V257" s="16" t="n"/>
      <c r="W257" s="16" t="n"/>
      <c r="X257" s="16" t="n"/>
      <c r="Y257" s="17" t="n"/>
      <c r="Z257" s="125" t="n"/>
      <c r="AB257" s="55" t="inlineStr">
        <is>
          <t>COMO É</t>
        </is>
      </c>
      <c r="AC257" s="16" t="n"/>
      <c r="AD257" s="16" t="n"/>
      <c r="AE257" s="16" t="n"/>
      <c r="AF257" s="17" t="n"/>
      <c r="AG257" s="125" t="n"/>
      <c r="AH257" s="55" t="inlineStr">
        <is>
          <t>COMO É</t>
        </is>
      </c>
      <c r="AI257" s="16" t="n"/>
      <c r="AJ257" s="16" t="n"/>
      <c r="AK257" s="16" t="n"/>
      <c r="AL257" s="17" t="n"/>
      <c r="AM257" s="125" t="n"/>
      <c r="AN257" s="55" t="inlineStr">
        <is>
          <t>COMO É</t>
        </is>
      </c>
      <c r="AO257" s="16" t="n"/>
      <c r="AP257" s="16" t="n"/>
      <c r="AQ257" s="16" t="n"/>
      <c r="AR257" s="17" t="n"/>
      <c r="AS257" s="125" t="n"/>
    </row>
    <row r="258" hidden="1" outlineLevel="2">
      <c r="A258" s="8" t="n"/>
      <c r="B258" s="14" t="n"/>
      <c r="C258" s="125" t="n"/>
      <c r="D258" s="125" t="n"/>
      <c r="E258" s="125" t="n"/>
      <c r="F258" s="125" t="n"/>
      <c r="G258" s="125" t="n"/>
      <c r="I258" s="121" t="n"/>
      <c r="J258" s="19" t="n"/>
      <c r="K258" s="19" t="n"/>
      <c r="L258" s="19" t="n"/>
      <c r="M258" s="20" t="n"/>
      <c r="N258" s="125" t="n"/>
      <c r="O258" s="121" t="n"/>
      <c r="P258" s="19" t="n"/>
      <c r="Q258" s="19" t="n"/>
      <c r="R258" s="19" t="n"/>
      <c r="S258" s="20" t="n"/>
      <c r="T258" s="125" t="n"/>
      <c r="U258" s="121" t="n"/>
      <c r="V258" s="19" t="n"/>
      <c r="W258" s="19" t="n"/>
      <c r="X258" s="19" t="n"/>
      <c r="Y258" s="20" t="n"/>
      <c r="Z258" s="125" t="n"/>
      <c r="AB258" s="121" t="n"/>
      <c r="AC258" s="19" t="n"/>
      <c r="AD258" s="19" t="n"/>
      <c r="AE258" s="19" t="n"/>
      <c r="AF258" s="20" t="n"/>
      <c r="AG258" s="125" t="n"/>
      <c r="AH258" s="121" t="n"/>
      <c r="AI258" s="19" t="n"/>
      <c r="AJ258" s="19" t="n"/>
      <c r="AK258" s="19" t="n"/>
      <c r="AL258" s="20" t="n"/>
      <c r="AM258" s="125" t="n"/>
      <c r="AN258" s="121" t="n"/>
      <c r="AO258" s="19" t="n"/>
      <c r="AP258" s="19" t="n"/>
      <c r="AQ258" s="19" t="n"/>
      <c r="AR258" s="20" t="n"/>
      <c r="AS258" s="125" t="n"/>
    </row>
    <row r="259" hidden="1" outlineLevel="2">
      <c r="A259" s="8" t="n"/>
      <c r="B259" s="14" t="n"/>
      <c r="C259" s="125" t="n"/>
      <c r="D259" s="125" t="n"/>
      <c r="E259" s="125" t="n"/>
      <c r="F259" s="125" t="n"/>
      <c r="G259" s="125" t="n"/>
      <c r="I259" s="21" t="n"/>
      <c r="M259" s="22" t="n"/>
      <c r="N259" s="125" t="n"/>
      <c r="O259" s="21" t="n"/>
      <c r="S259" s="22" t="n"/>
      <c r="T259" s="125" t="n"/>
      <c r="U259" s="21" t="n"/>
      <c r="Y259" s="22" t="n"/>
      <c r="Z259" s="125" t="n"/>
      <c r="AB259" s="21" t="n"/>
      <c r="AF259" s="22" t="n"/>
      <c r="AG259" s="125" t="n"/>
      <c r="AH259" s="21" t="n"/>
      <c r="AL259" s="22" t="n"/>
      <c r="AM259" s="125" t="n"/>
      <c r="AN259" s="21" t="n"/>
      <c r="AR259" s="22" t="n"/>
      <c r="AS259" s="125" t="n"/>
    </row>
    <row r="260" hidden="1" outlineLevel="2">
      <c r="A260" s="8" t="n"/>
      <c r="B260" s="14" t="n"/>
      <c r="C260" s="125" t="n"/>
      <c r="D260" s="125" t="n"/>
      <c r="E260" s="125" t="n"/>
      <c r="F260" s="125" t="n"/>
      <c r="G260" s="125" t="n"/>
      <c r="I260" s="23" t="n"/>
      <c r="J260" s="24" t="n"/>
      <c r="K260" s="24" t="n"/>
      <c r="L260" s="24" t="n"/>
      <c r="M260" s="25" t="n"/>
      <c r="N260" s="125" t="n"/>
      <c r="O260" s="23" t="n"/>
      <c r="P260" s="24" t="n"/>
      <c r="Q260" s="24" t="n"/>
      <c r="R260" s="24" t="n"/>
      <c r="S260" s="25" t="n"/>
      <c r="T260" s="125" t="n"/>
      <c r="U260" s="23" t="n"/>
      <c r="V260" s="24" t="n"/>
      <c r="W260" s="24" t="n"/>
      <c r="X260" s="24" t="n"/>
      <c r="Y260" s="25" t="n"/>
      <c r="Z260" s="125" t="n"/>
      <c r="AB260" s="23" t="n"/>
      <c r="AC260" s="24" t="n"/>
      <c r="AD260" s="24" t="n"/>
      <c r="AE260" s="24" t="n"/>
      <c r="AF260" s="25" t="n"/>
      <c r="AG260" s="125" t="n"/>
      <c r="AH260" s="23" t="n"/>
      <c r="AI260" s="24" t="n"/>
      <c r="AJ260" s="24" t="n"/>
      <c r="AK260" s="24" t="n"/>
      <c r="AL260" s="25" t="n"/>
      <c r="AM260" s="125" t="n"/>
      <c r="AN260" s="23" t="n"/>
      <c r="AO260" s="24" t="n"/>
      <c r="AP260" s="24" t="n"/>
      <c r="AQ260" s="24" t="n"/>
      <c r="AR260" s="25" t="n"/>
      <c r="AS260" s="125" t="n"/>
    </row>
    <row r="261" hidden="1" outlineLevel="1">
      <c r="A261" s="8" t="n"/>
      <c r="B261" s="14" t="n"/>
      <c r="C261" s="125" t="n"/>
      <c r="D261" s="125" t="n"/>
      <c r="E261" s="125" t="n"/>
      <c r="F261" s="125" t="n"/>
      <c r="G261" s="125" t="n"/>
      <c r="I261" s="89" t="inlineStr">
        <is>
          <t>Projétil</t>
        </is>
      </c>
      <c r="J261" s="17" t="n"/>
      <c r="K261" s="68">
        <f>DADOS_INVOC!$QC$15</f>
        <v/>
      </c>
      <c r="L261" s="17" t="n"/>
      <c r="M261" s="68">
        <f>DADOS_INVOC!$PY$15</f>
        <v/>
      </c>
      <c r="N261" s="125" t="n"/>
      <c r="O261" s="89" t="inlineStr">
        <is>
          <t>Projétil</t>
        </is>
      </c>
      <c r="P261" s="17" t="n"/>
      <c r="Q261" s="68">
        <f>DADOS_INVOC!$QC$16</f>
        <v/>
      </c>
      <c r="R261" s="17" t="n"/>
      <c r="S261" s="68">
        <f>DADOS_INVOC!$PY$16</f>
        <v/>
      </c>
      <c r="T261" s="125" t="n"/>
      <c r="U261" s="89" t="inlineStr">
        <is>
          <t>Projétil</t>
        </is>
      </c>
      <c r="V261" s="17" t="n"/>
      <c r="W261" s="68">
        <f>DADOS_INVOC!$QC$17</f>
        <v/>
      </c>
      <c r="X261" s="17" t="n"/>
      <c r="Y261" s="68">
        <f>DADOS_INVOC!$PY$17</f>
        <v/>
      </c>
      <c r="Z261" s="125" t="n"/>
      <c r="AB261" s="89" t="inlineStr">
        <is>
          <t>Projétil</t>
        </is>
      </c>
      <c r="AC261" s="17" t="n"/>
      <c r="AD261" s="68">
        <f>DADOS_INVOC!$QC$93</f>
        <v/>
      </c>
      <c r="AE261" s="17" t="n"/>
      <c r="AF261" s="68">
        <f>DADOS_INVOC!$PY$93</f>
        <v/>
      </c>
      <c r="AG261" s="125" t="n"/>
      <c r="AH261" s="89" t="inlineStr">
        <is>
          <t>Projétil</t>
        </is>
      </c>
      <c r="AI261" s="17" t="n"/>
      <c r="AJ261" s="68">
        <f>DADOS_INVOC!$QC$94</f>
        <v/>
      </c>
      <c r="AK261" s="17" t="n"/>
      <c r="AL261" s="68">
        <f>DADOS_INVOC!$PY$94</f>
        <v/>
      </c>
      <c r="AM261" s="125" t="n"/>
      <c r="AN261" s="89" t="inlineStr">
        <is>
          <t>Projétil</t>
        </is>
      </c>
      <c r="AO261" s="17" t="n"/>
      <c r="AP261" s="68">
        <f>DADOS_INVOC!$QC$95</f>
        <v/>
      </c>
      <c r="AQ261" s="17" t="n"/>
      <c r="AR261" s="68">
        <f>DADOS_INVOC!$PY$95</f>
        <v/>
      </c>
      <c r="AS261" s="125" t="n"/>
    </row>
    <row r="262" hidden="1" outlineLevel="1">
      <c r="A262" s="8" t="n"/>
      <c r="B262" s="14" t="n"/>
      <c r="C262" s="125" t="n"/>
      <c r="D262" s="125" t="n"/>
      <c r="E262" s="125" t="n"/>
      <c r="F262" s="125" t="n"/>
      <c r="G262" s="125" t="n"/>
      <c r="I262" s="89" t="n"/>
      <c r="J262" s="17" t="n"/>
      <c r="K262" s="89" t="n"/>
      <c r="L262" s="16" t="n"/>
      <c r="M262" s="17" t="n"/>
      <c r="N262" s="125" t="n"/>
      <c r="O262" s="89" t="n"/>
      <c r="P262" s="17" t="n"/>
      <c r="Q262" s="89" t="n"/>
      <c r="R262" s="16" t="n"/>
      <c r="S262" s="17" t="n"/>
      <c r="T262" s="125" t="n"/>
      <c r="U262" s="89" t="n"/>
      <c r="V262" s="17" t="n"/>
      <c r="W262" s="89" t="n"/>
      <c r="X262" s="16" t="n"/>
      <c r="Y262" s="17" t="n"/>
      <c r="Z262" s="125" t="n"/>
      <c r="AB262" s="89" t="n"/>
      <c r="AC262" s="17" t="n"/>
      <c r="AD262" s="89" t="n"/>
      <c r="AE262" s="16" t="n"/>
      <c r="AF262" s="17" t="n"/>
      <c r="AG262" s="125" t="n"/>
      <c r="AH262" s="89" t="n"/>
      <c r="AI262" s="17" t="n"/>
      <c r="AJ262" s="89" t="n"/>
      <c r="AK262" s="16" t="n"/>
      <c r="AL262" s="17" t="n"/>
      <c r="AM262" s="125" t="n"/>
      <c r="AN262" s="89" t="n"/>
      <c r="AO262" s="17" t="n"/>
      <c r="AP262" s="89" t="n"/>
      <c r="AQ262" s="16" t="n"/>
      <c r="AR262" s="17" t="n"/>
      <c r="AS262" s="125" t="n"/>
    </row>
    <row r="263" hidden="1" outlineLevel="1">
      <c r="A263" s="8" t="n"/>
      <c r="B263" s="14" t="n"/>
      <c r="C263" s="125" t="n"/>
      <c r="D263" s="125" t="n"/>
      <c r="E263" s="125" t="n"/>
      <c r="F263" s="125" t="n"/>
      <c r="G263" s="125" t="n"/>
      <c r="I263" s="89">
        <f>DADOS_INVOC!$PZ$15</f>
        <v/>
      </c>
      <c r="J263" s="17" t="n"/>
      <c r="K263" s="89">
        <f>DADOS_INVOC!$QB$15</f>
        <v/>
      </c>
      <c r="L263" s="16" t="n"/>
      <c r="M263" s="17" t="n"/>
      <c r="N263" s="125" t="n"/>
      <c r="O263" s="89">
        <f>DADOS_INVOC!$PZ$16</f>
        <v/>
      </c>
      <c r="P263" s="17" t="n"/>
      <c r="Q263" s="89">
        <f>DADOS_INVOC!$QB$16</f>
        <v/>
      </c>
      <c r="R263" s="16" t="n"/>
      <c r="S263" s="17" t="n"/>
      <c r="T263" s="125" t="n"/>
      <c r="U263" s="89">
        <f>DADOS_INVOC!$PZ$17</f>
        <v/>
      </c>
      <c r="V263" s="17" t="n"/>
      <c r="W263" s="89">
        <f>DADOS_INVOC!$QB$17</f>
        <v/>
      </c>
      <c r="X263" s="16" t="n"/>
      <c r="Y263" s="17" t="n"/>
      <c r="Z263" s="125" t="n"/>
      <c r="AB263" s="89">
        <f>DADOS_INVOC!$PZ$93</f>
        <v/>
      </c>
      <c r="AC263" s="17" t="n"/>
      <c r="AD263" s="89">
        <f>DADOS_INVOC!$QB$93</f>
        <v/>
      </c>
      <c r="AE263" s="16" t="n"/>
      <c r="AF263" s="17" t="n"/>
      <c r="AG263" s="125" t="n"/>
      <c r="AH263" s="89">
        <f>DADOS_INVOC!$PZ$94</f>
        <v/>
      </c>
      <c r="AI263" s="17" t="n"/>
      <c r="AJ263" s="89">
        <f>DADOS_INVOC!$QB$94</f>
        <v/>
      </c>
      <c r="AK263" s="16" t="n"/>
      <c r="AL263" s="17" t="n"/>
      <c r="AM263" s="125" t="n"/>
      <c r="AN263" s="89">
        <f>DADOS_INVOC!$PZ$95</f>
        <v/>
      </c>
      <c r="AO263" s="17" t="n"/>
      <c r="AP263" s="89">
        <f>DADOS_INVOC!$QB$95</f>
        <v/>
      </c>
      <c r="AQ263" s="16" t="n"/>
      <c r="AR263" s="17" t="n"/>
      <c r="AS263" s="125" t="n"/>
    </row>
    <row r="264" hidden="1" outlineLevel="1">
      <c r="A264" s="8" t="n"/>
      <c r="B264" s="14" t="n"/>
      <c r="C264" s="125" t="n"/>
      <c r="D264" s="125" t="n"/>
      <c r="E264" s="125" t="n"/>
      <c r="F264" s="125" t="n"/>
      <c r="G264" s="125" t="n"/>
      <c r="I264" s="133">
        <f>DADOS_INVOC!$QH$15</f>
        <v/>
      </c>
      <c r="J264" s="16" t="n"/>
      <c r="K264" s="16" t="n"/>
      <c r="L264" s="16" t="n"/>
      <c r="M264" s="17" t="n"/>
      <c r="N264" s="125" t="n"/>
      <c r="O264" s="133">
        <f>DADOS_INVOC!$QH$16</f>
        <v/>
      </c>
      <c r="P264" s="16" t="n"/>
      <c r="Q264" s="16" t="n"/>
      <c r="R264" s="16" t="n"/>
      <c r="S264" s="17" t="n"/>
      <c r="T264" s="125" t="n"/>
      <c r="U264" s="133">
        <f>DADOS_INVOC!$QH$17</f>
        <v/>
      </c>
      <c r="V264" s="16" t="n"/>
      <c r="W264" s="16" t="n"/>
      <c r="X264" s="16" t="n"/>
      <c r="Y264" s="17" t="n"/>
      <c r="Z264" s="125" t="n"/>
      <c r="AB264" s="133">
        <f>DADOS_INVOC!$QH$93</f>
        <v/>
      </c>
      <c r="AC264" s="16" t="n"/>
      <c r="AD264" s="16" t="n"/>
      <c r="AE264" s="16" t="n"/>
      <c r="AF264" s="17" t="n"/>
      <c r="AG264" s="125" t="n"/>
      <c r="AH264" s="133">
        <f>DADOS_INVOC!$QH$94</f>
        <v/>
      </c>
      <c r="AI264" s="16" t="n"/>
      <c r="AJ264" s="16" t="n"/>
      <c r="AK264" s="16" t="n"/>
      <c r="AL264" s="17" t="n"/>
      <c r="AM264" s="125" t="n"/>
      <c r="AN264" s="133">
        <f>DADOS_INVOC!$QH$95</f>
        <v/>
      </c>
      <c r="AO264" s="16" t="n"/>
      <c r="AP264" s="16" t="n"/>
      <c r="AQ264" s="16" t="n"/>
      <c r="AR264" s="17" t="n"/>
      <c r="AS264" s="125" t="n"/>
    </row>
    <row r="265" hidden="1" outlineLevel="2">
      <c r="A265" s="8" t="n"/>
      <c r="B265" s="14" t="n"/>
      <c r="C265" s="125" t="n"/>
      <c r="D265" s="125" t="n"/>
      <c r="E265" s="125" t="n"/>
      <c r="F265" s="125" t="n"/>
      <c r="G265" s="125" t="n"/>
      <c r="I265" s="55" t="inlineStr">
        <is>
          <t>MELHORIAS</t>
        </is>
      </c>
      <c r="J265" s="134" t="n"/>
      <c r="K265" s="16" t="n"/>
      <c r="L265" s="17" t="n"/>
      <c r="M265" s="133">
        <f>DADOS_INVOC!$QK$15</f>
        <v/>
      </c>
      <c r="N265" s="125" t="n"/>
      <c r="O265" s="55" t="inlineStr">
        <is>
          <t>MELHORIAS</t>
        </is>
      </c>
      <c r="P265" s="134" t="n"/>
      <c r="Q265" s="16" t="n"/>
      <c r="R265" s="17" t="n"/>
      <c r="S265" s="133">
        <f>DADOS_INVOC!$QK$16</f>
        <v/>
      </c>
      <c r="T265" s="125" t="n"/>
      <c r="U265" s="55" t="inlineStr">
        <is>
          <t>MELHORIAS</t>
        </is>
      </c>
      <c r="V265" s="134" t="n"/>
      <c r="W265" s="16" t="n"/>
      <c r="X265" s="17" t="n"/>
      <c r="Y265" s="133">
        <f>DADOS_INVOC!$QK$17</f>
        <v/>
      </c>
      <c r="Z265" s="125" t="n"/>
      <c r="AB265" s="55" t="inlineStr">
        <is>
          <t>MELHORIAS</t>
        </is>
      </c>
      <c r="AC265" s="134" t="n"/>
      <c r="AD265" s="16" t="n"/>
      <c r="AE265" s="17" t="n"/>
      <c r="AF265" s="133">
        <f>DADOS_INVOC!$QK$93</f>
        <v/>
      </c>
      <c r="AG265" s="125" t="n"/>
      <c r="AH265" s="55" t="inlineStr">
        <is>
          <t>MELHORIAS</t>
        </is>
      </c>
      <c r="AI265" s="134" t="n"/>
      <c r="AJ265" s="16" t="n"/>
      <c r="AK265" s="17" t="n"/>
      <c r="AL265" s="133">
        <f>DADOS_INVOC!$QK$94</f>
        <v/>
      </c>
      <c r="AM265" s="125" t="n"/>
      <c r="AN265" s="55" t="inlineStr">
        <is>
          <t>MELHORIAS</t>
        </is>
      </c>
      <c r="AO265" s="134" t="n"/>
      <c r="AP265" s="16" t="n"/>
      <c r="AQ265" s="17" t="n"/>
      <c r="AR265" s="133">
        <f>DADOS_INVOC!$QK$95</f>
        <v/>
      </c>
      <c r="AS265" s="125" t="n"/>
    </row>
    <row r="266" hidden="1" outlineLevel="2">
      <c r="A266" s="8" t="n"/>
      <c r="B266" s="14" t="n"/>
      <c r="C266" s="125" t="n"/>
      <c r="D266" s="125" t="n"/>
      <c r="E266" s="125" t="n"/>
      <c r="F266" s="125" t="n"/>
      <c r="G266" s="125" t="n"/>
      <c r="I266" s="135" t="n"/>
      <c r="J266" s="134" t="n"/>
      <c r="K266" s="16" t="n"/>
      <c r="L266" s="17" t="n"/>
      <c r="M266" s="133">
        <f>DADOS_INVOC!$QL$15</f>
        <v/>
      </c>
      <c r="N266" s="125" t="n"/>
      <c r="O266" s="135" t="n"/>
      <c r="P266" s="134" t="n"/>
      <c r="Q266" s="16" t="n"/>
      <c r="R266" s="17" t="n"/>
      <c r="S266" s="133">
        <f>DADOS_INVOC!$QL$16</f>
        <v/>
      </c>
      <c r="T266" s="125" t="n"/>
      <c r="U266" s="135" t="n"/>
      <c r="V266" s="134" t="n"/>
      <c r="W266" s="16" t="n"/>
      <c r="X266" s="17" t="n"/>
      <c r="Y266" s="133">
        <f>DADOS_INVOC!$QL$17</f>
        <v/>
      </c>
      <c r="Z266" s="125" t="n"/>
      <c r="AB266" s="135" t="n"/>
      <c r="AC266" s="134" t="n"/>
      <c r="AD266" s="16" t="n"/>
      <c r="AE266" s="17" t="n"/>
      <c r="AF266" s="133">
        <f>DADOS_INVOC!$QL$93</f>
        <v/>
      </c>
      <c r="AG266" s="125" t="n"/>
      <c r="AH266" s="135" t="n"/>
      <c r="AI266" s="134" t="n"/>
      <c r="AJ266" s="16" t="n"/>
      <c r="AK266" s="17" t="n"/>
      <c r="AL266" s="133">
        <f>DADOS_INVOC!$QL$94</f>
        <v/>
      </c>
      <c r="AM266" s="125" t="n"/>
      <c r="AN266" s="135" t="n"/>
      <c r="AO266" s="134" t="n"/>
      <c r="AP266" s="16" t="n"/>
      <c r="AQ266" s="17" t="n"/>
      <c r="AR266" s="133">
        <f>DADOS_INVOC!$QL$95</f>
        <v/>
      </c>
      <c r="AS266" s="125" t="n"/>
    </row>
    <row r="267" hidden="1" outlineLevel="2">
      <c r="A267" s="8" t="n"/>
      <c r="B267" s="14" t="n"/>
      <c r="C267" s="125" t="n"/>
      <c r="D267" s="125" t="n"/>
      <c r="E267" s="125" t="n"/>
      <c r="F267" s="125" t="n"/>
      <c r="G267" s="125" t="n"/>
      <c r="I267" s="135" t="n"/>
      <c r="J267" s="134" t="n"/>
      <c r="K267" s="16" t="n"/>
      <c r="L267" s="17" t="n"/>
      <c r="M267" s="133">
        <f>DADOS_INVOC!$QM$15</f>
        <v/>
      </c>
      <c r="N267" s="125" t="n"/>
      <c r="O267" s="135" t="n"/>
      <c r="P267" s="134" t="n"/>
      <c r="Q267" s="16" t="n"/>
      <c r="R267" s="17" t="n"/>
      <c r="S267" s="133">
        <f>DADOS_INVOC!$QM$16</f>
        <v/>
      </c>
      <c r="T267" s="125" t="n"/>
      <c r="U267" s="135" t="n"/>
      <c r="V267" s="134" t="n"/>
      <c r="W267" s="16" t="n"/>
      <c r="X267" s="17" t="n"/>
      <c r="Y267" s="133">
        <f>DADOS_INVOC!$QM$17</f>
        <v/>
      </c>
      <c r="Z267" s="125" t="n"/>
      <c r="AB267" s="135" t="n"/>
      <c r="AC267" s="134" t="n"/>
      <c r="AD267" s="16" t="n"/>
      <c r="AE267" s="17" t="n"/>
      <c r="AF267" s="133">
        <f>DADOS_INVOC!$QM$93</f>
        <v/>
      </c>
      <c r="AG267" s="125" t="n"/>
      <c r="AH267" s="135" t="n"/>
      <c r="AI267" s="134" t="n"/>
      <c r="AJ267" s="16" t="n"/>
      <c r="AK267" s="17" t="n"/>
      <c r="AL267" s="133">
        <f>DADOS_INVOC!$QM$94</f>
        <v/>
      </c>
      <c r="AM267" s="125" t="n"/>
      <c r="AN267" s="135" t="n"/>
      <c r="AO267" s="134" t="n"/>
      <c r="AP267" s="16" t="n"/>
      <c r="AQ267" s="17" t="n"/>
      <c r="AR267" s="133">
        <f>DADOS_INVOC!$QM$95</f>
        <v/>
      </c>
      <c r="AS267" s="125" t="n"/>
    </row>
    <row r="268" hidden="1" outlineLevel="2">
      <c r="A268" s="8" t="n"/>
      <c r="B268" s="14" t="n"/>
      <c r="C268" s="125" t="n"/>
      <c r="D268" s="125" t="n"/>
      <c r="E268" s="125" t="n"/>
      <c r="F268" s="125" t="n"/>
      <c r="G268" s="125" t="n"/>
      <c r="I268" s="129" t="n"/>
      <c r="J268" s="134" t="n"/>
      <c r="K268" s="16" t="n"/>
      <c r="L268" s="17" t="n"/>
      <c r="M268" s="133">
        <f>DADOS_INVOC!$QN$15</f>
        <v/>
      </c>
      <c r="N268" s="125" t="n"/>
      <c r="O268" s="129" t="n"/>
      <c r="P268" s="134" t="n"/>
      <c r="Q268" s="16" t="n"/>
      <c r="R268" s="17" t="n"/>
      <c r="S268" s="133">
        <f>DADOS_INVOC!$QN$16</f>
        <v/>
      </c>
      <c r="T268" s="125" t="n"/>
      <c r="U268" s="129" t="n"/>
      <c r="V268" s="134" t="n"/>
      <c r="W268" s="16" t="n"/>
      <c r="X268" s="17" t="n"/>
      <c r="Y268" s="133">
        <f>DADOS_INVOC!$QN$17</f>
        <v/>
      </c>
      <c r="Z268" s="125" t="n"/>
      <c r="AB268" s="129" t="n"/>
      <c r="AC268" s="134" t="n"/>
      <c r="AD268" s="16" t="n"/>
      <c r="AE268" s="17" t="n"/>
      <c r="AF268" s="133">
        <f>DADOS_INVOC!$QN$93</f>
        <v/>
      </c>
      <c r="AG268" s="125" t="n"/>
      <c r="AH268" s="129" t="n"/>
      <c r="AI268" s="134" t="n"/>
      <c r="AJ268" s="16" t="n"/>
      <c r="AK268" s="17" t="n"/>
      <c r="AL268" s="133">
        <f>DADOS_INVOC!$QN$94</f>
        <v/>
      </c>
      <c r="AM268" s="125" t="n"/>
      <c r="AN268" s="129" t="n"/>
      <c r="AO268" s="134" t="n"/>
      <c r="AP268" s="16" t="n"/>
      <c r="AQ268" s="17" t="n"/>
      <c r="AR268" s="133">
        <f>DADOS_INVOC!$QN$95</f>
        <v/>
      </c>
      <c r="AS268" s="125" t="n"/>
    </row>
    <row r="269" hidden="1" outlineLevel="2">
      <c r="A269" s="8" t="n"/>
      <c r="B269" s="14" t="n"/>
      <c r="C269" s="125" t="n"/>
      <c r="D269" s="125" t="n"/>
      <c r="E269" s="125" t="n"/>
      <c r="F269" s="125" t="n"/>
      <c r="G269" s="125" t="n"/>
      <c r="I269" s="55" t="inlineStr">
        <is>
          <t>RESTRIÇÕES</t>
        </is>
      </c>
      <c r="J269" s="134" t="n"/>
      <c r="K269" s="16" t="n"/>
      <c r="L269" s="17" t="n"/>
      <c r="M269" s="133">
        <f>DADOS_INVOC!$QO$15</f>
        <v/>
      </c>
      <c r="N269" s="125" t="n"/>
      <c r="O269" s="55" t="inlineStr">
        <is>
          <t>RESTRIÇÕES</t>
        </is>
      </c>
      <c r="P269" s="134" t="n"/>
      <c r="Q269" s="16" t="n"/>
      <c r="R269" s="17" t="n"/>
      <c r="S269" s="133">
        <f>DADOS_INVOC!$QO$16</f>
        <v/>
      </c>
      <c r="T269" s="125" t="n"/>
      <c r="U269" s="55" t="inlineStr">
        <is>
          <t>RESTRIÇÕES</t>
        </is>
      </c>
      <c r="V269" s="134" t="n"/>
      <c r="W269" s="16" t="n"/>
      <c r="X269" s="17" t="n"/>
      <c r="Y269" s="133">
        <f>DADOS_INVOC!$QO$17</f>
        <v/>
      </c>
      <c r="Z269" s="125" t="n"/>
      <c r="AB269" s="55" t="inlineStr">
        <is>
          <t>RESTRIÇÕES</t>
        </is>
      </c>
      <c r="AC269" s="134" t="n"/>
      <c r="AD269" s="16" t="n"/>
      <c r="AE269" s="17" t="n"/>
      <c r="AF269" s="133">
        <f>DADOS_INVOC!$QO$93</f>
        <v/>
      </c>
      <c r="AG269" s="125" t="n"/>
      <c r="AH269" s="55" t="inlineStr">
        <is>
          <t>RESTRIÇÕES</t>
        </is>
      </c>
      <c r="AI269" s="134" t="n"/>
      <c r="AJ269" s="16" t="n"/>
      <c r="AK269" s="17" t="n"/>
      <c r="AL269" s="133">
        <f>DADOS_INVOC!$QO$94</f>
        <v/>
      </c>
      <c r="AM269" s="125" t="n"/>
      <c r="AN269" s="55" t="inlineStr">
        <is>
          <t>RESTRIÇÕES</t>
        </is>
      </c>
      <c r="AO269" s="134" t="n"/>
      <c r="AP269" s="16" t="n"/>
      <c r="AQ269" s="17" t="n"/>
      <c r="AR269" s="133">
        <f>DADOS_INVOC!$QO$95</f>
        <v/>
      </c>
      <c r="AS269" s="125" t="n"/>
    </row>
    <row r="270" hidden="1" outlineLevel="2">
      <c r="A270" s="8" t="n"/>
      <c r="B270" s="14" t="n"/>
      <c r="C270" s="125" t="n"/>
      <c r="D270" s="125" t="n"/>
      <c r="E270" s="125" t="n"/>
      <c r="F270" s="125" t="n"/>
      <c r="G270" s="125" t="n"/>
      <c r="I270" s="129" t="n"/>
      <c r="J270" s="134" t="n"/>
      <c r="K270" s="16" t="n"/>
      <c r="L270" s="17" t="n"/>
      <c r="M270" s="133">
        <f>DADOS_INVOC!$QP$15</f>
        <v/>
      </c>
      <c r="N270" s="125" t="n"/>
      <c r="O270" s="129" t="n"/>
      <c r="P270" s="134" t="n"/>
      <c r="Q270" s="16" t="n"/>
      <c r="R270" s="17" t="n"/>
      <c r="S270" s="133">
        <f>DADOS_INVOC!$QP$16</f>
        <v/>
      </c>
      <c r="T270" s="125" t="n"/>
      <c r="U270" s="129" t="n"/>
      <c r="V270" s="134" t="n"/>
      <c r="W270" s="16" t="n"/>
      <c r="X270" s="17" t="n"/>
      <c r="Y270" s="133">
        <f>DADOS_INVOC!$QP$17</f>
        <v/>
      </c>
      <c r="Z270" s="125" t="n"/>
      <c r="AB270" s="129" t="n"/>
      <c r="AC270" s="134" t="n"/>
      <c r="AD270" s="16" t="n"/>
      <c r="AE270" s="17" t="n"/>
      <c r="AF270" s="133">
        <f>DADOS_INVOC!$QP$93</f>
        <v/>
      </c>
      <c r="AG270" s="125" t="n"/>
      <c r="AH270" s="129" t="n"/>
      <c r="AI270" s="134" t="n"/>
      <c r="AJ270" s="16" t="n"/>
      <c r="AK270" s="17" t="n"/>
      <c r="AL270" s="133">
        <f>DADOS_INVOC!$QP$94</f>
        <v/>
      </c>
      <c r="AM270" s="125" t="n"/>
      <c r="AN270" s="129" t="n"/>
      <c r="AO270" s="134" t="n"/>
      <c r="AP270" s="16" t="n"/>
      <c r="AQ270" s="17" t="n"/>
      <c r="AR270" s="133">
        <f>DADOS_INVOC!$QP$95</f>
        <v/>
      </c>
      <c r="AS270" s="125" t="n"/>
    </row>
    <row r="271" hidden="1" outlineLevel="2">
      <c r="A271" s="8" t="n"/>
      <c r="B271" s="14" t="n"/>
      <c r="C271" s="125" t="n"/>
      <c r="D271" s="125" t="n"/>
      <c r="E271" s="125" t="n"/>
      <c r="F271" s="125" t="n"/>
      <c r="G271" s="125" t="n"/>
      <c r="I271" s="55" t="inlineStr">
        <is>
          <t>CONTA</t>
        </is>
      </c>
      <c r="J271" s="136">
        <f>DADOS_INVOC!$QI$15</f>
        <v/>
      </c>
      <c r="K271" s="16" t="n"/>
      <c r="L271" s="16" t="n"/>
      <c r="M271" s="17" t="n"/>
      <c r="N271" s="125" t="n"/>
      <c r="O271" s="55" t="inlineStr">
        <is>
          <t>CONTA</t>
        </is>
      </c>
      <c r="P271" s="136">
        <f>DADOS_INVOC!$QI$16</f>
        <v/>
      </c>
      <c r="Q271" s="16" t="n"/>
      <c r="R271" s="16" t="n"/>
      <c r="S271" s="17" t="n"/>
      <c r="T271" s="125" t="n"/>
      <c r="U271" s="55" t="inlineStr">
        <is>
          <t>CONTA</t>
        </is>
      </c>
      <c r="V271" s="136">
        <f>DADOS_INVOC!$QI$17</f>
        <v/>
      </c>
      <c r="W271" s="16" t="n"/>
      <c r="X271" s="16" t="n"/>
      <c r="Y271" s="17" t="n"/>
      <c r="Z271" s="125" t="n"/>
      <c r="AB271" s="55" t="inlineStr">
        <is>
          <t>CONTA</t>
        </is>
      </c>
      <c r="AC271" s="136">
        <f>DADOS_INVOC!$QI$93</f>
        <v/>
      </c>
      <c r="AD271" s="16" t="n"/>
      <c r="AE271" s="16" t="n"/>
      <c r="AF271" s="17" t="n"/>
      <c r="AG271" s="125" t="n"/>
      <c r="AH271" s="55" t="inlineStr">
        <is>
          <t>CONTA</t>
        </is>
      </c>
      <c r="AI271" s="136">
        <f>DADOS_INVOC!$QI$94</f>
        <v/>
      </c>
      <c r="AJ271" s="16" t="n"/>
      <c r="AK271" s="16" t="n"/>
      <c r="AL271" s="17" t="n"/>
      <c r="AM271" s="125" t="n"/>
      <c r="AN271" s="55" t="inlineStr">
        <is>
          <t>CONTA</t>
        </is>
      </c>
      <c r="AO271" s="136">
        <f>DADOS_INVOC!$QI$95</f>
        <v/>
      </c>
      <c r="AP271" s="16" t="n"/>
      <c r="AQ271" s="16" t="n"/>
      <c r="AR271" s="17" t="n"/>
      <c r="AS271" s="125" t="n"/>
    </row>
    <row r="272" hidden="1" outlineLevel="2">
      <c r="A272" s="8" t="n"/>
      <c r="B272" s="14" t="n"/>
      <c r="C272" s="125" t="n"/>
      <c r="D272" s="125" t="n"/>
      <c r="E272" s="125" t="n"/>
      <c r="F272" s="125" t="n"/>
      <c r="G272" s="125" t="n"/>
      <c r="I272" s="55" t="inlineStr">
        <is>
          <t>AMPLIAR</t>
        </is>
      </c>
      <c r="J272" s="136">
        <f>DADOS_INVOC!$QJ$15</f>
        <v/>
      </c>
      <c r="K272" s="19" t="n"/>
      <c r="L272" s="19" t="n"/>
      <c r="M272" s="20" t="n"/>
      <c r="N272" s="125" t="n"/>
      <c r="O272" s="55" t="inlineStr">
        <is>
          <t>AMPLIAR</t>
        </is>
      </c>
      <c r="P272" s="136">
        <f>DADOS_INVOC!$QJ$16</f>
        <v/>
      </c>
      <c r="Q272" s="19" t="n"/>
      <c r="R272" s="19" t="n"/>
      <c r="S272" s="20" t="n"/>
      <c r="T272" s="125" t="n"/>
      <c r="U272" s="55" t="inlineStr">
        <is>
          <t>AMPLIAR</t>
        </is>
      </c>
      <c r="V272" s="136">
        <f>DADOS_INVOC!$QJ$17</f>
        <v/>
      </c>
      <c r="W272" s="19" t="n"/>
      <c r="X272" s="19" t="n"/>
      <c r="Y272" s="20" t="n"/>
      <c r="Z272" s="125" t="n"/>
      <c r="AB272" s="55" t="inlineStr">
        <is>
          <t>AMPLIAR</t>
        </is>
      </c>
      <c r="AC272" s="136">
        <f>DADOS_INVOC!$QJ$93</f>
        <v/>
      </c>
      <c r="AD272" s="19" t="n"/>
      <c r="AE272" s="19" t="n"/>
      <c r="AF272" s="20" t="n"/>
      <c r="AG272" s="125" t="n"/>
      <c r="AH272" s="55" t="inlineStr">
        <is>
          <t>AMPLIAR</t>
        </is>
      </c>
      <c r="AI272" s="136">
        <f>DADOS_INVOC!$QJ$94</f>
        <v/>
      </c>
      <c r="AJ272" s="19" t="n"/>
      <c r="AK272" s="19" t="n"/>
      <c r="AL272" s="20" t="n"/>
      <c r="AM272" s="125" t="n"/>
      <c r="AN272" s="55" t="inlineStr">
        <is>
          <t>AMPLIAR</t>
        </is>
      </c>
      <c r="AO272" s="136">
        <f>DADOS_INVOC!$QJ$95</f>
        <v/>
      </c>
      <c r="AP272" s="19" t="n"/>
      <c r="AQ272" s="19" t="n"/>
      <c r="AR272" s="20" t="n"/>
      <c r="AS272" s="125" t="n"/>
    </row>
    <row r="273" hidden="1" outlineLevel="2">
      <c r="A273" s="8" t="n"/>
      <c r="B273" s="14" t="n"/>
      <c r="C273" s="125" t="n"/>
      <c r="D273" s="125" t="n"/>
      <c r="E273" s="125" t="n"/>
      <c r="F273" s="125" t="n"/>
      <c r="G273" s="125" t="n"/>
      <c r="I273" s="129" t="n"/>
      <c r="J273" s="23" t="n"/>
      <c r="K273" s="24" t="n"/>
      <c r="L273" s="24" t="n"/>
      <c r="M273" s="25" t="n"/>
      <c r="N273" s="125" t="n"/>
      <c r="O273" s="129" t="n"/>
      <c r="P273" s="23" t="n"/>
      <c r="Q273" s="24" t="n"/>
      <c r="R273" s="24" t="n"/>
      <c r="S273" s="25" t="n"/>
      <c r="T273" s="125" t="n"/>
      <c r="U273" s="129" t="n"/>
      <c r="V273" s="23" t="n"/>
      <c r="W273" s="24" t="n"/>
      <c r="X273" s="24" t="n"/>
      <c r="Y273" s="25" t="n"/>
      <c r="Z273" s="125" t="n"/>
      <c r="AB273" s="129" t="n"/>
      <c r="AC273" s="23" t="n"/>
      <c r="AD273" s="24" t="n"/>
      <c r="AE273" s="24" t="n"/>
      <c r="AF273" s="25" t="n"/>
      <c r="AG273" s="125" t="n"/>
      <c r="AH273" s="129" t="n"/>
      <c r="AI273" s="23" t="n"/>
      <c r="AJ273" s="24" t="n"/>
      <c r="AK273" s="24" t="n"/>
      <c r="AL273" s="25" t="n"/>
      <c r="AM273" s="125" t="n"/>
      <c r="AN273" s="129" t="n"/>
      <c r="AO273" s="23" t="n"/>
      <c r="AP273" s="24" t="n"/>
      <c r="AQ273" s="24" t="n"/>
      <c r="AR273" s="25" t="n"/>
      <c r="AS273" s="125" t="n"/>
    </row>
    <row r="274" hidden="1" outlineLevel="2">
      <c r="A274" s="8" t="n"/>
      <c r="B274" s="14" t="n"/>
      <c r="C274" s="125" t="n"/>
      <c r="D274" s="125" t="n"/>
      <c r="E274" s="125" t="n"/>
      <c r="F274" s="125" t="n"/>
      <c r="G274" s="125" t="n"/>
      <c r="I274" s="136">
        <f>DADOS_INVOC!$PW$15</f>
        <v/>
      </c>
      <c r="J274" s="19" t="n"/>
      <c r="K274" s="19" t="n"/>
      <c r="L274" s="19" t="n"/>
      <c r="M274" s="20" t="n"/>
      <c r="N274" s="125" t="n"/>
      <c r="O274" s="136">
        <f>DADOS_INVOC!$PW$16</f>
        <v/>
      </c>
      <c r="P274" s="19" t="n"/>
      <c r="Q274" s="19" t="n"/>
      <c r="R274" s="19" t="n"/>
      <c r="S274" s="20" t="n"/>
      <c r="T274" s="125" t="n"/>
      <c r="U274" s="136">
        <f>DADOS_INVOC!$PW$17</f>
        <v/>
      </c>
      <c r="V274" s="19" t="n"/>
      <c r="W274" s="19" t="n"/>
      <c r="X274" s="19" t="n"/>
      <c r="Y274" s="20" t="n"/>
      <c r="Z274" s="125" t="n"/>
      <c r="AB274" s="136">
        <f>DADOS_INVOC!$PW$93</f>
        <v/>
      </c>
      <c r="AC274" s="19" t="n"/>
      <c r="AD274" s="19" t="n"/>
      <c r="AE274" s="19" t="n"/>
      <c r="AF274" s="20" t="n"/>
      <c r="AG274" s="125" t="n"/>
      <c r="AH274" s="136">
        <f>DADOS_INVOC!$PW$94</f>
        <v/>
      </c>
      <c r="AI274" s="19" t="n"/>
      <c r="AJ274" s="19" t="n"/>
      <c r="AK274" s="19" t="n"/>
      <c r="AL274" s="20" t="n"/>
      <c r="AM274" s="125" t="n"/>
      <c r="AN274" s="136">
        <f>DADOS_INVOC!$PW$95</f>
        <v/>
      </c>
      <c r="AO274" s="19" t="n"/>
      <c r="AP274" s="19" t="n"/>
      <c r="AQ274" s="19" t="n"/>
      <c r="AR274" s="20" t="n"/>
      <c r="AS274" s="125" t="n"/>
    </row>
    <row r="275" hidden="1" outlineLevel="2">
      <c r="A275" s="8" t="n"/>
      <c r="B275" s="14" t="n"/>
      <c r="C275" s="125" t="n"/>
      <c r="D275" s="125" t="n"/>
      <c r="E275" s="125" t="n"/>
      <c r="F275" s="125" t="n"/>
      <c r="G275" s="125" t="n"/>
      <c r="I275" s="23" t="n"/>
      <c r="J275" s="24" t="n"/>
      <c r="K275" s="24" t="n"/>
      <c r="L275" s="24" t="n"/>
      <c r="M275" s="25" t="n"/>
      <c r="N275" s="125" t="n"/>
      <c r="O275" s="23" t="n"/>
      <c r="P275" s="24" t="n"/>
      <c r="Q275" s="24" t="n"/>
      <c r="R275" s="24" t="n"/>
      <c r="S275" s="25" t="n"/>
      <c r="T275" s="125" t="n"/>
      <c r="U275" s="23" t="n"/>
      <c r="V275" s="24" t="n"/>
      <c r="W275" s="24" t="n"/>
      <c r="X275" s="24" t="n"/>
      <c r="Y275" s="25" t="n"/>
      <c r="Z275" s="125" t="n"/>
      <c r="AB275" s="23" t="n"/>
      <c r="AC275" s="24" t="n"/>
      <c r="AD275" s="24" t="n"/>
      <c r="AE275" s="24" t="n"/>
      <c r="AF275" s="25" t="n"/>
      <c r="AG275" s="125" t="n"/>
      <c r="AH275" s="23" t="n"/>
      <c r="AI275" s="24" t="n"/>
      <c r="AJ275" s="24" t="n"/>
      <c r="AK275" s="24" t="n"/>
      <c r="AL275" s="25" t="n"/>
      <c r="AM275" s="125" t="n"/>
      <c r="AN275" s="23" t="n"/>
      <c r="AO275" s="24" t="n"/>
      <c r="AP275" s="24" t="n"/>
      <c r="AQ275" s="24" t="n"/>
      <c r="AR275" s="25" t="n"/>
      <c r="AS275" s="125" t="n"/>
    </row>
    <row r="276" hidden="1" outlineLevel="1">
      <c r="A276" s="8" t="n"/>
      <c r="B276" s="14" t="n"/>
      <c r="C276" s="125" t="n"/>
      <c r="D276" s="125" t="n"/>
      <c r="E276" s="125" t="n"/>
      <c r="F276" s="125" t="n"/>
      <c r="G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row>
    <row r="277" hidden="1" outlineLevel="1">
      <c r="A277" s="8" t="n"/>
      <c r="B277" s="14" t="n"/>
      <c r="C277" s="125" t="n"/>
      <c r="D277" s="125" t="n"/>
      <c r="E277" s="125" t="n"/>
      <c r="F277" s="125" t="n"/>
      <c r="G277" s="125"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5"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5" t="n"/>
    </row>
    <row r="278" hidden="1" outlineLevel="1">
      <c r="A278" s="8" t="n"/>
      <c r="B278" s="14" t="n"/>
      <c r="C278" s="125" t="n"/>
      <c r="D278" s="125" t="n"/>
      <c r="E278" s="125" t="n"/>
      <c r="F278" s="125" t="n"/>
      <c r="G278" s="125" t="n"/>
      <c r="I278" s="55" t="inlineStr">
        <is>
          <t>NV 1 · CE 1</t>
        </is>
      </c>
      <c r="J278" s="134" t="n"/>
      <c r="K278" s="16" t="n"/>
      <c r="L278" s="17" t="n"/>
      <c r="M278" s="141">
        <f>DADOS_INVOC!$IM$3</f>
        <v/>
      </c>
      <c r="N278" s="16" t="n"/>
      <c r="O278" s="16" t="n"/>
      <c r="P278" s="16" t="n"/>
      <c r="Q278" s="16" t="n"/>
      <c r="R278" s="16" t="n"/>
      <c r="S278" s="16" t="n"/>
      <c r="T278" s="16" t="n"/>
      <c r="U278" s="16" t="n"/>
      <c r="V278" s="16" t="n"/>
      <c r="W278" s="16" t="n"/>
      <c r="X278" s="16" t="n"/>
      <c r="Y278" s="17" t="n"/>
      <c r="Z278" s="125" t="n"/>
      <c r="AB278" s="55" t="inlineStr">
        <is>
          <t>NV 1 · CE 1</t>
        </is>
      </c>
      <c r="AC278" s="134" t="n"/>
      <c r="AD278" s="16" t="n"/>
      <c r="AE278" s="17" t="n"/>
      <c r="AF278" s="141">
        <f>DADOS_INVOC!$IM$9</f>
        <v/>
      </c>
      <c r="AG278" s="16" t="n"/>
      <c r="AH278" s="16" t="n"/>
      <c r="AI278" s="16" t="n"/>
      <c r="AJ278" s="16" t="n"/>
      <c r="AK278" s="16" t="n"/>
      <c r="AL278" s="16" t="n"/>
      <c r="AM278" s="16" t="n"/>
      <c r="AN278" s="16" t="n"/>
      <c r="AO278" s="16" t="n"/>
      <c r="AP278" s="16" t="n"/>
      <c r="AQ278" s="16" t="n"/>
      <c r="AR278" s="17" t="n"/>
      <c r="AS278" s="125" t="n"/>
    </row>
    <row r="279" hidden="1" outlineLevel="1">
      <c r="A279" s="8" t="n"/>
      <c r="B279" s="14" t="n"/>
      <c r="C279" s="125" t="n"/>
      <c r="D279" s="125" t="n"/>
      <c r="E279" s="125" t="n"/>
      <c r="F279" s="125" t="n"/>
      <c r="G279" s="125" t="n"/>
      <c r="I279" s="55" t="inlineStr">
        <is>
          <t>NV 6 · CE 1</t>
        </is>
      </c>
      <c r="J279" s="134" t="n"/>
      <c r="K279" s="16" t="n"/>
      <c r="L279" s="17" t="n"/>
      <c r="M279" s="141">
        <f>DADOS_INVOC!$IN$3</f>
        <v/>
      </c>
      <c r="N279" s="16" t="n"/>
      <c r="O279" s="16" t="n"/>
      <c r="P279" s="16" t="n"/>
      <c r="Q279" s="16" t="n"/>
      <c r="R279" s="16" t="n"/>
      <c r="S279" s="16" t="n"/>
      <c r="T279" s="16" t="n"/>
      <c r="U279" s="16" t="n"/>
      <c r="V279" s="16" t="n"/>
      <c r="W279" s="16" t="n"/>
      <c r="X279" s="16" t="n"/>
      <c r="Y279" s="17" t="n"/>
      <c r="Z279" s="125" t="n"/>
      <c r="AB279" s="55" t="inlineStr">
        <is>
          <t>NV 6 · CE 1</t>
        </is>
      </c>
      <c r="AC279" s="134" t="n"/>
      <c r="AD279" s="16" t="n"/>
      <c r="AE279" s="17" t="n"/>
      <c r="AF279" s="141">
        <f>DADOS_INVOC!$IN$9</f>
        <v/>
      </c>
      <c r="AG279" s="16" t="n"/>
      <c r="AH279" s="16" t="n"/>
      <c r="AI279" s="16" t="n"/>
      <c r="AJ279" s="16" t="n"/>
      <c r="AK279" s="16" t="n"/>
      <c r="AL279" s="16" t="n"/>
      <c r="AM279" s="16" t="n"/>
      <c r="AN279" s="16" t="n"/>
      <c r="AO279" s="16" t="n"/>
      <c r="AP279" s="16" t="n"/>
      <c r="AQ279" s="16" t="n"/>
      <c r="AR279" s="17" t="n"/>
      <c r="AS279" s="125" t="n"/>
    </row>
    <row r="280" hidden="1" outlineLevel="1">
      <c r="A280" s="8" t="n"/>
      <c r="B280" s="14" t="n"/>
      <c r="C280" s="125" t="n"/>
      <c r="D280" s="125" t="n"/>
      <c r="E280" s="125" t="n"/>
      <c r="F280" s="125" t="n"/>
      <c r="G280" s="125" t="n"/>
      <c r="I280" s="55" t="inlineStr">
        <is>
          <t>NV 10 · CE 2</t>
        </is>
      </c>
      <c r="J280" s="134" t="n"/>
      <c r="K280" s="16" t="n"/>
      <c r="L280" s="17" t="n"/>
      <c r="M280" s="141">
        <f>DADOS_INVOC!$IO$3</f>
        <v/>
      </c>
      <c r="N280" s="16" t="n"/>
      <c r="O280" s="16" t="n"/>
      <c r="P280" s="16" t="n"/>
      <c r="Q280" s="16" t="n"/>
      <c r="R280" s="16" t="n"/>
      <c r="S280" s="16" t="n"/>
      <c r="T280" s="16" t="n"/>
      <c r="U280" s="16" t="n"/>
      <c r="V280" s="16" t="n"/>
      <c r="W280" s="16" t="n"/>
      <c r="X280" s="16" t="n"/>
      <c r="Y280" s="17" t="n"/>
      <c r="Z280" s="125" t="n"/>
      <c r="AB280" s="55" t="inlineStr">
        <is>
          <t>NV 10 · CE 2</t>
        </is>
      </c>
      <c r="AC280" s="134" t="n"/>
      <c r="AD280" s="16" t="n"/>
      <c r="AE280" s="17" t="n"/>
      <c r="AF280" s="141">
        <f>DADOS_INVOC!$IO$9</f>
        <v/>
      </c>
      <c r="AG280" s="16" t="n"/>
      <c r="AH280" s="16" t="n"/>
      <c r="AI280" s="16" t="n"/>
      <c r="AJ280" s="16" t="n"/>
      <c r="AK280" s="16" t="n"/>
      <c r="AL280" s="16" t="n"/>
      <c r="AM280" s="16" t="n"/>
      <c r="AN280" s="16" t="n"/>
      <c r="AO280" s="16" t="n"/>
      <c r="AP280" s="16" t="n"/>
      <c r="AQ280" s="16" t="n"/>
      <c r="AR280" s="17" t="n"/>
      <c r="AS280" s="125" t="n"/>
    </row>
    <row r="281" hidden="1" outlineLevel="1">
      <c r="A281" s="8" t="n"/>
      <c r="B281" s="14" t="n"/>
      <c r="C281" s="125" t="n"/>
      <c r="D281" s="125" t="n"/>
      <c r="E281" s="125" t="n"/>
      <c r="F281" s="125" t="n"/>
      <c r="G281" s="125" t="n"/>
      <c r="I281" s="55" t="inlineStr">
        <is>
          <t>NV 14 · CE 3</t>
        </is>
      </c>
      <c r="J281" s="134" t="n"/>
      <c r="K281" s="16" t="n"/>
      <c r="L281" s="17" t="n"/>
      <c r="M281" s="141">
        <f>DADOS_INVOC!$IP$3</f>
        <v/>
      </c>
      <c r="N281" s="16" t="n"/>
      <c r="O281" s="16" t="n"/>
      <c r="P281" s="16" t="n"/>
      <c r="Q281" s="16" t="n"/>
      <c r="R281" s="16" t="n"/>
      <c r="S281" s="16" t="n"/>
      <c r="T281" s="16" t="n"/>
      <c r="U281" s="16" t="n"/>
      <c r="V281" s="16" t="n"/>
      <c r="W281" s="16" t="n"/>
      <c r="X281" s="16" t="n"/>
      <c r="Y281" s="17" t="n"/>
      <c r="Z281" s="125" t="n"/>
      <c r="AB281" s="55" t="inlineStr">
        <is>
          <t>NV 14 · CE 3</t>
        </is>
      </c>
      <c r="AC281" s="134" t="n"/>
      <c r="AD281" s="16" t="n"/>
      <c r="AE281" s="17" t="n"/>
      <c r="AF281" s="141">
        <f>DADOS_INVOC!$IP$9</f>
        <v/>
      </c>
      <c r="AG281" s="16" t="n"/>
      <c r="AH281" s="16" t="n"/>
      <c r="AI281" s="16" t="n"/>
      <c r="AJ281" s="16" t="n"/>
      <c r="AK281" s="16" t="n"/>
      <c r="AL281" s="16" t="n"/>
      <c r="AM281" s="16" t="n"/>
      <c r="AN281" s="16" t="n"/>
      <c r="AO281" s="16" t="n"/>
      <c r="AP281" s="16" t="n"/>
      <c r="AQ281" s="16" t="n"/>
      <c r="AR281" s="17" t="n"/>
      <c r="AS281" s="125" t="n"/>
    </row>
    <row r="282" hidden="1" outlineLevel="1">
      <c r="A282" s="8" t="n"/>
      <c r="B282" s="14" t="n"/>
      <c r="C282" s="125" t="n"/>
      <c r="D282" s="125" t="n"/>
      <c r="E282" s="125" t="n"/>
      <c r="F282" s="125" t="n"/>
      <c r="G282" s="125" t="n"/>
      <c r="I282" s="55" t="inlineStr">
        <is>
          <t>NV 18 · CE 3</t>
        </is>
      </c>
      <c r="J282" s="134" t="n"/>
      <c r="K282" s="16" t="n"/>
      <c r="L282" s="17" t="n"/>
      <c r="M282" s="141">
        <f>DADOS_INVOC!$IQ$3</f>
        <v/>
      </c>
      <c r="N282" s="16" t="n"/>
      <c r="O282" s="16" t="n"/>
      <c r="P282" s="16" t="n"/>
      <c r="Q282" s="16" t="n"/>
      <c r="R282" s="16" t="n"/>
      <c r="S282" s="16" t="n"/>
      <c r="T282" s="16" t="n"/>
      <c r="U282" s="16" t="n"/>
      <c r="V282" s="16" t="n"/>
      <c r="W282" s="16" t="n"/>
      <c r="X282" s="16" t="n"/>
      <c r="Y282" s="17" t="n"/>
      <c r="Z282" s="125" t="n"/>
      <c r="AB282" s="55" t="inlineStr">
        <is>
          <t>NV 18 · CE 3</t>
        </is>
      </c>
      <c r="AC282" s="134" t="n"/>
      <c r="AD282" s="16" t="n"/>
      <c r="AE282" s="17" t="n"/>
      <c r="AF282" s="141">
        <f>DADOS_INVOC!$IQ$9</f>
        <v/>
      </c>
      <c r="AG282" s="16" t="n"/>
      <c r="AH282" s="16" t="n"/>
      <c r="AI282" s="16" t="n"/>
      <c r="AJ282" s="16" t="n"/>
      <c r="AK282" s="16" t="n"/>
      <c r="AL282" s="16" t="n"/>
      <c r="AM282" s="16" t="n"/>
      <c r="AN282" s="16" t="n"/>
      <c r="AO282" s="16" t="n"/>
      <c r="AP282" s="16" t="n"/>
      <c r="AQ282" s="16" t="n"/>
      <c r="AR282" s="17" t="n"/>
      <c r="AS282" s="125" t="n"/>
    </row>
    <row r="283" hidden="1" outlineLevel="1">
      <c r="A283" s="8" t="n"/>
      <c r="B283" s="14" t="n"/>
      <c r="C283" s="125" t="n"/>
      <c r="D283" s="125" t="n"/>
      <c r="E283" s="125" t="n"/>
      <c r="F283" s="125" t="n"/>
      <c r="G283" s="125" t="n"/>
      <c r="I283" s="55" t="inlineStr">
        <is>
          <t>NV 22 · CE 3</t>
        </is>
      </c>
      <c r="J283" s="134" t="n"/>
      <c r="K283" s="16" t="n"/>
      <c r="L283" s="17" t="n"/>
      <c r="M283" s="141">
        <f>DADOS_INVOC!$IR$3</f>
        <v/>
      </c>
      <c r="N283" s="16" t="n"/>
      <c r="O283" s="16" t="n"/>
      <c r="P283" s="16" t="n"/>
      <c r="Q283" s="16" t="n"/>
      <c r="R283" s="16" t="n"/>
      <c r="S283" s="16" t="n"/>
      <c r="T283" s="16" t="n"/>
      <c r="U283" s="16" t="n"/>
      <c r="V283" s="16" t="n"/>
      <c r="W283" s="16" t="n"/>
      <c r="X283" s="16" t="n"/>
      <c r="Y283" s="17" t="n"/>
      <c r="Z283" s="125" t="n"/>
      <c r="AB283" s="55" t="inlineStr">
        <is>
          <t>NV 22 · CE 3</t>
        </is>
      </c>
      <c r="AC283" s="134" t="n"/>
      <c r="AD283" s="16" t="n"/>
      <c r="AE283" s="17" t="n"/>
      <c r="AF283" s="141">
        <f>DADOS_INVOC!$IR$9</f>
        <v/>
      </c>
      <c r="AG283" s="16" t="n"/>
      <c r="AH283" s="16" t="n"/>
      <c r="AI283" s="16" t="n"/>
      <c r="AJ283" s="16" t="n"/>
      <c r="AK283" s="16" t="n"/>
      <c r="AL283" s="16" t="n"/>
      <c r="AM283" s="16" t="n"/>
      <c r="AN283" s="16" t="n"/>
      <c r="AO283" s="16" t="n"/>
      <c r="AP283" s="16" t="n"/>
      <c r="AQ283" s="16" t="n"/>
      <c r="AR283" s="17" t="n"/>
      <c r="AS283" s="125" t="n"/>
    </row>
    <row r="284" hidden="1" outlineLevel="1">
      <c r="A284" s="8" t="n"/>
      <c r="B284" s="14" t="n"/>
      <c r="C284" s="125" t="n"/>
      <c r="D284" s="125" t="n"/>
      <c r="E284" s="125" t="n"/>
      <c r="F284" s="125" t="n"/>
      <c r="G284" s="125" t="n"/>
      <c r="I284" s="55" t="inlineStr">
        <is>
          <t>NV 26 · CE 3</t>
        </is>
      </c>
      <c r="J284" s="134" t="n"/>
      <c r="K284" s="16" t="n"/>
      <c r="L284" s="17" t="n"/>
      <c r="M284" s="141">
        <f>DADOS_INVOC!$IS$3</f>
        <v/>
      </c>
      <c r="N284" s="16" t="n"/>
      <c r="O284" s="16" t="n"/>
      <c r="P284" s="16" t="n"/>
      <c r="Q284" s="16" t="n"/>
      <c r="R284" s="16" t="n"/>
      <c r="S284" s="16" t="n"/>
      <c r="T284" s="16" t="n"/>
      <c r="U284" s="16" t="n"/>
      <c r="V284" s="16" t="n"/>
      <c r="W284" s="16" t="n"/>
      <c r="X284" s="16" t="n"/>
      <c r="Y284" s="17" t="n"/>
      <c r="Z284" s="125" t="n"/>
      <c r="AB284" s="55" t="inlineStr">
        <is>
          <t>NV 26 · CE 3</t>
        </is>
      </c>
      <c r="AC284" s="134" t="n"/>
      <c r="AD284" s="16" t="n"/>
      <c r="AE284" s="17" t="n"/>
      <c r="AF284" s="141">
        <f>DADOS_INVOC!$IS$9</f>
        <v/>
      </c>
      <c r="AG284" s="16" t="n"/>
      <c r="AH284" s="16" t="n"/>
      <c r="AI284" s="16" t="n"/>
      <c r="AJ284" s="16" t="n"/>
      <c r="AK284" s="16" t="n"/>
      <c r="AL284" s="16" t="n"/>
      <c r="AM284" s="16" t="n"/>
      <c r="AN284" s="16" t="n"/>
      <c r="AO284" s="16" t="n"/>
      <c r="AP284" s="16" t="n"/>
      <c r="AQ284" s="16" t="n"/>
      <c r="AR284" s="17" t="n"/>
      <c r="AS284" s="125" t="n"/>
    </row>
    <row r="285" hidden="1" outlineLevel="1">
      <c r="A285" s="8" t="n"/>
      <c r="B285" s="14" t="n"/>
      <c r="C285" s="125" t="n"/>
      <c r="D285" s="125" t="n"/>
      <c r="E285" s="125" t="n"/>
      <c r="F285" s="125" t="n"/>
      <c r="G285" s="125" t="n"/>
      <c r="I285" s="55" t="inlineStr">
        <is>
          <t>NV 30 · CE 3</t>
        </is>
      </c>
      <c r="J285" s="134" t="n"/>
      <c r="K285" s="16" t="n"/>
      <c r="L285" s="17" t="n"/>
      <c r="M285" s="141">
        <f>DADOS_INVOC!$IT$3</f>
        <v/>
      </c>
      <c r="N285" s="16" t="n"/>
      <c r="O285" s="16" t="n"/>
      <c r="P285" s="16" t="n"/>
      <c r="Q285" s="16" t="n"/>
      <c r="R285" s="16" t="n"/>
      <c r="S285" s="16" t="n"/>
      <c r="T285" s="16" t="n"/>
      <c r="U285" s="16" t="n"/>
      <c r="V285" s="16" t="n"/>
      <c r="W285" s="16" t="n"/>
      <c r="X285" s="16" t="n"/>
      <c r="Y285" s="17" t="n"/>
      <c r="Z285" s="125" t="n"/>
      <c r="AB285" s="55" t="inlineStr">
        <is>
          <t>NV 30 · CE 3</t>
        </is>
      </c>
      <c r="AC285" s="134" t="n"/>
      <c r="AD285" s="16" t="n"/>
      <c r="AE285" s="17" t="n"/>
      <c r="AF285" s="141">
        <f>DADOS_INVOC!$IT$9</f>
        <v/>
      </c>
      <c r="AG285" s="16" t="n"/>
      <c r="AH285" s="16" t="n"/>
      <c r="AI285" s="16" t="n"/>
      <c r="AJ285" s="16" t="n"/>
      <c r="AK285" s="16" t="n"/>
      <c r="AL285" s="16" t="n"/>
      <c r="AM285" s="16" t="n"/>
      <c r="AN285" s="16" t="n"/>
      <c r="AO285" s="16" t="n"/>
      <c r="AP285" s="16" t="n"/>
      <c r="AQ285" s="16" t="n"/>
      <c r="AR285" s="17" t="n"/>
      <c r="AS285" s="125" t="n"/>
    </row>
    <row r="286" hidden="1" outlineLevel="1">
      <c r="A286" s="8" t="n"/>
      <c r="B286" s="14" t="n"/>
      <c r="C286" s="125" t="n"/>
      <c r="D286" s="125" t="n"/>
      <c r="E286" s="125" t="n"/>
      <c r="F286" s="125" t="n"/>
      <c r="G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row>
    <row r="287" hidden="1" outlineLevel="1">
      <c r="A287" s="8" t="n"/>
      <c r="B287" s="14" t="n"/>
      <c r="C287" s="125" t="n"/>
      <c r="D287" s="125" t="n"/>
      <c r="E287" s="125" t="n"/>
      <c r="F287" s="125" t="n"/>
      <c r="G287" s="125" t="n"/>
      <c r="I287" s="137"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5" t="n"/>
      <c r="AB287" s="137"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5" t="n"/>
    </row>
    <row r="288" hidden="1" outlineLevel="2">
      <c r="A288" s="8" t="n"/>
      <c r="B288" s="14" t="n"/>
      <c r="C288" s="125" t="n"/>
      <c r="D288" s="125" t="n"/>
      <c r="E288" s="125" t="n"/>
      <c r="F288" s="125" t="n"/>
      <c r="G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row>
    <row r="289" hidden="1" outlineLevel="2">
      <c r="A289" s="8" t="n"/>
      <c r="B289" s="14" t="n"/>
      <c r="C289" s="125" t="n"/>
      <c r="D289" s="125" t="n"/>
      <c r="E289" s="125" t="n"/>
      <c r="F289" s="125" t="n"/>
      <c r="G289" s="125" t="n"/>
      <c r="I289" s="55">
        <f>DADOS_INVOC!$PX$18</f>
        <v/>
      </c>
      <c r="J289" s="16" t="n"/>
      <c r="K289" s="16" t="n"/>
      <c r="L289" s="16" t="n"/>
      <c r="M289" s="17" t="n"/>
      <c r="N289" s="125" t="n"/>
      <c r="O289" s="55">
        <f>DADOS_INVOC!$PX$19</f>
        <v/>
      </c>
      <c r="P289" s="16" t="n"/>
      <c r="Q289" s="16" t="n"/>
      <c r="R289" s="16" t="n"/>
      <c r="S289" s="17" t="n"/>
      <c r="T289" s="125" t="n"/>
      <c r="U289" s="55">
        <f>DADOS_INVOC!$PX$20</f>
        <v/>
      </c>
      <c r="V289" s="16" t="n"/>
      <c r="W289" s="16" t="n"/>
      <c r="X289" s="16" t="n"/>
      <c r="Y289" s="17" t="n"/>
      <c r="Z289" s="125" t="n"/>
      <c r="AB289" s="55">
        <f>DADOS_INVOC!$PX$96</f>
        <v/>
      </c>
      <c r="AC289" s="16" t="n"/>
      <c r="AD289" s="16" t="n"/>
      <c r="AE289" s="16" t="n"/>
      <c r="AF289" s="17" t="n"/>
      <c r="AG289" s="125" t="n"/>
      <c r="AH289" s="55">
        <f>DADOS_INVOC!$PX$97</f>
        <v/>
      </c>
      <c r="AI289" s="16" t="n"/>
      <c r="AJ289" s="16" t="n"/>
      <c r="AK289" s="16" t="n"/>
      <c r="AL289" s="17" t="n"/>
      <c r="AM289" s="125" t="n"/>
      <c r="AN289" s="55">
        <f>DADOS_INVOC!$PX$98</f>
        <v/>
      </c>
      <c r="AO289" s="16" t="n"/>
      <c r="AP289" s="16" t="n"/>
      <c r="AQ289" s="16" t="n"/>
      <c r="AR289" s="17" t="n"/>
      <c r="AS289" s="125" t="n"/>
    </row>
    <row r="290" hidden="1" outlineLevel="2">
      <c r="A290" s="8" t="n"/>
      <c r="B290" s="14" t="n"/>
      <c r="C290" s="125" t="n"/>
      <c r="D290" s="125" t="n"/>
      <c r="E290" s="125" t="n"/>
      <c r="F290" s="125" t="n"/>
      <c r="G290" s="125" t="n"/>
      <c r="I290" s="131" t="n">
        <v>0</v>
      </c>
      <c r="J290" s="120" t="n"/>
      <c r="K290" s="16" t="n"/>
      <c r="L290" s="17" t="n"/>
      <c r="M290" s="132">
        <f>DADOS_INVOC!$PV$18</f>
        <v/>
      </c>
      <c r="N290" s="125" t="n"/>
      <c r="O290" s="131" t="n">
        <v>1</v>
      </c>
      <c r="P290" s="120" t="n"/>
      <c r="Q290" s="16" t="n"/>
      <c r="R290" s="17" t="n"/>
      <c r="S290" s="132">
        <f>DADOS_INVOC!$PV$19</f>
        <v/>
      </c>
      <c r="T290" s="125" t="n"/>
      <c r="U290" s="131" t="n">
        <v>1</v>
      </c>
      <c r="V290" s="120" t="n"/>
      <c r="W290" s="16" t="n"/>
      <c r="X290" s="17" t="n"/>
      <c r="Y290" s="132">
        <f>DADOS_INVOC!$PV$20</f>
        <v/>
      </c>
      <c r="Z290" s="125" t="n"/>
      <c r="AB290" s="131" t="n">
        <v>0</v>
      </c>
      <c r="AC290" s="120" t="n"/>
      <c r="AD290" s="16" t="n"/>
      <c r="AE290" s="17" t="n"/>
      <c r="AF290" s="132">
        <f>DADOS_INVOC!$PV$96</f>
        <v/>
      </c>
      <c r="AG290" s="125" t="n"/>
      <c r="AH290" s="131" t="n">
        <v>1</v>
      </c>
      <c r="AI290" s="120" t="n"/>
      <c r="AJ290" s="16" t="n"/>
      <c r="AK290" s="17" t="n"/>
      <c r="AL290" s="132">
        <f>DADOS_INVOC!$PV$97</f>
        <v/>
      </c>
      <c r="AM290" s="125" t="n"/>
      <c r="AN290" s="131" t="n">
        <v>1</v>
      </c>
      <c r="AO290" s="120" t="n"/>
      <c r="AP290" s="16" t="n"/>
      <c r="AQ290" s="17" t="n"/>
      <c r="AR290" s="132">
        <f>DADOS_INVOC!$PV$98</f>
        <v/>
      </c>
      <c r="AS290" s="125" t="n"/>
    </row>
    <row r="291" hidden="1" outlineLevel="3">
      <c r="A291" s="8" t="n"/>
      <c r="B291" s="14" t="n"/>
      <c r="C291" s="125" t="n"/>
      <c r="D291" s="125" t="n"/>
      <c r="E291" s="125" t="n"/>
      <c r="F291" s="125" t="n"/>
      <c r="G291" s="125" t="n"/>
      <c r="I291" s="55" t="inlineStr">
        <is>
          <t>COMO É</t>
        </is>
      </c>
      <c r="J291" s="16" t="n"/>
      <c r="K291" s="16" t="n"/>
      <c r="L291" s="16" t="n"/>
      <c r="M291" s="17" t="n"/>
      <c r="N291" s="125" t="n"/>
      <c r="O291" s="55" t="inlineStr">
        <is>
          <t>COMO É</t>
        </is>
      </c>
      <c r="P291" s="16" t="n"/>
      <c r="Q291" s="16" t="n"/>
      <c r="R291" s="16" t="n"/>
      <c r="S291" s="17" t="n"/>
      <c r="T291" s="125" t="n"/>
      <c r="U291" s="55" t="inlineStr">
        <is>
          <t>COMO É</t>
        </is>
      </c>
      <c r="V291" s="16" t="n"/>
      <c r="W291" s="16" t="n"/>
      <c r="X291" s="16" t="n"/>
      <c r="Y291" s="17" t="n"/>
      <c r="Z291" s="125" t="n"/>
      <c r="AB291" s="55" t="inlineStr">
        <is>
          <t>COMO É</t>
        </is>
      </c>
      <c r="AC291" s="16" t="n"/>
      <c r="AD291" s="16" t="n"/>
      <c r="AE291" s="16" t="n"/>
      <c r="AF291" s="17" t="n"/>
      <c r="AG291" s="125" t="n"/>
      <c r="AH291" s="55" t="inlineStr">
        <is>
          <t>COMO É</t>
        </is>
      </c>
      <c r="AI291" s="16" t="n"/>
      <c r="AJ291" s="16" t="n"/>
      <c r="AK291" s="16" t="n"/>
      <c r="AL291" s="17" t="n"/>
      <c r="AM291" s="125" t="n"/>
      <c r="AN291" s="55" t="inlineStr">
        <is>
          <t>COMO É</t>
        </is>
      </c>
      <c r="AO291" s="16" t="n"/>
      <c r="AP291" s="16" t="n"/>
      <c r="AQ291" s="16" t="n"/>
      <c r="AR291" s="17" t="n"/>
      <c r="AS291" s="125" t="n"/>
    </row>
    <row r="292" hidden="1" outlineLevel="3">
      <c r="A292" s="8" t="n"/>
      <c r="B292" s="14" t="n"/>
      <c r="C292" s="125" t="n"/>
      <c r="D292" s="125" t="n"/>
      <c r="E292" s="125" t="n"/>
      <c r="F292" s="125" t="n"/>
      <c r="G292" s="125" t="n"/>
      <c r="I292" s="121" t="n"/>
      <c r="J292" s="19" t="n"/>
      <c r="K292" s="19" t="n"/>
      <c r="L292" s="19" t="n"/>
      <c r="M292" s="20" t="n"/>
      <c r="N292" s="125" t="n"/>
      <c r="O292" s="121" t="n"/>
      <c r="P292" s="19" t="n"/>
      <c r="Q292" s="19" t="n"/>
      <c r="R292" s="19" t="n"/>
      <c r="S292" s="20" t="n"/>
      <c r="T292" s="125" t="n"/>
      <c r="U292" s="121" t="n"/>
      <c r="V292" s="19" t="n"/>
      <c r="W292" s="19" t="n"/>
      <c r="X292" s="19" t="n"/>
      <c r="Y292" s="20" t="n"/>
      <c r="Z292" s="125" t="n"/>
      <c r="AB292" s="121" t="n"/>
      <c r="AC292" s="19" t="n"/>
      <c r="AD292" s="19" t="n"/>
      <c r="AE292" s="19" t="n"/>
      <c r="AF292" s="20" t="n"/>
      <c r="AG292" s="125" t="n"/>
      <c r="AH292" s="121" t="n"/>
      <c r="AI292" s="19" t="n"/>
      <c r="AJ292" s="19" t="n"/>
      <c r="AK292" s="19" t="n"/>
      <c r="AL292" s="20" t="n"/>
      <c r="AM292" s="125" t="n"/>
      <c r="AN292" s="121" t="n"/>
      <c r="AO292" s="19" t="n"/>
      <c r="AP292" s="19" t="n"/>
      <c r="AQ292" s="19" t="n"/>
      <c r="AR292" s="20" t="n"/>
      <c r="AS292" s="125" t="n"/>
    </row>
    <row r="293" hidden="1" outlineLevel="3">
      <c r="A293" s="8" t="n"/>
      <c r="B293" s="14" t="n"/>
      <c r="C293" s="125" t="n"/>
      <c r="D293" s="125" t="n"/>
      <c r="E293" s="125" t="n"/>
      <c r="F293" s="125" t="n"/>
      <c r="G293" s="125" t="n"/>
      <c r="I293" s="21" t="n"/>
      <c r="M293" s="22" t="n"/>
      <c r="N293" s="125" t="n"/>
      <c r="O293" s="21" t="n"/>
      <c r="S293" s="22" t="n"/>
      <c r="T293" s="125" t="n"/>
      <c r="U293" s="21" t="n"/>
      <c r="Y293" s="22" t="n"/>
      <c r="Z293" s="125" t="n"/>
      <c r="AB293" s="21" t="n"/>
      <c r="AF293" s="22" t="n"/>
      <c r="AG293" s="125" t="n"/>
      <c r="AH293" s="21" t="n"/>
      <c r="AL293" s="22" t="n"/>
      <c r="AM293" s="125" t="n"/>
      <c r="AN293" s="21" t="n"/>
      <c r="AR293" s="22" t="n"/>
      <c r="AS293" s="125" t="n"/>
    </row>
    <row r="294" hidden="1" outlineLevel="3">
      <c r="A294" s="8" t="n"/>
      <c r="B294" s="14" t="n"/>
      <c r="C294" s="125" t="n"/>
      <c r="D294" s="125" t="n"/>
      <c r="E294" s="125" t="n"/>
      <c r="F294" s="125" t="n"/>
      <c r="G294" s="125" t="n"/>
      <c r="I294" s="23" t="n"/>
      <c r="J294" s="24" t="n"/>
      <c r="K294" s="24" t="n"/>
      <c r="L294" s="24" t="n"/>
      <c r="M294" s="25" t="n"/>
      <c r="N294" s="125" t="n"/>
      <c r="O294" s="23" t="n"/>
      <c r="P294" s="24" t="n"/>
      <c r="Q294" s="24" t="n"/>
      <c r="R294" s="24" t="n"/>
      <c r="S294" s="25" t="n"/>
      <c r="T294" s="125" t="n"/>
      <c r="U294" s="23" t="n"/>
      <c r="V294" s="24" t="n"/>
      <c r="W294" s="24" t="n"/>
      <c r="X294" s="24" t="n"/>
      <c r="Y294" s="25" t="n"/>
      <c r="Z294" s="125" t="n"/>
      <c r="AB294" s="23" t="n"/>
      <c r="AC294" s="24" t="n"/>
      <c r="AD294" s="24" t="n"/>
      <c r="AE294" s="24" t="n"/>
      <c r="AF294" s="25" t="n"/>
      <c r="AG294" s="125" t="n"/>
      <c r="AH294" s="23" t="n"/>
      <c r="AI294" s="24" t="n"/>
      <c r="AJ294" s="24" t="n"/>
      <c r="AK294" s="24" t="n"/>
      <c r="AL294" s="25" t="n"/>
      <c r="AM294" s="125" t="n"/>
      <c r="AN294" s="23" t="n"/>
      <c r="AO294" s="24" t="n"/>
      <c r="AP294" s="24" t="n"/>
      <c r="AQ294" s="24" t="n"/>
      <c r="AR294" s="25" t="n"/>
      <c r="AS294" s="125" t="n"/>
    </row>
    <row r="295" hidden="1" outlineLevel="2">
      <c r="A295" s="8" t="n"/>
      <c r="B295" s="14" t="n"/>
      <c r="C295" s="125" t="n"/>
      <c r="D295" s="125" t="n"/>
      <c r="E295" s="125" t="n"/>
      <c r="F295" s="125" t="n"/>
      <c r="G295" s="125" t="n"/>
      <c r="I295" s="89" t="inlineStr">
        <is>
          <t>Projétil</t>
        </is>
      </c>
      <c r="J295" s="17" t="n"/>
      <c r="K295" s="68">
        <f>DADOS_INVOC!$QC$18</f>
        <v/>
      </c>
      <c r="L295" s="17" t="n"/>
      <c r="M295" s="68">
        <f>DADOS_INVOC!$PY$18</f>
        <v/>
      </c>
      <c r="N295" s="125" t="n"/>
      <c r="O295" s="89" t="inlineStr">
        <is>
          <t>Projétil</t>
        </is>
      </c>
      <c r="P295" s="17" t="n"/>
      <c r="Q295" s="68">
        <f>DADOS_INVOC!$QC$19</f>
        <v/>
      </c>
      <c r="R295" s="17" t="n"/>
      <c r="S295" s="68">
        <f>DADOS_INVOC!$PY$19</f>
        <v/>
      </c>
      <c r="T295" s="125" t="n"/>
      <c r="U295" s="89" t="inlineStr">
        <is>
          <t>Projétil</t>
        </is>
      </c>
      <c r="V295" s="17" t="n"/>
      <c r="W295" s="68">
        <f>DADOS_INVOC!$QC$20</f>
        <v/>
      </c>
      <c r="X295" s="17" t="n"/>
      <c r="Y295" s="68">
        <f>DADOS_INVOC!$PY$20</f>
        <v/>
      </c>
      <c r="Z295" s="125" t="n"/>
      <c r="AB295" s="89" t="inlineStr">
        <is>
          <t>Projétil</t>
        </is>
      </c>
      <c r="AC295" s="17" t="n"/>
      <c r="AD295" s="68">
        <f>DADOS_INVOC!$QC$96</f>
        <v/>
      </c>
      <c r="AE295" s="17" t="n"/>
      <c r="AF295" s="68">
        <f>DADOS_INVOC!$PY$96</f>
        <v/>
      </c>
      <c r="AG295" s="125" t="n"/>
      <c r="AH295" s="89" t="inlineStr">
        <is>
          <t>Projétil</t>
        </is>
      </c>
      <c r="AI295" s="17" t="n"/>
      <c r="AJ295" s="68">
        <f>DADOS_INVOC!$QC$97</f>
        <v/>
      </c>
      <c r="AK295" s="17" t="n"/>
      <c r="AL295" s="68">
        <f>DADOS_INVOC!$PY$97</f>
        <v/>
      </c>
      <c r="AM295" s="125" t="n"/>
      <c r="AN295" s="89" t="inlineStr">
        <is>
          <t>Projétil</t>
        </is>
      </c>
      <c r="AO295" s="17" t="n"/>
      <c r="AP295" s="68">
        <f>DADOS_INVOC!$QC$98</f>
        <v/>
      </c>
      <c r="AQ295" s="17" t="n"/>
      <c r="AR295" s="68">
        <f>DADOS_INVOC!$PY$98</f>
        <v/>
      </c>
      <c r="AS295" s="125" t="n"/>
    </row>
    <row r="296" hidden="1" outlineLevel="2">
      <c r="A296" s="8" t="n"/>
      <c r="B296" s="14" t="n"/>
      <c r="C296" s="125" t="n"/>
      <c r="D296" s="125" t="n"/>
      <c r="E296" s="125" t="n"/>
      <c r="F296" s="125" t="n"/>
      <c r="G296" s="125" t="n"/>
      <c r="I296" s="89" t="n"/>
      <c r="J296" s="17" t="n"/>
      <c r="K296" s="89" t="n"/>
      <c r="L296" s="16" t="n"/>
      <c r="M296" s="17" t="n"/>
      <c r="N296" s="125" t="n"/>
      <c r="O296" s="89" t="n"/>
      <c r="P296" s="17" t="n"/>
      <c r="Q296" s="89" t="n"/>
      <c r="R296" s="16" t="n"/>
      <c r="S296" s="17" t="n"/>
      <c r="T296" s="125" t="n"/>
      <c r="U296" s="89" t="n"/>
      <c r="V296" s="17" t="n"/>
      <c r="W296" s="89" t="n"/>
      <c r="X296" s="16" t="n"/>
      <c r="Y296" s="17" t="n"/>
      <c r="Z296" s="125" t="n"/>
      <c r="AB296" s="89" t="n"/>
      <c r="AC296" s="17" t="n"/>
      <c r="AD296" s="89" t="n"/>
      <c r="AE296" s="16" t="n"/>
      <c r="AF296" s="17" t="n"/>
      <c r="AG296" s="125" t="n"/>
      <c r="AH296" s="89" t="n"/>
      <c r="AI296" s="17" t="n"/>
      <c r="AJ296" s="89" t="n"/>
      <c r="AK296" s="16" t="n"/>
      <c r="AL296" s="17" t="n"/>
      <c r="AM296" s="125" t="n"/>
      <c r="AN296" s="89" t="n"/>
      <c r="AO296" s="17" t="n"/>
      <c r="AP296" s="89" t="n"/>
      <c r="AQ296" s="16" t="n"/>
      <c r="AR296" s="17" t="n"/>
      <c r="AS296" s="125" t="n"/>
    </row>
    <row r="297" hidden="1" outlineLevel="2">
      <c r="A297" s="8" t="n"/>
      <c r="B297" s="14" t="n"/>
      <c r="C297" s="125" t="n"/>
      <c r="D297" s="125" t="n"/>
      <c r="E297" s="125" t="n"/>
      <c r="F297" s="125" t="n"/>
      <c r="G297" s="125" t="n"/>
      <c r="I297" s="89">
        <f>DADOS_INVOC!$PZ$18</f>
        <v/>
      </c>
      <c r="J297" s="17" t="n"/>
      <c r="K297" s="89">
        <f>DADOS_INVOC!$QB$18</f>
        <v/>
      </c>
      <c r="L297" s="16" t="n"/>
      <c r="M297" s="17" t="n"/>
      <c r="N297" s="125" t="n"/>
      <c r="O297" s="89">
        <f>DADOS_INVOC!$PZ$19</f>
        <v/>
      </c>
      <c r="P297" s="17" t="n"/>
      <c r="Q297" s="89">
        <f>DADOS_INVOC!$QB$19</f>
        <v/>
      </c>
      <c r="R297" s="16" t="n"/>
      <c r="S297" s="17" t="n"/>
      <c r="T297" s="125" t="n"/>
      <c r="U297" s="89">
        <f>DADOS_INVOC!$PZ$20</f>
        <v/>
      </c>
      <c r="V297" s="17" t="n"/>
      <c r="W297" s="89">
        <f>DADOS_INVOC!$QB$20</f>
        <v/>
      </c>
      <c r="X297" s="16" t="n"/>
      <c r="Y297" s="17" t="n"/>
      <c r="Z297" s="125" t="n"/>
      <c r="AB297" s="89">
        <f>DADOS_INVOC!$PZ$96</f>
        <v/>
      </c>
      <c r="AC297" s="17" t="n"/>
      <c r="AD297" s="89">
        <f>DADOS_INVOC!$QB$96</f>
        <v/>
      </c>
      <c r="AE297" s="16" t="n"/>
      <c r="AF297" s="17" t="n"/>
      <c r="AG297" s="125" t="n"/>
      <c r="AH297" s="89">
        <f>DADOS_INVOC!$PZ$97</f>
        <v/>
      </c>
      <c r="AI297" s="17" t="n"/>
      <c r="AJ297" s="89">
        <f>DADOS_INVOC!$QB$97</f>
        <v/>
      </c>
      <c r="AK297" s="16" t="n"/>
      <c r="AL297" s="17" t="n"/>
      <c r="AM297" s="125" t="n"/>
      <c r="AN297" s="89">
        <f>DADOS_INVOC!$PZ$98</f>
        <v/>
      </c>
      <c r="AO297" s="17" t="n"/>
      <c r="AP297" s="89">
        <f>DADOS_INVOC!$QB$98</f>
        <v/>
      </c>
      <c r="AQ297" s="16" t="n"/>
      <c r="AR297" s="17" t="n"/>
      <c r="AS297" s="125" t="n"/>
    </row>
    <row r="298" hidden="1" outlineLevel="2">
      <c r="A298" s="8" t="n"/>
      <c r="B298" s="14" t="n"/>
      <c r="C298" s="125" t="n"/>
      <c r="D298" s="125" t="n"/>
      <c r="E298" s="125" t="n"/>
      <c r="F298" s="125" t="n"/>
      <c r="G298" s="125" t="n"/>
      <c r="I298" s="133">
        <f>DADOS_INVOC!$QH$18</f>
        <v/>
      </c>
      <c r="J298" s="16" t="n"/>
      <c r="K298" s="16" t="n"/>
      <c r="L298" s="16" t="n"/>
      <c r="M298" s="17" t="n"/>
      <c r="N298" s="125" t="n"/>
      <c r="O298" s="133">
        <f>DADOS_INVOC!$QH$19</f>
        <v/>
      </c>
      <c r="P298" s="16" t="n"/>
      <c r="Q298" s="16" t="n"/>
      <c r="R298" s="16" t="n"/>
      <c r="S298" s="17" t="n"/>
      <c r="T298" s="125" t="n"/>
      <c r="U298" s="133">
        <f>DADOS_INVOC!$QH$20</f>
        <v/>
      </c>
      <c r="V298" s="16" t="n"/>
      <c r="W298" s="16" t="n"/>
      <c r="X298" s="16" t="n"/>
      <c r="Y298" s="17" t="n"/>
      <c r="Z298" s="125" t="n"/>
      <c r="AB298" s="133">
        <f>DADOS_INVOC!$QH$96</f>
        <v/>
      </c>
      <c r="AC298" s="16" t="n"/>
      <c r="AD298" s="16" t="n"/>
      <c r="AE298" s="16" t="n"/>
      <c r="AF298" s="17" t="n"/>
      <c r="AG298" s="125" t="n"/>
      <c r="AH298" s="133">
        <f>DADOS_INVOC!$QH$97</f>
        <v/>
      </c>
      <c r="AI298" s="16" t="n"/>
      <c r="AJ298" s="16" t="n"/>
      <c r="AK298" s="16" t="n"/>
      <c r="AL298" s="17" t="n"/>
      <c r="AM298" s="125" t="n"/>
      <c r="AN298" s="133">
        <f>DADOS_INVOC!$QH$98</f>
        <v/>
      </c>
      <c r="AO298" s="16" t="n"/>
      <c r="AP298" s="16" t="n"/>
      <c r="AQ298" s="16" t="n"/>
      <c r="AR298" s="17" t="n"/>
      <c r="AS298" s="125" t="n"/>
    </row>
    <row r="299" hidden="1" outlineLevel="3">
      <c r="A299" s="8" t="n"/>
      <c r="B299" s="14" t="n"/>
      <c r="C299" s="125" t="n"/>
      <c r="D299" s="125" t="n"/>
      <c r="E299" s="125" t="n"/>
      <c r="F299" s="125" t="n"/>
      <c r="G299" s="125" t="n"/>
      <c r="I299" s="55" t="inlineStr">
        <is>
          <t>MELHORIAS</t>
        </is>
      </c>
      <c r="J299" s="134" t="n"/>
      <c r="K299" s="16" t="n"/>
      <c r="L299" s="17" t="n"/>
      <c r="M299" s="133">
        <f>DADOS_INVOC!$QK$18</f>
        <v/>
      </c>
      <c r="N299" s="125" t="n"/>
      <c r="O299" s="55" t="inlineStr">
        <is>
          <t>MELHORIAS</t>
        </is>
      </c>
      <c r="P299" s="134" t="n"/>
      <c r="Q299" s="16" t="n"/>
      <c r="R299" s="17" t="n"/>
      <c r="S299" s="133">
        <f>DADOS_INVOC!$QK$19</f>
        <v/>
      </c>
      <c r="T299" s="125" t="n"/>
      <c r="U299" s="55" t="inlineStr">
        <is>
          <t>MELHORIAS</t>
        </is>
      </c>
      <c r="V299" s="134" t="n"/>
      <c r="W299" s="16" t="n"/>
      <c r="X299" s="17" t="n"/>
      <c r="Y299" s="133">
        <f>DADOS_INVOC!$QK$20</f>
        <v/>
      </c>
      <c r="Z299" s="125" t="n"/>
      <c r="AB299" s="55" t="inlineStr">
        <is>
          <t>MELHORIAS</t>
        </is>
      </c>
      <c r="AC299" s="134" t="n"/>
      <c r="AD299" s="16" t="n"/>
      <c r="AE299" s="17" t="n"/>
      <c r="AF299" s="133">
        <f>DADOS_INVOC!$QK$96</f>
        <v/>
      </c>
      <c r="AG299" s="125" t="n"/>
      <c r="AH299" s="55" t="inlineStr">
        <is>
          <t>MELHORIAS</t>
        </is>
      </c>
      <c r="AI299" s="134" t="n"/>
      <c r="AJ299" s="16" t="n"/>
      <c r="AK299" s="17" t="n"/>
      <c r="AL299" s="133">
        <f>DADOS_INVOC!$QK$97</f>
        <v/>
      </c>
      <c r="AM299" s="125" t="n"/>
      <c r="AN299" s="55" t="inlineStr">
        <is>
          <t>MELHORIAS</t>
        </is>
      </c>
      <c r="AO299" s="134" t="n"/>
      <c r="AP299" s="16" t="n"/>
      <c r="AQ299" s="17" t="n"/>
      <c r="AR299" s="133">
        <f>DADOS_INVOC!$QK$98</f>
        <v/>
      </c>
      <c r="AS299" s="125" t="n"/>
    </row>
    <row r="300" hidden="1" outlineLevel="3">
      <c r="A300" s="8" t="n"/>
      <c r="B300" s="14" t="n"/>
      <c r="C300" s="125" t="n"/>
      <c r="D300" s="125" t="n"/>
      <c r="E300" s="125" t="n"/>
      <c r="F300" s="125" t="n"/>
      <c r="G300" s="125" t="n"/>
      <c r="I300" s="135" t="n"/>
      <c r="J300" s="134" t="n"/>
      <c r="K300" s="16" t="n"/>
      <c r="L300" s="17" t="n"/>
      <c r="M300" s="133">
        <f>DADOS_INVOC!$QL$18</f>
        <v/>
      </c>
      <c r="N300" s="125" t="n"/>
      <c r="O300" s="135" t="n"/>
      <c r="P300" s="134" t="n"/>
      <c r="Q300" s="16" t="n"/>
      <c r="R300" s="17" t="n"/>
      <c r="S300" s="133">
        <f>DADOS_INVOC!$QL$19</f>
        <v/>
      </c>
      <c r="T300" s="125" t="n"/>
      <c r="U300" s="135" t="n"/>
      <c r="V300" s="134" t="n"/>
      <c r="W300" s="16" t="n"/>
      <c r="X300" s="17" t="n"/>
      <c r="Y300" s="133">
        <f>DADOS_INVOC!$QL$20</f>
        <v/>
      </c>
      <c r="Z300" s="125" t="n"/>
      <c r="AB300" s="135" t="n"/>
      <c r="AC300" s="134" t="n"/>
      <c r="AD300" s="16" t="n"/>
      <c r="AE300" s="17" t="n"/>
      <c r="AF300" s="133">
        <f>DADOS_INVOC!$QL$96</f>
        <v/>
      </c>
      <c r="AG300" s="125" t="n"/>
      <c r="AH300" s="135" t="n"/>
      <c r="AI300" s="134" t="n"/>
      <c r="AJ300" s="16" t="n"/>
      <c r="AK300" s="17" t="n"/>
      <c r="AL300" s="133">
        <f>DADOS_INVOC!$QL$97</f>
        <v/>
      </c>
      <c r="AM300" s="125" t="n"/>
      <c r="AN300" s="135" t="n"/>
      <c r="AO300" s="134" t="n"/>
      <c r="AP300" s="16" t="n"/>
      <c r="AQ300" s="17" t="n"/>
      <c r="AR300" s="133">
        <f>DADOS_INVOC!$QL$98</f>
        <v/>
      </c>
      <c r="AS300" s="125" t="n"/>
    </row>
    <row r="301" hidden="1" outlineLevel="3">
      <c r="A301" s="8" t="n"/>
      <c r="B301" s="14" t="n"/>
      <c r="C301" s="125" t="n"/>
      <c r="D301" s="125" t="n"/>
      <c r="E301" s="125" t="n"/>
      <c r="F301" s="125" t="n"/>
      <c r="G301" s="125" t="n"/>
      <c r="I301" s="135" t="n"/>
      <c r="J301" s="134" t="n"/>
      <c r="K301" s="16" t="n"/>
      <c r="L301" s="17" t="n"/>
      <c r="M301" s="133">
        <f>DADOS_INVOC!$QM$18</f>
        <v/>
      </c>
      <c r="N301" s="125" t="n"/>
      <c r="O301" s="135" t="n"/>
      <c r="P301" s="134" t="n"/>
      <c r="Q301" s="16" t="n"/>
      <c r="R301" s="17" t="n"/>
      <c r="S301" s="133">
        <f>DADOS_INVOC!$QM$19</f>
        <v/>
      </c>
      <c r="T301" s="125" t="n"/>
      <c r="U301" s="135" t="n"/>
      <c r="V301" s="134" t="n"/>
      <c r="W301" s="16" t="n"/>
      <c r="X301" s="17" t="n"/>
      <c r="Y301" s="133">
        <f>DADOS_INVOC!$QM$20</f>
        <v/>
      </c>
      <c r="Z301" s="125" t="n"/>
      <c r="AB301" s="135" t="n"/>
      <c r="AC301" s="134" t="n"/>
      <c r="AD301" s="16" t="n"/>
      <c r="AE301" s="17" t="n"/>
      <c r="AF301" s="133">
        <f>DADOS_INVOC!$QM$96</f>
        <v/>
      </c>
      <c r="AG301" s="125" t="n"/>
      <c r="AH301" s="135" t="n"/>
      <c r="AI301" s="134" t="n"/>
      <c r="AJ301" s="16" t="n"/>
      <c r="AK301" s="17" t="n"/>
      <c r="AL301" s="133">
        <f>DADOS_INVOC!$QM$97</f>
        <v/>
      </c>
      <c r="AM301" s="125" t="n"/>
      <c r="AN301" s="135" t="n"/>
      <c r="AO301" s="134" t="n"/>
      <c r="AP301" s="16" t="n"/>
      <c r="AQ301" s="17" t="n"/>
      <c r="AR301" s="133">
        <f>DADOS_INVOC!$QM$98</f>
        <v/>
      </c>
      <c r="AS301" s="125" t="n"/>
    </row>
    <row r="302" hidden="1" outlineLevel="3">
      <c r="A302" s="8" t="n"/>
      <c r="B302" s="14" t="n"/>
      <c r="C302" s="125" t="n"/>
      <c r="D302" s="125" t="n"/>
      <c r="E302" s="125" t="n"/>
      <c r="F302" s="125" t="n"/>
      <c r="G302" s="125" t="n"/>
      <c r="I302" s="129" t="n"/>
      <c r="J302" s="134" t="n"/>
      <c r="K302" s="16" t="n"/>
      <c r="L302" s="17" t="n"/>
      <c r="M302" s="133">
        <f>DADOS_INVOC!$QN$18</f>
        <v/>
      </c>
      <c r="N302" s="125" t="n"/>
      <c r="O302" s="129" t="n"/>
      <c r="P302" s="134" t="n"/>
      <c r="Q302" s="16" t="n"/>
      <c r="R302" s="17" t="n"/>
      <c r="S302" s="133">
        <f>DADOS_INVOC!$QN$19</f>
        <v/>
      </c>
      <c r="T302" s="125" t="n"/>
      <c r="U302" s="129" t="n"/>
      <c r="V302" s="134" t="n"/>
      <c r="W302" s="16" t="n"/>
      <c r="X302" s="17" t="n"/>
      <c r="Y302" s="133">
        <f>DADOS_INVOC!$QN$20</f>
        <v/>
      </c>
      <c r="Z302" s="125" t="n"/>
      <c r="AB302" s="129" t="n"/>
      <c r="AC302" s="134" t="n"/>
      <c r="AD302" s="16" t="n"/>
      <c r="AE302" s="17" t="n"/>
      <c r="AF302" s="133">
        <f>DADOS_INVOC!$QN$96</f>
        <v/>
      </c>
      <c r="AG302" s="125" t="n"/>
      <c r="AH302" s="129" t="n"/>
      <c r="AI302" s="134" t="n"/>
      <c r="AJ302" s="16" t="n"/>
      <c r="AK302" s="17" t="n"/>
      <c r="AL302" s="133">
        <f>DADOS_INVOC!$QN$97</f>
        <v/>
      </c>
      <c r="AM302" s="125" t="n"/>
      <c r="AN302" s="129" t="n"/>
      <c r="AO302" s="134" t="n"/>
      <c r="AP302" s="16" t="n"/>
      <c r="AQ302" s="17" t="n"/>
      <c r="AR302" s="133">
        <f>DADOS_INVOC!$QN$98</f>
        <v/>
      </c>
      <c r="AS302" s="125" t="n"/>
    </row>
    <row r="303" hidden="1" outlineLevel="3">
      <c r="A303" s="8" t="n"/>
      <c r="B303" s="14" t="n"/>
      <c r="C303" s="125" t="n"/>
      <c r="D303" s="125" t="n"/>
      <c r="E303" s="125" t="n"/>
      <c r="F303" s="125" t="n"/>
      <c r="G303" s="125" t="n"/>
      <c r="I303" s="55" t="inlineStr">
        <is>
          <t>RESTRIÇÕES</t>
        </is>
      </c>
      <c r="J303" s="134" t="n"/>
      <c r="K303" s="16" t="n"/>
      <c r="L303" s="17" t="n"/>
      <c r="M303" s="133">
        <f>DADOS_INVOC!$QO$18</f>
        <v/>
      </c>
      <c r="N303" s="125" t="n"/>
      <c r="O303" s="55" t="inlineStr">
        <is>
          <t>RESTRIÇÕES</t>
        </is>
      </c>
      <c r="P303" s="134" t="n"/>
      <c r="Q303" s="16" t="n"/>
      <c r="R303" s="17" t="n"/>
      <c r="S303" s="133">
        <f>DADOS_INVOC!$QO$19</f>
        <v/>
      </c>
      <c r="T303" s="125" t="n"/>
      <c r="U303" s="55" t="inlineStr">
        <is>
          <t>RESTRIÇÕES</t>
        </is>
      </c>
      <c r="V303" s="134" t="n"/>
      <c r="W303" s="16" t="n"/>
      <c r="X303" s="17" t="n"/>
      <c r="Y303" s="133">
        <f>DADOS_INVOC!$QO$20</f>
        <v/>
      </c>
      <c r="Z303" s="125" t="n"/>
      <c r="AB303" s="55" t="inlineStr">
        <is>
          <t>RESTRIÇÕES</t>
        </is>
      </c>
      <c r="AC303" s="134" t="n"/>
      <c r="AD303" s="16" t="n"/>
      <c r="AE303" s="17" t="n"/>
      <c r="AF303" s="133">
        <f>DADOS_INVOC!$QO$96</f>
        <v/>
      </c>
      <c r="AG303" s="125" t="n"/>
      <c r="AH303" s="55" t="inlineStr">
        <is>
          <t>RESTRIÇÕES</t>
        </is>
      </c>
      <c r="AI303" s="134" t="n"/>
      <c r="AJ303" s="16" t="n"/>
      <c r="AK303" s="17" t="n"/>
      <c r="AL303" s="133">
        <f>DADOS_INVOC!$QO$97</f>
        <v/>
      </c>
      <c r="AM303" s="125" t="n"/>
      <c r="AN303" s="55" t="inlineStr">
        <is>
          <t>RESTRIÇÕES</t>
        </is>
      </c>
      <c r="AO303" s="134" t="n"/>
      <c r="AP303" s="16" t="n"/>
      <c r="AQ303" s="17" t="n"/>
      <c r="AR303" s="133">
        <f>DADOS_INVOC!$QO$98</f>
        <v/>
      </c>
      <c r="AS303" s="125" t="n"/>
    </row>
    <row r="304" hidden="1" outlineLevel="3">
      <c r="A304" s="8" t="n"/>
      <c r="B304" s="14" t="n"/>
      <c r="C304" s="125" t="n"/>
      <c r="D304" s="125" t="n"/>
      <c r="E304" s="125" t="n"/>
      <c r="F304" s="125" t="n"/>
      <c r="G304" s="125" t="n"/>
      <c r="I304" s="129" t="n"/>
      <c r="J304" s="134" t="n"/>
      <c r="K304" s="16" t="n"/>
      <c r="L304" s="17" t="n"/>
      <c r="M304" s="133">
        <f>DADOS_INVOC!$QP$18</f>
        <v/>
      </c>
      <c r="N304" s="125" t="n"/>
      <c r="O304" s="129" t="n"/>
      <c r="P304" s="134" t="n"/>
      <c r="Q304" s="16" t="n"/>
      <c r="R304" s="17" t="n"/>
      <c r="S304" s="133">
        <f>DADOS_INVOC!$QP$19</f>
        <v/>
      </c>
      <c r="T304" s="125" t="n"/>
      <c r="U304" s="129" t="n"/>
      <c r="V304" s="134" t="n"/>
      <c r="W304" s="16" t="n"/>
      <c r="X304" s="17" t="n"/>
      <c r="Y304" s="133">
        <f>DADOS_INVOC!$QP$20</f>
        <v/>
      </c>
      <c r="Z304" s="125" t="n"/>
      <c r="AB304" s="129" t="n"/>
      <c r="AC304" s="134" t="n"/>
      <c r="AD304" s="16" t="n"/>
      <c r="AE304" s="17" t="n"/>
      <c r="AF304" s="133">
        <f>DADOS_INVOC!$QP$96</f>
        <v/>
      </c>
      <c r="AG304" s="125" t="n"/>
      <c r="AH304" s="129" t="n"/>
      <c r="AI304" s="134" t="n"/>
      <c r="AJ304" s="16" t="n"/>
      <c r="AK304" s="17" t="n"/>
      <c r="AL304" s="133">
        <f>DADOS_INVOC!$QP$97</f>
        <v/>
      </c>
      <c r="AM304" s="125" t="n"/>
      <c r="AN304" s="129" t="n"/>
      <c r="AO304" s="134" t="n"/>
      <c r="AP304" s="16" t="n"/>
      <c r="AQ304" s="17" t="n"/>
      <c r="AR304" s="133">
        <f>DADOS_INVOC!$QP$98</f>
        <v/>
      </c>
      <c r="AS304" s="125" t="n"/>
    </row>
    <row r="305" hidden="1" outlineLevel="3">
      <c r="A305" s="8" t="n"/>
      <c r="B305" s="14" t="n"/>
      <c r="C305" s="125" t="n"/>
      <c r="D305" s="125" t="n"/>
      <c r="E305" s="125" t="n"/>
      <c r="F305" s="125" t="n"/>
      <c r="G305" s="125" t="n"/>
      <c r="I305" s="55" t="inlineStr">
        <is>
          <t>CONTA</t>
        </is>
      </c>
      <c r="J305" s="136">
        <f>DADOS_INVOC!$QI$18</f>
        <v/>
      </c>
      <c r="K305" s="16" t="n"/>
      <c r="L305" s="16" t="n"/>
      <c r="M305" s="17" t="n"/>
      <c r="N305" s="125" t="n"/>
      <c r="O305" s="55" t="inlineStr">
        <is>
          <t>CONTA</t>
        </is>
      </c>
      <c r="P305" s="136">
        <f>DADOS_INVOC!$QI$19</f>
        <v/>
      </c>
      <c r="Q305" s="16" t="n"/>
      <c r="R305" s="16" t="n"/>
      <c r="S305" s="17" t="n"/>
      <c r="T305" s="125" t="n"/>
      <c r="U305" s="55" t="inlineStr">
        <is>
          <t>CONTA</t>
        </is>
      </c>
      <c r="V305" s="136">
        <f>DADOS_INVOC!$QI$20</f>
        <v/>
      </c>
      <c r="W305" s="16" t="n"/>
      <c r="X305" s="16" t="n"/>
      <c r="Y305" s="17" t="n"/>
      <c r="Z305" s="125" t="n"/>
      <c r="AB305" s="55" t="inlineStr">
        <is>
          <t>CONTA</t>
        </is>
      </c>
      <c r="AC305" s="136">
        <f>DADOS_INVOC!$QI$96</f>
        <v/>
      </c>
      <c r="AD305" s="16" t="n"/>
      <c r="AE305" s="16" t="n"/>
      <c r="AF305" s="17" t="n"/>
      <c r="AG305" s="125" t="n"/>
      <c r="AH305" s="55" t="inlineStr">
        <is>
          <t>CONTA</t>
        </is>
      </c>
      <c r="AI305" s="136">
        <f>DADOS_INVOC!$QI$97</f>
        <v/>
      </c>
      <c r="AJ305" s="16" t="n"/>
      <c r="AK305" s="16" t="n"/>
      <c r="AL305" s="17" t="n"/>
      <c r="AM305" s="125" t="n"/>
      <c r="AN305" s="55" t="inlineStr">
        <is>
          <t>CONTA</t>
        </is>
      </c>
      <c r="AO305" s="136">
        <f>DADOS_INVOC!$QI$98</f>
        <v/>
      </c>
      <c r="AP305" s="16" t="n"/>
      <c r="AQ305" s="16" t="n"/>
      <c r="AR305" s="17" t="n"/>
      <c r="AS305" s="125" t="n"/>
    </row>
    <row r="306" hidden="1" outlineLevel="3">
      <c r="A306" s="8" t="n"/>
      <c r="B306" s="14" t="n"/>
      <c r="C306" s="125" t="n"/>
      <c r="D306" s="125" t="n"/>
      <c r="E306" s="125" t="n"/>
      <c r="F306" s="125" t="n"/>
      <c r="G306" s="125" t="n"/>
      <c r="I306" s="55" t="inlineStr">
        <is>
          <t>AMPLIAR</t>
        </is>
      </c>
      <c r="J306" s="136">
        <f>DADOS_INVOC!$QJ$18</f>
        <v/>
      </c>
      <c r="K306" s="19" t="n"/>
      <c r="L306" s="19" t="n"/>
      <c r="M306" s="20" t="n"/>
      <c r="N306" s="125" t="n"/>
      <c r="O306" s="55" t="inlineStr">
        <is>
          <t>AMPLIAR</t>
        </is>
      </c>
      <c r="P306" s="136">
        <f>DADOS_INVOC!$QJ$19</f>
        <v/>
      </c>
      <c r="Q306" s="19" t="n"/>
      <c r="R306" s="19" t="n"/>
      <c r="S306" s="20" t="n"/>
      <c r="T306" s="125" t="n"/>
      <c r="U306" s="55" t="inlineStr">
        <is>
          <t>AMPLIAR</t>
        </is>
      </c>
      <c r="V306" s="136">
        <f>DADOS_INVOC!$QJ$20</f>
        <v/>
      </c>
      <c r="W306" s="19" t="n"/>
      <c r="X306" s="19" t="n"/>
      <c r="Y306" s="20" t="n"/>
      <c r="Z306" s="125" t="n"/>
      <c r="AB306" s="55" t="inlineStr">
        <is>
          <t>AMPLIAR</t>
        </is>
      </c>
      <c r="AC306" s="136">
        <f>DADOS_INVOC!$QJ$96</f>
        <v/>
      </c>
      <c r="AD306" s="19" t="n"/>
      <c r="AE306" s="19" t="n"/>
      <c r="AF306" s="20" t="n"/>
      <c r="AG306" s="125" t="n"/>
      <c r="AH306" s="55" t="inlineStr">
        <is>
          <t>AMPLIAR</t>
        </is>
      </c>
      <c r="AI306" s="136">
        <f>DADOS_INVOC!$QJ$97</f>
        <v/>
      </c>
      <c r="AJ306" s="19" t="n"/>
      <c r="AK306" s="19" t="n"/>
      <c r="AL306" s="20" t="n"/>
      <c r="AM306" s="125" t="n"/>
      <c r="AN306" s="55" t="inlineStr">
        <is>
          <t>AMPLIAR</t>
        </is>
      </c>
      <c r="AO306" s="136">
        <f>DADOS_INVOC!$QJ$98</f>
        <v/>
      </c>
      <c r="AP306" s="19" t="n"/>
      <c r="AQ306" s="19" t="n"/>
      <c r="AR306" s="20" t="n"/>
      <c r="AS306" s="125" t="n"/>
    </row>
    <row r="307" hidden="1" outlineLevel="3">
      <c r="A307" s="8" t="n"/>
      <c r="B307" s="14" t="n"/>
      <c r="C307" s="125" t="n"/>
      <c r="D307" s="125" t="n"/>
      <c r="E307" s="125" t="n"/>
      <c r="F307" s="125" t="n"/>
      <c r="G307" s="125" t="n"/>
      <c r="I307" s="129" t="n"/>
      <c r="J307" s="23" t="n"/>
      <c r="K307" s="24" t="n"/>
      <c r="L307" s="24" t="n"/>
      <c r="M307" s="25" t="n"/>
      <c r="N307" s="125" t="n"/>
      <c r="O307" s="129" t="n"/>
      <c r="P307" s="23" t="n"/>
      <c r="Q307" s="24" t="n"/>
      <c r="R307" s="24" t="n"/>
      <c r="S307" s="25" t="n"/>
      <c r="T307" s="125" t="n"/>
      <c r="U307" s="129" t="n"/>
      <c r="V307" s="23" t="n"/>
      <c r="W307" s="24" t="n"/>
      <c r="X307" s="24" t="n"/>
      <c r="Y307" s="25" t="n"/>
      <c r="Z307" s="125" t="n"/>
      <c r="AB307" s="129" t="n"/>
      <c r="AC307" s="23" t="n"/>
      <c r="AD307" s="24" t="n"/>
      <c r="AE307" s="24" t="n"/>
      <c r="AF307" s="25" t="n"/>
      <c r="AG307" s="125" t="n"/>
      <c r="AH307" s="129" t="n"/>
      <c r="AI307" s="23" t="n"/>
      <c r="AJ307" s="24" t="n"/>
      <c r="AK307" s="24" t="n"/>
      <c r="AL307" s="25" t="n"/>
      <c r="AM307" s="125" t="n"/>
      <c r="AN307" s="129" t="n"/>
      <c r="AO307" s="23" t="n"/>
      <c r="AP307" s="24" t="n"/>
      <c r="AQ307" s="24" t="n"/>
      <c r="AR307" s="25" t="n"/>
      <c r="AS307" s="125" t="n"/>
    </row>
    <row r="308" hidden="1" outlineLevel="3">
      <c r="A308" s="8" t="n"/>
      <c r="B308" s="14" t="n"/>
      <c r="C308" s="125" t="n"/>
      <c r="D308" s="125" t="n"/>
      <c r="E308" s="125" t="n"/>
      <c r="F308" s="125" t="n"/>
      <c r="G308" s="125" t="n"/>
      <c r="I308" s="136">
        <f>DADOS_INVOC!$PW$18</f>
        <v/>
      </c>
      <c r="J308" s="19" t="n"/>
      <c r="K308" s="19" t="n"/>
      <c r="L308" s="19" t="n"/>
      <c r="M308" s="20" t="n"/>
      <c r="N308" s="125" t="n"/>
      <c r="O308" s="136">
        <f>DADOS_INVOC!$PW$19</f>
        <v/>
      </c>
      <c r="P308" s="19" t="n"/>
      <c r="Q308" s="19" t="n"/>
      <c r="R308" s="19" t="n"/>
      <c r="S308" s="20" t="n"/>
      <c r="T308" s="125" t="n"/>
      <c r="U308" s="136">
        <f>DADOS_INVOC!$PW$20</f>
        <v/>
      </c>
      <c r="V308" s="19" t="n"/>
      <c r="W308" s="19" t="n"/>
      <c r="X308" s="19" t="n"/>
      <c r="Y308" s="20" t="n"/>
      <c r="Z308" s="125" t="n"/>
      <c r="AB308" s="136">
        <f>DADOS_INVOC!$PW$96</f>
        <v/>
      </c>
      <c r="AC308" s="19" t="n"/>
      <c r="AD308" s="19" t="n"/>
      <c r="AE308" s="19" t="n"/>
      <c r="AF308" s="20" t="n"/>
      <c r="AG308" s="125" t="n"/>
      <c r="AH308" s="136">
        <f>DADOS_INVOC!$PW$97</f>
        <v/>
      </c>
      <c r="AI308" s="19" t="n"/>
      <c r="AJ308" s="19" t="n"/>
      <c r="AK308" s="19" t="n"/>
      <c r="AL308" s="20" t="n"/>
      <c r="AM308" s="125" t="n"/>
      <c r="AN308" s="136">
        <f>DADOS_INVOC!$PW$98</f>
        <v/>
      </c>
      <c r="AO308" s="19" t="n"/>
      <c r="AP308" s="19" t="n"/>
      <c r="AQ308" s="19" t="n"/>
      <c r="AR308" s="20" t="n"/>
      <c r="AS308" s="125" t="n"/>
    </row>
    <row r="309" hidden="1" outlineLevel="3">
      <c r="A309" s="8" t="n"/>
      <c r="B309" s="14" t="n"/>
      <c r="C309" s="125" t="n"/>
      <c r="D309" s="125" t="n"/>
      <c r="E309" s="125" t="n"/>
      <c r="F309" s="125" t="n"/>
      <c r="G309" s="125" t="n"/>
      <c r="I309" s="23" t="n"/>
      <c r="J309" s="24" t="n"/>
      <c r="K309" s="24" t="n"/>
      <c r="L309" s="24" t="n"/>
      <c r="M309" s="25" t="n"/>
      <c r="N309" s="125" t="n"/>
      <c r="O309" s="23" t="n"/>
      <c r="P309" s="24" t="n"/>
      <c r="Q309" s="24" t="n"/>
      <c r="R309" s="24" t="n"/>
      <c r="S309" s="25" t="n"/>
      <c r="T309" s="125" t="n"/>
      <c r="U309" s="23" t="n"/>
      <c r="V309" s="24" t="n"/>
      <c r="W309" s="24" t="n"/>
      <c r="X309" s="24" t="n"/>
      <c r="Y309" s="25" t="n"/>
      <c r="Z309" s="125" t="n"/>
      <c r="AB309" s="23" t="n"/>
      <c r="AC309" s="24" t="n"/>
      <c r="AD309" s="24" t="n"/>
      <c r="AE309" s="24" t="n"/>
      <c r="AF309" s="25" t="n"/>
      <c r="AG309" s="125" t="n"/>
      <c r="AH309" s="23" t="n"/>
      <c r="AI309" s="24" t="n"/>
      <c r="AJ309" s="24" t="n"/>
      <c r="AK309" s="24" t="n"/>
      <c r="AL309" s="25" t="n"/>
      <c r="AM309" s="125" t="n"/>
      <c r="AN309" s="23" t="n"/>
      <c r="AO309" s="24" t="n"/>
      <c r="AP309" s="24" t="n"/>
      <c r="AQ309" s="24" t="n"/>
      <c r="AR309" s="25" t="n"/>
      <c r="AS309" s="125" t="n"/>
    </row>
    <row r="310" hidden="1" outlineLevel="2">
      <c r="A310" s="8" t="n"/>
      <c r="B310" s="14" t="n"/>
      <c r="C310" s="125" t="n"/>
      <c r="D310" s="125" t="n"/>
      <c r="E310" s="125" t="n"/>
      <c r="F310" s="125" t="n"/>
      <c r="G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row>
    <row r="311" hidden="1" outlineLevel="2">
      <c r="A311" s="8" t="n"/>
      <c r="B311" s="14" t="n"/>
      <c r="C311" s="125" t="n"/>
      <c r="D311" s="125" t="n"/>
      <c r="E311" s="125" t="n"/>
      <c r="F311" s="125" t="n"/>
      <c r="G311" s="125" t="n"/>
      <c r="I311" s="55">
        <f>DADOS_INVOC!$PX$21</f>
        <v/>
      </c>
      <c r="J311" s="16" t="n"/>
      <c r="K311" s="16" t="n"/>
      <c r="L311" s="16" t="n"/>
      <c r="M311" s="17" t="n"/>
      <c r="N311" s="125" t="n"/>
      <c r="O311" s="55">
        <f>DADOS_INVOC!$PX$22</f>
        <v/>
      </c>
      <c r="P311" s="16" t="n"/>
      <c r="Q311" s="16" t="n"/>
      <c r="R311" s="16" t="n"/>
      <c r="S311" s="17" t="n"/>
      <c r="T311" s="125" t="n"/>
      <c r="U311" s="55">
        <f>DADOS_INVOC!$PX$23</f>
        <v/>
      </c>
      <c r="V311" s="16" t="n"/>
      <c r="W311" s="16" t="n"/>
      <c r="X311" s="16" t="n"/>
      <c r="Y311" s="17" t="n"/>
      <c r="Z311" s="125" t="n"/>
      <c r="AB311" s="55">
        <f>DADOS_INVOC!$PX$99</f>
        <v/>
      </c>
      <c r="AC311" s="16" t="n"/>
      <c r="AD311" s="16" t="n"/>
      <c r="AE311" s="16" t="n"/>
      <c r="AF311" s="17" t="n"/>
      <c r="AG311" s="125" t="n"/>
      <c r="AH311" s="55">
        <f>DADOS_INVOC!$PX$100</f>
        <v/>
      </c>
      <c r="AI311" s="16" t="n"/>
      <c r="AJ311" s="16" t="n"/>
      <c r="AK311" s="16" t="n"/>
      <c r="AL311" s="17" t="n"/>
      <c r="AM311" s="125" t="n"/>
      <c r="AN311" s="55">
        <f>DADOS_INVOC!$PX$101</f>
        <v/>
      </c>
      <c r="AO311" s="16" t="n"/>
      <c r="AP311" s="16" t="n"/>
      <c r="AQ311" s="16" t="n"/>
      <c r="AR311" s="17" t="n"/>
      <c r="AS311" s="125" t="n"/>
    </row>
    <row r="312" hidden="1" outlineLevel="2">
      <c r="A312" s="8" t="n"/>
      <c r="B312" s="14" t="n"/>
      <c r="C312" s="125" t="n"/>
      <c r="D312" s="125" t="n"/>
      <c r="E312" s="125" t="n"/>
      <c r="F312" s="125" t="n"/>
      <c r="G312" s="125" t="n"/>
      <c r="I312" s="131" t="n">
        <v>1</v>
      </c>
      <c r="J312" s="120" t="n"/>
      <c r="K312" s="16" t="n"/>
      <c r="L312" s="17" t="n"/>
      <c r="M312" s="132">
        <f>DADOS_INVOC!$PV$21</f>
        <v/>
      </c>
      <c r="N312" s="125" t="n"/>
      <c r="O312" s="131" t="n">
        <v>1</v>
      </c>
      <c r="P312" s="120" t="n"/>
      <c r="Q312" s="16" t="n"/>
      <c r="R312" s="17" t="n"/>
      <c r="S312" s="132">
        <f>DADOS_INVOC!$PV$22</f>
        <v/>
      </c>
      <c r="T312" s="125" t="n"/>
      <c r="U312" s="131" t="n">
        <v>1</v>
      </c>
      <c r="V312" s="120" t="n"/>
      <c r="W312" s="16" t="n"/>
      <c r="X312" s="17" t="n"/>
      <c r="Y312" s="132">
        <f>DADOS_INVOC!$PV$23</f>
        <v/>
      </c>
      <c r="Z312" s="125" t="n"/>
      <c r="AB312" s="131" t="n">
        <v>1</v>
      </c>
      <c r="AC312" s="120" t="n"/>
      <c r="AD312" s="16" t="n"/>
      <c r="AE312" s="17" t="n"/>
      <c r="AF312" s="132">
        <f>DADOS_INVOC!$PV$99</f>
        <v/>
      </c>
      <c r="AG312" s="125" t="n"/>
      <c r="AH312" s="131" t="n">
        <v>1</v>
      </c>
      <c r="AI312" s="120" t="n"/>
      <c r="AJ312" s="16" t="n"/>
      <c r="AK312" s="17" t="n"/>
      <c r="AL312" s="132">
        <f>DADOS_INVOC!$PV$100</f>
        <v/>
      </c>
      <c r="AM312" s="125" t="n"/>
      <c r="AN312" s="131" t="n">
        <v>1</v>
      </c>
      <c r="AO312" s="120" t="n"/>
      <c r="AP312" s="16" t="n"/>
      <c r="AQ312" s="17" t="n"/>
      <c r="AR312" s="132">
        <f>DADOS_INVOC!$PV$101</f>
        <v/>
      </c>
      <c r="AS312" s="125" t="n"/>
    </row>
    <row r="313" hidden="1" outlineLevel="3">
      <c r="A313" s="8" t="n"/>
      <c r="B313" s="14" t="n"/>
      <c r="C313" s="125" t="n"/>
      <c r="D313" s="125" t="n"/>
      <c r="E313" s="125" t="n"/>
      <c r="F313" s="125" t="n"/>
      <c r="G313" s="125" t="n"/>
      <c r="I313" s="55" t="inlineStr">
        <is>
          <t>COMO É</t>
        </is>
      </c>
      <c r="J313" s="16" t="n"/>
      <c r="K313" s="16" t="n"/>
      <c r="L313" s="16" t="n"/>
      <c r="M313" s="17" t="n"/>
      <c r="N313" s="125" t="n"/>
      <c r="O313" s="55" t="inlineStr">
        <is>
          <t>COMO É</t>
        </is>
      </c>
      <c r="P313" s="16" t="n"/>
      <c r="Q313" s="16" t="n"/>
      <c r="R313" s="16" t="n"/>
      <c r="S313" s="17" t="n"/>
      <c r="T313" s="125" t="n"/>
      <c r="U313" s="55" t="inlineStr">
        <is>
          <t>COMO É</t>
        </is>
      </c>
      <c r="V313" s="16" t="n"/>
      <c r="W313" s="16" t="n"/>
      <c r="X313" s="16" t="n"/>
      <c r="Y313" s="17" t="n"/>
      <c r="Z313" s="125" t="n"/>
      <c r="AB313" s="55" t="inlineStr">
        <is>
          <t>COMO É</t>
        </is>
      </c>
      <c r="AC313" s="16" t="n"/>
      <c r="AD313" s="16" t="n"/>
      <c r="AE313" s="16" t="n"/>
      <c r="AF313" s="17" t="n"/>
      <c r="AG313" s="125" t="n"/>
      <c r="AH313" s="55" t="inlineStr">
        <is>
          <t>COMO É</t>
        </is>
      </c>
      <c r="AI313" s="16" t="n"/>
      <c r="AJ313" s="16" t="n"/>
      <c r="AK313" s="16" t="n"/>
      <c r="AL313" s="17" t="n"/>
      <c r="AM313" s="125" t="n"/>
      <c r="AN313" s="55" t="inlineStr">
        <is>
          <t>COMO É</t>
        </is>
      </c>
      <c r="AO313" s="16" t="n"/>
      <c r="AP313" s="16" t="n"/>
      <c r="AQ313" s="16" t="n"/>
      <c r="AR313" s="17" t="n"/>
      <c r="AS313" s="125" t="n"/>
    </row>
    <row r="314" hidden="1" outlineLevel="3">
      <c r="A314" s="8" t="n"/>
      <c r="B314" s="14" t="n"/>
      <c r="C314" s="125" t="n"/>
      <c r="D314" s="125" t="n"/>
      <c r="E314" s="125" t="n"/>
      <c r="F314" s="125" t="n"/>
      <c r="G314" s="125" t="n"/>
      <c r="I314" s="121" t="n"/>
      <c r="J314" s="19" t="n"/>
      <c r="K314" s="19" t="n"/>
      <c r="L314" s="19" t="n"/>
      <c r="M314" s="20" t="n"/>
      <c r="N314" s="125" t="n"/>
      <c r="O314" s="121" t="n"/>
      <c r="P314" s="19" t="n"/>
      <c r="Q314" s="19" t="n"/>
      <c r="R314" s="19" t="n"/>
      <c r="S314" s="20" t="n"/>
      <c r="T314" s="125" t="n"/>
      <c r="U314" s="121" t="n"/>
      <c r="V314" s="19" t="n"/>
      <c r="W314" s="19" t="n"/>
      <c r="X314" s="19" t="n"/>
      <c r="Y314" s="20" t="n"/>
      <c r="Z314" s="125" t="n"/>
      <c r="AB314" s="121" t="n"/>
      <c r="AC314" s="19" t="n"/>
      <c r="AD314" s="19" t="n"/>
      <c r="AE314" s="19" t="n"/>
      <c r="AF314" s="20" t="n"/>
      <c r="AG314" s="125" t="n"/>
      <c r="AH314" s="121" t="n"/>
      <c r="AI314" s="19" t="n"/>
      <c r="AJ314" s="19" t="n"/>
      <c r="AK314" s="19" t="n"/>
      <c r="AL314" s="20" t="n"/>
      <c r="AM314" s="125" t="n"/>
      <c r="AN314" s="121" t="n"/>
      <c r="AO314" s="19" t="n"/>
      <c r="AP314" s="19" t="n"/>
      <c r="AQ314" s="19" t="n"/>
      <c r="AR314" s="20" t="n"/>
      <c r="AS314" s="125" t="n"/>
    </row>
    <row r="315" hidden="1" outlineLevel="3">
      <c r="A315" s="8" t="n"/>
      <c r="B315" s="14" t="n"/>
      <c r="C315" s="125" t="n"/>
      <c r="D315" s="125" t="n"/>
      <c r="E315" s="125" t="n"/>
      <c r="F315" s="125" t="n"/>
      <c r="G315" s="125" t="n"/>
      <c r="I315" s="21" t="n"/>
      <c r="M315" s="22" t="n"/>
      <c r="N315" s="125" t="n"/>
      <c r="O315" s="21" t="n"/>
      <c r="S315" s="22" t="n"/>
      <c r="T315" s="125" t="n"/>
      <c r="U315" s="21" t="n"/>
      <c r="Y315" s="22" t="n"/>
      <c r="Z315" s="125" t="n"/>
      <c r="AB315" s="21" t="n"/>
      <c r="AF315" s="22" t="n"/>
      <c r="AG315" s="125" t="n"/>
      <c r="AH315" s="21" t="n"/>
      <c r="AL315" s="22" t="n"/>
      <c r="AM315" s="125" t="n"/>
      <c r="AN315" s="21" t="n"/>
      <c r="AR315" s="22" t="n"/>
      <c r="AS315" s="125" t="n"/>
    </row>
    <row r="316" hidden="1" outlineLevel="3">
      <c r="A316" s="8" t="n"/>
      <c r="B316" s="14" t="n"/>
      <c r="C316" s="125" t="n"/>
      <c r="D316" s="125" t="n"/>
      <c r="E316" s="125" t="n"/>
      <c r="F316" s="125" t="n"/>
      <c r="G316" s="125" t="n"/>
      <c r="I316" s="23" t="n"/>
      <c r="J316" s="24" t="n"/>
      <c r="K316" s="24" t="n"/>
      <c r="L316" s="24" t="n"/>
      <c r="M316" s="25" t="n"/>
      <c r="N316" s="125" t="n"/>
      <c r="O316" s="23" t="n"/>
      <c r="P316" s="24" t="n"/>
      <c r="Q316" s="24" t="n"/>
      <c r="R316" s="24" t="n"/>
      <c r="S316" s="25" t="n"/>
      <c r="T316" s="125" t="n"/>
      <c r="U316" s="23" t="n"/>
      <c r="V316" s="24" t="n"/>
      <c r="W316" s="24" t="n"/>
      <c r="X316" s="24" t="n"/>
      <c r="Y316" s="25" t="n"/>
      <c r="Z316" s="125" t="n"/>
      <c r="AB316" s="23" t="n"/>
      <c r="AC316" s="24" t="n"/>
      <c r="AD316" s="24" t="n"/>
      <c r="AE316" s="24" t="n"/>
      <c r="AF316" s="25" t="n"/>
      <c r="AG316" s="125" t="n"/>
      <c r="AH316" s="23" t="n"/>
      <c r="AI316" s="24" t="n"/>
      <c r="AJ316" s="24" t="n"/>
      <c r="AK316" s="24" t="n"/>
      <c r="AL316" s="25" t="n"/>
      <c r="AM316" s="125" t="n"/>
      <c r="AN316" s="23" t="n"/>
      <c r="AO316" s="24" t="n"/>
      <c r="AP316" s="24" t="n"/>
      <c r="AQ316" s="24" t="n"/>
      <c r="AR316" s="25" t="n"/>
      <c r="AS316" s="125" t="n"/>
    </row>
    <row r="317" hidden="1" outlineLevel="2">
      <c r="A317" s="8" t="n"/>
      <c r="B317" s="14" t="n"/>
      <c r="C317" s="125" t="n"/>
      <c r="D317" s="125" t="n"/>
      <c r="E317" s="125" t="n"/>
      <c r="F317" s="125" t="n"/>
      <c r="G317" s="125" t="n"/>
      <c r="I317" s="89" t="inlineStr">
        <is>
          <t>Projétil</t>
        </is>
      </c>
      <c r="J317" s="17" t="n"/>
      <c r="K317" s="68">
        <f>DADOS_INVOC!$QC$21</f>
        <v/>
      </c>
      <c r="L317" s="17" t="n"/>
      <c r="M317" s="68">
        <f>DADOS_INVOC!$PY$21</f>
        <v/>
      </c>
      <c r="N317" s="125" t="n"/>
      <c r="O317" s="89" t="inlineStr">
        <is>
          <t>Projétil</t>
        </is>
      </c>
      <c r="P317" s="17" t="n"/>
      <c r="Q317" s="68">
        <f>DADOS_INVOC!$QC$22</f>
        <v/>
      </c>
      <c r="R317" s="17" t="n"/>
      <c r="S317" s="68">
        <f>DADOS_INVOC!$PY$22</f>
        <v/>
      </c>
      <c r="T317" s="125" t="n"/>
      <c r="U317" s="89" t="inlineStr">
        <is>
          <t>Projétil</t>
        </is>
      </c>
      <c r="V317" s="17" t="n"/>
      <c r="W317" s="68">
        <f>DADOS_INVOC!$QC$23</f>
        <v/>
      </c>
      <c r="X317" s="17" t="n"/>
      <c r="Y317" s="68">
        <f>DADOS_INVOC!$PY$23</f>
        <v/>
      </c>
      <c r="Z317" s="125" t="n"/>
      <c r="AB317" s="89" t="inlineStr">
        <is>
          <t>Projétil</t>
        </is>
      </c>
      <c r="AC317" s="17" t="n"/>
      <c r="AD317" s="68">
        <f>DADOS_INVOC!$QC$99</f>
        <v/>
      </c>
      <c r="AE317" s="17" t="n"/>
      <c r="AF317" s="68">
        <f>DADOS_INVOC!$PY$99</f>
        <v/>
      </c>
      <c r="AG317" s="125" t="n"/>
      <c r="AH317" s="89" t="inlineStr">
        <is>
          <t>Projétil</t>
        </is>
      </c>
      <c r="AI317" s="17" t="n"/>
      <c r="AJ317" s="68">
        <f>DADOS_INVOC!$QC$100</f>
        <v/>
      </c>
      <c r="AK317" s="17" t="n"/>
      <c r="AL317" s="68">
        <f>DADOS_INVOC!$PY$100</f>
        <v/>
      </c>
      <c r="AM317" s="125" t="n"/>
      <c r="AN317" s="89" t="inlineStr">
        <is>
          <t>Projétil</t>
        </is>
      </c>
      <c r="AO317" s="17" t="n"/>
      <c r="AP317" s="68">
        <f>DADOS_INVOC!$QC$101</f>
        <v/>
      </c>
      <c r="AQ317" s="17" t="n"/>
      <c r="AR317" s="68">
        <f>DADOS_INVOC!$PY$101</f>
        <v/>
      </c>
      <c r="AS317" s="125" t="n"/>
    </row>
    <row r="318" hidden="1" outlineLevel="2">
      <c r="A318" s="8" t="n"/>
      <c r="B318" s="14" t="n"/>
      <c r="C318" s="125" t="n"/>
      <c r="D318" s="125" t="n"/>
      <c r="E318" s="125" t="n"/>
      <c r="F318" s="125" t="n"/>
      <c r="G318" s="125" t="n"/>
      <c r="I318" s="89" t="n"/>
      <c r="J318" s="17" t="n"/>
      <c r="K318" s="89" t="n"/>
      <c r="L318" s="16" t="n"/>
      <c r="M318" s="17" t="n"/>
      <c r="N318" s="125" t="n"/>
      <c r="O318" s="89" t="n"/>
      <c r="P318" s="17" t="n"/>
      <c r="Q318" s="89" t="n"/>
      <c r="R318" s="16" t="n"/>
      <c r="S318" s="17" t="n"/>
      <c r="T318" s="125" t="n"/>
      <c r="U318" s="89" t="n"/>
      <c r="V318" s="17" t="n"/>
      <c r="W318" s="89" t="n"/>
      <c r="X318" s="16" t="n"/>
      <c r="Y318" s="17" t="n"/>
      <c r="Z318" s="125" t="n"/>
      <c r="AB318" s="89" t="n"/>
      <c r="AC318" s="17" t="n"/>
      <c r="AD318" s="89" t="n"/>
      <c r="AE318" s="16" t="n"/>
      <c r="AF318" s="17" t="n"/>
      <c r="AG318" s="125" t="n"/>
      <c r="AH318" s="89" t="n"/>
      <c r="AI318" s="17" t="n"/>
      <c r="AJ318" s="89" t="n"/>
      <c r="AK318" s="16" t="n"/>
      <c r="AL318" s="17" t="n"/>
      <c r="AM318" s="125" t="n"/>
      <c r="AN318" s="89" t="n"/>
      <c r="AO318" s="17" t="n"/>
      <c r="AP318" s="89" t="n"/>
      <c r="AQ318" s="16" t="n"/>
      <c r="AR318" s="17" t="n"/>
      <c r="AS318" s="125" t="n"/>
    </row>
    <row r="319" hidden="1" outlineLevel="2">
      <c r="A319" s="8" t="n"/>
      <c r="B319" s="14" t="n"/>
      <c r="C319" s="125" t="n"/>
      <c r="D319" s="125" t="n"/>
      <c r="E319" s="125" t="n"/>
      <c r="F319" s="125" t="n"/>
      <c r="G319" s="125" t="n"/>
      <c r="I319" s="89">
        <f>DADOS_INVOC!$PZ$21</f>
        <v/>
      </c>
      <c r="J319" s="17" t="n"/>
      <c r="K319" s="89">
        <f>DADOS_INVOC!$QB$21</f>
        <v/>
      </c>
      <c r="L319" s="16" t="n"/>
      <c r="M319" s="17" t="n"/>
      <c r="N319" s="125" t="n"/>
      <c r="O319" s="89">
        <f>DADOS_INVOC!$PZ$22</f>
        <v/>
      </c>
      <c r="P319" s="17" t="n"/>
      <c r="Q319" s="89">
        <f>DADOS_INVOC!$QB$22</f>
        <v/>
      </c>
      <c r="R319" s="16" t="n"/>
      <c r="S319" s="17" t="n"/>
      <c r="T319" s="125" t="n"/>
      <c r="U319" s="89">
        <f>DADOS_INVOC!$PZ$23</f>
        <v/>
      </c>
      <c r="V319" s="17" t="n"/>
      <c r="W319" s="89">
        <f>DADOS_INVOC!$QB$23</f>
        <v/>
      </c>
      <c r="X319" s="16" t="n"/>
      <c r="Y319" s="17" t="n"/>
      <c r="Z319" s="125" t="n"/>
      <c r="AB319" s="89">
        <f>DADOS_INVOC!$PZ$99</f>
        <v/>
      </c>
      <c r="AC319" s="17" t="n"/>
      <c r="AD319" s="89">
        <f>DADOS_INVOC!$QB$99</f>
        <v/>
      </c>
      <c r="AE319" s="16" t="n"/>
      <c r="AF319" s="17" t="n"/>
      <c r="AG319" s="125" t="n"/>
      <c r="AH319" s="89">
        <f>DADOS_INVOC!$PZ$100</f>
        <v/>
      </c>
      <c r="AI319" s="17" t="n"/>
      <c r="AJ319" s="89">
        <f>DADOS_INVOC!$QB$100</f>
        <v/>
      </c>
      <c r="AK319" s="16" t="n"/>
      <c r="AL319" s="17" t="n"/>
      <c r="AM319" s="125" t="n"/>
      <c r="AN319" s="89">
        <f>DADOS_INVOC!$PZ$101</f>
        <v/>
      </c>
      <c r="AO319" s="17" t="n"/>
      <c r="AP319" s="89">
        <f>DADOS_INVOC!$QB$101</f>
        <v/>
      </c>
      <c r="AQ319" s="16" t="n"/>
      <c r="AR319" s="17" t="n"/>
      <c r="AS319" s="125" t="n"/>
    </row>
    <row r="320" hidden="1" outlineLevel="2">
      <c r="A320" s="8" t="n"/>
      <c r="B320" s="14" t="n"/>
      <c r="C320" s="125" t="n"/>
      <c r="D320" s="125" t="n"/>
      <c r="E320" s="125" t="n"/>
      <c r="F320" s="125" t="n"/>
      <c r="G320" s="125" t="n"/>
      <c r="I320" s="133">
        <f>DADOS_INVOC!$QH$21</f>
        <v/>
      </c>
      <c r="J320" s="16" t="n"/>
      <c r="K320" s="16" t="n"/>
      <c r="L320" s="16" t="n"/>
      <c r="M320" s="17" t="n"/>
      <c r="N320" s="125" t="n"/>
      <c r="O320" s="133">
        <f>DADOS_INVOC!$QH$22</f>
        <v/>
      </c>
      <c r="P320" s="16" t="n"/>
      <c r="Q320" s="16" t="n"/>
      <c r="R320" s="16" t="n"/>
      <c r="S320" s="17" t="n"/>
      <c r="T320" s="125" t="n"/>
      <c r="U320" s="133">
        <f>DADOS_INVOC!$QH$23</f>
        <v/>
      </c>
      <c r="V320" s="16" t="n"/>
      <c r="W320" s="16" t="n"/>
      <c r="X320" s="16" t="n"/>
      <c r="Y320" s="17" t="n"/>
      <c r="Z320" s="125" t="n"/>
      <c r="AB320" s="133">
        <f>DADOS_INVOC!$QH$99</f>
        <v/>
      </c>
      <c r="AC320" s="16" t="n"/>
      <c r="AD320" s="16" t="n"/>
      <c r="AE320" s="16" t="n"/>
      <c r="AF320" s="17" t="n"/>
      <c r="AG320" s="125" t="n"/>
      <c r="AH320" s="133">
        <f>DADOS_INVOC!$QH$100</f>
        <v/>
      </c>
      <c r="AI320" s="16" t="n"/>
      <c r="AJ320" s="16" t="n"/>
      <c r="AK320" s="16" t="n"/>
      <c r="AL320" s="17" t="n"/>
      <c r="AM320" s="125" t="n"/>
      <c r="AN320" s="133">
        <f>DADOS_INVOC!$QH$101</f>
        <v/>
      </c>
      <c r="AO320" s="16" t="n"/>
      <c r="AP320" s="16" t="n"/>
      <c r="AQ320" s="16" t="n"/>
      <c r="AR320" s="17" t="n"/>
      <c r="AS320" s="125" t="n"/>
    </row>
    <row r="321" hidden="1" outlineLevel="3">
      <c r="A321" s="8" t="n"/>
      <c r="B321" s="14" t="n"/>
      <c r="C321" s="125" t="n"/>
      <c r="D321" s="125" t="n"/>
      <c r="E321" s="125" t="n"/>
      <c r="F321" s="125" t="n"/>
      <c r="G321" s="125" t="n"/>
      <c r="I321" s="55" t="inlineStr">
        <is>
          <t>MELHORIAS</t>
        </is>
      </c>
      <c r="J321" s="134" t="n"/>
      <c r="K321" s="16" t="n"/>
      <c r="L321" s="17" t="n"/>
      <c r="M321" s="133">
        <f>DADOS_INVOC!$QK$21</f>
        <v/>
      </c>
      <c r="N321" s="125" t="n"/>
      <c r="O321" s="55" t="inlineStr">
        <is>
          <t>MELHORIAS</t>
        </is>
      </c>
      <c r="P321" s="134" t="n"/>
      <c r="Q321" s="16" t="n"/>
      <c r="R321" s="17" t="n"/>
      <c r="S321" s="133">
        <f>DADOS_INVOC!$QK$22</f>
        <v/>
      </c>
      <c r="T321" s="125" t="n"/>
      <c r="U321" s="55" t="inlineStr">
        <is>
          <t>MELHORIAS</t>
        </is>
      </c>
      <c r="V321" s="134" t="n"/>
      <c r="W321" s="16" t="n"/>
      <c r="X321" s="17" t="n"/>
      <c r="Y321" s="133">
        <f>DADOS_INVOC!$QK$23</f>
        <v/>
      </c>
      <c r="Z321" s="125" t="n"/>
      <c r="AB321" s="55" t="inlineStr">
        <is>
          <t>MELHORIAS</t>
        </is>
      </c>
      <c r="AC321" s="134" t="n"/>
      <c r="AD321" s="16" t="n"/>
      <c r="AE321" s="17" t="n"/>
      <c r="AF321" s="133">
        <f>DADOS_INVOC!$QK$99</f>
        <v/>
      </c>
      <c r="AG321" s="125" t="n"/>
      <c r="AH321" s="55" t="inlineStr">
        <is>
          <t>MELHORIAS</t>
        </is>
      </c>
      <c r="AI321" s="134" t="n"/>
      <c r="AJ321" s="16" t="n"/>
      <c r="AK321" s="17" t="n"/>
      <c r="AL321" s="133">
        <f>DADOS_INVOC!$QK$100</f>
        <v/>
      </c>
      <c r="AM321" s="125" t="n"/>
      <c r="AN321" s="55" t="inlineStr">
        <is>
          <t>MELHORIAS</t>
        </is>
      </c>
      <c r="AO321" s="134" t="n"/>
      <c r="AP321" s="16" t="n"/>
      <c r="AQ321" s="17" t="n"/>
      <c r="AR321" s="133">
        <f>DADOS_INVOC!$QK$101</f>
        <v/>
      </c>
      <c r="AS321" s="125" t="n"/>
    </row>
    <row r="322" hidden="1" outlineLevel="3">
      <c r="A322" s="8" t="n"/>
      <c r="B322" s="14" t="n"/>
      <c r="C322" s="125" t="n"/>
      <c r="D322" s="125" t="n"/>
      <c r="E322" s="125" t="n"/>
      <c r="F322" s="125" t="n"/>
      <c r="G322" s="125" t="n"/>
      <c r="I322" s="135" t="n"/>
      <c r="J322" s="134" t="n"/>
      <c r="K322" s="16" t="n"/>
      <c r="L322" s="17" t="n"/>
      <c r="M322" s="133">
        <f>DADOS_INVOC!$QL$21</f>
        <v/>
      </c>
      <c r="N322" s="125" t="n"/>
      <c r="O322" s="135" t="n"/>
      <c r="P322" s="134" t="n"/>
      <c r="Q322" s="16" t="n"/>
      <c r="R322" s="17" t="n"/>
      <c r="S322" s="133">
        <f>DADOS_INVOC!$QL$22</f>
        <v/>
      </c>
      <c r="T322" s="125" t="n"/>
      <c r="U322" s="135" t="n"/>
      <c r="V322" s="134" t="n"/>
      <c r="W322" s="16" t="n"/>
      <c r="X322" s="17" t="n"/>
      <c r="Y322" s="133">
        <f>DADOS_INVOC!$QL$23</f>
        <v/>
      </c>
      <c r="Z322" s="125" t="n"/>
      <c r="AB322" s="135" t="n"/>
      <c r="AC322" s="134" t="n"/>
      <c r="AD322" s="16" t="n"/>
      <c r="AE322" s="17" t="n"/>
      <c r="AF322" s="133">
        <f>DADOS_INVOC!$QL$99</f>
        <v/>
      </c>
      <c r="AG322" s="125" t="n"/>
      <c r="AH322" s="135" t="n"/>
      <c r="AI322" s="134" t="n"/>
      <c r="AJ322" s="16" t="n"/>
      <c r="AK322" s="17" t="n"/>
      <c r="AL322" s="133">
        <f>DADOS_INVOC!$QL$100</f>
        <v/>
      </c>
      <c r="AM322" s="125" t="n"/>
      <c r="AN322" s="135" t="n"/>
      <c r="AO322" s="134" t="n"/>
      <c r="AP322" s="16" t="n"/>
      <c r="AQ322" s="17" t="n"/>
      <c r="AR322" s="133">
        <f>DADOS_INVOC!$QL$101</f>
        <v/>
      </c>
      <c r="AS322" s="125" t="n"/>
    </row>
    <row r="323" hidden="1" outlineLevel="3">
      <c r="A323" s="8" t="n"/>
      <c r="B323" s="14" t="n"/>
      <c r="C323" s="125" t="n"/>
      <c r="D323" s="125" t="n"/>
      <c r="E323" s="125" t="n"/>
      <c r="F323" s="125" t="n"/>
      <c r="G323" s="125" t="n"/>
      <c r="I323" s="135" t="n"/>
      <c r="J323" s="134" t="n"/>
      <c r="K323" s="16" t="n"/>
      <c r="L323" s="17" t="n"/>
      <c r="M323" s="133">
        <f>DADOS_INVOC!$QM$21</f>
        <v/>
      </c>
      <c r="N323" s="125" t="n"/>
      <c r="O323" s="135" t="n"/>
      <c r="P323" s="134" t="n"/>
      <c r="Q323" s="16" t="n"/>
      <c r="R323" s="17" t="n"/>
      <c r="S323" s="133">
        <f>DADOS_INVOC!$QM$22</f>
        <v/>
      </c>
      <c r="T323" s="125" t="n"/>
      <c r="U323" s="135" t="n"/>
      <c r="V323" s="134" t="n"/>
      <c r="W323" s="16" t="n"/>
      <c r="X323" s="17" t="n"/>
      <c r="Y323" s="133">
        <f>DADOS_INVOC!$QM$23</f>
        <v/>
      </c>
      <c r="Z323" s="125" t="n"/>
      <c r="AB323" s="135" t="n"/>
      <c r="AC323" s="134" t="n"/>
      <c r="AD323" s="16" t="n"/>
      <c r="AE323" s="17" t="n"/>
      <c r="AF323" s="133">
        <f>DADOS_INVOC!$QM$99</f>
        <v/>
      </c>
      <c r="AG323" s="125" t="n"/>
      <c r="AH323" s="135" t="n"/>
      <c r="AI323" s="134" t="n"/>
      <c r="AJ323" s="16" t="n"/>
      <c r="AK323" s="17" t="n"/>
      <c r="AL323" s="133">
        <f>DADOS_INVOC!$QM$100</f>
        <v/>
      </c>
      <c r="AM323" s="125" t="n"/>
      <c r="AN323" s="135" t="n"/>
      <c r="AO323" s="134" t="n"/>
      <c r="AP323" s="16" t="n"/>
      <c r="AQ323" s="17" t="n"/>
      <c r="AR323" s="133">
        <f>DADOS_INVOC!$QM$101</f>
        <v/>
      </c>
      <c r="AS323" s="125" t="n"/>
    </row>
    <row r="324" hidden="1" outlineLevel="3">
      <c r="A324" s="8" t="n"/>
      <c r="B324" s="14" t="n"/>
      <c r="C324" s="125" t="n"/>
      <c r="D324" s="125" t="n"/>
      <c r="E324" s="125" t="n"/>
      <c r="F324" s="125" t="n"/>
      <c r="G324" s="125" t="n"/>
      <c r="I324" s="129" t="n"/>
      <c r="J324" s="134" t="n"/>
      <c r="K324" s="16" t="n"/>
      <c r="L324" s="17" t="n"/>
      <c r="M324" s="133">
        <f>DADOS_INVOC!$QN$21</f>
        <v/>
      </c>
      <c r="N324" s="125" t="n"/>
      <c r="O324" s="129" t="n"/>
      <c r="P324" s="134" t="n"/>
      <c r="Q324" s="16" t="n"/>
      <c r="R324" s="17" t="n"/>
      <c r="S324" s="133">
        <f>DADOS_INVOC!$QN$22</f>
        <v/>
      </c>
      <c r="T324" s="125" t="n"/>
      <c r="U324" s="129" t="n"/>
      <c r="V324" s="134" t="n"/>
      <c r="W324" s="16" t="n"/>
      <c r="X324" s="17" t="n"/>
      <c r="Y324" s="133">
        <f>DADOS_INVOC!$QN$23</f>
        <v/>
      </c>
      <c r="Z324" s="125" t="n"/>
      <c r="AB324" s="129" t="n"/>
      <c r="AC324" s="134" t="n"/>
      <c r="AD324" s="16" t="n"/>
      <c r="AE324" s="17" t="n"/>
      <c r="AF324" s="133">
        <f>DADOS_INVOC!$QN$99</f>
        <v/>
      </c>
      <c r="AG324" s="125" t="n"/>
      <c r="AH324" s="129" t="n"/>
      <c r="AI324" s="134" t="n"/>
      <c r="AJ324" s="16" t="n"/>
      <c r="AK324" s="17" t="n"/>
      <c r="AL324" s="133">
        <f>DADOS_INVOC!$QN$100</f>
        <v/>
      </c>
      <c r="AM324" s="125" t="n"/>
      <c r="AN324" s="129" t="n"/>
      <c r="AO324" s="134" t="n"/>
      <c r="AP324" s="16" t="n"/>
      <c r="AQ324" s="17" t="n"/>
      <c r="AR324" s="133">
        <f>DADOS_INVOC!$QN$101</f>
        <v/>
      </c>
      <c r="AS324" s="125" t="n"/>
    </row>
    <row r="325" hidden="1" outlineLevel="3">
      <c r="A325" s="8" t="n"/>
      <c r="B325" s="14" t="n"/>
      <c r="C325" s="125" t="n"/>
      <c r="D325" s="125" t="n"/>
      <c r="E325" s="125" t="n"/>
      <c r="F325" s="125" t="n"/>
      <c r="G325" s="125" t="n"/>
      <c r="I325" s="55" t="inlineStr">
        <is>
          <t>RESTRIÇÕES</t>
        </is>
      </c>
      <c r="J325" s="134" t="n"/>
      <c r="K325" s="16" t="n"/>
      <c r="L325" s="17" t="n"/>
      <c r="M325" s="133">
        <f>DADOS_INVOC!$QO$21</f>
        <v/>
      </c>
      <c r="N325" s="125" t="n"/>
      <c r="O325" s="55" t="inlineStr">
        <is>
          <t>RESTRIÇÕES</t>
        </is>
      </c>
      <c r="P325" s="134" t="n"/>
      <c r="Q325" s="16" t="n"/>
      <c r="R325" s="17" t="n"/>
      <c r="S325" s="133">
        <f>DADOS_INVOC!$QO$22</f>
        <v/>
      </c>
      <c r="T325" s="125" t="n"/>
      <c r="U325" s="55" t="inlineStr">
        <is>
          <t>RESTRIÇÕES</t>
        </is>
      </c>
      <c r="V325" s="134" t="n"/>
      <c r="W325" s="16" t="n"/>
      <c r="X325" s="17" t="n"/>
      <c r="Y325" s="133">
        <f>DADOS_INVOC!$QO$23</f>
        <v/>
      </c>
      <c r="Z325" s="125" t="n"/>
      <c r="AB325" s="55" t="inlineStr">
        <is>
          <t>RESTRIÇÕES</t>
        </is>
      </c>
      <c r="AC325" s="134" t="n"/>
      <c r="AD325" s="16" t="n"/>
      <c r="AE325" s="17" t="n"/>
      <c r="AF325" s="133">
        <f>DADOS_INVOC!$QO$99</f>
        <v/>
      </c>
      <c r="AG325" s="125" t="n"/>
      <c r="AH325" s="55" t="inlineStr">
        <is>
          <t>RESTRIÇÕES</t>
        </is>
      </c>
      <c r="AI325" s="134" t="n"/>
      <c r="AJ325" s="16" t="n"/>
      <c r="AK325" s="17" t="n"/>
      <c r="AL325" s="133">
        <f>DADOS_INVOC!$QO$100</f>
        <v/>
      </c>
      <c r="AM325" s="125" t="n"/>
      <c r="AN325" s="55" t="inlineStr">
        <is>
          <t>RESTRIÇÕES</t>
        </is>
      </c>
      <c r="AO325" s="134" t="n"/>
      <c r="AP325" s="16" t="n"/>
      <c r="AQ325" s="17" t="n"/>
      <c r="AR325" s="133">
        <f>DADOS_INVOC!$QO$101</f>
        <v/>
      </c>
      <c r="AS325" s="125" t="n"/>
    </row>
    <row r="326" hidden="1" outlineLevel="3">
      <c r="A326" s="8" t="n"/>
      <c r="B326" s="14" t="n"/>
      <c r="C326" s="125" t="n"/>
      <c r="D326" s="125" t="n"/>
      <c r="E326" s="125" t="n"/>
      <c r="F326" s="125" t="n"/>
      <c r="G326" s="125" t="n"/>
      <c r="I326" s="129" t="n"/>
      <c r="J326" s="134" t="n"/>
      <c r="K326" s="16" t="n"/>
      <c r="L326" s="17" t="n"/>
      <c r="M326" s="133">
        <f>DADOS_INVOC!$QP$21</f>
        <v/>
      </c>
      <c r="N326" s="125" t="n"/>
      <c r="O326" s="129" t="n"/>
      <c r="P326" s="134" t="n"/>
      <c r="Q326" s="16" t="n"/>
      <c r="R326" s="17" t="n"/>
      <c r="S326" s="133">
        <f>DADOS_INVOC!$QP$22</f>
        <v/>
      </c>
      <c r="T326" s="125" t="n"/>
      <c r="U326" s="129" t="n"/>
      <c r="V326" s="134" t="n"/>
      <c r="W326" s="16" t="n"/>
      <c r="X326" s="17" t="n"/>
      <c r="Y326" s="133">
        <f>DADOS_INVOC!$QP$23</f>
        <v/>
      </c>
      <c r="Z326" s="125" t="n"/>
      <c r="AB326" s="129" t="n"/>
      <c r="AC326" s="134" t="n"/>
      <c r="AD326" s="16" t="n"/>
      <c r="AE326" s="17" t="n"/>
      <c r="AF326" s="133">
        <f>DADOS_INVOC!$QP$99</f>
        <v/>
      </c>
      <c r="AG326" s="125" t="n"/>
      <c r="AH326" s="129" t="n"/>
      <c r="AI326" s="134" t="n"/>
      <c r="AJ326" s="16" t="n"/>
      <c r="AK326" s="17" t="n"/>
      <c r="AL326" s="133">
        <f>DADOS_INVOC!$QP$100</f>
        <v/>
      </c>
      <c r="AM326" s="125" t="n"/>
      <c r="AN326" s="129" t="n"/>
      <c r="AO326" s="134" t="n"/>
      <c r="AP326" s="16" t="n"/>
      <c r="AQ326" s="17" t="n"/>
      <c r="AR326" s="133">
        <f>DADOS_INVOC!$QP$101</f>
        <v/>
      </c>
      <c r="AS326" s="125" t="n"/>
    </row>
    <row r="327" hidden="1" outlineLevel="3">
      <c r="A327" s="8" t="n"/>
      <c r="B327" s="14" t="n"/>
      <c r="C327" s="125" t="n"/>
      <c r="D327" s="125" t="n"/>
      <c r="E327" s="125" t="n"/>
      <c r="F327" s="125" t="n"/>
      <c r="G327" s="125" t="n"/>
      <c r="I327" s="55" t="inlineStr">
        <is>
          <t>CONTA</t>
        </is>
      </c>
      <c r="J327" s="136">
        <f>DADOS_INVOC!$QI$21</f>
        <v/>
      </c>
      <c r="K327" s="16" t="n"/>
      <c r="L327" s="16" t="n"/>
      <c r="M327" s="17" t="n"/>
      <c r="N327" s="125" t="n"/>
      <c r="O327" s="55" t="inlineStr">
        <is>
          <t>CONTA</t>
        </is>
      </c>
      <c r="P327" s="136">
        <f>DADOS_INVOC!$QI$22</f>
        <v/>
      </c>
      <c r="Q327" s="16" t="n"/>
      <c r="R327" s="16" t="n"/>
      <c r="S327" s="17" t="n"/>
      <c r="T327" s="125" t="n"/>
      <c r="U327" s="55" t="inlineStr">
        <is>
          <t>CONTA</t>
        </is>
      </c>
      <c r="V327" s="136">
        <f>DADOS_INVOC!$QI$23</f>
        <v/>
      </c>
      <c r="W327" s="16" t="n"/>
      <c r="X327" s="16" t="n"/>
      <c r="Y327" s="17" t="n"/>
      <c r="Z327" s="125" t="n"/>
      <c r="AB327" s="55" t="inlineStr">
        <is>
          <t>CONTA</t>
        </is>
      </c>
      <c r="AC327" s="136">
        <f>DADOS_INVOC!$QI$99</f>
        <v/>
      </c>
      <c r="AD327" s="16" t="n"/>
      <c r="AE327" s="16" t="n"/>
      <c r="AF327" s="17" t="n"/>
      <c r="AG327" s="125" t="n"/>
      <c r="AH327" s="55" t="inlineStr">
        <is>
          <t>CONTA</t>
        </is>
      </c>
      <c r="AI327" s="136">
        <f>DADOS_INVOC!$QI$100</f>
        <v/>
      </c>
      <c r="AJ327" s="16" t="n"/>
      <c r="AK327" s="16" t="n"/>
      <c r="AL327" s="17" t="n"/>
      <c r="AM327" s="125" t="n"/>
      <c r="AN327" s="55" t="inlineStr">
        <is>
          <t>CONTA</t>
        </is>
      </c>
      <c r="AO327" s="136">
        <f>DADOS_INVOC!$QI$101</f>
        <v/>
      </c>
      <c r="AP327" s="16" t="n"/>
      <c r="AQ327" s="16" t="n"/>
      <c r="AR327" s="17" t="n"/>
      <c r="AS327" s="125" t="n"/>
    </row>
    <row r="328" hidden="1" outlineLevel="3">
      <c r="A328" s="8" t="n"/>
      <c r="B328" s="14" t="n"/>
      <c r="C328" s="125" t="n"/>
      <c r="D328" s="125" t="n"/>
      <c r="E328" s="125" t="n"/>
      <c r="F328" s="125" t="n"/>
      <c r="G328" s="125" t="n"/>
      <c r="I328" s="55" t="inlineStr">
        <is>
          <t>AMPLIAR</t>
        </is>
      </c>
      <c r="J328" s="136">
        <f>DADOS_INVOC!$QJ$21</f>
        <v/>
      </c>
      <c r="K328" s="19" t="n"/>
      <c r="L328" s="19" t="n"/>
      <c r="M328" s="20" t="n"/>
      <c r="N328" s="125" t="n"/>
      <c r="O328" s="55" t="inlineStr">
        <is>
          <t>AMPLIAR</t>
        </is>
      </c>
      <c r="P328" s="136">
        <f>DADOS_INVOC!$QJ$22</f>
        <v/>
      </c>
      <c r="Q328" s="19" t="n"/>
      <c r="R328" s="19" t="n"/>
      <c r="S328" s="20" t="n"/>
      <c r="T328" s="125" t="n"/>
      <c r="U328" s="55" t="inlineStr">
        <is>
          <t>AMPLIAR</t>
        </is>
      </c>
      <c r="V328" s="136">
        <f>DADOS_INVOC!$QJ$23</f>
        <v/>
      </c>
      <c r="W328" s="19" t="n"/>
      <c r="X328" s="19" t="n"/>
      <c r="Y328" s="20" t="n"/>
      <c r="Z328" s="125" t="n"/>
      <c r="AB328" s="55" t="inlineStr">
        <is>
          <t>AMPLIAR</t>
        </is>
      </c>
      <c r="AC328" s="136">
        <f>DADOS_INVOC!$QJ$99</f>
        <v/>
      </c>
      <c r="AD328" s="19" t="n"/>
      <c r="AE328" s="19" t="n"/>
      <c r="AF328" s="20" t="n"/>
      <c r="AG328" s="125" t="n"/>
      <c r="AH328" s="55" t="inlineStr">
        <is>
          <t>AMPLIAR</t>
        </is>
      </c>
      <c r="AI328" s="136">
        <f>DADOS_INVOC!$QJ$100</f>
        <v/>
      </c>
      <c r="AJ328" s="19" t="n"/>
      <c r="AK328" s="19" t="n"/>
      <c r="AL328" s="20" t="n"/>
      <c r="AM328" s="125" t="n"/>
      <c r="AN328" s="55" t="inlineStr">
        <is>
          <t>AMPLIAR</t>
        </is>
      </c>
      <c r="AO328" s="136">
        <f>DADOS_INVOC!$QJ$101</f>
        <v/>
      </c>
      <c r="AP328" s="19" t="n"/>
      <c r="AQ328" s="19" t="n"/>
      <c r="AR328" s="20" t="n"/>
      <c r="AS328" s="125" t="n"/>
    </row>
    <row r="329" hidden="1" outlineLevel="3">
      <c r="A329" s="8" t="n"/>
      <c r="B329" s="14" t="n"/>
      <c r="C329" s="125" t="n"/>
      <c r="D329" s="125" t="n"/>
      <c r="E329" s="125" t="n"/>
      <c r="F329" s="125" t="n"/>
      <c r="G329" s="125" t="n"/>
      <c r="I329" s="129" t="n"/>
      <c r="J329" s="23" t="n"/>
      <c r="K329" s="24" t="n"/>
      <c r="L329" s="24" t="n"/>
      <c r="M329" s="25" t="n"/>
      <c r="N329" s="125" t="n"/>
      <c r="O329" s="129" t="n"/>
      <c r="P329" s="23" t="n"/>
      <c r="Q329" s="24" t="n"/>
      <c r="R329" s="24" t="n"/>
      <c r="S329" s="25" t="n"/>
      <c r="T329" s="125" t="n"/>
      <c r="U329" s="129" t="n"/>
      <c r="V329" s="23" t="n"/>
      <c r="W329" s="24" t="n"/>
      <c r="X329" s="24" t="n"/>
      <c r="Y329" s="25" t="n"/>
      <c r="Z329" s="125" t="n"/>
      <c r="AB329" s="129" t="n"/>
      <c r="AC329" s="23" t="n"/>
      <c r="AD329" s="24" t="n"/>
      <c r="AE329" s="24" t="n"/>
      <c r="AF329" s="25" t="n"/>
      <c r="AG329" s="125" t="n"/>
      <c r="AH329" s="129" t="n"/>
      <c r="AI329" s="23" t="n"/>
      <c r="AJ329" s="24" t="n"/>
      <c r="AK329" s="24" t="n"/>
      <c r="AL329" s="25" t="n"/>
      <c r="AM329" s="125" t="n"/>
      <c r="AN329" s="129" t="n"/>
      <c r="AO329" s="23" t="n"/>
      <c r="AP329" s="24" t="n"/>
      <c r="AQ329" s="24" t="n"/>
      <c r="AR329" s="25" t="n"/>
      <c r="AS329" s="125" t="n"/>
    </row>
    <row r="330" hidden="1" outlineLevel="3">
      <c r="A330" s="8" t="n"/>
      <c r="B330" s="14" t="n"/>
      <c r="C330" s="125" t="n"/>
      <c r="D330" s="125" t="n"/>
      <c r="E330" s="125" t="n"/>
      <c r="F330" s="125" t="n"/>
      <c r="G330" s="125" t="n"/>
      <c r="I330" s="136">
        <f>DADOS_INVOC!$PW$21</f>
        <v/>
      </c>
      <c r="J330" s="19" t="n"/>
      <c r="K330" s="19" t="n"/>
      <c r="L330" s="19" t="n"/>
      <c r="M330" s="20" t="n"/>
      <c r="N330" s="125" t="n"/>
      <c r="O330" s="136">
        <f>DADOS_INVOC!$PW$22</f>
        <v/>
      </c>
      <c r="P330" s="19" t="n"/>
      <c r="Q330" s="19" t="n"/>
      <c r="R330" s="19" t="n"/>
      <c r="S330" s="20" t="n"/>
      <c r="T330" s="125" t="n"/>
      <c r="U330" s="136">
        <f>DADOS_INVOC!$PW$23</f>
        <v/>
      </c>
      <c r="V330" s="19" t="n"/>
      <c r="W330" s="19" t="n"/>
      <c r="X330" s="19" t="n"/>
      <c r="Y330" s="20" t="n"/>
      <c r="Z330" s="125" t="n"/>
      <c r="AB330" s="136">
        <f>DADOS_INVOC!$PW$99</f>
        <v/>
      </c>
      <c r="AC330" s="19" t="n"/>
      <c r="AD330" s="19" t="n"/>
      <c r="AE330" s="19" t="n"/>
      <c r="AF330" s="20" t="n"/>
      <c r="AG330" s="125" t="n"/>
      <c r="AH330" s="136">
        <f>DADOS_INVOC!$PW$100</f>
        <v/>
      </c>
      <c r="AI330" s="19" t="n"/>
      <c r="AJ330" s="19" t="n"/>
      <c r="AK330" s="19" t="n"/>
      <c r="AL330" s="20" t="n"/>
      <c r="AM330" s="125" t="n"/>
      <c r="AN330" s="136">
        <f>DADOS_INVOC!$PW$101</f>
        <v/>
      </c>
      <c r="AO330" s="19" t="n"/>
      <c r="AP330" s="19" t="n"/>
      <c r="AQ330" s="19" t="n"/>
      <c r="AR330" s="20" t="n"/>
      <c r="AS330" s="125" t="n"/>
    </row>
    <row r="331" hidden="1" outlineLevel="3">
      <c r="A331" s="8" t="n"/>
      <c r="B331" s="14" t="n"/>
      <c r="C331" s="125" t="n"/>
      <c r="D331" s="125" t="n"/>
      <c r="E331" s="125" t="n"/>
      <c r="F331" s="125" t="n"/>
      <c r="G331" s="125" t="n"/>
      <c r="I331" s="23" t="n"/>
      <c r="J331" s="24" t="n"/>
      <c r="K331" s="24" t="n"/>
      <c r="L331" s="24" t="n"/>
      <c r="M331" s="25" t="n"/>
      <c r="N331" s="125" t="n"/>
      <c r="O331" s="23" t="n"/>
      <c r="P331" s="24" t="n"/>
      <c r="Q331" s="24" t="n"/>
      <c r="R331" s="24" t="n"/>
      <c r="S331" s="25" t="n"/>
      <c r="T331" s="125" t="n"/>
      <c r="U331" s="23" t="n"/>
      <c r="V331" s="24" t="n"/>
      <c r="W331" s="24" t="n"/>
      <c r="X331" s="24" t="n"/>
      <c r="Y331" s="25" t="n"/>
      <c r="Z331" s="125" t="n"/>
      <c r="AB331" s="23" t="n"/>
      <c r="AC331" s="24" t="n"/>
      <c r="AD331" s="24" t="n"/>
      <c r="AE331" s="24" t="n"/>
      <c r="AF331" s="25" t="n"/>
      <c r="AG331" s="125" t="n"/>
      <c r="AH331" s="23" t="n"/>
      <c r="AI331" s="24" t="n"/>
      <c r="AJ331" s="24" t="n"/>
      <c r="AK331" s="24" t="n"/>
      <c r="AL331" s="25" t="n"/>
      <c r="AM331" s="125" t="n"/>
      <c r="AN331" s="23" t="n"/>
      <c r="AO331" s="24" t="n"/>
      <c r="AP331" s="24" t="n"/>
      <c r="AQ331" s="24" t="n"/>
      <c r="AR331" s="25" t="n"/>
      <c r="AS331" s="125" t="n"/>
    </row>
    <row r="332" hidden="1" outlineLevel="2">
      <c r="A332" s="8" t="n"/>
      <c r="B332" s="14" t="n"/>
      <c r="C332" s="125" t="n"/>
      <c r="D332" s="125" t="n"/>
      <c r="E332" s="125" t="n"/>
      <c r="F332" s="125" t="n"/>
      <c r="G332" s="125" t="n"/>
      <c r="I332" s="125" t="n"/>
      <c r="J332" s="125" t="n"/>
      <c r="K332" s="125" t="n"/>
      <c r="L332" s="125" t="n"/>
      <c r="M332" s="125" t="n"/>
      <c r="N332" s="125" t="n"/>
      <c r="O332" s="125" t="n"/>
      <c r="P332" s="125" t="n"/>
      <c r="Q332" s="125" t="n"/>
      <c r="R332" s="125" t="n"/>
      <c r="S332" s="125" t="n"/>
      <c r="T332" s="125" t="n"/>
      <c r="U332" s="125" t="n"/>
      <c r="V332" s="125" t="n"/>
      <c r="W332" s="125" t="n"/>
      <c r="X332" s="125" t="n"/>
      <c r="Y332" s="125" t="n"/>
      <c r="Z332" s="125" t="n"/>
      <c r="AB332" s="125" t="n"/>
      <c r="AC332" s="125" t="n"/>
      <c r="AD332" s="125" t="n"/>
      <c r="AE332" s="125" t="n"/>
      <c r="AF332" s="125" t="n"/>
      <c r="AG332" s="125" t="n"/>
      <c r="AH332" s="125" t="n"/>
      <c r="AI332" s="125" t="n"/>
      <c r="AJ332" s="125" t="n"/>
      <c r="AK332" s="125" t="n"/>
      <c r="AL332" s="125" t="n"/>
      <c r="AM332" s="125" t="n"/>
      <c r="AN332" s="125" t="n"/>
      <c r="AO332" s="125" t="n"/>
      <c r="AP332" s="125" t="n"/>
      <c r="AQ332" s="125" t="n"/>
      <c r="AR332" s="125" t="n"/>
      <c r="AS332" s="125" t="n"/>
    </row>
    <row r="333" hidden="1" outlineLevel="2">
      <c r="A333" s="8" t="n"/>
      <c r="B333" s="14" t="n"/>
      <c r="C333" s="125" t="n"/>
      <c r="D333" s="125" t="n"/>
      <c r="E333" s="125" t="n"/>
      <c r="F333" s="125" t="n"/>
      <c r="G333" s="125" t="n"/>
      <c r="I333" s="55">
        <f>DADOS_INVOC!$PX$24</f>
        <v/>
      </c>
      <c r="J333" s="16" t="n"/>
      <c r="K333" s="16" t="n"/>
      <c r="L333" s="16" t="n"/>
      <c r="M333" s="17" t="n"/>
      <c r="N333" s="125" t="n"/>
      <c r="O333" s="125" t="n"/>
      <c r="P333" s="125" t="n"/>
      <c r="Q333" s="125" t="n"/>
      <c r="R333" s="125" t="n"/>
      <c r="S333" s="125" t="n"/>
      <c r="T333" s="125" t="n"/>
      <c r="U333" s="125" t="n"/>
      <c r="V333" s="125" t="n"/>
      <c r="W333" s="125" t="n"/>
      <c r="X333" s="125" t="n"/>
      <c r="Y333" s="125" t="n"/>
      <c r="Z333" s="125" t="n"/>
      <c r="AB333" s="55">
        <f>DADOS_INVOC!$PX$102</f>
        <v/>
      </c>
      <c r="AC333" s="16" t="n"/>
      <c r="AD333" s="16" t="n"/>
      <c r="AE333" s="16" t="n"/>
      <c r="AF333" s="17" t="n"/>
      <c r="AG333" s="125" t="n"/>
      <c r="AH333" s="125" t="n"/>
      <c r="AI333" s="125" t="n"/>
      <c r="AJ333" s="125" t="n"/>
      <c r="AK333" s="125" t="n"/>
      <c r="AL333" s="125" t="n"/>
      <c r="AM333" s="125" t="n"/>
      <c r="AN333" s="125" t="n"/>
      <c r="AO333" s="125" t="n"/>
      <c r="AP333" s="125" t="n"/>
      <c r="AQ333" s="125" t="n"/>
      <c r="AR333" s="125" t="n"/>
      <c r="AS333" s="125" t="n"/>
    </row>
    <row r="334" hidden="1" outlineLevel="2">
      <c r="A334" s="8" t="n"/>
      <c r="B334" s="14" t="n"/>
      <c r="C334" s="125" t="n"/>
      <c r="D334" s="125" t="n"/>
      <c r="E334" s="125" t="n"/>
      <c r="F334" s="125" t="n"/>
      <c r="G334" s="125" t="n"/>
      <c r="I334" s="131" t="n">
        <v>1</v>
      </c>
      <c r="J334" s="120" t="n"/>
      <c r="K334" s="16" t="n"/>
      <c r="L334" s="17" t="n"/>
      <c r="M334" s="132">
        <f>DADOS_INVOC!$PV$24</f>
        <v/>
      </c>
      <c r="N334" s="125" t="n"/>
      <c r="O334" s="125" t="n"/>
      <c r="P334" s="125" t="n"/>
      <c r="Q334" s="125" t="n"/>
      <c r="R334" s="125" t="n"/>
      <c r="S334" s="125" t="n"/>
      <c r="T334" s="125" t="n"/>
      <c r="U334" s="125" t="n"/>
      <c r="V334" s="125" t="n"/>
      <c r="W334" s="125" t="n"/>
      <c r="X334" s="125" t="n"/>
      <c r="Y334" s="125" t="n"/>
      <c r="Z334" s="125" t="n"/>
      <c r="AB334" s="131" t="n">
        <v>1</v>
      </c>
      <c r="AC334" s="120" t="n"/>
      <c r="AD334" s="16" t="n"/>
      <c r="AE334" s="17" t="n"/>
      <c r="AF334" s="132">
        <f>DADOS_INVOC!$PV$102</f>
        <v/>
      </c>
      <c r="AG334" s="125" t="n"/>
      <c r="AH334" s="125" t="n"/>
      <c r="AI334" s="125" t="n"/>
      <c r="AJ334" s="125" t="n"/>
      <c r="AK334" s="125" t="n"/>
      <c r="AL334" s="125" t="n"/>
      <c r="AM334" s="125" t="n"/>
      <c r="AN334" s="125" t="n"/>
      <c r="AO334" s="125" t="n"/>
      <c r="AP334" s="125" t="n"/>
      <c r="AQ334" s="125" t="n"/>
      <c r="AR334" s="125" t="n"/>
      <c r="AS334" s="125" t="n"/>
    </row>
    <row r="335" hidden="1" outlineLevel="3">
      <c r="A335" s="8" t="n"/>
      <c r="B335" s="14" t="n"/>
      <c r="C335" s="125" t="n"/>
      <c r="D335" s="125" t="n"/>
      <c r="E335" s="125" t="n"/>
      <c r="F335" s="125" t="n"/>
      <c r="G335" s="125" t="n"/>
      <c r="I335" s="55" t="inlineStr">
        <is>
          <t>COMO É</t>
        </is>
      </c>
      <c r="J335" s="16" t="n"/>
      <c r="K335" s="16" t="n"/>
      <c r="L335" s="16" t="n"/>
      <c r="M335" s="17" t="n"/>
      <c r="N335" s="125" t="n"/>
      <c r="O335" s="125" t="n"/>
      <c r="P335" s="125" t="n"/>
      <c r="Q335" s="125" t="n"/>
      <c r="R335" s="125" t="n"/>
      <c r="S335" s="125" t="n"/>
      <c r="T335" s="125" t="n"/>
      <c r="U335" s="125" t="n"/>
      <c r="V335" s="125" t="n"/>
      <c r="W335" s="125" t="n"/>
      <c r="X335" s="125" t="n"/>
      <c r="Y335" s="125" t="n"/>
      <c r="Z335" s="125" t="n"/>
      <c r="AB335" s="55" t="inlineStr">
        <is>
          <t>COMO É</t>
        </is>
      </c>
      <c r="AC335" s="16" t="n"/>
      <c r="AD335" s="16" t="n"/>
      <c r="AE335" s="16" t="n"/>
      <c r="AF335" s="17" t="n"/>
      <c r="AG335" s="125" t="n"/>
      <c r="AH335" s="125" t="n"/>
      <c r="AI335" s="125" t="n"/>
      <c r="AJ335" s="125" t="n"/>
      <c r="AK335" s="125" t="n"/>
      <c r="AL335" s="125" t="n"/>
      <c r="AM335" s="125" t="n"/>
      <c r="AN335" s="125" t="n"/>
      <c r="AO335" s="125" t="n"/>
      <c r="AP335" s="125" t="n"/>
      <c r="AQ335" s="125" t="n"/>
      <c r="AR335" s="125" t="n"/>
      <c r="AS335" s="125" t="n"/>
    </row>
    <row r="336" hidden="1" outlineLevel="3">
      <c r="A336" s="8" t="n"/>
      <c r="B336" s="14" t="n"/>
      <c r="C336" s="125" t="n"/>
      <c r="D336" s="125" t="n"/>
      <c r="E336" s="125" t="n"/>
      <c r="F336" s="125" t="n"/>
      <c r="G336" s="125" t="n"/>
      <c r="I336" s="121" t="n"/>
      <c r="J336" s="19" t="n"/>
      <c r="K336" s="19" t="n"/>
      <c r="L336" s="19" t="n"/>
      <c r="M336" s="20" t="n"/>
      <c r="N336" s="125" t="n"/>
      <c r="O336" s="125" t="n"/>
      <c r="P336" s="125" t="n"/>
      <c r="Q336" s="125" t="n"/>
      <c r="R336" s="125" t="n"/>
      <c r="S336" s="125" t="n"/>
      <c r="T336" s="125" t="n"/>
      <c r="U336" s="125" t="n"/>
      <c r="V336" s="125" t="n"/>
      <c r="W336" s="125" t="n"/>
      <c r="X336" s="125" t="n"/>
      <c r="Y336" s="125" t="n"/>
      <c r="Z336" s="125" t="n"/>
      <c r="AB336" s="121" t="n"/>
      <c r="AC336" s="19" t="n"/>
      <c r="AD336" s="19" t="n"/>
      <c r="AE336" s="19" t="n"/>
      <c r="AF336" s="20" t="n"/>
      <c r="AG336" s="125" t="n"/>
      <c r="AH336" s="125" t="n"/>
      <c r="AI336" s="125" t="n"/>
      <c r="AJ336" s="125" t="n"/>
      <c r="AK336" s="125" t="n"/>
      <c r="AL336" s="125" t="n"/>
      <c r="AM336" s="125" t="n"/>
      <c r="AN336" s="125" t="n"/>
      <c r="AO336" s="125" t="n"/>
      <c r="AP336" s="125" t="n"/>
      <c r="AQ336" s="125" t="n"/>
      <c r="AR336" s="125" t="n"/>
      <c r="AS336" s="125" t="n"/>
    </row>
    <row r="337" hidden="1" outlineLevel="3">
      <c r="A337" s="8" t="n"/>
      <c r="B337" s="14" t="n"/>
      <c r="C337" s="125" t="n"/>
      <c r="D337" s="125" t="n"/>
      <c r="E337" s="125" t="n"/>
      <c r="F337" s="125" t="n"/>
      <c r="G337" s="125" t="n"/>
      <c r="I337" s="21" t="n"/>
      <c r="M337" s="22" t="n"/>
      <c r="N337" s="125" t="n"/>
      <c r="O337" s="125" t="n"/>
      <c r="P337" s="125" t="n"/>
      <c r="Q337" s="125" t="n"/>
      <c r="R337" s="125" t="n"/>
      <c r="S337" s="125" t="n"/>
      <c r="T337" s="125" t="n"/>
      <c r="U337" s="125" t="n"/>
      <c r="V337" s="125" t="n"/>
      <c r="W337" s="125" t="n"/>
      <c r="X337" s="125" t="n"/>
      <c r="Y337" s="125" t="n"/>
      <c r="Z337" s="125" t="n"/>
      <c r="AB337" s="21" t="n"/>
      <c r="AF337" s="22" t="n"/>
      <c r="AG337" s="125" t="n"/>
      <c r="AH337" s="125" t="n"/>
      <c r="AI337" s="125" t="n"/>
      <c r="AJ337" s="125" t="n"/>
      <c r="AK337" s="125" t="n"/>
      <c r="AL337" s="125" t="n"/>
      <c r="AM337" s="125" t="n"/>
      <c r="AN337" s="125" t="n"/>
      <c r="AO337" s="125" t="n"/>
      <c r="AP337" s="125" t="n"/>
      <c r="AQ337" s="125" t="n"/>
      <c r="AR337" s="125" t="n"/>
      <c r="AS337" s="125" t="n"/>
    </row>
    <row r="338" hidden="1" outlineLevel="3">
      <c r="A338" s="8" t="n"/>
      <c r="B338" s="14" t="n"/>
      <c r="C338" s="125" t="n"/>
      <c r="D338" s="125" t="n"/>
      <c r="E338" s="125" t="n"/>
      <c r="F338" s="125" t="n"/>
      <c r="G338" s="125" t="n"/>
      <c r="I338" s="23" t="n"/>
      <c r="J338" s="24" t="n"/>
      <c r="K338" s="24" t="n"/>
      <c r="L338" s="24" t="n"/>
      <c r="M338" s="25" t="n"/>
      <c r="N338" s="125" t="n"/>
      <c r="O338" s="125" t="n"/>
      <c r="P338" s="125" t="n"/>
      <c r="Q338" s="125" t="n"/>
      <c r="R338" s="125" t="n"/>
      <c r="S338" s="125" t="n"/>
      <c r="T338" s="125" t="n"/>
      <c r="U338" s="125" t="n"/>
      <c r="V338" s="125" t="n"/>
      <c r="W338" s="125" t="n"/>
      <c r="X338" s="125" t="n"/>
      <c r="Y338" s="125" t="n"/>
      <c r="Z338" s="125" t="n"/>
      <c r="AB338" s="23" t="n"/>
      <c r="AC338" s="24" t="n"/>
      <c r="AD338" s="24" t="n"/>
      <c r="AE338" s="24" t="n"/>
      <c r="AF338" s="25" t="n"/>
      <c r="AG338" s="125" t="n"/>
      <c r="AH338" s="125" t="n"/>
      <c r="AI338" s="125" t="n"/>
      <c r="AJ338" s="125" t="n"/>
      <c r="AK338" s="125" t="n"/>
      <c r="AL338" s="125" t="n"/>
      <c r="AM338" s="125" t="n"/>
      <c r="AN338" s="125" t="n"/>
      <c r="AO338" s="125" t="n"/>
      <c r="AP338" s="125" t="n"/>
      <c r="AQ338" s="125" t="n"/>
      <c r="AR338" s="125" t="n"/>
      <c r="AS338" s="125" t="n"/>
    </row>
    <row r="339" hidden="1" outlineLevel="2">
      <c r="A339" s="8" t="n"/>
      <c r="B339" s="14" t="n"/>
      <c r="C339" s="125" t="n"/>
      <c r="D339" s="125" t="n"/>
      <c r="E339" s="125" t="n"/>
      <c r="F339" s="125" t="n"/>
      <c r="G339" s="125" t="n"/>
      <c r="I339" s="89" t="inlineStr">
        <is>
          <t>Projétil</t>
        </is>
      </c>
      <c r="J339" s="17" t="n"/>
      <c r="K339" s="68">
        <f>DADOS_INVOC!$QC$24</f>
        <v/>
      </c>
      <c r="L339" s="17" t="n"/>
      <c r="M339" s="68">
        <f>DADOS_INVOC!$PY$24</f>
        <v/>
      </c>
      <c r="N339" s="125" t="n"/>
      <c r="O339" s="125" t="n"/>
      <c r="P339" s="125" t="n"/>
      <c r="Q339" s="125" t="n"/>
      <c r="R339" s="125" t="n"/>
      <c r="S339" s="125" t="n"/>
      <c r="T339" s="125" t="n"/>
      <c r="U339" s="125" t="n"/>
      <c r="V339" s="125" t="n"/>
      <c r="W339" s="125" t="n"/>
      <c r="X339" s="125" t="n"/>
      <c r="Y339" s="125" t="n"/>
      <c r="Z339" s="125" t="n"/>
      <c r="AB339" s="89" t="inlineStr">
        <is>
          <t>Projétil</t>
        </is>
      </c>
      <c r="AC339" s="17" t="n"/>
      <c r="AD339" s="68">
        <f>DADOS_INVOC!$QC$102</f>
        <v/>
      </c>
      <c r="AE339" s="17" t="n"/>
      <c r="AF339" s="68">
        <f>DADOS_INVOC!$PY$102</f>
        <v/>
      </c>
      <c r="AG339" s="125" t="n"/>
      <c r="AH339" s="125" t="n"/>
      <c r="AI339" s="125" t="n"/>
      <c r="AJ339" s="125" t="n"/>
      <c r="AK339" s="125" t="n"/>
      <c r="AL339" s="125" t="n"/>
      <c r="AM339" s="125" t="n"/>
      <c r="AN339" s="125" t="n"/>
      <c r="AO339" s="125" t="n"/>
      <c r="AP339" s="125" t="n"/>
      <c r="AQ339" s="125" t="n"/>
      <c r="AR339" s="125" t="n"/>
      <c r="AS339" s="125" t="n"/>
    </row>
    <row r="340" hidden="1" outlineLevel="2">
      <c r="A340" s="8" t="n"/>
      <c r="B340" s="14" t="n"/>
      <c r="C340" s="125" t="n"/>
      <c r="D340" s="125" t="n"/>
      <c r="E340" s="125" t="n"/>
      <c r="F340" s="125" t="n"/>
      <c r="G340" s="125" t="n"/>
      <c r="I340" s="89" t="n"/>
      <c r="J340" s="17" t="n"/>
      <c r="K340" s="89" t="n"/>
      <c r="L340" s="16" t="n"/>
      <c r="M340" s="17" t="n"/>
      <c r="N340" s="125" t="n"/>
      <c r="O340" s="125" t="n"/>
      <c r="P340" s="125" t="n"/>
      <c r="Q340" s="125" t="n"/>
      <c r="R340" s="125" t="n"/>
      <c r="S340" s="125" t="n"/>
      <c r="T340" s="125" t="n"/>
      <c r="U340" s="125" t="n"/>
      <c r="V340" s="125" t="n"/>
      <c r="W340" s="125" t="n"/>
      <c r="X340" s="125" t="n"/>
      <c r="Y340" s="125" t="n"/>
      <c r="Z340" s="125" t="n"/>
      <c r="AB340" s="89" t="n"/>
      <c r="AC340" s="17" t="n"/>
      <c r="AD340" s="89" t="n"/>
      <c r="AE340" s="16" t="n"/>
      <c r="AF340" s="17" t="n"/>
      <c r="AG340" s="125" t="n"/>
      <c r="AH340" s="125" t="n"/>
      <c r="AI340" s="125" t="n"/>
      <c r="AJ340" s="125" t="n"/>
      <c r="AK340" s="125" t="n"/>
      <c r="AL340" s="125" t="n"/>
      <c r="AM340" s="125" t="n"/>
      <c r="AN340" s="125" t="n"/>
      <c r="AO340" s="125" t="n"/>
      <c r="AP340" s="125" t="n"/>
      <c r="AQ340" s="125" t="n"/>
      <c r="AR340" s="125" t="n"/>
      <c r="AS340" s="125" t="n"/>
    </row>
    <row r="341" hidden="1" outlineLevel="2">
      <c r="A341" s="8" t="n"/>
      <c r="B341" s="14" t="n"/>
      <c r="C341" s="125" t="n"/>
      <c r="D341" s="125" t="n"/>
      <c r="E341" s="125" t="n"/>
      <c r="F341" s="125" t="n"/>
      <c r="G341" s="125" t="n"/>
      <c r="I341" s="89">
        <f>DADOS_INVOC!$PZ$24</f>
        <v/>
      </c>
      <c r="J341" s="17" t="n"/>
      <c r="K341" s="89">
        <f>DADOS_INVOC!$QB$24</f>
        <v/>
      </c>
      <c r="L341" s="16" t="n"/>
      <c r="M341" s="17" t="n"/>
      <c r="N341" s="125" t="n"/>
      <c r="O341" s="125" t="n"/>
      <c r="P341" s="125" t="n"/>
      <c r="Q341" s="125" t="n"/>
      <c r="R341" s="125" t="n"/>
      <c r="S341" s="125" t="n"/>
      <c r="T341" s="125" t="n"/>
      <c r="U341" s="125" t="n"/>
      <c r="V341" s="125" t="n"/>
      <c r="W341" s="125" t="n"/>
      <c r="X341" s="125" t="n"/>
      <c r="Y341" s="125" t="n"/>
      <c r="Z341" s="125" t="n"/>
      <c r="AB341" s="89">
        <f>DADOS_INVOC!$PZ$102</f>
        <v/>
      </c>
      <c r="AC341" s="17" t="n"/>
      <c r="AD341" s="89">
        <f>DADOS_INVOC!$QB$102</f>
        <v/>
      </c>
      <c r="AE341" s="16" t="n"/>
      <c r="AF341" s="17" t="n"/>
      <c r="AG341" s="125" t="n"/>
      <c r="AH341" s="125" t="n"/>
      <c r="AI341" s="125" t="n"/>
      <c r="AJ341" s="125" t="n"/>
      <c r="AK341" s="125" t="n"/>
      <c r="AL341" s="125" t="n"/>
      <c r="AM341" s="125" t="n"/>
      <c r="AN341" s="125" t="n"/>
      <c r="AO341" s="125" t="n"/>
      <c r="AP341" s="125" t="n"/>
      <c r="AQ341" s="125" t="n"/>
      <c r="AR341" s="125" t="n"/>
      <c r="AS341" s="125" t="n"/>
    </row>
    <row r="342" hidden="1" outlineLevel="2">
      <c r="A342" s="8" t="n"/>
      <c r="B342" s="14" t="n"/>
      <c r="C342" s="125" t="n"/>
      <c r="D342" s="125" t="n"/>
      <c r="E342" s="125" t="n"/>
      <c r="F342" s="125" t="n"/>
      <c r="G342" s="125" t="n"/>
      <c r="I342" s="133">
        <f>DADOS_INVOC!$QH$24</f>
        <v/>
      </c>
      <c r="J342" s="16" t="n"/>
      <c r="K342" s="16" t="n"/>
      <c r="L342" s="16" t="n"/>
      <c r="M342" s="17" t="n"/>
      <c r="N342" s="125" t="n"/>
      <c r="O342" s="125" t="n"/>
      <c r="P342" s="125" t="n"/>
      <c r="Q342" s="125" t="n"/>
      <c r="R342" s="125" t="n"/>
      <c r="S342" s="125" t="n"/>
      <c r="T342" s="125" t="n"/>
      <c r="U342" s="125" t="n"/>
      <c r="V342" s="125" t="n"/>
      <c r="W342" s="125" t="n"/>
      <c r="X342" s="125" t="n"/>
      <c r="Y342" s="125" t="n"/>
      <c r="Z342" s="125" t="n"/>
      <c r="AB342" s="133">
        <f>DADOS_INVOC!$QH$102</f>
        <v/>
      </c>
      <c r="AC342" s="16" t="n"/>
      <c r="AD342" s="16" t="n"/>
      <c r="AE342" s="16" t="n"/>
      <c r="AF342" s="17" t="n"/>
      <c r="AG342" s="125" t="n"/>
      <c r="AH342" s="125" t="n"/>
      <c r="AI342" s="125" t="n"/>
      <c r="AJ342" s="125" t="n"/>
      <c r="AK342" s="125" t="n"/>
      <c r="AL342" s="125" t="n"/>
      <c r="AM342" s="125" t="n"/>
      <c r="AN342" s="125" t="n"/>
      <c r="AO342" s="125" t="n"/>
      <c r="AP342" s="125" t="n"/>
      <c r="AQ342" s="125" t="n"/>
      <c r="AR342" s="125" t="n"/>
      <c r="AS342" s="125" t="n"/>
    </row>
    <row r="343" hidden="1" outlineLevel="3">
      <c r="A343" s="8" t="n"/>
      <c r="B343" s="14" t="n"/>
      <c r="C343" s="125" t="n"/>
      <c r="D343" s="125" t="n"/>
      <c r="E343" s="125" t="n"/>
      <c r="F343" s="125" t="n"/>
      <c r="G343" s="125" t="n"/>
      <c r="I343" s="55" t="inlineStr">
        <is>
          <t>MELHORIAS</t>
        </is>
      </c>
      <c r="J343" s="134" t="n"/>
      <c r="K343" s="16" t="n"/>
      <c r="L343" s="17" t="n"/>
      <c r="M343" s="133">
        <f>DADOS_INVOC!$QK$24</f>
        <v/>
      </c>
      <c r="N343" s="125" t="n"/>
      <c r="O343" s="125" t="n"/>
      <c r="P343" s="125" t="n"/>
      <c r="Q343" s="125" t="n"/>
      <c r="R343" s="125" t="n"/>
      <c r="S343" s="125" t="n"/>
      <c r="T343" s="125" t="n"/>
      <c r="U343" s="125" t="n"/>
      <c r="V343" s="125" t="n"/>
      <c r="W343" s="125" t="n"/>
      <c r="X343" s="125" t="n"/>
      <c r="Y343" s="125" t="n"/>
      <c r="Z343" s="125" t="n"/>
      <c r="AB343" s="55" t="inlineStr">
        <is>
          <t>MELHORIAS</t>
        </is>
      </c>
      <c r="AC343" s="134" t="n"/>
      <c r="AD343" s="16" t="n"/>
      <c r="AE343" s="17" t="n"/>
      <c r="AF343" s="133">
        <f>DADOS_INVOC!$QK$102</f>
        <v/>
      </c>
      <c r="AG343" s="125" t="n"/>
      <c r="AH343" s="125" t="n"/>
      <c r="AI343" s="125" t="n"/>
      <c r="AJ343" s="125" t="n"/>
      <c r="AK343" s="125" t="n"/>
      <c r="AL343" s="125" t="n"/>
      <c r="AM343" s="125" t="n"/>
      <c r="AN343" s="125" t="n"/>
      <c r="AO343" s="125" t="n"/>
      <c r="AP343" s="125" t="n"/>
      <c r="AQ343" s="125" t="n"/>
      <c r="AR343" s="125" t="n"/>
      <c r="AS343" s="125" t="n"/>
    </row>
    <row r="344" hidden="1" outlineLevel="3">
      <c r="A344" s="8" t="n"/>
      <c r="B344" s="14" t="n"/>
      <c r="C344" s="125" t="n"/>
      <c r="D344" s="125" t="n"/>
      <c r="E344" s="125" t="n"/>
      <c r="F344" s="125" t="n"/>
      <c r="G344" s="125" t="n"/>
      <c r="I344" s="135" t="n"/>
      <c r="J344" s="134" t="n"/>
      <c r="K344" s="16" t="n"/>
      <c r="L344" s="17" t="n"/>
      <c r="M344" s="133">
        <f>DADOS_INVOC!$QL$24</f>
        <v/>
      </c>
      <c r="N344" s="125" t="n"/>
      <c r="O344" s="125" t="n"/>
      <c r="P344" s="125" t="n"/>
      <c r="Q344" s="125" t="n"/>
      <c r="R344" s="125" t="n"/>
      <c r="S344" s="125" t="n"/>
      <c r="T344" s="125" t="n"/>
      <c r="U344" s="125" t="n"/>
      <c r="V344" s="125" t="n"/>
      <c r="W344" s="125" t="n"/>
      <c r="X344" s="125" t="n"/>
      <c r="Y344" s="125" t="n"/>
      <c r="Z344" s="125" t="n"/>
      <c r="AB344" s="135" t="n"/>
      <c r="AC344" s="134" t="n"/>
      <c r="AD344" s="16" t="n"/>
      <c r="AE344" s="17" t="n"/>
      <c r="AF344" s="133">
        <f>DADOS_INVOC!$QL$102</f>
        <v/>
      </c>
      <c r="AG344" s="125" t="n"/>
      <c r="AH344" s="125" t="n"/>
      <c r="AI344" s="125" t="n"/>
      <c r="AJ344" s="125" t="n"/>
      <c r="AK344" s="125" t="n"/>
      <c r="AL344" s="125" t="n"/>
      <c r="AM344" s="125" t="n"/>
      <c r="AN344" s="125" t="n"/>
      <c r="AO344" s="125" t="n"/>
      <c r="AP344" s="125" t="n"/>
      <c r="AQ344" s="125" t="n"/>
      <c r="AR344" s="125" t="n"/>
      <c r="AS344" s="125" t="n"/>
    </row>
    <row r="345" hidden="1" outlineLevel="3">
      <c r="A345" s="8" t="n"/>
      <c r="B345" s="14" t="n"/>
      <c r="C345" s="125" t="n"/>
      <c r="D345" s="125" t="n"/>
      <c r="E345" s="125" t="n"/>
      <c r="F345" s="125" t="n"/>
      <c r="G345" s="125" t="n"/>
      <c r="I345" s="135" t="n"/>
      <c r="J345" s="134" t="n"/>
      <c r="K345" s="16" t="n"/>
      <c r="L345" s="17" t="n"/>
      <c r="M345" s="133">
        <f>DADOS_INVOC!$QM$24</f>
        <v/>
      </c>
      <c r="N345" s="125" t="n"/>
      <c r="O345" s="125" t="n"/>
      <c r="P345" s="125" t="n"/>
      <c r="Q345" s="125" t="n"/>
      <c r="R345" s="125" t="n"/>
      <c r="S345" s="125" t="n"/>
      <c r="T345" s="125" t="n"/>
      <c r="U345" s="125" t="n"/>
      <c r="V345" s="125" t="n"/>
      <c r="W345" s="125" t="n"/>
      <c r="X345" s="125" t="n"/>
      <c r="Y345" s="125" t="n"/>
      <c r="Z345" s="125" t="n"/>
      <c r="AB345" s="135" t="n"/>
      <c r="AC345" s="134" t="n"/>
      <c r="AD345" s="16" t="n"/>
      <c r="AE345" s="17" t="n"/>
      <c r="AF345" s="133">
        <f>DADOS_INVOC!$QM$102</f>
        <v/>
      </c>
      <c r="AG345" s="125" t="n"/>
      <c r="AH345" s="125" t="n"/>
      <c r="AI345" s="125" t="n"/>
      <c r="AJ345" s="125" t="n"/>
      <c r="AK345" s="125" t="n"/>
      <c r="AL345" s="125" t="n"/>
      <c r="AM345" s="125" t="n"/>
      <c r="AN345" s="125" t="n"/>
      <c r="AO345" s="125" t="n"/>
      <c r="AP345" s="125" t="n"/>
      <c r="AQ345" s="125" t="n"/>
      <c r="AR345" s="125" t="n"/>
      <c r="AS345" s="125" t="n"/>
    </row>
    <row r="346" hidden="1" outlineLevel="3">
      <c r="A346" s="8" t="n"/>
      <c r="B346" s="14" t="n"/>
      <c r="C346" s="125" t="n"/>
      <c r="D346" s="125" t="n"/>
      <c r="E346" s="125" t="n"/>
      <c r="F346" s="125" t="n"/>
      <c r="G346" s="125" t="n"/>
      <c r="I346" s="129" t="n"/>
      <c r="J346" s="134" t="n"/>
      <c r="K346" s="16" t="n"/>
      <c r="L346" s="17" t="n"/>
      <c r="M346" s="133">
        <f>DADOS_INVOC!$QN$24</f>
        <v/>
      </c>
      <c r="N346" s="125" t="n"/>
      <c r="O346" s="125" t="n"/>
      <c r="P346" s="125" t="n"/>
      <c r="Q346" s="125" t="n"/>
      <c r="R346" s="125" t="n"/>
      <c r="S346" s="125" t="n"/>
      <c r="T346" s="125" t="n"/>
      <c r="U346" s="125" t="n"/>
      <c r="V346" s="125" t="n"/>
      <c r="W346" s="125" t="n"/>
      <c r="X346" s="125" t="n"/>
      <c r="Y346" s="125" t="n"/>
      <c r="Z346" s="125" t="n"/>
      <c r="AB346" s="129" t="n"/>
      <c r="AC346" s="134" t="n"/>
      <c r="AD346" s="16" t="n"/>
      <c r="AE346" s="17" t="n"/>
      <c r="AF346" s="133">
        <f>DADOS_INVOC!$QN$102</f>
        <v/>
      </c>
      <c r="AG346" s="125" t="n"/>
      <c r="AH346" s="125" t="n"/>
      <c r="AI346" s="125" t="n"/>
      <c r="AJ346" s="125" t="n"/>
      <c r="AK346" s="125" t="n"/>
      <c r="AL346" s="125" t="n"/>
      <c r="AM346" s="125" t="n"/>
      <c r="AN346" s="125" t="n"/>
      <c r="AO346" s="125" t="n"/>
      <c r="AP346" s="125" t="n"/>
      <c r="AQ346" s="125" t="n"/>
      <c r="AR346" s="125" t="n"/>
      <c r="AS346" s="125" t="n"/>
    </row>
    <row r="347" hidden="1" outlineLevel="3">
      <c r="A347" s="8" t="n"/>
      <c r="B347" s="14" t="n"/>
      <c r="C347" s="125" t="n"/>
      <c r="D347" s="125" t="n"/>
      <c r="E347" s="125" t="n"/>
      <c r="F347" s="125" t="n"/>
      <c r="G347" s="125" t="n"/>
      <c r="I347" s="55" t="inlineStr">
        <is>
          <t>RESTRIÇÕES</t>
        </is>
      </c>
      <c r="J347" s="134" t="n"/>
      <c r="K347" s="16" t="n"/>
      <c r="L347" s="17" t="n"/>
      <c r="M347" s="133">
        <f>DADOS_INVOC!$QO$24</f>
        <v/>
      </c>
      <c r="N347" s="125" t="n"/>
      <c r="O347" s="125" t="n"/>
      <c r="P347" s="125" t="n"/>
      <c r="Q347" s="125" t="n"/>
      <c r="R347" s="125" t="n"/>
      <c r="S347" s="125" t="n"/>
      <c r="T347" s="125" t="n"/>
      <c r="U347" s="125" t="n"/>
      <c r="V347" s="125" t="n"/>
      <c r="W347" s="125" t="n"/>
      <c r="X347" s="125" t="n"/>
      <c r="Y347" s="125" t="n"/>
      <c r="Z347" s="125" t="n"/>
      <c r="AB347" s="55" t="inlineStr">
        <is>
          <t>RESTRIÇÕES</t>
        </is>
      </c>
      <c r="AC347" s="134" t="n"/>
      <c r="AD347" s="16" t="n"/>
      <c r="AE347" s="17" t="n"/>
      <c r="AF347" s="133">
        <f>DADOS_INVOC!$QO$102</f>
        <v/>
      </c>
      <c r="AG347" s="125" t="n"/>
      <c r="AH347" s="125" t="n"/>
      <c r="AI347" s="125" t="n"/>
      <c r="AJ347" s="125" t="n"/>
      <c r="AK347" s="125" t="n"/>
      <c r="AL347" s="125" t="n"/>
      <c r="AM347" s="125" t="n"/>
      <c r="AN347" s="125" t="n"/>
      <c r="AO347" s="125" t="n"/>
      <c r="AP347" s="125" t="n"/>
      <c r="AQ347" s="125" t="n"/>
      <c r="AR347" s="125" t="n"/>
      <c r="AS347" s="125" t="n"/>
    </row>
    <row r="348" hidden="1" outlineLevel="3">
      <c r="A348" s="8" t="n"/>
      <c r="B348" s="14" t="n"/>
      <c r="C348" s="125" t="n"/>
      <c r="D348" s="125" t="n"/>
      <c r="E348" s="125" t="n"/>
      <c r="F348" s="125" t="n"/>
      <c r="G348" s="125" t="n"/>
      <c r="I348" s="129" t="n"/>
      <c r="J348" s="134" t="n"/>
      <c r="K348" s="16" t="n"/>
      <c r="L348" s="17" t="n"/>
      <c r="M348" s="133">
        <f>DADOS_INVOC!$QP$24</f>
        <v/>
      </c>
      <c r="N348" s="125" t="n"/>
      <c r="O348" s="125" t="n"/>
      <c r="P348" s="125" t="n"/>
      <c r="Q348" s="125" t="n"/>
      <c r="R348" s="125" t="n"/>
      <c r="S348" s="125" t="n"/>
      <c r="T348" s="125" t="n"/>
      <c r="U348" s="125" t="n"/>
      <c r="V348" s="125" t="n"/>
      <c r="W348" s="125" t="n"/>
      <c r="X348" s="125" t="n"/>
      <c r="Y348" s="125" t="n"/>
      <c r="Z348" s="125" t="n"/>
      <c r="AB348" s="129" t="n"/>
      <c r="AC348" s="134" t="n"/>
      <c r="AD348" s="16" t="n"/>
      <c r="AE348" s="17" t="n"/>
      <c r="AF348" s="133">
        <f>DADOS_INVOC!$QP$102</f>
        <v/>
      </c>
      <c r="AG348" s="125" t="n"/>
      <c r="AH348" s="125" t="n"/>
      <c r="AI348" s="125" t="n"/>
      <c r="AJ348" s="125" t="n"/>
      <c r="AK348" s="125" t="n"/>
      <c r="AL348" s="125" t="n"/>
      <c r="AM348" s="125" t="n"/>
      <c r="AN348" s="125" t="n"/>
      <c r="AO348" s="125" t="n"/>
      <c r="AP348" s="125" t="n"/>
      <c r="AQ348" s="125" t="n"/>
      <c r="AR348" s="125" t="n"/>
      <c r="AS348" s="125" t="n"/>
    </row>
    <row r="349" hidden="1" outlineLevel="3">
      <c r="A349" s="8" t="n"/>
      <c r="B349" s="14" t="n"/>
      <c r="C349" s="125" t="n"/>
      <c r="D349" s="125" t="n"/>
      <c r="E349" s="125" t="n"/>
      <c r="F349" s="125" t="n"/>
      <c r="G349" s="125" t="n"/>
      <c r="I349" s="55" t="inlineStr">
        <is>
          <t>CONTA</t>
        </is>
      </c>
      <c r="J349" s="136">
        <f>DADOS_INVOC!$QI$24</f>
        <v/>
      </c>
      <c r="K349" s="16" t="n"/>
      <c r="L349" s="16" t="n"/>
      <c r="M349" s="17" t="n"/>
      <c r="N349" s="125" t="n"/>
      <c r="O349" s="125" t="n"/>
      <c r="P349" s="125" t="n"/>
      <c r="Q349" s="125" t="n"/>
      <c r="R349" s="125" t="n"/>
      <c r="S349" s="125" t="n"/>
      <c r="T349" s="125" t="n"/>
      <c r="U349" s="125" t="n"/>
      <c r="V349" s="125" t="n"/>
      <c r="W349" s="125" t="n"/>
      <c r="X349" s="125" t="n"/>
      <c r="Y349" s="125" t="n"/>
      <c r="Z349" s="125" t="n"/>
      <c r="AB349" s="55" t="inlineStr">
        <is>
          <t>CONTA</t>
        </is>
      </c>
      <c r="AC349" s="136">
        <f>DADOS_INVOC!$QI$102</f>
        <v/>
      </c>
      <c r="AD349" s="16" t="n"/>
      <c r="AE349" s="16" t="n"/>
      <c r="AF349" s="17" t="n"/>
      <c r="AG349" s="125" t="n"/>
      <c r="AH349" s="125" t="n"/>
      <c r="AI349" s="125" t="n"/>
      <c r="AJ349" s="125" t="n"/>
      <c r="AK349" s="125" t="n"/>
      <c r="AL349" s="125" t="n"/>
      <c r="AM349" s="125" t="n"/>
      <c r="AN349" s="125" t="n"/>
      <c r="AO349" s="125" t="n"/>
      <c r="AP349" s="125" t="n"/>
      <c r="AQ349" s="125" t="n"/>
      <c r="AR349" s="125" t="n"/>
      <c r="AS349" s="125" t="n"/>
    </row>
    <row r="350" hidden="1" outlineLevel="3">
      <c r="A350" s="8" t="n"/>
      <c r="B350" s="14" t="n"/>
      <c r="C350" s="125" t="n"/>
      <c r="D350" s="125" t="n"/>
      <c r="E350" s="125" t="n"/>
      <c r="F350" s="125" t="n"/>
      <c r="G350" s="125" t="n"/>
      <c r="I350" s="55" t="inlineStr">
        <is>
          <t>AMPLIAR</t>
        </is>
      </c>
      <c r="J350" s="136">
        <f>DADOS_INVOC!$QJ$24</f>
        <v/>
      </c>
      <c r="K350" s="19" t="n"/>
      <c r="L350" s="19" t="n"/>
      <c r="M350" s="20" t="n"/>
      <c r="N350" s="125" t="n"/>
      <c r="O350" s="125" t="n"/>
      <c r="P350" s="125" t="n"/>
      <c r="Q350" s="125" t="n"/>
      <c r="R350" s="125" t="n"/>
      <c r="S350" s="125" t="n"/>
      <c r="T350" s="125" t="n"/>
      <c r="U350" s="125" t="n"/>
      <c r="V350" s="125" t="n"/>
      <c r="W350" s="125" t="n"/>
      <c r="X350" s="125" t="n"/>
      <c r="Y350" s="125" t="n"/>
      <c r="Z350" s="125" t="n"/>
      <c r="AB350" s="55" t="inlineStr">
        <is>
          <t>AMPLIAR</t>
        </is>
      </c>
      <c r="AC350" s="136">
        <f>DADOS_INVOC!$QJ$102</f>
        <v/>
      </c>
      <c r="AD350" s="19" t="n"/>
      <c r="AE350" s="19" t="n"/>
      <c r="AF350" s="20" t="n"/>
      <c r="AG350" s="125" t="n"/>
      <c r="AH350" s="125" t="n"/>
      <c r="AI350" s="125" t="n"/>
      <c r="AJ350" s="125" t="n"/>
      <c r="AK350" s="125" t="n"/>
      <c r="AL350" s="125" t="n"/>
      <c r="AM350" s="125" t="n"/>
      <c r="AN350" s="125" t="n"/>
      <c r="AO350" s="125" t="n"/>
      <c r="AP350" s="125" t="n"/>
      <c r="AQ350" s="125" t="n"/>
      <c r="AR350" s="125" t="n"/>
      <c r="AS350" s="125" t="n"/>
    </row>
    <row r="351" hidden="1" outlineLevel="3">
      <c r="A351" s="8" t="n"/>
      <c r="B351" s="14" t="n"/>
      <c r="C351" s="125" t="n"/>
      <c r="D351" s="125" t="n"/>
      <c r="E351" s="125" t="n"/>
      <c r="F351" s="125" t="n"/>
      <c r="G351" s="125" t="n"/>
      <c r="I351" s="129" t="n"/>
      <c r="J351" s="23" t="n"/>
      <c r="K351" s="24" t="n"/>
      <c r="L351" s="24" t="n"/>
      <c r="M351" s="25" t="n"/>
      <c r="N351" s="125" t="n"/>
      <c r="O351" s="125" t="n"/>
      <c r="P351" s="125" t="n"/>
      <c r="Q351" s="125" t="n"/>
      <c r="R351" s="125" t="n"/>
      <c r="S351" s="125" t="n"/>
      <c r="T351" s="125" t="n"/>
      <c r="U351" s="125" t="n"/>
      <c r="V351" s="125" t="n"/>
      <c r="W351" s="125" t="n"/>
      <c r="X351" s="125" t="n"/>
      <c r="Y351" s="125" t="n"/>
      <c r="Z351" s="125" t="n"/>
      <c r="AB351" s="129" t="n"/>
      <c r="AC351" s="23" t="n"/>
      <c r="AD351" s="24" t="n"/>
      <c r="AE351" s="24" t="n"/>
      <c r="AF351" s="25" t="n"/>
      <c r="AG351" s="125" t="n"/>
      <c r="AH351" s="125" t="n"/>
      <c r="AI351" s="125" t="n"/>
      <c r="AJ351" s="125" t="n"/>
      <c r="AK351" s="125" t="n"/>
      <c r="AL351" s="125" t="n"/>
      <c r="AM351" s="125" t="n"/>
      <c r="AN351" s="125" t="n"/>
      <c r="AO351" s="125" t="n"/>
      <c r="AP351" s="125" t="n"/>
      <c r="AQ351" s="125" t="n"/>
      <c r="AR351" s="125" t="n"/>
      <c r="AS351" s="125" t="n"/>
    </row>
    <row r="352" hidden="1" outlineLevel="3">
      <c r="A352" s="8" t="n"/>
      <c r="B352" s="14" t="n"/>
      <c r="C352" s="125" t="n"/>
      <c r="D352" s="125" t="n"/>
      <c r="E352" s="125" t="n"/>
      <c r="F352" s="125" t="n"/>
      <c r="G352" s="125" t="n"/>
      <c r="I352" s="136">
        <f>DADOS_INVOC!$PW$24</f>
        <v/>
      </c>
      <c r="J352" s="19" t="n"/>
      <c r="K352" s="19" t="n"/>
      <c r="L352" s="19" t="n"/>
      <c r="M352" s="20" t="n"/>
      <c r="N352" s="125" t="n"/>
      <c r="O352" s="125" t="n"/>
      <c r="P352" s="125" t="n"/>
      <c r="Q352" s="125" t="n"/>
      <c r="R352" s="125" t="n"/>
      <c r="S352" s="125" t="n"/>
      <c r="T352" s="125" t="n"/>
      <c r="U352" s="125" t="n"/>
      <c r="V352" s="125" t="n"/>
      <c r="W352" s="125" t="n"/>
      <c r="X352" s="125" t="n"/>
      <c r="Y352" s="125" t="n"/>
      <c r="Z352" s="125" t="n"/>
      <c r="AB352" s="136">
        <f>DADOS_INVOC!$PW$102</f>
        <v/>
      </c>
      <c r="AC352" s="19" t="n"/>
      <c r="AD352" s="19" t="n"/>
      <c r="AE352" s="19" t="n"/>
      <c r="AF352" s="20" t="n"/>
      <c r="AG352" s="125" t="n"/>
      <c r="AH352" s="125" t="n"/>
      <c r="AI352" s="125" t="n"/>
      <c r="AJ352" s="125" t="n"/>
      <c r="AK352" s="125" t="n"/>
      <c r="AL352" s="125" t="n"/>
      <c r="AM352" s="125" t="n"/>
      <c r="AN352" s="125" t="n"/>
      <c r="AO352" s="125" t="n"/>
      <c r="AP352" s="125" t="n"/>
      <c r="AQ352" s="125" t="n"/>
      <c r="AR352" s="125" t="n"/>
      <c r="AS352" s="125" t="n"/>
    </row>
    <row r="353" hidden="1" outlineLevel="3">
      <c r="A353" s="8" t="n"/>
      <c r="B353" s="14" t="n"/>
      <c r="C353" s="125" t="n"/>
      <c r="D353" s="125" t="n"/>
      <c r="E353" s="125" t="n"/>
      <c r="F353" s="125" t="n"/>
      <c r="G353" s="125" t="n"/>
      <c r="I353" s="23" t="n"/>
      <c r="J353" s="24" t="n"/>
      <c r="K353" s="24" t="n"/>
      <c r="L353" s="24" t="n"/>
      <c r="M353" s="25" t="n"/>
      <c r="N353" s="125" t="n"/>
      <c r="O353" s="125" t="n"/>
      <c r="P353" s="125" t="n"/>
      <c r="Q353" s="125" t="n"/>
      <c r="R353" s="125" t="n"/>
      <c r="S353" s="125" t="n"/>
      <c r="T353" s="125" t="n"/>
      <c r="U353" s="125" t="n"/>
      <c r="V353" s="125" t="n"/>
      <c r="W353" s="125" t="n"/>
      <c r="X353" s="125" t="n"/>
      <c r="Y353" s="125" t="n"/>
      <c r="Z353" s="125" t="n"/>
      <c r="AB353" s="23" t="n"/>
      <c r="AC353" s="24" t="n"/>
      <c r="AD353" s="24" t="n"/>
      <c r="AE353" s="24" t="n"/>
      <c r="AF353" s="25" t="n"/>
      <c r="AG353" s="125" t="n"/>
      <c r="AH353" s="125" t="n"/>
      <c r="AI353" s="125" t="n"/>
      <c r="AJ353" s="125" t="n"/>
      <c r="AK353" s="125" t="n"/>
      <c r="AL353" s="125" t="n"/>
      <c r="AM353" s="125" t="n"/>
      <c r="AN353" s="125" t="n"/>
      <c r="AO353" s="125" t="n"/>
      <c r="AP353" s="125" t="n"/>
      <c r="AQ353" s="125" t="n"/>
      <c r="AR353" s="125" t="n"/>
      <c r="AS353" s="125" t="n"/>
    </row>
    <row r="354" hidden="1" outlineLevel="1">
      <c r="A354" s="8" t="n"/>
      <c r="B354" s="14" t="n"/>
      <c r="C354" s="125" t="n"/>
      <c r="D354" s="125" t="n"/>
      <c r="E354" s="125" t="n"/>
      <c r="F354" s="125" t="n"/>
      <c r="G354" s="125" t="n"/>
      <c r="I354" s="125" t="n"/>
      <c r="J354" s="125" t="n"/>
      <c r="K354" s="125" t="n"/>
      <c r="L354" s="125" t="n"/>
      <c r="M354" s="125" t="n"/>
      <c r="N354" s="125" t="n"/>
      <c r="O354" s="125" t="n"/>
      <c r="P354" s="125" t="n"/>
      <c r="Q354" s="125" t="n"/>
      <c r="R354" s="125" t="n"/>
      <c r="S354" s="125" t="n"/>
      <c r="T354" s="125" t="n"/>
      <c r="U354" s="125" t="n"/>
      <c r="V354" s="125" t="n"/>
      <c r="W354" s="125" t="n"/>
      <c r="X354" s="125" t="n"/>
      <c r="Y354" s="125" t="n"/>
      <c r="Z354" s="125" t="n"/>
      <c r="AB354" s="125" t="n"/>
      <c r="AC354" s="125" t="n"/>
      <c r="AD354" s="125" t="n"/>
      <c r="AE354" s="125" t="n"/>
      <c r="AF354" s="125" t="n"/>
      <c r="AG354" s="125" t="n"/>
      <c r="AH354" s="125" t="n"/>
      <c r="AI354" s="125" t="n"/>
      <c r="AJ354" s="125" t="n"/>
      <c r="AK354" s="125" t="n"/>
      <c r="AL354" s="125" t="n"/>
      <c r="AM354" s="125" t="n"/>
      <c r="AN354" s="125" t="n"/>
      <c r="AO354" s="125" t="n"/>
      <c r="AP354" s="125" t="n"/>
      <c r="AQ354" s="125" t="n"/>
      <c r="AR354" s="125" t="n"/>
      <c r="AS354" s="125" t="n"/>
    </row>
    <row r="355" hidden="1" outlineLevel="1">
      <c r="A355" s="8" t="n"/>
      <c r="B355" s="14" t="n"/>
      <c r="C355" s="125" t="n"/>
      <c r="D355" s="125" t="n"/>
      <c r="E355" s="125" t="n"/>
      <c r="F355" s="125" t="n"/>
      <c r="G355" s="125" t="n"/>
      <c r="I355" s="137"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5" t="n"/>
      <c r="AB355" s="137"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5" t="n"/>
    </row>
    <row r="356" hidden="1" outlineLevel="2">
      <c r="A356" s="8" t="n"/>
      <c r="B356" s="14" t="n"/>
      <c r="C356" s="125" t="n"/>
      <c r="D356" s="125" t="n"/>
      <c r="E356" s="125" t="n"/>
      <c r="F356" s="125" t="n"/>
      <c r="G356" s="125" t="n"/>
      <c r="I356" s="125" t="n"/>
      <c r="J356" s="125" t="n"/>
      <c r="K356" s="125" t="n"/>
      <c r="L356" s="125" t="n"/>
      <c r="M356" s="125" t="n"/>
      <c r="N356" s="125" t="n"/>
      <c r="O356" s="125" t="n"/>
      <c r="P356" s="125" t="n"/>
      <c r="Q356" s="125" t="n"/>
      <c r="R356" s="125" t="n"/>
      <c r="S356" s="125" t="n"/>
      <c r="T356" s="125" t="n"/>
      <c r="U356" s="125" t="n"/>
      <c r="V356" s="125" t="n"/>
      <c r="W356" s="125" t="n"/>
      <c r="X356" s="125" t="n"/>
      <c r="Y356" s="125" t="n"/>
      <c r="Z356" s="125" t="n"/>
      <c r="AB356" s="125" t="n"/>
      <c r="AC356" s="125" t="n"/>
      <c r="AD356" s="125" t="n"/>
      <c r="AE356" s="125" t="n"/>
      <c r="AF356" s="125" t="n"/>
      <c r="AG356" s="125" t="n"/>
      <c r="AH356" s="125" t="n"/>
      <c r="AI356" s="125" t="n"/>
      <c r="AJ356" s="125" t="n"/>
      <c r="AK356" s="125" t="n"/>
      <c r="AL356" s="125" t="n"/>
      <c r="AM356" s="125" t="n"/>
      <c r="AN356" s="125" t="n"/>
      <c r="AO356" s="125" t="n"/>
      <c r="AP356" s="125" t="n"/>
      <c r="AQ356" s="125" t="n"/>
      <c r="AR356" s="125" t="n"/>
      <c r="AS356" s="125" t="n"/>
    </row>
    <row r="357" hidden="1" outlineLevel="2">
      <c r="A357" s="8" t="n"/>
      <c r="B357" s="14" t="n"/>
      <c r="C357" s="125" t="n"/>
      <c r="D357" s="125" t="n"/>
      <c r="E357" s="125" t="n"/>
      <c r="F357" s="125" t="n"/>
      <c r="G357" s="125" t="n"/>
      <c r="I357" s="55">
        <f>DADOS_INVOC!$PX$25</f>
        <v/>
      </c>
      <c r="J357" s="16" t="n"/>
      <c r="K357" s="16" t="n"/>
      <c r="L357" s="16" t="n"/>
      <c r="M357" s="17" t="n"/>
      <c r="N357" s="125" t="n"/>
      <c r="O357" s="55">
        <f>DADOS_INVOC!$PX$26</f>
        <v/>
      </c>
      <c r="P357" s="16" t="n"/>
      <c r="Q357" s="16" t="n"/>
      <c r="R357" s="16" t="n"/>
      <c r="S357" s="17" t="n"/>
      <c r="T357" s="125" t="n"/>
      <c r="U357" s="55">
        <f>DADOS_INVOC!$PX$27</f>
        <v/>
      </c>
      <c r="V357" s="16" t="n"/>
      <c r="W357" s="16" t="n"/>
      <c r="X357" s="16" t="n"/>
      <c r="Y357" s="17" t="n"/>
      <c r="Z357" s="125" t="n"/>
      <c r="AB357" s="55">
        <f>DADOS_INVOC!$PX$103</f>
        <v/>
      </c>
      <c r="AC357" s="16" t="n"/>
      <c r="AD357" s="16" t="n"/>
      <c r="AE357" s="16" t="n"/>
      <c r="AF357" s="17" t="n"/>
      <c r="AG357" s="125" t="n"/>
      <c r="AH357" s="55">
        <f>DADOS_INVOC!$PX$104</f>
        <v/>
      </c>
      <c r="AI357" s="16" t="n"/>
      <c r="AJ357" s="16" t="n"/>
      <c r="AK357" s="16" t="n"/>
      <c r="AL357" s="17" t="n"/>
      <c r="AM357" s="125" t="n"/>
      <c r="AN357" s="55">
        <f>DADOS_INVOC!$PX$105</f>
        <v/>
      </c>
      <c r="AO357" s="16" t="n"/>
      <c r="AP357" s="16" t="n"/>
      <c r="AQ357" s="16" t="n"/>
      <c r="AR357" s="17" t="n"/>
      <c r="AS357" s="125" t="n"/>
    </row>
    <row r="358" hidden="1" outlineLevel="2">
      <c r="A358" s="8" t="n"/>
      <c r="B358" s="14" t="n"/>
      <c r="C358" s="125" t="n"/>
      <c r="D358" s="125" t="n"/>
      <c r="E358" s="125" t="n"/>
      <c r="F358" s="125" t="n"/>
      <c r="G358" s="125" t="n"/>
      <c r="I358" s="131" t="n">
        <v>1</v>
      </c>
      <c r="J358" s="120" t="n"/>
      <c r="K358" s="16" t="n"/>
      <c r="L358" s="17" t="n"/>
      <c r="M358" s="132">
        <f>DADOS_INVOC!$PV$25</f>
        <v/>
      </c>
      <c r="N358" s="125" t="n"/>
      <c r="O358" s="131" t="n">
        <v>1</v>
      </c>
      <c r="P358" s="120" t="n"/>
      <c r="Q358" s="16" t="n"/>
      <c r="R358" s="17" t="n"/>
      <c r="S358" s="132">
        <f>DADOS_INVOC!$PV$26</f>
        <v/>
      </c>
      <c r="T358" s="125" t="n"/>
      <c r="U358" s="131" t="n">
        <v>1</v>
      </c>
      <c r="V358" s="120" t="n"/>
      <c r="W358" s="16" t="n"/>
      <c r="X358" s="17" t="n"/>
      <c r="Y358" s="132">
        <f>DADOS_INVOC!$PV$27</f>
        <v/>
      </c>
      <c r="Z358" s="125" t="n"/>
      <c r="AB358" s="131" t="n">
        <v>1</v>
      </c>
      <c r="AC358" s="120" t="n"/>
      <c r="AD358" s="16" t="n"/>
      <c r="AE358" s="17" t="n"/>
      <c r="AF358" s="132">
        <f>DADOS_INVOC!$PV$103</f>
        <v/>
      </c>
      <c r="AG358" s="125" t="n"/>
      <c r="AH358" s="131" t="n">
        <v>1</v>
      </c>
      <c r="AI358" s="120" t="n"/>
      <c r="AJ358" s="16" t="n"/>
      <c r="AK358" s="17" t="n"/>
      <c r="AL358" s="132">
        <f>DADOS_INVOC!$PV$104</f>
        <v/>
      </c>
      <c r="AM358" s="125" t="n"/>
      <c r="AN358" s="131" t="n">
        <v>1</v>
      </c>
      <c r="AO358" s="120" t="n"/>
      <c r="AP358" s="16" t="n"/>
      <c r="AQ358" s="17" t="n"/>
      <c r="AR358" s="132">
        <f>DADOS_INVOC!$PV$105</f>
        <v/>
      </c>
      <c r="AS358" s="125" t="n"/>
    </row>
    <row r="359" hidden="1" outlineLevel="3">
      <c r="A359" s="8" t="n"/>
      <c r="B359" s="14" t="n"/>
      <c r="C359" s="125" t="n"/>
      <c r="D359" s="125" t="n"/>
      <c r="E359" s="125" t="n"/>
      <c r="F359" s="125" t="n"/>
      <c r="G359" s="125" t="n"/>
      <c r="I359" s="55" t="inlineStr">
        <is>
          <t>COMO É</t>
        </is>
      </c>
      <c r="J359" s="16" t="n"/>
      <c r="K359" s="16" t="n"/>
      <c r="L359" s="16" t="n"/>
      <c r="M359" s="17" t="n"/>
      <c r="N359" s="125" t="n"/>
      <c r="O359" s="55" t="inlineStr">
        <is>
          <t>COMO É</t>
        </is>
      </c>
      <c r="P359" s="16" t="n"/>
      <c r="Q359" s="16" t="n"/>
      <c r="R359" s="16" t="n"/>
      <c r="S359" s="17" t="n"/>
      <c r="T359" s="125" t="n"/>
      <c r="U359" s="55" t="inlineStr">
        <is>
          <t>COMO É</t>
        </is>
      </c>
      <c r="V359" s="16" t="n"/>
      <c r="W359" s="16" t="n"/>
      <c r="X359" s="16" t="n"/>
      <c r="Y359" s="17" t="n"/>
      <c r="Z359" s="125" t="n"/>
      <c r="AB359" s="55" t="inlineStr">
        <is>
          <t>COMO É</t>
        </is>
      </c>
      <c r="AC359" s="16" t="n"/>
      <c r="AD359" s="16" t="n"/>
      <c r="AE359" s="16" t="n"/>
      <c r="AF359" s="17" t="n"/>
      <c r="AG359" s="125" t="n"/>
      <c r="AH359" s="55" t="inlineStr">
        <is>
          <t>COMO É</t>
        </is>
      </c>
      <c r="AI359" s="16" t="n"/>
      <c r="AJ359" s="16" t="n"/>
      <c r="AK359" s="16" t="n"/>
      <c r="AL359" s="17" t="n"/>
      <c r="AM359" s="125" t="n"/>
      <c r="AN359" s="55" t="inlineStr">
        <is>
          <t>COMO É</t>
        </is>
      </c>
      <c r="AO359" s="16" t="n"/>
      <c r="AP359" s="16" t="n"/>
      <c r="AQ359" s="16" t="n"/>
      <c r="AR359" s="17" t="n"/>
      <c r="AS359" s="125" t="n"/>
    </row>
    <row r="360" hidden="1" outlineLevel="3">
      <c r="A360" s="8" t="n"/>
      <c r="B360" s="14" t="n"/>
      <c r="C360" s="125" t="n"/>
      <c r="D360" s="125" t="n"/>
      <c r="E360" s="125" t="n"/>
      <c r="F360" s="125" t="n"/>
      <c r="G360" s="125" t="n"/>
      <c r="I360" s="121" t="n"/>
      <c r="J360" s="19" t="n"/>
      <c r="K360" s="19" t="n"/>
      <c r="L360" s="19" t="n"/>
      <c r="M360" s="20" t="n"/>
      <c r="N360" s="125" t="n"/>
      <c r="O360" s="121" t="n"/>
      <c r="P360" s="19" t="n"/>
      <c r="Q360" s="19" t="n"/>
      <c r="R360" s="19" t="n"/>
      <c r="S360" s="20" t="n"/>
      <c r="T360" s="125" t="n"/>
      <c r="U360" s="121" t="n"/>
      <c r="V360" s="19" t="n"/>
      <c r="W360" s="19" t="n"/>
      <c r="X360" s="19" t="n"/>
      <c r="Y360" s="20" t="n"/>
      <c r="Z360" s="125" t="n"/>
      <c r="AB360" s="121" t="n"/>
      <c r="AC360" s="19" t="n"/>
      <c r="AD360" s="19" t="n"/>
      <c r="AE360" s="19" t="n"/>
      <c r="AF360" s="20" t="n"/>
      <c r="AG360" s="125" t="n"/>
      <c r="AH360" s="121" t="n"/>
      <c r="AI360" s="19" t="n"/>
      <c r="AJ360" s="19" t="n"/>
      <c r="AK360" s="19" t="n"/>
      <c r="AL360" s="20" t="n"/>
      <c r="AM360" s="125" t="n"/>
      <c r="AN360" s="121" t="n"/>
      <c r="AO360" s="19" t="n"/>
      <c r="AP360" s="19" t="n"/>
      <c r="AQ360" s="19" t="n"/>
      <c r="AR360" s="20" t="n"/>
      <c r="AS360" s="125" t="n"/>
    </row>
    <row r="361" hidden="1" outlineLevel="3">
      <c r="A361" s="8" t="n"/>
      <c r="B361" s="14" t="n"/>
      <c r="C361" s="125" t="n"/>
      <c r="D361" s="125" t="n"/>
      <c r="E361" s="125" t="n"/>
      <c r="F361" s="125" t="n"/>
      <c r="G361" s="125" t="n"/>
      <c r="I361" s="21" t="n"/>
      <c r="M361" s="22" t="n"/>
      <c r="N361" s="125" t="n"/>
      <c r="O361" s="21" t="n"/>
      <c r="S361" s="22" t="n"/>
      <c r="T361" s="125" t="n"/>
      <c r="U361" s="21" t="n"/>
      <c r="Y361" s="22" t="n"/>
      <c r="Z361" s="125" t="n"/>
      <c r="AB361" s="21" t="n"/>
      <c r="AF361" s="22" t="n"/>
      <c r="AG361" s="125" t="n"/>
      <c r="AH361" s="21" t="n"/>
      <c r="AL361" s="22" t="n"/>
      <c r="AM361" s="125" t="n"/>
      <c r="AN361" s="21" t="n"/>
      <c r="AR361" s="22" t="n"/>
      <c r="AS361" s="125" t="n"/>
    </row>
    <row r="362" hidden="1" outlineLevel="3">
      <c r="A362" s="8" t="n"/>
      <c r="B362" s="14" t="n"/>
      <c r="C362" s="125" t="n"/>
      <c r="D362" s="125" t="n"/>
      <c r="E362" s="125" t="n"/>
      <c r="F362" s="125" t="n"/>
      <c r="G362" s="125" t="n"/>
      <c r="I362" s="23" t="n"/>
      <c r="J362" s="24" t="n"/>
      <c r="K362" s="24" t="n"/>
      <c r="L362" s="24" t="n"/>
      <c r="M362" s="25" t="n"/>
      <c r="N362" s="125" t="n"/>
      <c r="O362" s="23" t="n"/>
      <c r="P362" s="24" t="n"/>
      <c r="Q362" s="24" t="n"/>
      <c r="R362" s="24" t="n"/>
      <c r="S362" s="25" t="n"/>
      <c r="T362" s="125" t="n"/>
      <c r="U362" s="23" t="n"/>
      <c r="V362" s="24" t="n"/>
      <c r="W362" s="24" t="n"/>
      <c r="X362" s="24" t="n"/>
      <c r="Y362" s="25" t="n"/>
      <c r="Z362" s="125" t="n"/>
      <c r="AB362" s="23" t="n"/>
      <c r="AC362" s="24" t="n"/>
      <c r="AD362" s="24" t="n"/>
      <c r="AE362" s="24" t="n"/>
      <c r="AF362" s="25" t="n"/>
      <c r="AG362" s="125" t="n"/>
      <c r="AH362" s="23" t="n"/>
      <c r="AI362" s="24" t="n"/>
      <c r="AJ362" s="24" t="n"/>
      <c r="AK362" s="24" t="n"/>
      <c r="AL362" s="25" t="n"/>
      <c r="AM362" s="125" t="n"/>
      <c r="AN362" s="23" t="n"/>
      <c r="AO362" s="24" t="n"/>
      <c r="AP362" s="24" t="n"/>
      <c r="AQ362" s="24" t="n"/>
      <c r="AR362" s="25" t="n"/>
      <c r="AS362" s="125" t="n"/>
    </row>
    <row r="363" hidden="1" outlineLevel="2">
      <c r="A363" s="8" t="n"/>
      <c r="B363" s="14" t="n"/>
      <c r="C363" s="125" t="n"/>
      <c r="D363" s="125" t="n"/>
      <c r="E363" s="125" t="n"/>
      <c r="F363" s="125" t="n"/>
      <c r="G363" s="125" t="n"/>
      <c r="I363" s="89" t="inlineStr">
        <is>
          <t>Projétil</t>
        </is>
      </c>
      <c r="J363" s="17" t="n"/>
      <c r="K363" s="68">
        <f>DADOS_INVOC!$QC$25</f>
        <v/>
      </c>
      <c r="L363" s="17" t="n"/>
      <c r="M363" s="68">
        <f>DADOS_INVOC!$PY$25</f>
        <v/>
      </c>
      <c r="N363" s="125" t="n"/>
      <c r="O363" s="89" t="inlineStr">
        <is>
          <t>Projétil</t>
        </is>
      </c>
      <c r="P363" s="17" t="n"/>
      <c r="Q363" s="68">
        <f>DADOS_INVOC!$QC$26</f>
        <v/>
      </c>
      <c r="R363" s="17" t="n"/>
      <c r="S363" s="68">
        <f>DADOS_INVOC!$PY$26</f>
        <v/>
      </c>
      <c r="T363" s="125" t="n"/>
      <c r="U363" s="89" t="inlineStr">
        <is>
          <t>Projétil</t>
        </is>
      </c>
      <c r="V363" s="17" t="n"/>
      <c r="W363" s="68">
        <f>DADOS_INVOC!$QC$27</f>
        <v/>
      </c>
      <c r="X363" s="17" t="n"/>
      <c r="Y363" s="68">
        <f>DADOS_INVOC!$PY$27</f>
        <v/>
      </c>
      <c r="Z363" s="125" t="n"/>
      <c r="AB363" s="89" t="inlineStr">
        <is>
          <t>Projétil</t>
        </is>
      </c>
      <c r="AC363" s="17" t="n"/>
      <c r="AD363" s="68">
        <f>DADOS_INVOC!$QC$103</f>
        <v/>
      </c>
      <c r="AE363" s="17" t="n"/>
      <c r="AF363" s="68">
        <f>DADOS_INVOC!$PY$103</f>
        <v/>
      </c>
      <c r="AG363" s="125" t="n"/>
      <c r="AH363" s="89" t="inlineStr">
        <is>
          <t>Projétil</t>
        </is>
      </c>
      <c r="AI363" s="17" t="n"/>
      <c r="AJ363" s="68">
        <f>DADOS_INVOC!$QC$104</f>
        <v/>
      </c>
      <c r="AK363" s="17" t="n"/>
      <c r="AL363" s="68">
        <f>DADOS_INVOC!$PY$104</f>
        <v/>
      </c>
      <c r="AM363" s="125" t="n"/>
      <c r="AN363" s="89" t="inlineStr">
        <is>
          <t>Projétil</t>
        </is>
      </c>
      <c r="AO363" s="17" t="n"/>
      <c r="AP363" s="68">
        <f>DADOS_INVOC!$QC$105</f>
        <v/>
      </c>
      <c r="AQ363" s="17" t="n"/>
      <c r="AR363" s="68">
        <f>DADOS_INVOC!$PY$105</f>
        <v/>
      </c>
      <c r="AS363" s="125" t="n"/>
    </row>
    <row r="364" hidden="1" outlineLevel="2">
      <c r="A364" s="8" t="n"/>
      <c r="B364" s="14" t="n"/>
      <c r="C364" s="125" t="n"/>
      <c r="D364" s="125" t="n"/>
      <c r="E364" s="125" t="n"/>
      <c r="F364" s="125" t="n"/>
      <c r="G364" s="125" t="n"/>
      <c r="I364" s="89" t="n"/>
      <c r="J364" s="17" t="n"/>
      <c r="K364" s="89" t="n"/>
      <c r="L364" s="16" t="n"/>
      <c r="M364" s="17" t="n"/>
      <c r="N364" s="125" t="n"/>
      <c r="O364" s="89" t="n"/>
      <c r="P364" s="17" t="n"/>
      <c r="Q364" s="89" t="n"/>
      <c r="R364" s="16" t="n"/>
      <c r="S364" s="17" t="n"/>
      <c r="T364" s="125" t="n"/>
      <c r="U364" s="89" t="n"/>
      <c r="V364" s="17" t="n"/>
      <c r="W364" s="89" t="n"/>
      <c r="X364" s="16" t="n"/>
      <c r="Y364" s="17" t="n"/>
      <c r="Z364" s="125" t="n"/>
      <c r="AB364" s="89" t="n"/>
      <c r="AC364" s="17" t="n"/>
      <c r="AD364" s="89" t="n"/>
      <c r="AE364" s="16" t="n"/>
      <c r="AF364" s="17" t="n"/>
      <c r="AG364" s="125" t="n"/>
      <c r="AH364" s="89" t="n"/>
      <c r="AI364" s="17" t="n"/>
      <c r="AJ364" s="89" t="n"/>
      <c r="AK364" s="16" t="n"/>
      <c r="AL364" s="17" t="n"/>
      <c r="AM364" s="125" t="n"/>
      <c r="AN364" s="89" t="n"/>
      <c r="AO364" s="17" t="n"/>
      <c r="AP364" s="89" t="n"/>
      <c r="AQ364" s="16" t="n"/>
      <c r="AR364" s="17" t="n"/>
      <c r="AS364" s="125" t="n"/>
    </row>
    <row r="365" hidden="1" outlineLevel="2">
      <c r="A365" s="8" t="n"/>
      <c r="B365" s="14" t="n"/>
      <c r="C365" s="125" t="n"/>
      <c r="D365" s="125" t="n"/>
      <c r="E365" s="125" t="n"/>
      <c r="F365" s="125" t="n"/>
      <c r="G365" s="125" t="n"/>
      <c r="I365" s="89">
        <f>DADOS_INVOC!$PZ$25</f>
        <v/>
      </c>
      <c r="J365" s="17" t="n"/>
      <c r="K365" s="89">
        <f>DADOS_INVOC!$QB$25</f>
        <v/>
      </c>
      <c r="L365" s="16" t="n"/>
      <c r="M365" s="17" t="n"/>
      <c r="N365" s="125" t="n"/>
      <c r="O365" s="89">
        <f>DADOS_INVOC!$PZ$26</f>
        <v/>
      </c>
      <c r="P365" s="17" t="n"/>
      <c r="Q365" s="89">
        <f>DADOS_INVOC!$QB$26</f>
        <v/>
      </c>
      <c r="R365" s="16" t="n"/>
      <c r="S365" s="17" t="n"/>
      <c r="T365" s="125" t="n"/>
      <c r="U365" s="89">
        <f>DADOS_INVOC!$PZ$27</f>
        <v/>
      </c>
      <c r="V365" s="17" t="n"/>
      <c r="W365" s="89">
        <f>DADOS_INVOC!$QB$27</f>
        <v/>
      </c>
      <c r="X365" s="16" t="n"/>
      <c r="Y365" s="17" t="n"/>
      <c r="Z365" s="125" t="n"/>
      <c r="AB365" s="89">
        <f>DADOS_INVOC!$PZ$103</f>
        <v/>
      </c>
      <c r="AC365" s="17" t="n"/>
      <c r="AD365" s="89">
        <f>DADOS_INVOC!$QB$103</f>
        <v/>
      </c>
      <c r="AE365" s="16" t="n"/>
      <c r="AF365" s="17" t="n"/>
      <c r="AG365" s="125" t="n"/>
      <c r="AH365" s="89">
        <f>DADOS_INVOC!$PZ$104</f>
        <v/>
      </c>
      <c r="AI365" s="17" t="n"/>
      <c r="AJ365" s="89">
        <f>DADOS_INVOC!$QB$104</f>
        <v/>
      </c>
      <c r="AK365" s="16" t="n"/>
      <c r="AL365" s="17" t="n"/>
      <c r="AM365" s="125" t="n"/>
      <c r="AN365" s="89">
        <f>DADOS_INVOC!$PZ$105</f>
        <v/>
      </c>
      <c r="AO365" s="17" t="n"/>
      <c r="AP365" s="89">
        <f>DADOS_INVOC!$QB$105</f>
        <v/>
      </c>
      <c r="AQ365" s="16" t="n"/>
      <c r="AR365" s="17" t="n"/>
      <c r="AS365" s="125" t="n"/>
    </row>
    <row r="366" hidden="1" outlineLevel="2">
      <c r="A366" s="8" t="n"/>
      <c r="B366" s="14" t="n"/>
      <c r="C366" s="125" t="n"/>
      <c r="D366" s="125" t="n"/>
      <c r="E366" s="125" t="n"/>
      <c r="F366" s="125" t="n"/>
      <c r="G366" s="125" t="n"/>
      <c r="I366" s="133">
        <f>DADOS_INVOC!$QH$25</f>
        <v/>
      </c>
      <c r="J366" s="16" t="n"/>
      <c r="K366" s="16" t="n"/>
      <c r="L366" s="16" t="n"/>
      <c r="M366" s="17" t="n"/>
      <c r="N366" s="125" t="n"/>
      <c r="O366" s="133">
        <f>DADOS_INVOC!$QH$26</f>
        <v/>
      </c>
      <c r="P366" s="16" t="n"/>
      <c r="Q366" s="16" t="n"/>
      <c r="R366" s="16" t="n"/>
      <c r="S366" s="17" t="n"/>
      <c r="T366" s="125" t="n"/>
      <c r="U366" s="133">
        <f>DADOS_INVOC!$QH$27</f>
        <v/>
      </c>
      <c r="V366" s="16" t="n"/>
      <c r="W366" s="16" t="n"/>
      <c r="X366" s="16" t="n"/>
      <c r="Y366" s="17" t="n"/>
      <c r="Z366" s="125" t="n"/>
      <c r="AB366" s="133">
        <f>DADOS_INVOC!$QH$103</f>
        <v/>
      </c>
      <c r="AC366" s="16" t="n"/>
      <c r="AD366" s="16" t="n"/>
      <c r="AE366" s="16" t="n"/>
      <c r="AF366" s="17" t="n"/>
      <c r="AG366" s="125" t="n"/>
      <c r="AH366" s="133">
        <f>DADOS_INVOC!$QH$104</f>
        <v/>
      </c>
      <c r="AI366" s="16" t="n"/>
      <c r="AJ366" s="16" t="n"/>
      <c r="AK366" s="16" t="n"/>
      <c r="AL366" s="17" t="n"/>
      <c r="AM366" s="125" t="n"/>
      <c r="AN366" s="133">
        <f>DADOS_INVOC!$QH$105</f>
        <v/>
      </c>
      <c r="AO366" s="16" t="n"/>
      <c r="AP366" s="16" t="n"/>
      <c r="AQ366" s="16" t="n"/>
      <c r="AR366" s="17" t="n"/>
      <c r="AS366" s="125" t="n"/>
    </row>
    <row r="367" hidden="1" outlineLevel="3">
      <c r="A367" s="8" t="n"/>
      <c r="B367" s="14" t="n"/>
      <c r="C367" s="125" t="n"/>
      <c r="D367" s="125" t="n"/>
      <c r="E367" s="125" t="n"/>
      <c r="F367" s="125" t="n"/>
      <c r="G367" s="125" t="n"/>
      <c r="I367" s="55" t="inlineStr">
        <is>
          <t>MELHORIAS</t>
        </is>
      </c>
      <c r="J367" s="134" t="n"/>
      <c r="K367" s="16" t="n"/>
      <c r="L367" s="17" t="n"/>
      <c r="M367" s="133">
        <f>DADOS_INVOC!$QK$25</f>
        <v/>
      </c>
      <c r="N367" s="125" t="n"/>
      <c r="O367" s="55" t="inlineStr">
        <is>
          <t>MELHORIAS</t>
        </is>
      </c>
      <c r="P367" s="134" t="n"/>
      <c r="Q367" s="16" t="n"/>
      <c r="R367" s="17" t="n"/>
      <c r="S367" s="133">
        <f>DADOS_INVOC!$QK$26</f>
        <v/>
      </c>
      <c r="T367" s="125" t="n"/>
      <c r="U367" s="55" t="inlineStr">
        <is>
          <t>MELHORIAS</t>
        </is>
      </c>
      <c r="V367" s="134" t="n"/>
      <c r="W367" s="16" t="n"/>
      <c r="X367" s="17" t="n"/>
      <c r="Y367" s="133">
        <f>DADOS_INVOC!$QK$27</f>
        <v/>
      </c>
      <c r="Z367" s="125" t="n"/>
      <c r="AB367" s="55" t="inlineStr">
        <is>
          <t>MELHORIAS</t>
        </is>
      </c>
      <c r="AC367" s="134" t="n"/>
      <c r="AD367" s="16" t="n"/>
      <c r="AE367" s="17" t="n"/>
      <c r="AF367" s="133">
        <f>DADOS_INVOC!$QK$103</f>
        <v/>
      </c>
      <c r="AG367" s="125" t="n"/>
      <c r="AH367" s="55" t="inlineStr">
        <is>
          <t>MELHORIAS</t>
        </is>
      </c>
      <c r="AI367" s="134" t="n"/>
      <c r="AJ367" s="16" t="n"/>
      <c r="AK367" s="17" t="n"/>
      <c r="AL367" s="133">
        <f>DADOS_INVOC!$QK$104</f>
        <v/>
      </c>
      <c r="AM367" s="125" t="n"/>
      <c r="AN367" s="55" t="inlineStr">
        <is>
          <t>MELHORIAS</t>
        </is>
      </c>
      <c r="AO367" s="134" t="n"/>
      <c r="AP367" s="16" t="n"/>
      <c r="AQ367" s="17" t="n"/>
      <c r="AR367" s="133">
        <f>DADOS_INVOC!$QK$105</f>
        <v/>
      </c>
      <c r="AS367" s="125" t="n"/>
    </row>
    <row r="368" hidden="1" outlineLevel="3">
      <c r="A368" s="8" t="n"/>
      <c r="B368" s="14" t="n"/>
      <c r="C368" s="125" t="n"/>
      <c r="D368" s="125" t="n"/>
      <c r="E368" s="125" t="n"/>
      <c r="F368" s="125" t="n"/>
      <c r="G368" s="125" t="n"/>
      <c r="I368" s="135" t="n"/>
      <c r="J368" s="134" t="n"/>
      <c r="K368" s="16" t="n"/>
      <c r="L368" s="17" t="n"/>
      <c r="M368" s="133">
        <f>DADOS_INVOC!$QL$25</f>
        <v/>
      </c>
      <c r="N368" s="125" t="n"/>
      <c r="O368" s="135" t="n"/>
      <c r="P368" s="134" t="n"/>
      <c r="Q368" s="16" t="n"/>
      <c r="R368" s="17" t="n"/>
      <c r="S368" s="133">
        <f>DADOS_INVOC!$QL$26</f>
        <v/>
      </c>
      <c r="T368" s="125" t="n"/>
      <c r="U368" s="135" t="n"/>
      <c r="V368" s="134" t="n"/>
      <c r="W368" s="16" t="n"/>
      <c r="X368" s="17" t="n"/>
      <c r="Y368" s="133">
        <f>DADOS_INVOC!$QL$27</f>
        <v/>
      </c>
      <c r="Z368" s="125" t="n"/>
      <c r="AB368" s="135" t="n"/>
      <c r="AC368" s="134" t="n"/>
      <c r="AD368" s="16" t="n"/>
      <c r="AE368" s="17" t="n"/>
      <c r="AF368" s="133">
        <f>DADOS_INVOC!$QL$103</f>
        <v/>
      </c>
      <c r="AG368" s="125" t="n"/>
      <c r="AH368" s="135" t="n"/>
      <c r="AI368" s="134" t="n"/>
      <c r="AJ368" s="16" t="n"/>
      <c r="AK368" s="17" t="n"/>
      <c r="AL368" s="133">
        <f>DADOS_INVOC!$QL$104</f>
        <v/>
      </c>
      <c r="AM368" s="125" t="n"/>
      <c r="AN368" s="135" t="n"/>
      <c r="AO368" s="134" t="n"/>
      <c r="AP368" s="16" t="n"/>
      <c r="AQ368" s="17" t="n"/>
      <c r="AR368" s="133">
        <f>DADOS_INVOC!$QL$105</f>
        <v/>
      </c>
      <c r="AS368" s="125" t="n"/>
    </row>
    <row r="369" hidden="1" outlineLevel="3">
      <c r="A369" s="8" t="n"/>
      <c r="B369" s="14" t="n"/>
      <c r="C369" s="125" t="n"/>
      <c r="D369" s="125" t="n"/>
      <c r="E369" s="125" t="n"/>
      <c r="F369" s="125" t="n"/>
      <c r="G369" s="125" t="n"/>
      <c r="I369" s="135" t="n"/>
      <c r="J369" s="134" t="n"/>
      <c r="K369" s="16" t="n"/>
      <c r="L369" s="17" t="n"/>
      <c r="M369" s="133">
        <f>DADOS_INVOC!$QM$25</f>
        <v/>
      </c>
      <c r="N369" s="125" t="n"/>
      <c r="O369" s="135" t="n"/>
      <c r="P369" s="134" t="n"/>
      <c r="Q369" s="16" t="n"/>
      <c r="R369" s="17" t="n"/>
      <c r="S369" s="133">
        <f>DADOS_INVOC!$QM$26</f>
        <v/>
      </c>
      <c r="T369" s="125" t="n"/>
      <c r="U369" s="135" t="n"/>
      <c r="V369" s="134" t="n"/>
      <c r="W369" s="16" t="n"/>
      <c r="X369" s="17" t="n"/>
      <c r="Y369" s="133">
        <f>DADOS_INVOC!$QM$27</f>
        <v/>
      </c>
      <c r="Z369" s="125" t="n"/>
      <c r="AB369" s="135" t="n"/>
      <c r="AC369" s="134" t="n"/>
      <c r="AD369" s="16" t="n"/>
      <c r="AE369" s="17" t="n"/>
      <c r="AF369" s="133">
        <f>DADOS_INVOC!$QM$103</f>
        <v/>
      </c>
      <c r="AG369" s="125" t="n"/>
      <c r="AH369" s="135" t="n"/>
      <c r="AI369" s="134" t="n"/>
      <c r="AJ369" s="16" t="n"/>
      <c r="AK369" s="17" t="n"/>
      <c r="AL369" s="133">
        <f>DADOS_INVOC!$QM$104</f>
        <v/>
      </c>
      <c r="AM369" s="125" t="n"/>
      <c r="AN369" s="135" t="n"/>
      <c r="AO369" s="134" t="n"/>
      <c r="AP369" s="16" t="n"/>
      <c r="AQ369" s="17" t="n"/>
      <c r="AR369" s="133">
        <f>DADOS_INVOC!$QM$105</f>
        <v/>
      </c>
      <c r="AS369" s="125" t="n"/>
    </row>
    <row r="370" hidden="1" outlineLevel="3">
      <c r="A370" s="8" t="n"/>
      <c r="B370" s="14" t="n"/>
      <c r="C370" s="125" t="n"/>
      <c r="D370" s="125" t="n"/>
      <c r="E370" s="125" t="n"/>
      <c r="F370" s="125" t="n"/>
      <c r="G370" s="125" t="n"/>
      <c r="I370" s="129" t="n"/>
      <c r="J370" s="134" t="n"/>
      <c r="K370" s="16" t="n"/>
      <c r="L370" s="17" t="n"/>
      <c r="M370" s="133">
        <f>DADOS_INVOC!$QN$25</f>
        <v/>
      </c>
      <c r="N370" s="125" t="n"/>
      <c r="O370" s="129" t="n"/>
      <c r="P370" s="134" t="n"/>
      <c r="Q370" s="16" t="n"/>
      <c r="R370" s="17" t="n"/>
      <c r="S370" s="133">
        <f>DADOS_INVOC!$QN$26</f>
        <v/>
      </c>
      <c r="T370" s="125" t="n"/>
      <c r="U370" s="129" t="n"/>
      <c r="V370" s="134" t="n"/>
      <c r="W370" s="16" t="n"/>
      <c r="X370" s="17" t="n"/>
      <c r="Y370" s="133">
        <f>DADOS_INVOC!$QN$27</f>
        <v/>
      </c>
      <c r="Z370" s="125" t="n"/>
      <c r="AB370" s="129" t="n"/>
      <c r="AC370" s="134" t="n"/>
      <c r="AD370" s="16" t="n"/>
      <c r="AE370" s="17" t="n"/>
      <c r="AF370" s="133">
        <f>DADOS_INVOC!$QN$103</f>
        <v/>
      </c>
      <c r="AG370" s="125" t="n"/>
      <c r="AH370" s="129" t="n"/>
      <c r="AI370" s="134" t="n"/>
      <c r="AJ370" s="16" t="n"/>
      <c r="AK370" s="17" t="n"/>
      <c r="AL370" s="133">
        <f>DADOS_INVOC!$QN$104</f>
        <v/>
      </c>
      <c r="AM370" s="125" t="n"/>
      <c r="AN370" s="129" t="n"/>
      <c r="AO370" s="134" t="n"/>
      <c r="AP370" s="16" t="n"/>
      <c r="AQ370" s="17" t="n"/>
      <c r="AR370" s="133">
        <f>DADOS_INVOC!$QN$105</f>
        <v/>
      </c>
      <c r="AS370" s="125" t="n"/>
    </row>
    <row r="371" hidden="1" outlineLevel="3">
      <c r="A371" s="8" t="n"/>
      <c r="B371" s="14" t="n"/>
      <c r="C371" s="125" t="n"/>
      <c r="D371" s="125" t="n"/>
      <c r="E371" s="125" t="n"/>
      <c r="F371" s="125" t="n"/>
      <c r="G371" s="125" t="n"/>
      <c r="I371" s="55" t="inlineStr">
        <is>
          <t>RESTRIÇÕES</t>
        </is>
      </c>
      <c r="J371" s="134" t="n"/>
      <c r="K371" s="16" t="n"/>
      <c r="L371" s="17" t="n"/>
      <c r="M371" s="133">
        <f>DADOS_INVOC!$QO$25</f>
        <v/>
      </c>
      <c r="N371" s="125" t="n"/>
      <c r="O371" s="55" t="inlineStr">
        <is>
          <t>RESTRIÇÕES</t>
        </is>
      </c>
      <c r="P371" s="134" t="n"/>
      <c r="Q371" s="16" t="n"/>
      <c r="R371" s="17" t="n"/>
      <c r="S371" s="133">
        <f>DADOS_INVOC!$QO$26</f>
        <v/>
      </c>
      <c r="T371" s="125" t="n"/>
      <c r="U371" s="55" t="inlineStr">
        <is>
          <t>RESTRIÇÕES</t>
        </is>
      </c>
      <c r="V371" s="134" t="n"/>
      <c r="W371" s="16" t="n"/>
      <c r="X371" s="17" t="n"/>
      <c r="Y371" s="133">
        <f>DADOS_INVOC!$QO$27</f>
        <v/>
      </c>
      <c r="Z371" s="125" t="n"/>
      <c r="AB371" s="55" t="inlineStr">
        <is>
          <t>RESTRIÇÕES</t>
        </is>
      </c>
      <c r="AC371" s="134" t="n"/>
      <c r="AD371" s="16" t="n"/>
      <c r="AE371" s="17" t="n"/>
      <c r="AF371" s="133">
        <f>DADOS_INVOC!$QO$103</f>
        <v/>
      </c>
      <c r="AG371" s="125" t="n"/>
      <c r="AH371" s="55" t="inlineStr">
        <is>
          <t>RESTRIÇÕES</t>
        </is>
      </c>
      <c r="AI371" s="134" t="n"/>
      <c r="AJ371" s="16" t="n"/>
      <c r="AK371" s="17" t="n"/>
      <c r="AL371" s="133">
        <f>DADOS_INVOC!$QO$104</f>
        <v/>
      </c>
      <c r="AM371" s="125" t="n"/>
      <c r="AN371" s="55" t="inlineStr">
        <is>
          <t>RESTRIÇÕES</t>
        </is>
      </c>
      <c r="AO371" s="134" t="n"/>
      <c r="AP371" s="16" t="n"/>
      <c r="AQ371" s="17" t="n"/>
      <c r="AR371" s="133">
        <f>DADOS_INVOC!$QO$105</f>
        <v/>
      </c>
      <c r="AS371" s="125" t="n"/>
    </row>
    <row r="372" hidden="1" outlineLevel="3">
      <c r="A372" s="8" t="n"/>
      <c r="B372" s="14" t="n"/>
      <c r="C372" s="125" t="n"/>
      <c r="D372" s="125" t="n"/>
      <c r="E372" s="125" t="n"/>
      <c r="F372" s="125" t="n"/>
      <c r="G372" s="125" t="n"/>
      <c r="I372" s="129" t="n"/>
      <c r="J372" s="134" t="n"/>
      <c r="K372" s="16" t="n"/>
      <c r="L372" s="17" t="n"/>
      <c r="M372" s="133">
        <f>DADOS_INVOC!$QP$25</f>
        <v/>
      </c>
      <c r="N372" s="125" t="n"/>
      <c r="O372" s="129" t="n"/>
      <c r="P372" s="134" t="n"/>
      <c r="Q372" s="16" t="n"/>
      <c r="R372" s="17" t="n"/>
      <c r="S372" s="133">
        <f>DADOS_INVOC!$QP$26</f>
        <v/>
      </c>
      <c r="T372" s="125" t="n"/>
      <c r="U372" s="129" t="n"/>
      <c r="V372" s="134" t="n"/>
      <c r="W372" s="16" t="n"/>
      <c r="X372" s="17" t="n"/>
      <c r="Y372" s="133">
        <f>DADOS_INVOC!$QP$27</f>
        <v/>
      </c>
      <c r="Z372" s="125" t="n"/>
      <c r="AB372" s="129" t="n"/>
      <c r="AC372" s="134" t="n"/>
      <c r="AD372" s="16" t="n"/>
      <c r="AE372" s="17" t="n"/>
      <c r="AF372" s="133">
        <f>DADOS_INVOC!$QP$103</f>
        <v/>
      </c>
      <c r="AG372" s="125" t="n"/>
      <c r="AH372" s="129" t="n"/>
      <c r="AI372" s="134" t="n"/>
      <c r="AJ372" s="16" t="n"/>
      <c r="AK372" s="17" t="n"/>
      <c r="AL372" s="133">
        <f>DADOS_INVOC!$QP$104</f>
        <v/>
      </c>
      <c r="AM372" s="125" t="n"/>
      <c r="AN372" s="129" t="n"/>
      <c r="AO372" s="134" t="n"/>
      <c r="AP372" s="16" t="n"/>
      <c r="AQ372" s="17" t="n"/>
      <c r="AR372" s="133">
        <f>DADOS_INVOC!$QP$105</f>
        <v/>
      </c>
      <c r="AS372" s="125" t="n"/>
    </row>
    <row r="373" hidden="1" outlineLevel="3">
      <c r="A373" s="8" t="n"/>
      <c r="B373" s="14" t="n"/>
      <c r="C373" s="125" t="n"/>
      <c r="D373" s="125" t="n"/>
      <c r="E373" s="125" t="n"/>
      <c r="F373" s="125" t="n"/>
      <c r="G373" s="125" t="n"/>
      <c r="I373" s="55" t="inlineStr">
        <is>
          <t>CONTA</t>
        </is>
      </c>
      <c r="J373" s="136">
        <f>DADOS_INVOC!$QI$25</f>
        <v/>
      </c>
      <c r="K373" s="16" t="n"/>
      <c r="L373" s="16" t="n"/>
      <c r="M373" s="17" t="n"/>
      <c r="N373" s="125" t="n"/>
      <c r="O373" s="55" t="inlineStr">
        <is>
          <t>CONTA</t>
        </is>
      </c>
      <c r="P373" s="136">
        <f>DADOS_INVOC!$QI$26</f>
        <v/>
      </c>
      <c r="Q373" s="16" t="n"/>
      <c r="R373" s="16" t="n"/>
      <c r="S373" s="17" t="n"/>
      <c r="T373" s="125" t="n"/>
      <c r="U373" s="55" t="inlineStr">
        <is>
          <t>CONTA</t>
        </is>
      </c>
      <c r="V373" s="136">
        <f>DADOS_INVOC!$QI$27</f>
        <v/>
      </c>
      <c r="W373" s="16" t="n"/>
      <c r="X373" s="16" t="n"/>
      <c r="Y373" s="17" t="n"/>
      <c r="Z373" s="125" t="n"/>
      <c r="AB373" s="55" t="inlineStr">
        <is>
          <t>CONTA</t>
        </is>
      </c>
      <c r="AC373" s="136">
        <f>DADOS_INVOC!$QI$103</f>
        <v/>
      </c>
      <c r="AD373" s="16" t="n"/>
      <c r="AE373" s="16" t="n"/>
      <c r="AF373" s="17" t="n"/>
      <c r="AG373" s="125" t="n"/>
      <c r="AH373" s="55" t="inlineStr">
        <is>
          <t>CONTA</t>
        </is>
      </c>
      <c r="AI373" s="136">
        <f>DADOS_INVOC!$QI$104</f>
        <v/>
      </c>
      <c r="AJ373" s="16" t="n"/>
      <c r="AK373" s="16" t="n"/>
      <c r="AL373" s="17" t="n"/>
      <c r="AM373" s="125" t="n"/>
      <c r="AN373" s="55" t="inlineStr">
        <is>
          <t>CONTA</t>
        </is>
      </c>
      <c r="AO373" s="136">
        <f>DADOS_INVOC!$QI$105</f>
        <v/>
      </c>
      <c r="AP373" s="16" t="n"/>
      <c r="AQ373" s="16" t="n"/>
      <c r="AR373" s="17" t="n"/>
      <c r="AS373" s="125" t="n"/>
    </row>
    <row r="374" hidden="1" outlineLevel="3">
      <c r="A374" s="8" t="n"/>
      <c r="B374" s="14" t="n"/>
      <c r="C374" s="125" t="n"/>
      <c r="D374" s="125" t="n"/>
      <c r="E374" s="125" t="n"/>
      <c r="F374" s="125" t="n"/>
      <c r="G374" s="125" t="n"/>
      <c r="I374" s="55" t="inlineStr">
        <is>
          <t>AMPLIAR</t>
        </is>
      </c>
      <c r="J374" s="136">
        <f>DADOS_INVOC!$QJ$25</f>
        <v/>
      </c>
      <c r="K374" s="19" t="n"/>
      <c r="L374" s="19" t="n"/>
      <c r="M374" s="20" t="n"/>
      <c r="N374" s="125" t="n"/>
      <c r="O374" s="55" t="inlineStr">
        <is>
          <t>AMPLIAR</t>
        </is>
      </c>
      <c r="P374" s="136">
        <f>DADOS_INVOC!$QJ$26</f>
        <v/>
      </c>
      <c r="Q374" s="19" t="n"/>
      <c r="R374" s="19" t="n"/>
      <c r="S374" s="20" t="n"/>
      <c r="T374" s="125" t="n"/>
      <c r="U374" s="55" t="inlineStr">
        <is>
          <t>AMPLIAR</t>
        </is>
      </c>
      <c r="V374" s="136">
        <f>DADOS_INVOC!$QJ$27</f>
        <v/>
      </c>
      <c r="W374" s="19" t="n"/>
      <c r="X374" s="19" t="n"/>
      <c r="Y374" s="20" t="n"/>
      <c r="Z374" s="125" t="n"/>
      <c r="AB374" s="55" t="inlineStr">
        <is>
          <t>AMPLIAR</t>
        </is>
      </c>
      <c r="AC374" s="136">
        <f>DADOS_INVOC!$QJ$103</f>
        <v/>
      </c>
      <c r="AD374" s="19" t="n"/>
      <c r="AE374" s="19" t="n"/>
      <c r="AF374" s="20" t="n"/>
      <c r="AG374" s="125" t="n"/>
      <c r="AH374" s="55" t="inlineStr">
        <is>
          <t>AMPLIAR</t>
        </is>
      </c>
      <c r="AI374" s="136">
        <f>DADOS_INVOC!$QJ$104</f>
        <v/>
      </c>
      <c r="AJ374" s="19" t="n"/>
      <c r="AK374" s="19" t="n"/>
      <c r="AL374" s="20" t="n"/>
      <c r="AM374" s="125" t="n"/>
      <c r="AN374" s="55" t="inlineStr">
        <is>
          <t>AMPLIAR</t>
        </is>
      </c>
      <c r="AO374" s="136">
        <f>DADOS_INVOC!$QJ$105</f>
        <v/>
      </c>
      <c r="AP374" s="19" t="n"/>
      <c r="AQ374" s="19" t="n"/>
      <c r="AR374" s="20" t="n"/>
      <c r="AS374" s="125" t="n"/>
    </row>
    <row r="375" hidden="1" outlineLevel="3">
      <c r="A375" s="8" t="n"/>
      <c r="B375" s="14" t="n"/>
      <c r="C375" s="125" t="n"/>
      <c r="D375" s="125" t="n"/>
      <c r="E375" s="125" t="n"/>
      <c r="F375" s="125" t="n"/>
      <c r="G375" s="125" t="n"/>
      <c r="I375" s="129" t="n"/>
      <c r="J375" s="23" t="n"/>
      <c r="K375" s="24" t="n"/>
      <c r="L375" s="24" t="n"/>
      <c r="M375" s="25" t="n"/>
      <c r="N375" s="125" t="n"/>
      <c r="O375" s="129" t="n"/>
      <c r="P375" s="23" t="n"/>
      <c r="Q375" s="24" t="n"/>
      <c r="R375" s="24" t="n"/>
      <c r="S375" s="25" t="n"/>
      <c r="T375" s="125" t="n"/>
      <c r="U375" s="129" t="n"/>
      <c r="V375" s="23" t="n"/>
      <c r="W375" s="24" t="n"/>
      <c r="X375" s="24" t="n"/>
      <c r="Y375" s="25" t="n"/>
      <c r="Z375" s="125" t="n"/>
      <c r="AB375" s="129" t="n"/>
      <c r="AC375" s="23" t="n"/>
      <c r="AD375" s="24" t="n"/>
      <c r="AE375" s="24" t="n"/>
      <c r="AF375" s="25" t="n"/>
      <c r="AG375" s="125" t="n"/>
      <c r="AH375" s="129" t="n"/>
      <c r="AI375" s="23" t="n"/>
      <c r="AJ375" s="24" t="n"/>
      <c r="AK375" s="24" t="n"/>
      <c r="AL375" s="25" t="n"/>
      <c r="AM375" s="125" t="n"/>
      <c r="AN375" s="129" t="n"/>
      <c r="AO375" s="23" t="n"/>
      <c r="AP375" s="24" t="n"/>
      <c r="AQ375" s="24" t="n"/>
      <c r="AR375" s="25" t="n"/>
      <c r="AS375" s="125" t="n"/>
    </row>
    <row r="376" hidden="1" outlineLevel="3">
      <c r="A376" s="8" t="n"/>
      <c r="B376" s="14" t="n"/>
      <c r="C376" s="125" t="n"/>
      <c r="D376" s="125" t="n"/>
      <c r="E376" s="125" t="n"/>
      <c r="F376" s="125" t="n"/>
      <c r="G376" s="125" t="n"/>
      <c r="I376" s="136">
        <f>DADOS_INVOC!$PW$25</f>
        <v/>
      </c>
      <c r="J376" s="19" t="n"/>
      <c r="K376" s="19" t="n"/>
      <c r="L376" s="19" t="n"/>
      <c r="M376" s="20" t="n"/>
      <c r="N376" s="125" t="n"/>
      <c r="O376" s="136">
        <f>DADOS_INVOC!$PW$26</f>
        <v/>
      </c>
      <c r="P376" s="19" t="n"/>
      <c r="Q376" s="19" t="n"/>
      <c r="R376" s="19" t="n"/>
      <c r="S376" s="20" t="n"/>
      <c r="T376" s="125" t="n"/>
      <c r="U376" s="136">
        <f>DADOS_INVOC!$PW$27</f>
        <v/>
      </c>
      <c r="V376" s="19" t="n"/>
      <c r="W376" s="19" t="n"/>
      <c r="X376" s="19" t="n"/>
      <c r="Y376" s="20" t="n"/>
      <c r="Z376" s="125" t="n"/>
      <c r="AB376" s="136">
        <f>DADOS_INVOC!$PW$103</f>
        <v/>
      </c>
      <c r="AC376" s="19" t="n"/>
      <c r="AD376" s="19" t="n"/>
      <c r="AE376" s="19" t="n"/>
      <c r="AF376" s="20" t="n"/>
      <c r="AG376" s="125" t="n"/>
      <c r="AH376" s="136">
        <f>DADOS_INVOC!$PW$104</f>
        <v/>
      </c>
      <c r="AI376" s="19" t="n"/>
      <c r="AJ376" s="19" t="n"/>
      <c r="AK376" s="19" t="n"/>
      <c r="AL376" s="20" t="n"/>
      <c r="AM376" s="125" t="n"/>
      <c r="AN376" s="136">
        <f>DADOS_INVOC!$PW$105</f>
        <v/>
      </c>
      <c r="AO376" s="19" t="n"/>
      <c r="AP376" s="19" t="n"/>
      <c r="AQ376" s="19" t="n"/>
      <c r="AR376" s="20" t="n"/>
      <c r="AS376" s="125" t="n"/>
    </row>
    <row r="377" hidden="1" outlineLevel="3">
      <c r="A377" s="8" t="n"/>
      <c r="B377" s="14" t="n"/>
      <c r="C377" s="125" t="n"/>
      <c r="D377" s="125" t="n"/>
      <c r="E377" s="125" t="n"/>
      <c r="F377" s="125" t="n"/>
      <c r="G377" s="125" t="n"/>
      <c r="I377" s="23" t="n"/>
      <c r="J377" s="24" t="n"/>
      <c r="K377" s="24" t="n"/>
      <c r="L377" s="24" t="n"/>
      <c r="M377" s="25" t="n"/>
      <c r="N377" s="125" t="n"/>
      <c r="O377" s="23" t="n"/>
      <c r="P377" s="24" t="n"/>
      <c r="Q377" s="24" t="n"/>
      <c r="R377" s="24" t="n"/>
      <c r="S377" s="25" t="n"/>
      <c r="T377" s="125" t="n"/>
      <c r="U377" s="23" t="n"/>
      <c r="V377" s="24" t="n"/>
      <c r="W377" s="24" t="n"/>
      <c r="X377" s="24" t="n"/>
      <c r="Y377" s="25" t="n"/>
      <c r="Z377" s="125" t="n"/>
      <c r="AB377" s="23" t="n"/>
      <c r="AC377" s="24" t="n"/>
      <c r="AD377" s="24" t="n"/>
      <c r="AE377" s="24" t="n"/>
      <c r="AF377" s="25" t="n"/>
      <c r="AG377" s="125" t="n"/>
      <c r="AH377" s="23" t="n"/>
      <c r="AI377" s="24" t="n"/>
      <c r="AJ377" s="24" t="n"/>
      <c r="AK377" s="24" t="n"/>
      <c r="AL377" s="25" t="n"/>
      <c r="AM377" s="125" t="n"/>
      <c r="AN377" s="23" t="n"/>
      <c r="AO377" s="24" t="n"/>
      <c r="AP377" s="24" t="n"/>
      <c r="AQ377" s="24" t="n"/>
      <c r="AR377" s="25" t="n"/>
      <c r="AS377" s="125" t="n"/>
    </row>
    <row r="378" hidden="1" outlineLevel="2">
      <c r="A378" s="8" t="n"/>
      <c r="B378" s="14" t="n"/>
      <c r="C378" s="125" t="n"/>
      <c r="D378" s="125" t="n"/>
      <c r="E378" s="125" t="n"/>
      <c r="F378" s="125" t="n"/>
      <c r="G378" s="125" t="n"/>
      <c r="I378" s="125" t="n"/>
      <c r="J378" s="125" t="n"/>
      <c r="K378" s="125" t="n"/>
      <c r="L378" s="125" t="n"/>
      <c r="M378" s="125" t="n"/>
      <c r="N378" s="125" t="n"/>
      <c r="O378" s="125" t="n"/>
      <c r="P378" s="125" t="n"/>
      <c r="Q378" s="125" t="n"/>
      <c r="R378" s="125" t="n"/>
      <c r="S378" s="125" t="n"/>
      <c r="T378" s="125" t="n"/>
      <c r="U378" s="125" t="n"/>
      <c r="V378" s="125" t="n"/>
      <c r="W378" s="125" t="n"/>
      <c r="X378" s="125" t="n"/>
      <c r="Y378" s="125" t="n"/>
      <c r="Z378" s="125" t="n"/>
      <c r="AB378" s="125" t="n"/>
      <c r="AC378" s="125" t="n"/>
      <c r="AD378" s="125" t="n"/>
      <c r="AE378" s="125" t="n"/>
      <c r="AF378" s="125" t="n"/>
      <c r="AG378" s="125" t="n"/>
      <c r="AH378" s="125" t="n"/>
      <c r="AI378" s="125" t="n"/>
      <c r="AJ378" s="125" t="n"/>
      <c r="AK378" s="125" t="n"/>
      <c r="AL378" s="125" t="n"/>
      <c r="AM378" s="125" t="n"/>
      <c r="AN378" s="125" t="n"/>
      <c r="AO378" s="125" t="n"/>
      <c r="AP378" s="125" t="n"/>
      <c r="AQ378" s="125" t="n"/>
      <c r="AR378" s="125" t="n"/>
      <c r="AS378" s="125" t="n"/>
    </row>
    <row r="379" hidden="1" outlineLevel="2">
      <c r="A379" s="8" t="n"/>
      <c r="B379" s="14" t="n"/>
      <c r="C379" s="125" t="n"/>
      <c r="D379" s="125" t="n"/>
      <c r="E379" s="125" t="n"/>
      <c r="F379" s="125" t="n"/>
      <c r="G379" s="125"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5"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5" t="n"/>
    </row>
    <row r="380" hidden="1" outlineLevel="2">
      <c r="A380" s="8" t="n"/>
      <c r="B380" s="14" t="n"/>
      <c r="C380" s="125" t="n"/>
      <c r="D380" s="125" t="n"/>
      <c r="E380" s="125" t="n"/>
      <c r="F380" s="125" t="n"/>
      <c r="G380" s="125" t="n"/>
      <c r="I380" s="55" t="inlineStr">
        <is>
          <t>TRILHA · CE 1</t>
        </is>
      </c>
      <c r="J380" s="134" t="n"/>
      <c r="K380" s="16" t="n"/>
      <c r="L380" s="17" t="n"/>
      <c r="M380" s="141">
        <f>DADOS_INVOC!$IU$3</f>
        <v/>
      </c>
      <c r="N380" s="16" t="n"/>
      <c r="O380" s="16" t="n"/>
      <c r="P380" s="16" t="n"/>
      <c r="Q380" s="16" t="n"/>
      <c r="R380" s="16" t="n"/>
      <c r="S380" s="16" t="n"/>
      <c r="T380" s="16" t="n"/>
      <c r="U380" s="16" t="n"/>
      <c r="V380" s="16" t="n"/>
      <c r="W380" s="16" t="n"/>
      <c r="X380" s="16" t="n"/>
      <c r="Y380" s="17" t="n"/>
      <c r="Z380" s="125" t="n"/>
      <c r="AB380" s="55" t="inlineStr">
        <is>
          <t>TRILHA · CE 1</t>
        </is>
      </c>
      <c r="AC380" s="134" t="n"/>
      <c r="AD380" s="16" t="n"/>
      <c r="AE380" s="17" t="n"/>
      <c r="AF380" s="141">
        <f>DADOS_INVOC!$IU$9</f>
        <v/>
      </c>
      <c r="AG380" s="16" t="n"/>
      <c r="AH380" s="16" t="n"/>
      <c r="AI380" s="16" t="n"/>
      <c r="AJ380" s="16" t="n"/>
      <c r="AK380" s="16" t="n"/>
      <c r="AL380" s="16" t="n"/>
      <c r="AM380" s="16" t="n"/>
      <c r="AN380" s="16" t="n"/>
      <c r="AO380" s="16" t="n"/>
      <c r="AP380" s="16" t="n"/>
      <c r="AQ380" s="16" t="n"/>
      <c r="AR380" s="17" t="n"/>
      <c r="AS380" s="125" t="n"/>
    </row>
    <row r="381" hidden="1" outlineLevel="2">
      <c r="A381" s="8" t="n"/>
      <c r="B381" s="14" t="n"/>
      <c r="C381" s="125" t="n"/>
      <c r="D381" s="125" t="n"/>
      <c r="E381" s="125" t="n"/>
      <c r="F381" s="125" t="n"/>
      <c r="G381" s="125" t="n"/>
      <c r="I381" s="55" t="inlineStr">
        <is>
          <t>TRILHA · CE 1</t>
        </is>
      </c>
      <c r="J381" s="134" t="n"/>
      <c r="K381" s="16" t="n"/>
      <c r="L381" s="17" t="n"/>
      <c r="M381" s="141">
        <f>DADOS_INVOC!$IV$3</f>
        <v/>
      </c>
      <c r="N381" s="16" t="n"/>
      <c r="O381" s="16" t="n"/>
      <c r="P381" s="16" t="n"/>
      <c r="Q381" s="16" t="n"/>
      <c r="R381" s="16" t="n"/>
      <c r="S381" s="16" t="n"/>
      <c r="T381" s="16" t="n"/>
      <c r="U381" s="16" t="n"/>
      <c r="V381" s="16" t="n"/>
      <c r="W381" s="16" t="n"/>
      <c r="X381" s="16" t="n"/>
      <c r="Y381" s="17" t="n"/>
      <c r="Z381" s="125" t="n"/>
      <c r="AB381" s="55" t="inlineStr">
        <is>
          <t>TRILHA · CE 1</t>
        </is>
      </c>
      <c r="AC381" s="134" t="n"/>
      <c r="AD381" s="16" t="n"/>
      <c r="AE381" s="17" t="n"/>
      <c r="AF381" s="141">
        <f>DADOS_INVOC!$IV$9</f>
        <v/>
      </c>
      <c r="AG381" s="16" t="n"/>
      <c r="AH381" s="16" t="n"/>
      <c r="AI381" s="16" t="n"/>
      <c r="AJ381" s="16" t="n"/>
      <c r="AK381" s="16" t="n"/>
      <c r="AL381" s="16" t="n"/>
      <c r="AM381" s="16" t="n"/>
      <c r="AN381" s="16" t="n"/>
      <c r="AO381" s="16" t="n"/>
      <c r="AP381" s="16" t="n"/>
      <c r="AQ381" s="16" t="n"/>
      <c r="AR381" s="17" t="n"/>
      <c r="AS381" s="125" t="n"/>
    </row>
    <row r="382" hidden="1" outlineLevel="2">
      <c r="A382" s="8" t="n"/>
      <c r="B382" s="14" t="n"/>
      <c r="C382" s="125" t="n"/>
      <c r="D382" s="125" t="n"/>
      <c r="E382" s="125" t="n"/>
      <c r="F382" s="125" t="n"/>
      <c r="G382" s="125" t="n"/>
      <c r="I382" s="55" t="inlineStr">
        <is>
          <t>TRILHA · CE 1</t>
        </is>
      </c>
      <c r="J382" s="134" t="n"/>
      <c r="K382" s="16" t="n"/>
      <c r="L382" s="17" t="n"/>
      <c r="M382" s="141">
        <f>DADOS_INVOC!$IW$3</f>
        <v/>
      </c>
      <c r="N382" s="16" t="n"/>
      <c r="O382" s="16" t="n"/>
      <c r="P382" s="16" t="n"/>
      <c r="Q382" s="16" t="n"/>
      <c r="R382" s="16" t="n"/>
      <c r="S382" s="16" t="n"/>
      <c r="T382" s="16" t="n"/>
      <c r="U382" s="16" t="n"/>
      <c r="V382" s="16" t="n"/>
      <c r="W382" s="16" t="n"/>
      <c r="X382" s="16" t="n"/>
      <c r="Y382" s="17" t="n"/>
      <c r="Z382" s="125" t="n"/>
      <c r="AB382" s="55" t="inlineStr">
        <is>
          <t>TRILHA · CE 1</t>
        </is>
      </c>
      <c r="AC382" s="134" t="n"/>
      <c r="AD382" s="16" t="n"/>
      <c r="AE382" s="17" t="n"/>
      <c r="AF382" s="141">
        <f>DADOS_INVOC!$IW$9</f>
        <v/>
      </c>
      <c r="AG382" s="16" t="n"/>
      <c r="AH382" s="16" t="n"/>
      <c r="AI382" s="16" t="n"/>
      <c r="AJ382" s="16" t="n"/>
      <c r="AK382" s="16" t="n"/>
      <c r="AL382" s="16" t="n"/>
      <c r="AM382" s="16" t="n"/>
      <c r="AN382" s="16" t="n"/>
      <c r="AO382" s="16" t="n"/>
      <c r="AP382" s="16" t="n"/>
      <c r="AQ382" s="16" t="n"/>
      <c r="AR382" s="17" t="n"/>
      <c r="AS382" s="125" t="n"/>
    </row>
    <row r="383" hidden="1" outlineLevel="1">
      <c r="A383" s="8" t="n"/>
      <c r="B383" s="14" t="n"/>
      <c r="C383" s="125" t="n"/>
      <c r="D383" s="125" t="n"/>
      <c r="E383" s="125" t="n"/>
      <c r="F383" s="125" t="n"/>
      <c r="G383" s="125" t="n"/>
      <c r="I383" s="125" t="n"/>
      <c r="J383" s="125" t="n"/>
      <c r="K383" s="125" t="n"/>
      <c r="L383" s="125" t="n"/>
      <c r="M383" s="125" t="n"/>
      <c r="N383" s="125" t="n"/>
      <c r="O383" s="125" t="n"/>
      <c r="P383" s="125" t="n"/>
      <c r="Q383" s="125" t="n"/>
      <c r="R383" s="125" t="n"/>
      <c r="S383" s="125" t="n"/>
      <c r="T383" s="125" t="n"/>
      <c r="U383" s="125" t="n"/>
      <c r="V383" s="125" t="n"/>
      <c r="W383" s="125" t="n"/>
      <c r="X383" s="125" t="n"/>
      <c r="Y383" s="125" t="n"/>
      <c r="Z383" s="125" t="n"/>
      <c r="AB383" s="125" t="n"/>
      <c r="AC383" s="125" t="n"/>
      <c r="AD383" s="125" t="n"/>
      <c r="AE383" s="125" t="n"/>
      <c r="AF383" s="125" t="n"/>
      <c r="AG383" s="125" t="n"/>
      <c r="AH383" s="125" t="n"/>
      <c r="AI383" s="125" t="n"/>
      <c r="AJ383" s="125" t="n"/>
      <c r="AK383" s="125" t="n"/>
      <c r="AL383" s="125" t="n"/>
      <c r="AM383" s="125" t="n"/>
      <c r="AN383" s="125" t="n"/>
      <c r="AO383" s="125" t="n"/>
      <c r="AP383" s="125" t="n"/>
      <c r="AQ383" s="125" t="n"/>
      <c r="AR383" s="125" t="n"/>
      <c r="AS383" s="125" t="n"/>
    </row>
    <row r="384" hidden="1" outlineLevel="1">
      <c r="A384" s="8" t="n"/>
      <c r="B384" s="14" t="n"/>
      <c r="C384" s="125" t="n"/>
      <c r="D384" s="125" t="n"/>
      <c r="E384" s="125" t="n"/>
      <c r="F384" s="125" t="n"/>
      <c r="G384" s="125" t="n"/>
      <c r="I384" s="137"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5" t="n"/>
      <c r="AB384" s="137"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5" t="n"/>
    </row>
    <row r="385" hidden="1" outlineLevel="2">
      <c r="A385" s="8" t="n"/>
      <c r="B385" s="14" t="n"/>
      <c r="C385" s="125" t="n"/>
      <c r="D385" s="125" t="n"/>
      <c r="E385" s="125" t="n"/>
      <c r="F385" s="125" t="n"/>
      <c r="G385" s="125" t="n"/>
      <c r="I385" s="125" t="n"/>
      <c r="J385" s="125" t="n"/>
      <c r="K385" s="125" t="n"/>
      <c r="L385" s="125" t="n"/>
      <c r="M385" s="125" t="n"/>
      <c r="N385" s="125" t="n"/>
      <c r="O385" s="125" t="n"/>
      <c r="P385" s="125" t="n"/>
      <c r="Q385" s="125" t="n"/>
      <c r="R385" s="125" t="n"/>
      <c r="S385" s="125" t="n"/>
      <c r="T385" s="125" t="n"/>
      <c r="U385" s="125" t="n"/>
      <c r="V385" s="125" t="n"/>
      <c r="W385" s="125" t="n"/>
      <c r="X385" s="125" t="n"/>
      <c r="Y385" s="125" t="n"/>
      <c r="Z385" s="125" t="n"/>
      <c r="AB385" s="125" t="n"/>
      <c r="AC385" s="125" t="n"/>
      <c r="AD385" s="125" t="n"/>
      <c r="AE385" s="125" t="n"/>
      <c r="AF385" s="125" t="n"/>
      <c r="AG385" s="125" t="n"/>
      <c r="AH385" s="125" t="n"/>
      <c r="AI385" s="125" t="n"/>
      <c r="AJ385" s="125" t="n"/>
      <c r="AK385" s="125" t="n"/>
      <c r="AL385" s="125" t="n"/>
      <c r="AM385" s="125" t="n"/>
      <c r="AN385" s="125" t="n"/>
      <c r="AO385" s="125" t="n"/>
      <c r="AP385" s="125" t="n"/>
      <c r="AQ385" s="125" t="n"/>
      <c r="AR385" s="125" t="n"/>
      <c r="AS385" s="125" t="n"/>
    </row>
    <row r="386" hidden="1" outlineLevel="2">
      <c r="A386" s="8" t="n"/>
      <c r="B386" s="14" t="n"/>
      <c r="C386" s="125" t="n"/>
      <c r="D386" s="125" t="n"/>
      <c r="E386" s="125" t="n"/>
      <c r="F386" s="125" t="n"/>
      <c r="G386" s="125" t="n"/>
      <c r="I386" s="55" t="inlineStr">
        <is>
          <t>LIBERAÇÃO MÁXIMA 1</t>
        </is>
      </c>
      <c r="J386" s="16" t="n"/>
      <c r="K386" s="16" t="n"/>
      <c r="L386" s="16" t="n"/>
      <c r="M386" s="17" t="n"/>
      <c r="N386" s="125" t="n"/>
      <c r="O386" s="55" t="inlineStr">
        <is>
          <t>LIBERAÇÃO MÁXIMA 2</t>
        </is>
      </c>
      <c r="P386" s="16" t="n"/>
      <c r="Q386" s="16" t="n"/>
      <c r="R386" s="16" t="n"/>
      <c r="S386" s="17" t="n"/>
      <c r="T386" s="125" t="n"/>
      <c r="U386" s="55" t="inlineStr">
        <is>
          <t>LIBERAÇÃO MÁXIMA 3</t>
        </is>
      </c>
      <c r="V386" s="16" t="n"/>
      <c r="W386" s="16" t="n"/>
      <c r="X386" s="16" t="n"/>
      <c r="Y386" s="17" t="n"/>
      <c r="Z386" s="125" t="n"/>
      <c r="AB386" s="55" t="inlineStr">
        <is>
          <t>LIBERAÇÃO MÁXIMA 1</t>
        </is>
      </c>
      <c r="AC386" s="16" t="n"/>
      <c r="AD386" s="16" t="n"/>
      <c r="AE386" s="16" t="n"/>
      <c r="AF386" s="17" t="n"/>
      <c r="AG386" s="125" t="n"/>
      <c r="AH386" s="55" t="inlineStr">
        <is>
          <t>LIBERAÇÃO MÁXIMA 2</t>
        </is>
      </c>
      <c r="AI386" s="16" t="n"/>
      <c r="AJ386" s="16" t="n"/>
      <c r="AK386" s="16" t="n"/>
      <c r="AL386" s="17" t="n"/>
      <c r="AM386" s="125" t="n"/>
      <c r="AN386" s="55" t="inlineStr">
        <is>
          <t>LIBERAÇÃO MÁXIMA 3</t>
        </is>
      </c>
      <c r="AO386" s="16" t="n"/>
      <c r="AP386" s="16" t="n"/>
      <c r="AQ386" s="16" t="n"/>
      <c r="AR386" s="17" t="n"/>
      <c r="AS386" s="125" t="n"/>
    </row>
    <row r="387" hidden="1" outlineLevel="2">
      <c r="A387" s="8" t="n"/>
      <c r="B387" s="14" t="n"/>
      <c r="C387" s="125" t="n"/>
      <c r="D387" s="125" t="n"/>
      <c r="E387" s="125" t="n"/>
      <c r="F387" s="125" t="n"/>
      <c r="G387" s="125" t="n"/>
      <c r="I387" s="131" t="n">
        <v>3</v>
      </c>
      <c r="J387" s="120" t="n"/>
      <c r="K387" s="16" t="n"/>
      <c r="L387" s="17" t="n"/>
      <c r="M387" s="132">
        <f>DADOS_INVOC!$IX$3</f>
        <v/>
      </c>
      <c r="N387" s="125" t="n"/>
      <c r="O387" s="131" t="n">
        <v>3</v>
      </c>
      <c r="P387" s="120" t="n"/>
      <c r="Q387" s="16" t="n"/>
      <c r="R387" s="17" t="n"/>
      <c r="S387" s="132">
        <f>DADOS_INVOC!$IY$3</f>
        <v/>
      </c>
      <c r="T387" s="125" t="n"/>
      <c r="U387" s="131" t="n">
        <v>3</v>
      </c>
      <c r="V387" s="120" t="n"/>
      <c r="W387" s="16" t="n"/>
      <c r="X387" s="17" t="n"/>
      <c r="Y387" s="132">
        <f>DADOS_INVOC!$IZ$3</f>
        <v/>
      </c>
      <c r="Z387" s="125" t="n"/>
      <c r="AB387" s="131" t="n">
        <v>3</v>
      </c>
      <c r="AC387" s="120" t="n"/>
      <c r="AD387" s="16" t="n"/>
      <c r="AE387" s="17" t="n"/>
      <c r="AF387" s="132">
        <f>DADOS_INVOC!$IX$9</f>
        <v/>
      </c>
      <c r="AG387" s="125" t="n"/>
      <c r="AH387" s="131" t="n">
        <v>3</v>
      </c>
      <c r="AI387" s="120" t="n"/>
      <c r="AJ387" s="16" t="n"/>
      <c r="AK387" s="17" t="n"/>
      <c r="AL387" s="132">
        <f>DADOS_INVOC!$IY$9</f>
        <v/>
      </c>
      <c r="AM387" s="125" t="n"/>
      <c r="AN387" s="131" t="n">
        <v>3</v>
      </c>
      <c r="AO387" s="120" t="n"/>
      <c r="AP387" s="16" t="n"/>
      <c r="AQ387" s="17" t="n"/>
      <c r="AR387" s="132">
        <f>DADOS_INVOC!$IZ$9</f>
        <v/>
      </c>
      <c r="AS387" s="125" t="n"/>
    </row>
    <row r="388" hidden="1" outlineLevel="2">
      <c r="A388" s="8" t="n"/>
      <c r="B388" s="14" t="n"/>
      <c r="C388" s="125" t="n"/>
      <c r="D388" s="125" t="n"/>
      <c r="E388" s="125" t="n"/>
      <c r="F388" s="125" t="n"/>
      <c r="G388" s="125" t="n"/>
      <c r="I388" s="121" t="n"/>
      <c r="J388" s="19" t="n"/>
      <c r="K388" s="19" t="n"/>
      <c r="L388" s="19" t="n"/>
      <c r="M388" s="20" t="n"/>
      <c r="N388" s="125" t="n"/>
      <c r="O388" s="121" t="n"/>
      <c r="P388" s="19" t="n"/>
      <c r="Q388" s="19" t="n"/>
      <c r="R388" s="19" t="n"/>
      <c r="S388" s="20" t="n"/>
      <c r="T388" s="125" t="n"/>
      <c r="U388" s="121" t="n"/>
      <c r="V388" s="19" t="n"/>
      <c r="W388" s="19" t="n"/>
      <c r="X388" s="19" t="n"/>
      <c r="Y388" s="20" t="n"/>
      <c r="Z388" s="125" t="n"/>
      <c r="AB388" s="121" t="n"/>
      <c r="AC388" s="19" t="n"/>
      <c r="AD388" s="19" t="n"/>
      <c r="AE388" s="19" t="n"/>
      <c r="AF388" s="20" t="n"/>
      <c r="AG388" s="125" t="n"/>
      <c r="AH388" s="121" t="n"/>
      <c r="AI388" s="19" t="n"/>
      <c r="AJ388" s="19" t="n"/>
      <c r="AK388" s="19" t="n"/>
      <c r="AL388" s="20" t="n"/>
      <c r="AM388" s="125" t="n"/>
      <c r="AN388" s="121" t="n"/>
      <c r="AO388" s="19" t="n"/>
      <c r="AP388" s="19" t="n"/>
      <c r="AQ388" s="19" t="n"/>
      <c r="AR388" s="20" t="n"/>
      <c r="AS388" s="125" t="n"/>
    </row>
    <row r="389" hidden="1" outlineLevel="2">
      <c r="A389" s="8" t="n"/>
      <c r="B389" s="14" t="n"/>
      <c r="C389" s="125" t="n"/>
      <c r="D389" s="125" t="n"/>
      <c r="E389" s="125" t="n"/>
      <c r="F389" s="125" t="n"/>
      <c r="G389" s="125" t="n"/>
      <c r="I389" s="21" t="n"/>
      <c r="M389" s="22" t="n"/>
      <c r="N389" s="125" t="n"/>
      <c r="O389" s="21" t="n"/>
      <c r="S389" s="22" t="n"/>
      <c r="T389" s="125" t="n"/>
      <c r="U389" s="21" t="n"/>
      <c r="Y389" s="22" t="n"/>
      <c r="Z389" s="125" t="n"/>
      <c r="AB389" s="21" t="n"/>
      <c r="AF389" s="22" t="n"/>
      <c r="AG389" s="125" t="n"/>
      <c r="AH389" s="21" t="n"/>
      <c r="AL389" s="22" t="n"/>
      <c r="AM389" s="125" t="n"/>
      <c r="AN389" s="21" t="n"/>
      <c r="AR389" s="22" t="n"/>
      <c r="AS389" s="125" t="n"/>
    </row>
    <row r="390" hidden="1" outlineLevel="2">
      <c r="A390" s="8" t="n"/>
      <c r="B390" s="14" t="n"/>
      <c r="C390" s="125" t="n"/>
      <c r="D390" s="125" t="n"/>
      <c r="E390" s="125" t="n"/>
      <c r="F390" s="125" t="n"/>
      <c r="G390" s="125" t="n"/>
      <c r="I390" s="21" t="n"/>
      <c r="M390" s="22" t="n"/>
      <c r="N390" s="125" t="n"/>
      <c r="O390" s="21" t="n"/>
      <c r="S390" s="22" t="n"/>
      <c r="T390" s="125" t="n"/>
      <c r="U390" s="21" t="n"/>
      <c r="Y390" s="22" t="n"/>
      <c r="Z390" s="125" t="n"/>
      <c r="AB390" s="21" t="n"/>
      <c r="AF390" s="22" t="n"/>
      <c r="AG390" s="125" t="n"/>
      <c r="AH390" s="21" t="n"/>
      <c r="AL390" s="22" t="n"/>
      <c r="AM390" s="125" t="n"/>
      <c r="AN390" s="21" t="n"/>
      <c r="AR390" s="22" t="n"/>
      <c r="AS390" s="125" t="n"/>
    </row>
    <row r="391" hidden="1" outlineLevel="2">
      <c r="A391" s="8" t="n"/>
      <c r="B391" s="14" t="n"/>
      <c r="C391" s="125" t="n"/>
      <c r="D391" s="125" t="n"/>
      <c r="E391" s="125" t="n"/>
      <c r="F391" s="125" t="n"/>
      <c r="G391" s="125" t="n"/>
      <c r="I391" s="23" t="n"/>
      <c r="J391" s="24" t="n"/>
      <c r="K391" s="24" t="n"/>
      <c r="L391" s="24" t="n"/>
      <c r="M391" s="25" t="n"/>
      <c r="N391" s="125" t="n"/>
      <c r="O391" s="23" t="n"/>
      <c r="P391" s="24" t="n"/>
      <c r="Q391" s="24" t="n"/>
      <c r="R391" s="24" t="n"/>
      <c r="S391" s="25" t="n"/>
      <c r="T391" s="125" t="n"/>
      <c r="U391" s="23" t="n"/>
      <c r="V391" s="24" t="n"/>
      <c r="W391" s="24" t="n"/>
      <c r="X391" s="24" t="n"/>
      <c r="Y391" s="25" t="n"/>
      <c r="Z391" s="125" t="n"/>
      <c r="AB391" s="23" t="n"/>
      <c r="AC391" s="24" t="n"/>
      <c r="AD391" s="24" t="n"/>
      <c r="AE391" s="24" t="n"/>
      <c r="AF391" s="25" t="n"/>
      <c r="AG391" s="125" t="n"/>
      <c r="AH391" s="23" t="n"/>
      <c r="AI391" s="24" t="n"/>
      <c r="AJ391" s="24" t="n"/>
      <c r="AK391" s="24" t="n"/>
      <c r="AL391" s="25" t="n"/>
      <c r="AM391" s="125" t="n"/>
      <c r="AN391" s="23" t="n"/>
      <c r="AO391" s="24" t="n"/>
      <c r="AP391" s="24" t="n"/>
      <c r="AQ391" s="24" t="n"/>
      <c r="AR391" s="25" t="n"/>
      <c r="AS391" s="125" t="n"/>
    </row>
    <row r="392" hidden="1" outlineLevel="2">
      <c r="A392" s="8" t="n"/>
      <c r="B392" s="14" t="n"/>
      <c r="C392" s="125" t="n"/>
      <c r="D392" s="125" t="n"/>
      <c r="E392" s="125" t="n"/>
      <c r="F392" s="125" t="n"/>
      <c r="G392" s="125" t="n"/>
      <c r="I392" s="68">
        <f>DADOS_INVOC!$JA$3</f>
        <v/>
      </c>
      <c r="J392" s="16" t="n"/>
      <c r="K392" s="16" t="n"/>
      <c r="L392" s="16" t="n"/>
      <c r="M392" s="17" t="n"/>
      <c r="N392" s="125" t="n"/>
      <c r="O392" s="68">
        <f>DADOS_INVOC!$JB$3</f>
        <v/>
      </c>
      <c r="P392" s="16" t="n"/>
      <c r="Q392" s="16" t="n"/>
      <c r="R392" s="16" t="n"/>
      <c r="S392" s="17" t="n"/>
      <c r="T392" s="125" t="n"/>
      <c r="U392" s="68">
        <f>DADOS_INVOC!$JC$3</f>
        <v/>
      </c>
      <c r="V392" s="16" t="n"/>
      <c r="W392" s="16" t="n"/>
      <c r="X392" s="16" t="n"/>
      <c r="Y392" s="17" t="n"/>
      <c r="Z392" s="125" t="n"/>
      <c r="AB392" s="68">
        <f>DADOS_INVOC!$JA$9</f>
        <v/>
      </c>
      <c r="AC392" s="16" t="n"/>
      <c r="AD392" s="16" t="n"/>
      <c r="AE392" s="16" t="n"/>
      <c r="AF392" s="17" t="n"/>
      <c r="AG392" s="125" t="n"/>
      <c r="AH392" s="68">
        <f>DADOS_INVOC!$JB$9</f>
        <v/>
      </c>
      <c r="AI392" s="16" t="n"/>
      <c r="AJ392" s="16" t="n"/>
      <c r="AK392" s="16" t="n"/>
      <c r="AL392" s="17" t="n"/>
      <c r="AM392" s="125" t="n"/>
      <c r="AN392" s="68">
        <f>DADOS_INVOC!$JC$9</f>
        <v/>
      </c>
      <c r="AO392" s="16" t="n"/>
      <c r="AP392" s="16" t="n"/>
      <c r="AQ392" s="16" t="n"/>
      <c r="AR392" s="17" t="n"/>
      <c r="AS392" s="125" t="n"/>
    </row>
    <row r="393" hidden="1" outlineLevel="2">
      <c r="A393" s="8" t="n"/>
      <c r="B393" s="14" t="n"/>
      <c r="C393" s="125" t="n"/>
      <c r="D393" s="125" t="n"/>
      <c r="E393" s="125" t="n"/>
      <c r="F393" s="125" t="n"/>
      <c r="G393" s="125" t="n"/>
      <c r="I393" s="89" t="inlineStr">
        <is>
          <t>Sua Ação Completa + a básica dela</t>
        </is>
      </c>
      <c r="J393" s="16" t="n"/>
      <c r="K393" s="16" t="n"/>
      <c r="L393" s="16" t="n"/>
      <c r="M393" s="17" t="n"/>
      <c r="N393" s="125" t="n"/>
      <c r="O393" s="89" t="inlineStr">
        <is>
          <t>Sua Ação Completa + a básica dela</t>
        </is>
      </c>
      <c r="P393" s="16" t="n"/>
      <c r="Q393" s="16" t="n"/>
      <c r="R393" s="16" t="n"/>
      <c r="S393" s="17" t="n"/>
      <c r="T393" s="125" t="n"/>
      <c r="U393" s="89" t="inlineStr">
        <is>
          <t>Sua Ação Completa + a básica dela</t>
        </is>
      </c>
      <c r="V393" s="16" t="n"/>
      <c r="W393" s="16" t="n"/>
      <c r="X393" s="16" t="n"/>
      <c r="Y393" s="17" t="n"/>
      <c r="Z393" s="125" t="n"/>
      <c r="AB393" s="89" t="inlineStr">
        <is>
          <t>Sua Ação Completa + a básica dela</t>
        </is>
      </c>
      <c r="AC393" s="16" t="n"/>
      <c r="AD393" s="16" t="n"/>
      <c r="AE393" s="16" t="n"/>
      <c r="AF393" s="17" t="n"/>
      <c r="AG393" s="125" t="n"/>
      <c r="AH393" s="89" t="inlineStr">
        <is>
          <t>Sua Ação Completa + a básica dela</t>
        </is>
      </c>
      <c r="AI393" s="16" t="n"/>
      <c r="AJ393" s="16" t="n"/>
      <c r="AK393" s="16" t="n"/>
      <c r="AL393" s="17" t="n"/>
      <c r="AM393" s="125" t="n"/>
      <c r="AN393" s="89" t="inlineStr">
        <is>
          <t>Sua Ação Completa + a básica dela</t>
        </is>
      </c>
      <c r="AO393" s="16" t="n"/>
      <c r="AP393" s="16" t="n"/>
      <c r="AQ393" s="16" t="n"/>
      <c r="AR393" s="17" t="n"/>
      <c r="AS393" s="125" t="n"/>
    </row>
    <row r="394" hidden="1" outlineLevel="2">
      <c r="A394" s="8" t="n"/>
      <c r="B394" s="14" t="n"/>
      <c r="C394" s="125" t="n"/>
      <c r="D394" s="125" t="n"/>
      <c r="E394" s="125" t="n"/>
      <c r="F394" s="125" t="n"/>
      <c r="G394" s="125" t="n"/>
      <c r="I394" s="125" t="n"/>
      <c r="J394" s="125" t="n"/>
      <c r="K394" s="125" t="n"/>
      <c r="L394" s="125" t="n"/>
      <c r="M394" s="125" t="n"/>
      <c r="N394" s="125" t="n"/>
      <c r="O394" s="125" t="n"/>
      <c r="P394" s="125" t="n"/>
      <c r="Q394" s="125" t="n"/>
      <c r="R394" s="125" t="n"/>
      <c r="S394" s="125" t="n"/>
      <c r="T394" s="125" t="n"/>
      <c r="U394" s="125" t="n"/>
      <c r="V394" s="125" t="n"/>
      <c r="W394" s="125" t="n"/>
      <c r="X394" s="125" t="n"/>
      <c r="Y394" s="125" t="n"/>
      <c r="Z394" s="125" t="n"/>
      <c r="AB394" s="125" t="n"/>
      <c r="AC394" s="125" t="n"/>
      <c r="AD394" s="125" t="n"/>
      <c r="AE394" s="125" t="n"/>
      <c r="AF394" s="125" t="n"/>
      <c r="AG394" s="125" t="n"/>
      <c r="AH394" s="125" t="n"/>
      <c r="AI394" s="125" t="n"/>
      <c r="AJ394" s="125" t="n"/>
      <c r="AK394" s="125" t="n"/>
      <c r="AL394" s="125" t="n"/>
      <c r="AM394" s="125" t="n"/>
      <c r="AN394" s="125" t="n"/>
      <c r="AO394" s="125" t="n"/>
      <c r="AP394" s="125" t="n"/>
      <c r="AQ394" s="125" t="n"/>
      <c r="AR394" s="125" t="n"/>
      <c r="AS394" s="125" t="n"/>
    </row>
    <row r="395" hidden="1" outlineLevel="2">
      <c r="A395" s="8" t="n"/>
      <c r="B395" s="14" t="n"/>
      <c r="C395" s="125" t="n"/>
      <c r="D395" s="125" t="n"/>
      <c r="E395" s="125" t="n"/>
      <c r="F395" s="125" t="n"/>
      <c r="G395" s="125" t="n"/>
      <c r="I395" s="55" t="inlineStr">
        <is>
          <t>TÉCNICA MÁXIMA</t>
        </is>
      </c>
      <c r="J395" s="16" t="n"/>
      <c r="K395" s="16" t="n"/>
      <c r="L395" s="16" t="n"/>
      <c r="M395" s="17" t="n"/>
      <c r="N395" s="125" t="n"/>
      <c r="O395" s="55" t="inlineStr">
        <is>
          <t>EXPANSÃO DE DOMÍNIO</t>
        </is>
      </c>
      <c r="P395" s="16" t="n"/>
      <c r="Q395" s="16" t="n"/>
      <c r="R395" s="16" t="n"/>
      <c r="S395" s="17" t="n"/>
      <c r="T395" s="125" t="n"/>
      <c r="U395" s="125" t="n"/>
      <c r="V395" s="125" t="n"/>
      <c r="W395" s="125" t="n"/>
      <c r="X395" s="125" t="n"/>
      <c r="Y395" s="125" t="n"/>
      <c r="Z395" s="125" t="n"/>
      <c r="AB395" s="55" t="inlineStr">
        <is>
          <t>TÉCNICA MÁXIMA</t>
        </is>
      </c>
      <c r="AC395" s="16" t="n"/>
      <c r="AD395" s="16" t="n"/>
      <c r="AE395" s="16" t="n"/>
      <c r="AF395" s="17" t="n"/>
      <c r="AG395" s="125" t="n"/>
      <c r="AH395" s="55" t="inlineStr">
        <is>
          <t>EXPANSÃO DE DOMÍNIO</t>
        </is>
      </c>
      <c r="AI395" s="16" t="n"/>
      <c r="AJ395" s="16" t="n"/>
      <c r="AK395" s="16" t="n"/>
      <c r="AL395" s="17" t="n"/>
      <c r="AM395" s="125" t="n"/>
      <c r="AN395" s="125" t="n"/>
      <c r="AO395" s="125" t="n"/>
      <c r="AP395" s="125" t="n"/>
      <c r="AQ395" s="125" t="n"/>
      <c r="AR395" s="125" t="n"/>
      <c r="AS395" s="125" t="n"/>
    </row>
    <row r="396" hidden="1" outlineLevel="2">
      <c r="A396" s="8" t="n"/>
      <c r="B396" s="14" t="n"/>
      <c r="C396" s="125" t="n"/>
      <c r="D396" s="125" t="n"/>
      <c r="E396" s="125" t="n"/>
      <c r="F396" s="125" t="n"/>
      <c r="G396" s="125" t="n"/>
      <c r="I396" s="120" t="n"/>
      <c r="J396" s="16" t="n"/>
      <c r="K396" s="16" t="n"/>
      <c r="L396" s="17" t="n"/>
      <c r="M396" s="132">
        <f>DADOS_INVOC!$JD$3</f>
        <v/>
      </c>
      <c r="N396" s="125" t="n"/>
      <c r="O396" s="120" t="n"/>
      <c r="P396" s="16" t="n"/>
      <c r="Q396" s="16" t="n"/>
      <c r="R396" s="17" t="n"/>
      <c r="S396" s="132">
        <f>DADOS_INVOC!$JF$3</f>
        <v/>
      </c>
      <c r="T396" s="125" t="n"/>
      <c r="U396" s="125" t="n"/>
      <c r="V396" s="125" t="n"/>
      <c r="W396" s="125" t="n"/>
      <c r="X396" s="125" t="n"/>
      <c r="Y396" s="125" t="n"/>
      <c r="Z396" s="125" t="n"/>
      <c r="AB396" s="120" t="n"/>
      <c r="AC396" s="16" t="n"/>
      <c r="AD396" s="16" t="n"/>
      <c r="AE396" s="17" t="n"/>
      <c r="AF396" s="132">
        <f>DADOS_INVOC!$JD$9</f>
        <v/>
      </c>
      <c r="AG396" s="125" t="n"/>
      <c r="AH396" s="120" t="n"/>
      <c r="AI396" s="16" t="n"/>
      <c r="AJ396" s="16" t="n"/>
      <c r="AK396" s="17" t="n"/>
      <c r="AL396" s="132">
        <f>DADOS_INVOC!$JF$9</f>
        <v/>
      </c>
      <c r="AM396" s="125" t="n"/>
      <c r="AN396" s="125" t="n"/>
      <c r="AO396" s="125" t="n"/>
      <c r="AP396" s="125" t="n"/>
      <c r="AQ396" s="125" t="n"/>
      <c r="AR396" s="125" t="n"/>
      <c r="AS396" s="125" t="n"/>
    </row>
    <row r="397" hidden="1" outlineLevel="2">
      <c r="A397" s="8" t="n"/>
      <c r="B397" s="14" t="n"/>
      <c r="C397" s="125" t="n"/>
      <c r="D397" s="125" t="n"/>
      <c r="E397" s="125" t="n"/>
      <c r="F397" s="125" t="n"/>
      <c r="G397" s="125" t="n"/>
      <c r="I397" s="121" t="n"/>
      <c r="J397" s="19" t="n"/>
      <c r="K397" s="19" t="n"/>
      <c r="L397" s="19" t="n"/>
      <c r="M397" s="20" t="n"/>
      <c r="N397" s="125" t="n"/>
      <c r="O397" s="121" t="n"/>
      <c r="P397" s="19" t="n"/>
      <c r="Q397" s="19" t="n"/>
      <c r="R397" s="19" t="n"/>
      <c r="S397" s="20" t="n"/>
      <c r="T397" s="125" t="n"/>
      <c r="U397" s="125" t="n"/>
      <c r="V397" s="125" t="n"/>
      <c r="W397" s="125" t="n"/>
      <c r="X397" s="125" t="n"/>
      <c r="Y397" s="125" t="n"/>
      <c r="Z397" s="125" t="n"/>
      <c r="AB397" s="121" t="n"/>
      <c r="AC397" s="19" t="n"/>
      <c r="AD397" s="19" t="n"/>
      <c r="AE397" s="19" t="n"/>
      <c r="AF397" s="20" t="n"/>
      <c r="AG397" s="125" t="n"/>
      <c r="AH397" s="121" t="n"/>
      <c r="AI397" s="19" t="n"/>
      <c r="AJ397" s="19" t="n"/>
      <c r="AK397" s="19" t="n"/>
      <c r="AL397" s="20" t="n"/>
      <c r="AM397" s="125" t="n"/>
      <c r="AN397" s="125" t="n"/>
      <c r="AO397" s="125" t="n"/>
      <c r="AP397" s="125" t="n"/>
      <c r="AQ397" s="125" t="n"/>
      <c r="AR397" s="125" t="n"/>
      <c r="AS397" s="125" t="n"/>
    </row>
    <row r="398" hidden="1" outlineLevel="2">
      <c r="A398" s="8" t="n"/>
      <c r="B398" s="14" t="n"/>
      <c r="C398" s="125" t="n"/>
      <c r="D398" s="125" t="n"/>
      <c r="E398" s="125" t="n"/>
      <c r="F398" s="125" t="n"/>
      <c r="G398" s="125" t="n"/>
      <c r="I398" s="21" t="n"/>
      <c r="M398" s="22" t="n"/>
      <c r="N398" s="125" t="n"/>
      <c r="O398" s="21" t="n"/>
      <c r="S398" s="22" t="n"/>
      <c r="T398" s="125" t="n"/>
      <c r="U398" s="125" t="n"/>
      <c r="V398" s="125" t="n"/>
      <c r="W398" s="125" t="n"/>
      <c r="X398" s="125" t="n"/>
      <c r="Y398" s="125" t="n"/>
      <c r="Z398" s="125" t="n"/>
      <c r="AB398" s="21" t="n"/>
      <c r="AF398" s="22" t="n"/>
      <c r="AG398" s="125" t="n"/>
      <c r="AH398" s="21" t="n"/>
      <c r="AL398" s="22" t="n"/>
      <c r="AM398" s="125" t="n"/>
      <c r="AN398" s="125" t="n"/>
      <c r="AO398" s="125" t="n"/>
      <c r="AP398" s="125" t="n"/>
      <c r="AQ398" s="125" t="n"/>
      <c r="AR398" s="125" t="n"/>
      <c r="AS398" s="125" t="n"/>
    </row>
    <row r="399" hidden="1" outlineLevel="2">
      <c r="A399" s="8" t="n"/>
      <c r="B399" s="14" t="n"/>
      <c r="C399" s="125" t="n"/>
      <c r="D399" s="125" t="n"/>
      <c r="E399" s="125" t="n"/>
      <c r="F399" s="125" t="n"/>
      <c r="G399" s="125" t="n"/>
      <c r="I399" s="21" t="n"/>
      <c r="M399" s="22" t="n"/>
      <c r="N399" s="125" t="n"/>
      <c r="O399" s="21" t="n"/>
      <c r="S399" s="22" t="n"/>
      <c r="T399" s="125" t="n"/>
      <c r="U399" s="125" t="n"/>
      <c r="V399" s="125" t="n"/>
      <c r="W399" s="125" t="n"/>
      <c r="X399" s="125" t="n"/>
      <c r="Y399" s="125" t="n"/>
      <c r="Z399" s="125" t="n"/>
      <c r="AB399" s="21" t="n"/>
      <c r="AF399" s="22" t="n"/>
      <c r="AG399" s="125" t="n"/>
      <c r="AH399" s="21" t="n"/>
      <c r="AL399" s="22" t="n"/>
      <c r="AM399" s="125" t="n"/>
      <c r="AN399" s="125" t="n"/>
      <c r="AO399" s="125" t="n"/>
      <c r="AP399" s="125" t="n"/>
      <c r="AQ399" s="125" t="n"/>
      <c r="AR399" s="125" t="n"/>
      <c r="AS399" s="125" t="n"/>
    </row>
    <row r="400" hidden="1" outlineLevel="2">
      <c r="A400" s="8" t="n"/>
      <c r="B400" s="14" t="n"/>
      <c r="C400" s="125" t="n"/>
      <c r="D400" s="125" t="n"/>
      <c r="E400" s="125" t="n"/>
      <c r="F400" s="125" t="n"/>
      <c r="G400" s="125" t="n"/>
      <c r="I400" s="23" t="n"/>
      <c r="J400" s="24" t="n"/>
      <c r="K400" s="24" t="n"/>
      <c r="L400" s="24" t="n"/>
      <c r="M400" s="25" t="n"/>
      <c r="N400" s="125" t="n"/>
      <c r="O400" s="23" t="n"/>
      <c r="P400" s="24" t="n"/>
      <c r="Q400" s="24" t="n"/>
      <c r="R400" s="24" t="n"/>
      <c r="S400" s="25" t="n"/>
      <c r="T400" s="125" t="n"/>
      <c r="U400" s="125" t="n"/>
      <c r="V400" s="125" t="n"/>
      <c r="W400" s="125" t="n"/>
      <c r="X400" s="125" t="n"/>
      <c r="Y400" s="125" t="n"/>
      <c r="Z400" s="125" t="n"/>
      <c r="AB400" s="23" t="n"/>
      <c r="AC400" s="24" t="n"/>
      <c r="AD400" s="24" t="n"/>
      <c r="AE400" s="24" t="n"/>
      <c r="AF400" s="25" t="n"/>
      <c r="AG400" s="125" t="n"/>
      <c r="AH400" s="23" t="n"/>
      <c r="AI400" s="24" t="n"/>
      <c r="AJ400" s="24" t="n"/>
      <c r="AK400" s="24" t="n"/>
      <c r="AL400" s="25" t="n"/>
      <c r="AM400" s="125" t="n"/>
      <c r="AN400" s="125" t="n"/>
      <c r="AO400" s="125" t="n"/>
      <c r="AP400" s="125" t="n"/>
      <c r="AQ400" s="125" t="n"/>
      <c r="AR400" s="125" t="n"/>
      <c r="AS400" s="125" t="n"/>
    </row>
    <row r="401" hidden="1" outlineLevel="2">
      <c r="A401" s="8" t="n"/>
      <c r="B401" s="14" t="n"/>
      <c r="C401" s="125" t="n"/>
      <c r="D401" s="125" t="n"/>
      <c r="E401" s="125" t="n"/>
      <c r="F401" s="125" t="n"/>
      <c r="G401" s="125" t="n"/>
      <c r="I401" s="68">
        <f>DADOS_INVOC!$JE$3</f>
        <v/>
      </c>
      <c r="J401" s="16" t="n"/>
      <c r="K401" s="16" t="n"/>
      <c r="L401" s="16" t="n"/>
      <c r="M401" s="17" t="n"/>
      <c r="N401" s="125" t="n"/>
      <c r="O401" s="89" t="n"/>
      <c r="P401" s="17" t="n"/>
      <c r="Q401" s="68">
        <f>DADOS_INVOC!$JG$3</f>
        <v/>
      </c>
      <c r="R401" s="16" t="n"/>
      <c r="S401" s="17" t="n"/>
      <c r="T401" s="125" t="n"/>
      <c r="U401" s="125" t="n"/>
      <c r="V401" s="125" t="n"/>
      <c r="W401" s="125" t="n"/>
      <c r="X401" s="125" t="n"/>
      <c r="Y401" s="125" t="n"/>
      <c r="Z401" s="125" t="n"/>
      <c r="AB401" s="68">
        <f>DADOS_INVOC!$JE$9</f>
        <v/>
      </c>
      <c r="AC401" s="16" t="n"/>
      <c r="AD401" s="16" t="n"/>
      <c r="AE401" s="16" t="n"/>
      <c r="AF401" s="17" t="n"/>
      <c r="AG401" s="125" t="n"/>
      <c r="AH401" s="89" t="n"/>
      <c r="AI401" s="17" t="n"/>
      <c r="AJ401" s="68">
        <f>DADOS_INVOC!$JG$9</f>
        <v/>
      </c>
      <c r="AK401" s="16" t="n"/>
      <c r="AL401" s="17" t="n"/>
      <c r="AM401" s="125" t="n"/>
      <c r="AN401" s="125" t="n"/>
      <c r="AO401" s="125" t="n"/>
      <c r="AP401" s="125" t="n"/>
      <c r="AQ401" s="125" t="n"/>
      <c r="AR401" s="125" t="n"/>
      <c r="AS401" s="125" t="n"/>
    </row>
    <row r="402" hidden="1" outlineLevel="2">
      <c r="A402" s="8" t="n"/>
      <c r="B402" s="14" t="n"/>
      <c r="C402" s="125" t="n"/>
      <c r="D402" s="125" t="n"/>
      <c r="E402" s="125" t="n"/>
      <c r="F402" s="125" t="n"/>
      <c r="G402" s="125" t="n"/>
      <c r="I402" s="89" t="inlineStr">
        <is>
          <t>Sua Ação Completa + a básica dela</t>
        </is>
      </c>
      <c r="J402" s="16" t="n"/>
      <c r="K402" s="16" t="n"/>
      <c r="L402" s="16" t="n"/>
      <c r="M402" s="17" t="n"/>
      <c r="N402" s="125" t="n"/>
      <c r="O402" s="133">
        <f>DADOS_INVOC!$JH$3</f>
        <v/>
      </c>
      <c r="P402" s="16" t="n"/>
      <c r="Q402" s="16" t="n"/>
      <c r="R402" s="16" t="n"/>
      <c r="S402" s="17" t="n"/>
      <c r="T402" s="125" t="n"/>
      <c r="U402" s="125" t="n"/>
      <c r="V402" s="125" t="n"/>
      <c r="W402" s="125" t="n"/>
      <c r="X402" s="125" t="n"/>
      <c r="Y402" s="125" t="n"/>
      <c r="Z402" s="125" t="n"/>
      <c r="AB402" s="89" t="inlineStr">
        <is>
          <t>Sua Ação Completa + a básica dela</t>
        </is>
      </c>
      <c r="AC402" s="16" t="n"/>
      <c r="AD402" s="16" t="n"/>
      <c r="AE402" s="16" t="n"/>
      <c r="AF402" s="17" t="n"/>
      <c r="AG402" s="125" t="n"/>
      <c r="AH402" s="133">
        <f>DADOS_INVOC!$JH$9</f>
        <v/>
      </c>
      <c r="AI402" s="16" t="n"/>
      <c r="AJ402" s="16" t="n"/>
      <c r="AK402" s="16" t="n"/>
      <c r="AL402" s="17" t="n"/>
      <c r="AM402" s="125" t="n"/>
      <c r="AN402" s="125" t="n"/>
      <c r="AO402" s="125" t="n"/>
      <c r="AP402" s="125" t="n"/>
      <c r="AQ402" s="125" t="n"/>
      <c r="AR402" s="125" t="n"/>
      <c r="AS402" s="125" t="n"/>
    </row>
    <row r="403">
      <c r="A403" s="8" t="n"/>
      <c r="B403" s="14" t="n"/>
      <c r="C403" s="125" t="n"/>
      <c r="D403" s="125" t="n"/>
      <c r="E403" s="125" t="n"/>
      <c r="F403" s="125" t="n"/>
      <c r="G403" s="125" t="n"/>
      <c r="H403" s="125" t="n"/>
      <c r="I403" s="125" t="n"/>
      <c r="J403" s="125" t="n"/>
      <c r="K403" s="125" t="n"/>
      <c r="L403" s="125" t="n"/>
      <c r="M403" s="125" t="n"/>
      <c r="N403" s="125" t="n"/>
      <c r="O403" s="125" t="n"/>
      <c r="P403" s="125" t="n"/>
      <c r="Q403" s="125" t="n"/>
      <c r="R403" s="125" t="n"/>
      <c r="S403" s="125" t="n"/>
      <c r="T403" s="125" t="n"/>
      <c r="U403" s="125" t="n"/>
      <c r="V403" s="125" t="n"/>
      <c r="W403" s="125" t="n"/>
      <c r="X403" s="125" t="n"/>
      <c r="Y403" s="125" t="n"/>
      <c r="Z403" s="125" t="n"/>
      <c r="AA403" s="125" t="n"/>
      <c r="AB403" s="125" t="n"/>
      <c r="AC403" s="125" t="n"/>
      <c r="AD403" s="125" t="n"/>
      <c r="AE403" s="125" t="n"/>
      <c r="AF403" s="125" t="n"/>
      <c r="AG403" s="125" t="n"/>
      <c r="AH403" s="125" t="n"/>
      <c r="AI403" s="125" t="n"/>
      <c r="AJ403" s="125" t="n"/>
      <c r="AK403" s="125" t="n"/>
      <c r="AL403" s="125" t="n"/>
      <c r="AM403" s="125" t="n"/>
      <c r="AN403" s="125" t="n"/>
      <c r="AO403" s="125" t="n"/>
      <c r="AP403" s="125" t="n"/>
      <c r="AQ403" s="125" t="n"/>
      <c r="AR403" s="125" t="n"/>
      <c r="AS403" s="125" t="n"/>
    </row>
    <row r="404">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c r="V404" s="125" t="n"/>
      <c r="W404" s="125" t="n"/>
      <c r="X404" s="125" t="n"/>
      <c r="Y404" s="125" t="n"/>
      <c r="Z404" s="125" t="n"/>
      <c r="AA404" s="125" t="n"/>
      <c r="AB404" s="125" t="n"/>
      <c r="AC404" s="125" t="n"/>
      <c r="AD404" s="125" t="n"/>
      <c r="AE404" s="125" t="n"/>
      <c r="AF404" s="125" t="n"/>
      <c r="AG404" s="125" t="n"/>
      <c r="AH404" s="125" t="n"/>
      <c r="AI404" s="125" t="n"/>
      <c r="AJ404" s="125" t="n"/>
      <c r="AK404" s="125" t="n"/>
      <c r="AL404" s="125" t="n"/>
      <c r="AM404" s="125" t="n"/>
      <c r="AN404" s="125" t="n"/>
      <c r="AO404" s="125" t="n"/>
      <c r="AP404" s="125" t="n"/>
      <c r="AQ404" s="125" t="n"/>
      <c r="AR404" s="125" t="n"/>
      <c r="AS404" s="125" t="n"/>
    </row>
    <row r="405">
      <c r="A405" s="8" t="n"/>
      <c r="B405" s="14" t="n"/>
      <c r="C405" s="125" t="n"/>
      <c r="D405" s="125" t="n"/>
      <c r="E405" s="125" t="n"/>
      <c r="F405" s="125" t="n"/>
      <c r="G405" s="125" t="n"/>
      <c r="H405" s="142" t="n">
        <v>3</v>
      </c>
      <c r="I405" s="143" t="n">
        <v>3</v>
      </c>
      <c r="J405" s="128">
        <f>DADOS_INVOC!$HE$4</f>
        <v/>
      </c>
      <c r="K405" s="19" t="n"/>
      <c r="L405" s="19" t="n"/>
      <c r="M405" s="19" t="n"/>
      <c r="N405" s="19" t="n"/>
      <c r="O405" s="19" t="n"/>
      <c r="P405" s="19" t="n"/>
      <c r="Q405" s="19" t="n"/>
      <c r="R405" s="19" t="n"/>
      <c r="S405" s="19" t="n"/>
      <c r="T405" s="19" t="n"/>
      <c r="U405" s="19" t="n"/>
      <c r="V405" s="19" t="n"/>
      <c r="W405" s="19" t="n"/>
      <c r="X405" s="19" t="n"/>
      <c r="Y405" s="20" t="n"/>
      <c r="Z405" s="125" t="n"/>
      <c r="AA405" s="142" t="n">
        <v>9</v>
      </c>
      <c r="AB405" s="143" t="n">
        <v>9</v>
      </c>
      <c r="AC405" s="128">
        <f>DADOS_INVOC!$HE$10</f>
        <v/>
      </c>
      <c r="AD405" s="19" t="n"/>
      <c r="AE405" s="19" t="n"/>
      <c r="AF405" s="19" t="n"/>
      <c r="AG405" s="19" t="n"/>
      <c r="AH405" s="19" t="n"/>
      <c r="AI405" s="19" t="n"/>
      <c r="AJ405" s="19" t="n"/>
      <c r="AK405" s="19" t="n"/>
      <c r="AL405" s="19" t="n"/>
      <c r="AM405" s="19" t="n"/>
      <c r="AN405" s="19" t="n"/>
      <c r="AO405" s="19" t="n"/>
      <c r="AP405" s="19" t="n"/>
      <c r="AQ405" s="19" t="n"/>
      <c r="AR405" s="20" t="n"/>
      <c r="AS405" s="125" t="n"/>
    </row>
    <row r="406">
      <c r="A406" s="8" t="n"/>
      <c r="B406" s="14" t="n"/>
      <c r="C406" s="125" t="n"/>
      <c r="D406" s="125" t="n"/>
      <c r="E406" s="125" t="n"/>
      <c r="F406" s="125" t="n"/>
      <c r="G406" s="125" t="n"/>
      <c r="I406" s="129" t="n"/>
      <c r="J406" s="23" t="n"/>
      <c r="K406" s="24" t="n"/>
      <c r="L406" s="24" t="n"/>
      <c r="M406" s="24" t="n"/>
      <c r="N406" s="24" t="n"/>
      <c r="O406" s="24" t="n"/>
      <c r="P406" s="24" t="n"/>
      <c r="Q406" s="24" t="n"/>
      <c r="R406" s="24" t="n"/>
      <c r="S406" s="24" t="n"/>
      <c r="T406" s="24" t="n"/>
      <c r="U406" s="24" t="n"/>
      <c r="V406" s="24" t="n"/>
      <c r="W406" s="24" t="n"/>
      <c r="X406" s="24" t="n"/>
      <c r="Y406" s="25" t="n"/>
      <c r="Z406" s="125" t="n"/>
      <c r="AB406" s="129" t="n"/>
      <c r="AC406" s="23" t="n"/>
      <c r="AD406" s="24" t="n"/>
      <c r="AE406" s="24" t="n"/>
      <c r="AF406" s="24" t="n"/>
      <c r="AG406" s="24" t="n"/>
      <c r="AH406" s="24" t="n"/>
      <c r="AI406" s="24" t="n"/>
      <c r="AJ406" s="24" t="n"/>
      <c r="AK406" s="24" t="n"/>
      <c r="AL406" s="24" t="n"/>
      <c r="AM406" s="24" t="n"/>
      <c r="AN406" s="24" t="n"/>
      <c r="AO406" s="24" t="n"/>
      <c r="AP406" s="24" t="n"/>
      <c r="AQ406" s="24" t="n"/>
      <c r="AR406" s="25" t="n"/>
      <c r="AS406" s="125" t="n"/>
    </row>
    <row r="407" hidden="1" outlineLevel="1">
      <c r="A407" s="8" t="n"/>
      <c r="B407" s="14" t="n"/>
      <c r="C407" s="125" t="n"/>
      <c r="D407" s="125" t="n"/>
      <c r="E407" s="125" t="n"/>
      <c r="F407" s="125" t="n"/>
      <c r="G407" s="125" t="n"/>
      <c r="H407" s="144">
        <f>DADOS_INVOC!$HF$4</f>
        <v/>
      </c>
      <c r="I407" s="125" t="n"/>
      <c r="J407" s="125" t="n"/>
      <c r="K407" s="125" t="n"/>
      <c r="L407" s="125" t="n"/>
      <c r="M407" s="125" t="n"/>
      <c r="N407" s="125" t="n"/>
      <c r="O407" s="125" t="n"/>
      <c r="P407" s="125" t="n"/>
      <c r="Q407" s="125" t="n"/>
      <c r="R407" s="125" t="n"/>
      <c r="S407" s="125" t="n"/>
      <c r="T407" s="125" t="n"/>
      <c r="U407" s="125" t="n"/>
      <c r="V407" s="125" t="n"/>
      <c r="W407" s="125" t="n"/>
      <c r="X407" s="125" t="n"/>
      <c r="Y407" s="125" t="n"/>
      <c r="Z407" s="125" t="n"/>
      <c r="AA407" s="144">
        <f>DADOS_INVOC!$HF$10</f>
        <v/>
      </c>
      <c r="AB407" s="125" t="n"/>
      <c r="AC407" s="125" t="n"/>
      <c r="AD407" s="125" t="n"/>
      <c r="AE407" s="125" t="n"/>
      <c r="AF407" s="125" t="n"/>
      <c r="AG407" s="125" t="n"/>
      <c r="AH407" s="125" t="n"/>
      <c r="AI407" s="125" t="n"/>
      <c r="AJ407" s="125" t="n"/>
      <c r="AK407" s="125" t="n"/>
      <c r="AL407" s="125" t="n"/>
      <c r="AM407" s="125" t="n"/>
      <c r="AN407" s="125" t="n"/>
      <c r="AO407" s="125" t="n"/>
      <c r="AP407" s="125" t="n"/>
      <c r="AQ407" s="125" t="n"/>
      <c r="AR407" s="125" t="n"/>
      <c r="AS407" s="125" t="n"/>
    </row>
    <row r="408" hidden="1" outlineLevel="1">
      <c r="A408" s="8" t="n"/>
      <c r="B408" s="14" t="n"/>
      <c r="C408" s="125" t="n"/>
      <c r="D408" s="125" t="n"/>
      <c r="E408" s="125" t="n"/>
      <c r="F408" s="125" t="n"/>
      <c r="G408" s="125" t="n"/>
      <c r="I408" s="55" t="inlineStr">
        <is>
          <t>NOME</t>
        </is>
      </c>
      <c r="J408" s="16" t="n"/>
      <c r="K408" s="16" t="n"/>
      <c r="L408" s="16" t="n"/>
      <c r="M408" s="17" t="n"/>
      <c r="N408" s="125" t="n"/>
      <c r="O408" s="55" t="inlineStr">
        <is>
          <t>NÍVEL</t>
        </is>
      </c>
      <c r="P408" s="55" t="inlineStr">
        <is>
          <t>CLASSE</t>
        </is>
      </c>
      <c r="Q408" s="55" t="inlineStr">
        <is>
          <t>MAESTRIA</t>
        </is>
      </c>
      <c r="R408" s="55" t="inlineStr">
        <is>
          <t>ENTRADA</t>
        </is>
      </c>
      <c r="S408" s="55" t="inlineStr">
        <is>
          <t>RETORNO</t>
        </is>
      </c>
      <c r="T408" s="125" t="n"/>
      <c r="U408" s="55" t="inlineStr">
        <is>
          <t>VIDA ATUAL</t>
        </is>
      </c>
      <c r="V408" s="55" t="inlineStr">
        <is>
          <t>VIDA MÁXIMA</t>
        </is>
      </c>
      <c r="W408" s="55" t="inlineStr">
        <is>
          <t>TEMPORÁRIA</t>
        </is>
      </c>
      <c r="X408" s="55" t="inlineStr">
        <is>
          <t>± PERDA / GANHO</t>
        </is>
      </c>
      <c r="Y408" s="55">
        <f>DADOS_INVOC!$HZ$4</f>
        <v/>
      </c>
      <c r="Z408" s="125" t="n"/>
      <c r="AB408" s="55" t="inlineStr">
        <is>
          <t>NOME</t>
        </is>
      </c>
      <c r="AC408" s="16" t="n"/>
      <c r="AD408" s="16" t="n"/>
      <c r="AE408" s="16" t="n"/>
      <c r="AF408" s="17" t="n"/>
      <c r="AG408" s="125" t="n"/>
      <c r="AH408" s="55" t="inlineStr">
        <is>
          <t>NÍVEL</t>
        </is>
      </c>
      <c r="AI408" s="55" t="inlineStr">
        <is>
          <t>CLASSE</t>
        </is>
      </c>
      <c r="AJ408" s="55" t="inlineStr">
        <is>
          <t>MAESTRIA</t>
        </is>
      </c>
      <c r="AK408" s="55" t="inlineStr">
        <is>
          <t>ENTRADA</t>
        </is>
      </c>
      <c r="AL408" s="55" t="inlineStr">
        <is>
          <t>RETORNO</t>
        </is>
      </c>
      <c r="AM408" s="125" t="n"/>
      <c r="AN408" s="55" t="inlineStr">
        <is>
          <t>VIDA ATUAL</t>
        </is>
      </c>
      <c r="AO408" s="55" t="inlineStr">
        <is>
          <t>VIDA MÁXIMA</t>
        </is>
      </c>
      <c r="AP408" s="55" t="inlineStr">
        <is>
          <t>TEMPORÁRIA</t>
        </is>
      </c>
      <c r="AQ408" s="55" t="inlineStr">
        <is>
          <t>± PERDA / GANHO</t>
        </is>
      </c>
      <c r="AR408" s="55">
        <f>DADOS_INVOC!$HZ$10</f>
        <v/>
      </c>
      <c r="AS408" s="125" t="n"/>
    </row>
    <row r="409" hidden="1" outlineLevel="1">
      <c r="A409" s="8" t="n"/>
      <c r="B409" s="14" t="n"/>
      <c r="C409" s="125" t="n"/>
      <c r="D409" s="125" t="n"/>
      <c r="E409" s="125" t="n"/>
      <c r="F409" s="125" t="n"/>
      <c r="G409" s="125" t="n"/>
      <c r="I409" s="84" t="n"/>
      <c r="J409" s="19" t="n"/>
      <c r="K409" s="19" t="n"/>
      <c r="L409" s="19" t="n"/>
      <c r="M409" s="20" t="n"/>
      <c r="N409" s="125" t="n"/>
      <c r="O409" s="98">
        <f>DADOS_INVOC!$FM$4</f>
        <v/>
      </c>
      <c r="P409" s="98">
        <f>DADOS_INVOC!$FN$4</f>
        <v/>
      </c>
      <c r="Q409" s="98">
        <f>DADOS_INVOC!$HG$4</f>
        <v/>
      </c>
      <c r="R409" s="98">
        <f>DADOS_INVOC!$HH$4</f>
        <v/>
      </c>
      <c r="S409" s="98">
        <f>DADOS_INVOC!$HI$4</f>
        <v/>
      </c>
      <c r="T409" s="125" t="n"/>
      <c r="U409" s="98">
        <f>DADOS_INVOC!$GE$4</f>
        <v/>
      </c>
      <c r="V409" s="98">
        <f>DADOS_INVOC!$GD$4</f>
        <v/>
      </c>
      <c r="W409" s="98" t="n"/>
      <c r="X409" s="98" t="n"/>
      <c r="Y409" s="98" t="n"/>
      <c r="Z409" s="125" t="n"/>
      <c r="AB409" s="84" t="n"/>
      <c r="AC409" s="19" t="n"/>
      <c r="AD409" s="19" t="n"/>
      <c r="AE409" s="19" t="n"/>
      <c r="AF409" s="20" t="n"/>
      <c r="AG409" s="125" t="n"/>
      <c r="AH409" s="98">
        <f>DADOS_INVOC!$FM$10</f>
        <v/>
      </c>
      <c r="AI409" s="98">
        <f>DADOS_INVOC!$FN$10</f>
        <v/>
      </c>
      <c r="AJ409" s="98">
        <f>DADOS_INVOC!$HG$10</f>
        <v/>
      </c>
      <c r="AK409" s="98">
        <f>DADOS_INVOC!$HH$10</f>
        <v/>
      </c>
      <c r="AL409" s="98">
        <f>DADOS_INVOC!$HI$10</f>
        <v/>
      </c>
      <c r="AM409" s="125" t="n"/>
      <c r="AN409" s="98">
        <f>DADOS_INVOC!$GE$10</f>
        <v/>
      </c>
      <c r="AO409" s="98">
        <f>DADOS_INVOC!$GD$10</f>
        <v/>
      </c>
      <c r="AP409" s="98" t="n"/>
      <c r="AQ409" s="98" t="n"/>
      <c r="AR409" s="98" t="n"/>
      <c r="AS409" s="125" t="n"/>
    </row>
    <row r="410" hidden="1" outlineLevel="1">
      <c r="A410" s="8" t="n"/>
      <c r="B410" s="14" t="n"/>
      <c r="C410" s="125" t="n"/>
      <c r="D410" s="125" t="n"/>
      <c r="E410" s="125" t="n"/>
      <c r="F410" s="125" t="n"/>
      <c r="G410" s="125" t="n"/>
      <c r="I410" s="23" t="n"/>
      <c r="J410" s="24" t="n"/>
      <c r="K410" s="24" t="n"/>
      <c r="L410" s="24" t="n"/>
      <c r="M410" s="25" t="n"/>
      <c r="N410" s="125" t="n"/>
      <c r="O410" s="129" t="n"/>
      <c r="P410" s="129" t="n"/>
      <c r="Q410" s="129" t="n"/>
      <c r="R410" s="129" t="n"/>
      <c r="S410" s="129" t="n"/>
      <c r="T410" s="125" t="n"/>
      <c r="U410" s="129" t="n"/>
      <c r="V410" s="129" t="n"/>
      <c r="W410" s="129" t="n"/>
      <c r="X410" s="129" t="n"/>
      <c r="Y410" s="129" t="n"/>
      <c r="Z410" s="125" t="n"/>
      <c r="AB410" s="23" t="n"/>
      <c r="AC410" s="24" t="n"/>
      <c r="AD410" s="24" t="n"/>
      <c r="AE410" s="24" t="n"/>
      <c r="AF410" s="25" t="n"/>
      <c r="AG410" s="125" t="n"/>
      <c r="AH410" s="129" t="n"/>
      <c r="AI410" s="129" t="n"/>
      <c r="AJ410" s="129" t="n"/>
      <c r="AK410" s="129" t="n"/>
      <c r="AL410" s="129" t="n"/>
      <c r="AM410" s="125" t="n"/>
      <c r="AN410" s="129" t="n"/>
      <c r="AO410" s="129" t="n"/>
      <c r="AP410" s="129" t="n"/>
      <c r="AQ410" s="129" t="n"/>
      <c r="AR410" s="129" t="n"/>
      <c r="AS410" s="125" t="n"/>
    </row>
    <row r="411" hidden="1" outlineLevel="1">
      <c r="A411" s="8" t="n"/>
      <c r="B411" s="14" t="n"/>
      <c r="C411" s="125" t="n"/>
      <c r="D411" s="125" t="n"/>
      <c r="E411" s="125" t="n"/>
      <c r="F411" s="125" t="n"/>
      <c r="G411" s="125" t="n"/>
      <c r="I411" s="145" t="inlineStr">
        <is>
          <t>FOTO
式神</t>
        </is>
      </c>
      <c r="J411" s="19" t="n"/>
      <c r="K411" s="19" t="n"/>
      <c r="L411" s="19" t="n"/>
      <c r="M411" s="20" t="n"/>
      <c r="N411" s="125" t="n"/>
      <c r="O411" s="125" t="n"/>
      <c r="P411" s="125" t="n"/>
      <c r="Q411" s="125" t="n"/>
      <c r="R411" s="125" t="n"/>
      <c r="S411" s="125" t="n"/>
      <c r="T411" s="125" t="n"/>
      <c r="U411" s="134">
        <f>IFERROR(SPARKLINE(DADOS_INVOC!$GF$4,{"charttype","bar";"max",MAX(1,DADOS_INVOC!$GD$4);"color1",DADOS_INVOC!$CZ$12}),"")</f>
        <v/>
      </c>
      <c r="V411" s="16" t="n"/>
      <c r="W411" s="16" t="n"/>
      <c r="X411" s="16" t="n"/>
      <c r="Y411" s="17" t="n"/>
      <c r="Z411" s="125" t="n"/>
      <c r="AB411" s="145" t="inlineStr">
        <is>
          <t>FOTO
式神</t>
        </is>
      </c>
      <c r="AC411" s="19" t="n"/>
      <c r="AD411" s="19" t="n"/>
      <c r="AE411" s="19" t="n"/>
      <c r="AF411" s="20" t="n"/>
      <c r="AG411" s="125" t="n"/>
      <c r="AH411" s="125" t="n"/>
      <c r="AI411" s="125" t="n"/>
      <c r="AJ411" s="125" t="n"/>
      <c r="AK411" s="125" t="n"/>
      <c r="AL411" s="125" t="n"/>
      <c r="AM411" s="125" t="n"/>
      <c r="AN411" s="134">
        <f>IFERROR(SPARKLINE(DADOS_INVOC!$GF$10,{"charttype","bar";"max",MAX(1,DADOS_INVOC!$GD$10);"color1",DADOS_INVOC!$CZ$12}),"")</f>
        <v/>
      </c>
      <c r="AO411" s="16" t="n"/>
      <c r="AP411" s="16" t="n"/>
      <c r="AQ411" s="16" t="n"/>
      <c r="AR411" s="17" t="n"/>
      <c r="AS411" s="125" t="n"/>
    </row>
    <row r="412" hidden="1" outlineLevel="1">
      <c r="A412" s="8" t="n"/>
      <c r="B412" s="14" t="n"/>
      <c r="C412" s="125" t="n"/>
      <c r="D412" s="125" t="n"/>
      <c r="E412" s="125" t="n"/>
      <c r="F412" s="125" t="n"/>
      <c r="G412" s="125" t="n"/>
      <c r="I412" s="21" t="n"/>
      <c r="M412" s="22" t="n"/>
      <c r="N412" s="125" t="n"/>
      <c r="O412" s="55">
        <f>DADOS_INVOC!$HJ$4</f>
        <v/>
      </c>
      <c r="P412" s="16" t="n"/>
      <c r="Q412" s="16" t="n"/>
      <c r="R412" s="16" t="n"/>
      <c r="S412" s="17" t="n"/>
      <c r="T412" s="125" t="n"/>
      <c r="U412" s="125" t="n"/>
      <c r="V412" s="125" t="n"/>
      <c r="W412" s="125" t="n"/>
      <c r="X412" s="125" t="n"/>
      <c r="Y412" s="125" t="n"/>
      <c r="Z412" s="125" t="n"/>
      <c r="AB412" s="21" t="n"/>
      <c r="AF412" s="22" t="n"/>
      <c r="AG412" s="125" t="n"/>
      <c r="AH412" s="55">
        <f>DADOS_INVOC!$HJ$10</f>
        <v/>
      </c>
      <c r="AI412" s="16" t="n"/>
      <c r="AJ412" s="16" t="n"/>
      <c r="AK412" s="16" t="n"/>
      <c r="AL412" s="17" t="n"/>
      <c r="AM412" s="125" t="n"/>
      <c r="AN412" s="125" t="n"/>
      <c r="AO412" s="125" t="n"/>
      <c r="AP412" s="125" t="n"/>
      <c r="AQ412" s="125" t="n"/>
      <c r="AR412" s="125" t="n"/>
      <c r="AS412" s="125" t="n"/>
    </row>
    <row r="413" hidden="1" outlineLevel="1">
      <c r="A413" s="8" t="n"/>
      <c r="B413" s="14" t="n"/>
      <c r="C413" s="125" t="n"/>
      <c r="D413" s="125" t="n"/>
      <c r="E413" s="125" t="n"/>
      <c r="F413" s="125" t="n"/>
      <c r="G413" s="125" t="n"/>
      <c r="I413" s="21" t="n"/>
      <c r="M413" s="22" t="n"/>
      <c r="N413" s="125" t="n"/>
      <c r="O413" s="55" t="inlineStr">
        <is>
          <t>FOR</t>
        </is>
      </c>
      <c r="P413" s="55" t="inlineStr">
        <is>
          <t>DES</t>
        </is>
      </c>
      <c r="Q413" s="55" t="inlineStr">
        <is>
          <t>CON</t>
        </is>
      </c>
      <c r="R413" s="55" t="inlineStr">
        <is>
          <t>INT</t>
        </is>
      </c>
      <c r="S413" s="55" t="inlineStr">
        <is>
          <t>ESS</t>
        </is>
      </c>
      <c r="T413" s="125" t="n"/>
      <c r="U413" s="55" t="inlineStr">
        <is>
          <t>ALMA</t>
        </is>
      </c>
      <c r="V413" s="55" t="inlineStr">
        <is>
          <t>INTEGRIDADE ATUAL</t>
        </is>
      </c>
      <c r="W413" s="55" t="inlineStr">
        <is>
          <t>INTEGRIDADE MÁXIMA</t>
        </is>
      </c>
      <c r="X413" s="55" t="inlineStr">
        <is>
          <t>ESTÁGIO</t>
        </is>
      </c>
      <c r="Y413" s="17" t="n"/>
      <c r="Z413" s="125" t="n"/>
      <c r="AB413" s="21" t="n"/>
      <c r="AF413" s="22" t="n"/>
      <c r="AG413" s="125" t="n"/>
      <c r="AH413" s="55" t="inlineStr">
        <is>
          <t>FOR</t>
        </is>
      </c>
      <c r="AI413" s="55" t="inlineStr">
        <is>
          <t>DES</t>
        </is>
      </c>
      <c r="AJ413" s="55" t="inlineStr">
        <is>
          <t>CON</t>
        </is>
      </c>
      <c r="AK413" s="55" t="inlineStr">
        <is>
          <t>INT</t>
        </is>
      </c>
      <c r="AL413" s="55" t="inlineStr">
        <is>
          <t>ESS</t>
        </is>
      </c>
      <c r="AM413" s="125" t="n"/>
      <c r="AN413" s="55" t="inlineStr">
        <is>
          <t>ALMA</t>
        </is>
      </c>
      <c r="AO413" s="55" t="inlineStr">
        <is>
          <t>INTEGRIDADE ATUAL</t>
        </is>
      </c>
      <c r="AP413" s="55" t="inlineStr">
        <is>
          <t>INTEGRIDADE MÁXIMA</t>
        </is>
      </c>
      <c r="AQ413" s="55" t="inlineStr">
        <is>
          <t>ESTÁGIO</t>
        </is>
      </c>
      <c r="AR413" s="17" t="n"/>
      <c r="AS413" s="125" t="n"/>
    </row>
    <row r="414" hidden="1" outlineLevel="1">
      <c r="A414" s="8" t="n"/>
      <c r="B414" s="14" t="n"/>
      <c r="C414" s="125" t="n"/>
      <c r="D414" s="125" t="n"/>
      <c r="E414" s="125" t="n"/>
      <c r="F414" s="125" t="n"/>
      <c r="G414" s="125" t="n"/>
      <c r="I414" s="21" t="n"/>
      <c r="M414" s="22" t="n"/>
      <c r="N414" s="125" t="n"/>
      <c r="O414" s="98">
        <f>DADOS_INVOC!$FP$4</f>
        <v/>
      </c>
      <c r="P414" s="98">
        <f>DADOS_INVOC!$FQ$4</f>
        <v/>
      </c>
      <c r="Q414" s="98">
        <f>DADOS_INVOC!$FR$4</f>
        <v/>
      </c>
      <c r="R414" s="98">
        <f>DADOS_INVOC!$FS$4</f>
        <v/>
      </c>
      <c r="S414" s="98">
        <f>DADOS_INVOC!$FT$4</f>
        <v/>
      </c>
      <c r="T414" s="125" t="n"/>
      <c r="U414" s="89" t="inlineStr">
        <is>
          <t>Com alma</t>
        </is>
      </c>
      <c r="V414" s="98">
        <f>DADOS_INVOC!$GH$4</f>
        <v/>
      </c>
      <c r="W414" s="98">
        <f>DADOS_INVOC!$GJ$4</f>
        <v/>
      </c>
      <c r="X414" s="89">
        <f>DADOS_INVOC!$GK$4</f>
        <v/>
      </c>
      <c r="Y414" s="20" t="n"/>
      <c r="Z414" s="125" t="n"/>
      <c r="AB414" s="21" t="n"/>
      <c r="AF414" s="22" t="n"/>
      <c r="AG414" s="125" t="n"/>
      <c r="AH414" s="98">
        <f>DADOS_INVOC!$FP$10</f>
        <v/>
      </c>
      <c r="AI414" s="98">
        <f>DADOS_INVOC!$FQ$10</f>
        <v/>
      </c>
      <c r="AJ414" s="98">
        <f>DADOS_INVOC!$FR$10</f>
        <v/>
      </c>
      <c r="AK414" s="98">
        <f>DADOS_INVOC!$FS$10</f>
        <v/>
      </c>
      <c r="AL414" s="98">
        <f>DADOS_INVOC!$FT$10</f>
        <v/>
      </c>
      <c r="AM414" s="125" t="n"/>
      <c r="AN414" s="89" t="inlineStr">
        <is>
          <t>Com alma</t>
        </is>
      </c>
      <c r="AO414" s="98">
        <f>DADOS_INVOC!$GH$10</f>
        <v/>
      </c>
      <c r="AP414" s="98">
        <f>DADOS_INVOC!$GJ$10</f>
        <v/>
      </c>
      <c r="AQ414" s="89">
        <f>DADOS_INVOC!$GK$10</f>
        <v/>
      </c>
      <c r="AR414" s="20" t="n"/>
      <c r="AS414" s="125" t="n"/>
    </row>
    <row r="415" hidden="1" outlineLevel="1">
      <c r="A415" s="8" t="n"/>
      <c r="B415" s="14" t="n"/>
      <c r="C415" s="125" t="n"/>
      <c r="D415" s="125" t="n"/>
      <c r="E415" s="125" t="n"/>
      <c r="F415" s="125" t="n"/>
      <c r="G415" s="125" t="n"/>
      <c r="I415" s="21" t="n"/>
      <c r="M415" s="22" t="n"/>
      <c r="N415" s="125" t="n"/>
      <c r="O415" s="129" t="n"/>
      <c r="P415" s="129" t="n"/>
      <c r="Q415" s="129" t="n"/>
      <c r="R415" s="129" t="n"/>
      <c r="S415" s="129" t="n"/>
      <c r="T415" s="125" t="n"/>
      <c r="U415" s="129" t="n"/>
      <c r="V415" s="129" t="n"/>
      <c r="W415" s="129" t="n"/>
      <c r="X415" s="23" t="n"/>
      <c r="Y415" s="25" t="n"/>
      <c r="Z415" s="125" t="n"/>
      <c r="AB415" s="21" t="n"/>
      <c r="AF415" s="22" t="n"/>
      <c r="AG415" s="125" t="n"/>
      <c r="AH415" s="129" t="n"/>
      <c r="AI415" s="129" t="n"/>
      <c r="AJ415" s="129" t="n"/>
      <c r="AK415" s="129" t="n"/>
      <c r="AL415" s="129" t="n"/>
      <c r="AM415" s="125" t="n"/>
      <c r="AN415" s="129" t="n"/>
      <c r="AO415" s="129" t="n"/>
      <c r="AP415" s="129" t="n"/>
      <c r="AQ415" s="23" t="n"/>
      <c r="AR415" s="25" t="n"/>
      <c r="AS415" s="125" t="n"/>
    </row>
    <row r="416" hidden="1" outlineLevel="1">
      <c r="A416" s="8" t="n"/>
      <c r="B416" s="14" t="n"/>
      <c r="C416" s="125" t="n"/>
      <c r="D416" s="125" t="n"/>
      <c r="E416" s="125" t="n"/>
      <c r="F416" s="125" t="n"/>
      <c r="G416" s="125" t="n"/>
      <c r="I416" s="21" t="n"/>
      <c r="M416" s="22" t="n"/>
      <c r="N416" s="125" t="n"/>
      <c r="O416" s="146" t="n">
        <v>0</v>
      </c>
      <c r="P416" s="146" t="n">
        <v>0</v>
      </c>
      <c r="Q416" s="146" t="n">
        <v>0</v>
      </c>
      <c r="R416" s="146" t="n">
        <v>0</v>
      </c>
      <c r="S416" s="146" t="n">
        <v>0</v>
      </c>
      <c r="T416" s="125" t="n"/>
      <c r="U416" s="125" t="n"/>
      <c r="V416" s="125" t="n"/>
      <c r="W416" s="125" t="n"/>
      <c r="X416" s="125" t="n"/>
      <c r="Y416" s="125" t="n"/>
      <c r="Z416" s="125" t="n"/>
      <c r="AB416" s="21" t="n"/>
      <c r="AF416" s="22" t="n"/>
      <c r="AG416" s="125" t="n"/>
      <c r="AH416" s="146" t="n">
        <v>0</v>
      </c>
      <c r="AI416" s="146" t="n">
        <v>0</v>
      </c>
      <c r="AJ416" s="146" t="n">
        <v>0</v>
      </c>
      <c r="AK416" s="146" t="n">
        <v>0</v>
      </c>
      <c r="AL416" s="146" t="n">
        <v>0</v>
      </c>
      <c r="AM416" s="125" t="n"/>
      <c r="AN416" s="125" t="n"/>
      <c r="AO416" s="125" t="n"/>
      <c r="AP416" s="125" t="n"/>
      <c r="AQ416" s="125" t="n"/>
      <c r="AR416" s="125" t="n"/>
      <c r="AS416" s="125" t="n"/>
    </row>
    <row r="417" hidden="1" outlineLevel="1">
      <c r="A417" s="8" t="n"/>
      <c r="B417" s="14" t="n"/>
      <c r="C417" s="125" t="n"/>
      <c r="D417" s="125" t="n"/>
      <c r="E417" s="125" t="n"/>
      <c r="F417" s="125" t="n"/>
      <c r="G417" s="125" t="n"/>
      <c r="I417" s="21" t="n"/>
      <c r="M417" s="22" t="n"/>
      <c r="N417" s="125" t="n"/>
      <c r="O417" s="147" t="n">
        <v>0</v>
      </c>
      <c r="P417" s="147" t="n">
        <v>0</v>
      </c>
      <c r="Q417" s="147" t="n">
        <v>0</v>
      </c>
      <c r="R417" s="147" t="n">
        <v>0</v>
      </c>
      <c r="S417" s="147" t="n">
        <v>0</v>
      </c>
      <c r="T417" s="125" t="n"/>
      <c r="U417" s="55" t="inlineStr">
        <is>
          <t>CONDIÇÕES E USOS GASTOS</t>
        </is>
      </c>
      <c r="V417" s="16" t="n"/>
      <c r="W417" s="16" t="n"/>
      <c r="X417" s="16" t="n"/>
      <c r="Y417" s="17" t="n"/>
      <c r="Z417" s="125" t="n"/>
      <c r="AB417" s="21" t="n"/>
      <c r="AF417" s="22" t="n"/>
      <c r="AG417" s="125" t="n"/>
      <c r="AH417" s="147" t="n">
        <v>0</v>
      </c>
      <c r="AI417" s="147" t="n">
        <v>0</v>
      </c>
      <c r="AJ417" s="147" t="n">
        <v>0</v>
      </c>
      <c r="AK417" s="147" t="n">
        <v>0</v>
      </c>
      <c r="AL417" s="147" t="n">
        <v>0</v>
      </c>
      <c r="AM417" s="125" t="n"/>
      <c r="AN417" s="55" t="inlineStr">
        <is>
          <t>CONDIÇÕES E USOS GASTOS</t>
        </is>
      </c>
      <c r="AO417" s="16" t="n"/>
      <c r="AP417" s="16" t="n"/>
      <c r="AQ417" s="16" t="n"/>
      <c r="AR417" s="17" t="n"/>
      <c r="AS417" s="125" t="n"/>
    </row>
    <row r="418" hidden="1" outlineLevel="1">
      <c r="A418" s="8" t="n"/>
      <c r="B418" s="14" t="n"/>
      <c r="C418" s="125" t="n"/>
      <c r="D418" s="125" t="n"/>
      <c r="E418" s="125" t="n"/>
      <c r="F418" s="125" t="n"/>
      <c r="G418" s="125" t="n"/>
      <c r="I418" s="21" t="n"/>
      <c r="M418" s="22" t="n"/>
      <c r="N418" s="125" t="n"/>
      <c r="O418" s="125" t="n"/>
      <c r="P418" s="125" t="n"/>
      <c r="Q418" s="125" t="n"/>
      <c r="R418" s="125" t="n"/>
      <c r="S418" s="125" t="n"/>
      <c r="T418" s="125" t="n"/>
      <c r="U418" s="121" t="n"/>
      <c r="V418" s="19" t="n"/>
      <c r="W418" s="19" t="n"/>
      <c r="X418" s="19" t="n"/>
      <c r="Y418" s="20" t="n"/>
      <c r="Z418" s="125" t="n"/>
      <c r="AB418" s="21" t="n"/>
      <c r="AF418" s="22" t="n"/>
      <c r="AG418" s="125" t="n"/>
      <c r="AH418" s="125" t="n"/>
      <c r="AI418" s="125" t="n"/>
      <c r="AJ418" s="125" t="n"/>
      <c r="AK418" s="125" t="n"/>
      <c r="AL418" s="125" t="n"/>
      <c r="AM418" s="125" t="n"/>
      <c r="AN418" s="121" t="n"/>
      <c r="AO418" s="19" t="n"/>
      <c r="AP418" s="19" t="n"/>
      <c r="AQ418" s="19" t="n"/>
      <c r="AR418" s="20" t="n"/>
      <c r="AS418" s="125" t="n"/>
    </row>
    <row r="419" hidden="1" outlineLevel="1">
      <c r="A419" s="8" t="n"/>
      <c r="B419" s="14" t="n"/>
      <c r="C419" s="125" t="n"/>
      <c r="D419" s="125" t="n"/>
      <c r="E419" s="125" t="n"/>
      <c r="F419" s="125" t="n"/>
      <c r="G419" s="125" t="n"/>
      <c r="I419" s="21" t="n"/>
      <c r="M419" s="22" t="n"/>
      <c r="N419" s="125" t="n"/>
      <c r="O419" s="55" t="inlineStr">
        <is>
          <t>ATAQUE</t>
        </is>
      </c>
      <c r="P419" s="55" t="inlineStr">
        <is>
          <t>CD</t>
        </is>
      </c>
      <c r="Q419" s="55" t="inlineStr">
        <is>
          <t>DEFESA</t>
        </is>
      </c>
      <c r="R419" s="55" t="inlineStr">
        <is>
          <t>VIDA MÁXIMA</t>
        </is>
      </c>
      <c r="S419" s="55" t="inlineStr">
        <is>
          <t>DESLOCAMENTO</t>
        </is>
      </c>
      <c r="T419" s="125" t="n"/>
      <c r="U419" s="21" t="n"/>
      <c r="Y419" s="22" t="n"/>
      <c r="Z419" s="125" t="n"/>
      <c r="AB419" s="21" t="n"/>
      <c r="AF419" s="22" t="n"/>
      <c r="AG419" s="125" t="n"/>
      <c r="AH419" s="55" t="inlineStr">
        <is>
          <t>ATAQUE</t>
        </is>
      </c>
      <c r="AI419" s="55" t="inlineStr">
        <is>
          <t>CD</t>
        </is>
      </c>
      <c r="AJ419" s="55" t="inlineStr">
        <is>
          <t>DEFESA</t>
        </is>
      </c>
      <c r="AK419" s="55" t="inlineStr">
        <is>
          <t>VIDA MÁXIMA</t>
        </is>
      </c>
      <c r="AL419" s="55" t="inlineStr">
        <is>
          <t>DESLOCAMENTO</t>
        </is>
      </c>
      <c r="AM419" s="125" t="n"/>
      <c r="AN419" s="21" t="n"/>
      <c r="AR419" s="22" t="n"/>
      <c r="AS419" s="125" t="n"/>
    </row>
    <row r="420" hidden="1" outlineLevel="1">
      <c r="A420" s="8" t="n"/>
      <c r="B420" s="14" t="n"/>
      <c r="C420" s="125" t="n"/>
      <c r="D420" s="125" t="n"/>
      <c r="E420" s="125" t="n"/>
      <c r="F420" s="125" t="n"/>
      <c r="G420" s="125" t="n"/>
      <c r="I420" s="21" t="n"/>
      <c r="M420" s="22" t="n"/>
      <c r="N420" s="125" t="n"/>
      <c r="O420" s="98">
        <f>DADOS_INVOC!$HK$4</f>
        <v/>
      </c>
      <c r="P420" s="98">
        <f>DADOS_INVOC!$HL$4</f>
        <v/>
      </c>
      <c r="Q420" s="98">
        <f>DADOS_INVOC!$GB$4</f>
        <v/>
      </c>
      <c r="R420" s="98">
        <f>DADOS_INVOC!$GD$4</f>
        <v/>
      </c>
      <c r="S420" s="98">
        <f>DADOS_INVOC!$HM$4</f>
        <v/>
      </c>
      <c r="T420" s="125" t="n"/>
      <c r="U420" s="23" t="n"/>
      <c r="V420" s="24" t="n"/>
      <c r="W420" s="24" t="n"/>
      <c r="X420" s="24" t="n"/>
      <c r="Y420" s="25" t="n"/>
      <c r="Z420" s="125" t="n"/>
      <c r="AB420" s="21" t="n"/>
      <c r="AF420" s="22" t="n"/>
      <c r="AG420" s="125" t="n"/>
      <c r="AH420" s="98">
        <f>DADOS_INVOC!$HK$10</f>
        <v/>
      </c>
      <c r="AI420" s="98">
        <f>DADOS_INVOC!$HL$10</f>
        <v/>
      </c>
      <c r="AJ420" s="98">
        <f>DADOS_INVOC!$GB$10</f>
        <v/>
      </c>
      <c r="AK420" s="98">
        <f>DADOS_INVOC!$GD$10</f>
        <v/>
      </c>
      <c r="AL420" s="98">
        <f>DADOS_INVOC!$HM$10</f>
        <v/>
      </c>
      <c r="AM420" s="125" t="n"/>
      <c r="AN420" s="23" t="n"/>
      <c r="AO420" s="24" t="n"/>
      <c r="AP420" s="24" t="n"/>
      <c r="AQ420" s="24" t="n"/>
      <c r="AR420" s="25" t="n"/>
      <c r="AS420" s="125" t="n"/>
    </row>
    <row r="421" hidden="1" outlineLevel="1">
      <c r="A421" s="8" t="n"/>
      <c r="B421" s="14" t="n"/>
      <c r="C421" s="125" t="n"/>
      <c r="D421" s="125" t="n"/>
      <c r="E421" s="125" t="n"/>
      <c r="F421" s="125" t="n"/>
      <c r="G421" s="125" t="n"/>
      <c r="I421" s="21" t="n"/>
      <c r="M421" s="22" t="n"/>
      <c r="N421" s="125" t="n"/>
      <c r="O421" s="129" t="n"/>
      <c r="P421" s="129" t="n"/>
      <c r="Q421" s="129" t="n"/>
      <c r="R421" s="129" t="n"/>
      <c r="S421" s="129" t="n"/>
      <c r="T421" s="125" t="n"/>
      <c r="U421" s="125" t="n"/>
      <c r="V421" s="125" t="n"/>
      <c r="W421" s="125" t="n"/>
      <c r="X421" s="125" t="n"/>
      <c r="Y421" s="125" t="n"/>
      <c r="Z421" s="125" t="n"/>
      <c r="AB421" s="21" t="n"/>
      <c r="AF421" s="22" t="n"/>
      <c r="AG421" s="125" t="n"/>
      <c r="AH421" s="129" t="n"/>
      <c r="AI421" s="129" t="n"/>
      <c r="AJ421" s="129" t="n"/>
      <c r="AK421" s="129" t="n"/>
      <c r="AL421" s="129" t="n"/>
      <c r="AM421" s="125" t="n"/>
      <c r="AN421" s="125" t="n"/>
      <c r="AO421" s="125" t="n"/>
      <c r="AP421" s="125" t="n"/>
      <c r="AQ421" s="125" t="n"/>
      <c r="AR421" s="125" t="n"/>
      <c r="AS421" s="125" t="n"/>
    </row>
    <row r="422" hidden="1" outlineLevel="1">
      <c r="A422" s="8" t="n"/>
      <c r="B422" s="14" t="n"/>
      <c r="C422" s="125" t="n"/>
      <c r="D422" s="125" t="n"/>
      <c r="E422" s="125" t="n"/>
      <c r="F422" s="125" t="n"/>
      <c r="G422" s="125" t="n"/>
      <c r="I422" s="21" t="n"/>
      <c r="M422" s="22" t="n"/>
      <c r="N422" s="125" t="n"/>
      <c r="O422" s="147" t="n">
        <v>0</v>
      </c>
      <c r="P422" s="147" t="n">
        <v>0</v>
      </c>
      <c r="Q422" s="147" t="n">
        <v>0</v>
      </c>
      <c r="R422" s="147" t="n">
        <v>0</v>
      </c>
      <c r="S422" s="147" t="n">
        <v>0</v>
      </c>
      <c r="T422" s="125" t="n"/>
      <c r="U422" s="55" t="inlineStr">
        <is>
          <t>ANOTAÇÕES</t>
        </is>
      </c>
      <c r="V422" s="16" t="n"/>
      <c r="W422" s="16" t="n"/>
      <c r="X422" s="16" t="n"/>
      <c r="Y422" s="17" t="n"/>
      <c r="Z422" s="125" t="n"/>
      <c r="AB422" s="21" t="n"/>
      <c r="AF422" s="22" t="n"/>
      <c r="AG422" s="125" t="n"/>
      <c r="AH422" s="147" t="n">
        <v>0</v>
      </c>
      <c r="AI422" s="147" t="n">
        <v>0</v>
      </c>
      <c r="AJ422" s="147" t="n">
        <v>0</v>
      </c>
      <c r="AK422" s="147" t="n">
        <v>0</v>
      </c>
      <c r="AL422" s="147" t="n">
        <v>0</v>
      </c>
      <c r="AM422" s="125" t="n"/>
      <c r="AN422" s="55" t="inlineStr">
        <is>
          <t>ANOTAÇÕES</t>
        </is>
      </c>
      <c r="AO422" s="16" t="n"/>
      <c r="AP422" s="16" t="n"/>
      <c r="AQ422" s="16" t="n"/>
      <c r="AR422" s="17" t="n"/>
      <c r="AS422" s="125" t="n"/>
    </row>
    <row r="423" hidden="1" outlineLevel="1">
      <c r="A423" s="8" t="n"/>
      <c r="B423" s="14" t="n"/>
      <c r="C423" s="125" t="n"/>
      <c r="D423" s="125" t="n"/>
      <c r="E423" s="125" t="n"/>
      <c r="F423" s="125" t="n"/>
      <c r="G423" s="125" t="n"/>
      <c r="I423" s="21" t="n"/>
      <c r="M423" s="22" t="n"/>
      <c r="N423" s="125" t="n"/>
      <c r="O423" s="125" t="n"/>
      <c r="P423" s="125" t="n"/>
      <c r="Q423" s="125" t="n"/>
      <c r="R423" s="125" t="n"/>
      <c r="S423" s="125" t="n"/>
      <c r="T423" s="125" t="n"/>
      <c r="U423" s="121" t="n"/>
      <c r="V423" s="19" t="n"/>
      <c r="W423" s="19" t="n"/>
      <c r="X423" s="19" t="n"/>
      <c r="Y423" s="20" t="n"/>
      <c r="Z423" s="125" t="n"/>
      <c r="AB423" s="21" t="n"/>
      <c r="AF423" s="22" t="n"/>
      <c r="AG423" s="125" t="n"/>
      <c r="AH423" s="125" t="n"/>
      <c r="AI423" s="125" t="n"/>
      <c r="AJ423" s="125" t="n"/>
      <c r="AK423" s="125" t="n"/>
      <c r="AL423" s="125" t="n"/>
      <c r="AM423" s="125" t="n"/>
      <c r="AN423" s="121" t="n"/>
      <c r="AO423" s="19" t="n"/>
      <c r="AP423" s="19" t="n"/>
      <c r="AQ423" s="19" t="n"/>
      <c r="AR423" s="20" t="n"/>
      <c r="AS423" s="125" t="n"/>
    </row>
    <row r="424" hidden="1" outlineLevel="1">
      <c r="A424" s="8" t="n"/>
      <c r="B424" s="14" t="n"/>
      <c r="C424" s="125" t="n"/>
      <c r="D424" s="125" t="n"/>
      <c r="E424" s="125" t="n"/>
      <c r="F424" s="125" t="n"/>
      <c r="G424" s="125" t="n"/>
      <c r="I424" s="21" t="n"/>
      <c r="M424" s="22" t="n"/>
      <c r="N424" s="125" t="n"/>
      <c r="O424" s="55" t="inlineStr">
        <is>
          <t>FÍSICO</t>
        </is>
      </c>
      <c r="P424" s="55" t="inlineStr">
        <is>
          <t>VIGOR</t>
        </is>
      </c>
      <c r="Q424" s="55" t="inlineStr">
        <is>
          <t>INTELECTO</t>
        </is>
      </c>
      <c r="R424" s="55" t="inlineStr">
        <is>
          <t>ESPÍRITO</t>
        </is>
      </c>
      <c r="S424" s="55" t="inlineStr">
        <is>
          <t>TR TREINADO</t>
        </is>
      </c>
      <c r="T424" s="125" t="n"/>
      <c r="U424" s="21" t="n"/>
      <c r="Y424" s="22" t="n"/>
      <c r="Z424" s="125" t="n"/>
      <c r="AB424" s="21" t="n"/>
      <c r="AF424" s="22" t="n"/>
      <c r="AG424" s="125" t="n"/>
      <c r="AH424" s="55" t="inlineStr">
        <is>
          <t>FÍSICO</t>
        </is>
      </c>
      <c r="AI424" s="55" t="inlineStr">
        <is>
          <t>VIGOR</t>
        </is>
      </c>
      <c r="AJ424" s="55" t="inlineStr">
        <is>
          <t>INTELECTO</t>
        </is>
      </c>
      <c r="AK424" s="55" t="inlineStr">
        <is>
          <t>ESPÍRITO</t>
        </is>
      </c>
      <c r="AL424" s="55" t="inlineStr">
        <is>
          <t>TR TREINADO</t>
        </is>
      </c>
      <c r="AM424" s="125" t="n"/>
      <c r="AN424" s="21" t="n"/>
      <c r="AR424" s="22" t="n"/>
      <c r="AS424" s="125" t="n"/>
    </row>
    <row r="425" hidden="1" outlineLevel="1">
      <c r="A425" s="8" t="n"/>
      <c r="B425" s="14" t="n"/>
      <c r="C425" s="125" t="n"/>
      <c r="D425" s="125" t="n"/>
      <c r="E425" s="125" t="n"/>
      <c r="F425" s="125" t="n"/>
      <c r="G425" s="125" t="n"/>
      <c r="I425" s="21" t="n"/>
      <c r="M425" s="22" t="n"/>
      <c r="N425" s="125" t="n"/>
      <c r="O425" s="98">
        <f>DADOS_INVOC!$HN$4</f>
        <v/>
      </c>
      <c r="P425" s="98">
        <f>DADOS_INVOC!$HO$4</f>
        <v/>
      </c>
      <c r="Q425" s="98">
        <f>DADOS_INVOC!$HP$4</f>
        <v/>
      </c>
      <c r="R425" s="98">
        <f>DADOS_INVOC!$HQ$4</f>
        <v/>
      </c>
      <c r="S425" s="89" t="n"/>
      <c r="T425" s="125" t="n"/>
      <c r="U425" s="21" t="n"/>
      <c r="Y425" s="22" t="n"/>
      <c r="Z425" s="125" t="n"/>
      <c r="AB425" s="21" t="n"/>
      <c r="AF425" s="22" t="n"/>
      <c r="AG425" s="125" t="n"/>
      <c r="AH425" s="98">
        <f>DADOS_INVOC!$HN$10</f>
        <v/>
      </c>
      <c r="AI425" s="98">
        <f>DADOS_INVOC!$HO$10</f>
        <v/>
      </c>
      <c r="AJ425" s="98">
        <f>DADOS_INVOC!$HP$10</f>
        <v/>
      </c>
      <c r="AK425" s="98">
        <f>DADOS_INVOC!$HQ$10</f>
        <v/>
      </c>
      <c r="AL425" s="89" t="n"/>
      <c r="AM425" s="125" t="n"/>
      <c r="AN425" s="21" t="n"/>
      <c r="AR425" s="22" t="n"/>
      <c r="AS425" s="125" t="n"/>
    </row>
    <row r="426" hidden="1" outlineLevel="1">
      <c r="A426" s="8" t="n"/>
      <c r="B426" s="14" t="n"/>
      <c r="C426" s="125" t="n"/>
      <c r="D426" s="125" t="n"/>
      <c r="E426" s="125" t="n"/>
      <c r="F426" s="125" t="n"/>
      <c r="G426" s="125" t="n"/>
      <c r="I426" s="21" t="n"/>
      <c r="M426" s="22" t="n"/>
      <c r="N426" s="125" t="n"/>
      <c r="O426" s="129" t="n"/>
      <c r="P426" s="129" t="n"/>
      <c r="Q426" s="129" t="n"/>
      <c r="R426" s="129" t="n"/>
      <c r="S426" s="129" t="n"/>
      <c r="T426" s="125" t="n"/>
      <c r="U426" s="23" t="n"/>
      <c r="V426" s="24" t="n"/>
      <c r="W426" s="24" t="n"/>
      <c r="X426" s="24" t="n"/>
      <c r="Y426" s="25" t="n"/>
      <c r="Z426" s="125" t="n"/>
      <c r="AB426" s="21" t="n"/>
      <c r="AF426" s="22" t="n"/>
      <c r="AG426" s="125" t="n"/>
      <c r="AH426" s="129" t="n"/>
      <c r="AI426" s="129" t="n"/>
      <c r="AJ426" s="129" t="n"/>
      <c r="AK426" s="129" t="n"/>
      <c r="AL426" s="129" t="n"/>
      <c r="AM426" s="125" t="n"/>
      <c r="AN426" s="23" t="n"/>
      <c r="AO426" s="24" t="n"/>
      <c r="AP426" s="24" t="n"/>
      <c r="AQ426" s="24" t="n"/>
      <c r="AR426" s="25" t="n"/>
      <c r="AS426" s="125" t="n"/>
    </row>
    <row r="427" hidden="1" outlineLevel="1">
      <c r="A427" s="8" t="n"/>
      <c r="B427" s="14" t="n"/>
      <c r="C427" s="125" t="n"/>
      <c r="D427" s="125" t="n"/>
      <c r="E427" s="125" t="n"/>
      <c r="F427" s="125" t="n"/>
      <c r="G427" s="125" t="n"/>
      <c r="I427" s="21" t="n"/>
      <c r="M427" s="22" t="n"/>
      <c r="N427" s="125" t="n"/>
      <c r="O427" s="147" t="n">
        <v>0</v>
      </c>
      <c r="P427" s="147" t="n">
        <v>0</v>
      </c>
      <c r="Q427" s="147" t="n">
        <v>0</v>
      </c>
      <c r="R427" s="147" t="n">
        <v>0</v>
      </c>
      <c r="S427" s="125" t="n"/>
      <c r="T427" s="125" t="n"/>
      <c r="U427" s="125" t="n"/>
      <c r="V427" s="125" t="n"/>
      <c r="W427" s="125" t="n"/>
      <c r="X427" s="125" t="n"/>
      <c r="Y427" s="125" t="n"/>
      <c r="Z427" s="125" t="n"/>
      <c r="AB427" s="21" t="n"/>
      <c r="AF427" s="22" t="n"/>
      <c r="AG427" s="125" t="n"/>
      <c r="AH427" s="147" t="n">
        <v>0</v>
      </c>
      <c r="AI427" s="147" t="n">
        <v>0</v>
      </c>
      <c r="AJ427" s="147" t="n">
        <v>0</v>
      </c>
      <c r="AK427" s="147" t="n">
        <v>0</v>
      </c>
      <c r="AL427" s="125" t="n"/>
      <c r="AM427" s="125" t="n"/>
      <c r="AN427" s="125" t="n"/>
      <c r="AO427" s="125" t="n"/>
      <c r="AP427" s="125" t="n"/>
      <c r="AQ427" s="125" t="n"/>
      <c r="AR427" s="125" t="n"/>
      <c r="AS427" s="125" t="n"/>
    </row>
    <row r="428" hidden="1" outlineLevel="1">
      <c r="A428" s="8" t="n"/>
      <c r="B428" s="14" t="n"/>
      <c r="C428" s="125" t="n"/>
      <c r="D428" s="125" t="n"/>
      <c r="E428" s="125" t="n"/>
      <c r="F428" s="125" t="n"/>
      <c r="G428" s="125" t="n"/>
      <c r="I428" s="21" t="n"/>
      <c r="M428" s="22" t="n"/>
      <c r="N428" s="125" t="n"/>
      <c r="O428" s="125" t="n"/>
      <c r="P428" s="125" t="n"/>
      <c r="Q428" s="125" t="n"/>
      <c r="R428" s="125" t="n"/>
      <c r="S428" s="125" t="n"/>
      <c r="T428" s="125" t="n"/>
      <c r="U428" s="55">
        <f>DADOS_INVOC!$IA$4</f>
        <v/>
      </c>
      <c r="V428" s="16" t="n"/>
      <c r="W428" s="16" t="n"/>
      <c r="X428" s="17" t="n"/>
      <c r="Y428" s="55" t="inlineStr">
        <is>
          <t>VOL.</t>
        </is>
      </c>
      <c r="Z428" s="125" t="n"/>
      <c r="AB428" s="21" t="n"/>
      <c r="AF428" s="22" t="n"/>
      <c r="AG428" s="125" t="n"/>
      <c r="AH428" s="125" t="n"/>
      <c r="AI428" s="125" t="n"/>
      <c r="AJ428" s="125" t="n"/>
      <c r="AK428" s="125" t="n"/>
      <c r="AL428" s="125" t="n"/>
      <c r="AM428" s="125" t="n"/>
      <c r="AN428" s="55">
        <f>DADOS_INVOC!$IA$10</f>
        <v/>
      </c>
      <c r="AO428" s="16" t="n"/>
      <c r="AP428" s="16" t="n"/>
      <c r="AQ428" s="17" t="n"/>
      <c r="AR428" s="55" t="inlineStr">
        <is>
          <t>VOL.</t>
        </is>
      </c>
      <c r="AS428" s="125" t="n"/>
    </row>
    <row r="429" hidden="1" outlineLevel="1">
      <c r="A429" s="8" t="n"/>
      <c r="B429" s="14" t="n"/>
      <c r="C429" s="125" t="n"/>
      <c r="D429" s="125" t="n"/>
      <c r="E429" s="125" t="n"/>
      <c r="F429" s="125" t="n"/>
      <c r="G429" s="125" t="n"/>
      <c r="I429" s="21" t="n"/>
      <c r="M429" s="22" t="n"/>
      <c r="N429" s="125" t="n"/>
      <c r="O429" s="55" t="inlineStr">
        <is>
          <t>ATRIBUTO DE ACERTO</t>
        </is>
      </c>
      <c r="P429" s="16" t="n"/>
      <c r="Q429" s="17" t="n"/>
      <c r="R429" s="55" t="inlineStr">
        <is>
          <t>FÍSICO USA</t>
        </is>
      </c>
      <c r="S429" s="17" t="n"/>
      <c r="T429" s="125" t="n"/>
      <c r="U429" s="55" t="inlineStr">
        <is>
          <t>MÃO 1</t>
        </is>
      </c>
      <c r="V429" s="134" t="n"/>
      <c r="W429" s="16" t="n"/>
      <c r="X429" s="17" t="n"/>
      <c r="Y429" s="89" t="n"/>
      <c r="Z429" s="125" t="n"/>
      <c r="AB429" s="21" t="n"/>
      <c r="AF429" s="22" t="n"/>
      <c r="AG429" s="125" t="n"/>
      <c r="AH429" s="55" t="inlineStr">
        <is>
          <t>ATRIBUTO DE ACERTO</t>
        </is>
      </c>
      <c r="AI429" s="16" t="n"/>
      <c r="AJ429" s="17" t="n"/>
      <c r="AK429" s="55" t="inlineStr">
        <is>
          <t>FÍSICO USA</t>
        </is>
      </c>
      <c r="AL429" s="17" t="n"/>
      <c r="AM429" s="125" t="n"/>
      <c r="AN429" s="55" t="inlineStr">
        <is>
          <t>MÃO 1</t>
        </is>
      </c>
      <c r="AO429" s="134" t="n"/>
      <c r="AP429" s="16" t="n"/>
      <c r="AQ429" s="17" t="n"/>
      <c r="AR429" s="89" t="n"/>
      <c r="AS429" s="125" t="n"/>
    </row>
    <row r="430" hidden="1" outlineLevel="1">
      <c r="A430" s="8" t="n"/>
      <c r="B430" s="14" t="n"/>
      <c r="C430" s="125" t="n"/>
      <c r="D430" s="125" t="n"/>
      <c r="E430" s="125" t="n"/>
      <c r="F430" s="125" t="n"/>
      <c r="G430" s="125" t="n"/>
      <c r="I430" s="21" t="n"/>
      <c r="M430" s="22" t="n"/>
      <c r="N430" s="125" t="n"/>
      <c r="O430" s="89" t="n"/>
      <c r="P430" s="19" t="n"/>
      <c r="Q430" s="20" t="n"/>
      <c r="R430" s="89" t="inlineStr">
        <is>
          <t>Força</t>
        </is>
      </c>
      <c r="S430" s="20" t="n"/>
      <c r="T430" s="125" t="n"/>
      <c r="U430" s="55" t="inlineStr">
        <is>
          <t>MÃO 2</t>
        </is>
      </c>
      <c r="V430" s="134" t="n"/>
      <c r="W430" s="16" t="n"/>
      <c r="X430" s="17" t="n"/>
      <c r="Y430" s="89" t="n"/>
      <c r="Z430" s="125" t="n"/>
      <c r="AB430" s="21" t="n"/>
      <c r="AF430" s="22" t="n"/>
      <c r="AG430" s="125" t="n"/>
      <c r="AH430" s="89" t="n"/>
      <c r="AI430" s="19" t="n"/>
      <c r="AJ430" s="20" t="n"/>
      <c r="AK430" s="89" t="inlineStr">
        <is>
          <t>Força</t>
        </is>
      </c>
      <c r="AL430" s="20" t="n"/>
      <c r="AM430" s="125" t="n"/>
      <c r="AN430" s="55" t="inlineStr">
        <is>
          <t>MÃO 2</t>
        </is>
      </c>
      <c r="AO430" s="134" t="n"/>
      <c r="AP430" s="16" t="n"/>
      <c r="AQ430" s="17" t="n"/>
      <c r="AR430" s="89" t="n"/>
      <c r="AS430" s="125" t="n"/>
    </row>
    <row r="431" hidden="1" outlineLevel="1">
      <c r="A431" s="8" t="n"/>
      <c r="B431" s="14" t="n"/>
      <c r="C431" s="125" t="n"/>
      <c r="D431" s="125" t="n"/>
      <c r="E431" s="125" t="n"/>
      <c r="F431" s="125" t="n"/>
      <c r="G431" s="125" t="n"/>
      <c r="I431" s="21" t="n"/>
      <c r="M431" s="22" t="n"/>
      <c r="N431" s="125" t="n"/>
      <c r="O431" s="23" t="n"/>
      <c r="P431" s="24" t="n"/>
      <c r="Q431" s="25" t="n"/>
      <c r="R431" s="23" t="n"/>
      <c r="S431" s="25" t="n"/>
      <c r="T431" s="125" t="n"/>
      <c r="U431" s="55" t="inlineStr">
        <is>
          <t>VESTE</t>
        </is>
      </c>
      <c r="V431" s="134" t="n"/>
      <c r="W431" s="16" t="n"/>
      <c r="X431" s="17" t="n"/>
      <c r="Y431" s="89" t="n"/>
      <c r="Z431" s="125" t="n"/>
      <c r="AB431" s="21" t="n"/>
      <c r="AF431" s="22" t="n"/>
      <c r="AG431" s="125" t="n"/>
      <c r="AH431" s="23" t="n"/>
      <c r="AI431" s="24" t="n"/>
      <c r="AJ431" s="25" t="n"/>
      <c r="AK431" s="23" t="n"/>
      <c r="AL431" s="25" t="n"/>
      <c r="AM431" s="125" t="n"/>
      <c r="AN431" s="55" t="inlineStr">
        <is>
          <t>VESTE</t>
        </is>
      </c>
      <c r="AO431" s="134" t="n"/>
      <c r="AP431" s="16" t="n"/>
      <c r="AQ431" s="17" t="n"/>
      <c r="AR431" s="89" t="n"/>
      <c r="AS431" s="125" t="n"/>
    </row>
    <row r="432" hidden="1" outlineLevel="1">
      <c r="A432" s="8" t="n"/>
      <c r="B432" s="14" t="n"/>
      <c r="C432" s="125" t="n"/>
      <c r="D432" s="125" t="n"/>
      <c r="E432" s="125" t="n"/>
      <c r="F432" s="125" t="n"/>
      <c r="G432" s="125" t="n"/>
      <c r="I432" s="21" t="n"/>
      <c r="M432" s="22" t="n"/>
      <c r="N432" s="125" t="n"/>
      <c r="O432" s="125" t="n"/>
      <c r="P432" s="125" t="n"/>
      <c r="Q432" s="125" t="n"/>
      <c r="R432" s="125" t="n"/>
      <c r="S432" s="125" t="n"/>
      <c r="T432" s="125" t="n"/>
      <c r="U432" s="55" t="inlineStr">
        <is>
          <t>GUARDADO · SÓ COM A CARACTERÍSTICA DE TRANSPORTE</t>
        </is>
      </c>
      <c r="V432" s="16" t="n"/>
      <c r="W432" s="16" t="n"/>
      <c r="X432" s="17" t="n"/>
      <c r="Y432" s="55" t="inlineStr">
        <is>
          <t>VOL.</t>
        </is>
      </c>
      <c r="Z432" s="125" t="n"/>
      <c r="AB432" s="21" t="n"/>
      <c r="AF432" s="22" t="n"/>
      <c r="AG432" s="125" t="n"/>
      <c r="AH432" s="125" t="n"/>
      <c r="AI432" s="125" t="n"/>
      <c r="AJ432" s="125" t="n"/>
      <c r="AK432" s="125" t="n"/>
      <c r="AL432" s="125" t="n"/>
      <c r="AM432" s="125" t="n"/>
      <c r="AN432" s="55" t="inlineStr">
        <is>
          <t>GUARDADO · SÓ COM A CARACTERÍSTICA DE TRANSPORTE</t>
        </is>
      </c>
      <c r="AO432" s="16" t="n"/>
      <c r="AP432" s="16" t="n"/>
      <c r="AQ432" s="17" t="n"/>
      <c r="AR432" s="55" t="inlineStr">
        <is>
          <t>VOL.</t>
        </is>
      </c>
      <c r="AS432" s="125" t="n"/>
    </row>
    <row r="433" hidden="1" outlineLevel="1">
      <c r="A433" s="8" t="n"/>
      <c r="B433" s="14" t="n"/>
      <c r="C433" s="125" t="n"/>
      <c r="D433" s="125" t="n"/>
      <c r="E433" s="125" t="n"/>
      <c r="F433" s="125" t="n"/>
      <c r="G433" s="125" t="n"/>
      <c r="I433" s="21" t="n"/>
      <c r="M433" s="22" t="n"/>
      <c r="N433" s="125" t="n"/>
      <c r="O433" s="55">
        <f>DADOS_INVOC!$HR$4</f>
        <v/>
      </c>
      <c r="P433" s="16" t="n"/>
      <c r="Q433" s="16" t="n"/>
      <c r="R433" s="16" t="n"/>
      <c r="S433" s="17" t="n"/>
      <c r="T433" s="125" t="n"/>
      <c r="U433" s="134" t="n"/>
      <c r="V433" s="16" t="n"/>
      <c r="W433" s="16" t="n"/>
      <c r="X433" s="17" t="n"/>
      <c r="Y433" s="89" t="n"/>
      <c r="Z433" s="125" t="n"/>
      <c r="AB433" s="21" t="n"/>
      <c r="AF433" s="22" t="n"/>
      <c r="AG433" s="125" t="n"/>
      <c r="AH433" s="55">
        <f>DADOS_INVOC!$HR$10</f>
        <v/>
      </c>
      <c r="AI433" s="16" t="n"/>
      <c r="AJ433" s="16" t="n"/>
      <c r="AK433" s="16" t="n"/>
      <c r="AL433" s="17" t="n"/>
      <c r="AM433" s="125" t="n"/>
      <c r="AN433" s="134" t="n"/>
      <c r="AO433" s="16" t="n"/>
      <c r="AP433" s="16" t="n"/>
      <c r="AQ433" s="17" t="n"/>
      <c r="AR433" s="89" t="n"/>
      <c r="AS433" s="125" t="n"/>
    </row>
    <row r="434" hidden="1" outlineLevel="1">
      <c r="A434" s="8" t="n"/>
      <c r="B434" s="14" t="n"/>
      <c r="C434" s="125" t="n"/>
      <c r="D434" s="125" t="n"/>
      <c r="E434" s="125" t="n"/>
      <c r="F434" s="125" t="n"/>
      <c r="G434" s="125" t="n"/>
      <c r="I434" s="21" t="n"/>
      <c r="M434" s="22" t="n"/>
      <c r="N434" s="125" t="n"/>
      <c r="O434" s="134" t="n"/>
      <c r="P434" s="16" t="n"/>
      <c r="Q434" s="17" t="n"/>
      <c r="R434" s="89">
        <f>DADOS_INVOC!$HS$4</f>
        <v/>
      </c>
      <c r="S434" s="17" t="n"/>
      <c r="T434" s="125" t="n"/>
      <c r="U434" s="134" t="n"/>
      <c r="V434" s="16" t="n"/>
      <c r="W434" s="16" t="n"/>
      <c r="X434" s="17" t="n"/>
      <c r="Y434" s="89" t="n"/>
      <c r="Z434" s="125" t="n"/>
      <c r="AB434" s="21" t="n"/>
      <c r="AF434" s="22" t="n"/>
      <c r="AG434" s="125" t="n"/>
      <c r="AH434" s="134" t="n"/>
      <c r="AI434" s="16" t="n"/>
      <c r="AJ434" s="17" t="n"/>
      <c r="AK434" s="89">
        <f>DADOS_INVOC!$HS$10</f>
        <v/>
      </c>
      <c r="AL434" s="17" t="n"/>
      <c r="AM434" s="125" t="n"/>
      <c r="AN434" s="134" t="n"/>
      <c r="AO434" s="16" t="n"/>
      <c r="AP434" s="16" t="n"/>
      <c r="AQ434" s="17" t="n"/>
      <c r="AR434" s="89" t="n"/>
      <c r="AS434" s="125" t="n"/>
    </row>
    <row r="435" hidden="1" outlineLevel="1">
      <c r="A435" s="8" t="n"/>
      <c r="B435" s="14" t="n"/>
      <c r="C435" s="125" t="n"/>
      <c r="D435" s="125" t="n"/>
      <c r="E435" s="125" t="n"/>
      <c r="F435" s="125" t="n"/>
      <c r="G435" s="125" t="n"/>
      <c r="I435" s="21" t="n"/>
      <c r="M435" s="22" t="n"/>
      <c r="N435" s="125" t="n"/>
      <c r="O435" s="134" t="n"/>
      <c r="P435" s="16" t="n"/>
      <c r="Q435" s="17" t="n"/>
      <c r="R435" s="89">
        <f>DADOS_INVOC!$HT$4</f>
        <v/>
      </c>
      <c r="S435" s="17" t="n"/>
      <c r="T435" s="125" t="n"/>
      <c r="U435" s="134" t="n"/>
      <c r="V435" s="16" t="n"/>
      <c r="W435" s="16" t="n"/>
      <c r="X435" s="17" t="n"/>
      <c r="Y435" s="89" t="n"/>
      <c r="Z435" s="125" t="n"/>
      <c r="AB435" s="21" t="n"/>
      <c r="AF435" s="22" t="n"/>
      <c r="AG435" s="125" t="n"/>
      <c r="AH435" s="134" t="n"/>
      <c r="AI435" s="16" t="n"/>
      <c r="AJ435" s="17" t="n"/>
      <c r="AK435" s="89">
        <f>DADOS_INVOC!$HT$10</f>
        <v/>
      </c>
      <c r="AL435" s="17" t="n"/>
      <c r="AM435" s="125" t="n"/>
      <c r="AN435" s="134" t="n"/>
      <c r="AO435" s="16" t="n"/>
      <c r="AP435" s="16" t="n"/>
      <c r="AQ435" s="17" t="n"/>
      <c r="AR435" s="89" t="n"/>
      <c r="AS435" s="125" t="n"/>
    </row>
    <row r="436" hidden="1" outlineLevel="1">
      <c r="A436" s="8" t="n"/>
      <c r="B436" s="14" t="n"/>
      <c r="C436" s="125" t="n"/>
      <c r="D436" s="125" t="n"/>
      <c r="E436" s="125" t="n"/>
      <c r="F436" s="125" t="n"/>
      <c r="G436" s="125" t="n"/>
      <c r="I436" s="23" t="n"/>
      <c r="J436" s="24" t="n"/>
      <c r="K436" s="24" t="n"/>
      <c r="L436" s="24" t="n"/>
      <c r="M436" s="25" t="n"/>
      <c r="N436" s="125" t="n"/>
      <c r="O436" s="134" t="n"/>
      <c r="P436" s="16" t="n"/>
      <c r="Q436" s="17" t="n"/>
      <c r="R436" s="89">
        <f>DADOS_INVOC!$HU$4</f>
        <v/>
      </c>
      <c r="S436" s="17" t="n"/>
      <c r="T436" s="125" t="n"/>
      <c r="U436" s="134" t="n"/>
      <c r="V436" s="16" t="n"/>
      <c r="W436" s="16" t="n"/>
      <c r="X436" s="17" t="n"/>
      <c r="Y436" s="89" t="n"/>
      <c r="Z436" s="125" t="n"/>
      <c r="AB436" s="23" t="n"/>
      <c r="AC436" s="24" t="n"/>
      <c r="AD436" s="24" t="n"/>
      <c r="AE436" s="24" t="n"/>
      <c r="AF436" s="25" t="n"/>
      <c r="AG436" s="125" t="n"/>
      <c r="AH436" s="134" t="n"/>
      <c r="AI436" s="16" t="n"/>
      <c r="AJ436" s="17" t="n"/>
      <c r="AK436" s="89">
        <f>DADOS_INVOC!$HU$10</f>
        <v/>
      </c>
      <c r="AL436" s="17" t="n"/>
      <c r="AM436" s="125" t="n"/>
      <c r="AN436" s="134" t="n"/>
      <c r="AO436" s="16" t="n"/>
      <c r="AP436" s="16" t="n"/>
      <c r="AQ436" s="17" t="n"/>
      <c r="AR436" s="89" t="n"/>
      <c r="AS436" s="125" t="n"/>
    </row>
    <row r="437" hidden="1" outlineLevel="1">
      <c r="A437" s="8" t="n"/>
      <c r="B437" s="14" t="n"/>
      <c r="C437" s="125" t="n"/>
      <c r="D437" s="125" t="n"/>
      <c r="E437" s="125" t="n"/>
      <c r="F437" s="125" t="n"/>
      <c r="G437" s="125" t="n"/>
      <c r="I437" s="125" t="n"/>
      <c r="J437" s="125" t="n"/>
      <c r="K437" s="125" t="n"/>
      <c r="L437" s="125" t="n"/>
      <c r="M437" s="125" t="n"/>
      <c r="N437" s="125" t="n"/>
      <c r="O437" s="134" t="n"/>
      <c r="P437" s="16" t="n"/>
      <c r="Q437" s="17" t="n"/>
      <c r="R437" s="89">
        <f>DADOS_INVOC!$HV$4</f>
        <v/>
      </c>
      <c r="S437" s="17" t="n"/>
      <c r="T437" s="125" t="n"/>
      <c r="U437" s="134" t="n"/>
      <c r="V437" s="16" t="n"/>
      <c r="W437" s="16" t="n"/>
      <c r="X437" s="17" t="n"/>
      <c r="Y437" s="89" t="n"/>
      <c r="Z437" s="125" t="n"/>
      <c r="AB437" s="125" t="n"/>
      <c r="AC437" s="125" t="n"/>
      <c r="AD437" s="125" t="n"/>
      <c r="AE437" s="125" t="n"/>
      <c r="AF437" s="125" t="n"/>
      <c r="AG437" s="125" t="n"/>
      <c r="AH437" s="134" t="n"/>
      <c r="AI437" s="16" t="n"/>
      <c r="AJ437" s="17" t="n"/>
      <c r="AK437" s="89">
        <f>DADOS_INVOC!$HV$10</f>
        <v/>
      </c>
      <c r="AL437" s="17" t="n"/>
      <c r="AM437" s="125" t="n"/>
      <c r="AN437" s="134" t="n"/>
      <c r="AO437" s="16" t="n"/>
      <c r="AP437" s="16" t="n"/>
      <c r="AQ437" s="17" t="n"/>
      <c r="AR437" s="89" t="n"/>
      <c r="AS437" s="125" t="n"/>
    </row>
    <row r="438" hidden="1" outlineLevel="1">
      <c r="A438" s="8" t="n"/>
      <c r="B438" s="14" t="n"/>
      <c r="C438" s="125" t="n"/>
      <c r="D438" s="125" t="n"/>
      <c r="E438" s="125" t="n"/>
      <c r="F438" s="125" t="n"/>
      <c r="G438" s="125" t="n"/>
      <c r="I438" s="55" t="inlineStr">
        <is>
          <t>TIPO</t>
        </is>
      </c>
      <c r="J438" s="16" t="n"/>
      <c r="K438" s="16" t="n"/>
      <c r="L438" s="16" t="n"/>
      <c r="M438" s="17" t="n"/>
      <c r="N438" s="125" t="n"/>
      <c r="O438" s="134" t="n"/>
      <c r="P438" s="16" t="n"/>
      <c r="Q438" s="17" t="n"/>
      <c r="R438" s="89">
        <f>DADOS_INVOC!$HW$4</f>
        <v/>
      </c>
      <c r="S438" s="17" t="n"/>
      <c r="T438" s="125" t="n"/>
      <c r="U438" s="134" t="n"/>
      <c r="V438" s="16" t="n"/>
      <c r="W438" s="16" t="n"/>
      <c r="X438" s="17" t="n"/>
      <c r="Y438" s="89" t="n"/>
      <c r="Z438" s="125" t="n"/>
      <c r="AB438" s="55" t="inlineStr">
        <is>
          <t>TIPO</t>
        </is>
      </c>
      <c r="AC438" s="16" t="n"/>
      <c r="AD438" s="16" t="n"/>
      <c r="AE438" s="16" t="n"/>
      <c r="AF438" s="17" t="n"/>
      <c r="AG438" s="125" t="n"/>
      <c r="AH438" s="134" t="n"/>
      <c r="AI438" s="16" t="n"/>
      <c r="AJ438" s="17" t="n"/>
      <c r="AK438" s="89">
        <f>DADOS_INVOC!$HW$10</f>
        <v/>
      </c>
      <c r="AL438" s="17" t="n"/>
      <c r="AM438" s="125" t="n"/>
      <c r="AN438" s="134" t="n"/>
      <c r="AO438" s="16" t="n"/>
      <c r="AP438" s="16" t="n"/>
      <c r="AQ438" s="17" t="n"/>
      <c r="AR438" s="89" t="n"/>
      <c r="AS438" s="125" t="n"/>
    </row>
    <row r="439" hidden="1" outlineLevel="1">
      <c r="A439" s="8" t="n"/>
      <c r="B439" s="14" t="n"/>
      <c r="C439" s="125" t="n"/>
      <c r="D439" s="125" t="n"/>
      <c r="E439" s="125" t="n"/>
      <c r="F439" s="125" t="n"/>
      <c r="G439" s="125" t="n"/>
      <c r="I439" s="89" t="inlineStr">
        <is>
          <t>Shikigami de técnica</t>
        </is>
      </c>
      <c r="J439" s="19" t="n"/>
      <c r="K439" s="19" t="n"/>
      <c r="L439" s="19" t="n"/>
      <c r="M439" s="20" t="n"/>
      <c r="N439" s="125" t="n"/>
      <c r="O439" s="134" t="n"/>
      <c r="P439" s="16" t="n"/>
      <c r="Q439" s="17" t="n"/>
      <c r="R439" s="89">
        <f>DADOS_INVOC!$HX$4</f>
        <v/>
      </c>
      <c r="S439" s="17" t="n"/>
      <c r="T439" s="125" t="n"/>
      <c r="U439" s="125" t="n"/>
      <c r="V439" s="125" t="n"/>
      <c r="W439" s="125" t="n"/>
      <c r="X439" s="125" t="n"/>
      <c r="Y439" s="125" t="n"/>
      <c r="Z439" s="125" t="n"/>
      <c r="AB439" s="89" t="inlineStr">
        <is>
          <t>Shikigami de técnica</t>
        </is>
      </c>
      <c r="AC439" s="19" t="n"/>
      <c r="AD439" s="19" t="n"/>
      <c r="AE439" s="19" t="n"/>
      <c r="AF439" s="20" t="n"/>
      <c r="AG439" s="125" t="n"/>
      <c r="AH439" s="134" t="n"/>
      <c r="AI439" s="16" t="n"/>
      <c r="AJ439" s="17" t="n"/>
      <c r="AK439" s="89">
        <f>DADOS_INVOC!$HX$10</f>
        <v/>
      </c>
      <c r="AL439" s="17" t="n"/>
      <c r="AM439" s="125" t="n"/>
      <c r="AN439" s="125" t="n"/>
      <c r="AO439" s="125" t="n"/>
      <c r="AP439" s="125" t="n"/>
      <c r="AQ439" s="125" t="n"/>
      <c r="AR439" s="125" t="n"/>
      <c r="AS439" s="125" t="n"/>
    </row>
    <row r="440" hidden="1" outlineLevel="1">
      <c r="A440" s="8" t="n"/>
      <c r="B440" s="14" t="n"/>
      <c r="C440" s="125" t="n"/>
      <c r="D440" s="125" t="n"/>
      <c r="E440" s="125" t="n"/>
      <c r="F440" s="125" t="n"/>
      <c r="G440" s="125" t="n"/>
      <c r="I440" s="23" t="n"/>
      <c r="J440" s="24" t="n"/>
      <c r="K440" s="24" t="n"/>
      <c r="L440" s="24" t="n"/>
      <c r="M440" s="25" t="n"/>
      <c r="N440" s="125" t="n"/>
      <c r="O440" s="134" t="n"/>
      <c r="P440" s="16" t="n"/>
      <c r="Q440" s="17" t="n"/>
      <c r="R440" s="89">
        <f>DADOS_INVOC!$HY$4</f>
        <v/>
      </c>
      <c r="S440" s="17" t="n"/>
      <c r="T440" s="125" t="n"/>
      <c r="U440" s="55" t="inlineStr">
        <is>
          <t>CORPO, SENTIDOS E COMUNICAÇÃO</t>
        </is>
      </c>
      <c r="V440" s="16" t="n"/>
      <c r="W440" s="16" t="n"/>
      <c r="X440" s="16" t="n"/>
      <c r="Y440" s="17" t="n"/>
      <c r="Z440" s="125" t="n"/>
      <c r="AB440" s="23" t="n"/>
      <c r="AC440" s="24" t="n"/>
      <c r="AD440" s="24" t="n"/>
      <c r="AE440" s="24" t="n"/>
      <c r="AF440" s="25" t="n"/>
      <c r="AG440" s="125" t="n"/>
      <c r="AH440" s="134" t="n"/>
      <c r="AI440" s="16" t="n"/>
      <c r="AJ440" s="17" t="n"/>
      <c r="AK440" s="89">
        <f>DADOS_INVOC!$HY$10</f>
        <v/>
      </c>
      <c r="AL440" s="17" t="n"/>
      <c r="AM440" s="125" t="n"/>
      <c r="AN440" s="55" t="inlineStr">
        <is>
          <t>CORPO, SENTIDOS E COMUNICAÇÃO</t>
        </is>
      </c>
      <c r="AO440" s="16" t="n"/>
      <c r="AP440" s="16" t="n"/>
      <c r="AQ440" s="16" t="n"/>
      <c r="AR440" s="17" t="n"/>
      <c r="AS440" s="125" t="n"/>
    </row>
    <row r="441" hidden="1" outlineLevel="1">
      <c r="A441" s="8" t="n"/>
      <c r="B441" s="14" t="n"/>
      <c r="C441" s="125" t="n"/>
      <c r="D441" s="125" t="n"/>
      <c r="E441" s="125" t="n"/>
      <c r="F441" s="125" t="n"/>
      <c r="G441" s="125" t="n"/>
      <c r="I441" s="125" t="n"/>
      <c r="J441" s="125" t="n"/>
      <c r="K441" s="125" t="n"/>
      <c r="L441" s="125" t="n"/>
      <c r="M441" s="125" t="n"/>
      <c r="N441" s="125" t="n"/>
      <c r="O441" s="125" t="n"/>
      <c r="P441" s="125" t="n"/>
      <c r="Q441" s="125" t="n"/>
      <c r="R441" s="125" t="n"/>
      <c r="S441" s="125" t="n"/>
      <c r="T441" s="125" t="n"/>
      <c r="U441" s="121" t="n"/>
      <c r="V441" s="19" t="n"/>
      <c r="W441" s="19" t="n"/>
      <c r="X441" s="19" t="n"/>
      <c r="Y441" s="20" t="n"/>
      <c r="Z441" s="125" t="n"/>
      <c r="AB441" s="125" t="n"/>
      <c r="AC441" s="125" t="n"/>
      <c r="AD441" s="125" t="n"/>
      <c r="AE441" s="125" t="n"/>
      <c r="AF441" s="125" t="n"/>
      <c r="AG441" s="125" t="n"/>
      <c r="AH441" s="125" t="n"/>
      <c r="AI441" s="125" t="n"/>
      <c r="AJ441" s="125" t="n"/>
      <c r="AK441" s="125" t="n"/>
      <c r="AL441" s="125" t="n"/>
      <c r="AM441" s="125" t="n"/>
      <c r="AN441" s="121" t="n"/>
      <c r="AO441" s="19" t="n"/>
      <c r="AP441" s="19" t="n"/>
      <c r="AQ441" s="19" t="n"/>
      <c r="AR441" s="20" t="n"/>
      <c r="AS441" s="125" t="n"/>
    </row>
    <row r="442" hidden="1" outlineLevel="1">
      <c r="A442" s="8" t="n"/>
      <c r="B442" s="14" t="n"/>
      <c r="C442" s="125" t="n"/>
      <c r="D442" s="125" t="n"/>
      <c r="E442" s="125" t="n"/>
      <c r="F442" s="125" t="n"/>
      <c r="G442" s="125" t="n"/>
      <c r="I442" s="55" t="inlineStr">
        <is>
          <t>AQUISIÇÃO</t>
        </is>
      </c>
      <c r="J442" s="17" t="n"/>
      <c r="K442" s="55" t="inlineStr">
        <is>
          <t>OBTIDA NO NÍVEL</t>
        </is>
      </c>
      <c r="L442" s="55" t="inlineStr">
        <is>
          <t>TALISMÃ</t>
        </is>
      </c>
      <c r="M442" s="17" t="n"/>
      <c r="N442" s="125" t="n"/>
      <c r="O442" s="55">
        <f>DADOS_INVOC!$IB$4</f>
        <v/>
      </c>
      <c r="P442" s="16" t="n"/>
      <c r="Q442" s="16" t="n"/>
      <c r="R442" s="16" t="n"/>
      <c r="S442" s="17" t="n"/>
      <c r="T442" s="125" t="n"/>
      <c r="U442" s="21" t="n"/>
      <c r="Y442" s="22" t="n"/>
      <c r="Z442" s="125" t="n"/>
      <c r="AB442" s="55" t="inlineStr">
        <is>
          <t>AQUISIÇÃO</t>
        </is>
      </c>
      <c r="AC442" s="17" t="n"/>
      <c r="AD442" s="55" t="inlineStr">
        <is>
          <t>OBTIDA NO NÍVEL</t>
        </is>
      </c>
      <c r="AE442" s="55" t="inlineStr">
        <is>
          <t>TALISMÃ</t>
        </is>
      </c>
      <c r="AF442" s="17" t="n"/>
      <c r="AG442" s="125" t="n"/>
      <c r="AH442" s="55">
        <f>DADOS_INVOC!$IB$10</f>
        <v/>
      </c>
      <c r="AI442" s="16" t="n"/>
      <c r="AJ442" s="16" t="n"/>
      <c r="AK442" s="16" t="n"/>
      <c r="AL442" s="17" t="n"/>
      <c r="AM442" s="125" t="n"/>
      <c r="AN442" s="21" t="n"/>
      <c r="AR442" s="22" t="n"/>
      <c r="AS442" s="125" t="n"/>
    </row>
    <row r="443" hidden="1" outlineLevel="1">
      <c r="A443" s="8" t="n"/>
      <c r="B443" s="14" t="n"/>
      <c r="C443" s="125" t="n"/>
      <c r="D443" s="125" t="n"/>
      <c r="E443" s="125" t="n"/>
      <c r="F443" s="125" t="n"/>
      <c r="G443" s="125" t="n"/>
      <c r="I443" s="89" t="inlineStr">
        <is>
          <t>Espaço conhecido</t>
        </is>
      </c>
      <c r="J443" s="20" t="n"/>
      <c r="K443" s="89" t="n"/>
      <c r="L443" s="89" t="inlineStr">
        <is>
          <t>Sem carga</t>
        </is>
      </c>
      <c r="M443" s="20" t="n"/>
      <c r="N443" s="125" t="n"/>
      <c r="O443" s="55" t="inlineStr">
        <is>
          <t>LIVRE</t>
        </is>
      </c>
      <c r="P443" s="55" t="inlineStr">
        <is>
          <t>LIVRE · TRILHA</t>
        </is>
      </c>
      <c r="Q443" s="55" t="inlineStr">
        <is>
          <t>ABERTA</t>
        </is>
      </c>
      <c r="R443" s="55" t="inlineStr">
        <is>
          <t>ABERTA</t>
        </is>
      </c>
      <c r="S443" s="55" t="inlineStr">
        <is>
          <t>ABERTA · TRILHA</t>
        </is>
      </c>
      <c r="T443" s="125" t="n"/>
      <c r="U443" s="21" t="n"/>
      <c r="Y443" s="22" t="n"/>
      <c r="Z443" s="125" t="n"/>
      <c r="AB443" s="89" t="inlineStr">
        <is>
          <t>Espaço conhecido</t>
        </is>
      </c>
      <c r="AC443" s="20" t="n"/>
      <c r="AD443" s="89" t="n"/>
      <c r="AE443" s="89" t="inlineStr">
        <is>
          <t>Sem carga</t>
        </is>
      </c>
      <c r="AF443" s="20" t="n"/>
      <c r="AG443" s="125" t="n"/>
      <c r="AH443" s="55" t="inlineStr">
        <is>
          <t>LIVRE</t>
        </is>
      </c>
      <c r="AI443" s="55" t="inlineStr">
        <is>
          <t>LIVRE · TRILHA</t>
        </is>
      </c>
      <c r="AJ443" s="55" t="inlineStr">
        <is>
          <t>ABERTA</t>
        </is>
      </c>
      <c r="AK443" s="55" t="inlineStr">
        <is>
          <t>ABERTA</t>
        </is>
      </c>
      <c r="AL443" s="55" t="inlineStr">
        <is>
          <t>ABERTA · TRILHA</t>
        </is>
      </c>
      <c r="AM443" s="125" t="n"/>
      <c r="AN443" s="21" t="n"/>
      <c r="AR443" s="22" t="n"/>
      <c r="AS443" s="125" t="n"/>
    </row>
    <row r="444" hidden="1" outlineLevel="1">
      <c r="A444" s="8" t="n"/>
      <c r="B444" s="14" t="n"/>
      <c r="C444" s="125" t="n"/>
      <c r="D444" s="125" t="n"/>
      <c r="E444" s="125" t="n"/>
      <c r="F444" s="125" t="n"/>
      <c r="G444" s="125" t="n"/>
      <c r="I444" s="23" t="n"/>
      <c r="J444" s="25" t="n"/>
      <c r="K444" s="129" t="n"/>
      <c r="L444" s="23" t="n"/>
      <c r="M444" s="25" t="n"/>
      <c r="N444" s="125" t="n"/>
      <c r="O444" s="89" t="n"/>
      <c r="P444" s="89" t="n"/>
      <c r="Q444" s="89" t="n"/>
      <c r="R444" s="89" t="n"/>
      <c r="S444" s="89" t="n"/>
      <c r="T444" s="125" t="n"/>
      <c r="U444" s="21" t="n"/>
      <c r="Y444" s="22" t="n"/>
      <c r="Z444" s="125" t="n"/>
      <c r="AB444" s="23" t="n"/>
      <c r="AC444" s="25" t="n"/>
      <c r="AD444" s="129" t="n"/>
      <c r="AE444" s="23" t="n"/>
      <c r="AF444" s="25" t="n"/>
      <c r="AG444" s="125" t="n"/>
      <c r="AH444" s="89" t="n"/>
      <c r="AI444" s="89" t="n"/>
      <c r="AJ444" s="89" t="n"/>
      <c r="AK444" s="89" t="n"/>
      <c r="AL444" s="89" t="n"/>
      <c r="AM444" s="125" t="n"/>
      <c r="AN444" s="21" t="n"/>
      <c r="AR444" s="22" t="n"/>
      <c r="AS444" s="125" t="n"/>
    </row>
    <row r="445" hidden="1" outlineLevel="1">
      <c r="A445" s="8" t="n"/>
      <c r="B445" s="14" t="n"/>
      <c r="C445" s="125" t="n"/>
      <c r="D445" s="125" t="n"/>
      <c r="E445" s="125" t="n"/>
      <c r="F445" s="125" t="n"/>
      <c r="G445" s="125" t="n"/>
      <c r="I445" s="125" t="n"/>
      <c r="J445" s="125" t="n"/>
      <c r="K445" s="125" t="n"/>
      <c r="L445" s="125" t="n"/>
      <c r="M445" s="125" t="n"/>
      <c r="N445" s="125" t="n"/>
      <c r="O445" s="129" t="n"/>
      <c r="P445" s="129" t="n"/>
      <c r="Q445" s="129" t="n"/>
      <c r="R445" s="129" t="n"/>
      <c r="S445" s="129" t="n"/>
      <c r="T445" s="125" t="n"/>
      <c r="U445" s="23" t="n"/>
      <c r="V445" s="24" t="n"/>
      <c r="W445" s="24" t="n"/>
      <c r="X445" s="24" t="n"/>
      <c r="Y445" s="25" t="n"/>
      <c r="Z445" s="125" t="n"/>
      <c r="AB445" s="125" t="n"/>
      <c r="AC445" s="125" t="n"/>
      <c r="AD445" s="125" t="n"/>
      <c r="AE445" s="125" t="n"/>
      <c r="AF445" s="125" t="n"/>
      <c r="AG445" s="125" t="n"/>
      <c r="AH445" s="129" t="n"/>
      <c r="AI445" s="129" t="n"/>
      <c r="AJ445" s="129" t="n"/>
      <c r="AK445" s="129" t="n"/>
      <c r="AL445" s="129" t="n"/>
      <c r="AM445" s="125" t="n"/>
      <c r="AN445" s="23" t="n"/>
      <c r="AO445" s="24" t="n"/>
      <c r="AP445" s="24" t="n"/>
      <c r="AQ445" s="24" t="n"/>
      <c r="AR445" s="25" t="n"/>
      <c r="AS445" s="125" t="n"/>
    </row>
    <row r="446" hidden="1" outlineLevel="1">
      <c r="A446" s="8" t="n"/>
      <c r="B446" s="14" t="n"/>
      <c r="C446" s="125" t="n"/>
      <c r="D446" s="125" t="n"/>
      <c r="E446" s="125" t="n"/>
      <c r="F446" s="125" t="n"/>
      <c r="G446" s="125" t="n"/>
      <c r="I446" s="125" t="n"/>
      <c r="J446" s="125" t="n"/>
      <c r="K446" s="125" t="n"/>
      <c r="L446" s="125" t="n"/>
      <c r="M446" s="125" t="n"/>
      <c r="N446" s="125" t="n"/>
      <c r="O446" s="125" t="n"/>
      <c r="P446" s="125" t="n"/>
      <c r="Q446" s="125" t="n"/>
      <c r="R446" s="125" t="n"/>
      <c r="S446" s="125" t="n"/>
      <c r="T446" s="125" t="n"/>
      <c r="U446" s="125" t="n"/>
      <c r="V446" s="125" t="n"/>
      <c r="W446" s="125" t="n"/>
      <c r="X446" s="125" t="n"/>
      <c r="Y446" s="125" t="n"/>
      <c r="Z446" s="125" t="n"/>
      <c r="AB446" s="125" t="n"/>
      <c r="AC446" s="125" t="n"/>
      <c r="AD446" s="125" t="n"/>
      <c r="AE446" s="125" t="n"/>
      <c r="AF446" s="125" t="n"/>
      <c r="AG446" s="125" t="n"/>
      <c r="AH446" s="125" t="n"/>
      <c r="AI446" s="125" t="n"/>
      <c r="AJ446" s="125" t="n"/>
      <c r="AK446" s="125" t="n"/>
      <c r="AL446" s="125" t="n"/>
      <c r="AM446" s="125" t="n"/>
      <c r="AN446" s="125" t="n"/>
      <c r="AO446" s="125" t="n"/>
      <c r="AP446" s="125" t="n"/>
      <c r="AQ446" s="125" t="n"/>
      <c r="AR446" s="125" t="n"/>
      <c r="AS446" s="125" t="n"/>
    </row>
    <row r="447" hidden="1" outlineLevel="1">
      <c r="A447" s="8" t="n"/>
      <c r="B447" s="14" t="n"/>
      <c r="C447" s="125" t="n"/>
      <c r="D447" s="125" t="n"/>
      <c r="E447" s="125" t="n"/>
      <c r="F447" s="125" t="n"/>
      <c r="G447" s="125"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5"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5" t="n"/>
    </row>
    <row r="448" hidden="1" outlineLevel="1">
      <c r="A448" s="8" t="n"/>
      <c r="B448" s="14" t="n"/>
      <c r="C448" s="125" t="n"/>
      <c r="D448" s="125" t="n"/>
      <c r="E448" s="125" t="n"/>
      <c r="F448" s="125" t="n"/>
      <c r="G448" s="125" t="n"/>
      <c r="I448" s="121" t="n"/>
      <c r="J448" s="19" t="n"/>
      <c r="K448" s="19" t="n"/>
      <c r="L448" s="19" t="n"/>
      <c r="M448" s="19" t="n"/>
      <c r="N448" s="19" t="n"/>
      <c r="O448" s="19" t="n"/>
      <c r="P448" s="19" t="n"/>
      <c r="Q448" s="19" t="n"/>
      <c r="R448" s="19" t="n"/>
      <c r="S448" s="19" t="n"/>
      <c r="T448" s="19" t="n"/>
      <c r="U448" s="19" t="n"/>
      <c r="V448" s="19" t="n"/>
      <c r="W448" s="19" t="n"/>
      <c r="X448" s="19" t="n"/>
      <c r="Y448" s="20" t="n"/>
      <c r="Z448" s="125" t="n"/>
      <c r="AB448" s="121" t="n"/>
      <c r="AC448" s="19" t="n"/>
      <c r="AD448" s="19" t="n"/>
      <c r="AE448" s="19" t="n"/>
      <c r="AF448" s="19" t="n"/>
      <c r="AG448" s="19" t="n"/>
      <c r="AH448" s="19" t="n"/>
      <c r="AI448" s="19" t="n"/>
      <c r="AJ448" s="19" t="n"/>
      <c r="AK448" s="19" t="n"/>
      <c r="AL448" s="19" t="n"/>
      <c r="AM448" s="19" t="n"/>
      <c r="AN448" s="19" t="n"/>
      <c r="AO448" s="19" t="n"/>
      <c r="AP448" s="19" t="n"/>
      <c r="AQ448" s="19" t="n"/>
      <c r="AR448" s="20" t="n"/>
      <c r="AS448" s="125" t="n"/>
    </row>
    <row r="449" hidden="1" outlineLevel="1">
      <c r="A449" s="8" t="n"/>
      <c r="B449" s="14" t="n"/>
      <c r="C449" s="125" t="n"/>
      <c r="D449" s="125" t="n"/>
      <c r="E449" s="125" t="n"/>
      <c r="F449" s="125" t="n"/>
      <c r="G449" s="125" t="n"/>
      <c r="I449" s="23" t="n"/>
      <c r="J449" s="24" t="n"/>
      <c r="K449" s="24" t="n"/>
      <c r="L449" s="24" t="n"/>
      <c r="M449" s="24" t="n"/>
      <c r="N449" s="24" t="n"/>
      <c r="O449" s="24" t="n"/>
      <c r="P449" s="24" t="n"/>
      <c r="Q449" s="24" t="n"/>
      <c r="R449" s="24" t="n"/>
      <c r="S449" s="24" t="n"/>
      <c r="T449" s="24" t="n"/>
      <c r="U449" s="24" t="n"/>
      <c r="V449" s="24" t="n"/>
      <c r="W449" s="24" t="n"/>
      <c r="X449" s="24" t="n"/>
      <c r="Y449" s="25" t="n"/>
      <c r="Z449" s="125"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5" t="n"/>
    </row>
    <row r="450" hidden="1" outlineLevel="1">
      <c r="A450" s="8" t="n"/>
      <c r="B450" s="14" t="n"/>
      <c r="C450" s="125" t="n"/>
      <c r="D450" s="125" t="n"/>
      <c r="E450" s="125" t="n"/>
      <c r="F450" s="125" t="n"/>
      <c r="G450" s="125" t="n"/>
      <c r="I450" s="125" t="n"/>
      <c r="J450" s="125" t="n"/>
      <c r="K450" s="125" t="n"/>
      <c r="L450" s="125" t="n"/>
      <c r="M450" s="125" t="n"/>
      <c r="N450" s="125" t="n"/>
      <c r="O450" s="125" t="n"/>
      <c r="P450" s="125" t="n"/>
      <c r="Q450" s="125" t="n"/>
      <c r="R450" s="125" t="n"/>
      <c r="S450" s="125" t="n"/>
      <c r="T450" s="125" t="n"/>
      <c r="U450" s="125" t="n"/>
      <c r="V450" s="125" t="n"/>
      <c r="W450" s="125" t="n"/>
      <c r="X450" s="125" t="n"/>
      <c r="Y450" s="125" t="n"/>
      <c r="Z450" s="125" t="n"/>
      <c r="AB450" s="125" t="n"/>
      <c r="AC450" s="125" t="n"/>
      <c r="AD450" s="125" t="n"/>
      <c r="AE450" s="125" t="n"/>
      <c r="AF450" s="125" t="n"/>
      <c r="AG450" s="125" t="n"/>
      <c r="AH450" s="125" t="n"/>
      <c r="AI450" s="125" t="n"/>
      <c r="AJ450" s="125" t="n"/>
      <c r="AK450" s="125" t="n"/>
      <c r="AL450" s="125" t="n"/>
      <c r="AM450" s="125" t="n"/>
      <c r="AN450" s="125" t="n"/>
      <c r="AO450" s="125" t="n"/>
      <c r="AP450" s="125" t="n"/>
      <c r="AQ450" s="125" t="n"/>
      <c r="AR450" s="125" t="n"/>
      <c r="AS450" s="125" t="n"/>
    </row>
    <row r="451" hidden="1" outlineLevel="1">
      <c r="A451" s="8" t="n"/>
      <c r="B451" s="14" t="n"/>
      <c r="C451" s="125" t="n"/>
      <c r="D451" s="125" t="n"/>
      <c r="E451" s="125" t="n"/>
      <c r="F451" s="125" t="n"/>
      <c r="G451" s="125" t="n"/>
      <c r="I451" s="137">
        <f>DADOS_INVOC!$IC$4</f>
        <v/>
      </c>
      <c r="J451" s="16" t="n"/>
      <c r="K451" s="16" t="n"/>
      <c r="L451" s="16" t="n"/>
      <c r="M451" s="16" t="n"/>
      <c r="N451" s="16" t="n"/>
      <c r="O451" s="16" t="n"/>
      <c r="P451" s="16" t="n"/>
      <c r="Q451" s="16" t="n"/>
      <c r="R451" s="16" t="n"/>
      <c r="S451" s="16" t="n"/>
      <c r="T451" s="16" t="n"/>
      <c r="U451" s="16" t="n"/>
      <c r="V451" s="16" t="n"/>
      <c r="W451" s="16" t="n"/>
      <c r="X451" s="16" t="n"/>
      <c r="Y451" s="17" t="n"/>
      <c r="Z451" s="125" t="n"/>
      <c r="AB451" s="137">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5" t="n"/>
    </row>
    <row r="452" hidden="1" outlineLevel="1">
      <c r="A452" s="8" t="n"/>
      <c r="B452" s="14" t="n"/>
      <c r="C452" s="125" t="n"/>
      <c r="D452" s="125" t="n"/>
      <c r="E452" s="125" t="n"/>
      <c r="F452" s="125" t="n"/>
      <c r="G452" s="125" t="n"/>
      <c r="I452" s="125" t="n"/>
      <c r="J452" s="125" t="n"/>
      <c r="K452" s="125" t="n"/>
      <c r="L452" s="125" t="n"/>
      <c r="M452" s="125" t="n"/>
      <c r="N452" s="125" t="n"/>
      <c r="O452" s="125" t="n"/>
      <c r="P452" s="125" t="n"/>
      <c r="Q452" s="125" t="n"/>
      <c r="R452" s="125" t="n"/>
      <c r="S452" s="125" t="n"/>
      <c r="T452" s="125" t="n"/>
      <c r="U452" s="125" t="n"/>
      <c r="V452" s="125" t="n"/>
      <c r="W452" s="125" t="n"/>
      <c r="X452" s="125" t="n"/>
      <c r="Y452" s="125" t="n"/>
      <c r="Z452" s="125" t="n"/>
      <c r="AB452" s="125" t="n"/>
      <c r="AC452" s="125" t="n"/>
      <c r="AD452" s="125" t="n"/>
      <c r="AE452" s="125" t="n"/>
      <c r="AF452" s="125" t="n"/>
      <c r="AG452" s="125" t="n"/>
      <c r="AH452" s="125" t="n"/>
      <c r="AI452" s="125" t="n"/>
      <c r="AJ452" s="125" t="n"/>
      <c r="AK452" s="125" t="n"/>
      <c r="AL452" s="125" t="n"/>
      <c r="AM452" s="125" t="n"/>
      <c r="AN452" s="125" t="n"/>
      <c r="AO452" s="125" t="n"/>
      <c r="AP452" s="125" t="n"/>
      <c r="AQ452" s="125" t="n"/>
      <c r="AR452" s="125" t="n"/>
      <c r="AS452" s="125" t="n"/>
    </row>
    <row r="453" hidden="1" outlineLevel="1">
      <c r="A453" s="8" t="n"/>
      <c r="B453" s="14" t="n"/>
      <c r="C453" s="125" t="n"/>
      <c r="D453" s="125" t="n"/>
      <c r="E453" s="125" t="n"/>
      <c r="F453" s="125" t="n"/>
      <c r="G453" s="125" t="n"/>
      <c r="I453" s="55">
        <f>DADOS_INVOC!$PX$28</f>
        <v/>
      </c>
      <c r="J453" s="16" t="n"/>
      <c r="K453" s="16" t="n"/>
      <c r="L453" s="16" t="n"/>
      <c r="M453" s="17" t="n"/>
      <c r="N453" s="125" t="n"/>
      <c r="O453" s="55">
        <f>DADOS_INVOC!$PX$29</f>
        <v/>
      </c>
      <c r="P453" s="16" t="n"/>
      <c r="Q453" s="16" t="n"/>
      <c r="R453" s="16" t="n"/>
      <c r="S453" s="17" t="n"/>
      <c r="T453" s="125" t="n"/>
      <c r="U453" s="55">
        <f>DADOS_INVOC!$PX$30</f>
        <v/>
      </c>
      <c r="V453" s="16" t="n"/>
      <c r="W453" s="16" t="n"/>
      <c r="X453" s="16" t="n"/>
      <c r="Y453" s="17" t="n"/>
      <c r="Z453" s="125" t="n"/>
      <c r="AB453" s="55">
        <f>DADOS_INVOC!$PX$106</f>
        <v/>
      </c>
      <c r="AC453" s="16" t="n"/>
      <c r="AD453" s="16" t="n"/>
      <c r="AE453" s="16" t="n"/>
      <c r="AF453" s="17" t="n"/>
      <c r="AG453" s="125" t="n"/>
      <c r="AH453" s="55">
        <f>DADOS_INVOC!$PX$107</f>
        <v/>
      </c>
      <c r="AI453" s="16" t="n"/>
      <c r="AJ453" s="16" t="n"/>
      <c r="AK453" s="16" t="n"/>
      <c r="AL453" s="17" t="n"/>
      <c r="AM453" s="125" t="n"/>
      <c r="AN453" s="55">
        <f>DADOS_INVOC!$PX$108</f>
        <v/>
      </c>
      <c r="AO453" s="16" t="n"/>
      <c r="AP453" s="16" t="n"/>
      <c r="AQ453" s="16" t="n"/>
      <c r="AR453" s="17" t="n"/>
      <c r="AS453" s="125" t="n"/>
    </row>
    <row r="454" hidden="1" outlineLevel="1">
      <c r="A454" s="8" t="n"/>
      <c r="B454" s="14" t="n"/>
      <c r="C454" s="125" t="n"/>
      <c r="D454" s="125" t="n"/>
      <c r="E454" s="125" t="n"/>
      <c r="F454" s="125" t="n"/>
      <c r="G454" s="125" t="n"/>
      <c r="I454" s="131" t="n">
        <v>0</v>
      </c>
      <c r="J454" s="120" t="n"/>
      <c r="K454" s="16" t="n"/>
      <c r="L454" s="17" t="n"/>
      <c r="M454" s="132">
        <f>DADOS_INVOC!$PV$28</f>
        <v/>
      </c>
      <c r="N454" s="125" t="n"/>
      <c r="O454" s="131" t="n">
        <v>1</v>
      </c>
      <c r="P454" s="120" t="n"/>
      <c r="Q454" s="16" t="n"/>
      <c r="R454" s="17" t="n"/>
      <c r="S454" s="132">
        <f>DADOS_INVOC!$PV$29</f>
        <v/>
      </c>
      <c r="T454" s="125" t="n"/>
      <c r="U454" s="131" t="n">
        <v>1</v>
      </c>
      <c r="V454" s="120" t="n"/>
      <c r="W454" s="16" t="n"/>
      <c r="X454" s="17" t="n"/>
      <c r="Y454" s="132">
        <f>DADOS_INVOC!$PV$30</f>
        <v/>
      </c>
      <c r="Z454" s="125" t="n"/>
      <c r="AB454" s="131" t="n">
        <v>0</v>
      </c>
      <c r="AC454" s="120" t="n"/>
      <c r="AD454" s="16" t="n"/>
      <c r="AE454" s="17" t="n"/>
      <c r="AF454" s="132">
        <f>DADOS_INVOC!$PV$106</f>
        <v/>
      </c>
      <c r="AG454" s="125" t="n"/>
      <c r="AH454" s="131" t="n">
        <v>1</v>
      </c>
      <c r="AI454" s="120" t="n"/>
      <c r="AJ454" s="16" t="n"/>
      <c r="AK454" s="17" t="n"/>
      <c r="AL454" s="132">
        <f>DADOS_INVOC!$PV$107</f>
        <v/>
      </c>
      <c r="AM454" s="125" t="n"/>
      <c r="AN454" s="131" t="n">
        <v>1</v>
      </c>
      <c r="AO454" s="120" t="n"/>
      <c r="AP454" s="16" t="n"/>
      <c r="AQ454" s="17" t="n"/>
      <c r="AR454" s="132">
        <f>DADOS_INVOC!$PV$108</f>
        <v/>
      </c>
      <c r="AS454" s="125" t="n"/>
    </row>
    <row r="455" hidden="1" outlineLevel="2">
      <c r="A455" s="8" t="n"/>
      <c r="B455" s="14" t="n"/>
      <c r="C455" s="125" t="n"/>
      <c r="D455" s="125" t="n"/>
      <c r="E455" s="125" t="n"/>
      <c r="F455" s="125" t="n"/>
      <c r="G455" s="125" t="n"/>
      <c r="I455" s="55" t="inlineStr">
        <is>
          <t>COMO É</t>
        </is>
      </c>
      <c r="J455" s="16" t="n"/>
      <c r="K455" s="16" t="n"/>
      <c r="L455" s="16" t="n"/>
      <c r="M455" s="17" t="n"/>
      <c r="N455" s="125" t="n"/>
      <c r="O455" s="55" t="inlineStr">
        <is>
          <t>COMO É</t>
        </is>
      </c>
      <c r="P455" s="16" t="n"/>
      <c r="Q455" s="16" t="n"/>
      <c r="R455" s="16" t="n"/>
      <c r="S455" s="17" t="n"/>
      <c r="T455" s="125" t="n"/>
      <c r="U455" s="55" t="inlineStr">
        <is>
          <t>COMO É</t>
        </is>
      </c>
      <c r="V455" s="16" t="n"/>
      <c r="W455" s="16" t="n"/>
      <c r="X455" s="16" t="n"/>
      <c r="Y455" s="17" t="n"/>
      <c r="Z455" s="125" t="n"/>
      <c r="AB455" s="55" t="inlineStr">
        <is>
          <t>COMO É</t>
        </is>
      </c>
      <c r="AC455" s="16" t="n"/>
      <c r="AD455" s="16" t="n"/>
      <c r="AE455" s="16" t="n"/>
      <c r="AF455" s="17" t="n"/>
      <c r="AG455" s="125" t="n"/>
      <c r="AH455" s="55" t="inlineStr">
        <is>
          <t>COMO É</t>
        </is>
      </c>
      <c r="AI455" s="16" t="n"/>
      <c r="AJ455" s="16" t="n"/>
      <c r="AK455" s="16" t="n"/>
      <c r="AL455" s="17" t="n"/>
      <c r="AM455" s="125" t="n"/>
      <c r="AN455" s="55" t="inlineStr">
        <is>
          <t>COMO É</t>
        </is>
      </c>
      <c r="AO455" s="16" t="n"/>
      <c r="AP455" s="16" t="n"/>
      <c r="AQ455" s="16" t="n"/>
      <c r="AR455" s="17" t="n"/>
      <c r="AS455" s="125" t="n"/>
    </row>
    <row r="456" hidden="1" outlineLevel="2">
      <c r="A456" s="8" t="n"/>
      <c r="B456" s="14" t="n"/>
      <c r="C456" s="125" t="n"/>
      <c r="D456" s="125" t="n"/>
      <c r="E456" s="125" t="n"/>
      <c r="F456" s="125" t="n"/>
      <c r="G456" s="125" t="n"/>
      <c r="I456" s="121" t="n"/>
      <c r="J456" s="19" t="n"/>
      <c r="K456" s="19" t="n"/>
      <c r="L456" s="19" t="n"/>
      <c r="M456" s="20" t="n"/>
      <c r="N456" s="125" t="n"/>
      <c r="O456" s="121" t="n"/>
      <c r="P456" s="19" t="n"/>
      <c r="Q456" s="19" t="n"/>
      <c r="R456" s="19" t="n"/>
      <c r="S456" s="20" t="n"/>
      <c r="T456" s="125" t="n"/>
      <c r="U456" s="121" t="n"/>
      <c r="V456" s="19" t="n"/>
      <c r="W456" s="19" t="n"/>
      <c r="X456" s="19" t="n"/>
      <c r="Y456" s="20" t="n"/>
      <c r="Z456" s="125" t="n"/>
      <c r="AB456" s="121" t="n"/>
      <c r="AC456" s="19" t="n"/>
      <c r="AD456" s="19" t="n"/>
      <c r="AE456" s="19" t="n"/>
      <c r="AF456" s="20" t="n"/>
      <c r="AG456" s="125" t="n"/>
      <c r="AH456" s="121" t="n"/>
      <c r="AI456" s="19" t="n"/>
      <c r="AJ456" s="19" t="n"/>
      <c r="AK456" s="19" t="n"/>
      <c r="AL456" s="20" t="n"/>
      <c r="AM456" s="125" t="n"/>
      <c r="AN456" s="121" t="n"/>
      <c r="AO456" s="19" t="n"/>
      <c r="AP456" s="19" t="n"/>
      <c r="AQ456" s="19" t="n"/>
      <c r="AR456" s="20" t="n"/>
      <c r="AS456" s="125" t="n"/>
    </row>
    <row r="457" hidden="1" outlineLevel="2">
      <c r="A457" s="8" t="n"/>
      <c r="B457" s="14" t="n"/>
      <c r="C457" s="125" t="n"/>
      <c r="D457" s="125" t="n"/>
      <c r="E457" s="125" t="n"/>
      <c r="F457" s="125" t="n"/>
      <c r="G457" s="125" t="n"/>
      <c r="I457" s="21" t="n"/>
      <c r="M457" s="22" t="n"/>
      <c r="N457" s="125" t="n"/>
      <c r="O457" s="21" t="n"/>
      <c r="S457" s="22" t="n"/>
      <c r="T457" s="125" t="n"/>
      <c r="U457" s="21" t="n"/>
      <c r="Y457" s="22" t="n"/>
      <c r="Z457" s="125" t="n"/>
      <c r="AB457" s="21" t="n"/>
      <c r="AF457" s="22" t="n"/>
      <c r="AG457" s="125" t="n"/>
      <c r="AH457" s="21" t="n"/>
      <c r="AL457" s="22" t="n"/>
      <c r="AM457" s="125" t="n"/>
      <c r="AN457" s="21" t="n"/>
      <c r="AR457" s="22" t="n"/>
      <c r="AS457" s="125" t="n"/>
    </row>
    <row r="458" hidden="1" outlineLevel="2">
      <c r="A458" s="8" t="n"/>
      <c r="B458" s="14" t="n"/>
      <c r="C458" s="125" t="n"/>
      <c r="D458" s="125" t="n"/>
      <c r="E458" s="125" t="n"/>
      <c r="F458" s="125" t="n"/>
      <c r="G458" s="125" t="n"/>
      <c r="I458" s="23" t="n"/>
      <c r="J458" s="24" t="n"/>
      <c r="K458" s="24" t="n"/>
      <c r="L458" s="24" t="n"/>
      <c r="M458" s="25" t="n"/>
      <c r="N458" s="125" t="n"/>
      <c r="O458" s="23" t="n"/>
      <c r="P458" s="24" t="n"/>
      <c r="Q458" s="24" t="n"/>
      <c r="R458" s="24" t="n"/>
      <c r="S458" s="25" t="n"/>
      <c r="T458" s="125" t="n"/>
      <c r="U458" s="23" t="n"/>
      <c r="V458" s="24" t="n"/>
      <c r="W458" s="24" t="n"/>
      <c r="X458" s="24" t="n"/>
      <c r="Y458" s="25" t="n"/>
      <c r="Z458" s="125" t="n"/>
      <c r="AB458" s="23" t="n"/>
      <c r="AC458" s="24" t="n"/>
      <c r="AD458" s="24" t="n"/>
      <c r="AE458" s="24" t="n"/>
      <c r="AF458" s="25" t="n"/>
      <c r="AG458" s="125" t="n"/>
      <c r="AH458" s="23" t="n"/>
      <c r="AI458" s="24" t="n"/>
      <c r="AJ458" s="24" t="n"/>
      <c r="AK458" s="24" t="n"/>
      <c r="AL458" s="25" t="n"/>
      <c r="AM458" s="125" t="n"/>
      <c r="AN458" s="23" t="n"/>
      <c r="AO458" s="24" t="n"/>
      <c r="AP458" s="24" t="n"/>
      <c r="AQ458" s="24" t="n"/>
      <c r="AR458" s="25" t="n"/>
      <c r="AS458" s="125" t="n"/>
    </row>
    <row r="459" hidden="1" outlineLevel="1">
      <c r="A459" s="8" t="n"/>
      <c r="B459" s="14" t="n"/>
      <c r="C459" s="125" t="n"/>
      <c r="D459" s="125" t="n"/>
      <c r="E459" s="125" t="n"/>
      <c r="F459" s="125" t="n"/>
      <c r="G459" s="125" t="n"/>
      <c r="I459" s="89" t="inlineStr">
        <is>
          <t>Projétil</t>
        </is>
      </c>
      <c r="J459" s="17" t="n"/>
      <c r="K459" s="68">
        <f>DADOS_INVOC!$QC$28</f>
        <v/>
      </c>
      <c r="L459" s="17" t="n"/>
      <c r="M459" s="68">
        <f>DADOS_INVOC!$PY$28</f>
        <v/>
      </c>
      <c r="N459" s="125" t="n"/>
      <c r="O459" s="89" t="inlineStr">
        <is>
          <t>Projétil</t>
        </is>
      </c>
      <c r="P459" s="17" t="n"/>
      <c r="Q459" s="68">
        <f>DADOS_INVOC!$QC$29</f>
        <v/>
      </c>
      <c r="R459" s="17" t="n"/>
      <c r="S459" s="68">
        <f>DADOS_INVOC!$PY$29</f>
        <v/>
      </c>
      <c r="T459" s="125" t="n"/>
      <c r="U459" s="89" t="inlineStr">
        <is>
          <t>Projétil</t>
        </is>
      </c>
      <c r="V459" s="17" t="n"/>
      <c r="W459" s="68">
        <f>DADOS_INVOC!$QC$30</f>
        <v/>
      </c>
      <c r="X459" s="17" t="n"/>
      <c r="Y459" s="68">
        <f>DADOS_INVOC!$PY$30</f>
        <v/>
      </c>
      <c r="Z459" s="125" t="n"/>
      <c r="AB459" s="89" t="inlineStr">
        <is>
          <t>Projétil</t>
        </is>
      </c>
      <c r="AC459" s="17" t="n"/>
      <c r="AD459" s="68">
        <f>DADOS_INVOC!$QC$106</f>
        <v/>
      </c>
      <c r="AE459" s="17" t="n"/>
      <c r="AF459" s="68">
        <f>DADOS_INVOC!$PY$106</f>
        <v/>
      </c>
      <c r="AG459" s="125" t="n"/>
      <c r="AH459" s="89" t="inlineStr">
        <is>
          <t>Projétil</t>
        </is>
      </c>
      <c r="AI459" s="17" t="n"/>
      <c r="AJ459" s="68">
        <f>DADOS_INVOC!$QC$107</f>
        <v/>
      </c>
      <c r="AK459" s="17" t="n"/>
      <c r="AL459" s="68">
        <f>DADOS_INVOC!$PY$107</f>
        <v/>
      </c>
      <c r="AM459" s="125" t="n"/>
      <c r="AN459" s="89" t="inlineStr">
        <is>
          <t>Projétil</t>
        </is>
      </c>
      <c r="AO459" s="17" t="n"/>
      <c r="AP459" s="68">
        <f>DADOS_INVOC!$QC$108</f>
        <v/>
      </c>
      <c r="AQ459" s="17" t="n"/>
      <c r="AR459" s="68">
        <f>DADOS_INVOC!$PY$108</f>
        <v/>
      </c>
      <c r="AS459" s="125" t="n"/>
    </row>
    <row r="460" hidden="1" outlineLevel="1">
      <c r="A460" s="8" t="n"/>
      <c r="B460" s="14" t="n"/>
      <c r="C460" s="125" t="n"/>
      <c r="D460" s="125" t="n"/>
      <c r="E460" s="125" t="n"/>
      <c r="F460" s="125" t="n"/>
      <c r="G460" s="125" t="n"/>
      <c r="I460" s="89" t="n"/>
      <c r="J460" s="17" t="n"/>
      <c r="K460" s="89" t="n"/>
      <c r="L460" s="16" t="n"/>
      <c r="M460" s="17" t="n"/>
      <c r="N460" s="125" t="n"/>
      <c r="O460" s="89" t="n"/>
      <c r="P460" s="17" t="n"/>
      <c r="Q460" s="89" t="n"/>
      <c r="R460" s="16" t="n"/>
      <c r="S460" s="17" t="n"/>
      <c r="T460" s="125" t="n"/>
      <c r="U460" s="89" t="n"/>
      <c r="V460" s="17" t="n"/>
      <c r="W460" s="89" t="n"/>
      <c r="X460" s="16" t="n"/>
      <c r="Y460" s="17" t="n"/>
      <c r="Z460" s="125" t="n"/>
      <c r="AB460" s="89" t="n"/>
      <c r="AC460" s="17" t="n"/>
      <c r="AD460" s="89" t="n"/>
      <c r="AE460" s="16" t="n"/>
      <c r="AF460" s="17" t="n"/>
      <c r="AG460" s="125" t="n"/>
      <c r="AH460" s="89" t="n"/>
      <c r="AI460" s="17" t="n"/>
      <c r="AJ460" s="89" t="n"/>
      <c r="AK460" s="16" t="n"/>
      <c r="AL460" s="17" t="n"/>
      <c r="AM460" s="125" t="n"/>
      <c r="AN460" s="89" t="n"/>
      <c r="AO460" s="17" t="n"/>
      <c r="AP460" s="89" t="n"/>
      <c r="AQ460" s="16" t="n"/>
      <c r="AR460" s="17" t="n"/>
      <c r="AS460" s="125" t="n"/>
    </row>
    <row r="461" hidden="1" outlineLevel="1">
      <c r="A461" s="8" t="n"/>
      <c r="B461" s="14" t="n"/>
      <c r="C461" s="125" t="n"/>
      <c r="D461" s="125" t="n"/>
      <c r="E461" s="125" t="n"/>
      <c r="F461" s="125" t="n"/>
      <c r="G461" s="125" t="n"/>
      <c r="I461" s="89">
        <f>DADOS_INVOC!$PZ$28</f>
        <v/>
      </c>
      <c r="J461" s="17" t="n"/>
      <c r="K461" s="89">
        <f>DADOS_INVOC!$QB$28</f>
        <v/>
      </c>
      <c r="L461" s="16" t="n"/>
      <c r="M461" s="17" t="n"/>
      <c r="N461" s="125" t="n"/>
      <c r="O461" s="89">
        <f>DADOS_INVOC!$PZ$29</f>
        <v/>
      </c>
      <c r="P461" s="17" t="n"/>
      <c r="Q461" s="89">
        <f>DADOS_INVOC!$QB$29</f>
        <v/>
      </c>
      <c r="R461" s="16" t="n"/>
      <c r="S461" s="17" t="n"/>
      <c r="T461" s="125" t="n"/>
      <c r="U461" s="89">
        <f>DADOS_INVOC!$PZ$30</f>
        <v/>
      </c>
      <c r="V461" s="17" t="n"/>
      <c r="W461" s="89">
        <f>DADOS_INVOC!$QB$30</f>
        <v/>
      </c>
      <c r="X461" s="16" t="n"/>
      <c r="Y461" s="17" t="n"/>
      <c r="Z461" s="125" t="n"/>
      <c r="AB461" s="89">
        <f>DADOS_INVOC!$PZ$106</f>
        <v/>
      </c>
      <c r="AC461" s="17" t="n"/>
      <c r="AD461" s="89">
        <f>DADOS_INVOC!$QB$106</f>
        <v/>
      </c>
      <c r="AE461" s="16" t="n"/>
      <c r="AF461" s="17" t="n"/>
      <c r="AG461" s="125" t="n"/>
      <c r="AH461" s="89">
        <f>DADOS_INVOC!$PZ$107</f>
        <v/>
      </c>
      <c r="AI461" s="17" t="n"/>
      <c r="AJ461" s="89">
        <f>DADOS_INVOC!$QB$107</f>
        <v/>
      </c>
      <c r="AK461" s="16" t="n"/>
      <c r="AL461" s="17" t="n"/>
      <c r="AM461" s="125" t="n"/>
      <c r="AN461" s="89">
        <f>DADOS_INVOC!$PZ$108</f>
        <v/>
      </c>
      <c r="AO461" s="17" t="n"/>
      <c r="AP461" s="89">
        <f>DADOS_INVOC!$QB$108</f>
        <v/>
      </c>
      <c r="AQ461" s="16" t="n"/>
      <c r="AR461" s="17" t="n"/>
      <c r="AS461" s="125" t="n"/>
    </row>
    <row r="462" hidden="1" outlineLevel="1">
      <c r="A462" s="8" t="n"/>
      <c r="B462" s="14" t="n"/>
      <c r="C462" s="125" t="n"/>
      <c r="D462" s="125" t="n"/>
      <c r="E462" s="125" t="n"/>
      <c r="F462" s="125" t="n"/>
      <c r="G462" s="125" t="n"/>
      <c r="I462" s="133">
        <f>DADOS_INVOC!$QH$28</f>
        <v/>
      </c>
      <c r="J462" s="16" t="n"/>
      <c r="K462" s="16" t="n"/>
      <c r="L462" s="16" t="n"/>
      <c r="M462" s="17" t="n"/>
      <c r="N462" s="125" t="n"/>
      <c r="O462" s="133">
        <f>DADOS_INVOC!$QH$29</f>
        <v/>
      </c>
      <c r="P462" s="16" t="n"/>
      <c r="Q462" s="16" t="n"/>
      <c r="R462" s="16" t="n"/>
      <c r="S462" s="17" t="n"/>
      <c r="T462" s="125" t="n"/>
      <c r="U462" s="133">
        <f>DADOS_INVOC!$QH$30</f>
        <v/>
      </c>
      <c r="V462" s="16" t="n"/>
      <c r="W462" s="16" t="n"/>
      <c r="X462" s="16" t="n"/>
      <c r="Y462" s="17" t="n"/>
      <c r="Z462" s="125" t="n"/>
      <c r="AB462" s="133">
        <f>DADOS_INVOC!$QH$106</f>
        <v/>
      </c>
      <c r="AC462" s="16" t="n"/>
      <c r="AD462" s="16" t="n"/>
      <c r="AE462" s="16" t="n"/>
      <c r="AF462" s="17" t="n"/>
      <c r="AG462" s="125" t="n"/>
      <c r="AH462" s="133">
        <f>DADOS_INVOC!$QH$107</f>
        <v/>
      </c>
      <c r="AI462" s="16" t="n"/>
      <c r="AJ462" s="16" t="n"/>
      <c r="AK462" s="16" t="n"/>
      <c r="AL462" s="17" t="n"/>
      <c r="AM462" s="125" t="n"/>
      <c r="AN462" s="133">
        <f>DADOS_INVOC!$QH$108</f>
        <v/>
      </c>
      <c r="AO462" s="16" t="n"/>
      <c r="AP462" s="16" t="n"/>
      <c r="AQ462" s="16" t="n"/>
      <c r="AR462" s="17" t="n"/>
      <c r="AS462" s="125" t="n"/>
    </row>
    <row r="463" hidden="1" outlineLevel="2">
      <c r="A463" s="8" t="n"/>
      <c r="B463" s="14" t="n"/>
      <c r="C463" s="125" t="n"/>
      <c r="D463" s="125" t="n"/>
      <c r="E463" s="125" t="n"/>
      <c r="F463" s="125" t="n"/>
      <c r="G463" s="125" t="n"/>
      <c r="I463" s="55" t="inlineStr">
        <is>
          <t>MELHORIAS</t>
        </is>
      </c>
      <c r="J463" s="134" t="n"/>
      <c r="K463" s="16" t="n"/>
      <c r="L463" s="17" t="n"/>
      <c r="M463" s="133">
        <f>DADOS_INVOC!$QK$28</f>
        <v/>
      </c>
      <c r="N463" s="125" t="n"/>
      <c r="O463" s="55" t="inlineStr">
        <is>
          <t>MELHORIAS</t>
        </is>
      </c>
      <c r="P463" s="134" t="n"/>
      <c r="Q463" s="16" t="n"/>
      <c r="R463" s="17" t="n"/>
      <c r="S463" s="133">
        <f>DADOS_INVOC!$QK$29</f>
        <v/>
      </c>
      <c r="T463" s="125" t="n"/>
      <c r="U463" s="55" t="inlineStr">
        <is>
          <t>MELHORIAS</t>
        </is>
      </c>
      <c r="V463" s="134" t="n"/>
      <c r="W463" s="16" t="n"/>
      <c r="X463" s="17" t="n"/>
      <c r="Y463" s="133">
        <f>DADOS_INVOC!$QK$30</f>
        <v/>
      </c>
      <c r="Z463" s="125" t="n"/>
      <c r="AB463" s="55" t="inlineStr">
        <is>
          <t>MELHORIAS</t>
        </is>
      </c>
      <c r="AC463" s="134" t="n"/>
      <c r="AD463" s="16" t="n"/>
      <c r="AE463" s="17" t="n"/>
      <c r="AF463" s="133">
        <f>DADOS_INVOC!$QK$106</f>
        <v/>
      </c>
      <c r="AG463" s="125" t="n"/>
      <c r="AH463" s="55" t="inlineStr">
        <is>
          <t>MELHORIAS</t>
        </is>
      </c>
      <c r="AI463" s="134" t="n"/>
      <c r="AJ463" s="16" t="n"/>
      <c r="AK463" s="17" t="n"/>
      <c r="AL463" s="133">
        <f>DADOS_INVOC!$QK$107</f>
        <v/>
      </c>
      <c r="AM463" s="125" t="n"/>
      <c r="AN463" s="55" t="inlineStr">
        <is>
          <t>MELHORIAS</t>
        </is>
      </c>
      <c r="AO463" s="134" t="n"/>
      <c r="AP463" s="16" t="n"/>
      <c r="AQ463" s="17" t="n"/>
      <c r="AR463" s="133">
        <f>DADOS_INVOC!$QK$108</f>
        <v/>
      </c>
      <c r="AS463" s="125" t="n"/>
    </row>
    <row r="464" hidden="1" outlineLevel="2">
      <c r="A464" s="8" t="n"/>
      <c r="B464" s="14" t="n"/>
      <c r="C464" s="125" t="n"/>
      <c r="D464" s="125" t="n"/>
      <c r="E464" s="125" t="n"/>
      <c r="F464" s="125" t="n"/>
      <c r="G464" s="125" t="n"/>
      <c r="I464" s="135" t="n"/>
      <c r="J464" s="134" t="n"/>
      <c r="K464" s="16" t="n"/>
      <c r="L464" s="17" t="n"/>
      <c r="M464" s="133">
        <f>DADOS_INVOC!$QL$28</f>
        <v/>
      </c>
      <c r="N464" s="125" t="n"/>
      <c r="O464" s="135" t="n"/>
      <c r="P464" s="134" t="n"/>
      <c r="Q464" s="16" t="n"/>
      <c r="R464" s="17" t="n"/>
      <c r="S464" s="133">
        <f>DADOS_INVOC!$QL$29</f>
        <v/>
      </c>
      <c r="T464" s="125" t="n"/>
      <c r="U464" s="135" t="n"/>
      <c r="V464" s="134" t="n"/>
      <c r="W464" s="16" t="n"/>
      <c r="X464" s="17" t="n"/>
      <c r="Y464" s="133">
        <f>DADOS_INVOC!$QL$30</f>
        <v/>
      </c>
      <c r="Z464" s="125" t="n"/>
      <c r="AB464" s="135" t="n"/>
      <c r="AC464" s="134" t="n"/>
      <c r="AD464" s="16" t="n"/>
      <c r="AE464" s="17" t="n"/>
      <c r="AF464" s="133">
        <f>DADOS_INVOC!$QL$106</f>
        <v/>
      </c>
      <c r="AG464" s="125" t="n"/>
      <c r="AH464" s="135" t="n"/>
      <c r="AI464" s="134" t="n"/>
      <c r="AJ464" s="16" t="n"/>
      <c r="AK464" s="17" t="n"/>
      <c r="AL464" s="133">
        <f>DADOS_INVOC!$QL$107</f>
        <v/>
      </c>
      <c r="AM464" s="125" t="n"/>
      <c r="AN464" s="135" t="n"/>
      <c r="AO464" s="134" t="n"/>
      <c r="AP464" s="16" t="n"/>
      <c r="AQ464" s="17" t="n"/>
      <c r="AR464" s="133">
        <f>DADOS_INVOC!$QL$108</f>
        <v/>
      </c>
      <c r="AS464" s="125" t="n"/>
    </row>
    <row r="465" hidden="1" outlineLevel="2">
      <c r="A465" s="8" t="n"/>
      <c r="B465" s="14" t="n"/>
      <c r="C465" s="125" t="n"/>
      <c r="D465" s="125" t="n"/>
      <c r="E465" s="125" t="n"/>
      <c r="F465" s="125" t="n"/>
      <c r="G465" s="125" t="n"/>
      <c r="I465" s="135" t="n"/>
      <c r="J465" s="134" t="n"/>
      <c r="K465" s="16" t="n"/>
      <c r="L465" s="17" t="n"/>
      <c r="M465" s="133">
        <f>DADOS_INVOC!$QM$28</f>
        <v/>
      </c>
      <c r="N465" s="125" t="n"/>
      <c r="O465" s="135" t="n"/>
      <c r="P465" s="134" t="n"/>
      <c r="Q465" s="16" t="n"/>
      <c r="R465" s="17" t="n"/>
      <c r="S465" s="133">
        <f>DADOS_INVOC!$QM$29</f>
        <v/>
      </c>
      <c r="T465" s="125" t="n"/>
      <c r="U465" s="135" t="n"/>
      <c r="V465" s="134" t="n"/>
      <c r="W465" s="16" t="n"/>
      <c r="X465" s="17" t="n"/>
      <c r="Y465" s="133">
        <f>DADOS_INVOC!$QM$30</f>
        <v/>
      </c>
      <c r="Z465" s="125" t="n"/>
      <c r="AB465" s="135" t="n"/>
      <c r="AC465" s="134" t="n"/>
      <c r="AD465" s="16" t="n"/>
      <c r="AE465" s="17" t="n"/>
      <c r="AF465" s="133">
        <f>DADOS_INVOC!$QM$106</f>
        <v/>
      </c>
      <c r="AG465" s="125" t="n"/>
      <c r="AH465" s="135" t="n"/>
      <c r="AI465" s="134" t="n"/>
      <c r="AJ465" s="16" t="n"/>
      <c r="AK465" s="17" t="n"/>
      <c r="AL465" s="133">
        <f>DADOS_INVOC!$QM$107</f>
        <v/>
      </c>
      <c r="AM465" s="125" t="n"/>
      <c r="AN465" s="135" t="n"/>
      <c r="AO465" s="134" t="n"/>
      <c r="AP465" s="16" t="n"/>
      <c r="AQ465" s="17" t="n"/>
      <c r="AR465" s="133">
        <f>DADOS_INVOC!$QM$108</f>
        <v/>
      </c>
      <c r="AS465" s="125" t="n"/>
    </row>
    <row r="466" hidden="1" outlineLevel="2">
      <c r="A466" s="8" t="n"/>
      <c r="B466" s="14" t="n"/>
      <c r="C466" s="125" t="n"/>
      <c r="D466" s="125" t="n"/>
      <c r="E466" s="125" t="n"/>
      <c r="F466" s="125" t="n"/>
      <c r="G466" s="125" t="n"/>
      <c r="I466" s="129" t="n"/>
      <c r="J466" s="134" t="n"/>
      <c r="K466" s="16" t="n"/>
      <c r="L466" s="17" t="n"/>
      <c r="M466" s="133">
        <f>DADOS_INVOC!$QN$28</f>
        <v/>
      </c>
      <c r="N466" s="125" t="n"/>
      <c r="O466" s="129" t="n"/>
      <c r="P466" s="134" t="n"/>
      <c r="Q466" s="16" t="n"/>
      <c r="R466" s="17" t="n"/>
      <c r="S466" s="133">
        <f>DADOS_INVOC!$QN$29</f>
        <v/>
      </c>
      <c r="T466" s="125" t="n"/>
      <c r="U466" s="129" t="n"/>
      <c r="V466" s="134" t="n"/>
      <c r="W466" s="16" t="n"/>
      <c r="X466" s="17" t="n"/>
      <c r="Y466" s="133">
        <f>DADOS_INVOC!$QN$30</f>
        <v/>
      </c>
      <c r="Z466" s="125" t="n"/>
      <c r="AB466" s="129" t="n"/>
      <c r="AC466" s="134" t="n"/>
      <c r="AD466" s="16" t="n"/>
      <c r="AE466" s="17" t="n"/>
      <c r="AF466" s="133">
        <f>DADOS_INVOC!$QN$106</f>
        <v/>
      </c>
      <c r="AG466" s="125" t="n"/>
      <c r="AH466" s="129" t="n"/>
      <c r="AI466" s="134" t="n"/>
      <c r="AJ466" s="16" t="n"/>
      <c r="AK466" s="17" t="n"/>
      <c r="AL466" s="133">
        <f>DADOS_INVOC!$QN$107</f>
        <v/>
      </c>
      <c r="AM466" s="125" t="n"/>
      <c r="AN466" s="129" t="n"/>
      <c r="AO466" s="134" t="n"/>
      <c r="AP466" s="16" t="n"/>
      <c r="AQ466" s="17" t="n"/>
      <c r="AR466" s="133">
        <f>DADOS_INVOC!$QN$108</f>
        <v/>
      </c>
      <c r="AS466" s="125" t="n"/>
    </row>
    <row r="467" hidden="1" outlineLevel="2">
      <c r="A467" s="8" t="n"/>
      <c r="B467" s="14" t="n"/>
      <c r="C467" s="125" t="n"/>
      <c r="D467" s="125" t="n"/>
      <c r="E467" s="125" t="n"/>
      <c r="F467" s="125" t="n"/>
      <c r="G467" s="125" t="n"/>
      <c r="I467" s="55" t="inlineStr">
        <is>
          <t>RESTRIÇÕES</t>
        </is>
      </c>
      <c r="J467" s="134" t="n"/>
      <c r="K467" s="16" t="n"/>
      <c r="L467" s="17" t="n"/>
      <c r="M467" s="133">
        <f>DADOS_INVOC!$QO$28</f>
        <v/>
      </c>
      <c r="N467" s="125" t="n"/>
      <c r="O467" s="55" t="inlineStr">
        <is>
          <t>RESTRIÇÕES</t>
        </is>
      </c>
      <c r="P467" s="134" t="n"/>
      <c r="Q467" s="16" t="n"/>
      <c r="R467" s="17" t="n"/>
      <c r="S467" s="133">
        <f>DADOS_INVOC!$QO$29</f>
        <v/>
      </c>
      <c r="T467" s="125" t="n"/>
      <c r="U467" s="55" t="inlineStr">
        <is>
          <t>RESTRIÇÕES</t>
        </is>
      </c>
      <c r="V467" s="134" t="n"/>
      <c r="W467" s="16" t="n"/>
      <c r="X467" s="17" t="n"/>
      <c r="Y467" s="133">
        <f>DADOS_INVOC!$QO$30</f>
        <v/>
      </c>
      <c r="Z467" s="125" t="n"/>
      <c r="AB467" s="55" t="inlineStr">
        <is>
          <t>RESTRIÇÕES</t>
        </is>
      </c>
      <c r="AC467" s="134" t="n"/>
      <c r="AD467" s="16" t="n"/>
      <c r="AE467" s="17" t="n"/>
      <c r="AF467" s="133">
        <f>DADOS_INVOC!$QO$106</f>
        <v/>
      </c>
      <c r="AG467" s="125" t="n"/>
      <c r="AH467" s="55" t="inlineStr">
        <is>
          <t>RESTRIÇÕES</t>
        </is>
      </c>
      <c r="AI467" s="134" t="n"/>
      <c r="AJ467" s="16" t="n"/>
      <c r="AK467" s="17" t="n"/>
      <c r="AL467" s="133">
        <f>DADOS_INVOC!$QO$107</f>
        <v/>
      </c>
      <c r="AM467" s="125" t="n"/>
      <c r="AN467" s="55" t="inlineStr">
        <is>
          <t>RESTRIÇÕES</t>
        </is>
      </c>
      <c r="AO467" s="134" t="n"/>
      <c r="AP467" s="16" t="n"/>
      <c r="AQ467" s="17" t="n"/>
      <c r="AR467" s="133">
        <f>DADOS_INVOC!$QO$108</f>
        <v/>
      </c>
      <c r="AS467" s="125" t="n"/>
    </row>
    <row r="468" hidden="1" outlineLevel="2">
      <c r="A468" s="8" t="n"/>
      <c r="B468" s="14" t="n"/>
      <c r="C468" s="125" t="n"/>
      <c r="D468" s="125" t="n"/>
      <c r="E468" s="125" t="n"/>
      <c r="F468" s="125" t="n"/>
      <c r="G468" s="125" t="n"/>
      <c r="I468" s="129" t="n"/>
      <c r="J468" s="134" t="n"/>
      <c r="K468" s="16" t="n"/>
      <c r="L468" s="17" t="n"/>
      <c r="M468" s="133">
        <f>DADOS_INVOC!$QP$28</f>
        <v/>
      </c>
      <c r="N468" s="125" t="n"/>
      <c r="O468" s="129" t="n"/>
      <c r="P468" s="134" t="n"/>
      <c r="Q468" s="16" t="n"/>
      <c r="R468" s="17" t="n"/>
      <c r="S468" s="133">
        <f>DADOS_INVOC!$QP$29</f>
        <v/>
      </c>
      <c r="T468" s="125" t="n"/>
      <c r="U468" s="129" t="n"/>
      <c r="V468" s="134" t="n"/>
      <c r="W468" s="16" t="n"/>
      <c r="X468" s="17" t="n"/>
      <c r="Y468" s="133">
        <f>DADOS_INVOC!$QP$30</f>
        <v/>
      </c>
      <c r="Z468" s="125" t="n"/>
      <c r="AB468" s="129" t="n"/>
      <c r="AC468" s="134" t="n"/>
      <c r="AD468" s="16" t="n"/>
      <c r="AE468" s="17" t="n"/>
      <c r="AF468" s="133">
        <f>DADOS_INVOC!$QP$106</f>
        <v/>
      </c>
      <c r="AG468" s="125" t="n"/>
      <c r="AH468" s="129" t="n"/>
      <c r="AI468" s="134" t="n"/>
      <c r="AJ468" s="16" t="n"/>
      <c r="AK468" s="17" t="n"/>
      <c r="AL468" s="133">
        <f>DADOS_INVOC!$QP$107</f>
        <v/>
      </c>
      <c r="AM468" s="125" t="n"/>
      <c r="AN468" s="129" t="n"/>
      <c r="AO468" s="134" t="n"/>
      <c r="AP468" s="16" t="n"/>
      <c r="AQ468" s="17" t="n"/>
      <c r="AR468" s="133">
        <f>DADOS_INVOC!$QP$108</f>
        <v/>
      </c>
      <c r="AS468" s="125" t="n"/>
    </row>
    <row r="469" hidden="1" outlineLevel="2">
      <c r="A469" s="8" t="n"/>
      <c r="B469" s="14" t="n"/>
      <c r="C469" s="125" t="n"/>
      <c r="D469" s="125" t="n"/>
      <c r="E469" s="125" t="n"/>
      <c r="F469" s="125" t="n"/>
      <c r="G469" s="125" t="n"/>
      <c r="I469" s="55" t="inlineStr">
        <is>
          <t>CONTA</t>
        </is>
      </c>
      <c r="J469" s="136">
        <f>DADOS_INVOC!$QI$28</f>
        <v/>
      </c>
      <c r="K469" s="16" t="n"/>
      <c r="L469" s="16" t="n"/>
      <c r="M469" s="17" t="n"/>
      <c r="N469" s="125" t="n"/>
      <c r="O469" s="55" t="inlineStr">
        <is>
          <t>CONTA</t>
        </is>
      </c>
      <c r="P469" s="136">
        <f>DADOS_INVOC!$QI$29</f>
        <v/>
      </c>
      <c r="Q469" s="16" t="n"/>
      <c r="R469" s="16" t="n"/>
      <c r="S469" s="17" t="n"/>
      <c r="T469" s="125" t="n"/>
      <c r="U469" s="55" t="inlineStr">
        <is>
          <t>CONTA</t>
        </is>
      </c>
      <c r="V469" s="136">
        <f>DADOS_INVOC!$QI$30</f>
        <v/>
      </c>
      <c r="W469" s="16" t="n"/>
      <c r="X469" s="16" t="n"/>
      <c r="Y469" s="17" t="n"/>
      <c r="Z469" s="125" t="n"/>
      <c r="AB469" s="55" t="inlineStr">
        <is>
          <t>CONTA</t>
        </is>
      </c>
      <c r="AC469" s="136">
        <f>DADOS_INVOC!$QI$106</f>
        <v/>
      </c>
      <c r="AD469" s="16" t="n"/>
      <c r="AE469" s="16" t="n"/>
      <c r="AF469" s="17" t="n"/>
      <c r="AG469" s="125" t="n"/>
      <c r="AH469" s="55" t="inlineStr">
        <is>
          <t>CONTA</t>
        </is>
      </c>
      <c r="AI469" s="136">
        <f>DADOS_INVOC!$QI$107</f>
        <v/>
      </c>
      <c r="AJ469" s="16" t="n"/>
      <c r="AK469" s="16" t="n"/>
      <c r="AL469" s="17" t="n"/>
      <c r="AM469" s="125" t="n"/>
      <c r="AN469" s="55" t="inlineStr">
        <is>
          <t>CONTA</t>
        </is>
      </c>
      <c r="AO469" s="136">
        <f>DADOS_INVOC!$QI$108</f>
        <v/>
      </c>
      <c r="AP469" s="16" t="n"/>
      <c r="AQ469" s="16" t="n"/>
      <c r="AR469" s="17" t="n"/>
      <c r="AS469" s="125" t="n"/>
    </row>
    <row r="470" hidden="1" outlineLevel="2">
      <c r="A470" s="8" t="n"/>
      <c r="B470" s="14" t="n"/>
      <c r="C470" s="125" t="n"/>
      <c r="D470" s="125" t="n"/>
      <c r="E470" s="125" t="n"/>
      <c r="F470" s="125" t="n"/>
      <c r="G470" s="125" t="n"/>
      <c r="I470" s="55" t="inlineStr">
        <is>
          <t>AMPLIAR</t>
        </is>
      </c>
      <c r="J470" s="136">
        <f>DADOS_INVOC!$QJ$28</f>
        <v/>
      </c>
      <c r="K470" s="19" t="n"/>
      <c r="L470" s="19" t="n"/>
      <c r="M470" s="20" t="n"/>
      <c r="N470" s="125" t="n"/>
      <c r="O470" s="55" t="inlineStr">
        <is>
          <t>AMPLIAR</t>
        </is>
      </c>
      <c r="P470" s="136">
        <f>DADOS_INVOC!$QJ$29</f>
        <v/>
      </c>
      <c r="Q470" s="19" t="n"/>
      <c r="R470" s="19" t="n"/>
      <c r="S470" s="20" t="n"/>
      <c r="T470" s="125" t="n"/>
      <c r="U470" s="55" t="inlineStr">
        <is>
          <t>AMPLIAR</t>
        </is>
      </c>
      <c r="V470" s="136">
        <f>DADOS_INVOC!$QJ$30</f>
        <v/>
      </c>
      <c r="W470" s="19" t="n"/>
      <c r="X470" s="19" t="n"/>
      <c r="Y470" s="20" t="n"/>
      <c r="Z470" s="125" t="n"/>
      <c r="AB470" s="55" t="inlineStr">
        <is>
          <t>AMPLIAR</t>
        </is>
      </c>
      <c r="AC470" s="136">
        <f>DADOS_INVOC!$QJ$106</f>
        <v/>
      </c>
      <c r="AD470" s="19" t="n"/>
      <c r="AE470" s="19" t="n"/>
      <c r="AF470" s="20" t="n"/>
      <c r="AG470" s="125" t="n"/>
      <c r="AH470" s="55" t="inlineStr">
        <is>
          <t>AMPLIAR</t>
        </is>
      </c>
      <c r="AI470" s="136">
        <f>DADOS_INVOC!$QJ$107</f>
        <v/>
      </c>
      <c r="AJ470" s="19" t="n"/>
      <c r="AK470" s="19" t="n"/>
      <c r="AL470" s="20" t="n"/>
      <c r="AM470" s="125" t="n"/>
      <c r="AN470" s="55" t="inlineStr">
        <is>
          <t>AMPLIAR</t>
        </is>
      </c>
      <c r="AO470" s="136">
        <f>DADOS_INVOC!$QJ$108</f>
        <v/>
      </c>
      <c r="AP470" s="19" t="n"/>
      <c r="AQ470" s="19" t="n"/>
      <c r="AR470" s="20" t="n"/>
      <c r="AS470" s="125" t="n"/>
    </row>
    <row r="471" hidden="1" outlineLevel="2">
      <c r="A471" s="8" t="n"/>
      <c r="B471" s="14" t="n"/>
      <c r="C471" s="125" t="n"/>
      <c r="D471" s="125" t="n"/>
      <c r="E471" s="125" t="n"/>
      <c r="F471" s="125" t="n"/>
      <c r="G471" s="125" t="n"/>
      <c r="I471" s="129" t="n"/>
      <c r="J471" s="23" t="n"/>
      <c r="K471" s="24" t="n"/>
      <c r="L471" s="24" t="n"/>
      <c r="M471" s="25" t="n"/>
      <c r="N471" s="125" t="n"/>
      <c r="O471" s="129" t="n"/>
      <c r="P471" s="23" t="n"/>
      <c r="Q471" s="24" t="n"/>
      <c r="R471" s="24" t="n"/>
      <c r="S471" s="25" t="n"/>
      <c r="T471" s="125" t="n"/>
      <c r="U471" s="129" t="n"/>
      <c r="V471" s="23" t="n"/>
      <c r="W471" s="24" t="n"/>
      <c r="X471" s="24" t="n"/>
      <c r="Y471" s="25" t="n"/>
      <c r="Z471" s="125" t="n"/>
      <c r="AB471" s="129" t="n"/>
      <c r="AC471" s="23" t="n"/>
      <c r="AD471" s="24" t="n"/>
      <c r="AE471" s="24" t="n"/>
      <c r="AF471" s="25" t="n"/>
      <c r="AG471" s="125" t="n"/>
      <c r="AH471" s="129" t="n"/>
      <c r="AI471" s="23" t="n"/>
      <c r="AJ471" s="24" t="n"/>
      <c r="AK471" s="24" t="n"/>
      <c r="AL471" s="25" t="n"/>
      <c r="AM471" s="125" t="n"/>
      <c r="AN471" s="129" t="n"/>
      <c r="AO471" s="23" t="n"/>
      <c r="AP471" s="24" t="n"/>
      <c r="AQ471" s="24" t="n"/>
      <c r="AR471" s="25" t="n"/>
      <c r="AS471" s="125" t="n"/>
    </row>
    <row r="472" hidden="1" outlineLevel="2">
      <c r="A472" s="8" t="n"/>
      <c r="B472" s="14" t="n"/>
      <c r="C472" s="125" t="n"/>
      <c r="D472" s="125" t="n"/>
      <c r="E472" s="125" t="n"/>
      <c r="F472" s="125" t="n"/>
      <c r="G472" s="125" t="n"/>
      <c r="I472" s="136">
        <f>DADOS_INVOC!$PW$28</f>
        <v/>
      </c>
      <c r="J472" s="19" t="n"/>
      <c r="K472" s="19" t="n"/>
      <c r="L472" s="19" t="n"/>
      <c r="M472" s="20" t="n"/>
      <c r="N472" s="125" t="n"/>
      <c r="O472" s="136">
        <f>DADOS_INVOC!$PW$29</f>
        <v/>
      </c>
      <c r="P472" s="19" t="n"/>
      <c r="Q472" s="19" t="n"/>
      <c r="R472" s="19" t="n"/>
      <c r="S472" s="20" t="n"/>
      <c r="T472" s="125" t="n"/>
      <c r="U472" s="136">
        <f>DADOS_INVOC!$PW$30</f>
        <v/>
      </c>
      <c r="V472" s="19" t="n"/>
      <c r="W472" s="19" t="n"/>
      <c r="X472" s="19" t="n"/>
      <c r="Y472" s="20" t="n"/>
      <c r="Z472" s="125" t="n"/>
      <c r="AB472" s="136">
        <f>DADOS_INVOC!$PW$106</f>
        <v/>
      </c>
      <c r="AC472" s="19" t="n"/>
      <c r="AD472" s="19" t="n"/>
      <c r="AE472" s="19" t="n"/>
      <c r="AF472" s="20" t="n"/>
      <c r="AG472" s="125" t="n"/>
      <c r="AH472" s="136">
        <f>DADOS_INVOC!$PW$107</f>
        <v/>
      </c>
      <c r="AI472" s="19" t="n"/>
      <c r="AJ472" s="19" t="n"/>
      <c r="AK472" s="19" t="n"/>
      <c r="AL472" s="20" t="n"/>
      <c r="AM472" s="125" t="n"/>
      <c r="AN472" s="136">
        <f>DADOS_INVOC!$PW$108</f>
        <v/>
      </c>
      <c r="AO472" s="19" t="n"/>
      <c r="AP472" s="19" t="n"/>
      <c r="AQ472" s="19" t="n"/>
      <c r="AR472" s="20" t="n"/>
      <c r="AS472" s="125" t="n"/>
    </row>
    <row r="473" hidden="1" outlineLevel="2">
      <c r="A473" s="8" t="n"/>
      <c r="B473" s="14" t="n"/>
      <c r="C473" s="125" t="n"/>
      <c r="D473" s="125" t="n"/>
      <c r="E473" s="125" t="n"/>
      <c r="F473" s="125" t="n"/>
      <c r="G473" s="125" t="n"/>
      <c r="I473" s="23" t="n"/>
      <c r="J473" s="24" t="n"/>
      <c r="K473" s="24" t="n"/>
      <c r="L473" s="24" t="n"/>
      <c r="M473" s="25" t="n"/>
      <c r="N473" s="125" t="n"/>
      <c r="O473" s="23" t="n"/>
      <c r="P473" s="24" t="n"/>
      <c r="Q473" s="24" t="n"/>
      <c r="R473" s="24" t="n"/>
      <c r="S473" s="25" t="n"/>
      <c r="T473" s="125" t="n"/>
      <c r="U473" s="23" t="n"/>
      <c r="V473" s="24" t="n"/>
      <c r="W473" s="24" t="n"/>
      <c r="X473" s="24" t="n"/>
      <c r="Y473" s="25" t="n"/>
      <c r="Z473" s="125" t="n"/>
      <c r="AB473" s="23" t="n"/>
      <c r="AC473" s="24" t="n"/>
      <c r="AD473" s="24" t="n"/>
      <c r="AE473" s="24" t="n"/>
      <c r="AF473" s="25" t="n"/>
      <c r="AG473" s="125" t="n"/>
      <c r="AH473" s="23" t="n"/>
      <c r="AI473" s="24" t="n"/>
      <c r="AJ473" s="24" t="n"/>
      <c r="AK473" s="24" t="n"/>
      <c r="AL473" s="25" t="n"/>
      <c r="AM473" s="125" t="n"/>
      <c r="AN473" s="23" t="n"/>
      <c r="AO473" s="24" t="n"/>
      <c r="AP473" s="24" t="n"/>
      <c r="AQ473" s="24" t="n"/>
      <c r="AR473" s="25" t="n"/>
      <c r="AS473" s="125" t="n"/>
    </row>
    <row r="474" hidden="1" outlineLevel="1">
      <c r="A474" s="8" t="n"/>
      <c r="B474" s="14" t="n"/>
      <c r="C474" s="125" t="n"/>
      <c r="D474" s="125" t="n"/>
      <c r="E474" s="125" t="n"/>
      <c r="F474" s="125" t="n"/>
      <c r="G474" s="125" t="n"/>
      <c r="I474" s="125" t="n"/>
      <c r="J474" s="125" t="n"/>
      <c r="K474" s="125" t="n"/>
      <c r="L474" s="125" t="n"/>
      <c r="M474" s="125" t="n"/>
      <c r="N474" s="125" t="n"/>
      <c r="O474" s="125" t="n"/>
      <c r="P474" s="125" t="n"/>
      <c r="Q474" s="125" t="n"/>
      <c r="R474" s="125" t="n"/>
      <c r="S474" s="125" t="n"/>
      <c r="T474" s="125" t="n"/>
      <c r="U474" s="125" t="n"/>
      <c r="V474" s="125" t="n"/>
      <c r="W474" s="125" t="n"/>
      <c r="X474" s="125" t="n"/>
      <c r="Y474" s="125" t="n"/>
      <c r="Z474" s="125" t="n"/>
      <c r="AB474" s="125" t="n"/>
      <c r="AC474" s="125" t="n"/>
      <c r="AD474" s="125" t="n"/>
      <c r="AE474" s="125" t="n"/>
      <c r="AF474" s="125" t="n"/>
      <c r="AG474" s="125" t="n"/>
      <c r="AH474" s="125" t="n"/>
      <c r="AI474" s="125" t="n"/>
      <c r="AJ474" s="125" t="n"/>
      <c r="AK474" s="125" t="n"/>
      <c r="AL474" s="125" t="n"/>
      <c r="AM474" s="125" t="n"/>
      <c r="AN474" s="125" t="n"/>
      <c r="AO474" s="125" t="n"/>
      <c r="AP474" s="125" t="n"/>
      <c r="AQ474" s="125" t="n"/>
      <c r="AR474" s="125" t="n"/>
      <c r="AS474" s="125" t="n"/>
    </row>
    <row r="475" hidden="1" outlineLevel="1">
      <c r="A475" s="8" t="n"/>
      <c r="B475" s="14" t="n"/>
      <c r="C475" s="125" t="n"/>
      <c r="D475" s="125" t="n"/>
      <c r="E475" s="125" t="n"/>
      <c r="F475" s="125" t="n"/>
      <c r="G475" s="125"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5"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5" t="n"/>
    </row>
    <row r="476" hidden="1" outlineLevel="1">
      <c r="A476" s="8" t="n"/>
      <c r="B476" s="14" t="n"/>
      <c r="C476" s="125" t="n"/>
      <c r="D476" s="125" t="n"/>
      <c r="E476" s="125" t="n"/>
      <c r="F476" s="125" t="n"/>
      <c r="G476" s="125" t="n"/>
      <c r="I476" s="55" t="inlineStr">
        <is>
          <t>NV 1 · CE 1</t>
        </is>
      </c>
      <c r="J476" s="134" t="n"/>
      <c r="K476" s="16" t="n"/>
      <c r="L476" s="17" t="n"/>
      <c r="M476" s="141">
        <f>DADOS_INVOC!$IM$4</f>
        <v/>
      </c>
      <c r="N476" s="16" t="n"/>
      <c r="O476" s="16" t="n"/>
      <c r="P476" s="16" t="n"/>
      <c r="Q476" s="16" t="n"/>
      <c r="R476" s="16" t="n"/>
      <c r="S476" s="16" t="n"/>
      <c r="T476" s="16" t="n"/>
      <c r="U476" s="16" t="n"/>
      <c r="V476" s="16" t="n"/>
      <c r="W476" s="16" t="n"/>
      <c r="X476" s="16" t="n"/>
      <c r="Y476" s="17" t="n"/>
      <c r="Z476" s="125" t="n"/>
      <c r="AB476" s="55" t="inlineStr">
        <is>
          <t>NV 1 · CE 1</t>
        </is>
      </c>
      <c r="AC476" s="134" t="n"/>
      <c r="AD476" s="16" t="n"/>
      <c r="AE476" s="17" t="n"/>
      <c r="AF476" s="141">
        <f>DADOS_INVOC!$IM$10</f>
        <v/>
      </c>
      <c r="AG476" s="16" t="n"/>
      <c r="AH476" s="16" t="n"/>
      <c r="AI476" s="16" t="n"/>
      <c r="AJ476" s="16" t="n"/>
      <c r="AK476" s="16" t="n"/>
      <c r="AL476" s="16" t="n"/>
      <c r="AM476" s="16" t="n"/>
      <c r="AN476" s="16" t="n"/>
      <c r="AO476" s="16" t="n"/>
      <c r="AP476" s="16" t="n"/>
      <c r="AQ476" s="16" t="n"/>
      <c r="AR476" s="17" t="n"/>
      <c r="AS476" s="125" t="n"/>
    </row>
    <row r="477" hidden="1" outlineLevel="1">
      <c r="A477" s="8" t="n"/>
      <c r="B477" s="14" t="n"/>
      <c r="C477" s="125" t="n"/>
      <c r="D477" s="125" t="n"/>
      <c r="E477" s="125" t="n"/>
      <c r="F477" s="125" t="n"/>
      <c r="G477" s="125" t="n"/>
      <c r="I477" s="55" t="inlineStr">
        <is>
          <t>NV 6 · CE 1</t>
        </is>
      </c>
      <c r="J477" s="134" t="n"/>
      <c r="K477" s="16" t="n"/>
      <c r="L477" s="17" t="n"/>
      <c r="M477" s="141">
        <f>DADOS_INVOC!$IN$4</f>
        <v/>
      </c>
      <c r="N477" s="16" t="n"/>
      <c r="O477" s="16" t="n"/>
      <c r="P477" s="16" t="n"/>
      <c r="Q477" s="16" t="n"/>
      <c r="R477" s="16" t="n"/>
      <c r="S477" s="16" t="n"/>
      <c r="T477" s="16" t="n"/>
      <c r="U477" s="16" t="n"/>
      <c r="V477" s="16" t="n"/>
      <c r="W477" s="16" t="n"/>
      <c r="X477" s="16" t="n"/>
      <c r="Y477" s="17" t="n"/>
      <c r="Z477" s="125" t="n"/>
      <c r="AB477" s="55" t="inlineStr">
        <is>
          <t>NV 6 · CE 1</t>
        </is>
      </c>
      <c r="AC477" s="134" t="n"/>
      <c r="AD477" s="16" t="n"/>
      <c r="AE477" s="17" t="n"/>
      <c r="AF477" s="141">
        <f>DADOS_INVOC!$IN$10</f>
        <v/>
      </c>
      <c r="AG477" s="16" t="n"/>
      <c r="AH477" s="16" t="n"/>
      <c r="AI477" s="16" t="n"/>
      <c r="AJ477" s="16" t="n"/>
      <c r="AK477" s="16" t="n"/>
      <c r="AL477" s="16" t="n"/>
      <c r="AM477" s="16" t="n"/>
      <c r="AN477" s="16" t="n"/>
      <c r="AO477" s="16" t="n"/>
      <c r="AP477" s="16" t="n"/>
      <c r="AQ477" s="16" t="n"/>
      <c r="AR477" s="17" t="n"/>
      <c r="AS477" s="125" t="n"/>
    </row>
    <row r="478" hidden="1" outlineLevel="1">
      <c r="A478" s="8" t="n"/>
      <c r="B478" s="14" t="n"/>
      <c r="C478" s="125" t="n"/>
      <c r="D478" s="125" t="n"/>
      <c r="E478" s="125" t="n"/>
      <c r="F478" s="125" t="n"/>
      <c r="G478" s="125" t="n"/>
      <c r="I478" s="55" t="inlineStr">
        <is>
          <t>NV 10 · CE 2</t>
        </is>
      </c>
      <c r="J478" s="134" t="n"/>
      <c r="K478" s="16" t="n"/>
      <c r="L478" s="17" t="n"/>
      <c r="M478" s="141">
        <f>DADOS_INVOC!$IO$4</f>
        <v/>
      </c>
      <c r="N478" s="16" t="n"/>
      <c r="O478" s="16" t="n"/>
      <c r="P478" s="16" t="n"/>
      <c r="Q478" s="16" t="n"/>
      <c r="R478" s="16" t="n"/>
      <c r="S478" s="16" t="n"/>
      <c r="T478" s="16" t="n"/>
      <c r="U478" s="16" t="n"/>
      <c r="V478" s="16" t="n"/>
      <c r="W478" s="16" t="n"/>
      <c r="X478" s="16" t="n"/>
      <c r="Y478" s="17" t="n"/>
      <c r="Z478" s="125" t="n"/>
      <c r="AB478" s="55" t="inlineStr">
        <is>
          <t>NV 10 · CE 2</t>
        </is>
      </c>
      <c r="AC478" s="134" t="n"/>
      <c r="AD478" s="16" t="n"/>
      <c r="AE478" s="17" t="n"/>
      <c r="AF478" s="141">
        <f>DADOS_INVOC!$IO$10</f>
        <v/>
      </c>
      <c r="AG478" s="16" t="n"/>
      <c r="AH478" s="16" t="n"/>
      <c r="AI478" s="16" t="n"/>
      <c r="AJ478" s="16" t="n"/>
      <c r="AK478" s="16" t="n"/>
      <c r="AL478" s="16" t="n"/>
      <c r="AM478" s="16" t="n"/>
      <c r="AN478" s="16" t="n"/>
      <c r="AO478" s="16" t="n"/>
      <c r="AP478" s="16" t="n"/>
      <c r="AQ478" s="16" t="n"/>
      <c r="AR478" s="17" t="n"/>
      <c r="AS478" s="125" t="n"/>
    </row>
    <row r="479" hidden="1" outlineLevel="1">
      <c r="A479" s="8" t="n"/>
      <c r="B479" s="14" t="n"/>
      <c r="C479" s="125" t="n"/>
      <c r="D479" s="125" t="n"/>
      <c r="E479" s="125" t="n"/>
      <c r="F479" s="125" t="n"/>
      <c r="G479" s="125" t="n"/>
      <c r="I479" s="55" t="inlineStr">
        <is>
          <t>NV 14 · CE 3</t>
        </is>
      </c>
      <c r="J479" s="134" t="n"/>
      <c r="K479" s="16" t="n"/>
      <c r="L479" s="17" t="n"/>
      <c r="M479" s="141">
        <f>DADOS_INVOC!$IP$4</f>
        <v/>
      </c>
      <c r="N479" s="16" t="n"/>
      <c r="O479" s="16" t="n"/>
      <c r="P479" s="16" t="n"/>
      <c r="Q479" s="16" t="n"/>
      <c r="R479" s="16" t="n"/>
      <c r="S479" s="16" t="n"/>
      <c r="T479" s="16" t="n"/>
      <c r="U479" s="16" t="n"/>
      <c r="V479" s="16" t="n"/>
      <c r="W479" s="16" t="n"/>
      <c r="X479" s="16" t="n"/>
      <c r="Y479" s="17" t="n"/>
      <c r="Z479" s="125" t="n"/>
      <c r="AB479" s="55" t="inlineStr">
        <is>
          <t>NV 14 · CE 3</t>
        </is>
      </c>
      <c r="AC479" s="134" t="n"/>
      <c r="AD479" s="16" t="n"/>
      <c r="AE479" s="17" t="n"/>
      <c r="AF479" s="141">
        <f>DADOS_INVOC!$IP$10</f>
        <v/>
      </c>
      <c r="AG479" s="16" t="n"/>
      <c r="AH479" s="16" t="n"/>
      <c r="AI479" s="16" t="n"/>
      <c r="AJ479" s="16" t="n"/>
      <c r="AK479" s="16" t="n"/>
      <c r="AL479" s="16" t="n"/>
      <c r="AM479" s="16" t="n"/>
      <c r="AN479" s="16" t="n"/>
      <c r="AO479" s="16" t="n"/>
      <c r="AP479" s="16" t="n"/>
      <c r="AQ479" s="16" t="n"/>
      <c r="AR479" s="17" t="n"/>
      <c r="AS479" s="125" t="n"/>
    </row>
    <row r="480" hidden="1" outlineLevel="1">
      <c r="A480" s="8" t="n"/>
      <c r="B480" s="14" t="n"/>
      <c r="C480" s="125" t="n"/>
      <c r="D480" s="125" t="n"/>
      <c r="E480" s="125" t="n"/>
      <c r="F480" s="125" t="n"/>
      <c r="G480" s="125" t="n"/>
      <c r="I480" s="55" t="inlineStr">
        <is>
          <t>NV 18 · CE 3</t>
        </is>
      </c>
      <c r="J480" s="134" t="n"/>
      <c r="K480" s="16" t="n"/>
      <c r="L480" s="17" t="n"/>
      <c r="M480" s="141">
        <f>DADOS_INVOC!$IQ$4</f>
        <v/>
      </c>
      <c r="N480" s="16" t="n"/>
      <c r="O480" s="16" t="n"/>
      <c r="P480" s="16" t="n"/>
      <c r="Q480" s="16" t="n"/>
      <c r="R480" s="16" t="n"/>
      <c r="S480" s="16" t="n"/>
      <c r="T480" s="16" t="n"/>
      <c r="U480" s="16" t="n"/>
      <c r="V480" s="16" t="n"/>
      <c r="W480" s="16" t="n"/>
      <c r="X480" s="16" t="n"/>
      <c r="Y480" s="17" t="n"/>
      <c r="Z480" s="125" t="n"/>
      <c r="AB480" s="55" t="inlineStr">
        <is>
          <t>NV 18 · CE 3</t>
        </is>
      </c>
      <c r="AC480" s="134" t="n"/>
      <c r="AD480" s="16" t="n"/>
      <c r="AE480" s="17" t="n"/>
      <c r="AF480" s="141">
        <f>DADOS_INVOC!$IQ$10</f>
        <v/>
      </c>
      <c r="AG480" s="16" t="n"/>
      <c r="AH480" s="16" t="n"/>
      <c r="AI480" s="16" t="n"/>
      <c r="AJ480" s="16" t="n"/>
      <c r="AK480" s="16" t="n"/>
      <c r="AL480" s="16" t="n"/>
      <c r="AM480" s="16" t="n"/>
      <c r="AN480" s="16" t="n"/>
      <c r="AO480" s="16" t="n"/>
      <c r="AP480" s="16" t="n"/>
      <c r="AQ480" s="16" t="n"/>
      <c r="AR480" s="17" t="n"/>
      <c r="AS480" s="125" t="n"/>
    </row>
    <row r="481" hidden="1" outlineLevel="1">
      <c r="A481" s="8" t="n"/>
      <c r="B481" s="14" t="n"/>
      <c r="C481" s="125" t="n"/>
      <c r="D481" s="125" t="n"/>
      <c r="E481" s="125" t="n"/>
      <c r="F481" s="125" t="n"/>
      <c r="G481" s="125" t="n"/>
      <c r="I481" s="55" t="inlineStr">
        <is>
          <t>NV 22 · CE 3</t>
        </is>
      </c>
      <c r="J481" s="134" t="n"/>
      <c r="K481" s="16" t="n"/>
      <c r="L481" s="17" t="n"/>
      <c r="M481" s="141">
        <f>DADOS_INVOC!$IR$4</f>
        <v/>
      </c>
      <c r="N481" s="16" t="n"/>
      <c r="O481" s="16" t="n"/>
      <c r="P481" s="16" t="n"/>
      <c r="Q481" s="16" t="n"/>
      <c r="R481" s="16" t="n"/>
      <c r="S481" s="16" t="n"/>
      <c r="T481" s="16" t="n"/>
      <c r="U481" s="16" t="n"/>
      <c r="V481" s="16" t="n"/>
      <c r="W481" s="16" t="n"/>
      <c r="X481" s="16" t="n"/>
      <c r="Y481" s="17" t="n"/>
      <c r="Z481" s="125" t="n"/>
      <c r="AB481" s="55" t="inlineStr">
        <is>
          <t>NV 22 · CE 3</t>
        </is>
      </c>
      <c r="AC481" s="134" t="n"/>
      <c r="AD481" s="16" t="n"/>
      <c r="AE481" s="17" t="n"/>
      <c r="AF481" s="141">
        <f>DADOS_INVOC!$IR$10</f>
        <v/>
      </c>
      <c r="AG481" s="16" t="n"/>
      <c r="AH481" s="16" t="n"/>
      <c r="AI481" s="16" t="n"/>
      <c r="AJ481" s="16" t="n"/>
      <c r="AK481" s="16" t="n"/>
      <c r="AL481" s="16" t="n"/>
      <c r="AM481" s="16" t="n"/>
      <c r="AN481" s="16" t="n"/>
      <c r="AO481" s="16" t="n"/>
      <c r="AP481" s="16" t="n"/>
      <c r="AQ481" s="16" t="n"/>
      <c r="AR481" s="17" t="n"/>
      <c r="AS481" s="125" t="n"/>
    </row>
    <row r="482" hidden="1" outlineLevel="1">
      <c r="A482" s="8" t="n"/>
      <c r="B482" s="14" t="n"/>
      <c r="C482" s="125" t="n"/>
      <c r="D482" s="125" t="n"/>
      <c r="E482" s="125" t="n"/>
      <c r="F482" s="125" t="n"/>
      <c r="G482" s="125" t="n"/>
      <c r="I482" s="55" t="inlineStr">
        <is>
          <t>NV 26 · CE 3</t>
        </is>
      </c>
      <c r="J482" s="134" t="n"/>
      <c r="K482" s="16" t="n"/>
      <c r="L482" s="17" t="n"/>
      <c r="M482" s="141">
        <f>DADOS_INVOC!$IS$4</f>
        <v/>
      </c>
      <c r="N482" s="16" t="n"/>
      <c r="O482" s="16" t="n"/>
      <c r="P482" s="16" t="n"/>
      <c r="Q482" s="16" t="n"/>
      <c r="R482" s="16" t="n"/>
      <c r="S482" s="16" t="n"/>
      <c r="T482" s="16" t="n"/>
      <c r="U482" s="16" t="n"/>
      <c r="V482" s="16" t="n"/>
      <c r="W482" s="16" t="n"/>
      <c r="X482" s="16" t="n"/>
      <c r="Y482" s="17" t="n"/>
      <c r="Z482" s="125" t="n"/>
      <c r="AB482" s="55" t="inlineStr">
        <is>
          <t>NV 26 · CE 3</t>
        </is>
      </c>
      <c r="AC482" s="134" t="n"/>
      <c r="AD482" s="16" t="n"/>
      <c r="AE482" s="17" t="n"/>
      <c r="AF482" s="141">
        <f>DADOS_INVOC!$IS$10</f>
        <v/>
      </c>
      <c r="AG482" s="16" t="n"/>
      <c r="AH482" s="16" t="n"/>
      <c r="AI482" s="16" t="n"/>
      <c r="AJ482" s="16" t="n"/>
      <c r="AK482" s="16" t="n"/>
      <c r="AL482" s="16" t="n"/>
      <c r="AM482" s="16" t="n"/>
      <c r="AN482" s="16" t="n"/>
      <c r="AO482" s="16" t="n"/>
      <c r="AP482" s="16" t="n"/>
      <c r="AQ482" s="16" t="n"/>
      <c r="AR482" s="17" t="n"/>
      <c r="AS482" s="125" t="n"/>
    </row>
    <row r="483" hidden="1" outlineLevel="1">
      <c r="A483" s="8" t="n"/>
      <c r="B483" s="14" t="n"/>
      <c r="C483" s="125" t="n"/>
      <c r="D483" s="125" t="n"/>
      <c r="E483" s="125" t="n"/>
      <c r="F483" s="125" t="n"/>
      <c r="G483" s="125" t="n"/>
      <c r="I483" s="55" t="inlineStr">
        <is>
          <t>NV 30 · CE 3</t>
        </is>
      </c>
      <c r="J483" s="134" t="n"/>
      <c r="K483" s="16" t="n"/>
      <c r="L483" s="17" t="n"/>
      <c r="M483" s="141">
        <f>DADOS_INVOC!$IT$4</f>
        <v/>
      </c>
      <c r="N483" s="16" t="n"/>
      <c r="O483" s="16" t="n"/>
      <c r="P483" s="16" t="n"/>
      <c r="Q483" s="16" t="n"/>
      <c r="R483" s="16" t="n"/>
      <c r="S483" s="16" t="n"/>
      <c r="T483" s="16" t="n"/>
      <c r="U483" s="16" t="n"/>
      <c r="V483" s="16" t="n"/>
      <c r="W483" s="16" t="n"/>
      <c r="X483" s="16" t="n"/>
      <c r="Y483" s="17" t="n"/>
      <c r="Z483" s="125" t="n"/>
      <c r="AB483" s="55" t="inlineStr">
        <is>
          <t>NV 30 · CE 3</t>
        </is>
      </c>
      <c r="AC483" s="134" t="n"/>
      <c r="AD483" s="16" t="n"/>
      <c r="AE483" s="17" t="n"/>
      <c r="AF483" s="141">
        <f>DADOS_INVOC!$IT$10</f>
        <v/>
      </c>
      <c r="AG483" s="16" t="n"/>
      <c r="AH483" s="16" t="n"/>
      <c r="AI483" s="16" t="n"/>
      <c r="AJ483" s="16" t="n"/>
      <c r="AK483" s="16" t="n"/>
      <c r="AL483" s="16" t="n"/>
      <c r="AM483" s="16" t="n"/>
      <c r="AN483" s="16" t="n"/>
      <c r="AO483" s="16" t="n"/>
      <c r="AP483" s="16" t="n"/>
      <c r="AQ483" s="16" t="n"/>
      <c r="AR483" s="17" t="n"/>
      <c r="AS483" s="125" t="n"/>
    </row>
    <row r="484" hidden="1" outlineLevel="1">
      <c r="A484" s="8" t="n"/>
      <c r="B484" s="14" t="n"/>
      <c r="C484" s="125" t="n"/>
      <c r="D484" s="125" t="n"/>
      <c r="E484" s="125" t="n"/>
      <c r="F484" s="125" t="n"/>
      <c r="G484" s="125" t="n"/>
      <c r="I484" s="125" t="n"/>
      <c r="J484" s="125" t="n"/>
      <c r="K484" s="125" t="n"/>
      <c r="L484" s="125" t="n"/>
      <c r="M484" s="125" t="n"/>
      <c r="N484" s="125" t="n"/>
      <c r="O484" s="125" t="n"/>
      <c r="P484" s="125" t="n"/>
      <c r="Q484" s="125" t="n"/>
      <c r="R484" s="125" t="n"/>
      <c r="S484" s="125" t="n"/>
      <c r="T484" s="125" t="n"/>
      <c r="U484" s="125" t="n"/>
      <c r="V484" s="125" t="n"/>
      <c r="W484" s="125" t="n"/>
      <c r="X484" s="125" t="n"/>
      <c r="Y484" s="125" t="n"/>
      <c r="Z484" s="125" t="n"/>
      <c r="AB484" s="125" t="n"/>
      <c r="AC484" s="125" t="n"/>
      <c r="AD484" s="125" t="n"/>
      <c r="AE484" s="125" t="n"/>
      <c r="AF484" s="125" t="n"/>
      <c r="AG484" s="125" t="n"/>
      <c r="AH484" s="125" t="n"/>
      <c r="AI484" s="125" t="n"/>
      <c r="AJ484" s="125" t="n"/>
      <c r="AK484" s="125" t="n"/>
      <c r="AL484" s="125" t="n"/>
      <c r="AM484" s="125" t="n"/>
      <c r="AN484" s="125" t="n"/>
      <c r="AO484" s="125" t="n"/>
      <c r="AP484" s="125" t="n"/>
      <c r="AQ484" s="125" t="n"/>
      <c r="AR484" s="125" t="n"/>
      <c r="AS484" s="125" t="n"/>
    </row>
    <row r="485" hidden="1" outlineLevel="1">
      <c r="A485" s="8" t="n"/>
      <c r="B485" s="14" t="n"/>
      <c r="C485" s="125" t="n"/>
      <c r="D485" s="125" t="n"/>
      <c r="E485" s="125" t="n"/>
      <c r="F485" s="125" t="n"/>
      <c r="G485" s="125" t="n"/>
      <c r="I485" s="137"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5" t="n"/>
      <c r="AB485" s="137"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5" t="n"/>
    </row>
    <row r="486" hidden="1" outlineLevel="2">
      <c r="A486" s="8" t="n"/>
      <c r="B486" s="14" t="n"/>
      <c r="C486" s="125" t="n"/>
      <c r="D486" s="125" t="n"/>
      <c r="E486" s="125" t="n"/>
      <c r="F486" s="125" t="n"/>
      <c r="G486" s="125" t="n"/>
      <c r="I486" s="125" t="n"/>
      <c r="J486" s="125" t="n"/>
      <c r="K486" s="125" t="n"/>
      <c r="L486" s="125" t="n"/>
      <c r="M486" s="125" t="n"/>
      <c r="N486" s="125" t="n"/>
      <c r="O486" s="125" t="n"/>
      <c r="P486" s="125" t="n"/>
      <c r="Q486" s="125" t="n"/>
      <c r="R486" s="125" t="n"/>
      <c r="S486" s="125" t="n"/>
      <c r="T486" s="125" t="n"/>
      <c r="U486" s="125" t="n"/>
      <c r="V486" s="125" t="n"/>
      <c r="W486" s="125" t="n"/>
      <c r="X486" s="125" t="n"/>
      <c r="Y486" s="125" t="n"/>
      <c r="Z486" s="125" t="n"/>
      <c r="AB486" s="125" t="n"/>
      <c r="AC486" s="125" t="n"/>
      <c r="AD486" s="125" t="n"/>
      <c r="AE486" s="125" t="n"/>
      <c r="AF486" s="125" t="n"/>
      <c r="AG486" s="125" t="n"/>
      <c r="AH486" s="125" t="n"/>
      <c r="AI486" s="125" t="n"/>
      <c r="AJ486" s="125" t="n"/>
      <c r="AK486" s="125" t="n"/>
      <c r="AL486" s="125" t="n"/>
      <c r="AM486" s="125" t="n"/>
      <c r="AN486" s="125" t="n"/>
      <c r="AO486" s="125" t="n"/>
      <c r="AP486" s="125" t="n"/>
      <c r="AQ486" s="125" t="n"/>
      <c r="AR486" s="125" t="n"/>
      <c r="AS486" s="125" t="n"/>
    </row>
    <row r="487" hidden="1" outlineLevel="2">
      <c r="A487" s="8" t="n"/>
      <c r="B487" s="14" t="n"/>
      <c r="C487" s="125" t="n"/>
      <c r="D487" s="125" t="n"/>
      <c r="E487" s="125" t="n"/>
      <c r="F487" s="125" t="n"/>
      <c r="G487" s="125" t="n"/>
      <c r="I487" s="55">
        <f>DADOS_INVOC!$PX$31</f>
        <v/>
      </c>
      <c r="J487" s="16" t="n"/>
      <c r="K487" s="16" t="n"/>
      <c r="L487" s="16" t="n"/>
      <c r="M487" s="17" t="n"/>
      <c r="N487" s="125" t="n"/>
      <c r="O487" s="55">
        <f>DADOS_INVOC!$PX$32</f>
        <v/>
      </c>
      <c r="P487" s="16" t="n"/>
      <c r="Q487" s="16" t="n"/>
      <c r="R487" s="16" t="n"/>
      <c r="S487" s="17" t="n"/>
      <c r="T487" s="125" t="n"/>
      <c r="U487" s="55">
        <f>DADOS_INVOC!$PX$33</f>
        <v/>
      </c>
      <c r="V487" s="16" t="n"/>
      <c r="W487" s="16" t="n"/>
      <c r="X487" s="16" t="n"/>
      <c r="Y487" s="17" t="n"/>
      <c r="Z487" s="125" t="n"/>
      <c r="AB487" s="55">
        <f>DADOS_INVOC!$PX$109</f>
        <v/>
      </c>
      <c r="AC487" s="16" t="n"/>
      <c r="AD487" s="16" t="n"/>
      <c r="AE487" s="16" t="n"/>
      <c r="AF487" s="17" t="n"/>
      <c r="AG487" s="125" t="n"/>
      <c r="AH487" s="55">
        <f>DADOS_INVOC!$PX$110</f>
        <v/>
      </c>
      <c r="AI487" s="16" t="n"/>
      <c r="AJ487" s="16" t="n"/>
      <c r="AK487" s="16" t="n"/>
      <c r="AL487" s="17" t="n"/>
      <c r="AM487" s="125" t="n"/>
      <c r="AN487" s="55">
        <f>DADOS_INVOC!$PX$111</f>
        <v/>
      </c>
      <c r="AO487" s="16" t="n"/>
      <c r="AP487" s="16" t="n"/>
      <c r="AQ487" s="16" t="n"/>
      <c r="AR487" s="17" t="n"/>
      <c r="AS487" s="125" t="n"/>
    </row>
    <row r="488" hidden="1" outlineLevel="2">
      <c r="A488" s="8" t="n"/>
      <c r="B488" s="14" t="n"/>
      <c r="C488" s="125" t="n"/>
      <c r="D488" s="125" t="n"/>
      <c r="E488" s="125" t="n"/>
      <c r="F488" s="125" t="n"/>
      <c r="G488" s="125" t="n"/>
      <c r="I488" s="131" t="n">
        <v>0</v>
      </c>
      <c r="J488" s="120" t="n"/>
      <c r="K488" s="16" t="n"/>
      <c r="L488" s="17" t="n"/>
      <c r="M488" s="132">
        <f>DADOS_INVOC!$PV$31</f>
        <v/>
      </c>
      <c r="N488" s="125" t="n"/>
      <c r="O488" s="131" t="n">
        <v>1</v>
      </c>
      <c r="P488" s="120" t="n"/>
      <c r="Q488" s="16" t="n"/>
      <c r="R488" s="17" t="n"/>
      <c r="S488" s="132">
        <f>DADOS_INVOC!$PV$32</f>
        <v/>
      </c>
      <c r="T488" s="125" t="n"/>
      <c r="U488" s="131" t="n">
        <v>1</v>
      </c>
      <c r="V488" s="120" t="n"/>
      <c r="W488" s="16" t="n"/>
      <c r="X488" s="17" t="n"/>
      <c r="Y488" s="132">
        <f>DADOS_INVOC!$PV$33</f>
        <v/>
      </c>
      <c r="Z488" s="125" t="n"/>
      <c r="AB488" s="131" t="n">
        <v>0</v>
      </c>
      <c r="AC488" s="120" t="n"/>
      <c r="AD488" s="16" t="n"/>
      <c r="AE488" s="17" t="n"/>
      <c r="AF488" s="132">
        <f>DADOS_INVOC!$PV$109</f>
        <v/>
      </c>
      <c r="AG488" s="125" t="n"/>
      <c r="AH488" s="131" t="n">
        <v>1</v>
      </c>
      <c r="AI488" s="120" t="n"/>
      <c r="AJ488" s="16" t="n"/>
      <c r="AK488" s="17" t="n"/>
      <c r="AL488" s="132">
        <f>DADOS_INVOC!$PV$110</f>
        <v/>
      </c>
      <c r="AM488" s="125" t="n"/>
      <c r="AN488" s="131" t="n">
        <v>1</v>
      </c>
      <c r="AO488" s="120" t="n"/>
      <c r="AP488" s="16" t="n"/>
      <c r="AQ488" s="17" t="n"/>
      <c r="AR488" s="132">
        <f>DADOS_INVOC!$PV$111</f>
        <v/>
      </c>
      <c r="AS488" s="125" t="n"/>
    </row>
    <row r="489" hidden="1" outlineLevel="3">
      <c r="A489" s="8" t="n"/>
      <c r="B489" s="14" t="n"/>
      <c r="C489" s="125" t="n"/>
      <c r="D489" s="125" t="n"/>
      <c r="E489" s="125" t="n"/>
      <c r="F489" s="125" t="n"/>
      <c r="G489" s="125" t="n"/>
      <c r="I489" s="55" t="inlineStr">
        <is>
          <t>COMO É</t>
        </is>
      </c>
      <c r="J489" s="16" t="n"/>
      <c r="K489" s="16" t="n"/>
      <c r="L489" s="16" t="n"/>
      <c r="M489" s="17" t="n"/>
      <c r="N489" s="125" t="n"/>
      <c r="O489" s="55" t="inlineStr">
        <is>
          <t>COMO É</t>
        </is>
      </c>
      <c r="P489" s="16" t="n"/>
      <c r="Q489" s="16" t="n"/>
      <c r="R489" s="16" t="n"/>
      <c r="S489" s="17" t="n"/>
      <c r="T489" s="125" t="n"/>
      <c r="U489" s="55" t="inlineStr">
        <is>
          <t>COMO É</t>
        </is>
      </c>
      <c r="V489" s="16" t="n"/>
      <c r="W489" s="16" t="n"/>
      <c r="X489" s="16" t="n"/>
      <c r="Y489" s="17" t="n"/>
      <c r="Z489" s="125" t="n"/>
      <c r="AB489" s="55" t="inlineStr">
        <is>
          <t>COMO É</t>
        </is>
      </c>
      <c r="AC489" s="16" t="n"/>
      <c r="AD489" s="16" t="n"/>
      <c r="AE489" s="16" t="n"/>
      <c r="AF489" s="17" t="n"/>
      <c r="AG489" s="125" t="n"/>
      <c r="AH489" s="55" t="inlineStr">
        <is>
          <t>COMO É</t>
        </is>
      </c>
      <c r="AI489" s="16" t="n"/>
      <c r="AJ489" s="16" t="n"/>
      <c r="AK489" s="16" t="n"/>
      <c r="AL489" s="17" t="n"/>
      <c r="AM489" s="125" t="n"/>
      <c r="AN489" s="55" t="inlineStr">
        <is>
          <t>COMO É</t>
        </is>
      </c>
      <c r="AO489" s="16" t="n"/>
      <c r="AP489" s="16" t="n"/>
      <c r="AQ489" s="16" t="n"/>
      <c r="AR489" s="17" t="n"/>
      <c r="AS489" s="125" t="n"/>
    </row>
    <row r="490" hidden="1" outlineLevel="3">
      <c r="A490" s="8" t="n"/>
      <c r="B490" s="14" t="n"/>
      <c r="C490" s="125" t="n"/>
      <c r="D490" s="125" t="n"/>
      <c r="E490" s="125" t="n"/>
      <c r="F490" s="125" t="n"/>
      <c r="G490" s="125" t="n"/>
      <c r="I490" s="121" t="n"/>
      <c r="J490" s="19" t="n"/>
      <c r="K490" s="19" t="n"/>
      <c r="L490" s="19" t="n"/>
      <c r="M490" s="20" t="n"/>
      <c r="N490" s="125" t="n"/>
      <c r="O490" s="121" t="n"/>
      <c r="P490" s="19" t="n"/>
      <c r="Q490" s="19" t="n"/>
      <c r="R490" s="19" t="n"/>
      <c r="S490" s="20" t="n"/>
      <c r="T490" s="125" t="n"/>
      <c r="U490" s="121" t="n"/>
      <c r="V490" s="19" t="n"/>
      <c r="W490" s="19" t="n"/>
      <c r="X490" s="19" t="n"/>
      <c r="Y490" s="20" t="n"/>
      <c r="Z490" s="125" t="n"/>
      <c r="AB490" s="121" t="n"/>
      <c r="AC490" s="19" t="n"/>
      <c r="AD490" s="19" t="n"/>
      <c r="AE490" s="19" t="n"/>
      <c r="AF490" s="20" t="n"/>
      <c r="AG490" s="125" t="n"/>
      <c r="AH490" s="121" t="n"/>
      <c r="AI490" s="19" t="n"/>
      <c r="AJ490" s="19" t="n"/>
      <c r="AK490" s="19" t="n"/>
      <c r="AL490" s="20" t="n"/>
      <c r="AM490" s="125" t="n"/>
      <c r="AN490" s="121" t="n"/>
      <c r="AO490" s="19" t="n"/>
      <c r="AP490" s="19" t="n"/>
      <c r="AQ490" s="19" t="n"/>
      <c r="AR490" s="20" t="n"/>
      <c r="AS490" s="125" t="n"/>
    </row>
    <row r="491" hidden="1" outlineLevel="3">
      <c r="A491" s="8" t="n"/>
      <c r="B491" s="14" t="n"/>
      <c r="C491" s="125" t="n"/>
      <c r="D491" s="125" t="n"/>
      <c r="E491" s="125" t="n"/>
      <c r="F491" s="125" t="n"/>
      <c r="G491" s="125" t="n"/>
      <c r="I491" s="21" t="n"/>
      <c r="M491" s="22" t="n"/>
      <c r="N491" s="125" t="n"/>
      <c r="O491" s="21" t="n"/>
      <c r="S491" s="22" t="n"/>
      <c r="T491" s="125" t="n"/>
      <c r="U491" s="21" t="n"/>
      <c r="Y491" s="22" t="n"/>
      <c r="Z491" s="125" t="n"/>
      <c r="AB491" s="21" t="n"/>
      <c r="AF491" s="22" t="n"/>
      <c r="AG491" s="125" t="n"/>
      <c r="AH491" s="21" t="n"/>
      <c r="AL491" s="22" t="n"/>
      <c r="AM491" s="125" t="n"/>
      <c r="AN491" s="21" t="n"/>
      <c r="AR491" s="22" t="n"/>
      <c r="AS491" s="125" t="n"/>
    </row>
    <row r="492" hidden="1" outlineLevel="3">
      <c r="A492" s="8" t="n"/>
      <c r="B492" s="14" t="n"/>
      <c r="C492" s="125" t="n"/>
      <c r="D492" s="125" t="n"/>
      <c r="E492" s="125" t="n"/>
      <c r="F492" s="125" t="n"/>
      <c r="G492" s="125" t="n"/>
      <c r="I492" s="23" t="n"/>
      <c r="J492" s="24" t="n"/>
      <c r="K492" s="24" t="n"/>
      <c r="L492" s="24" t="n"/>
      <c r="M492" s="25" t="n"/>
      <c r="N492" s="125" t="n"/>
      <c r="O492" s="23" t="n"/>
      <c r="P492" s="24" t="n"/>
      <c r="Q492" s="24" t="n"/>
      <c r="R492" s="24" t="n"/>
      <c r="S492" s="25" t="n"/>
      <c r="T492" s="125" t="n"/>
      <c r="U492" s="23" t="n"/>
      <c r="V492" s="24" t="n"/>
      <c r="W492" s="24" t="n"/>
      <c r="X492" s="24" t="n"/>
      <c r="Y492" s="25" t="n"/>
      <c r="Z492" s="125" t="n"/>
      <c r="AB492" s="23" t="n"/>
      <c r="AC492" s="24" t="n"/>
      <c r="AD492" s="24" t="n"/>
      <c r="AE492" s="24" t="n"/>
      <c r="AF492" s="25" t="n"/>
      <c r="AG492" s="125" t="n"/>
      <c r="AH492" s="23" t="n"/>
      <c r="AI492" s="24" t="n"/>
      <c r="AJ492" s="24" t="n"/>
      <c r="AK492" s="24" t="n"/>
      <c r="AL492" s="25" t="n"/>
      <c r="AM492" s="125" t="n"/>
      <c r="AN492" s="23" t="n"/>
      <c r="AO492" s="24" t="n"/>
      <c r="AP492" s="24" t="n"/>
      <c r="AQ492" s="24" t="n"/>
      <c r="AR492" s="25" t="n"/>
      <c r="AS492" s="125" t="n"/>
    </row>
    <row r="493" hidden="1" outlineLevel="2">
      <c r="A493" s="8" t="n"/>
      <c r="B493" s="14" t="n"/>
      <c r="C493" s="125" t="n"/>
      <c r="D493" s="125" t="n"/>
      <c r="E493" s="125" t="n"/>
      <c r="F493" s="125" t="n"/>
      <c r="G493" s="125" t="n"/>
      <c r="I493" s="89" t="inlineStr">
        <is>
          <t>Projétil</t>
        </is>
      </c>
      <c r="J493" s="17" t="n"/>
      <c r="K493" s="68">
        <f>DADOS_INVOC!$QC$31</f>
        <v/>
      </c>
      <c r="L493" s="17" t="n"/>
      <c r="M493" s="68">
        <f>DADOS_INVOC!$PY$31</f>
        <v/>
      </c>
      <c r="N493" s="125" t="n"/>
      <c r="O493" s="89" t="inlineStr">
        <is>
          <t>Projétil</t>
        </is>
      </c>
      <c r="P493" s="17" t="n"/>
      <c r="Q493" s="68">
        <f>DADOS_INVOC!$QC$32</f>
        <v/>
      </c>
      <c r="R493" s="17" t="n"/>
      <c r="S493" s="68">
        <f>DADOS_INVOC!$PY$32</f>
        <v/>
      </c>
      <c r="T493" s="125" t="n"/>
      <c r="U493" s="89" t="inlineStr">
        <is>
          <t>Projétil</t>
        </is>
      </c>
      <c r="V493" s="17" t="n"/>
      <c r="W493" s="68">
        <f>DADOS_INVOC!$QC$33</f>
        <v/>
      </c>
      <c r="X493" s="17" t="n"/>
      <c r="Y493" s="68">
        <f>DADOS_INVOC!$PY$33</f>
        <v/>
      </c>
      <c r="Z493" s="125" t="n"/>
      <c r="AB493" s="89" t="inlineStr">
        <is>
          <t>Projétil</t>
        </is>
      </c>
      <c r="AC493" s="17" t="n"/>
      <c r="AD493" s="68">
        <f>DADOS_INVOC!$QC$109</f>
        <v/>
      </c>
      <c r="AE493" s="17" t="n"/>
      <c r="AF493" s="68">
        <f>DADOS_INVOC!$PY$109</f>
        <v/>
      </c>
      <c r="AG493" s="125" t="n"/>
      <c r="AH493" s="89" t="inlineStr">
        <is>
          <t>Projétil</t>
        </is>
      </c>
      <c r="AI493" s="17" t="n"/>
      <c r="AJ493" s="68">
        <f>DADOS_INVOC!$QC$110</f>
        <v/>
      </c>
      <c r="AK493" s="17" t="n"/>
      <c r="AL493" s="68">
        <f>DADOS_INVOC!$PY$110</f>
        <v/>
      </c>
      <c r="AM493" s="125" t="n"/>
      <c r="AN493" s="89" t="inlineStr">
        <is>
          <t>Projétil</t>
        </is>
      </c>
      <c r="AO493" s="17" t="n"/>
      <c r="AP493" s="68">
        <f>DADOS_INVOC!$QC$111</f>
        <v/>
      </c>
      <c r="AQ493" s="17" t="n"/>
      <c r="AR493" s="68">
        <f>DADOS_INVOC!$PY$111</f>
        <v/>
      </c>
      <c r="AS493" s="125" t="n"/>
    </row>
    <row r="494" hidden="1" outlineLevel="2">
      <c r="A494" s="8" t="n"/>
      <c r="B494" s="14" t="n"/>
      <c r="C494" s="125" t="n"/>
      <c r="D494" s="125" t="n"/>
      <c r="E494" s="125" t="n"/>
      <c r="F494" s="125" t="n"/>
      <c r="G494" s="125" t="n"/>
      <c r="I494" s="89" t="n"/>
      <c r="J494" s="17" t="n"/>
      <c r="K494" s="89" t="n"/>
      <c r="L494" s="16" t="n"/>
      <c r="M494" s="17" t="n"/>
      <c r="N494" s="125" t="n"/>
      <c r="O494" s="89" t="n"/>
      <c r="P494" s="17" t="n"/>
      <c r="Q494" s="89" t="n"/>
      <c r="R494" s="16" t="n"/>
      <c r="S494" s="17" t="n"/>
      <c r="T494" s="125" t="n"/>
      <c r="U494" s="89" t="n"/>
      <c r="V494" s="17" t="n"/>
      <c r="W494" s="89" t="n"/>
      <c r="X494" s="16" t="n"/>
      <c r="Y494" s="17" t="n"/>
      <c r="Z494" s="125" t="n"/>
      <c r="AB494" s="89" t="n"/>
      <c r="AC494" s="17" t="n"/>
      <c r="AD494" s="89" t="n"/>
      <c r="AE494" s="16" t="n"/>
      <c r="AF494" s="17" t="n"/>
      <c r="AG494" s="125" t="n"/>
      <c r="AH494" s="89" t="n"/>
      <c r="AI494" s="17" t="n"/>
      <c r="AJ494" s="89" t="n"/>
      <c r="AK494" s="16" t="n"/>
      <c r="AL494" s="17" t="n"/>
      <c r="AM494" s="125" t="n"/>
      <c r="AN494" s="89" t="n"/>
      <c r="AO494" s="17" t="n"/>
      <c r="AP494" s="89" t="n"/>
      <c r="AQ494" s="16" t="n"/>
      <c r="AR494" s="17" t="n"/>
      <c r="AS494" s="125" t="n"/>
    </row>
    <row r="495" hidden="1" outlineLevel="2">
      <c r="A495" s="8" t="n"/>
      <c r="B495" s="14" t="n"/>
      <c r="C495" s="125" t="n"/>
      <c r="D495" s="125" t="n"/>
      <c r="E495" s="125" t="n"/>
      <c r="F495" s="125" t="n"/>
      <c r="G495" s="125" t="n"/>
      <c r="I495" s="89">
        <f>DADOS_INVOC!$PZ$31</f>
        <v/>
      </c>
      <c r="J495" s="17" t="n"/>
      <c r="K495" s="89">
        <f>DADOS_INVOC!$QB$31</f>
        <v/>
      </c>
      <c r="L495" s="16" t="n"/>
      <c r="M495" s="17" t="n"/>
      <c r="N495" s="125" t="n"/>
      <c r="O495" s="89">
        <f>DADOS_INVOC!$PZ$32</f>
        <v/>
      </c>
      <c r="P495" s="17" t="n"/>
      <c r="Q495" s="89">
        <f>DADOS_INVOC!$QB$32</f>
        <v/>
      </c>
      <c r="R495" s="16" t="n"/>
      <c r="S495" s="17" t="n"/>
      <c r="T495" s="125" t="n"/>
      <c r="U495" s="89">
        <f>DADOS_INVOC!$PZ$33</f>
        <v/>
      </c>
      <c r="V495" s="17" t="n"/>
      <c r="W495" s="89">
        <f>DADOS_INVOC!$QB$33</f>
        <v/>
      </c>
      <c r="X495" s="16" t="n"/>
      <c r="Y495" s="17" t="n"/>
      <c r="Z495" s="125" t="n"/>
      <c r="AB495" s="89">
        <f>DADOS_INVOC!$PZ$109</f>
        <v/>
      </c>
      <c r="AC495" s="17" t="n"/>
      <c r="AD495" s="89">
        <f>DADOS_INVOC!$QB$109</f>
        <v/>
      </c>
      <c r="AE495" s="16" t="n"/>
      <c r="AF495" s="17" t="n"/>
      <c r="AG495" s="125" t="n"/>
      <c r="AH495" s="89">
        <f>DADOS_INVOC!$PZ$110</f>
        <v/>
      </c>
      <c r="AI495" s="17" t="n"/>
      <c r="AJ495" s="89">
        <f>DADOS_INVOC!$QB$110</f>
        <v/>
      </c>
      <c r="AK495" s="16" t="n"/>
      <c r="AL495" s="17" t="n"/>
      <c r="AM495" s="125" t="n"/>
      <c r="AN495" s="89">
        <f>DADOS_INVOC!$PZ$111</f>
        <v/>
      </c>
      <c r="AO495" s="17" t="n"/>
      <c r="AP495" s="89">
        <f>DADOS_INVOC!$QB$111</f>
        <v/>
      </c>
      <c r="AQ495" s="16" t="n"/>
      <c r="AR495" s="17" t="n"/>
      <c r="AS495" s="125" t="n"/>
    </row>
    <row r="496" hidden="1" outlineLevel="2">
      <c r="A496" s="8" t="n"/>
      <c r="B496" s="14" t="n"/>
      <c r="C496" s="125" t="n"/>
      <c r="D496" s="125" t="n"/>
      <c r="E496" s="125" t="n"/>
      <c r="F496" s="125" t="n"/>
      <c r="G496" s="125" t="n"/>
      <c r="I496" s="133">
        <f>DADOS_INVOC!$QH$31</f>
        <v/>
      </c>
      <c r="J496" s="16" t="n"/>
      <c r="K496" s="16" t="n"/>
      <c r="L496" s="16" t="n"/>
      <c r="M496" s="17" t="n"/>
      <c r="N496" s="125" t="n"/>
      <c r="O496" s="133">
        <f>DADOS_INVOC!$QH$32</f>
        <v/>
      </c>
      <c r="P496" s="16" t="n"/>
      <c r="Q496" s="16" t="n"/>
      <c r="R496" s="16" t="n"/>
      <c r="S496" s="17" t="n"/>
      <c r="T496" s="125" t="n"/>
      <c r="U496" s="133">
        <f>DADOS_INVOC!$QH$33</f>
        <v/>
      </c>
      <c r="V496" s="16" t="n"/>
      <c r="W496" s="16" t="n"/>
      <c r="X496" s="16" t="n"/>
      <c r="Y496" s="17" t="n"/>
      <c r="Z496" s="125" t="n"/>
      <c r="AB496" s="133">
        <f>DADOS_INVOC!$QH$109</f>
        <v/>
      </c>
      <c r="AC496" s="16" t="n"/>
      <c r="AD496" s="16" t="n"/>
      <c r="AE496" s="16" t="n"/>
      <c r="AF496" s="17" t="n"/>
      <c r="AG496" s="125" t="n"/>
      <c r="AH496" s="133">
        <f>DADOS_INVOC!$QH$110</f>
        <v/>
      </c>
      <c r="AI496" s="16" t="n"/>
      <c r="AJ496" s="16" t="n"/>
      <c r="AK496" s="16" t="n"/>
      <c r="AL496" s="17" t="n"/>
      <c r="AM496" s="125" t="n"/>
      <c r="AN496" s="133">
        <f>DADOS_INVOC!$QH$111</f>
        <v/>
      </c>
      <c r="AO496" s="16" t="n"/>
      <c r="AP496" s="16" t="n"/>
      <c r="AQ496" s="16" t="n"/>
      <c r="AR496" s="17" t="n"/>
      <c r="AS496" s="125" t="n"/>
    </row>
    <row r="497" hidden="1" outlineLevel="3">
      <c r="A497" s="8" t="n"/>
      <c r="B497" s="14" t="n"/>
      <c r="C497" s="125" t="n"/>
      <c r="D497" s="125" t="n"/>
      <c r="E497" s="125" t="n"/>
      <c r="F497" s="125" t="n"/>
      <c r="G497" s="125" t="n"/>
      <c r="I497" s="55" t="inlineStr">
        <is>
          <t>MELHORIAS</t>
        </is>
      </c>
      <c r="J497" s="134" t="n"/>
      <c r="K497" s="16" t="n"/>
      <c r="L497" s="17" t="n"/>
      <c r="M497" s="133">
        <f>DADOS_INVOC!$QK$31</f>
        <v/>
      </c>
      <c r="N497" s="125" t="n"/>
      <c r="O497" s="55" t="inlineStr">
        <is>
          <t>MELHORIAS</t>
        </is>
      </c>
      <c r="P497" s="134" t="n"/>
      <c r="Q497" s="16" t="n"/>
      <c r="R497" s="17" t="n"/>
      <c r="S497" s="133">
        <f>DADOS_INVOC!$QK$32</f>
        <v/>
      </c>
      <c r="T497" s="125" t="n"/>
      <c r="U497" s="55" t="inlineStr">
        <is>
          <t>MELHORIAS</t>
        </is>
      </c>
      <c r="V497" s="134" t="n"/>
      <c r="W497" s="16" t="n"/>
      <c r="X497" s="17" t="n"/>
      <c r="Y497" s="133">
        <f>DADOS_INVOC!$QK$33</f>
        <v/>
      </c>
      <c r="Z497" s="125" t="n"/>
      <c r="AB497" s="55" t="inlineStr">
        <is>
          <t>MELHORIAS</t>
        </is>
      </c>
      <c r="AC497" s="134" t="n"/>
      <c r="AD497" s="16" t="n"/>
      <c r="AE497" s="17" t="n"/>
      <c r="AF497" s="133">
        <f>DADOS_INVOC!$QK$109</f>
        <v/>
      </c>
      <c r="AG497" s="125" t="n"/>
      <c r="AH497" s="55" t="inlineStr">
        <is>
          <t>MELHORIAS</t>
        </is>
      </c>
      <c r="AI497" s="134" t="n"/>
      <c r="AJ497" s="16" t="n"/>
      <c r="AK497" s="17" t="n"/>
      <c r="AL497" s="133">
        <f>DADOS_INVOC!$QK$110</f>
        <v/>
      </c>
      <c r="AM497" s="125" t="n"/>
      <c r="AN497" s="55" t="inlineStr">
        <is>
          <t>MELHORIAS</t>
        </is>
      </c>
      <c r="AO497" s="134" t="n"/>
      <c r="AP497" s="16" t="n"/>
      <c r="AQ497" s="17" t="n"/>
      <c r="AR497" s="133">
        <f>DADOS_INVOC!$QK$111</f>
        <v/>
      </c>
      <c r="AS497" s="125" t="n"/>
    </row>
    <row r="498" hidden="1" outlineLevel="3">
      <c r="A498" s="8" t="n"/>
      <c r="B498" s="14" t="n"/>
      <c r="C498" s="125" t="n"/>
      <c r="D498" s="125" t="n"/>
      <c r="E498" s="125" t="n"/>
      <c r="F498" s="125" t="n"/>
      <c r="G498" s="125" t="n"/>
      <c r="I498" s="135" t="n"/>
      <c r="J498" s="134" t="n"/>
      <c r="K498" s="16" t="n"/>
      <c r="L498" s="17" t="n"/>
      <c r="M498" s="133">
        <f>DADOS_INVOC!$QL$31</f>
        <v/>
      </c>
      <c r="N498" s="125" t="n"/>
      <c r="O498" s="135" t="n"/>
      <c r="P498" s="134" t="n"/>
      <c r="Q498" s="16" t="n"/>
      <c r="R498" s="17" t="n"/>
      <c r="S498" s="133">
        <f>DADOS_INVOC!$QL$32</f>
        <v/>
      </c>
      <c r="T498" s="125" t="n"/>
      <c r="U498" s="135" t="n"/>
      <c r="V498" s="134" t="n"/>
      <c r="W498" s="16" t="n"/>
      <c r="X498" s="17" t="n"/>
      <c r="Y498" s="133">
        <f>DADOS_INVOC!$QL$33</f>
        <v/>
      </c>
      <c r="Z498" s="125" t="n"/>
      <c r="AB498" s="135" t="n"/>
      <c r="AC498" s="134" t="n"/>
      <c r="AD498" s="16" t="n"/>
      <c r="AE498" s="17" t="n"/>
      <c r="AF498" s="133">
        <f>DADOS_INVOC!$QL$109</f>
        <v/>
      </c>
      <c r="AG498" s="125" t="n"/>
      <c r="AH498" s="135" t="n"/>
      <c r="AI498" s="134" t="n"/>
      <c r="AJ498" s="16" t="n"/>
      <c r="AK498" s="17" t="n"/>
      <c r="AL498" s="133">
        <f>DADOS_INVOC!$QL$110</f>
        <v/>
      </c>
      <c r="AM498" s="125" t="n"/>
      <c r="AN498" s="135" t="n"/>
      <c r="AO498" s="134" t="n"/>
      <c r="AP498" s="16" t="n"/>
      <c r="AQ498" s="17" t="n"/>
      <c r="AR498" s="133">
        <f>DADOS_INVOC!$QL$111</f>
        <v/>
      </c>
      <c r="AS498" s="125" t="n"/>
    </row>
    <row r="499" hidden="1" outlineLevel="3">
      <c r="A499" s="8" t="n"/>
      <c r="B499" s="14" t="n"/>
      <c r="C499" s="125" t="n"/>
      <c r="D499" s="125" t="n"/>
      <c r="E499" s="125" t="n"/>
      <c r="F499" s="125" t="n"/>
      <c r="G499" s="125" t="n"/>
      <c r="I499" s="135" t="n"/>
      <c r="J499" s="134" t="n"/>
      <c r="K499" s="16" t="n"/>
      <c r="L499" s="17" t="n"/>
      <c r="M499" s="133">
        <f>DADOS_INVOC!$QM$31</f>
        <v/>
      </c>
      <c r="N499" s="125" t="n"/>
      <c r="O499" s="135" t="n"/>
      <c r="P499" s="134" t="n"/>
      <c r="Q499" s="16" t="n"/>
      <c r="R499" s="17" t="n"/>
      <c r="S499" s="133">
        <f>DADOS_INVOC!$QM$32</f>
        <v/>
      </c>
      <c r="T499" s="125" t="n"/>
      <c r="U499" s="135" t="n"/>
      <c r="V499" s="134" t="n"/>
      <c r="W499" s="16" t="n"/>
      <c r="X499" s="17" t="n"/>
      <c r="Y499" s="133">
        <f>DADOS_INVOC!$QM$33</f>
        <v/>
      </c>
      <c r="Z499" s="125" t="n"/>
      <c r="AB499" s="135" t="n"/>
      <c r="AC499" s="134" t="n"/>
      <c r="AD499" s="16" t="n"/>
      <c r="AE499" s="17" t="n"/>
      <c r="AF499" s="133">
        <f>DADOS_INVOC!$QM$109</f>
        <v/>
      </c>
      <c r="AG499" s="125" t="n"/>
      <c r="AH499" s="135" t="n"/>
      <c r="AI499" s="134" t="n"/>
      <c r="AJ499" s="16" t="n"/>
      <c r="AK499" s="17" t="n"/>
      <c r="AL499" s="133">
        <f>DADOS_INVOC!$QM$110</f>
        <v/>
      </c>
      <c r="AM499" s="125" t="n"/>
      <c r="AN499" s="135" t="n"/>
      <c r="AO499" s="134" t="n"/>
      <c r="AP499" s="16" t="n"/>
      <c r="AQ499" s="17" t="n"/>
      <c r="AR499" s="133">
        <f>DADOS_INVOC!$QM$111</f>
        <v/>
      </c>
      <c r="AS499" s="125" t="n"/>
    </row>
    <row r="500" hidden="1" outlineLevel="3">
      <c r="A500" s="8" t="n"/>
      <c r="B500" s="14" t="n"/>
      <c r="C500" s="125" t="n"/>
      <c r="D500" s="125" t="n"/>
      <c r="E500" s="125" t="n"/>
      <c r="F500" s="125" t="n"/>
      <c r="G500" s="125" t="n"/>
      <c r="I500" s="129" t="n"/>
      <c r="J500" s="134" t="n"/>
      <c r="K500" s="16" t="n"/>
      <c r="L500" s="17" t="n"/>
      <c r="M500" s="133">
        <f>DADOS_INVOC!$QN$31</f>
        <v/>
      </c>
      <c r="N500" s="125" t="n"/>
      <c r="O500" s="129" t="n"/>
      <c r="P500" s="134" t="n"/>
      <c r="Q500" s="16" t="n"/>
      <c r="R500" s="17" t="n"/>
      <c r="S500" s="133">
        <f>DADOS_INVOC!$QN$32</f>
        <v/>
      </c>
      <c r="T500" s="125" t="n"/>
      <c r="U500" s="129" t="n"/>
      <c r="V500" s="134" t="n"/>
      <c r="W500" s="16" t="n"/>
      <c r="X500" s="17" t="n"/>
      <c r="Y500" s="133">
        <f>DADOS_INVOC!$QN$33</f>
        <v/>
      </c>
      <c r="Z500" s="125" t="n"/>
      <c r="AB500" s="129" t="n"/>
      <c r="AC500" s="134" t="n"/>
      <c r="AD500" s="16" t="n"/>
      <c r="AE500" s="17" t="n"/>
      <c r="AF500" s="133">
        <f>DADOS_INVOC!$QN$109</f>
        <v/>
      </c>
      <c r="AG500" s="125" t="n"/>
      <c r="AH500" s="129" t="n"/>
      <c r="AI500" s="134" t="n"/>
      <c r="AJ500" s="16" t="n"/>
      <c r="AK500" s="17" t="n"/>
      <c r="AL500" s="133">
        <f>DADOS_INVOC!$QN$110</f>
        <v/>
      </c>
      <c r="AM500" s="125" t="n"/>
      <c r="AN500" s="129" t="n"/>
      <c r="AO500" s="134" t="n"/>
      <c r="AP500" s="16" t="n"/>
      <c r="AQ500" s="17" t="n"/>
      <c r="AR500" s="133">
        <f>DADOS_INVOC!$QN$111</f>
        <v/>
      </c>
      <c r="AS500" s="125" t="n"/>
    </row>
    <row r="501" hidden="1" outlineLevel="3">
      <c r="A501" s="8" t="n"/>
      <c r="B501" s="14" t="n"/>
      <c r="C501" s="125" t="n"/>
      <c r="D501" s="125" t="n"/>
      <c r="E501" s="125" t="n"/>
      <c r="F501" s="125" t="n"/>
      <c r="G501" s="125" t="n"/>
      <c r="I501" s="55" t="inlineStr">
        <is>
          <t>RESTRIÇÕES</t>
        </is>
      </c>
      <c r="J501" s="134" t="n"/>
      <c r="K501" s="16" t="n"/>
      <c r="L501" s="17" t="n"/>
      <c r="M501" s="133">
        <f>DADOS_INVOC!$QO$31</f>
        <v/>
      </c>
      <c r="N501" s="125" t="n"/>
      <c r="O501" s="55" t="inlineStr">
        <is>
          <t>RESTRIÇÕES</t>
        </is>
      </c>
      <c r="P501" s="134" t="n"/>
      <c r="Q501" s="16" t="n"/>
      <c r="R501" s="17" t="n"/>
      <c r="S501" s="133">
        <f>DADOS_INVOC!$QO$32</f>
        <v/>
      </c>
      <c r="T501" s="125" t="n"/>
      <c r="U501" s="55" t="inlineStr">
        <is>
          <t>RESTRIÇÕES</t>
        </is>
      </c>
      <c r="V501" s="134" t="n"/>
      <c r="W501" s="16" t="n"/>
      <c r="X501" s="17" t="n"/>
      <c r="Y501" s="133">
        <f>DADOS_INVOC!$QO$33</f>
        <v/>
      </c>
      <c r="Z501" s="125" t="n"/>
      <c r="AB501" s="55" t="inlineStr">
        <is>
          <t>RESTRIÇÕES</t>
        </is>
      </c>
      <c r="AC501" s="134" t="n"/>
      <c r="AD501" s="16" t="n"/>
      <c r="AE501" s="17" t="n"/>
      <c r="AF501" s="133">
        <f>DADOS_INVOC!$QO$109</f>
        <v/>
      </c>
      <c r="AG501" s="125" t="n"/>
      <c r="AH501" s="55" t="inlineStr">
        <is>
          <t>RESTRIÇÕES</t>
        </is>
      </c>
      <c r="AI501" s="134" t="n"/>
      <c r="AJ501" s="16" t="n"/>
      <c r="AK501" s="17" t="n"/>
      <c r="AL501" s="133">
        <f>DADOS_INVOC!$QO$110</f>
        <v/>
      </c>
      <c r="AM501" s="125" t="n"/>
      <c r="AN501" s="55" t="inlineStr">
        <is>
          <t>RESTRIÇÕES</t>
        </is>
      </c>
      <c r="AO501" s="134" t="n"/>
      <c r="AP501" s="16" t="n"/>
      <c r="AQ501" s="17" t="n"/>
      <c r="AR501" s="133">
        <f>DADOS_INVOC!$QO$111</f>
        <v/>
      </c>
      <c r="AS501" s="125" t="n"/>
    </row>
    <row r="502" hidden="1" outlineLevel="3">
      <c r="A502" s="8" t="n"/>
      <c r="B502" s="14" t="n"/>
      <c r="C502" s="125" t="n"/>
      <c r="D502" s="125" t="n"/>
      <c r="E502" s="125" t="n"/>
      <c r="F502" s="125" t="n"/>
      <c r="G502" s="125" t="n"/>
      <c r="I502" s="129" t="n"/>
      <c r="J502" s="134" t="n"/>
      <c r="K502" s="16" t="n"/>
      <c r="L502" s="17" t="n"/>
      <c r="M502" s="133">
        <f>DADOS_INVOC!$QP$31</f>
        <v/>
      </c>
      <c r="N502" s="125" t="n"/>
      <c r="O502" s="129" t="n"/>
      <c r="P502" s="134" t="n"/>
      <c r="Q502" s="16" t="n"/>
      <c r="R502" s="17" t="n"/>
      <c r="S502" s="133">
        <f>DADOS_INVOC!$QP$32</f>
        <v/>
      </c>
      <c r="T502" s="125" t="n"/>
      <c r="U502" s="129" t="n"/>
      <c r="V502" s="134" t="n"/>
      <c r="W502" s="16" t="n"/>
      <c r="X502" s="17" t="n"/>
      <c r="Y502" s="133">
        <f>DADOS_INVOC!$QP$33</f>
        <v/>
      </c>
      <c r="Z502" s="125" t="n"/>
      <c r="AB502" s="129" t="n"/>
      <c r="AC502" s="134" t="n"/>
      <c r="AD502" s="16" t="n"/>
      <c r="AE502" s="17" t="n"/>
      <c r="AF502" s="133">
        <f>DADOS_INVOC!$QP$109</f>
        <v/>
      </c>
      <c r="AG502" s="125" t="n"/>
      <c r="AH502" s="129" t="n"/>
      <c r="AI502" s="134" t="n"/>
      <c r="AJ502" s="16" t="n"/>
      <c r="AK502" s="17" t="n"/>
      <c r="AL502" s="133">
        <f>DADOS_INVOC!$QP$110</f>
        <v/>
      </c>
      <c r="AM502" s="125" t="n"/>
      <c r="AN502" s="129" t="n"/>
      <c r="AO502" s="134" t="n"/>
      <c r="AP502" s="16" t="n"/>
      <c r="AQ502" s="17" t="n"/>
      <c r="AR502" s="133">
        <f>DADOS_INVOC!$QP$111</f>
        <v/>
      </c>
      <c r="AS502" s="125" t="n"/>
    </row>
    <row r="503" hidden="1" outlineLevel="3">
      <c r="A503" s="8" t="n"/>
      <c r="B503" s="14" t="n"/>
      <c r="C503" s="125" t="n"/>
      <c r="D503" s="125" t="n"/>
      <c r="E503" s="125" t="n"/>
      <c r="F503" s="125" t="n"/>
      <c r="G503" s="125" t="n"/>
      <c r="I503" s="55" t="inlineStr">
        <is>
          <t>CONTA</t>
        </is>
      </c>
      <c r="J503" s="136">
        <f>DADOS_INVOC!$QI$31</f>
        <v/>
      </c>
      <c r="K503" s="16" t="n"/>
      <c r="L503" s="16" t="n"/>
      <c r="M503" s="17" t="n"/>
      <c r="N503" s="125" t="n"/>
      <c r="O503" s="55" t="inlineStr">
        <is>
          <t>CONTA</t>
        </is>
      </c>
      <c r="P503" s="136">
        <f>DADOS_INVOC!$QI$32</f>
        <v/>
      </c>
      <c r="Q503" s="16" t="n"/>
      <c r="R503" s="16" t="n"/>
      <c r="S503" s="17" t="n"/>
      <c r="T503" s="125" t="n"/>
      <c r="U503" s="55" t="inlineStr">
        <is>
          <t>CONTA</t>
        </is>
      </c>
      <c r="V503" s="136">
        <f>DADOS_INVOC!$QI$33</f>
        <v/>
      </c>
      <c r="W503" s="16" t="n"/>
      <c r="X503" s="16" t="n"/>
      <c r="Y503" s="17" t="n"/>
      <c r="Z503" s="125" t="n"/>
      <c r="AB503" s="55" t="inlineStr">
        <is>
          <t>CONTA</t>
        </is>
      </c>
      <c r="AC503" s="136">
        <f>DADOS_INVOC!$QI$109</f>
        <v/>
      </c>
      <c r="AD503" s="16" t="n"/>
      <c r="AE503" s="16" t="n"/>
      <c r="AF503" s="17" t="n"/>
      <c r="AG503" s="125" t="n"/>
      <c r="AH503" s="55" t="inlineStr">
        <is>
          <t>CONTA</t>
        </is>
      </c>
      <c r="AI503" s="136">
        <f>DADOS_INVOC!$QI$110</f>
        <v/>
      </c>
      <c r="AJ503" s="16" t="n"/>
      <c r="AK503" s="16" t="n"/>
      <c r="AL503" s="17" t="n"/>
      <c r="AM503" s="125" t="n"/>
      <c r="AN503" s="55" t="inlineStr">
        <is>
          <t>CONTA</t>
        </is>
      </c>
      <c r="AO503" s="136">
        <f>DADOS_INVOC!$QI$111</f>
        <v/>
      </c>
      <c r="AP503" s="16" t="n"/>
      <c r="AQ503" s="16" t="n"/>
      <c r="AR503" s="17" t="n"/>
      <c r="AS503" s="125" t="n"/>
    </row>
    <row r="504" hidden="1" outlineLevel="3">
      <c r="A504" s="8" t="n"/>
      <c r="B504" s="14" t="n"/>
      <c r="C504" s="125" t="n"/>
      <c r="D504" s="125" t="n"/>
      <c r="E504" s="125" t="n"/>
      <c r="F504" s="125" t="n"/>
      <c r="G504" s="125" t="n"/>
      <c r="I504" s="55" t="inlineStr">
        <is>
          <t>AMPLIAR</t>
        </is>
      </c>
      <c r="J504" s="136">
        <f>DADOS_INVOC!$QJ$31</f>
        <v/>
      </c>
      <c r="K504" s="19" t="n"/>
      <c r="L504" s="19" t="n"/>
      <c r="M504" s="20" t="n"/>
      <c r="N504" s="125" t="n"/>
      <c r="O504" s="55" t="inlineStr">
        <is>
          <t>AMPLIAR</t>
        </is>
      </c>
      <c r="P504" s="136">
        <f>DADOS_INVOC!$QJ$32</f>
        <v/>
      </c>
      <c r="Q504" s="19" t="n"/>
      <c r="R504" s="19" t="n"/>
      <c r="S504" s="20" t="n"/>
      <c r="T504" s="125" t="n"/>
      <c r="U504" s="55" t="inlineStr">
        <is>
          <t>AMPLIAR</t>
        </is>
      </c>
      <c r="V504" s="136">
        <f>DADOS_INVOC!$QJ$33</f>
        <v/>
      </c>
      <c r="W504" s="19" t="n"/>
      <c r="X504" s="19" t="n"/>
      <c r="Y504" s="20" t="n"/>
      <c r="Z504" s="125" t="n"/>
      <c r="AB504" s="55" t="inlineStr">
        <is>
          <t>AMPLIAR</t>
        </is>
      </c>
      <c r="AC504" s="136">
        <f>DADOS_INVOC!$QJ$109</f>
        <v/>
      </c>
      <c r="AD504" s="19" t="n"/>
      <c r="AE504" s="19" t="n"/>
      <c r="AF504" s="20" t="n"/>
      <c r="AG504" s="125" t="n"/>
      <c r="AH504" s="55" t="inlineStr">
        <is>
          <t>AMPLIAR</t>
        </is>
      </c>
      <c r="AI504" s="136">
        <f>DADOS_INVOC!$QJ$110</f>
        <v/>
      </c>
      <c r="AJ504" s="19" t="n"/>
      <c r="AK504" s="19" t="n"/>
      <c r="AL504" s="20" t="n"/>
      <c r="AM504" s="125" t="n"/>
      <c r="AN504" s="55" t="inlineStr">
        <is>
          <t>AMPLIAR</t>
        </is>
      </c>
      <c r="AO504" s="136">
        <f>DADOS_INVOC!$QJ$111</f>
        <v/>
      </c>
      <c r="AP504" s="19" t="n"/>
      <c r="AQ504" s="19" t="n"/>
      <c r="AR504" s="20" t="n"/>
      <c r="AS504" s="125" t="n"/>
    </row>
    <row r="505" hidden="1" outlineLevel="3">
      <c r="A505" s="8" t="n"/>
      <c r="B505" s="14" t="n"/>
      <c r="C505" s="125" t="n"/>
      <c r="D505" s="125" t="n"/>
      <c r="E505" s="125" t="n"/>
      <c r="F505" s="125" t="n"/>
      <c r="G505" s="125" t="n"/>
      <c r="I505" s="129" t="n"/>
      <c r="J505" s="23" t="n"/>
      <c r="K505" s="24" t="n"/>
      <c r="L505" s="24" t="n"/>
      <c r="M505" s="25" t="n"/>
      <c r="N505" s="125" t="n"/>
      <c r="O505" s="129" t="n"/>
      <c r="P505" s="23" t="n"/>
      <c r="Q505" s="24" t="n"/>
      <c r="R505" s="24" t="n"/>
      <c r="S505" s="25" t="n"/>
      <c r="T505" s="125" t="n"/>
      <c r="U505" s="129" t="n"/>
      <c r="V505" s="23" t="n"/>
      <c r="W505" s="24" t="n"/>
      <c r="X505" s="24" t="n"/>
      <c r="Y505" s="25" t="n"/>
      <c r="Z505" s="125" t="n"/>
      <c r="AB505" s="129" t="n"/>
      <c r="AC505" s="23" t="n"/>
      <c r="AD505" s="24" t="n"/>
      <c r="AE505" s="24" t="n"/>
      <c r="AF505" s="25" t="n"/>
      <c r="AG505" s="125" t="n"/>
      <c r="AH505" s="129" t="n"/>
      <c r="AI505" s="23" t="n"/>
      <c r="AJ505" s="24" t="n"/>
      <c r="AK505" s="24" t="n"/>
      <c r="AL505" s="25" t="n"/>
      <c r="AM505" s="125" t="n"/>
      <c r="AN505" s="129" t="n"/>
      <c r="AO505" s="23" t="n"/>
      <c r="AP505" s="24" t="n"/>
      <c r="AQ505" s="24" t="n"/>
      <c r="AR505" s="25" t="n"/>
      <c r="AS505" s="125" t="n"/>
    </row>
    <row r="506" hidden="1" outlineLevel="3">
      <c r="A506" s="8" t="n"/>
      <c r="B506" s="14" t="n"/>
      <c r="C506" s="125" t="n"/>
      <c r="D506" s="125" t="n"/>
      <c r="E506" s="125" t="n"/>
      <c r="F506" s="125" t="n"/>
      <c r="G506" s="125" t="n"/>
      <c r="I506" s="136">
        <f>DADOS_INVOC!$PW$31</f>
        <v/>
      </c>
      <c r="J506" s="19" t="n"/>
      <c r="K506" s="19" t="n"/>
      <c r="L506" s="19" t="n"/>
      <c r="M506" s="20" t="n"/>
      <c r="N506" s="125" t="n"/>
      <c r="O506" s="136">
        <f>DADOS_INVOC!$PW$32</f>
        <v/>
      </c>
      <c r="P506" s="19" t="n"/>
      <c r="Q506" s="19" t="n"/>
      <c r="R506" s="19" t="n"/>
      <c r="S506" s="20" t="n"/>
      <c r="T506" s="125" t="n"/>
      <c r="U506" s="136">
        <f>DADOS_INVOC!$PW$33</f>
        <v/>
      </c>
      <c r="V506" s="19" t="n"/>
      <c r="W506" s="19" t="n"/>
      <c r="X506" s="19" t="n"/>
      <c r="Y506" s="20" t="n"/>
      <c r="Z506" s="125" t="n"/>
      <c r="AB506" s="136">
        <f>DADOS_INVOC!$PW$109</f>
        <v/>
      </c>
      <c r="AC506" s="19" t="n"/>
      <c r="AD506" s="19" t="n"/>
      <c r="AE506" s="19" t="n"/>
      <c r="AF506" s="20" t="n"/>
      <c r="AG506" s="125" t="n"/>
      <c r="AH506" s="136">
        <f>DADOS_INVOC!$PW$110</f>
        <v/>
      </c>
      <c r="AI506" s="19" t="n"/>
      <c r="AJ506" s="19" t="n"/>
      <c r="AK506" s="19" t="n"/>
      <c r="AL506" s="20" t="n"/>
      <c r="AM506" s="125" t="n"/>
      <c r="AN506" s="136">
        <f>DADOS_INVOC!$PW$111</f>
        <v/>
      </c>
      <c r="AO506" s="19" t="n"/>
      <c r="AP506" s="19" t="n"/>
      <c r="AQ506" s="19" t="n"/>
      <c r="AR506" s="20" t="n"/>
      <c r="AS506" s="125" t="n"/>
    </row>
    <row r="507" hidden="1" outlineLevel="3">
      <c r="A507" s="8" t="n"/>
      <c r="B507" s="14" t="n"/>
      <c r="C507" s="125" t="n"/>
      <c r="D507" s="125" t="n"/>
      <c r="E507" s="125" t="n"/>
      <c r="F507" s="125" t="n"/>
      <c r="G507" s="125" t="n"/>
      <c r="I507" s="23" t="n"/>
      <c r="J507" s="24" t="n"/>
      <c r="K507" s="24" t="n"/>
      <c r="L507" s="24" t="n"/>
      <c r="M507" s="25" t="n"/>
      <c r="N507" s="125" t="n"/>
      <c r="O507" s="23" t="n"/>
      <c r="P507" s="24" t="n"/>
      <c r="Q507" s="24" t="n"/>
      <c r="R507" s="24" t="n"/>
      <c r="S507" s="25" t="n"/>
      <c r="T507" s="125" t="n"/>
      <c r="U507" s="23" t="n"/>
      <c r="V507" s="24" t="n"/>
      <c r="W507" s="24" t="n"/>
      <c r="X507" s="24" t="n"/>
      <c r="Y507" s="25" t="n"/>
      <c r="Z507" s="125" t="n"/>
      <c r="AB507" s="23" t="n"/>
      <c r="AC507" s="24" t="n"/>
      <c r="AD507" s="24" t="n"/>
      <c r="AE507" s="24" t="n"/>
      <c r="AF507" s="25" t="n"/>
      <c r="AG507" s="125" t="n"/>
      <c r="AH507" s="23" t="n"/>
      <c r="AI507" s="24" t="n"/>
      <c r="AJ507" s="24" t="n"/>
      <c r="AK507" s="24" t="n"/>
      <c r="AL507" s="25" t="n"/>
      <c r="AM507" s="125" t="n"/>
      <c r="AN507" s="23" t="n"/>
      <c r="AO507" s="24" t="n"/>
      <c r="AP507" s="24" t="n"/>
      <c r="AQ507" s="24" t="n"/>
      <c r="AR507" s="25" t="n"/>
      <c r="AS507" s="125" t="n"/>
    </row>
    <row r="508" hidden="1" outlineLevel="2">
      <c r="A508" s="8" t="n"/>
      <c r="B508" s="14" t="n"/>
      <c r="C508" s="125" t="n"/>
      <c r="D508" s="125" t="n"/>
      <c r="E508" s="125" t="n"/>
      <c r="F508" s="125" t="n"/>
      <c r="G508" s="125" t="n"/>
      <c r="I508" s="125" t="n"/>
      <c r="J508" s="125" t="n"/>
      <c r="K508" s="125" t="n"/>
      <c r="L508" s="125" t="n"/>
      <c r="M508" s="125" t="n"/>
      <c r="N508" s="125" t="n"/>
      <c r="O508" s="125" t="n"/>
      <c r="P508" s="125" t="n"/>
      <c r="Q508" s="125" t="n"/>
      <c r="R508" s="125" t="n"/>
      <c r="S508" s="125" t="n"/>
      <c r="T508" s="125" t="n"/>
      <c r="U508" s="125" t="n"/>
      <c r="V508" s="125" t="n"/>
      <c r="W508" s="125" t="n"/>
      <c r="X508" s="125" t="n"/>
      <c r="Y508" s="125" t="n"/>
      <c r="Z508" s="125" t="n"/>
      <c r="AB508" s="125" t="n"/>
      <c r="AC508" s="125" t="n"/>
      <c r="AD508" s="125" t="n"/>
      <c r="AE508" s="125" t="n"/>
      <c r="AF508" s="125" t="n"/>
      <c r="AG508" s="125" t="n"/>
      <c r="AH508" s="125" t="n"/>
      <c r="AI508" s="125" t="n"/>
      <c r="AJ508" s="125" t="n"/>
      <c r="AK508" s="125" t="n"/>
      <c r="AL508" s="125" t="n"/>
      <c r="AM508" s="125" t="n"/>
      <c r="AN508" s="125" t="n"/>
      <c r="AO508" s="125" t="n"/>
      <c r="AP508" s="125" t="n"/>
      <c r="AQ508" s="125" t="n"/>
      <c r="AR508" s="125" t="n"/>
      <c r="AS508" s="125" t="n"/>
    </row>
    <row r="509" hidden="1" outlineLevel="2">
      <c r="A509" s="8" t="n"/>
      <c r="B509" s="14" t="n"/>
      <c r="C509" s="125" t="n"/>
      <c r="D509" s="125" t="n"/>
      <c r="E509" s="125" t="n"/>
      <c r="F509" s="125" t="n"/>
      <c r="G509" s="125" t="n"/>
      <c r="I509" s="55">
        <f>DADOS_INVOC!$PX$34</f>
        <v/>
      </c>
      <c r="J509" s="16" t="n"/>
      <c r="K509" s="16" t="n"/>
      <c r="L509" s="16" t="n"/>
      <c r="M509" s="17" t="n"/>
      <c r="N509" s="125" t="n"/>
      <c r="O509" s="55">
        <f>DADOS_INVOC!$PX$35</f>
        <v/>
      </c>
      <c r="P509" s="16" t="n"/>
      <c r="Q509" s="16" t="n"/>
      <c r="R509" s="16" t="n"/>
      <c r="S509" s="17" t="n"/>
      <c r="T509" s="125" t="n"/>
      <c r="U509" s="55">
        <f>DADOS_INVOC!$PX$36</f>
        <v/>
      </c>
      <c r="V509" s="16" t="n"/>
      <c r="W509" s="16" t="n"/>
      <c r="X509" s="16" t="n"/>
      <c r="Y509" s="17" t="n"/>
      <c r="Z509" s="125" t="n"/>
      <c r="AB509" s="55">
        <f>DADOS_INVOC!$PX$112</f>
        <v/>
      </c>
      <c r="AC509" s="16" t="n"/>
      <c r="AD509" s="16" t="n"/>
      <c r="AE509" s="16" t="n"/>
      <c r="AF509" s="17" t="n"/>
      <c r="AG509" s="125" t="n"/>
      <c r="AH509" s="55">
        <f>DADOS_INVOC!$PX$113</f>
        <v/>
      </c>
      <c r="AI509" s="16" t="n"/>
      <c r="AJ509" s="16" t="n"/>
      <c r="AK509" s="16" t="n"/>
      <c r="AL509" s="17" t="n"/>
      <c r="AM509" s="125" t="n"/>
      <c r="AN509" s="55">
        <f>DADOS_INVOC!$PX$114</f>
        <v/>
      </c>
      <c r="AO509" s="16" t="n"/>
      <c r="AP509" s="16" t="n"/>
      <c r="AQ509" s="16" t="n"/>
      <c r="AR509" s="17" t="n"/>
      <c r="AS509" s="125" t="n"/>
    </row>
    <row r="510" hidden="1" outlineLevel="2">
      <c r="A510" s="8" t="n"/>
      <c r="B510" s="14" t="n"/>
      <c r="C510" s="125" t="n"/>
      <c r="D510" s="125" t="n"/>
      <c r="E510" s="125" t="n"/>
      <c r="F510" s="125" t="n"/>
      <c r="G510" s="125" t="n"/>
      <c r="I510" s="131" t="n">
        <v>1</v>
      </c>
      <c r="J510" s="120" t="n"/>
      <c r="K510" s="16" t="n"/>
      <c r="L510" s="17" t="n"/>
      <c r="M510" s="132">
        <f>DADOS_INVOC!$PV$34</f>
        <v/>
      </c>
      <c r="N510" s="125" t="n"/>
      <c r="O510" s="131" t="n">
        <v>1</v>
      </c>
      <c r="P510" s="120" t="n"/>
      <c r="Q510" s="16" t="n"/>
      <c r="R510" s="17" t="n"/>
      <c r="S510" s="132">
        <f>DADOS_INVOC!$PV$35</f>
        <v/>
      </c>
      <c r="T510" s="125" t="n"/>
      <c r="U510" s="131" t="n">
        <v>1</v>
      </c>
      <c r="V510" s="120" t="n"/>
      <c r="W510" s="16" t="n"/>
      <c r="X510" s="17" t="n"/>
      <c r="Y510" s="132">
        <f>DADOS_INVOC!$PV$36</f>
        <v/>
      </c>
      <c r="Z510" s="125" t="n"/>
      <c r="AB510" s="131" t="n">
        <v>1</v>
      </c>
      <c r="AC510" s="120" t="n"/>
      <c r="AD510" s="16" t="n"/>
      <c r="AE510" s="17" t="n"/>
      <c r="AF510" s="132">
        <f>DADOS_INVOC!$PV$112</f>
        <v/>
      </c>
      <c r="AG510" s="125" t="n"/>
      <c r="AH510" s="131" t="n">
        <v>1</v>
      </c>
      <c r="AI510" s="120" t="n"/>
      <c r="AJ510" s="16" t="n"/>
      <c r="AK510" s="17" t="n"/>
      <c r="AL510" s="132">
        <f>DADOS_INVOC!$PV$113</f>
        <v/>
      </c>
      <c r="AM510" s="125" t="n"/>
      <c r="AN510" s="131" t="n">
        <v>1</v>
      </c>
      <c r="AO510" s="120" t="n"/>
      <c r="AP510" s="16" t="n"/>
      <c r="AQ510" s="17" t="n"/>
      <c r="AR510" s="132">
        <f>DADOS_INVOC!$PV$114</f>
        <v/>
      </c>
      <c r="AS510" s="125" t="n"/>
    </row>
    <row r="511" hidden="1" outlineLevel="3">
      <c r="A511" s="8" t="n"/>
      <c r="B511" s="14" t="n"/>
      <c r="C511" s="125" t="n"/>
      <c r="D511" s="125" t="n"/>
      <c r="E511" s="125" t="n"/>
      <c r="F511" s="125" t="n"/>
      <c r="G511" s="125" t="n"/>
      <c r="I511" s="55" t="inlineStr">
        <is>
          <t>COMO É</t>
        </is>
      </c>
      <c r="J511" s="16" t="n"/>
      <c r="K511" s="16" t="n"/>
      <c r="L511" s="16" t="n"/>
      <c r="M511" s="17" t="n"/>
      <c r="N511" s="125" t="n"/>
      <c r="O511" s="55" t="inlineStr">
        <is>
          <t>COMO É</t>
        </is>
      </c>
      <c r="P511" s="16" t="n"/>
      <c r="Q511" s="16" t="n"/>
      <c r="R511" s="16" t="n"/>
      <c r="S511" s="17" t="n"/>
      <c r="T511" s="125" t="n"/>
      <c r="U511" s="55" t="inlineStr">
        <is>
          <t>COMO É</t>
        </is>
      </c>
      <c r="V511" s="16" t="n"/>
      <c r="W511" s="16" t="n"/>
      <c r="X511" s="16" t="n"/>
      <c r="Y511" s="17" t="n"/>
      <c r="Z511" s="125" t="n"/>
      <c r="AB511" s="55" t="inlineStr">
        <is>
          <t>COMO É</t>
        </is>
      </c>
      <c r="AC511" s="16" t="n"/>
      <c r="AD511" s="16" t="n"/>
      <c r="AE511" s="16" t="n"/>
      <c r="AF511" s="17" t="n"/>
      <c r="AG511" s="125" t="n"/>
      <c r="AH511" s="55" t="inlineStr">
        <is>
          <t>COMO É</t>
        </is>
      </c>
      <c r="AI511" s="16" t="n"/>
      <c r="AJ511" s="16" t="n"/>
      <c r="AK511" s="16" t="n"/>
      <c r="AL511" s="17" t="n"/>
      <c r="AM511" s="125" t="n"/>
      <c r="AN511" s="55" t="inlineStr">
        <is>
          <t>COMO É</t>
        </is>
      </c>
      <c r="AO511" s="16" t="n"/>
      <c r="AP511" s="16" t="n"/>
      <c r="AQ511" s="16" t="n"/>
      <c r="AR511" s="17" t="n"/>
      <c r="AS511" s="125" t="n"/>
    </row>
    <row r="512" hidden="1" outlineLevel="3">
      <c r="A512" s="8" t="n"/>
      <c r="B512" s="14" t="n"/>
      <c r="C512" s="125" t="n"/>
      <c r="D512" s="125" t="n"/>
      <c r="E512" s="125" t="n"/>
      <c r="F512" s="125" t="n"/>
      <c r="G512" s="125" t="n"/>
      <c r="I512" s="121" t="n"/>
      <c r="J512" s="19" t="n"/>
      <c r="K512" s="19" t="n"/>
      <c r="L512" s="19" t="n"/>
      <c r="M512" s="20" t="n"/>
      <c r="N512" s="125" t="n"/>
      <c r="O512" s="121" t="n"/>
      <c r="P512" s="19" t="n"/>
      <c r="Q512" s="19" t="n"/>
      <c r="R512" s="19" t="n"/>
      <c r="S512" s="20" t="n"/>
      <c r="T512" s="125" t="n"/>
      <c r="U512" s="121" t="n"/>
      <c r="V512" s="19" t="n"/>
      <c r="W512" s="19" t="n"/>
      <c r="X512" s="19" t="n"/>
      <c r="Y512" s="20" t="n"/>
      <c r="Z512" s="125" t="n"/>
      <c r="AB512" s="121" t="n"/>
      <c r="AC512" s="19" t="n"/>
      <c r="AD512" s="19" t="n"/>
      <c r="AE512" s="19" t="n"/>
      <c r="AF512" s="20" t="n"/>
      <c r="AG512" s="125" t="n"/>
      <c r="AH512" s="121" t="n"/>
      <c r="AI512" s="19" t="n"/>
      <c r="AJ512" s="19" t="n"/>
      <c r="AK512" s="19" t="n"/>
      <c r="AL512" s="20" t="n"/>
      <c r="AM512" s="125" t="n"/>
      <c r="AN512" s="121" t="n"/>
      <c r="AO512" s="19" t="n"/>
      <c r="AP512" s="19" t="n"/>
      <c r="AQ512" s="19" t="n"/>
      <c r="AR512" s="20" t="n"/>
      <c r="AS512" s="125" t="n"/>
    </row>
    <row r="513" hidden="1" outlineLevel="3">
      <c r="A513" s="8" t="n"/>
      <c r="B513" s="14" t="n"/>
      <c r="C513" s="125" t="n"/>
      <c r="D513" s="125" t="n"/>
      <c r="E513" s="125" t="n"/>
      <c r="F513" s="125" t="n"/>
      <c r="G513" s="125" t="n"/>
      <c r="I513" s="21" t="n"/>
      <c r="M513" s="22" t="n"/>
      <c r="N513" s="125" t="n"/>
      <c r="O513" s="21" t="n"/>
      <c r="S513" s="22" t="n"/>
      <c r="T513" s="125" t="n"/>
      <c r="U513" s="21" t="n"/>
      <c r="Y513" s="22" t="n"/>
      <c r="Z513" s="125" t="n"/>
      <c r="AB513" s="21" t="n"/>
      <c r="AF513" s="22" t="n"/>
      <c r="AG513" s="125" t="n"/>
      <c r="AH513" s="21" t="n"/>
      <c r="AL513" s="22" t="n"/>
      <c r="AM513" s="125" t="n"/>
      <c r="AN513" s="21" t="n"/>
      <c r="AR513" s="22" t="n"/>
      <c r="AS513" s="125" t="n"/>
    </row>
    <row r="514" hidden="1" outlineLevel="3">
      <c r="A514" s="8" t="n"/>
      <c r="B514" s="14" t="n"/>
      <c r="C514" s="125" t="n"/>
      <c r="D514" s="125" t="n"/>
      <c r="E514" s="125" t="n"/>
      <c r="F514" s="125" t="n"/>
      <c r="G514" s="125" t="n"/>
      <c r="I514" s="23" t="n"/>
      <c r="J514" s="24" t="n"/>
      <c r="K514" s="24" t="n"/>
      <c r="L514" s="24" t="n"/>
      <c r="M514" s="25" t="n"/>
      <c r="N514" s="125" t="n"/>
      <c r="O514" s="23" t="n"/>
      <c r="P514" s="24" t="n"/>
      <c r="Q514" s="24" t="n"/>
      <c r="R514" s="24" t="n"/>
      <c r="S514" s="25" t="n"/>
      <c r="T514" s="125" t="n"/>
      <c r="U514" s="23" t="n"/>
      <c r="V514" s="24" t="n"/>
      <c r="W514" s="24" t="n"/>
      <c r="X514" s="24" t="n"/>
      <c r="Y514" s="25" t="n"/>
      <c r="Z514" s="125" t="n"/>
      <c r="AB514" s="23" t="n"/>
      <c r="AC514" s="24" t="n"/>
      <c r="AD514" s="24" t="n"/>
      <c r="AE514" s="24" t="n"/>
      <c r="AF514" s="25" t="n"/>
      <c r="AG514" s="125" t="n"/>
      <c r="AH514" s="23" t="n"/>
      <c r="AI514" s="24" t="n"/>
      <c r="AJ514" s="24" t="n"/>
      <c r="AK514" s="24" t="n"/>
      <c r="AL514" s="25" t="n"/>
      <c r="AM514" s="125" t="n"/>
      <c r="AN514" s="23" t="n"/>
      <c r="AO514" s="24" t="n"/>
      <c r="AP514" s="24" t="n"/>
      <c r="AQ514" s="24" t="n"/>
      <c r="AR514" s="25" t="n"/>
      <c r="AS514" s="125" t="n"/>
    </row>
    <row r="515" hidden="1" outlineLevel="2">
      <c r="A515" s="8" t="n"/>
      <c r="B515" s="14" t="n"/>
      <c r="C515" s="125" t="n"/>
      <c r="D515" s="125" t="n"/>
      <c r="E515" s="125" t="n"/>
      <c r="F515" s="125" t="n"/>
      <c r="G515" s="125" t="n"/>
      <c r="I515" s="89" t="inlineStr">
        <is>
          <t>Projétil</t>
        </is>
      </c>
      <c r="J515" s="17" t="n"/>
      <c r="K515" s="68">
        <f>DADOS_INVOC!$QC$34</f>
        <v/>
      </c>
      <c r="L515" s="17" t="n"/>
      <c r="M515" s="68">
        <f>DADOS_INVOC!$PY$34</f>
        <v/>
      </c>
      <c r="N515" s="125" t="n"/>
      <c r="O515" s="89" t="inlineStr">
        <is>
          <t>Projétil</t>
        </is>
      </c>
      <c r="P515" s="17" t="n"/>
      <c r="Q515" s="68">
        <f>DADOS_INVOC!$QC$35</f>
        <v/>
      </c>
      <c r="R515" s="17" t="n"/>
      <c r="S515" s="68">
        <f>DADOS_INVOC!$PY$35</f>
        <v/>
      </c>
      <c r="T515" s="125" t="n"/>
      <c r="U515" s="89" t="inlineStr">
        <is>
          <t>Projétil</t>
        </is>
      </c>
      <c r="V515" s="17" t="n"/>
      <c r="W515" s="68">
        <f>DADOS_INVOC!$QC$36</f>
        <v/>
      </c>
      <c r="X515" s="17" t="n"/>
      <c r="Y515" s="68">
        <f>DADOS_INVOC!$PY$36</f>
        <v/>
      </c>
      <c r="Z515" s="125" t="n"/>
      <c r="AB515" s="89" t="inlineStr">
        <is>
          <t>Projétil</t>
        </is>
      </c>
      <c r="AC515" s="17" t="n"/>
      <c r="AD515" s="68">
        <f>DADOS_INVOC!$QC$112</f>
        <v/>
      </c>
      <c r="AE515" s="17" t="n"/>
      <c r="AF515" s="68">
        <f>DADOS_INVOC!$PY$112</f>
        <v/>
      </c>
      <c r="AG515" s="125" t="n"/>
      <c r="AH515" s="89" t="inlineStr">
        <is>
          <t>Projétil</t>
        </is>
      </c>
      <c r="AI515" s="17" t="n"/>
      <c r="AJ515" s="68">
        <f>DADOS_INVOC!$QC$113</f>
        <v/>
      </c>
      <c r="AK515" s="17" t="n"/>
      <c r="AL515" s="68">
        <f>DADOS_INVOC!$PY$113</f>
        <v/>
      </c>
      <c r="AM515" s="125" t="n"/>
      <c r="AN515" s="89" t="inlineStr">
        <is>
          <t>Projétil</t>
        </is>
      </c>
      <c r="AO515" s="17" t="n"/>
      <c r="AP515" s="68">
        <f>DADOS_INVOC!$QC$114</f>
        <v/>
      </c>
      <c r="AQ515" s="17" t="n"/>
      <c r="AR515" s="68">
        <f>DADOS_INVOC!$PY$114</f>
        <v/>
      </c>
      <c r="AS515" s="125" t="n"/>
    </row>
    <row r="516" hidden="1" outlineLevel="2">
      <c r="A516" s="8" t="n"/>
      <c r="B516" s="14" t="n"/>
      <c r="C516" s="125" t="n"/>
      <c r="D516" s="125" t="n"/>
      <c r="E516" s="125" t="n"/>
      <c r="F516" s="125" t="n"/>
      <c r="G516" s="125" t="n"/>
      <c r="I516" s="89" t="n"/>
      <c r="J516" s="17" t="n"/>
      <c r="K516" s="89" t="n"/>
      <c r="L516" s="16" t="n"/>
      <c r="M516" s="17" t="n"/>
      <c r="N516" s="125" t="n"/>
      <c r="O516" s="89" t="n"/>
      <c r="P516" s="17" t="n"/>
      <c r="Q516" s="89" t="n"/>
      <c r="R516" s="16" t="n"/>
      <c r="S516" s="17" t="n"/>
      <c r="T516" s="125" t="n"/>
      <c r="U516" s="89" t="n"/>
      <c r="V516" s="17" t="n"/>
      <c r="W516" s="89" t="n"/>
      <c r="X516" s="16" t="n"/>
      <c r="Y516" s="17" t="n"/>
      <c r="Z516" s="125" t="n"/>
      <c r="AB516" s="89" t="n"/>
      <c r="AC516" s="17" t="n"/>
      <c r="AD516" s="89" t="n"/>
      <c r="AE516" s="16" t="n"/>
      <c r="AF516" s="17" t="n"/>
      <c r="AG516" s="125" t="n"/>
      <c r="AH516" s="89" t="n"/>
      <c r="AI516" s="17" t="n"/>
      <c r="AJ516" s="89" t="n"/>
      <c r="AK516" s="16" t="n"/>
      <c r="AL516" s="17" t="n"/>
      <c r="AM516" s="125" t="n"/>
      <c r="AN516" s="89" t="n"/>
      <c r="AO516" s="17" t="n"/>
      <c r="AP516" s="89" t="n"/>
      <c r="AQ516" s="16" t="n"/>
      <c r="AR516" s="17" t="n"/>
      <c r="AS516" s="125" t="n"/>
    </row>
    <row r="517" hidden="1" outlineLevel="2">
      <c r="A517" s="8" t="n"/>
      <c r="B517" s="14" t="n"/>
      <c r="C517" s="125" t="n"/>
      <c r="D517" s="125" t="n"/>
      <c r="E517" s="125" t="n"/>
      <c r="F517" s="125" t="n"/>
      <c r="G517" s="125" t="n"/>
      <c r="I517" s="89">
        <f>DADOS_INVOC!$PZ$34</f>
        <v/>
      </c>
      <c r="J517" s="17" t="n"/>
      <c r="K517" s="89">
        <f>DADOS_INVOC!$QB$34</f>
        <v/>
      </c>
      <c r="L517" s="16" t="n"/>
      <c r="M517" s="17" t="n"/>
      <c r="N517" s="125" t="n"/>
      <c r="O517" s="89">
        <f>DADOS_INVOC!$PZ$35</f>
        <v/>
      </c>
      <c r="P517" s="17" t="n"/>
      <c r="Q517" s="89">
        <f>DADOS_INVOC!$QB$35</f>
        <v/>
      </c>
      <c r="R517" s="16" t="n"/>
      <c r="S517" s="17" t="n"/>
      <c r="T517" s="125" t="n"/>
      <c r="U517" s="89">
        <f>DADOS_INVOC!$PZ$36</f>
        <v/>
      </c>
      <c r="V517" s="17" t="n"/>
      <c r="W517" s="89">
        <f>DADOS_INVOC!$QB$36</f>
        <v/>
      </c>
      <c r="X517" s="16" t="n"/>
      <c r="Y517" s="17" t="n"/>
      <c r="Z517" s="125" t="n"/>
      <c r="AB517" s="89">
        <f>DADOS_INVOC!$PZ$112</f>
        <v/>
      </c>
      <c r="AC517" s="17" t="n"/>
      <c r="AD517" s="89">
        <f>DADOS_INVOC!$QB$112</f>
        <v/>
      </c>
      <c r="AE517" s="16" t="n"/>
      <c r="AF517" s="17" t="n"/>
      <c r="AG517" s="125" t="n"/>
      <c r="AH517" s="89">
        <f>DADOS_INVOC!$PZ$113</f>
        <v/>
      </c>
      <c r="AI517" s="17" t="n"/>
      <c r="AJ517" s="89">
        <f>DADOS_INVOC!$QB$113</f>
        <v/>
      </c>
      <c r="AK517" s="16" t="n"/>
      <c r="AL517" s="17" t="n"/>
      <c r="AM517" s="125" t="n"/>
      <c r="AN517" s="89">
        <f>DADOS_INVOC!$PZ$114</f>
        <v/>
      </c>
      <c r="AO517" s="17" t="n"/>
      <c r="AP517" s="89">
        <f>DADOS_INVOC!$QB$114</f>
        <v/>
      </c>
      <c r="AQ517" s="16" t="n"/>
      <c r="AR517" s="17" t="n"/>
      <c r="AS517" s="125" t="n"/>
    </row>
    <row r="518" hidden="1" outlineLevel="2">
      <c r="A518" s="8" t="n"/>
      <c r="B518" s="14" t="n"/>
      <c r="C518" s="125" t="n"/>
      <c r="D518" s="125" t="n"/>
      <c r="E518" s="125" t="n"/>
      <c r="F518" s="125" t="n"/>
      <c r="G518" s="125" t="n"/>
      <c r="I518" s="133">
        <f>DADOS_INVOC!$QH$34</f>
        <v/>
      </c>
      <c r="J518" s="16" t="n"/>
      <c r="K518" s="16" t="n"/>
      <c r="L518" s="16" t="n"/>
      <c r="M518" s="17" t="n"/>
      <c r="N518" s="125" t="n"/>
      <c r="O518" s="133">
        <f>DADOS_INVOC!$QH$35</f>
        <v/>
      </c>
      <c r="P518" s="16" t="n"/>
      <c r="Q518" s="16" t="n"/>
      <c r="R518" s="16" t="n"/>
      <c r="S518" s="17" t="n"/>
      <c r="T518" s="125" t="n"/>
      <c r="U518" s="133">
        <f>DADOS_INVOC!$QH$36</f>
        <v/>
      </c>
      <c r="V518" s="16" t="n"/>
      <c r="W518" s="16" t="n"/>
      <c r="X518" s="16" t="n"/>
      <c r="Y518" s="17" t="n"/>
      <c r="Z518" s="125" t="n"/>
      <c r="AB518" s="133">
        <f>DADOS_INVOC!$QH$112</f>
        <v/>
      </c>
      <c r="AC518" s="16" t="n"/>
      <c r="AD518" s="16" t="n"/>
      <c r="AE518" s="16" t="n"/>
      <c r="AF518" s="17" t="n"/>
      <c r="AG518" s="125" t="n"/>
      <c r="AH518" s="133">
        <f>DADOS_INVOC!$QH$113</f>
        <v/>
      </c>
      <c r="AI518" s="16" t="n"/>
      <c r="AJ518" s="16" t="n"/>
      <c r="AK518" s="16" t="n"/>
      <c r="AL518" s="17" t="n"/>
      <c r="AM518" s="125" t="n"/>
      <c r="AN518" s="133">
        <f>DADOS_INVOC!$QH$114</f>
        <v/>
      </c>
      <c r="AO518" s="16" t="n"/>
      <c r="AP518" s="16" t="n"/>
      <c r="AQ518" s="16" t="n"/>
      <c r="AR518" s="17" t="n"/>
      <c r="AS518" s="125" t="n"/>
    </row>
    <row r="519" hidden="1" outlineLevel="3">
      <c r="A519" s="8" t="n"/>
      <c r="B519" s="14" t="n"/>
      <c r="C519" s="125" t="n"/>
      <c r="D519" s="125" t="n"/>
      <c r="E519" s="125" t="n"/>
      <c r="F519" s="125" t="n"/>
      <c r="G519" s="125" t="n"/>
      <c r="I519" s="55" t="inlineStr">
        <is>
          <t>MELHORIAS</t>
        </is>
      </c>
      <c r="J519" s="134" t="n"/>
      <c r="K519" s="16" t="n"/>
      <c r="L519" s="17" t="n"/>
      <c r="M519" s="133">
        <f>DADOS_INVOC!$QK$34</f>
        <v/>
      </c>
      <c r="N519" s="125" t="n"/>
      <c r="O519" s="55" t="inlineStr">
        <is>
          <t>MELHORIAS</t>
        </is>
      </c>
      <c r="P519" s="134" t="n"/>
      <c r="Q519" s="16" t="n"/>
      <c r="R519" s="17" t="n"/>
      <c r="S519" s="133">
        <f>DADOS_INVOC!$QK$35</f>
        <v/>
      </c>
      <c r="T519" s="125" t="n"/>
      <c r="U519" s="55" t="inlineStr">
        <is>
          <t>MELHORIAS</t>
        </is>
      </c>
      <c r="V519" s="134" t="n"/>
      <c r="W519" s="16" t="n"/>
      <c r="X519" s="17" t="n"/>
      <c r="Y519" s="133">
        <f>DADOS_INVOC!$QK$36</f>
        <v/>
      </c>
      <c r="Z519" s="125" t="n"/>
      <c r="AB519" s="55" t="inlineStr">
        <is>
          <t>MELHORIAS</t>
        </is>
      </c>
      <c r="AC519" s="134" t="n"/>
      <c r="AD519" s="16" t="n"/>
      <c r="AE519" s="17" t="n"/>
      <c r="AF519" s="133">
        <f>DADOS_INVOC!$QK$112</f>
        <v/>
      </c>
      <c r="AG519" s="125" t="n"/>
      <c r="AH519" s="55" t="inlineStr">
        <is>
          <t>MELHORIAS</t>
        </is>
      </c>
      <c r="AI519" s="134" t="n"/>
      <c r="AJ519" s="16" t="n"/>
      <c r="AK519" s="17" t="n"/>
      <c r="AL519" s="133">
        <f>DADOS_INVOC!$QK$113</f>
        <v/>
      </c>
      <c r="AM519" s="125" t="n"/>
      <c r="AN519" s="55" t="inlineStr">
        <is>
          <t>MELHORIAS</t>
        </is>
      </c>
      <c r="AO519" s="134" t="n"/>
      <c r="AP519" s="16" t="n"/>
      <c r="AQ519" s="17" t="n"/>
      <c r="AR519" s="133">
        <f>DADOS_INVOC!$QK$114</f>
        <v/>
      </c>
      <c r="AS519" s="125" t="n"/>
    </row>
    <row r="520" hidden="1" outlineLevel="3">
      <c r="A520" s="8" t="n"/>
      <c r="B520" s="14" t="n"/>
      <c r="C520" s="125" t="n"/>
      <c r="D520" s="125" t="n"/>
      <c r="E520" s="125" t="n"/>
      <c r="F520" s="125" t="n"/>
      <c r="G520" s="125" t="n"/>
      <c r="I520" s="135" t="n"/>
      <c r="J520" s="134" t="n"/>
      <c r="K520" s="16" t="n"/>
      <c r="L520" s="17" t="n"/>
      <c r="M520" s="133">
        <f>DADOS_INVOC!$QL$34</f>
        <v/>
      </c>
      <c r="N520" s="125" t="n"/>
      <c r="O520" s="135" t="n"/>
      <c r="P520" s="134" t="n"/>
      <c r="Q520" s="16" t="n"/>
      <c r="R520" s="17" t="n"/>
      <c r="S520" s="133">
        <f>DADOS_INVOC!$QL$35</f>
        <v/>
      </c>
      <c r="T520" s="125" t="n"/>
      <c r="U520" s="135" t="n"/>
      <c r="V520" s="134" t="n"/>
      <c r="W520" s="16" t="n"/>
      <c r="X520" s="17" t="n"/>
      <c r="Y520" s="133">
        <f>DADOS_INVOC!$QL$36</f>
        <v/>
      </c>
      <c r="Z520" s="125" t="n"/>
      <c r="AB520" s="135" t="n"/>
      <c r="AC520" s="134" t="n"/>
      <c r="AD520" s="16" t="n"/>
      <c r="AE520" s="17" t="n"/>
      <c r="AF520" s="133">
        <f>DADOS_INVOC!$QL$112</f>
        <v/>
      </c>
      <c r="AG520" s="125" t="n"/>
      <c r="AH520" s="135" t="n"/>
      <c r="AI520" s="134" t="n"/>
      <c r="AJ520" s="16" t="n"/>
      <c r="AK520" s="17" t="n"/>
      <c r="AL520" s="133">
        <f>DADOS_INVOC!$QL$113</f>
        <v/>
      </c>
      <c r="AM520" s="125" t="n"/>
      <c r="AN520" s="135" t="n"/>
      <c r="AO520" s="134" t="n"/>
      <c r="AP520" s="16" t="n"/>
      <c r="AQ520" s="17" t="n"/>
      <c r="AR520" s="133">
        <f>DADOS_INVOC!$QL$114</f>
        <v/>
      </c>
      <c r="AS520" s="125" t="n"/>
    </row>
    <row r="521" hidden="1" outlineLevel="3">
      <c r="A521" s="8" t="n"/>
      <c r="B521" s="14" t="n"/>
      <c r="C521" s="125" t="n"/>
      <c r="D521" s="125" t="n"/>
      <c r="E521" s="125" t="n"/>
      <c r="F521" s="125" t="n"/>
      <c r="G521" s="125" t="n"/>
      <c r="I521" s="135" t="n"/>
      <c r="J521" s="134" t="n"/>
      <c r="K521" s="16" t="n"/>
      <c r="L521" s="17" t="n"/>
      <c r="M521" s="133">
        <f>DADOS_INVOC!$QM$34</f>
        <v/>
      </c>
      <c r="N521" s="125" t="n"/>
      <c r="O521" s="135" t="n"/>
      <c r="P521" s="134" t="n"/>
      <c r="Q521" s="16" t="n"/>
      <c r="R521" s="17" t="n"/>
      <c r="S521" s="133">
        <f>DADOS_INVOC!$QM$35</f>
        <v/>
      </c>
      <c r="T521" s="125" t="n"/>
      <c r="U521" s="135" t="n"/>
      <c r="V521" s="134" t="n"/>
      <c r="W521" s="16" t="n"/>
      <c r="X521" s="17" t="n"/>
      <c r="Y521" s="133">
        <f>DADOS_INVOC!$QM$36</f>
        <v/>
      </c>
      <c r="Z521" s="125" t="n"/>
      <c r="AB521" s="135" t="n"/>
      <c r="AC521" s="134" t="n"/>
      <c r="AD521" s="16" t="n"/>
      <c r="AE521" s="17" t="n"/>
      <c r="AF521" s="133">
        <f>DADOS_INVOC!$QM$112</f>
        <v/>
      </c>
      <c r="AG521" s="125" t="n"/>
      <c r="AH521" s="135" t="n"/>
      <c r="AI521" s="134" t="n"/>
      <c r="AJ521" s="16" t="n"/>
      <c r="AK521" s="17" t="n"/>
      <c r="AL521" s="133">
        <f>DADOS_INVOC!$QM$113</f>
        <v/>
      </c>
      <c r="AM521" s="125" t="n"/>
      <c r="AN521" s="135" t="n"/>
      <c r="AO521" s="134" t="n"/>
      <c r="AP521" s="16" t="n"/>
      <c r="AQ521" s="17" t="n"/>
      <c r="AR521" s="133">
        <f>DADOS_INVOC!$QM$114</f>
        <v/>
      </c>
      <c r="AS521" s="125" t="n"/>
    </row>
    <row r="522" hidden="1" outlineLevel="3">
      <c r="A522" s="8" t="n"/>
      <c r="B522" s="14" t="n"/>
      <c r="C522" s="125" t="n"/>
      <c r="D522" s="125" t="n"/>
      <c r="E522" s="125" t="n"/>
      <c r="F522" s="125" t="n"/>
      <c r="G522" s="125" t="n"/>
      <c r="I522" s="129" t="n"/>
      <c r="J522" s="134" t="n"/>
      <c r="K522" s="16" t="n"/>
      <c r="L522" s="17" t="n"/>
      <c r="M522" s="133">
        <f>DADOS_INVOC!$QN$34</f>
        <v/>
      </c>
      <c r="N522" s="125" t="n"/>
      <c r="O522" s="129" t="n"/>
      <c r="P522" s="134" t="n"/>
      <c r="Q522" s="16" t="n"/>
      <c r="R522" s="17" t="n"/>
      <c r="S522" s="133">
        <f>DADOS_INVOC!$QN$35</f>
        <v/>
      </c>
      <c r="T522" s="125" t="n"/>
      <c r="U522" s="129" t="n"/>
      <c r="V522" s="134" t="n"/>
      <c r="W522" s="16" t="n"/>
      <c r="X522" s="17" t="n"/>
      <c r="Y522" s="133">
        <f>DADOS_INVOC!$QN$36</f>
        <v/>
      </c>
      <c r="Z522" s="125" t="n"/>
      <c r="AB522" s="129" t="n"/>
      <c r="AC522" s="134" t="n"/>
      <c r="AD522" s="16" t="n"/>
      <c r="AE522" s="17" t="n"/>
      <c r="AF522" s="133">
        <f>DADOS_INVOC!$QN$112</f>
        <v/>
      </c>
      <c r="AG522" s="125" t="n"/>
      <c r="AH522" s="129" t="n"/>
      <c r="AI522" s="134" t="n"/>
      <c r="AJ522" s="16" t="n"/>
      <c r="AK522" s="17" t="n"/>
      <c r="AL522" s="133">
        <f>DADOS_INVOC!$QN$113</f>
        <v/>
      </c>
      <c r="AM522" s="125" t="n"/>
      <c r="AN522" s="129" t="n"/>
      <c r="AO522" s="134" t="n"/>
      <c r="AP522" s="16" t="n"/>
      <c r="AQ522" s="17" t="n"/>
      <c r="AR522" s="133">
        <f>DADOS_INVOC!$QN$114</f>
        <v/>
      </c>
      <c r="AS522" s="125" t="n"/>
    </row>
    <row r="523" hidden="1" outlineLevel="3">
      <c r="A523" s="8" t="n"/>
      <c r="B523" s="14" t="n"/>
      <c r="C523" s="125" t="n"/>
      <c r="D523" s="125" t="n"/>
      <c r="E523" s="125" t="n"/>
      <c r="F523" s="125" t="n"/>
      <c r="G523" s="125" t="n"/>
      <c r="I523" s="55" t="inlineStr">
        <is>
          <t>RESTRIÇÕES</t>
        </is>
      </c>
      <c r="J523" s="134" t="n"/>
      <c r="K523" s="16" t="n"/>
      <c r="L523" s="17" t="n"/>
      <c r="M523" s="133">
        <f>DADOS_INVOC!$QO$34</f>
        <v/>
      </c>
      <c r="N523" s="125" t="n"/>
      <c r="O523" s="55" t="inlineStr">
        <is>
          <t>RESTRIÇÕES</t>
        </is>
      </c>
      <c r="P523" s="134" t="n"/>
      <c r="Q523" s="16" t="n"/>
      <c r="R523" s="17" t="n"/>
      <c r="S523" s="133">
        <f>DADOS_INVOC!$QO$35</f>
        <v/>
      </c>
      <c r="T523" s="125" t="n"/>
      <c r="U523" s="55" t="inlineStr">
        <is>
          <t>RESTRIÇÕES</t>
        </is>
      </c>
      <c r="V523" s="134" t="n"/>
      <c r="W523" s="16" t="n"/>
      <c r="X523" s="17" t="n"/>
      <c r="Y523" s="133">
        <f>DADOS_INVOC!$QO$36</f>
        <v/>
      </c>
      <c r="Z523" s="125" t="n"/>
      <c r="AB523" s="55" t="inlineStr">
        <is>
          <t>RESTRIÇÕES</t>
        </is>
      </c>
      <c r="AC523" s="134" t="n"/>
      <c r="AD523" s="16" t="n"/>
      <c r="AE523" s="17" t="n"/>
      <c r="AF523" s="133">
        <f>DADOS_INVOC!$QO$112</f>
        <v/>
      </c>
      <c r="AG523" s="125" t="n"/>
      <c r="AH523" s="55" t="inlineStr">
        <is>
          <t>RESTRIÇÕES</t>
        </is>
      </c>
      <c r="AI523" s="134" t="n"/>
      <c r="AJ523" s="16" t="n"/>
      <c r="AK523" s="17" t="n"/>
      <c r="AL523" s="133">
        <f>DADOS_INVOC!$QO$113</f>
        <v/>
      </c>
      <c r="AM523" s="125" t="n"/>
      <c r="AN523" s="55" t="inlineStr">
        <is>
          <t>RESTRIÇÕES</t>
        </is>
      </c>
      <c r="AO523" s="134" t="n"/>
      <c r="AP523" s="16" t="n"/>
      <c r="AQ523" s="17" t="n"/>
      <c r="AR523" s="133">
        <f>DADOS_INVOC!$QO$114</f>
        <v/>
      </c>
      <c r="AS523" s="125" t="n"/>
    </row>
    <row r="524" hidden="1" outlineLevel="3">
      <c r="A524" s="8" t="n"/>
      <c r="B524" s="14" t="n"/>
      <c r="C524" s="125" t="n"/>
      <c r="D524" s="125" t="n"/>
      <c r="E524" s="125" t="n"/>
      <c r="F524" s="125" t="n"/>
      <c r="G524" s="125" t="n"/>
      <c r="I524" s="129" t="n"/>
      <c r="J524" s="134" t="n"/>
      <c r="K524" s="16" t="n"/>
      <c r="L524" s="17" t="n"/>
      <c r="M524" s="133">
        <f>DADOS_INVOC!$QP$34</f>
        <v/>
      </c>
      <c r="N524" s="125" t="n"/>
      <c r="O524" s="129" t="n"/>
      <c r="P524" s="134" t="n"/>
      <c r="Q524" s="16" t="n"/>
      <c r="R524" s="17" t="n"/>
      <c r="S524" s="133">
        <f>DADOS_INVOC!$QP$35</f>
        <v/>
      </c>
      <c r="T524" s="125" t="n"/>
      <c r="U524" s="129" t="n"/>
      <c r="V524" s="134" t="n"/>
      <c r="W524" s="16" t="n"/>
      <c r="X524" s="17" t="n"/>
      <c r="Y524" s="133">
        <f>DADOS_INVOC!$QP$36</f>
        <v/>
      </c>
      <c r="Z524" s="125" t="n"/>
      <c r="AB524" s="129" t="n"/>
      <c r="AC524" s="134" t="n"/>
      <c r="AD524" s="16" t="n"/>
      <c r="AE524" s="17" t="n"/>
      <c r="AF524" s="133">
        <f>DADOS_INVOC!$QP$112</f>
        <v/>
      </c>
      <c r="AG524" s="125" t="n"/>
      <c r="AH524" s="129" t="n"/>
      <c r="AI524" s="134" t="n"/>
      <c r="AJ524" s="16" t="n"/>
      <c r="AK524" s="17" t="n"/>
      <c r="AL524" s="133">
        <f>DADOS_INVOC!$QP$113</f>
        <v/>
      </c>
      <c r="AM524" s="125" t="n"/>
      <c r="AN524" s="129" t="n"/>
      <c r="AO524" s="134" t="n"/>
      <c r="AP524" s="16" t="n"/>
      <c r="AQ524" s="17" t="n"/>
      <c r="AR524" s="133">
        <f>DADOS_INVOC!$QP$114</f>
        <v/>
      </c>
      <c r="AS524" s="125" t="n"/>
    </row>
    <row r="525" hidden="1" outlineLevel="3">
      <c r="A525" s="8" t="n"/>
      <c r="B525" s="14" t="n"/>
      <c r="C525" s="125" t="n"/>
      <c r="D525" s="125" t="n"/>
      <c r="E525" s="125" t="n"/>
      <c r="F525" s="125" t="n"/>
      <c r="G525" s="125" t="n"/>
      <c r="I525" s="55" t="inlineStr">
        <is>
          <t>CONTA</t>
        </is>
      </c>
      <c r="J525" s="136">
        <f>DADOS_INVOC!$QI$34</f>
        <v/>
      </c>
      <c r="K525" s="16" t="n"/>
      <c r="L525" s="16" t="n"/>
      <c r="M525" s="17" t="n"/>
      <c r="N525" s="125" t="n"/>
      <c r="O525" s="55" t="inlineStr">
        <is>
          <t>CONTA</t>
        </is>
      </c>
      <c r="P525" s="136">
        <f>DADOS_INVOC!$QI$35</f>
        <v/>
      </c>
      <c r="Q525" s="16" t="n"/>
      <c r="R525" s="16" t="n"/>
      <c r="S525" s="17" t="n"/>
      <c r="T525" s="125" t="n"/>
      <c r="U525" s="55" t="inlineStr">
        <is>
          <t>CONTA</t>
        </is>
      </c>
      <c r="V525" s="136">
        <f>DADOS_INVOC!$QI$36</f>
        <v/>
      </c>
      <c r="W525" s="16" t="n"/>
      <c r="X525" s="16" t="n"/>
      <c r="Y525" s="17" t="n"/>
      <c r="Z525" s="125" t="n"/>
      <c r="AB525" s="55" t="inlineStr">
        <is>
          <t>CONTA</t>
        </is>
      </c>
      <c r="AC525" s="136">
        <f>DADOS_INVOC!$QI$112</f>
        <v/>
      </c>
      <c r="AD525" s="16" t="n"/>
      <c r="AE525" s="16" t="n"/>
      <c r="AF525" s="17" t="n"/>
      <c r="AG525" s="125" t="n"/>
      <c r="AH525" s="55" t="inlineStr">
        <is>
          <t>CONTA</t>
        </is>
      </c>
      <c r="AI525" s="136">
        <f>DADOS_INVOC!$QI$113</f>
        <v/>
      </c>
      <c r="AJ525" s="16" t="n"/>
      <c r="AK525" s="16" t="n"/>
      <c r="AL525" s="17" t="n"/>
      <c r="AM525" s="125" t="n"/>
      <c r="AN525" s="55" t="inlineStr">
        <is>
          <t>CONTA</t>
        </is>
      </c>
      <c r="AO525" s="136">
        <f>DADOS_INVOC!$QI$114</f>
        <v/>
      </c>
      <c r="AP525" s="16" t="n"/>
      <c r="AQ525" s="16" t="n"/>
      <c r="AR525" s="17" t="n"/>
      <c r="AS525" s="125" t="n"/>
    </row>
    <row r="526" hidden="1" outlineLevel="3">
      <c r="A526" s="8" t="n"/>
      <c r="B526" s="14" t="n"/>
      <c r="C526" s="125" t="n"/>
      <c r="D526" s="125" t="n"/>
      <c r="E526" s="125" t="n"/>
      <c r="F526" s="125" t="n"/>
      <c r="G526" s="125" t="n"/>
      <c r="I526" s="55" t="inlineStr">
        <is>
          <t>AMPLIAR</t>
        </is>
      </c>
      <c r="J526" s="136">
        <f>DADOS_INVOC!$QJ$34</f>
        <v/>
      </c>
      <c r="K526" s="19" t="n"/>
      <c r="L526" s="19" t="n"/>
      <c r="M526" s="20" t="n"/>
      <c r="N526" s="125" t="n"/>
      <c r="O526" s="55" t="inlineStr">
        <is>
          <t>AMPLIAR</t>
        </is>
      </c>
      <c r="P526" s="136">
        <f>DADOS_INVOC!$QJ$35</f>
        <v/>
      </c>
      <c r="Q526" s="19" t="n"/>
      <c r="R526" s="19" t="n"/>
      <c r="S526" s="20" t="n"/>
      <c r="T526" s="125" t="n"/>
      <c r="U526" s="55" t="inlineStr">
        <is>
          <t>AMPLIAR</t>
        </is>
      </c>
      <c r="V526" s="136">
        <f>DADOS_INVOC!$QJ$36</f>
        <v/>
      </c>
      <c r="W526" s="19" t="n"/>
      <c r="X526" s="19" t="n"/>
      <c r="Y526" s="20" t="n"/>
      <c r="Z526" s="125" t="n"/>
      <c r="AB526" s="55" t="inlineStr">
        <is>
          <t>AMPLIAR</t>
        </is>
      </c>
      <c r="AC526" s="136">
        <f>DADOS_INVOC!$QJ$112</f>
        <v/>
      </c>
      <c r="AD526" s="19" t="n"/>
      <c r="AE526" s="19" t="n"/>
      <c r="AF526" s="20" t="n"/>
      <c r="AG526" s="125" t="n"/>
      <c r="AH526" s="55" t="inlineStr">
        <is>
          <t>AMPLIAR</t>
        </is>
      </c>
      <c r="AI526" s="136">
        <f>DADOS_INVOC!$QJ$113</f>
        <v/>
      </c>
      <c r="AJ526" s="19" t="n"/>
      <c r="AK526" s="19" t="n"/>
      <c r="AL526" s="20" t="n"/>
      <c r="AM526" s="125" t="n"/>
      <c r="AN526" s="55" t="inlineStr">
        <is>
          <t>AMPLIAR</t>
        </is>
      </c>
      <c r="AO526" s="136">
        <f>DADOS_INVOC!$QJ$114</f>
        <v/>
      </c>
      <c r="AP526" s="19" t="n"/>
      <c r="AQ526" s="19" t="n"/>
      <c r="AR526" s="20" t="n"/>
      <c r="AS526" s="125" t="n"/>
    </row>
    <row r="527" hidden="1" outlineLevel="3">
      <c r="A527" s="8" t="n"/>
      <c r="B527" s="14" t="n"/>
      <c r="C527" s="125" t="n"/>
      <c r="D527" s="125" t="n"/>
      <c r="E527" s="125" t="n"/>
      <c r="F527" s="125" t="n"/>
      <c r="G527" s="125" t="n"/>
      <c r="I527" s="129" t="n"/>
      <c r="J527" s="23" t="n"/>
      <c r="K527" s="24" t="n"/>
      <c r="L527" s="24" t="n"/>
      <c r="M527" s="25" t="n"/>
      <c r="N527" s="125" t="n"/>
      <c r="O527" s="129" t="n"/>
      <c r="P527" s="23" t="n"/>
      <c r="Q527" s="24" t="n"/>
      <c r="R527" s="24" t="n"/>
      <c r="S527" s="25" t="n"/>
      <c r="T527" s="125" t="n"/>
      <c r="U527" s="129" t="n"/>
      <c r="V527" s="23" t="n"/>
      <c r="W527" s="24" t="n"/>
      <c r="X527" s="24" t="n"/>
      <c r="Y527" s="25" t="n"/>
      <c r="Z527" s="125" t="n"/>
      <c r="AB527" s="129" t="n"/>
      <c r="AC527" s="23" t="n"/>
      <c r="AD527" s="24" t="n"/>
      <c r="AE527" s="24" t="n"/>
      <c r="AF527" s="25" t="n"/>
      <c r="AG527" s="125" t="n"/>
      <c r="AH527" s="129" t="n"/>
      <c r="AI527" s="23" t="n"/>
      <c r="AJ527" s="24" t="n"/>
      <c r="AK527" s="24" t="n"/>
      <c r="AL527" s="25" t="n"/>
      <c r="AM527" s="125" t="n"/>
      <c r="AN527" s="129" t="n"/>
      <c r="AO527" s="23" t="n"/>
      <c r="AP527" s="24" t="n"/>
      <c r="AQ527" s="24" t="n"/>
      <c r="AR527" s="25" t="n"/>
      <c r="AS527" s="125" t="n"/>
    </row>
    <row r="528" hidden="1" outlineLevel="3">
      <c r="A528" s="8" t="n"/>
      <c r="B528" s="14" t="n"/>
      <c r="C528" s="125" t="n"/>
      <c r="D528" s="125" t="n"/>
      <c r="E528" s="125" t="n"/>
      <c r="F528" s="125" t="n"/>
      <c r="G528" s="125" t="n"/>
      <c r="I528" s="136">
        <f>DADOS_INVOC!$PW$34</f>
        <v/>
      </c>
      <c r="J528" s="19" t="n"/>
      <c r="K528" s="19" t="n"/>
      <c r="L528" s="19" t="n"/>
      <c r="M528" s="20" t="n"/>
      <c r="N528" s="125" t="n"/>
      <c r="O528" s="136">
        <f>DADOS_INVOC!$PW$35</f>
        <v/>
      </c>
      <c r="P528" s="19" t="n"/>
      <c r="Q528" s="19" t="n"/>
      <c r="R528" s="19" t="n"/>
      <c r="S528" s="20" t="n"/>
      <c r="T528" s="125" t="n"/>
      <c r="U528" s="136">
        <f>DADOS_INVOC!$PW$36</f>
        <v/>
      </c>
      <c r="V528" s="19" t="n"/>
      <c r="W528" s="19" t="n"/>
      <c r="X528" s="19" t="n"/>
      <c r="Y528" s="20" t="n"/>
      <c r="Z528" s="125" t="n"/>
      <c r="AB528" s="136">
        <f>DADOS_INVOC!$PW$112</f>
        <v/>
      </c>
      <c r="AC528" s="19" t="n"/>
      <c r="AD528" s="19" t="n"/>
      <c r="AE528" s="19" t="n"/>
      <c r="AF528" s="20" t="n"/>
      <c r="AG528" s="125" t="n"/>
      <c r="AH528" s="136">
        <f>DADOS_INVOC!$PW$113</f>
        <v/>
      </c>
      <c r="AI528" s="19" t="n"/>
      <c r="AJ528" s="19" t="n"/>
      <c r="AK528" s="19" t="n"/>
      <c r="AL528" s="20" t="n"/>
      <c r="AM528" s="125" t="n"/>
      <c r="AN528" s="136">
        <f>DADOS_INVOC!$PW$114</f>
        <v/>
      </c>
      <c r="AO528" s="19" t="n"/>
      <c r="AP528" s="19" t="n"/>
      <c r="AQ528" s="19" t="n"/>
      <c r="AR528" s="20" t="n"/>
      <c r="AS528" s="125" t="n"/>
    </row>
    <row r="529" hidden="1" outlineLevel="3">
      <c r="A529" s="8" t="n"/>
      <c r="B529" s="14" t="n"/>
      <c r="C529" s="125" t="n"/>
      <c r="D529" s="125" t="n"/>
      <c r="E529" s="125" t="n"/>
      <c r="F529" s="125" t="n"/>
      <c r="G529" s="125" t="n"/>
      <c r="I529" s="23" t="n"/>
      <c r="J529" s="24" t="n"/>
      <c r="K529" s="24" t="n"/>
      <c r="L529" s="24" t="n"/>
      <c r="M529" s="25" t="n"/>
      <c r="N529" s="125" t="n"/>
      <c r="O529" s="23" t="n"/>
      <c r="P529" s="24" t="n"/>
      <c r="Q529" s="24" t="n"/>
      <c r="R529" s="24" t="n"/>
      <c r="S529" s="25" t="n"/>
      <c r="T529" s="125" t="n"/>
      <c r="U529" s="23" t="n"/>
      <c r="V529" s="24" t="n"/>
      <c r="W529" s="24" t="n"/>
      <c r="X529" s="24" t="n"/>
      <c r="Y529" s="25" t="n"/>
      <c r="Z529" s="125" t="n"/>
      <c r="AB529" s="23" t="n"/>
      <c r="AC529" s="24" t="n"/>
      <c r="AD529" s="24" t="n"/>
      <c r="AE529" s="24" t="n"/>
      <c r="AF529" s="25" t="n"/>
      <c r="AG529" s="125" t="n"/>
      <c r="AH529" s="23" t="n"/>
      <c r="AI529" s="24" t="n"/>
      <c r="AJ529" s="24" t="n"/>
      <c r="AK529" s="24" t="n"/>
      <c r="AL529" s="25" t="n"/>
      <c r="AM529" s="125" t="n"/>
      <c r="AN529" s="23" t="n"/>
      <c r="AO529" s="24" t="n"/>
      <c r="AP529" s="24" t="n"/>
      <c r="AQ529" s="24" t="n"/>
      <c r="AR529" s="25" t="n"/>
      <c r="AS529" s="125" t="n"/>
    </row>
    <row r="530" hidden="1" outlineLevel="2">
      <c r="A530" s="8" t="n"/>
      <c r="B530" s="14" t="n"/>
      <c r="C530" s="125" t="n"/>
      <c r="D530" s="125" t="n"/>
      <c r="E530" s="125" t="n"/>
      <c r="F530" s="125" t="n"/>
      <c r="G530" s="125" t="n"/>
      <c r="I530" s="125" t="n"/>
      <c r="J530" s="125" t="n"/>
      <c r="K530" s="125" t="n"/>
      <c r="L530" s="125" t="n"/>
      <c r="M530" s="125" t="n"/>
      <c r="N530" s="125" t="n"/>
      <c r="O530" s="125" t="n"/>
      <c r="P530" s="125" t="n"/>
      <c r="Q530" s="125" t="n"/>
      <c r="R530" s="125" t="n"/>
      <c r="S530" s="125" t="n"/>
      <c r="T530" s="125" t="n"/>
      <c r="U530" s="125" t="n"/>
      <c r="V530" s="125" t="n"/>
      <c r="W530" s="125" t="n"/>
      <c r="X530" s="125" t="n"/>
      <c r="Y530" s="125" t="n"/>
      <c r="Z530" s="125" t="n"/>
      <c r="AB530" s="125" t="n"/>
      <c r="AC530" s="125" t="n"/>
      <c r="AD530" s="125" t="n"/>
      <c r="AE530" s="125" t="n"/>
      <c r="AF530" s="125" t="n"/>
      <c r="AG530" s="125" t="n"/>
      <c r="AH530" s="125" t="n"/>
      <c r="AI530" s="125" t="n"/>
      <c r="AJ530" s="125" t="n"/>
      <c r="AK530" s="125" t="n"/>
      <c r="AL530" s="125" t="n"/>
      <c r="AM530" s="125" t="n"/>
      <c r="AN530" s="125" t="n"/>
      <c r="AO530" s="125" t="n"/>
      <c r="AP530" s="125" t="n"/>
      <c r="AQ530" s="125" t="n"/>
      <c r="AR530" s="125" t="n"/>
      <c r="AS530" s="125" t="n"/>
    </row>
    <row r="531" hidden="1" outlineLevel="2">
      <c r="A531" s="8" t="n"/>
      <c r="B531" s="14" t="n"/>
      <c r="C531" s="125" t="n"/>
      <c r="D531" s="125" t="n"/>
      <c r="E531" s="125" t="n"/>
      <c r="F531" s="125" t="n"/>
      <c r="G531" s="125" t="n"/>
      <c r="I531" s="55">
        <f>DADOS_INVOC!$PX$37</f>
        <v/>
      </c>
      <c r="J531" s="16" t="n"/>
      <c r="K531" s="16" t="n"/>
      <c r="L531" s="16" t="n"/>
      <c r="M531" s="17" t="n"/>
      <c r="N531" s="125" t="n"/>
      <c r="O531" s="125" t="n"/>
      <c r="P531" s="125" t="n"/>
      <c r="Q531" s="125" t="n"/>
      <c r="R531" s="125" t="n"/>
      <c r="S531" s="125" t="n"/>
      <c r="T531" s="125" t="n"/>
      <c r="U531" s="125" t="n"/>
      <c r="V531" s="125" t="n"/>
      <c r="W531" s="125" t="n"/>
      <c r="X531" s="125" t="n"/>
      <c r="Y531" s="125" t="n"/>
      <c r="Z531" s="125" t="n"/>
      <c r="AB531" s="55">
        <f>DADOS_INVOC!$PX$115</f>
        <v/>
      </c>
      <c r="AC531" s="16" t="n"/>
      <c r="AD531" s="16" t="n"/>
      <c r="AE531" s="16" t="n"/>
      <c r="AF531" s="17" t="n"/>
      <c r="AG531" s="125" t="n"/>
      <c r="AH531" s="125" t="n"/>
      <c r="AI531" s="125" t="n"/>
      <c r="AJ531" s="125" t="n"/>
      <c r="AK531" s="125" t="n"/>
      <c r="AL531" s="125" t="n"/>
      <c r="AM531" s="125" t="n"/>
      <c r="AN531" s="125" t="n"/>
      <c r="AO531" s="125" t="n"/>
      <c r="AP531" s="125" t="n"/>
      <c r="AQ531" s="125" t="n"/>
      <c r="AR531" s="125" t="n"/>
      <c r="AS531" s="125" t="n"/>
    </row>
    <row r="532" hidden="1" outlineLevel="2">
      <c r="A532" s="8" t="n"/>
      <c r="B532" s="14" t="n"/>
      <c r="C532" s="125" t="n"/>
      <c r="D532" s="125" t="n"/>
      <c r="E532" s="125" t="n"/>
      <c r="F532" s="125" t="n"/>
      <c r="G532" s="125" t="n"/>
      <c r="I532" s="131" t="n">
        <v>1</v>
      </c>
      <c r="J532" s="120" t="n"/>
      <c r="K532" s="16" t="n"/>
      <c r="L532" s="17" t="n"/>
      <c r="M532" s="132">
        <f>DADOS_INVOC!$PV$37</f>
        <v/>
      </c>
      <c r="N532" s="125" t="n"/>
      <c r="O532" s="125" t="n"/>
      <c r="P532" s="125" t="n"/>
      <c r="Q532" s="125" t="n"/>
      <c r="R532" s="125" t="n"/>
      <c r="S532" s="125" t="n"/>
      <c r="T532" s="125" t="n"/>
      <c r="U532" s="125" t="n"/>
      <c r="V532" s="125" t="n"/>
      <c r="W532" s="125" t="n"/>
      <c r="X532" s="125" t="n"/>
      <c r="Y532" s="125" t="n"/>
      <c r="Z532" s="125" t="n"/>
      <c r="AB532" s="131" t="n">
        <v>1</v>
      </c>
      <c r="AC532" s="120" t="n"/>
      <c r="AD532" s="16" t="n"/>
      <c r="AE532" s="17" t="n"/>
      <c r="AF532" s="132">
        <f>DADOS_INVOC!$PV$115</f>
        <v/>
      </c>
      <c r="AG532" s="125" t="n"/>
      <c r="AH532" s="125" t="n"/>
      <c r="AI532" s="125" t="n"/>
      <c r="AJ532" s="125" t="n"/>
      <c r="AK532" s="125" t="n"/>
      <c r="AL532" s="125" t="n"/>
      <c r="AM532" s="125" t="n"/>
      <c r="AN532" s="125" t="n"/>
      <c r="AO532" s="125" t="n"/>
      <c r="AP532" s="125" t="n"/>
      <c r="AQ532" s="125" t="n"/>
      <c r="AR532" s="125" t="n"/>
      <c r="AS532" s="125" t="n"/>
    </row>
    <row r="533" hidden="1" outlineLevel="3">
      <c r="A533" s="8" t="n"/>
      <c r="B533" s="14" t="n"/>
      <c r="C533" s="125" t="n"/>
      <c r="D533" s="125" t="n"/>
      <c r="E533" s="125" t="n"/>
      <c r="F533" s="125" t="n"/>
      <c r="G533" s="125" t="n"/>
      <c r="I533" s="55" t="inlineStr">
        <is>
          <t>COMO É</t>
        </is>
      </c>
      <c r="J533" s="16" t="n"/>
      <c r="K533" s="16" t="n"/>
      <c r="L533" s="16" t="n"/>
      <c r="M533" s="17" t="n"/>
      <c r="N533" s="125" t="n"/>
      <c r="O533" s="125" t="n"/>
      <c r="P533" s="125" t="n"/>
      <c r="Q533" s="125" t="n"/>
      <c r="R533" s="125" t="n"/>
      <c r="S533" s="125" t="n"/>
      <c r="T533" s="125" t="n"/>
      <c r="U533" s="125" t="n"/>
      <c r="V533" s="125" t="n"/>
      <c r="W533" s="125" t="n"/>
      <c r="X533" s="125" t="n"/>
      <c r="Y533" s="125" t="n"/>
      <c r="Z533" s="125" t="n"/>
      <c r="AB533" s="55" t="inlineStr">
        <is>
          <t>COMO É</t>
        </is>
      </c>
      <c r="AC533" s="16" t="n"/>
      <c r="AD533" s="16" t="n"/>
      <c r="AE533" s="16" t="n"/>
      <c r="AF533" s="17" t="n"/>
      <c r="AG533" s="125" t="n"/>
      <c r="AH533" s="125" t="n"/>
      <c r="AI533" s="125" t="n"/>
      <c r="AJ533" s="125" t="n"/>
      <c r="AK533" s="125" t="n"/>
      <c r="AL533" s="125" t="n"/>
      <c r="AM533" s="125" t="n"/>
      <c r="AN533" s="125" t="n"/>
      <c r="AO533" s="125" t="n"/>
      <c r="AP533" s="125" t="n"/>
      <c r="AQ533" s="125" t="n"/>
      <c r="AR533" s="125" t="n"/>
      <c r="AS533" s="125" t="n"/>
    </row>
    <row r="534" hidden="1" outlineLevel="3">
      <c r="A534" s="8" t="n"/>
      <c r="B534" s="14" t="n"/>
      <c r="C534" s="125" t="n"/>
      <c r="D534" s="125" t="n"/>
      <c r="E534" s="125" t="n"/>
      <c r="F534" s="125" t="n"/>
      <c r="G534" s="125" t="n"/>
      <c r="I534" s="121" t="n"/>
      <c r="J534" s="19" t="n"/>
      <c r="K534" s="19" t="n"/>
      <c r="L534" s="19" t="n"/>
      <c r="M534" s="20" t="n"/>
      <c r="N534" s="125" t="n"/>
      <c r="O534" s="125" t="n"/>
      <c r="P534" s="125" t="n"/>
      <c r="Q534" s="125" t="n"/>
      <c r="R534" s="125" t="n"/>
      <c r="S534" s="125" t="n"/>
      <c r="T534" s="125" t="n"/>
      <c r="U534" s="125" t="n"/>
      <c r="V534" s="125" t="n"/>
      <c r="W534" s="125" t="n"/>
      <c r="X534" s="125" t="n"/>
      <c r="Y534" s="125" t="n"/>
      <c r="Z534" s="125" t="n"/>
      <c r="AB534" s="121" t="n"/>
      <c r="AC534" s="19" t="n"/>
      <c r="AD534" s="19" t="n"/>
      <c r="AE534" s="19" t="n"/>
      <c r="AF534" s="20" t="n"/>
      <c r="AG534" s="125" t="n"/>
      <c r="AH534" s="125" t="n"/>
      <c r="AI534" s="125" t="n"/>
      <c r="AJ534" s="125" t="n"/>
      <c r="AK534" s="125" t="n"/>
      <c r="AL534" s="125" t="n"/>
      <c r="AM534" s="125" t="n"/>
      <c r="AN534" s="125" t="n"/>
      <c r="AO534" s="125" t="n"/>
      <c r="AP534" s="125" t="n"/>
      <c r="AQ534" s="125" t="n"/>
      <c r="AR534" s="125" t="n"/>
      <c r="AS534" s="125" t="n"/>
    </row>
    <row r="535" hidden="1" outlineLevel="3">
      <c r="A535" s="8" t="n"/>
      <c r="B535" s="14" t="n"/>
      <c r="C535" s="125" t="n"/>
      <c r="D535" s="125" t="n"/>
      <c r="E535" s="125" t="n"/>
      <c r="F535" s="125" t="n"/>
      <c r="G535" s="125" t="n"/>
      <c r="I535" s="21" t="n"/>
      <c r="M535" s="22" t="n"/>
      <c r="N535" s="125" t="n"/>
      <c r="O535" s="125" t="n"/>
      <c r="P535" s="125" t="n"/>
      <c r="Q535" s="125" t="n"/>
      <c r="R535" s="125" t="n"/>
      <c r="S535" s="125" t="n"/>
      <c r="T535" s="125" t="n"/>
      <c r="U535" s="125" t="n"/>
      <c r="V535" s="125" t="n"/>
      <c r="W535" s="125" t="n"/>
      <c r="X535" s="125" t="n"/>
      <c r="Y535" s="125" t="n"/>
      <c r="Z535" s="125" t="n"/>
      <c r="AB535" s="21" t="n"/>
      <c r="AF535" s="22" t="n"/>
      <c r="AG535" s="125" t="n"/>
      <c r="AH535" s="125" t="n"/>
      <c r="AI535" s="125" t="n"/>
      <c r="AJ535" s="125" t="n"/>
      <c r="AK535" s="125" t="n"/>
      <c r="AL535" s="125" t="n"/>
      <c r="AM535" s="125" t="n"/>
      <c r="AN535" s="125" t="n"/>
      <c r="AO535" s="125" t="n"/>
      <c r="AP535" s="125" t="n"/>
      <c r="AQ535" s="125" t="n"/>
      <c r="AR535" s="125" t="n"/>
      <c r="AS535" s="125" t="n"/>
    </row>
    <row r="536" hidden="1" outlineLevel="3">
      <c r="A536" s="8" t="n"/>
      <c r="B536" s="14" t="n"/>
      <c r="C536" s="125" t="n"/>
      <c r="D536" s="125" t="n"/>
      <c r="E536" s="125" t="n"/>
      <c r="F536" s="125" t="n"/>
      <c r="G536" s="125" t="n"/>
      <c r="I536" s="23" t="n"/>
      <c r="J536" s="24" t="n"/>
      <c r="K536" s="24" t="n"/>
      <c r="L536" s="24" t="n"/>
      <c r="M536" s="25" t="n"/>
      <c r="N536" s="125" t="n"/>
      <c r="O536" s="125" t="n"/>
      <c r="P536" s="125" t="n"/>
      <c r="Q536" s="125" t="n"/>
      <c r="R536" s="125" t="n"/>
      <c r="S536" s="125" t="n"/>
      <c r="T536" s="125" t="n"/>
      <c r="U536" s="125" t="n"/>
      <c r="V536" s="125" t="n"/>
      <c r="W536" s="125" t="n"/>
      <c r="X536" s="125" t="n"/>
      <c r="Y536" s="125" t="n"/>
      <c r="Z536" s="125" t="n"/>
      <c r="AB536" s="23" t="n"/>
      <c r="AC536" s="24" t="n"/>
      <c r="AD536" s="24" t="n"/>
      <c r="AE536" s="24" t="n"/>
      <c r="AF536" s="25" t="n"/>
      <c r="AG536" s="125" t="n"/>
      <c r="AH536" s="125" t="n"/>
      <c r="AI536" s="125" t="n"/>
      <c r="AJ536" s="125" t="n"/>
      <c r="AK536" s="125" t="n"/>
      <c r="AL536" s="125" t="n"/>
      <c r="AM536" s="125" t="n"/>
      <c r="AN536" s="125" t="n"/>
      <c r="AO536" s="125" t="n"/>
      <c r="AP536" s="125" t="n"/>
      <c r="AQ536" s="125" t="n"/>
      <c r="AR536" s="125" t="n"/>
      <c r="AS536" s="125" t="n"/>
    </row>
    <row r="537" hidden="1" outlineLevel="2">
      <c r="A537" s="8" t="n"/>
      <c r="B537" s="14" t="n"/>
      <c r="C537" s="125" t="n"/>
      <c r="D537" s="125" t="n"/>
      <c r="E537" s="125" t="n"/>
      <c r="F537" s="125" t="n"/>
      <c r="G537" s="125" t="n"/>
      <c r="I537" s="89" t="inlineStr">
        <is>
          <t>Projétil</t>
        </is>
      </c>
      <c r="J537" s="17" t="n"/>
      <c r="K537" s="68">
        <f>DADOS_INVOC!$QC$37</f>
        <v/>
      </c>
      <c r="L537" s="17" t="n"/>
      <c r="M537" s="68">
        <f>DADOS_INVOC!$PY$37</f>
        <v/>
      </c>
      <c r="N537" s="125" t="n"/>
      <c r="O537" s="125" t="n"/>
      <c r="P537" s="125" t="n"/>
      <c r="Q537" s="125" t="n"/>
      <c r="R537" s="125" t="n"/>
      <c r="S537" s="125" t="n"/>
      <c r="T537" s="125" t="n"/>
      <c r="U537" s="125" t="n"/>
      <c r="V537" s="125" t="n"/>
      <c r="W537" s="125" t="n"/>
      <c r="X537" s="125" t="n"/>
      <c r="Y537" s="125" t="n"/>
      <c r="Z537" s="125" t="n"/>
      <c r="AB537" s="89" t="inlineStr">
        <is>
          <t>Projétil</t>
        </is>
      </c>
      <c r="AC537" s="17" t="n"/>
      <c r="AD537" s="68">
        <f>DADOS_INVOC!$QC$115</f>
        <v/>
      </c>
      <c r="AE537" s="17" t="n"/>
      <c r="AF537" s="68">
        <f>DADOS_INVOC!$PY$115</f>
        <v/>
      </c>
      <c r="AG537" s="125" t="n"/>
      <c r="AH537" s="125" t="n"/>
      <c r="AI537" s="125" t="n"/>
      <c r="AJ537" s="125" t="n"/>
      <c r="AK537" s="125" t="n"/>
      <c r="AL537" s="125" t="n"/>
      <c r="AM537" s="125" t="n"/>
      <c r="AN537" s="125" t="n"/>
      <c r="AO537" s="125" t="n"/>
      <c r="AP537" s="125" t="n"/>
      <c r="AQ537" s="125" t="n"/>
      <c r="AR537" s="125" t="n"/>
      <c r="AS537" s="125" t="n"/>
    </row>
    <row r="538" hidden="1" outlineLevel="2">
      <c r="A538" s="8" t="n"/>
      <c r="B538" s="14" t="n"/>
      <c r="C538" s="125" t="n"/>
      <c r="D538" s="125" t="n"/>
      <c r="E538" s="125" t="n"/>
      <c r="F538" s="125" t="n"/>
      <c r="G538" s="125" t="n"/>
      <c r="I538" s="89" t="n"/>
      <c r="J538" s="17" t="n"/>
      <c r="K538" s="89" t="n"/>
      <c r="L538" s="16" t="n"/>
      <c r="M538" s="17" t="n"/>
      <c r="N538" s="125" t="n"/>
      <c r="O538" s="125" t="n"/>
      <c r="P538" s="125" t="n"/>
      <c r="Q538" s="125" t="n"/>
      <c r="R538" s="125" t="n"/>
      <c r="S538" s="125" t="n"/>
      <c r="T538" s="125" t="n"/>
      <c r="U538" s="125" t="n"/>
      <c r="V538" s="125" t="n"/>
      <c r="W538" s="125" t="n"/>
      <c r="X538" s="125" t="n"/>
      <c r="Y538" s="125" t="n"/>
      <c r="Z538" s="125" t="n"/>
      <c r="AB538" s="89" t="n"/>
      <c r="AC538" s="17" t="n"/>
      <c r="AD538" s="89" t="n"/>
      <c r="AE538" s="16" t="n"/>
      <c r="AF538" s="17" t="n"/>
      <c r="AG538" s="125" t="n"/>
      <c r="AH538" s="125" t="n"/>
      <c r="AI538" s="125" t="n"/>
      <c r="AJ538" s="125" t="n"/>
      <c r="AK538" s="125" t="n"/>
      <c r="AL538" s="125" t="n"/>
      <c r="AM538" s="125" t="n"/>
      <c r="AN538" s="125" t="n"/>
      <c r="AO538" s="125" t="n"/>
      <c r="AP538" s="125" t="n"/>
      <c r="AQ538" s="125" t="n"/>
      <c r="AR538" s="125" t="n"/>
      <c r="AS538" s="125" t="n"/>
    </row>
    <row r="539" hidden="1" outlineLevel="2">
      <c r="A539" s="8" t="n"/>
      <c r="B539" s="14" t="n"/>
      <c r="C539" s="125" t="n"/>
      <c r="D539" s="125" t="n"/>
      <c r="E539" s="125" t="n"/>
      <c r="F539" s="125" t="n"/>
      <c r="G539" s="125" t="n"/>
      <c r="I539" s="89">
        <f>DADOS_INVOC!$PZ$37</f>
        <v/>
      </c>
      <c r="J539" s="17" t="n"/>
      <c r="K539" s="89">
        <f>DADOS_INVOC!$QB$37</f>
        <v/>
      </c>
      <c r="L539" s="16" t="n"/>
      <c r="M539" s="17" t="n"/>
      <c r="N539" s="125" t="n"/>
      <c r="O539" s="125" t="n"/>
      <c r="P539" s="125" t="n"/>
      <c r="Q539" s="125" t="n"/>
      <c r="R539" s="125" t="n"/>
      <c r="S539" s="125" t="n"/>
      <c r="T539" s="125" t="n"/>
      <c r="U539" s="125" t="n"/>
      <c r="V539" s="125" t="n"/>
      <c r="W539" s="125" t="n"/>
      <c r="X539" s="125" t="n"/>
      <c r="Y539" s="125" t="n"/>
      <c r="Z539" s="125" t="n"/>
      <c r="AB539" s="89">
        <f>DADOS_INVOC!$PZ$115</f>
        <v/>
      </c>
      <c r="AC539" s="17" t="n"/>
      <c r="AD539" s="89">
        <f>DADOS_INVOC!$QB$115</f>
        <v/>
      </c>
      <c r="AE539" s="16" t="n"/>
      <c r="AF539" s="17" t="n"/>
      <c r="AG539" s="125" t="n"/>
      <c r="AH539" s="125" t="n"/>
      <c r="AI539" s="125" t="n"/>
      <c r="AJ539" s="125" t="n"/>
      <c r="AK539" s="125" t="n"/>
      <c r="AL539" s="125" t="n"/>
      <c r="AM539" s="125" t="n"/>
      <c r="AN539" s="125" t="n"/>
      <c r="AO539" s="125" t="n"/>
      <c r="AP539" s="125" t="n"/>
      <c r="AQ539" s="125" t="n"/>
      <c r="AR539" s="125" t="n"/>
      <c r="AS539" s="125" t="n"/>
    </row>
    <row r="540" hidden="1" outlineLevel="2">
      <c r="A540" s="8" t="n"/>
      <c r="B540" s="14" t="n"/>
      <c r="C540" s="125" t="n"/>
      <c r="D540" s="125" t="n"/>
      <c r="E540" s="125" t="n"/>
      <c r="F540" s="125" t="n"/>
      <c r="G540" s="125" t="n"/>
      <c r="I540" s="133">
        <f>DADOS_INVOC!$QH$37</f>
        <v/>
      </c>
      <c r="J540" s="16" t="n"/>
      <c r="K540" s="16" t="n"/>
      <c r="L540" s="16" t="n"/>
      <c r="M540" s="17" t="n"/>
      <c r="N540" s="125" t="n"/>
      <c r="O540" s="125" t="n"/>
      <c r="P540" s="125" t="n"/>
      <c r="Q540" s="125" t="n"/>
      <c r="R540" s="125" t="n"/>
      <c r="S540" s="125" t="n"/>
      <c r="T540" s="125" t="n"/>
      <c r="U540" s="125" t="n"/>
      <c r="V540" s="125" t="n"/>
      <c r="W540" s="125" t="n"/>
      <c r="X540" s="125" t="n"/>
      <c r="Y540" s="125" t="n"/>
      <c r="Z540" s="125" t="n"/>
      <c r="AB540" s="133">
        <f>DADOS_INVOC!$QH$115</f>
        <v/>
      </c>
      <c r="AC540" s="16" t="n"/>
      <c r="AD540" s="16" t="n"/>
      <c r="AE540" s="16" t="n"/>
      <c r="AF540" s="17" t="n"/>
      <c r="AG540" s="125" t="n"/>
      <c r="AH540" s="125" t="n"/>
      <c r="AI540" s="125" t="n"/>
      <c r="AJ540" s="125" t="n"/>
      <c r="AK540" s="125" t="n"/>
      <c r="AL540" s="125" t="n"/>
      <c r="AM540" s="125" t="n"/>
      <c r="AN540" s="125" t="n"/>
      <c r="AO540" s="125" t="n"/>
      <c r="AP540" s="125" t="n"/>
      <c r="AQ540" s="125" t="n"/>
      <c r="AR540" s="125" t="n"/>
      <c r="AS540" s="125" t="n"/>
    </row>
    <row r="541" hidden="1" outlineLevel="3">
      <c r="A541" s="8" t="n"/>
      <c r="B541" s="14" t="n"/>
      <c r="C541" s="125" t="n"/>
      <c r="D541" s="125" t="n"/>
      <c r="E541" s="125" t="n"/>
      <c r="F541" s="125" t="n"/>
      <c r="G541" s="125" t="n"/>
      <c r="I541" s="55" t="inlineStr">
        <is>
          <t>MELHORIAS</t>
        </is>
      </c>
      <c r="J541" s="134" t="n"/>
      <c r="K541" s="16" t="n"/>
      <c r="L541" s="17" t="n"/>
      <c r="M541" s="133">
        <f>DADOS_INVOC!$QK$37</f>
        <v/>
      </c>
      <c r="N541" s="125" t="n"/>
      <c r="O541" s="125" t="n"/>
      <c r="P541" s="125" t="n"/>
      <c r="Q541" s="125" t="n"/>
      <c r="R541" s="125" t="n"/>
      <c r="S541" s="125" t="n"/>
      <c r="T541" s="125" t="n"/>
      <c r="U541" s="125" t="n"/>
      <c r="V541" s="125" t="n"/>
      <c r="W541" s="125" t="n"/>
      <c r="X541" s="125" t="n"/>
      <c r="Y541" s="125" t="n"/>
      <c r="Z541" s="125" t="n"/>
      <c r="AB541" s="55" t="inlineStr">
        <is>
          <t>MELHORIAS</t>
        </is>
      </c>
      <c r="AC541" s="134" t="n"/>
      <c r="AD541" s="16" t="n"/>
      <c r="AE541" s="17" t="n"/>
      <c r="AF541" s="133">
        <f>DADOS_INVOC!$QK$115</f>
        <v/>
      </c>
      <c r="AG541" s="125" t="n"/>
      <c r="AH541" s="125" t="n"/>
      <c r="AI541" s="125" t="n"/>
      <c r="AJ541" s="125" t="n"/>
      <c r="AK541" s="125" t="n"/>
      <c r="AL541" s="125" t="n"/>
      <c r="AM541" s="125" t="n"/>
      <c r="AN541" s="125" t="n"/>
      <c r="AO541" s="125" t="n"/>
      <c r="AP541" s="125" t="n"/>
      <c r="AQ541" s="125" t="n"/>
      <c r="AR541" s="125" t="n"/>
      <c r="AS541" s="125" t="n"/>
    </row>
    <row r="542" hidden="1" outlineLevel="3">
      <c r="A542" s="8" t="n"/>
      <c r="B542" s="14" t="n"/>
      <c r="C542" s="125" t="n"/>
      <c r="D542" s="125" t="n"/>
      <c r="E542" s="125" t="n"/>
      <c r="F542" s="125" t="n"/>
      <c r="G542" s="125" t="n"/>
      <c r="I542" s="135" t="n"/>
      <c r="J542" s="134" t="n"/>
      <c r="K542" s="16" t="n"/>
      <c r="L542" s="17" t="n"/>
      <c r="M542" s="133">
        <f>DADOS_INVOC!$QL$37</f>
        <v/>
      </c>
      <c r="N542" s="125" t="n"/>
      <c r="O542" s="125" t="n"/>
      <c r="P542" s="125" t="n"/>
      <c r="Q542" s="125" t="n"/>
      <c r="R542" s="125" t="n"/>
      <c r="S542" s="125" t="n"/>
      <c r="T542" s="125" t="n"/>
      <c r="U542" s="125" t="n"/>
      <c r="V542" s="125" t="n"/>
      <c r="W542" s="125" t="n"/>
      <c r="X542" s="125" t="n"/>
      <c r="Y542" s="125" t="n"/>
      <c r="Z542" s="125" t="n"/>
      <c r="AB542" s="135" t="n"/>
      <c r="AC542" s="134" t="n"/>
      <c r="AD542" s="16" t="n"/>
      <c r="AE542" s="17" t="n"/>
      <c r="AF542" s="133">
        <f>DADOS_INVOC!$QL$115</f>
        <v/>
      </c>
      <c r="AG542" s="125" t="n"/>
      <c r="AH542" s="125" t="n"/>
      <c r="AI542" s="125" t="n"/>
      <c r="AJ542" s="125" t="n"/>
      <c r="AK542" s="125" t="n"/>
      <c r="AL542" s="125" t="n"/>
      <c r="AM542" s="125" t="n"/>
      <c r="AN542" s="125" t="n"/>
      <c r="AO542" s="125" t="n"/>
      <c r="AP542" s="125" t="n"/>
      <c r="AQ542" s="125" t="n"/>
      <c r="AR542" s="125" t="n"/>
      <c r="AS542" s="125" t="n"/>
    </row>
    <row r="543" hidden="1" outlineLevel="3">
      <c r="A543" s="8" t="n"/>
      <c r="B543" s="14" t="n"/>
      <c r="C543" s="125" t="n"/>
      <c r="D543" s="125" t="n"/>
      <c r="E543" s="125" t="n"/>
      <c r="F543" s="125" t="n"/>
      <c r="G543" s="125" t="n"/>
      <c r="I543" s="135" t="n"/>
      <c r="J543" s="134" t="n"/>
      <c r="K543" s="16" t="n"/>
      <c r="L543" s="17" t="n"/>
      <c r="M543" s="133">
        <f>DADOS_INVOC!$QM$37</f>
        <v/>
      </c>
      <c r="N543" s="125" t="n"/>
      <c r="O543" s="125" t="n"/>
      <c r="P543" s="125" t="n"/>
      <c r="Q543" s="125" t="n"/>
      <c r="R543" s="125" t="n"/>
      <c r="S543" s="125" t="n"/>
      <c r="T543" s="125" t="n"/>
      <c r="U543" s="125" t="n"/>
      <c r="V543" s="125" t="n"/>
      <c r="W543" s="125" t="n"/>
      <c r="X543" s="125" t="n"/>
      <c r="Y543" s="125" t="n"/>
      <c r="Z543" s="125" t="n"/>
      <c r="AB543" s="135" t="n"/>
      <c r="AC543" s="134" t="n"/>
      <c r="AD543" s="16" t="n"/>
      <c r="AE543" s="17" t="n"/>
      <c r="AF543" s="133">
        <f>DADOS_INVOC!$QM$115</f>
        <v/>
      </c>
      <c r="AG543" s="125" t="n"/>
      <c r="AH543" s="125" t="n"/>
      <c r="AI543" s="125" t="n"/>
      <c r="AJ543" s="125" t="n"/>
      <c r="AK543" s="125" t="n"/>
      <c r="AL543" s="125" t="n"/>
      <c r="AM543" s="125" t="n"/>
      <c r="AN543" s="125" t="n"/>
      <c r="AO543" s="125" t="n"/>
      <c r="AP543" s="125" t="n"/>
      <c r="AQ543" s="125" t="n"/>
      <c r="AR543" s="125" t="n"/>
      <c r="AS543" s="125" t="n"/>
    </row>
    <row r="544" hidden="1" outlineLevel="3">
      <c r="A544" s="8" t="n"/>
      <c r="B544" s="14" t="n"/>
      <c r="C544" s="125" t="n"/>
      <c r="D544" s="125" t="n"/>
      <c r="E544" s="125" t="n"/>
      <c r="F544" s="125" t="n"/>
      <c r="G544" s="125" t="n"/>
      <c r="I544" s="129" t="n"/>
      <c r="J544" s="134" t="n"/>
      <c r="K544" s="16" t="n"/>
      <c r="L544" s="17" t="n"/>
      <c r="M544" s="133">
        <f>DADOS_INVOC!$QN$37</f>
        <v/>
      </c>
      <c r="N544" s="125" t="n"/>
      <c r="O544" s="125" t="n"/>
      <c r="P544" s="125" t="n"/>
      <c r="Q544" s="125" t="n"/>
      <c r="R544" s="125" t="n"/>
      <c r="S544" s="125" t="n"/>
      <c r="T544" s="125" t="n"/>
      <c r="U544" s="125" t="n"/>
      <c r="V544" s="125" t="n"/>
      <c r="W544" s="125" t="n"/>
      <c r="X544" s="125" t="n"/>
      <c r="Y544" s="125" t="n"/>
      <c r="Z544" s="125" t="n"/>
      <c r="AB544" s="129" t="n"/>
      <c r="AC544" s="134" t="n"/>
      <c r="AD544" s="16" t="n"/>
      <c r="AE544" s="17" t="n"/>
      <c r="AF544" s="133">
        <f>DADOS_INVOC!$QN$115</f>
        <v/>
      </c>
      <c r="AG544" s="125" t="n"/>
      <c r="AH544" s="125" t="n"/>
      <c r="AI544" s="125" t="n"/>
      <c r="AJ544" s="125" t="n"/>
      <c r="AK544" s="125" t="n"/>
      <c r="AL544" s="125" t="n"/>
      <c r="AM544" s="125" t="n"/>
      <c r="AN544" s="125" t="n"/>
      <c r="AO544" s="125" t="n"/>
      <c r="AP544" s="125" t="n"/>
      <c r="AQ544" s="125" t="n"/>
      <c r="AR544" s="125" t="n"/>
      <c r="AS544" s="125" t="n"/>
    </row>
    <row r="545" hidden="1" outlineLevel="3">
      <c r="A545" s="8" t="n"/>
      <c r="B545" s="14" t="n"/>
      <c r="C545" s="125" t="n"/>
      <c r="D545" s="125" t="n"/>
      <c r="E545" s="125" t="n"/>
      <c r="F545" s="125" t="n"/>
      <c r="G545" s="125" t="n"/>
      <c r="I545" s="55" t="inlineStr">
        <is>
          <t>RESTRIÇÕES</t>
        </is>
      </c>
      <c r="J545" s="134" t="n"/>
      <c r="K545" s="16" t="n"/>
      <c r="L545" s="17" t="n"/>
      <c r="M545" s="133">
        <f>DADOS_INVOC!$QO$37</f>
        <v/>
      </c>
      <c r="N545" s="125" t="n"/>
      <c r="O545" s="125" t="n"/>
      <c r="P545" s="125" t="n"/>
      <c r="Q545" s="125" t="n"/>
      <c r="R545" s="125" t="n"/>
      <c r="S545" s="125" t="n"/>
      <c r="T545" s="125" t="n"/>
      <c r="U545" s="125" t="n"/>
      <c r="V545" s="125" t="n"/>
      <c r="W545" s="125" t="n"/>
      <c r="X545" s="125" t="n"/>
      <c r="Y545" s="125" t="n"/>
      <c r="Z545" s="125" t="n"/>
      <c r="AB545" s="55" t="inlineStr">
        <is>
          <t>RESTRIÇÕES</t>
        </is>
      </c>
      <c r="AC545" s="134" t="n"/>
      <c r="AD545" s="16" t="n"/>
      <c r="AE545" s="17" t="n"/>
      <c r="AF545" s="133">
        <f>DADOS_INVOC!$QO$115</f>
        <v/>
      </c>
      <c r="AG545" s="125" t="n"/>
      <c r="AH545" s="125" t="n"/>
      <c r="AI545" s="125" t="n"/>
      <c r="AJ545" s="125" t="n"/>
      <c r="AK545" s="125" t="n"/>
      <c r="AL545" s="125" t="n"/>
      <c r="AM545" s="125" t="n"/>
      <c r="AN545" s="125" t="n"/>
      <c r="AO545" s="125" t="n"/>
      <c r="AP545" s="125" t="n"/>
      <c r="AQ545" s="125" t="n"/>
      <c r="AR545" s="125" t="n"/>
      <c r="AS545" s="125" t="n"/>
    </row>
    <row r="546" hidden="1" outlineLevel="3">
      <c r="A546" s="8" t="n"/>
      <c r="B546" s="14" t="n"/>
      <c r="C546" s="125" t="n"/>
      <c r="D546" s="125" t="n"/>
      <c r="E546" s="125" t="n"/>
      <c r="F546" s="125" t="n"/>
      <c r="G546" s="125" t="n"/>
      <c r="I546" s="129" t="n"/>
      <c r="J546" s="134" t="n"/>
      <c r="K546" s="16" t="n"/>
      <c r="L546" s="17" t="n"/>
      <c r="M546" s="133">
        <f>DADOS_INVOC!$QP$37</f>
        <v/>
      </c>
      <c r="N546" s="125" t="n"/>
      <c r="O546" s="125" t="n"/>
      <c r="P546" s="125" t="n"/>
      <c r="Q546" s="125" t="n"/>
      <c r="R546" s="125" t="n"/>
      <c r="S546" s="125" t="n"/>
      <c r="T546" s="125" t="n"/>
      <c r="U546" s="125" t="n"/>
      <c r="V546" s="125" t="n"/>
      <c r="W546" s="125" t="n"/>
      <c r="X546" s="125" t="n"/>
      <c r="Y546" s="125" t="n"/>
      <c r="Z546" s="125" t="n"/>
      <c r="AB546" s="129" t="n"/>
      <c r="AC546" s="134" t="n"/>
      <c r="AD546" s="16" t="n"/>
      <c r="AE546" s="17" t="n"/>
      <c r="AF546" s="133">
        <f>DADOS_INVOC!$QP$115</f>
        <v/>
      </c>
      <c r="AG546" s="125" t="n"/>
      <c r="AH546" s="125" t="n"/>
      <c r="AI546" s="125" t="n"/>
      <c r="AJ546" s="125" t="n"/>
      <c r="AK546" s="125" t="n"/>
      <c r="AL546" s="125" t="n"/>
      <c r="AM546" s="125" t="n"/>
      <c r="AN546" s="125" t="n"/>
      <c r="AO546" s="125" t="n"/>
      <c r="AP546" s="125" t="n"/>
      <c r="AQ546" s="125" t="n"/>
      <c r="AR546" s="125" t="n"/>
      <c r="AS546" s="125" t="n"/>
    </row>
    <row r="547" hidden="1" outlineLevel="3">
      <c r="A547" s="8" t="n"/>
      <c r="B547" s="14" t="n"/>
      <c r="C547" s="125" t="n"/>
      <c r="D547" s="125" t="n"/>
      <c r="E547" s="125" t="n"/>
      <c r="F547" s="125" t="n"/>
      <c r="G547" s="125" t="n"/>
      <c r="I547" s="55" t="inlineStr">
        <is>
          <t>CONTA</t>
        </is>
      </c>
      <c r="J547" s="136">
        <f>DADOS_INVOC!$QI$37</f>
        <v/>
      </c>
      <c r="K547" s="16" t="n"/>
      <c r="L547" s="16" t="n"/>
      <c r="M547" s="17" t="n"/>
      <c r="N547" s="125" t="n"/>
      <c r="O547" s="125" t="n"/>
      <c r="P547" s="125" t="n"/>
      <c r="Q547" s="125" t="n"/>
      <c r="R547" s="125" t="n"/>
      <c r="S547" s="125" t="n"/>
      <c r="T547" s="125" t="n"/>
      <c r="U547" s="125" t="n"/>
      <c r="V547" s="125" t="n"/>
      <c r="W547" s="125" t="n"/>
      <c r="X547" s="125" t="n"/>
      <c r="Y547" s="125" t="n"/>
      <c r="Z547" s="125" t="n"/>
      <c r="AB547" s="55" t="inlineStr">
        <is>
          <t>CONTA</t>
        </is>
      </c>
      <c r="AC547" s="136">
        <f>DADOS_INVOC!$QI$115</f>
        <v/>
      </c>
      <c r="AD547" s="16" t="n"/>
      <c r="AE547" s="16" t="n"/>
      <c r="AF547" s="17" t="n"/>
      <c r="AG547" s="125" t="n"/>
      <c r="AH547" s="125" t="n"/>
      <c r="AI547" s="125" t="n"/>
      <c r="AJ547" s="125" t="n"/>
      <c r="AK547" s="125" t="n"/>
      <c r="AL547" s="125" t="n"/>
      <c r="AM547" s="125" t="n"/>
      <c r="AN547" s="125" t="n"/>
      <c r="AO547" s="125" t="n"/>
      <c r="AP547" s="125" t="n"/>
      <c r="AQ547" s="125" t="n"/>
      <c r="AR547" s="125" t="n"/>
      <c r="AS547" s="125" t="n"/>
    </row>
    <row r="548" hidden="1" outlineLevel="3">
      <c r="A548" s="8" t="n"/>
      <c r="B548" s="14" t="n"/>
      <c r="C548" s="125" t="n"/>
      <c r="D548" s="125" t="n"/>
      <c r="E548" s="125" t="n"/>
      <c r="F548" s="125" t="n"/>
      <c r="G548" s="125" t="n"/>
      <c r="I548" s="55" t="inlineStr">
        <is>
          <t>AMPLIAR</t>
        </is>
      </c>
      <c r="J548" s="136">
        <f>DADOS_INVOC!$QJ$37</f>
        <v/>
      </c>
      <c r="K548" s="19" t="n"/>
      <c r="L548" s="19" t="n"/>
      <c r="M548" s="20" t="n"/>
      <c r="N548" s="125" t="n"/>
      <c r="O548" s="125" t="n"/>
      <c r="P548" s="125" t="n"/>
      <c r="Q548" s="125" t="n"/>
      <c r="R548" s="125" t="n"/>
      <c r="S548" s="125" t="n"/>
      <c r="T548" s="125" t="n"/>
      <c r="U548" s="125" t="n"/>
      <c r="V548" s="125" t="n"/>
      <c r="W548" s="125" t="n"/>
      <c r="X548" s="125" t="n"/>
      <c r="Y548" s="125" t="n"/>
      <c r="Z548" s="125" t="n"/>
      <c r="AB548" s="55" t="inlineStr">
        <is>
          <t>AMPLIAR</t>
        </is>
      </c>
      <c r="AC548" s="136">
        <f>DADOS_INVOC!$QJ$115</f>
        <v/>
      </c>
      <c r="AD548" s="19" t="n"/>
      <c r="AE548" s="19" t="n"/>
      <c r="AF548" s="20" t="n"/>
      <c r="AG548" s="125" t="n"/>
      <c r="AH548" s="125" t="n"/>
      <c r="AI548" s="125" t="n"/>
      <c r="AJ548" s="125" t="n"/>
      <c r="AK548" s="125" t="n"/>
      <c r="AL548" s="125" t="n"/>
      <c r="AM548" s="125" t="n"/>
      <c r="AN548" s="125" t="n"/>
      <c r="AO548" s="125" t="n"/>
      <c r="AP548" s="125" t="n"/>
      <c r="AQ548" s="125" t="n"/>
      <c r="AR548" s="125" t="n"/>
      <c r="AS548" s="125" t="n"/>
    </row>
    <row r="549" hidden="1" outlineLevel="3">
      <c r="A549" s="8" t="n"/>
      <c r="B549" s="14" t="n"/>
      <c r="C549" s="125" t="n"/>
      <c r="D549" s="125" t="n"/>
      <c r="E549" s="125" t="n"/>
      <c r="F549" s="125" t="n"/>
      <c r="G549" s="125" t="n"/>
      <c r="I549" s="129" t="n"/>
      <c r="J549" s="23" t="n"/>
      <c r="K549" s="24" t="n"/>
      <c r="L549" s="24" t="n"/>
      <c r="M549" s="25" t="n"/>
      <c r="N549" s="125" t="n"/>
      <c r="O549" s="125" t="n"/>
      <c r="P549" s="125" t="n"/>
      <c r="Q549" s="125" t="n"/>
      <c r="R549" s="125" t="n"/>
      <c r="S549" s="125" t="n"/>
      <c r="T549" s="125" t="n"/>
      <c r="U549" s="125" t="n"/>
      <c r="V549" s="125" t="n"/>
      <c r="W549" s="125" t="n"/>
      <c r="X549" s="125" t="n"/>
      <c r="Y549" s="125" t="n"/>
      <c r="Z549" s="125" t="n"/>
      <c r="AB549" s="129" t="n"/>
      <c r="AC549" s="23" t="n"/>
      <c r="AD549" s="24" t="n"/>
      <c r="AE549" s="24" t="n"/>
      <c r="AF549" s="25" t="n"/>
      <c r="AG549" s="125" t="n"/>
      <c r="AH549" s="125" t="n"/>
      <c r="AI549" s="125" t="n"/>
      <c r="AJ549" s="125" t="n"/>
      <c r="AK549" s="125" t="n"/>
      <c r="AL549" s="125" t="n"/>
      <c r="AM549" s="125" t="n"/>
      <c r="AN549" s="125" t="n"/>
      <c r="AO549" s="125" t="n"/>
      <c r="AP549" s="125" t="n"/>
      <c r="AQ549" s="125" t="n"/>
      <c r="AR549" s="125" t="n"/>
      <c r="AS549" s="125" t="n"/>
    </row>
    <row r="550" hidden="1" outlineLevel="3">
      <c r="A550" s="8" t="n"/>
      <c r="B550" s="14" t="n"/>
      <c r="C550" s="125" t="n"/>
      <c r="D550" s="125" t="n"/>
      <c r="E550" s="125" t="n"/>
      <c r="F550" s="125" t="n"/>
      <c r="G550" s="125" t="n"/>
      <c r="I550" s="136">
        <f>DADOS_INVOC!$PW$37</f>
        <v/>
      </c>
      <c r="J550" s="19" t="n"/>
      <c r="K550" s="19" t="n"/>
      <c r="L550" s="19" t="n"/>
      <c r="M550" s="20" t="n"/>
      <c r="N550" s="125" t="n"/>
      <c r="O550" s="125" t="n"/>
      <c r="P550" s="125" t="n"/>
      <c r="Q550" s="125" t="n"/>
      <c r="R550" s="125" t="n"/>
      <c r="S550" s="125" t="n"/>
      <c r="T550" s="125" t="n"/>
      <c r="U550" s="125" t="n"/>
      <c r="V550" s="125" t="n"/>
      <c r="W550" s="125" t="n"/>
      <c r="X550" s="125" t="n"/>
      <c r="Y550" s="125" t="n"/>
      <c r="Z550" s="125" t="n"/>
      <c r="AB550" s="136">
        <f>DADOS_INVOC!$PW$115</f>
        <v/>
      </c>
      <c r="AC550" s="19" t="n"/>
      <c r="AD550" s="19" t="n"/>
      <c r="AE550" s="19" t="n"/>
      <c r="AF550" s="20" t="n"/>
      <c r="AG550" s="125" t="n"/>
      <c r="AH550" s="125" t="n"/>
      <c r="AI550" s="125" t="n"/>
      <c r="AJ550" s="125" t="n"/>
      <c r="AK550" s="125" t="n"/>
      <c r="AL550" s="125" t="n"/>
      <c r="AM550" s="125" t="n"/>
      <c r="AN550" s="125" t="n"/>
      <c r="AO550" s="125" t="n"/>
      <c r="AP550" s="125" t="n"/>
      <c r="AQ550" s="125" t="n"/>
      <c r="AR550" s="125" t="n"/>
      <c r="AS550" s="125" t="n"/>
    </row>
    <row r="551" hidden="1" outlineLevel="3">
      <c r="A551" s="8" t="n"/>
      <c r="B551" s="14" t="n"/>
      <c r="C551" s="125" t="n"/>
      <c r="D551" s="125" t="n"/>
      <c r="E551" s="125" t="n"/>
      <c r="F551" s="125" t="n"/>
      <c r="G551" s="125" t="n"/>
      <c r="I551" s="23" t="n"/>
      <c r="J551" s="24" t="n"/>
      <c r="K551" s="24" t="n"/>
      <c r="L551" s="24" t="n"/>
      <c r="M551" s="25" t="n"/>
      <c r="N551" s="125" t="n"/>
      <c r="O551" s="125" t="n"/>
      <c r="P551" s="125" t="n"/>
      <c r="Q551" s="125" t="n"/>
      <c r="R551" s="125" t="n"/>
      <c r="S551" s="125" t="n"/>
      <c r="T551" s="125" t="n"/>
      <c r="U551" s="125" t="n"/>
      <c r="V551" s="125" t="n"/>
      <c r="W551" s="125" t="n"/>
      <c r="X551" s="125" t="n"/>
      <c r="Y551" s="125" t="n"/>
      <c r="Z551" s="125" t="n"/>
      <c r="AB551" s="23" t="n"/>
      <c r="AC551" s="24" t="n"/>
      <c r="AD551" s="24" t="n"/>
      <c r="AE551" s="24" t="n"/>
      <c r="AF551" s="25" t="n"/>
      <c r="AG551" s="125" t="n"/>
      <c r="AH551" s="125" t="n"/>
      <c r="AI551" s="125" t="n"/>
      <c r="AJ551" s="125" t="n"/>
      <c r="AK551" s="125" t="n"/>
      <c r="AL551" s="125" t="n"/>
      <c r="AM551" s="125" t="n"/>
      <c r="AN551" s="125" t="n"/>
      <c r="AO551" s="125" t="n"/>
      <c r="AP551" s="125" t="n"/>
      <c r="AQ551" s="125" t="n"/>
      <c r="AR551" s="125" t="n"/>
      <c r="AS551" s="125" t="n"/>
    </row>
    <row r="552" hidden="1" outlineLevel="1">
      <c r="A552" s="8" t="n"/>
      <c r="B552" s="14" t="n"/>
      <c r="C552" s="125" t="n"/>
      <c r="D552" s="125" t="n"/>
      <c r="E552" s="125" t="n"/>
      <c r="F552" s="125" t="n"/>
      <c r="G552" s="125" t="n"/>
      <c r="I552" s="125" t="n"/>
      <c r="J552" s="125" t="n"/>
      <c r="K552" s="125" t="n"/>
      <c r="L552" s="125" t="n"/>
      <c r="M552" s="125" t="n"/>
      <c r="N552" s="125" t="n"/>
      <c r="O552" s="125" t="n"/>
      <c r="P552" s="125" t="n"/>
      <c r="Q552" s="125" t="n"/>
      <c r="R552" s="125" t="n"/>
      <c r="S552" s="125" t="n"/>
      <c r="T552" s="125" t="n"/>
      <c r="U552" s="125" t="n"/>
      <c r="V552" s="125" t="n"/>
      <c r="W552" s="125" t="n"/>
      <c r="X552" s="125" t="n"/>
      <c r="Y552" s="125" t="n"/>
      <c r="Z552" s="125" t="n"/>
      <c r="AB552" s="125" t="n"/>
      <c r="AC552" s="125" t="n"/>
      <c r="AD552" s="125" t="n"/>
      <c r="AE552" s="125" t="n"/>
      <c r="AF552" s="125" t="n"/>
      <c r="AG552" s="125" t="n"/>
      <c r="AH552" s="125" t="n"/>
      <c r="AI552" s="125" t="n"/>
      <c r="AJ552" s="125" t="n"/>
      <c r="AK552" s="125" t="n"/>
      <c r="AL552" s="125" t="n"/>
      <c r="AM552" s="125" t="n"/>
      <c r="AN552" s="125" t="n"/>
      <c r="AO552" s="125" t="n"/>
      <c r="AP552" s="125" t="n"/>
      <c r="AQ552" s="125" t="n"/>
      <c r="AR552" s="125" t="n"/>
      <c r="AS552" s="125" t="n"/>
    </row>
    <row r="553" hidden="1" outlineLevel="1">
      <c r="A553" s="8" t="n"/>
      <c r="B553" s="14" t="n"/>
      <c r="C553" s="125" t="n"/>
      <c r="D553" s="125" t="n"/>
      <c r="E553" s="125" t="n"/>
      <c r="F553" s="125" t="n"/>
      <c r="G553" s="125" t="n"/>
      <c r="I553" s="137"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5" t="n"/>
      <c r="AB553" s="137"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5" t="n"/>
    </row>
    <row r="554" hidden="1" outlineLevel="2">
      <c r="A554" s="8" t="n"/>
      <c r="B554" s="14" t="n"/>
      <c r="C554" s="125" t="n"/>
      <c r="D554" s="125" t="n"/>
      <c r="E554" s="125" t="n"/>
      <c r="F554" s="125" t="n"/>
      <c r="G554" s="125" t="n"/>
      <c r="I554" s="125" t="n"/>
      <c r="J554" s="125" t="n"/>
      <c r="K554" s="125" t="n"/>
      <c r="L554" s="125" t="n"/>
      <c r="M554" s="125" t="n"/>
      <c r="N554" s="125" t="n"/>
      <c r="O554" s="125" t="n"/>
      <c r="P554" s="125" t="n"/>
      <c r="Q554" s="125" t="n"/>
      <c r="R554" s="125" t="n"/>
      <c r="S554" s="125" t="n"/>
      <c r="T554" s="125" t="n"/>
      <c r="U554" s="125" t="n"/>
      <c r="V554" s="125" t="n"/>
      <c r="W554" s="125" t="n"/>
      <c r="X554" s="125" t="n"/>
      <c r="Y554" s="125" t="n"/>
      <c r="Z554" s="125" t="n"/>
      <c r="AB554" s="125" t="n"/>
      <c r="AC554" s="125" t="n"/>
      <c r="AD554" s="125" t="n"/>
      <c r="AE554" s="125" t="n"/>
      <c r="AF554" s="125" t="n"/>
      <c r="AG554" s="125" t="n"/>
      <c r="AH554" s="125" t="n"/>
      <c r="AI554" s="125" t="n"/>
      <c r="AJ554" s="125" t="n"/>
      <c r="AK554" s="125" t="n"/>
      <c r="AL554" s="125" t="n"/>
      <c r="AM554" s="125" t="n"/>
      <c r="AN554" s="125" t="n"/>
      <c r="AO554" s="125" t="n"/>
      <c r="AP554" s="125" t="n"/>
      <c r="AQ554" s="125" t="n"/>
      <c r="AR554" s="125" t="n"/>
      <c r="AS554" s="125" t="n"/>
    </row>
    <row r="555" hidden="1" outlineLevel="2">
      <c r="A555" s="8" t="n"/>
      <c r="B555" s="14" t="n"/>
      <c r="C555" s="125" t="n"/>
      <c r="D555" s="125" t="n"/>
      <c r="E555" s="125" t="n"/>
      <c r="F555" s="125" t="n"/>
      <c r="G555" s="125" t="n"/>
      <c r="I555" s="55">
        <f>DADOS_INVOC!$PX$38</f>
        <v/>
      </c>
      <c r="J555" s="16" t="n"/>
      <c r="K555" s="16" t="n"/>
      <c r="L555" s="16" t="n"/>
      <c r="M555" s="17" t="n"/>
      <c r="N555" s="125" t="n"/>
      <c r="O555" s="55">
        <f>DADOS_INVOC!$PX$39</f>
        <v/>
      </c>
      <c r="P555" s="16" t="n"/>
      <c r="Q555" s="16" t="n"/>
      <c r="R555" s="16" t="n"/>
      <c r="S555" s="17" t="n"/>
      <c r="T555" s="125" t="n"/>
      <c r="U555" s="55">
        <f>DADOS_INVOC!$PX$40</f>
        <v/>
      </c>
      <c r="V555" s="16" t="n"/>
      <c r="W555" s="16" t="n"/>
      <c r="X555" s="16" t="n"/>
      <c r="Y555" s="17" t="n"/>
      <c r="Z555" s="125" t="n"/>
      <c r="AB555" s="55">
        <f>DADOS_INVOC!$PX$116</f>
        <v/>
      </c>
      <c r="AC555" s="16" t="n"/>
      <c r="AD555" s="16" t="n"/>
      <c r="AE555" s="16" t="n"/>
      <c r="AF555" s="17" t="n"/>
      <c r="AG555" s="125" t="n"/>
      <c r="AH555" s="55">
        <f>DADOS_INVOC!$PX$117</f>
        <v/>
      </c>
      <c r="AI555" s="16" t="n"/>
      <c r="AJ555" s="16" t="n"/>
      <c r="AK555" s="16" t="n"/>
      <c r="AL555" s="17" t="n"/>
      <c r="AM555" s="125" t="n"/>
      <c r="AN555" s="55">
        <f>DADOS_INVOC!$PX$118</f>
        <v/>
      </c>
      <c r="AO555" s="16" t="n"/>
      <c r="AP555" s="16" t="n"/>
      <c r="AQ555" s="16" t="n"/>
      <c r="AR555" s="17" t="n"/>
      <c r="AS555" s="125" t="n"/>
    </row>
    <row r="556" hidden="1" outlineLevel="2">
      <c r="A556" s="8" t="n"/>
      <c r="B556" s="14" t="n"/>
      <c r="C556" s="125" t="n"/>
      <c r="D556" s="125" t="n"/>
      <c r="E556" s="125" t="n"/>
      <c r="F556" s="125" t="n"/>
      <c r="G556" s="125" t="n"/>
      <c r="I556" s="131" t="n">
        <v>1</v>
      </c>
      <c r="J556" s="120" t="n"/>
      <c r="K556" s="16" t="n"/>
      <c r="L556" s="17" t="n"/>
      <c r="M556" s="132">
        <f>DADOS_INVOC!$PV$38</f>
        <v/>
      </c>
      <c r="N556" s="125" t="n"/>
      <c r="O556" s="131" t="n">
        <v>1</v>
      </c>
      <c r="P556" s="120" t="n"/>
      <c r="Q556" s="16" t="n"/>
      <c r="R556" s="17" t="n"/>
      <c r="S556" s="132">
        <f>DADOS_INVOC!$PV$39</f>
        <v/>
      </c>
      <c r="T556" s="125" t="n"/>
      <c r="U556" s="131" t="n">
        <v>1</v>
      </c>
      <c r="V556" s="120" t="n"/>
      <c r="W556" s="16" t="n"/>
      <c r="X556" s="17" t="n"/>
      <c r="Y556" s="132">
        <f>DADOS_INVOC!$PV$40</f>
        <v/>
      </c>
      <c r="Z556" s="125" t="n"/>
      <c r="AB556" s="131" t="n">
        <v>1</v>
      </c>
      <c r="AC556" s="120" t="n"/>
      <c r="AD556" s="16" t="n"/>
      <c r="AE556" s="17" t="n"/>
      <c r="AF556" s="132">
        <f>DADOS_INVOC!$PV$116</f>
        <v/>
      </c>
      <c r="AG556" s="125" t="n"/>
      <c r="AH556" s="131" t="n">
        <v>1</v>
      </c>
      <c r="AI556" s="120" t="n"/>
      <c r="AJ556" s="16" t="n"/>
      <c r="AK556" s="17" t="n"/>
      <c r="AL556" s="132">
        <f>DADOS_INVOC!$PV$117</f>
        <v/>
      </c>
      <c r="AM556" s="125" t="n"/>
      <c r="AN556" s="131" t="n">
        <v>1</v>
      </c>
      <c r="AO556" s="120" t="n"/>
      <c r="AP556" s="16" t="n"/>
      <c r="AQ556" s="17" t="n"/>
      <c r="AR556" s="132">
        <f>DADOS_INVOC!$PV$118</f>
        <v/>
      </c>
      <c r="AS556" s="125" t="n"/>
    </row>
    <row r="557" hidden="1" outlineLevel="3">
      <c r="A557" s="8" t="n"/>
      <c r="B557" s="14" t="n"/>
      <c r="C557" s="125" t="n"/>
      <c r="D557" s="125" t="n"/>
      <c r="E557" s="125" t="n"/>
      <c r="F557" s="125" t="n"/>
      <c r="G557" s="125" t="n"/>
      <c r="I557" s="55" t="inlineStr">
        <is>
          <t>COMO É</t>
        </is>
      </c>
      <c r="J557" s="16" t="n"/>
      <c r="K557" s="16" t="n"/>
      <c r="L557" s="16" t="n"/>
      <c r="M557" s="17" t="n"/>
      <c r="N557" s="125" t="n"/>
      <c r="O557" s="55" t="inlineStr">
        <is>
          <t>COMO É</t>
        </is>
      </c>
      <c r="P557" s="16" t="n"/>
      <c r="Q557" s="16" t="n"/>
      <c r="R557" s="16" t="n"/>
      <c r="S557" s="17" t="n"/>
      <c r="T557" s="125" t="n"/>
      <c r="U557" s="55" t="inlineStr">
        <is>
          <t>COMO É</t>
        </is>
      </c>
      <c r="V557" s="16" t="n"/>
      <c r="W557" s="16" t="n"/>
      <c r="X557" s="16" t="n"/>
      <c r="Y557" s="17" t="n"/>
      <c r="Z557" s="125" t="n"/>
      <c r="AB557" s="55" t="inlineStr">
        <is>
          <t>COMO É</t>
        </is>
      </c>
      <c r="AC557" s="16" t="n"/>
      <c r="AD557" s="16" t="n"/>
      <c r="AE557" s="16" t="n"/>
      <c r="AF557" s="17" t="n"/>
      <c r="AG557" s="125" t="n"/>
      <c r="AH557" s="55" t="inlineStr">
        <is>
          <t>COMO É</t>
        </is>
      </c>
      <c r="AI557" s="16" t="n"/>
      <c r="AJ557" s="16" t="n"/>
      <c r="AK557" s="16" t="n"/>
      <c r="AL557" s="17" t="n"/>
      <c r="AM557" s="125" t="n"/>
      <c r="AN557" s="55" t="inlineStr">
        <is>
          <t>COMO É</t>
        </is>
      </c>
      <c r="AO557" s="16" t="n"/>
      <c r="AP557" s="16" t="n"/>
      <c r="AQ557" s="16" t="n"/>
      <c r="AR557" s="17" t="n"/>
      <c r="AS557" s="125" t="n"/>
    </row>
    <row r="558" hidden="1" outlineLevel="3">
      <c r="A558" s="8" t="n"/>
      <c r="B558" s="14" t="n"/>
      <c r="C558" s="125" t="n"/>
      <c r="D558" s="125" t="n"/>
      <c r="E558" s="125" t="n"/>
      <c r="F558" s="125" t="n"/>
      <c r="G558" s="125" t="n"/>
      <c r="I558" s="121" t="n"/>
      <c r="J558" s="19" t="n"/>
      <c r="K558" s="19" t="n"/>
      <c r="L558" s="19" t="n"/>
      <c r="M558" s="20" t="n"/>
      <c r="N558" s="125" t="n"/>
      <c r="O558" s="121" t="n"/>
      <c r="P558" s="19" t="n"/>
      <c r="Q558" s="19" t="n"/>
      <c r="R558" s="19" t="n"/>
      <c r="S558" s="20" t="n"/>
      <c r="T558" s="125" t="n"/>
      <c r="U558" s="121" t="n"/>
      <c r="V558" s="19" t="n"/>
      <c r="W558" s="19" t="n"/>
      <c r="X558" s="19" t="n"/>
      <c r="Y558" s="20" t="n"/>
      <c r="Z558" s="125" t="n"/>
      <c r="AB558" s="121" t="n"/>
      <c r="AC558" s="19" t="n"/>
      <c r="AD558" s="19" t="n"/>
      <c r="AE558" s="19" t="n"/>
      <c r="AF558" s="20" t="n"/>
      <c r="AG558" s="125" t="n"/>
      <c r="AH558" s="121" t="n"/>
      <c r="AI558" s="19" t="n"/>
      <c r="AJ558" s="19" t="n"/>
      <c r="AK558" s="19" t="n"/>
      <c r="AL558" s="20" t="n"/>
      <c r="AM558" s="125" t="n"/>
      <c r="AN558" s="121" t="n"/>
      <c r="AO558" s="19" t="n"/>
      <c r="AP558" s="19" t="n"/>
      <c r="AQ558" s="19" t="n"/>
      <c r="AR558" s="20" t="n"/>
      <c r="AS558" s="125" t="n"/>
    </row>
    <row r="559" hidden="1" outlineLevel="3">
      <c r="A559" s="8" t="n"/>
      <c r="B559" s="14" t="n"/>
      <c r="C559" s="125" t="n"/>
      <c r="D559" s="125" t="n"/>
      <c r="E559" s="125" t="n"/>
      <c r="F559" s="125" t="n"/>
      <c r="G559" s="125" t="n"/>
      <c r="I559" s="21" t="n"/>
      <c r="M559" s="22" t="n"/>
      <c r="N559" s="125" t="n"/>
      <c r="O559" s="21" t="n"/>
      <c r="S559" s="22" t="n"/>
      <c r="T559" s="125" t="n"/>
      <c r="U559" s="21" t="n"/>
      <c r="Y559" s="22" t="n"/>
      <c r="Z559" s="125" t="n"/>
      <c r="AB559" s="21" t="n"/>
      <c r="AF559" s="22" t="n"/>
      <c r="AG559" s="125" t="n"/>
      <c r="AH559" s="21" t="n"/>
      <c r="AL559" s="22" t="n"/>
      <c r="AM559" s="125" t="n"/>
      <c r="AN559" s="21" t="n"/>
      <c r="AR559" s="22" t="n"/>
      <c r="AS559" s="125" t="n"/>
    </row>
    <row r="560" hidden="1" outlineLevel="3">
      <c r="A560" s="8" t="n"/>
      <c r="B560" s="14" t="n"/>
      <c r="C560" s="125" t="n"/>
      <c r="D560" s="125" t="n"/>
      <c r="E560" s="125" t="n"/>
      <c r="F560" s="125" t="n"/>
      <c r="G560" s="125" t="n"/>
      <c r="I560" s="23" t="n"/>
      <c r="J560" s="24" t="n"/>
      <c r="K560" s="24" t="n"/>
      <c r="L560" s="24" t="n"/>
      <c r="M560" s="25" t="n"/>
      <c r="N560" s="125" t="n"/>
      <c r="O560" s="23" t="n"/>
      <c r="P560" s="24" t="n"/>
      <c r="Q560" s="24" t="n"/>
      <c r="R560" s="24" t="n"/>
      <c r="S560" s="25" t="n"/>
      <c r="T560" s="125" t="n"/>
      <c r="U560" s="23" t="n"/>
      <c r="V560" s="24" t="n"/>
      <c r="W560" s="24" t="n"/>
      <c r="X560" s="24" t="n"/>
      <c r="Y560" s="25" t="n"/>
      <c r="Z560" s="125" t="n"/>
      <c r="AB560" s="23" t="n"/>
      <c r="AC560" s="24" t="n"/>
      <c r="AD560" s="24" t="n"/>
      <c r="AE560" s="24" t="n"/>
      <c r="AF560" s="25" t="n"/>
      <c r="AG560" s="125" t="n"/>
      <c r="AH560" s="23" t="n"/>
      <c r="AI560" s="24" t="n"/>
      <c r="AJ560" s="24" t="n"/>
      <c r="AK560" s="24" t="n"/>
      <c r="AL560" s="25" t="n"/>
      <c r="AM560" s="125" t="n"/>
      <c r="AN560" s="23" t="n"/>
      <c r="AO560" s="24" t="n"/>
      <c r="AP560" s="24" t="n"/>
      <c r="AQ560" s="24" t="n"/>
      <c r="AR560" s="25" t="n"/>
      <c r="AS560" s="125" t="n"/>
    </row>
    <row r="561" hidden="1" outlineLevel="2">
      <c r="A561" s="8" t="n"/>
      <c r="B561" s="14" t="n"/>
      <c r="C561" s="125" t="n"/>
      <c r="D561" s="125" t="n"/>
      <c r="E561" s="125" t="n"/>
      <c r="F561" s="125" t="n"/>
      <c r="G561" s="125" t="n"/>
      <c r="I561" s="89" t="inlineStr">
        <is>
          <t>Projétil</t>
        </is>
      </c>
      <c r="J561" s="17" t="n"/>
      <c r="K561" s="68">
        <f>DADOS_INVOC!$QC$38</f>
        <v/>
      </c>
      <c r="L561" s="17" t="n"/>
      <c r="M561" s="68">
        <f>DADOS_INVOC!$PY$38</f>
        <v/>
      </c>
      <c r="N561" s="125" t="n"/>
      <c r="O561" s="89" t="inlineStr">
        <is>
          <t>Projétil</t>
        </is>
      </c>
      <c r="P561" s="17" t="n"/>
      <c r="Q561" s="68">
        <f>DADOS_INVOC!$QC$39</f>
        <v/>
      </c>
      <c r="R561" s="17" t="n"/>
      <c r="S561" s="68">
        <f>DADOS_INVOC!$PY$39</f>
        <v/>
      </c>
      <c r="T561" s="125" t="n"/>
      <c r="U561" s="89" t="inlineStr">
        <is>
          <t>Projétil</t>
        </is>
      </c>
      <c r="V561" s="17" t="n"/>
      <c r="W561" s="68">
        <f>DADOS_INVOC!$QC$40</f>
        <v/>
      </c>
      <c r="X561" s="17" t="n"/>
      <c r="Y561" s="68">
        <f>DADOS_INVOC!$PY$40</f>
        <v/>
      </c>
      <c r="Z561" s="125" t="n"/>
      <c r="AB561" s="89" t="inlineStr">
        <is>
          <t>Projétil</t>
        </is>
      </c>
      <c r="AC561" s="17" t="n"/>
      <c r="AD561" s="68">
        <f>DADOS_INVOC!$QC$116</f>
        <v/>
      </c>
      <c r="AE561" s="17" t="n"/>
      <c r="AF561" s="68">
        <f>DADOS_INVOC!$PY$116</f>
        <v/>
      </c>
      <c r="AG561" s="125" t="n"/>
      <c r="AH561" s="89" t="inlineStr">
        <is>
          <t>Projétil</t>
        </is>
      </c>
      <c r="AI561" s="17" t="n"/>
      <c r="AJ561" s="68">
        <f>DADOS_INVOC!$QC$117</f>
        <v/>
      </c>
      <c r="AK561" s="17" t="n"/>
      <c r="AL561" s="68">
        <f>DADOS_INVOC!$PY$117</f>
        <v/>
      </c>
      <c r="AM561" s="125" t="n"/>
      <c r="AN561" s="89" t="inlineStr">
        <is>
          <t>Projétil</t>
        </is>
      </c>
      <c r="AO561" s="17" t="n"/>
      <c r="AP561" s="68">
        <f>DADOS_INVOC!$QC$118</f>
        <v/>
      </c>
      <c r="AQ561" s="17" t="n"/>
      <c r="AR561" s="68">
        <f>DADOS_INVOC!$PY$118</f>
        <v/>
      </c>
      <c r="AS561" s="125" t="n"/>
    </row>
    <row r="562" hidden="1" outlineLevel="2">
      <c r="A562" s="8" t="n"/>
      <c r="B562" s="14" t="n"/>
      <c r="C562" s="125" t="n"/>
      <c r="D562" s="125" t="n"/>
      <c r="E562" s="125" t="n"/>
      <c r="F562" s="125" t="n"/>
      <c r="G562" s="125" t="n"/>
      <c r="I562" s="89" t="n"/>
      <c r="J562" s="17" t="n"/>
      <c r="K562" s="89" t="n"/>
      <c r="L562" s="16" t="n"/>
      <c r="M562" s="17" t="n"/>
      <c r="N562" s="125" t="n"/>
      <c r="O562" s="89" t="n"/>
      <c r="P562" s="17" t="n"/>
      <c r="Q562" s="89" t="n"/>
      <c r="R562" s="16" t="n"/>
      <c r="S562" s="17" t="n"/>
      <c r="T562" s="125" t="n"/>
      <c r="U562" s="89" t="n"/>
      <c r="V562" s="17" t="n"/>
      <c r="W562" s="89" t="n"/>
      <c r="X562" s="16" t="n"/>
      <c r="Y562" s="17" t="n"/>
      <c r="Z562" s="125" t="n"/>
      <c r="AB562" s="89" t="n"/>
      <c r="AC562" s="17" t="n"/>
      <c r="AD562" s="89" t="n"/>
      <c r="AE562" s="16" t="n"/>
      <c r="AF562" s="17" t="n"/>
      <c r="AG562" s="125" t="n"/>
      <c r="AH562" s="89" t="n"/>
      <c r="AI562" s="17" t="n"/>
      <c r="AJ562" s="89" t="n"/>
      <c r="AK562" s="16" t="n"/>
      <c r="AL562" s="17" t="n"/>
      <c r="AM562" s="125" t="n"/>
      <c r="AN562" s="89" t="n"/>
      <c r="AO562" s="17" t="n"/>
      <c r="AP562" s="89" t="n"/>
      <c r="AQ562" s="16" t="n"/>
      <c r="AR562" s="17" t="n"/>
      <c r="AS562" s="125" t="n"/>
    </row>
    <row r="563" hidden="1" outlineLevel="2">
      <c r="A563" s="8" t="n"/>
      <c r="B563" s="14" t="n"/>
      <c r="C563" s="125" t="n"/>
      <c r="D563" s="125" t="n"/>
      <c r="E563" s="125" t="n"/>
      <c r="F563" s="125" t="n"/>
      <c r="G563" s="125" t="n"/>
      <c r="I563" s="89">
        <f>DADOS_INVOC!$PZ$38</f>
        <v/>
      </c>
      <c r="J563" s="17" t="n"/>
      <c r="K563" s="89">
        <f>DADOS_INVOC!$QB$38</f>
        <v/>
      </c>
      <c r="L563" s="16" t="n"/>
      <c r="M563" s="17" t="n"/>
      <c r="N563" s="125" t="n"/>
      <c r="O563" s="89">
        <f>DADOS_INVOC!$PZ$39</f>
        <v/>
      </c>
      <c r="P563" s="17" t="n"/>
      <c r="Q563" s="89">
        <f>DADOS_INVOC!$QB$39</f>
        <v/>
      </c>
      <c r="R563" s="16" t="n"/>
      <c r="S563" s="17" t="n"/>
      <c r="T563" s="125" t="n"/>
      <c r="U563" s="89">
        <f>DADOS_INVOC!$PZ$40</f>
        <v/>
      </c>
      <c r="V563" s="17" t="n"/>
      <c r="W563" s="89">
        <f>DADOS_INVOC!$QB$40</f>
        <v/>
      </c>
      <c r="X563" s="16" t="n"/>
      <c r="Y563" s="17" t="n"/>
      <c r="Z563" s="125" t="n"/>
      <c r="AB563" s="89">
        <f>DADOS_INVOC!$PZ$116</f>
        <v/>
      </c>
      <c r="AC563" s="17" t="n"/>
      <c r="AD563" s="89">
        <f>DADOS_INVOC!$QB$116</f>
        <v/>
      </c>
      <c r="AE563" s="16" t="n"/>
      <c r="AF563" s="17" t="n"/>
      <c r="AG563" s="125" t="n"/>
      <c r="AH563" s="89">
        <f>DADOS_INVOC!$PZ$117</f>
        <v/>
      </c>
      <c r="AI563" s="17" t="n"/>
      <c r="AJ563" s="89">
        <f>DADOS_INVOC!$QB$117</f>
        <v/>
      </c>
      <c r="AK563" s="16" t="n"/>
      <c r="AL563" s="17" t="n"/>
      <c r="AM563" s="125" t="n"/>
      <c r="AN563" s="89">
        <f>DADOS_INVOC!$PZ$118</f>
        <v/>
      </c>
      <c r="AO563" s="17" t="n"/>
      <c r="AP563" s="89">
        <f>DADOS_INVOC!$QB$118</f>
        <v/>
      </c>
      <c r="AQ563" s="16" t="n"/>
      <c r="AR563" s="17" t="n"/>
      <c r="AS563" s="125" t="n"/>
    </row>
    <row r="564" hidden="1" outlineLevel="2">
      <c r="A564" s="8" t="n"/>
      <c r="B564" s="14" t="n"/>
      <c r="C564" s="125" t="n"/>
      <c r="D564" s="125" t="n"/>
      <c r="E564" s="125" t="n"/>
      <c r="F564" s="125" t="n"/>
      <c r="G564" s="125" t="n"/>
      <c r="I564" s="133">
        <f>DADOS_INVOC!$QH$38</f>
        <v/>
      </c>
      <c r="J564" s="16" t="n"/>
      <c r="K564" s="16" t="n"/>
      <c r="L564" s="16" t="n"/>
      <c r="M564" s="17" t="n"/>
      <c r="N564" s="125" t="n"/>
      <c r="O564" s="133">
        <f>DADOS_INVOC!$QH$39</f>
        <v/>
      </c>
      <c r="P564" s="16" t="n"/>
      <c r="Q564" s="16" t="n"/>
      <c r="R564" s="16" t="n"/>
      <c r="S564" s="17" t="n"/>
      <c r="T564" s="125" t="n"/>
      <c r="U564" s="133">
        <f>DADOS_INVOC!$QH$40</f>
        <v/>
      </c>
      <c r="V564" s="16" t="n"/>
      <c r="W564" s="16" t="n"/>
      <c r="X564" s="16" t="n"/>
      <c r="Y564" s="17" t="n"/>
      <c r="Z564" s="125" t="n"/>
      <c r="AB564" s="133">
        <f>DADOS_INVOC!$QH$116</f>
        <v/>
      </c>
      <c r="AC564" s="16" t="n"/>
      <c r="AD564" s="16" t="n"/>
      <c r="AE564" s="16" t="n"/>
      <c r="AF564" s="17" t="n"/>
      <c r="AG564" s="125" t="n"/>
      <c r="AH564" s="133">
        <f>DADOS_INVOC!$QH$117</f>
        <v/>
      </c>
      <c r="AI564" s="16" t="n"/>
      <c r="AJ564" s="16" t="n"/>
      <c r="AK564" s="16" t="n"/>
      <c r="AL564" s="17" t="n"/>
      <c r="AM564" s="125" t="n"/>
      <c r="AN564" s="133">
        <f>DADOS_INVOC!$QH$118</f>
        <v/>
      </c>
      <c r="AO564" s="16" t="n"/>
      <c r="AP564" s="16" t="n"/>
      <c r="AQ564" s="16" t="n"/>
      <c r="AR564" s="17" t="n"/>
      <c r="AS564" s="125" t="n"/>
    </row>
    <row r="565" hidden="1" outlineLevel="3">
      <c r="A565" s="8" t="n"/>
      <c r="B565" s="14" t="n"/>
      <c r="C565" s="125" t="n"/>
      <c r="D565" s="125" t="n"/>
      <c r="E565" s="125" t="n"/>
      <c r="F565" s="125" t="n"/>
      <c r="G565" s="125" t="n"/>
      <c r="I565" s="55" t="inlineStr">
        <is>
          <t>MELHORIAS</t>
        </is>
      </c>
      <c r="J565" s="134" t="n"/>
      <c r="K565" s="16" t="n"/>
      <c r="L565" s="17" t="n"/>
      <c r="M565" s="133">
        <f>DADOS_INVOC!$QK$38</f>
        <v/>
      </c>
      <c r="N565" s="125" t="n"/>
      <c r="O565" s="55" t="inlineStr">
        <is>
          <t>MELHORIAS</t>
        </is>
      </c>
      <c r="P565" s="134" t="n"/>
      <c r="Q565" s="16" t="n"/>
      <c r="R565" s="17" t="n"/>
      <c r="S565" s="133">
        <f>DADOS_INVOC!$QK$39</f>
        <v/>
      </c>
      <c r="T565" s="125" t="n"/>
      <c r="U565" s="55" t="inlineStr">
        <is>
          <t>MELHORIAS</t>
        </is>
      </c>
      <c r="V565" s="134" t="n"/>
      <c r="W565" s="16" t="n"/>
      <c r="X565" s="17" t="n"/>
      <c r="Y565" s="133">
        <f>DADOS_INVOC!$QK$40</f>
        <v/>
      </c>
      <c r="Z565" s="125" t="n"/>
      <c r="AB565" s="55" t="inlineStr">
        <is>
          <t>MELHORIAS</t>
        </is>
      </c>
      <c r="AC565" s="134" t="n"/>
      <c r="AD565" s="16" t="n"/>
      <c r="AE565" s="17" t="n"/>
      <c r="AF565" s="133">
        <f>DADOS_INVOC!$QK$116</f>
        <v/>
      </c>
      <c r="AG565" s="125" t="n"/>
      <c r="AH565" s="55" t="inlineStr">
        <is>
          <t>MELHORIAS</t>
        </is>
      </c>
      <c r="AI565" s="134" t="n"/>
      <c r="AJ565" s="16" t="n"/>
      <c r="AK565" s="17" t="n"/>
      <c r="AL565" s="133">
        <f>DADOS_INVOC!$QK$117</f>
        <v/>
      </c>
      <c r="AM565" s="125" t="n"/>
      <c r="AN565" s="55" t="inlineStr">
        <is>
          <t>MELHORIAS</t>
        </is>
      </c>
      <c r="AO565" s="134" t="n"/>
      <c r="AP565" s="16" t="n"/>
      <c r="AQ565" s="17" t="n"/>
      <c r="AR565" s="133">
        <f>DADOS_INVOC!$QK$118</f>
        <v/>
      </c>
      <c r="AS565" s="125" t="n"/>
    </row>
    <row r="566" hidden="1" outlineLevel="3">
      <c r="A566" s="8" t="n"/>
      <c r="B566" s="14" t="n"/>
      <c r="C566" s="125" t="n"/>
      <c r="D566" s="125" t="n"/>
      <c r="E566" s="125" t="n"/>
      <c r="F566" s="125" t="n"/>
      <c r="G566" s="125" t="n"/>
      <c r="I566" s="135" t="n"/>
      <c r="J566" s="134" t="n"/>
      <c r="K566" s="16" t="n"/>
      <c r="L566" s="17" t="n"/>
      <c r="M566" s="133">
        <f>DADOS_INVOC!$QL$38</f>
        <v/>
      </c>
      <c r="N566" s="125" t="n"/>
      <c r="O566" s="135" t="n"/>
      <c r="P566" s="134" t="n"/>
      <c r="Q566" s="16" t="n"/>
      <c r="R566" s="17" t="n"/>
      <c r="S566" s="133">
        <f>DADOS_INVOC!$QL$39</f>
        <v/>
      </c>
      <c r="T566" s="125" t="n"/>
      <c r="U566" s="135" t="n"/>
      <c r="V566" s="134" t="n"/>
      <c r="W566" s="16" t="n"/>
      <c r="X566" s="17" t="n"/>
      <c r="Y566" s="133">
        <f>DADOS_INVOC!$QL$40</f>
        <v/>
      </c>
      <c r="Z566" s="125" t="n"/>
      <c r="AB566" s="135" t="n"/>
      <c r="AC566" s="134" t="n"/>
      <c r="AD566" s="16" t="n"/>
      <c r="AE566" s="17" t="n"/>
      <c r="AF566" s="133">
        <f>DADOS_INVOC!$QL$116</f>
        <v/>
      </c>
      <c r="AG566" s="125" t="n"/>
      <c r="AH566" s="135" t="n"/>
      <c r="AI566" s="134" t="n"/>
      <c r="AJ566" s="16" t="n"/>
      <c r="AK566" s="17" t="n"/>
      <c r="AL566" s="133">
        <f>DADOS_INVOC!$QL$117</f>
        <v/>
      </c>
      <c r="AM566" s="125" t="n"/>
      <c r="AN566" s="135" t="n"/>
      <c r="AO566" s="134" t="n"/>
      <c r="AP566" s="16" t="n"/>
      <c r="AQ566" s="17" t="n"/>
      <c r="AR566" s="133">
        <f>DADOS_INVOC!$QL$118</f>
        <v/>
      </c>
      <c r="AS566" s="125" t="n"/>
    </row>
    <row r="567" hidden="1" outlineLevel="3">
      <c r="A567" s="8" t="n"/>
      <c r="B567" s="14" t="n"/>
      <c r="C567" s="125" t="n"/>
      <c r="D567" s="125" t="n"/>
      <c r="E567" s="125" t="n"/>
      <c r="F567" s="125" t="n"/>
      <c r="G567" s="125" t="n"/>
      <c r="I567" s="135" t="n"/>
      <c r="J567" s="134" t="n"/>
      <c r="K567" s="16" t="n"/>
      <c r="L567" s="17" t="n"/>
      <c r="M567" s="133">
        <f>DADOS_INVOC!$QM$38</f>
        <v/>
      </c>
      <c r="N567" s="125" t="n"/>
      <c r="O567" s="135" t="n"/>
      <c r="P567" s="134" t="n"/>
      <c r="Q567" s="16" t="n"/>
      <c r="R567" s="17" t="n"/>
      <c r="S567" s="133">
        <f>DADOS_INVOC!$QM$39</f>
        <v/>
      </c>
      <c r="T567" s="125" t="n"/>
      <c r="U567" s="135" t="n"/>
      <c r="V567" s="134" t="n"/>
      <c r="W567" s="16" t="n"/>
      <c r="X567" s="17" t="n"/>
      <c r="Y567" s="133">
        <f>DADOS_INVOC!$QM$40</f>
        <v/>
      </c>
      <c r="Z567" s="125" t="n"/>
      <c r="AB567" s="135" t="n"/>
      <c r="AC567" s="134" t="n"/>
      <c r="AD567" s="16" t="n"/>
      <c r="AE567" s="17" t="n"/>
      <c r="AF567" s="133">
        <f>DADOS_INVOC!$QM$116</f>
        <v/>
      </c>
      <c r="AG567" s="125" t="n"/>
      <c r="AH567" s="135" t="n"/>
      <c r="AI567" s="134" t="n"/>
      <c r="AJ567" s="16" t="n"/>
      <c r="AK567" s="17" t="n"/>
      <c r="AL567" s="133">
        <f>DADOS_INVOC!$QM$117</f>
        <v/>
      </c>
      <c r="AM567" s="125" t="n"/>
      <c r="AN567" s="135" t="n"/>
      <c r="AO567" s="134" t="n"/>
      <c r="AP567" s="16" t="n"/>
      <c r="AQ567" s="17" t="n"/>
      <c r="AR567" s="133">
        <f>DADOS_INVOC!$QM$118</f>
        <v/>
      </c>
      <c r="AS567" s="125" t="n"/>
    </row>
    <row r="568" hidden="1" outlineLevel="3">
      <c r="A568" s="8" t="n"/>
      <c r="B568" s="14" t="n"/>
      <c r="C568" s="125" t="n"/>
      <c r="D568" s="125" t="n"/>
      <c r="E568" s="125" t="n"/>
      <c r="F568" s="125" t="n"/>
      <c r="G568" s="125" t="n"/>
      <c r="I568" s="129" t="n"/>
      <c r="J568" s="134" t="n"/>
      <c r="K568" s="16" t="n"/>
      <c r="L568" s="17" t="n"/>
      <c r="M568" s="133">
        <f>DADOS_INVOC!$QN$38</f>
        <v/>
      </c>
      <c r="N568" s="125" t="n"/>
      <c r="O568" s="129" t="n"/>
      <c r="P568" s="134" t="n"/>
      <c r="Q568" s="16" t="n"/>
      <c r="R568" s="17" t="n"/>
      <c r="S568" s="133">
        <f>DADOS_INVOC!$QN$39</f>
        <v/>
      </c>
      <c r="T568" s="125" t="n"/>
      <c r="U568" s="129" t="n"/>
      <c r="V568" s="134" t="n"/>
      <c r="W568" s="16" t="n"/>
      <c r="X568" s="17" t="n"/>
      <c r="Y568" s="133">
        <f>DADOS_INVOC!$QN$40</f>
        <v/>
      </c>
      <c r="Z568" s="125" t="n"/>
      <c r="AB568" s="129" t="n"/>
      <c r="AC568" s="134" t="n"/>
      <c r="AD568" s="16" t="n"/>
      <c r="AE568" s="17" t="n"/>
      <c r="AF568" s="133">
        <f>DADOS_INVOC!$QN$116</f>
        <v/>
      </c>
      <c r="AG568" s="125" t="n"/>
      <c r="AH568" s="129" t="n"/>
      <c r="AI568" s="134" t="n"/>
      <c r="AJ568" s="16" t="n"/>
      <c r="AK568" s="17" t="n"/>
      <c r="AL568" s="133">
        <f>DADOS_INVOC!$QN$117</f>
        <v/>
      </c>
      <c r="AM568" s="125" t="n"/>
      <c r="AN568" s="129" t="n"/>
      <c r="AO568" s="134" t="n"/>
      <c r="AP568" s="16" t="n"/>
      <c r="AQ568" s="17" t="n"/>
      <c r="AR568" s="133">
        <f>DADOS_INVOC!$QN$118</f>
        <v/>
      </c>
      <c r="AS568" s="125" t="n"/>
    </row>
    <row r="569" hidden="1" outlineLevel="3">
      <c r="A569" s="8" t="n"/>
      <c r="B569" s="14" t="n"/>
      <c r="C569" s="125" t="n"/>
      <c r="D569" s="125" t="n"/>
      <c r="E569" s="125" t="n"/>
      <c r="F569" s="125" t="n"/>
      <c r="G569" s="125" t="n"/>
      <c r="I569" s="55" t="inlineStr">
        <is>
          <t>RESTRIÇÕES</t>
        </is>
      </c>
      <c r="J569" s="134" t="n"/>
      <c r="K569" s="16" t="n"/>
      <c r="L569" s="17" t="n"/>
      <c r="M569" s="133">
        <f>DADOS_INVOC!$QO$38</f>
        <v/>
      </c>
      <c r="N569" s="125" t="n"/>
      <c r="O569" s="55" t="inlineStr">
        <is>
          <t>RESTRIÇÕES</t>
        </is>
      </c>
      <c r="P569" s="134" t="n"/>
      <c r="Q569" s="16" t="n"/>
      <c r="R569" s="17" t="n"/>
      <c r="S569" s="133">
        <f>DADOS_INVOC!$QO$39</f>
        <v/>
      </c>
      <c r="T569" s="125" t="n"/>
      <c r="U569" s="55" t="inlineStr">
        <is>
          <t>RESTRIÇÕES</t>
        </is>
      </c>
      <c r="V569" s="134" t="n"/>
      <c r="W569" s="16" t="n"/>
      <c r="X569" s="17" t="n"/>
      <c r="Y569" s="133">
        <f>DADOS_INVOC!$QO$40</f>
        <v/>
      </c>
      <c r="Z569" s="125" t="n"/>
      <c r="AB569" s="55" t="inlineStr">
        <is>
          <t>RESTRIÇÕES</t>
        </is>
      </c>
      <c r="AC569" s="134" t="n"/>
      <c r="AD569" s="16" t="n"/>
      <c r="AE569" s="17" t="n"/>
      <c r="AF569" s="133">
        <f>DADOS_INVOC!$QO$116</f>
        <v/>
      </c>
      <c r="AG569" s="125" t="n"/>
      <c r="AH569" s="55" t="inlineStr">
        <is>
          <t>RESTRIÇÕES</t>
        </is>
      </c>
      <c r="AI569" s="134" t="n"/>
      <c r="AJ569" s="16" t="n"/>
      <c r="AK569" s="17" t="n"/>
      <c r="AL569" s="133">
        <f>DADOS_INVOC!$QO$117</f>
        <v/>
      </c>
      <c r="AM569" s="125" t="n"/>
      <c r="AN569" s="55" t="inlineStr">
        <is>
          <t>RESTRIÇÕES</t>
        </is>
      </c>
      <c r="AO569" s="134" t="n"/>
      <c r="AP569" s="16" t="n"/>
      <c r="AQ569" s="17" t="n"/>
      <c r="AR569" s="133">
        <f>DADOS_INVOC!$QO$118</f>
        <v/>
      </c>
      <c r="AS569" s="125" t="n"/>
    </row>
    <row r="570" hidden="1" outlineLevel="3">
      <c r="A570" s="8" t="n"/>
      <c r="B570" s="14" t="n"/>
      <c r="C570" s="125" t="n"/>
      <c r="D570" s="125" t="n"/>
      <c r="E570" s="125" t="n"/>
      <c r="F570" s="125" t="n"/>
      <c r="G570" s="125" t="n"/>
      <c r="I570" s="129" t="n"/>
      <c r="J570" s="134" t="n"/>
      <c r="K570" s="16" t="n"/>
      <c r="L570" s="17" t="n"/>
      <c r="M570" s="133">
        <f>DADOS_INVOC!$QP$38</f>
        <v/>
      </c>
      <c r="N570" s="125" t="n"/>
      <c r="O570" s="129" t="n"/>
      <c r="P570" s="134" t="n"/>
      <c r="Q570" s="16" t="n"/>
      <c r="R570" s="17" t="n"/>
      <c r="S570" s="133">
        <f>DADOS_INVOC!$QP$39</f>
        <v/>
      </c>
      <c r="T570" s="125" t="n"/>
      <c r="U570" s="129" t="n"/>
      <c r="V570" s="134" t="n"/>
      <c r="W570" s="16" t="n"/>
      <c r="X570" s="17" t="n"/>
      <c r="Y570" s="133">
        <f>DADOS_INVOC!$QP$40</f>
        <v/>
      </c>
      <c r="Z570" s="125" t="n"/>
      <c r="AB570" s="129" t="n"/>
      <c r="AC570" s="134" t="n"/>
      <c r="AD570" s="16" t="n"/>
      <c r="AE570" s="17" t="n"/>
      <c r="AF570" s="133">
        <f>DADOS_INVOC!$QP$116</f>
        <v/>
      </c>
      <c r="AG570" s="125" t="n"/>
      <c r="AH570" s="129" t="n"/>
      <c r="AI570" s="134" t="n"/>
      <c r="AJ570" s="16" t="n"/>
      <c r="AK570" s="17" t="n"/>
      <c r="AL570" s="133">
        <f>DADOS_INVOC!$QP$117</f>
        <v/>
      </c>
      <c r="AM570" s="125" t="n"/>
      <c r="AN570" s="129" t="n"/>
      <c r="AO570" s="134" t="n"/>
      <c r="AP570" s="16" t="n"/>
      <c r="AQ570" s="17" t="n"/>
      <c r="AR570" s="133">
        <f>DADOS_INVOC!$QP$118</f>
        <v/>
      </c>
      <c r="AS570" s="125" t="n"/>
    </row>
    <row r="571" hidden="1" outlineLevel="3">
      <c r="A571" s="8" t="n"/>
      <c r="B571" s="14" t="n"/>
      <c r="C571" s="125" t="n"/>
      <c r="D571" s="125" t="n"/>
      <c r="E571" s="125" t="n"/>
      <c r="F571" s="125" t="n"/>
      <c r="G571" s="125" t="n"/>
      <c r="I571" s="55" t="inlineStr">
        <is>
          <t>CONTA</t>
        </is>
      </c>
      <c r="J571" s="136">
        <f>DADOS_INVOC!$QI$38</f>
        <v/>
      </c>
      <c r="K571" s="16" t="n"/>
      <c r="L571" s="16" t="n"/>
      <c r="M571" s="17" t="n"/>
      <c r="N571" s="125" t="n"/>
      <c r="O571" s="55" t="inlineStr">
        <is>
          <t>CONTA</t>
        </is>
      </c>
      <c r="P571" s="136">
        <f>DADOS_INVOC!$QI$39</f>
        <v/>
      </c>
      <c r="Q571" s="16" t="n"/>
      <c r="R571" s="16" t="n"/>
      <c r="S571" s="17" t="n"/>
      <c r="T571" s="125" t="n"/>
      <c r="U571" s="55" t="inlineStr">
        <is>
          <t>CONTA</t>
        </is>
      </c>
      <c r="V571" s="136">
        <f>DADOS_INVOC!$QI$40</f>
        <v/>
      </c>
      <c r="W571" s="16" t="n"/>
      <c r="X571" s="16" t="n"/>
      <c r="Y571" s="17" t="n"/>
      <c r="Z571" s="125" t="n"/>
      <c r="AB571" s="55" t="inlineStr">
        <is>
          <t>CONTA</t>
        </is>
      </c>
      <c r="AC571" s="136">
        <f>DADOS_INVOC!$QI$116</f>
        <v/>
      </c>
      <c r="AD571" s="16" t="n"/>
      <c r="AE571" s="16" t="n"/>
      <c r="AF571" s="17" t="n"/>
      <c r="AG571" s="125" t="n"/>
      <c r="AH571" s="55" t="inlineStr">
        <is>
          <t>CONTA</t>
        </is>
      </c>
      <c r="AI571" s="136">
        <f>DADOS_INVOC!$QI$117</f>
        <v/>
      </c>
      <c r="AJ571" s="16" t="n"/>
      <c r="AK571" s="16" t="n"/>
      <c r="AL571" s="17" t="n"/>
      <c r="AM571" s="125" t="n"/>
      <c r="AN571" s="55" t="inlineStr">
        <is>
          <t>CONTA</t>
        </is>
      </c>
      <c r="AO571" s="136">
        <f>DADOS_INVOC!$QI$118</f>
        <v/>
      </c>
      <c r="AP571" s="16" t="n"/>
      <c r="AQ571" s="16" t="n"/>
      <c r="AR571" s="17" t="n"/>
      <c r="AS571" s="125" t="n"/>
    </row>
    <row r="572" hidden="1" outlineLevel="3">
      <c r="A572" s="8" t="n"/>
      <c r="B572" s="14" t="n"/>
      <c r="C572" s="125" t="n"/>
      <c r="D572" s="125" t="n"/>
      <c r="E572" s="125" t="n"/>
      <c r="F572" s="125" t="n"/>
      <c r="G572" s="125" t="n"/>
      <c r="I572" s="55" t="inlineStr">
        <is>
          <t>AMPLIAR</t>
        </is>
      </c>
      <c r="J572" s="136">
        <f>DADOS_INVOC!$QJ$38</f>
        <v/>
      </c>
      <c r="K572" s="19" t="n"/>
      <c r="L572" s="19" t="n"/>
      <c r="M572" s="20" t="n"/>
      <c r="N572" s="125" t="n"/>
      <c r="O572" s="55" t="inlineStr">
        <is>
          <t>AMPLIAR</t>
        </is>
      </c>
      <c r="P572" s="136">
        <f>DADOS_INVOC!$QJ$39</f>
        <v/>
      </c>
      <c r="Q572" s="19" t="n"/>
      <c r="R572" s="19" t="n"/>
      <c r="S572" s="20" t="n"/>
      <c r="T572" s="125" t="n"/>
      <c r="U572" s="55" t="inlineStr">
        <is>
          <t>AMPLIAR</t>
        </is>
      </c>
      <c r="V572" s="136">
        <f>DADOS_INVOC!$QJ$40</f>
        <v/>
      </c>
      <c r="W572" s="19" t="n"/>
      <c r="X572" s="19" t="n"/>
      <c r="Y572" s="20" t="n"/>
      <c r="Z572" s="125" t="n"/>
      <c r="AB572" s="55" t="inlineStr">
        <is>
          <t>AMPLIAR</t>
        </is>
      </c>
      <c r="AC572" s="136">
        <f>DADOS_INVOC!$QJ$116</f>
        <v/>
      </c>
      <c r="AD572" s="19" t="n"/>
      <c r="AE572" s="19" t="n"/>
      <c r="AF572" s="20" t="n"/>
      <c r="AG572" s="125" t="n"/>
      <c r="AH572" s="55" t="inlineStr">
        <is>
          <t>AMPLIAR</t>
        </is>
      </c>
      <c r="AI572" s="136">
        <f>DADOS_INVOC!$QJ$117</f>
        <v/>
      </c>
      <c r="AJ572" s="19" t="n"/>
      <c r="AK572" s="19" t="n"/>
      <c r="AL572" s="20" t="n"/>
      <c r="AM572" s="125" t="n"/>
      <c r="AN572" s="55" t="inlineStr">
        <is>
          <t>AMPLIAR</t>
        </is>
      </c>
      <c r="AO572" s="136">
        <f>DADOS_INVOC!$QJ$118</f>
        <v/>
      </c>
      <c r="AP572" s="19" t="n"/>
      <c r="AQ572" s="19" t="n"/>
      <c r="AR572" s="20" t="n"/>
      <c r="AS572" s="125" t="n"/>
    </row>
    <row r="573" hidden="1" outlineLevel="3">
      <c r="A573" s="8" t="n"/>
      <c r="B573" s="14" t="n"/>
      <c r="C573" s="125" t="n"/>
      <c r="D573" s="125" t="n"/>
      <c r="E573" s="125" t="n"/>
      <c r="F573" s="125" t="n"/>
      <c r="G573" s="125" t="n"/>
      <c r="I573" s="129" t="n"/>
      <c r="J573" s="23" t="n"/>
      <c r="K573" s="24" t="n"/>
      <c r="L573" s="24" t="n"/>
      <c r="M573" s="25" t="n"/>
      <c r="N573" s="125" t="n"/>
      <c r="O573" s="129" t="n"/>
      <c r="P573" s="23" t="n"/>
      <c r="Q573" s="24" t="n"/>
      <c r="R573" s="24" t="n"/>
      <c r="S573" s="25" t="n"/>
      <c r="T573" s="125" t="n"/>
      <c r="U573" s="129" t="n"/>
      <c r="V573" s="23" t="n"/>
      <c r="W573" s="24" t="n"/>
      <c r="X573" s="24" t="n"/>
      <c r="Y573" s="25" t="n"/>
      <c r="Z573" s="125" t="n"/>
      <c r="AB573" s="129" t="n"/>
      <c r="AC573" s="23" t="n"/>
      <c r="AD573" s="24" t="n"/>
      <c r="AE573" s="24" t="n"/>
      <c r="AF573" s="25" t="n"/>
      <c r="AG573" s="125" t="n"/>
      <c r="AH573" s="129" t="n"/>
      <c r="AI573" s="23" t="n"/>
      <c r="AJ573" s="24" t="n"/>
      <c r="AK573" s="24" t="n"/>
      <c r="AL573" s="25" t="n"/>
      <c r="AM573" s="125" t="n"/>
      <c r="AN573" s="129" t="n"/>
      <c r="AO573" s="23" t="n"/>
      <c r="AP573" s="24" t="n"/>
      <c r="AQ573" s="24" t="n"/>
      <c r="AR573" s="25" t="n"/>
      <c r="AS573" s="125" t="n"/>
    </row>
    <row r="574" hidden="1" outlineLevel="3">
      <c r="A574" s="8" t="n"/>
      <c r="B574" s="14" t="n"/>
      <c r="C574" s="125" t="n"/>
      <c r="D574" s="125" t="n"/>
      <c r="E574" s="125" t="n"/>
      <c r="F574" s="125" t="n"/>
      <c r="G574" s="125" t="n"/>
      <c r="I574" s="136">
        <f>DADOS_INVOC!$PW$38</f>
        <v/>
      </c>
      <c r="J574" s="19" t="n"/>
      <c r="K574" s="19" t="n"/>
      <c r="L574" s="19" t="n"/>
      <c r="M574" s="20" t="n"/>
      <c r="N574" s="125" t="n"/>
      <c r="O574" s="136">
        <f>DADOS_INVOC!$PW$39</f>
        <v/>
      </c>
      <c r="P574" s="19" t="n"/>
      <c r="Q574" s="19" t="n"/>
      <c r="R574" s="19" t="n"/>
      <c r="S574" s="20" t="n"/>
      <c r="T574" s="125" t="n"/>
      <c r="U574" s="136">
        <f>DADOS_INVOC!$PW$40</f>
        <v/>
      </c>
      <c r="V574" s="19" t="n"/>
      <c r="W574" s="19" t="n"/>
      <c r="X574" s="19" t="n"/>
      <c r="Y574" s="20" t="n"/>
      <c r="Z574" s="125" t="n"/>
      <c r="AB574" s="136">
        <f>DADOS_INVOC!$PW$116</f>
        <v/>
      </c>
      <c r="AC574" s="19" t="n"/>
      <c r="AD574" s="19" t="n"/>
      <c r="AE574" s="19" t="n"/>
      <c r="AF574" s="20" t="n"/>
      <c r="AG574" s="125" t="n"/>
      <c r="AH574" s="136">
        <f>DADOS_INVOC!$PW$117</f>
        <v/>
      </c>
      <c r="AI574" s="19" t="n"/>
      <c r="AJ574" s="19" t="n"/>
      <c r="AK574" s="19" t="n"/>
      <c r="AL574" s="20" t="n"/>
      <c r="AM574" s="125" t="n"/>
      <c r="AN574" s="136">
        <f>DADOS_INVOC!$PW$118</f>
        <v/>
      </c>
      <c r="AO574" s="19" t="n"/>
      <c r="AP574" s="19" t="n"/>
      <c r="AQ574" s="19" t="n"/>
      <c r="AR574" s="20" t="n"/>
      <c r="AS574" s="125" t="n"/>
    </row>
    <row r="575" hidden="1" outlineLevel="3">
      <c r="A575" s="8" t="n"/>
      <c r="B575" s="14" t="n"/>
      <c r="C575" s="125" t="n"/>
      <c r="D575" s="125" t="n"/>
      <c r="E575" s="125" t="n"/>
      <c r="F575" s="125" t="n"/>
      <c r="G575" s="125" t="n"/>
      <c r="I575" s="23" t="n"/>
      <c r="J575" s="24" t="n"/>
      <c r="K575" s="24" t="n"/>
      <c r="L575" s="24" t="n"/>
      <c r="M575" s="25" t="n"/>
      <c r="N575" s="125" t="n"/>
      <c r="O575" s="23" t="n"/>
      <c r="P575" s="24" t="n"/>
      <c r="Q575" s="24" t="n"/>
      <c r="R575" s="24" t="n"/>
      <c r="S575" s="25" t="n"/>
      <c r="T575" s="125" t="n"/>
      <c r="U575" s="23" t="n"/>
      <c r="V575" s="24" t="n"/>
      <c r="W575" s="24" t="n"/>
      <c r="X575" s="24" t="n"/>
      <c r="Y575" s="25" t="n"/>
      <c r="Z575" s="125" t="n"/>
      <c r="AB575" s="23" t="n"/>
      <c r="AC575" s="24" t="n"/>
      <c r="AD575" s="24" t="n"/>
      <c r="AE575" s="24" t="n"/>
      <c r="AF575" s="25" t="n"/>
      <c r="AG575" s="125" t="n"/>
      <c r="AH575" s="23" t="n"/>
      <c r="AI575" s="24" t="n"/>
      <c r="AJ575" s="24" t="n"/>
      <c r="AK575" s="24" t="n"/>
      <c r="AL575" s="25" t="n"/>
      <c r="AM575" s="125" t="n"/>
      <c r="AN575" s="23" t="n"/>
      <c r="AO575" s="24" t="n"/>
      <c r="AP575" s="24" t="n"/>
      <c r="AQ575" s="24" t="n"/>
      <c r="AR575" s="25" t="n"/>
      <c r="AS575" s="125" t="n"/>
    </row>
    <row r="576" hidden="1" outlineLevel="2">
      <c r="A576" s="8" t="n"/>
      <c r="B576" s="14" t="n"/>
      <c r="C576" s="125" t="n"/>
      <c r="D576" s="125" t="n"/>
      <c r="E576" s="125" t="n"/>
      <c r="F576" s="125" t="n"/>
      <c r="G576" s="125" t="n"/>
      <c r="I576" s="125" t="n"/>
      <c r="J576" s="125" t="n"/>
      <c r="K576" s="125" t="n"/>
      <c r="L576" s="125" t="n"/>
      <c r="M576" s="125" t="n"/>
      <c r="N576" s="125" t="n"/>
      <c r="O576" s="125" t="n"/>
      <c r="P576" s="125" t="n"/>
      <c r="Q576" s="125" t="n"/>
      <c r="R576" s="125" t="n"/>
      <c r="S576" s="125" t="n"/>
      <c r="T576" s="125" t="n"/>
      <c r="U576" s="125" t="n"/>
      <c r="V576" s="125" t="n"/>
      <c r="W576" s="125" t="n"/>
      <c r="X576" s="125" t="n"/>
      <c r="Y576" s="125" t="n"/>
      <c r="Z576" s="125" t="n"/>
      <c r="AB576" s="125" t="n"/>
      <c r="AC576" s="125" t="n"/>
      <c r="AD576" s="125" t="n"/>
      <c r="AE576" s="125" t="n"/>
      <c r="AF576" s="125" t="n"/>
      <c r="AG576" s="125" t="n"/>
      <c r="AH576" s="125" t="n"/>
      <c r="AI576" s="125" t="n"/>
      <c r="AJ576" s="125" t="n"/>
      <c r="AK576" s="125" t="n"/>
      <c r="AL576" s="125" t="n"/>
      <c r="AM576" s="125" t="n"/>
      <c r="AN576" s="125" t="n"/>
      <c r="AO576" s="125" t="n"/>
      <c r="AP576" s="125" t="n"/>
      <c r="AQ576" s="125" t="n"/>
      <c r="AR576" s="125" t="n"/>
      <c r="AS576" s="125" t="n"/>
    </row>
    <row r="577" hidden="1" outlineLevel="2">
      <c r="A577" s="8" t="n"/>
      <c r="B577" s="14" t="n"/>
      <c r="C577" s="125" t="n"/>
      <c r="D577" s="125" t="n"/>
      <c r="E577" s="125" t="n"/>
      <c r="F577" s="125" t="n"/>
      <c r="G577" s="125"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5"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5" t="n"/>
    </row>
    <row r="578" hidden="1" outlineLevel="2">
      <c r="A578" s="8" t="n"/>
      <c r="B578" s="14" t="n"/>
      <c r="C578" s="125" t="n"/>
      <c r="D578" s="125" t="n"/>
      <c r="E578" s="125" t="n"/>
      <c r="F578" s="125" t="n"/>
      <c r="G578" s="125" t="n"/>
      <c r="I578" s="55" t="inlineStr">
        <is>
          <t>TRILHA · CE 1</t>
        </is>
      </c>
      <c r="J578" s="134" t="n"/>
      <c r="K578" s="16" t="n"/>
      <c r="L578" s="17" t="n"/>
      <c r="M578" s="141">
        <f>DADOS_INVOC!$IU$4</f>
        <v/>
      </c>
      <c r="N578" s="16" t="n"/>
      <c r="O578" s="16" t="n"/>
      <c r="P578" s="16" t="n"/>
      <c r="Q578" s="16" t="n"/>
      <c r="R578" s="16" t="n"/>
      <c r="S578" s="16" t="n"/>
      <c r="T578" s="16" t="n"/>
      <c r="U578" s="16" t="n"/>
      <c r="V578" s="16" t="n"/>
      <c r="W578" s="16" t="n"/>
      <c r="X578" s="16" t="n"/>
      <c r="Y578" s="17" t="n"/>
      <c r="Z578" s="125" t="n"/>
      <c r="AB578" s="55" t="inlineStr">
        <is>
          <t>TRILHA · CE 1</t>
        </is>
      </c>
      <c r="AC578" s="134" t="n"/>
      <c r="AD578" s="16" t="n"/>
      <c r="AE578" s="17" t="n"/>
      <c r="AF578" s="141">
        <f>DADOS_INVOC!$IU$10</f>
        <v/>
      </c>
      <c r="AG578" s="16" t="n"/>
      <c r="AH578" s="16" t="n"/>
      <c r="AI578" s="16" t="n"/>
      <c r="AJ578" s="16" t="n"/>
      <c r="AK578" s="16" t="n"/>
      <c r="AL578" s="16" t="n"/>
      <c r="AM578" s="16" t="n"/>
      <c r="AN578" s="16" t="n"/>
      <c r="AO578" s="16" t="n"/>
      <c r="AP578" s="16" t="n"/>
      <c r="AQ578" s="16" t="n"/>
      <c r="AR578" s="17" t="n"/>
      <c r="AS578" s="125" t="n"/>
    </row>
    <row r="579" hidden="1" outlineLevel="2">
      <c r="A579" s="8" t="n"/>
      <c r="B579" s="14" t="n"/>
      <c r="C579" s="125" t="n"/>
      <c r="D579" s="125" t="n"/>
      <c r="E579" s="125" t="n"/>
      <c r="F579" s="125" t="n"/>
      <c r="G579" s="125" t="n"/>
      <c r="I579" s="55" t="inlineStr">
        <is>
          <t>TRILHA · CE 1</t>
        </is>
      </c>
      <c r="J579" s="134" t="n"/>
      <c r="K579" s="16" t="n"/>
      <c r="L579" s="17" t="n"/>
      <c r="M579" s="141">
        <f>DADOS_INVOC!$IV$4</f>
        <v/>
      </c>
      <c r="N579" s="16" t="n"/>
      <c r="O579" s="16" t="n"/>
      <c r="P579" s="16" t="n"/>
      <c r="Q579" s="16" t="n"/>
      <c r="R579" s="16" t="n"/>
      <c r="S579" s="16" t="n"/>
      <c r="T579" s="16" t="n"/>
      <c r="U579" s="16" t="n"/>
      <c r="V579" s="16" t="n"/>
      <c r="W579" s="16" t="n"/>
      <c r="X579" s="16" t="n"/>
      <c r="Y579" s="17" t="n"/>
      <c r="Z579" s="125" t="n"/>
      <c r="AB579" s="55" t="inlineStr">
        <is>
          <t>TRILHA · CE 1</t>
        </is>
      </c>
      <c r="AC579" s="134" t="n"/>
      <c r="AD579" s="16" t="n"/>
      <c r="AE579" s="17" t="n"/>
      <c r="AF579" s="141">
        <f>DADOS_INVOC!$IV$10</f>
        <v/>
      </c>
      <c r="AG579" s="16" t="n"/>
      <c r="AH579" s="16" t="n"/>
      <c r="AI579" s="16" t="n"/>
      <c r="AJ579" s="16" t="n"/>
      <c r="AK579" s="16" t="n"/>
      <c r="AL579" s="16" t="n"/>
      <c r="AM579" s="16" t="n"/>
      <c r="AN579" s="16" t="n"/>
      <c r="AO579" s="16" t="n"/>
      <c r="AP579" s="16" t="n"/>
      <c r="AQ579" s="16" t="n"/>
      <c r="AR579" s="17" t="n"/>
      <c r="AS579" s="125" t="n"/>
    </row>
    <row r="580" hidden="1" outlineLevel="2">
      <c r="A580" s="8" t="n"/>
      <c r="B580" s="14" t="n"/>
      <c r="C580" s="125" t="n"/>
      <c r="D580" s="125" t="n"/>
      <c r="E580" s="125" t="n"/>
      <c r="F580" s="125" t="n"/>
      <c r="G580" s="125" t="n"/>
      <c r="I580" s="55" t="inlineStr">
        <is>
          <t>TRILHA · CE 1</t>
        </is>
      </c>
      <c r="J580" s="134" t="n"/>
      <c r="K580" s="16" t="n"/>
      <c r="L580" s="17" t="n"/>
      <c r="M580" s="141">
        <f>DADOS_INVOC!$IW$4</f>
        <v/>
      </c>
      <c r="N580" s="16" t="n"/>
      <c r="O580" s="16" t="n"/>
      <c r="P580" s="16" t="n"/>
      <c r="Q580" s="16" t="n"/>
      <c r="R580" s="16" t="n"/>
      <c r="S580" s="16" t="n"/>
      <c r="T580" s="16" t="n"/>
      <c r="U580" s="16" t="n"/>
      <c r="V580" s="16" t="n"/>
      <c r="W580" s="16" t="n"/>
      <c r="X580" s="16" t="n"/>
      <c r="Y580" s="17" t="n"/>
      <c r="Z580" s="125" t="n"/>
      <c r="AB580" s="55" t="inlineStr">
        <is>
          <t>TRILHA · CE 1</t>
        </is>
      </c>
      <c r="AC580" s="134" t="n"/>
      <c r="AD580" s="16" t="n"/>
      <c r="AE580" s="17" t="n"/>
      <c r="AF580" s="141">
        <f>DADOS_INVOC!$IW$10</f>
        <v/>
      </c>
      <c r="AG580" s="16" t="n"/>
      <c r="AH580" s="16" t="n"/>
      <c r="AI580" s="16" t="n"/>
      <c r="AJ580" s="16" t="n"/>
      <c r="AK580" s="16" t="n"/>
      <c r="AL580" s="16" t="n"/>
      <c r="AM580" s="16" t="n"/>
      <c r="AN580" s="16" t="n"/>
      <c r="AO580" s="16" t="n"/>
      <c r="AP580" s="16" t="n"/>
      <c r="AQ580" s="16" t="n"/>
      <c r="AR580" s="17" t="n"/>
      <c r="AS580" s="125" t="n"/>
    </row>
    <row r="581" hidden="1" outlineLevel="1">
      <c r="A581" s="8" t="n"/>
      <c r="B581" s="14" t="n"/>
      <c r="C581" s="125" t="n"/>
      <c r="D581" s="125" t="n"/>
      <c r="E581" s="125" t="n"/>
      <c r="F581" s="125" t="n"/>
      <c r="G581" s="125" t="n"/>
      <c r="I581" s="125" t="n"/>
      <c r="J581" s="125" t="n"/>
      <c r="K581" s="125" t="n"/>
      <c r="L581" s="125" t="n"/>
      <c r="M581" s="125" t="n"/>
      <c r="N581" s="125" t="n"/>
      <c r="O581" s="125" t="n"/>
      <c r="P581" s="125" t="n"/>
      <c r="Q581" s="125" t="n"/>
      <c r="R581" s="125" t="n"/>
      <c r="S581" s="125" t="n"/>
      <c r="T581" s="125" t="n"/>
      <c r="U581" s="125" t="n"/>
      <c r="V581" s="125" t="n"/>
      <c r="W581" s="125" t="n"/>
      <c r="X581" s="125" t="n"/>
      <c r="Y581" s="125" t="n"/>
      <c r="Z581" s="125" t="n"/>
      <c r="AB581" s="125" t="n"/>
      <c r="AC581" s="125" t="n"/>
      <c r="AD581" s="125" t="n"/>
      <c r="AE581" s="125" t="n"/>
      <c r="AF581" s="125" t="n"/>
      <c r="AG581" s="125" t="n"/>
      <c r="AH581" s="125" t="n"/>
      <c r="AI581" s="125" t="n"/>
      <c r="AJ581" s="125" t="n"/>
      <c r="AK581" s="125" t="n"/>
      <c r="AL581" s="125" t="n"/>
      <c r="AM581" s="125" t="n"/>
      <c r="AN581" s="125" t="n"/>
      <c r="AO581" s="125" t="n"/>
      <c r="AP581" s="125" t="n"/>
      <c r="AQ581" s="125" t="n"/>
      <c r="AR581" s="125" t="n"/>
      <c r="AS581" s="125" t="n"/>
    </row>
    <row r="582" hidden="1" outlineLevel="1">
      <c r="A582" s="8" t="n"/>
      <c r="B582" s="14" t="n"/>
      <c r="C582" s="125" t="n"/>
      <c r="D582" s="125" t="n"/>
      <c r="E582" s="125" t="n"/>
      <c r="F582" s="125" t="n"/>
      <c r="G582" s="125" t="n"/>
      <c r="I582" s="137"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5" t="n"/>
      <c r="AB582" s="137"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5" t="n"/>
    </row>
    <row r="583" hidden="1" outlineLevel="2">
      <c r="A583" s="8" t="n"/>
      <c r="B583" s="14" t="n"/>
      <c r="C583" s="125" t="n"/>
      <c r="D583" s="125" t="n"/>
      <c r="E583" s="125" t="n"/>
      <c r="F583" s="125" t="n"/>
      <c r="G583" s="125" t="n"/>
      <c r="I583" s="125" t="n"/>
      <c r="J583" s="125" t="n"/>
      <c r="K583" s="125" t="n"/>
      <c r="L583" s="125" t="n"/>
      <c r="M583" s="125" t="n"/>
      <c r="N583" s="125" t="n"/>
      <c r="O583" s="125" t="n"/>
      <c r="P583" s="125" t="n"/>
      <c r="Q583" s="125" t="n"/>
      <c r="R583" s="125" t="n"/>
      <c r="S583" s="125" t="n"/>
      <c r="T583" s="125" t="n"/>
      <c r="U583" s="125" t="n"/>
      <c r="V583" s="125" t="n"/>
      <c r="W583" s="125" t="n"/>
      <c r="X583" s="125" t="n"/>
      <c r="Y583" s="125" t="n"/>
      <c r="Z583" s="125" t="n"/>
      <c r="AB583" s="125" t="n"/>
      <c r="AC583" s="125" t="n"/>
      <c r="AD583" s="125" t="n"/>
      <c r="AE583" s="125" t="n"/>
      <c r="AF583" s="125" t="n"/>
      <c r="AG583" s="125" t="n"/>
      <c r="AH583" s="125" t="n"/>
      <c r="AI583" s="125" t="n"/>
      <c r="AJ583" s="125" t="n"/>
      <c r="AK583" s="125" t="n"/>
      <c r="AL583" s="125" t="n"/>
      <c r="AM583" s="125" t="n"/>
      <c r="AN583" s="125" t="n"/>
      <c r="AO583" s="125" t="n"/>
      <c r="AP583" s="125" t="n"/>
      <c r="AQ583" s="125" t="n"/>
      <c r="AR583" s="125" t="n"/>
      <c r="AS583" s="125" t="n"/>
    </row>
    <row r="584" hidden="1" outlineLevel="2">
      <c r="A584" s="8" t="n"/>
      <c r="B584" s="14" t="n"/>
      <c r="C584" s="125" t="n"/>
      <c r="D584" s="125" t="n"/>
      <c r="E584" s="125" t="n"/>
      <c r="F584" s="125" t="n"/>
      <c r="G584" s="125" t="n"/>
      <c r="I584" s="55" t="inlineStr">
        <is>
          <t>LIBERAÇÃO MÁXIMA 1</t>
        </is>
      </c>
      <c r="J584" s="16" t="n"/>
      <c r="K584" s="16" t="n"/>
      <c r="L584" s="16" t="n"/>
      <c r="M584" s="17" t="n"/>
      <c r="N584" s="125" t="n"/>
      <c r="O584" s="55" t="inlineStr">
        <is>
          <t>LIBERAÇÃO MÁXIMA 2</t>
        </is>
      </c>
      <c r="P584" s="16" t="n"/>
      <c r="Q584" s="16" t="n"/>
      <c r="R584" s="16" t="n"/>
      <c r="S584" s="17" t="n"/>
      <c r="T584" s="125" t="n"/>
      <c r="U584" s="55" t="inlineStr">
        <is>
          <t>LIBERAÇÃO MÁXIMA 3</t>
        </is>
      </c>
      <c r="V584" s="16" t="n"/>
      <c r="W584" s="16" t="n"/>
      <c r="X584" s="16" t="n"/>
      <c r="Y584" s="17" t="n"/>
      <c r="Z584" s="125" t="n"/>
      <c r="AB584" s="55" t="inlineStr">
        <is>
          <t>LIBERAÇÃO MÁXIMA 1</t>
        </is>
      </c>
      <c r="AC584" s="16" t="n"/>
      <c r="AD584" s="16" t="n"/>
      <c r="AE584" s="16" t="n"/>
      <c r="AF584" s="17" t="n"/>
      <c r="AG584" s="125" t="n"/>
      <c r="AH584" s="55" t="inlineStr">
        <is>
          <t>LIBERAÇÃO MÁXIMA 2</t>
        </is>
      </c>
      <c r="AI584" s="16" t="n"/>
      <c r="AJ584" s="16" t="n"/>
      <c r="AK584" s="16" t="n"/>
      <c r="AL584" s="17" t="n"/>
      <c r="AM584" s="125" t="n"/>
      <c r="AN584" s="55" t="inlineStr">
        <is>
          <t>LIBERAÇÃO MÁXIMA 3</t>
        </is>
      </c>
      <c r="AO584" s="16" t="n"/>
      <c r="AP584" s="16" t="n"/>
      <c r="AQ584" s="16" t="n"/>
      <c r="AR584" s="17" t="n"/>
      <c r="AS584" s="125" t="n"/>
    </row>
    <row r="585" hidden="1" outlineLevel="2">
      <c r="A585" s="8" t="n"/>
      <c r="B585" s="14" t="n"/>
      <c r="C585" s="125" t="n"/>
      <c r="D585" s="125" t="n"/>
      <c r="E585" s="125" t="n"/>
      <c r="F585" s="125" t="n"/>
      <c r="G585" s="125" t="n"/>
      <c r="I585" s="131" t="n">
        <v>3</v>
      </c>
      <c r="J585" s="120" t="n"/>
      <c r="K585" s="16" t="n"/>
      <c r="L585" s="17" t="n"/>
      <c r="M585" s="132">
        <f>DADOS_INVOC!$IX$4</f>
        <v/>
      </c>
      <c r="N585" s="125" t="n"/>
      <c r="O585" s="131" t="n">
        <v>3</v>
      </c>
      <c r="P585" s="120" t="n"/>
      <c r="Q585" s="16" t="n"/>
      <c r="R585" s="17" t="n"/>
      <c r="S585" s="132">
        <f>DADOS_INVOC!$IY$4</f>
        <v/>
      </c>
      <c r="T585" s="125" t="n"/>
      <c r="U585" s="131" t="n">
        <v>3</v>
      </c>
      <c r="V585" s="120" t="n"/>
      <c r="W585" s="16" t="n"/>
      <c r="X585" s="17" t="n"/>
      <c r="Y585" s="132">
        <f>DADOS_INVOC!$IZ$4</f>
        <v/>
      </c>
      <c r="Z585" s="125" t="n"/>
      <c r="AB585" s="131" t="n">
        <v>3</v>
      </c>
      <c r="AC585" s="120" t="n"/>
      <c r="AD585" s="16" t="n"/>
      <c r="AE585" s="17" t="n"/>
      <c r="AF585" s="132">
        <f>DADOS_INVOC!$IX$10</f>
        <v/>
      </c>
      <c r="AG585" s="125" t="n"/>
      <c r="AH585" s="131" t="n">
        <v>3</v>
      </c>
      <c r="AI585" s="120" t="n"/>
      <c r="AJ585" s="16" t="n"/>
      <c r="AK585" s="17" t="n"/>
      <c r="AL585" s="132">
        <f>DADOS_INVOC!$IY$10</f>
        <v/>
      </c>
      <c r="AM585" s="125" t="n"/>
      <c r="AN585" s="131" t="n">
        <v>3</v>
      </c>
      <c r="AO585" s="120" t="n"/>
      <c r="AP585" s="16" t="n"/>
      <c r="AQ585" s="17" t="n"/>
      <c r="AR585" s="132">
        <f>DADOS_INVOC!$IZ$10</f>
        <v/>
      </c>
      <c r="AS585" s="125" t="n"/>
    </row>
    <row r="586" hidden="1" outlineLevel="2">
      <c r="A586" s="8" t="n"/>
      <c r="B586" s="14" t="n"/>
      <c r="C586" s="125" t="n"/>
      <c r="D586" s="125" t="n"/>
      <c r="E586" s="125" t="n"/>
      <c r="F586" s="125" t="n"/>
      <c r="G586" s="125" t="n"/>
      <c r="I586" s="121" t="n"/>
      <c r="J586" s="19" t="n"/>
      <c r="K586" s="19" t="n"/>
      <c r="L586" s="19" t="n"/>
      <c r="M586" s="20" t="n"/>
      <c r="N586" s="125" t="n"/>
      <c r="O586" s="121" t="n"/>
      <c r="P586" s="19" t="n"/>
      <c r="Q586" s="19" t="n"/>
      <c r="R586" s="19" t="n"/>
      <c r="S586" s="20" t="n"/>
      <c r="T586" s="125" t="n"/>
      <c r="U586" s="121" t="n"/>
      <c r="V586" s="19" t="n"/>
      <c r="W586" s="19" t="n"/>
      <c r="X586" s="19" t="n"/>
      <c r="Y586" s="20" t="n"/>
      <c r="Z586" s="125" t="n"/>
      <c r="AB586" s="121" t="n"/>
      <c r="AC586" s="19" t="n"/>
      <c r="AD586" s="19" t="n"/>
      <c r="AE586" s="19" t="n"/>
      <c r="AF586" s="20" t="n"/>
      <c r="AG586" s="125" t="n"/>
      <c r="AH586" s="121" t="n"/>
      <c r="AI586" s="19" t="n"/>
      <c r="AJ586" s="19" t="n"/>
      <c r="AK586" s="19" t="n"/>
      <c r="AL586" s="20" t="n"/>
      <c r="AM586" s="125" t="n"/>
      <c r="AN586" s="121" t="n"/>
      <c r="AO586" s="19" t="n"/>
      <c r="AP586" s="19" t="n"/>
      <c r="AQ586" s="19" t="n"/>
      <c r="AR586" s="20" t="n"/>
      <c r="AS586" s="125" t="n"/>
    </row>
    <row r="587" hidden="1" outlineLevel="2">
      <c r="A587" s="8" t="n"/>
      <c r="B587" s="14" t="n"/>
      <c r="C587" s="125" t="n"/>
      <c r="D587" s="125" t="n"/>
      <c r="E587" s="125" t="n"/>
      <c r="F587" s="125" t="n"/>
      <c r="G587" s="125" t="n"/>
      <c r="I587" s="21" t="n"/>
      <c r="M587" s="22" t="n"/>
      <c r="N587" s="125" t="n"/>
      <c r="O587" s="21" t="n"/>
      <c r="S587" s="22" t="n"/>
      <c r="T587" s="125" t="n"/>
      <c r="U587" s="21" t="n"/>
      <c r="Y587" s="22" t="n"/>
      <c r="Z587" s="125" t="n"/>
      <c r="AB587" s="21" t="n"/>
      <c r="AF587" s="22" t="n"/>
      <c r="AG587" s="125" t="n"/>
      <c r="AH587" s="21" t="n"/>
      <c r="AL587" s="22" t="n"/>
      <c r="AM587" s="125" t="n"/>
      <c r="AN587" s="21" t="n"/>
      <c r="AR587" s="22" t="n"/>
      <c r="AS587" s="125" t="n"/>
    </row>
    <row r="588" hidden="1" outlineLevel="2">
      <c r="A588" s="8" t="n"/>
      <c r="B588" s="14" t="n"/>
      <c r="C588" s="125" t="n"/>
      <c r="D588" s="125" t="n"/>
      <c r="E588" s="125" t="n"/>
      <c r="F588" s="125" t="n"/>
      <c r="G588" s="125" t="n"/>
      <c r="I588" s="21" t="n"/>
      <c r="M588" s="22" t="n"/>
      <c r="N588" s="125" t="n"/>
      <c r="O588" s="21" t="n"/>
      <c r="S588" s="22" t="n"/>
      <c r="T588" s="125" t="n"/>
      <c r="U588" s="21" t="n"/>
      <c r="Y588" s="22" t="n"/>
      <c r="Z588" s="125" t="n"/>
      <c r="AB588" s="21" t="n"/>
      <c r="AF588" s="22" t="n"/>
      <c r="AG588" s="125" t="n"/>
      <c r="AH588" s="21" t="n"/>
      <c r="AL588" s="22" t="n"/>
      <c r="AM588" s="125" t="n"/>
      <c r="AN588" s="21" t="n"/>
      <c r="AR588" s="22" t="n"/>
      <c r="AS588" s="125" t="n"/>
    </row>
    <row r="589" hidden="1" outlineLevel="2">
      <c r="A589" s="8" t="n"/>
      <c r="B589" s="14" t="n"/>
      <c r="C589" s="125" t="n"/>
      <c r="D589" s="125" t="n"/>
      <c r="E589" s="125" t="n"/>
      <c r="F589" s="125" t="n"/>
      <c r="G589" s="125" t="n"/>
      <c r="I589" s="23" t="n"/>
      <c r="J589" s="24" t="n"/>
      <c r="K589" s="24" t="n"/>
      <c r="L589" s="24" t="n"/>
      <c r="M589" s="25" t="n"/>
      <c r="N589" s="125" t="n"/>
      <c r="O589" s="23" t="n"/>
      <c r="P589" s="24" t="n"/>
      <c r="Q589" s="24" t="n"/>
      <c r="R589" s="24" t="n"/>
      <c r="S589" s="25" t="n"/>
      <c r="T589" s="125" t="n"/>
      <c r="U589" s="23" t="n"/>
      <c r="V589" s="24" t="n"/>
      <c r="W589" s="24" t="n"/>
      <c r="X589" s="24" t="n"/>
      <c r="Y589" s="25" t="n"/>
      <c r="Z589" s="125" t="n"/>
      <c r="AB589" s="23" t="n"/>
      <c r="AC589" s="24" t="n"/>
      <c r="AD589" s="24" t="n"/>
      <c r="AE589" s="24" t="n"/>
      <c r="AF589" s="25" t="n"/>
      <c r="AG589" s="125" t="n"/>
      <c r="AH589" s="23" t="n"/>
      <c r="AI589" s="24" t="n"/>
      <c r="AJ589" s="24" t="n"/>
      <c r="AK589" s="24" t="n"/>
      <c r="AL589" s="25" t="n"/>
      <c r="AM589" s="125" t="n"/>
      <c r="AN589" s="23" t="n"/>
      <c r="AO589" s="24" t="n"/>
      <c r="AP589" s="24" t="n"/>
      <c r="AQ589" s="24" t="n"/>
      <c r="AR589" s="25" t="n"/>
      <c r="AS589" s="125" t="n"/>
    </row>
    <row r="590" hidden="1" outlineLevel="2">
      <c r="A590" s="8" t="n"/>
      <c r="B590" s="14" t="n"/>
      <c r="C590" s="125" t="n"/>
      <c r="D590" s="125" t="n"/>
      <c r="E590" s="125" t="n"/>
      <c r="F590" s="125" t="n"/>
      <c r="G590" s="125" t="n"/>
      <c r="I590" s="68">
        <f>DADOS_INVOC!$JA$4</f>
        <v/>
      </c>
      <c r="J590" s="16" t="n"/>
      <c r="K590" s="16" t="n"/>
      <c r="L590" s="16" t="n"/>
      <c r="M590" s="17" t="n"/>
      <c r="N590" s="125" t="n"/>
      <c r="O590" s="68">
        <f>DADOS_INVOC!$JB$4</f>
        <v/>
      </c>
      <c r="P590" s="16" t="n"/>
      <c r="Q590" s="16" t="n"/>
      <c r="R590" s="16" t="n"/>
      <c r="S590" s="17" t="n"/>
      <c r="T590" s="125" t="n"/>
      <c r="U590" s="68">
        <f>DADOS_INVOC!$JC$4</f>
        <v/>
      </c>
      <c r="V590" s="16" t="n"/>
      <c r="W590" s="16" t="n"/>
      <c r="X590" s="16" t="n"/>
      <c r="Y590" s="17" t="n"/>
      <c r="Z590" s="125" t="n"/>
      <c r="AB590" s="68">
        <f>DADOS_INVOC!$JA$10</f>
        <v/>
      </c>
      <c r="AC590" s="16" t="n"/>
      <c r="AD590" s="16" t="n"/>
      <c r="AE590" s="16" t="n"/>
      <c r="AF590" s="17" t="n"/>
      <c r="AG590" s="125" t="n"/>
      <c r="AH590" s="68">
        <f>DADOS_INVOC!$JB$10</f>
        <v/>
      </c>
      <c r="AI590" s="16" t="n"/>
      <c r="AJ590" s="16" t="n"/>
      <c r="AK590" s="16" t="n"/>
      <c r="AL590" s="17" t="n"/>
      <c r="AM590" s="125" t="n"/>
      <c r="AN590" s="68">
        <f>DADOS_INVOC!$JC$10</f>
        <v/>
      </c>
      <c r="AO590" s="16" t="n"/>
      <c r="AP590" s="16" t="n"/>
      <c r="AQ590" s="16" t="n"/>
      <c r="AR590" s="17" t="n"/>
      <c r="AS590" s="125" t="n"/>
    </row>
    <row r="591" hidden="1" outlineLevel="2">
      <c r="A591" s="8" t="n"/>
      <c r="B591" s="14" t="n"/>
      <c r="C591" s="125" t="n"/>
      <c r="D591" s="125" t="n"/>
      <c r="E591" s="125" t="n"/>
      <c r="F591" s="125" t="n"/>
      <c r="G591" s="125" t="n"/>
      <c r="I591" s="89" t="inlineStr">
        <is>
          <t>Sua Ação Completa + a básica dela</t>
        </is>
      </c>
      <c r="J591" s="16" t="n"/>
      <c r="K591" s="16" t="n"/>
      <c r="L591" s="16" t="n"/>
      <c r="M591" s="17" t="n"/>
      <c r="N591" s="125" t="n"/>
      <c r="O591" s="89" t="inlineStr">
        <is>
          <t>Sua Ação Completa + a básica dela</t>
        </is>
      </c>
      <c r="P591" s="16" t="n"/>
      <c r="Q591" s="16" t="n"/>
      <c r="R591" s="16" t="n"/>
      <c r="S591" s="17" t="n"/>
      <c r="T591" s="125" t="n"/>
      <c r="U591" s="89" t="inlineStr">
        <is>
          <t>Sua Ação Completa + a básica dela</t>
        </is>
      </c>
      <c r="V591" s="16" t="n"/>
      <c r="W591" s="16" t="n"/>
      <c r="X591" s="16" t="n"/>
      <c r="Y591" s="17" t="n"/>
      <c r="Z591" s="125" t="n"/>
      <c r="AB591" s="89" t="inlineStr">
        <is>
          <t>Sua Ação Completa + a básica dela</t>
        </is>
      </c>
      <c r="AC591" s="16" t="n"/>
      <c r="AD591" s="16" t="n"/>
      <c r="AE591" s="16" t="n"/>
      <c r="AF591" s="17" t="n"/>
      <c r="AG591" s="125" t="n"/>
      <c r="AH591" s="89" t="inlineStr">
        <is>
          <t>Sua Ação Completa + a básica dela</t>
        </is>
      </c>
      <c r="AI591" s="16" t="n"/>
      <c r="AJ591" s="16" t="n"/>
      <c r="AK591" s="16" t="n"/>
      <c r="AL591" s="17" t="n"/>
      <c r="AM591" s="125" t="n"/>
      <c r="AN591" s="89" t="inlineStr">
        <is>
          <t>Sua Ação Completa + a básica dela</t>
        </is>
      </c>
      <c r="AO591" s="16" t="n"/>
      <c r="AP591" s="16" t="n"/>
      <c r="AQ591" s="16" t="n"/>
      <c r="AR591" s="17" t="n"/>
      <c r="AS591" s="125" t="n"/>
    </row>
    <row r="592" hidden="1" outlineLevel="2">
      <c r="A592" s="8" t="n"/>
      <c r="B592" s="14" t="n"/>
      <c r="C592" s="125" t="n"/>
      <c r="D592" s="125" t="n"/>
      <c r="E592" s="125" t="n"/>
      <c r="F592" s="125" t="n"/>
      <c r="G592" s="125" t="n"/>
      <c r="I592" s="125" t="n"/>
      <c r="J592" s="125" t="n"/>
      <c r="K592" s="125" t="n"/>
      <c r="L592" s="125" t="n"/>
      <c r="M592" s="125" t="n"/>
      <c r="N592" s="125" t="n"/>
      <c r="O592" s="125" t="n"/>
      <c r="P592" s="125" t="n"/>
      <c r="Q592" s="125" t="n"/>
      <c r="R592" s="125" t="n"/>
      <c r="S592" s="125" t="n"/>
      <c r="T592" s="125" t="n"/>
      <c r="U592" s="125" t="n"/>
      <c r="V592" s="125" t="n"/>
      <c r="W592" s="125" t="n"/>
      <c r="X592" s="125" t="n"/>
      <c r="Y592" s="125" t="n"/>
      <c r="Z592" s="125" t="n"/>
      <c r="AB592" s="125" t="n"/>
      <c r="AC592" s="125" t="n"/>
      <c r="AD592" s="125" t="n"/>
      <c r="AE592" s="125" t="n"/>
      <c r="AF592" s="125" t="n"/>
      <c r="AG592" s="125" t="n"/>
      <c r="AH592" s="125" t="n"/>
      <c r="AI592" s="125" t="n"/>
      <c r="AJ592" s="125" t="n"/>
      <c r="AK592" s="125" t="n"/>
      <c r="AL592" s="125" t="n"/>
      <c r="AM592" s="125" t="n"/>
      <c r="AN592" s="125" t="n"/>
      <c r="AO592" s="125" t="n"/>
      <c r="AP592" s="125" t="n"/>
      <c r="AQ592" s="125" t="n"/>
      <c r="AR592" s="125" t="n"/>
      <c r="AS592" s="125" t="n"/>
    </row>
    <row r="593" hidden="1" outlineLevel="2">
      <c r="A593" s="8" t="n"/>
      <c r="B593" s="14" t="n"/>
      <c r="C593" s="125" t="n"/>
      <c r="D593" s="125" t="n"/>
      <c r="E593" s="125" t="n"/>
      <c r="F593" s="125" t="n"/>
      <c r="G593" s="125" t="n"/>
      <c r="I593" s="55" t="inlineStr">
        <is>
          <t>TÉCNICA MÁXIMA</t>
        </is>
      </c>
      <c r="J593" s="16" t="n"/>
      <c r="K593" s="16" t="n"/>
      <c r="L593" s="16" t="n"/>
      <c r="M593" s="17" t="n"/>
      <c r="N593" s="125" t="n"/>
      <c r="O593" s="55" t="inlineStr">
        <is>
          <t>EXPANSÃO DE DOMÍNIO</t>
        </is>
      </c>
      <c r="P593" s="16" t="n"/>
      <c r="Q593" s="16" t="n"/>
      <c r="R593" s="16" t="n"/>
      <c r="S593" s="17" t="n"/>
      <c r="T593" s="125" t="n"/>
      <c r="U593" s="125" t="n"/>
      <c r="V593" s="125" t="n"/>
      <c r="W593" s="125" t="n"/>
      <c r="X593" s="125" t="n"/>
      <c r="Y593" s="125" t="n"/>
      <c r="Z593" s="125" t="n"/>
      <c r="AB593" s="55" t="inlineStr">
        <is>
          <t>TÉCNICA MÁXIMA</t>
        </is>
      </c>
      <c r="AC593" s="16" t="n"/>
      <c r="AD593" s="16" t="n"/>
      <c r="AE593" s="16" t="n"/>
      <c r="AF593" s="17" t="n"/>
      <c r="AG593" s="125" t="n"/>
      <c r="AH593" s="55" t="inlineStr">
        <is>
          <t>EXPANSÃO DE DOMÍNIO</t>
        </is>
      </c>
      <c r="AI593" s="16" t="n"/>
      <c r="AJ593" s="16" t="n"/>
      <c r="AK593" s="16" t="n"/>
      <c r="AL593" s="17" t="n"/>
      <c r="AM593" s="125" t="n"/>
      <c r="AN593" s="125" t="n"/>
      <c r="AO593" s="125" t="n"/>
      <c r="AP593" s="125" t="n"/>
      <c r="AQ593" s="125" t="n"/>
      <c r="AR593" s="125" t="n"/>
      <c r="AS593" s="125" t="n"/>
    </row>
    <row r="594" hidden="1" outlineLevel="2">
      <c r="A594" s="8" t="n"/>
      <c r="B594" s="14" t="n"/>
      <c r="C594" s="125" t="n"/>
      <c r="D594" s="125" t="n"/>
      <c r="E594" s="125" t="n"/>
      <c r="F594" s="125" t="n"/>
      <c r="G594" s="125" t="n"/>
      <c r="I594" s="120" t="n"/>
      <c r="J594" s="16" t="n"/>
      <c r="K594" s="16" t="n"/>
      <c r="L594" s="17" t="n"/>
      <c r="M594" s="132">
        <f>DADOS_INVOC!$JD$4</f>
        <v/>
      </c>
      <c r="N594" s="125" t="n"/>
      <c r="O594" s="120" t="n"/>
      <c r="P594" s="16" t="n"/>
      <c r="Q594" s="16" t="n"/>
      <c r="R594" s="17" t="n"/>
      <c r="S594" s="132">
        <f>DADOS_INVOC!$JF$4</f>
        <v/>
      </c>
      <c r="T594" s="125" t="n"/>
      <c r="U594" s="125" t="n"/>
      <c r="V594" s="125" t="n"/>
      <c r="W594" s="125" t="n"/>
      <c r="X594" s="125" t="n"/>
      <c r="Y594" s="125" t="n"/>
      <c r="Z594" s="125" t="n"/>
      <c r="AB594" s="120" t="n"/>
      <c r="AC594" s="16" t="n"/>
      <c r="AD594" s="16" t="n"/>
      <c r="AE594" s="17" t="n"/>
      <c r="AF594" s="132">
        <f>DADOS_INVOC!$JD$10</f>
        <v/>
      </c>
      <c r="AG594" s="125" t="n"/>
      <c r="AH594" s="120" t="n"/>
      <c r="AI594" s="16" t="n"/>
      <c r="AJ594" s="16" t="n"/>
      <c r="AK594" s="17" t="n"/>
      <c r="AL594" s="132">
        <f>DADOS_INVOC!$JF$10</f>
        <v/>
      </c>
      <c r="AM594" s="125" t="n"/>
      <c r="AN594" s="125" t="n"/>
      <c r="AO594" s="125" t="n"/>
      <c r="AP594" s="125" t="n"/>
      <c r="AQ594" s="125" t="n"/>
      <c r="AR594" s="125" t="n"/>
      <c r="AS594" s="125" t="n"/>
    </row>
    <row r="595" hidden="1" outlineLevel="2">
      <c r="A595" s="8" t="n"/>
      <c r="B595" s="14" t="n"/>
      <c r="C595" s="125" t="n"/>
      <c r="D595" s="125" t="n"/>
      <c r="E595" s="125" t="n"/>
      <c r="F595" s="125" t="n"/>
      <c r="G595" s="125" t="n"/>
      <c r="I595" s="121" t="n"/>
      <c r="J595" s="19" t="n"/>
      <c r="K595" s="19" t="n"/>
      <c r="L595" s="19" t="n"/>
      <c r="M595" s="20" t="n"/>
      <c r="N595" s="125" t="n"/>
      <c r="O595" s="121" t="n"/>
      <c r="P595" s="19" t="n"/>
      <c r="Q595" s="19" t="n"/>
      <c r="R595" s="19" t="n"/>
      <c r="S595" s="20" t="n"/>
      <c r="T595" s="125" t="n"/>
      <c r="U595" s="125" t="n"/>
      <c r="V595" s="125" t="n"/>
      <c r="W595" s="125" t="n"/>
      <c r="X595" s="125" t="n"/>
      <c r="Y595" s="125" t="n"/>
      <c r="Z595" s="125" t="n"/>
      <c r="AB595" s="121" t="n"/>
      <c r="AC595" s="19" t="n"/>
      <c r="AD595" s="19" t="n"/>
      <c r="AE595" s="19" t="n"/>
      <c r="AF595" s="20" t="n"/>
      <c r="AG595" s="125" t="n"/>
      <c r="AH595" s="121" t="n"/>
      <c r="AI595" s="19" t="n"/>
      <c r="AJ595" s="19" t="n"/>
      <c r="AK595" s="19" t="n"/>
      <c r="AL595" s="20" t="n"/>
      <c r="AM595" s="125" t="n"/>
      <c r="AN595" s="125" t="n"/>
      <c r="AO595" s="125" t="n"/>
      <c r="AP595" s="125" t="n"/>
      <c r="AQ595" s="125" t="n"/>
      <c r="AR595" s="125" t="n"/>
      <c r="AS595" s="125" t="n"/>
    </row>
    <row r="596" hidden="1" outlineLevel="2">
      <c r="A596" s="8" t="n"/>
      <c r="B596" s="14" t="n"/>
      <c r="C596" s="125" t="n"/>
      <c r="D596" s="125" t="n"/>
      <c r="E596" s="125" t="n"/>
      <c r="F596" s="125" t="n"/>
      <c r="G596" s="125" t="n"/>
      <c r="I596" s="21" t="n"/>
      <c r="M596" s="22" t="n"/>
      <c r="N596" s="125" t="n"/>
      <c r="O596" s="21" t="n"/>
      <c r="S596" s="22" t="n"/>
      <c r="T596" s="125" t="n"/>
      <c r="U596" s="125" t="n"/>
      <c r="V596" s="125" t="n"/>
      <c r="W596" s="125" t="n"/>
      <c r="X596" s="125" t="n"/>
      <c r="Y596" s="125" t="n"/>
      <c r="Z596" s="125" t="n"/>
      <c r="AB596" s="21" t="n"/>
      <c r="AF596" s="22" t="n"/>
      <c r="AG596" s="125" t="n"/>
      <c r="AH596" s="21" t="n"/>
      <c r="AL596" s="22" t="n"/>
      <c r="AM596" s="125" t="n"/>
      <c r="AN596" s="125" t="n"/>
      <c r="AO596" s="125" t="n"/>
      <c r="AP596" s="125" t="n"/>
      <c r="AQ596" s="125" t="n"/>
      <c r="AR596" s="125" t="n"/>
      <c r="AS596" s="125" t="n"/>
    </row>
    <row r="597" hidden="1" outlineLevel="2">
      <c r="A597" s="8" t="n"/>
      <c r="B597" s="14" t="n"/>
      <c r="C597" s="125" t="n"/>
      <c r="D597" s="125" t="n"/>
      <c r="E597" s="125" t="n"/>
      <c r="F597" s="125" t="n"/>
      <c r="G597" s="125" t="n"/>
      <c r="I597" s="21" t="n"/>
      <c r="M597" s="22" t="n"/>
      <c r="N597" s="125" t="n"/>
      <c r="O597" s="21" t="n"/>
      <c r="S597" s="22" t="n"/>
      <c r="T597" s="125" t="n"/>
      <c r="U597" s="125" t="n"/>
      <c r="V597" s="125" t="n"/>
      <c r="W597" s="125" t="n"/>
      <c r="X597" s="125" t="n"/>
      <c r="Y597" s="125" t="n"/>
      <c r="Z597" s="125" t="n"/>
      <c r="AB597" s="21" t="n"/>
      <c r="AF597" s="22" t="n"/>
      <c r="AG597" s="125" t="n"/>
      <c r="AH597" s="21" t="n"/>
      <c r="AL597" s="22" t="n"/>
      <c r="AM597" s="125" t="n"/>
      <c r="AN597" s="125" t="n"/>
      <c r="AO597" s="125" t="n"/>
      <c r="AP597" s="125" t="n"/>
      <c r="AQ597" s="125" t="n"/>
      <c r="AR597" s="125" t="n"/>
      <c r="AS597" s="125" t="n"/>
    </row>
    <row r="598" hidden="1" outlineLevel="2">
      <c r="A598" s="8" t="n"/>
      <c r="B598" s="14" t="n"/>
      <c r="C598" s="125" t="n"/>
      <c r="D598" s="125" t="n"/>
      <c r="E598" s="125" t="n"/>
      <c r="F598" s="125" t="n"/>
      <c r="G598" s="125" t="n"/>
      <c r="I598" s="23" t="n"/>
      <c r="J598" s="24" t="n"/>
      <c r="K598" s="24" t="n"/>
      <c r="L598" s="24" t="n"/>
      <c r="M598" s="25" t="n"/>
      <c r="N598" s="125" t="n"/>
      <c r="O598" s="23" t="n"/>
      <c r="P598" s="24" t="n"/>
      <c r="Q598" s="24" t="n"/>
      <c r="R598" s="24" t="n"/>
      <c r="S598" s="25" t="n"/>
      <c r="T598" s="125" t="n"/>
      <c r="U598" s="125" t="n"/>
      <c r="V598" s="125" t="n"/>
      <c r="W598" s="125" t="n"/>
      <c r="X598" s="125" t="n"/>
      <c r="Y598" s="125" t="n"/>
      <c r="Z598" s="125" t="n"/>
      <c r="AB598" s="23" t="n"/>
      <c r="AC598" s="24" t="n"/>
      <c r="AD598" s="24" t="n"/>
      <c r="AE598" s="24" t="n"/>
      <c r="AF598" s="25" t="n"/>
      <c r="AG598" s="125" t="n"/>
      <c r="AH598" s="23" t="n"/>
      <c r="AI598" s="24" t="n"/>
      <c r="AJ598" s="24" t="n"/>
      <c r="AK598" s="24" t="n"/>
      <c r="AL598" s="25" t="n"/>
      <c r="AM598" s="125" t="n"/>
      <c r="AN598" s="125" t="n"/>
      <c r="AO598" s="125" t="n"/>
      <c r="AP598" s="125" t="n"/>
      <c r="AQ598" s="125" t="n"/>
      <c r="AR598" s="125" t="n"/>
      <c r="AS598" s="125" t="n"/>
    </row>
    <row r="599" hidden="1" outlineLevel="2">
      <c r="A599" s="8" t="n"/>
      <c r="B599" s="14" t="n"/>
      <c r="C599" s="125" t="n"/>
      <c r="D599" s="125" t="n"/>
      <c r="E599" s="125" t="n"/>
      <c r="F599" s="125" t="n"/>
      <c r="G599" s="125" t="n"/>
      <c r="I599" s="68">
        <f>DADOS_INVOC!$JE$4</f>
        <v/>
      </c>
      <c r="J599" s="16" t="n"/>
      <c r="K599" s="16" t="n"/>
      <c r="L599" s="16" t="n"/>
      <c r="M599" s="17" t="n"/>
      <c r="N599" s="125" t="n"/>
      <c r="O599" s="89" t="n"/>
      <c r="P599" s="17" t="n"/>
      <c r="Q599" s="68">
        <f>DADOS_INVOC!$JG$4</f>
        <v/>
      </c>
      <c r="R599" s="16" t="n"/>
      <c r="S599" s="17" t="n"/>
      <c r="T599" s="125" t="n"/>
      <c r="U599" s="125" t="n"/>
      <c r="V599" s="125" t="n"/>
      <c r="W599" s="125" t="n"/>
      <c r="X599" s="125" t="n"/>
      <c r="Y599" s="125" t="n"/>
      <c r="Z599" s="125" t="n"/>
      <c r="AB599" s="68">
        <f>DADOS_INVOC!$JE$10</f>
        <v/>
      </c>
      <c r="AC599" s="16" t="n"/>
      <c r="AD599" s="16" t="n"/>
      <c r="AE599" s="16" t="n"/>
      <c r="AF599" s="17" t="n"/>
      <c r="AG599" s="125" t="n"/>
      <c r="AH599" s="89" t="n"/>
      <c r="AI599" s="17" t="n"/>
      <c r="AJ599" s="68">
        <f>DADOS_INVOC!$JG$10</f>
        <v/>
      </c>
      <c r="AK599" s="16" t="n"/>
      <c r="AL599" s="17" t="n"/>
      <c r="AM599" s="125" t="n"/>
      <c r="AN599" s="125" t="n"/>
      <c r="AO599" s="125" t="n"/>
      <c r="AP599" s="125" t="n"/>
      <c r="AQ599" s="125" t="n"/>
      <c r="AR599" s="125" t="n"/>
      <c r="AS599" s="125" t="n"/>
    </row>
    <row r="600" hidden="1" outlineLevel="2">
      <c r="A600" s="8" t="n"/>
      <c r="B600" s="14" t="n"/>
      <c r="C600" s="125" t="n"/>
      <c r="D600" s="125" t="n"/>
      <c r="E600" s="125" t="n"/>
      <c r="F600" s="125" t="n"/>
      <c r="G600" s="125" t="n"/>
      <c r="I600" s="89" t="inlineStr">
        <is>
          <t>Sua Ação Completa + a básica dela</t>
        </is>
      </c>
      <c r="J600" s="16" t="n"/>
      <c r="K600" s="16" t="n"/>
      <c r="L600" s="16" t="n"/>
      <c r="M600" s="17" t="n"/>
      <c r="N600" s="125" t="n"/>
      <c r="O600" s="133">
        <f>DADOS_INVOC!$JH$4</f>
        <v/>
      </c>
      <c r="P600" s="16" t="n"/>
      <c r="Q600" s="16" t="n"/>
      <c r="R600" s="16" t="n"/>
      <c r="S600" s="17" t="n"/>
      <c r="T600" s="125" t="n"/>
      <c r="U600" s="125" t="n"/>
      <c r="V600" s="125" t="n"/>
      <c r="W600" s="125" t="n"/>
      <c r="X600" s="125" t="n"/>
      <c r="Y600" s="125" t="n"/>
      <c r="Z600" s="125" t="n"/>
      <c r="AB600" s="89" t="inlineStr">
        <is>
          <t>Sua Ação Completa + a básica dela</t>
        </is>
      </c>
      <c r="AC600" s="16" t="n"/>
      <c r="AD600" s="16" t="n"/>
      <c r="AE600" s="16" t="n"/>
      <c r="AF600" s="17" t="n"/>
      <c r="AG600" s="125" t="n"/>
      <c r="AH600" s="133">
        <f>DADOS_INVOC!$JH$10</f>
        <v/>
      </c>
      <c r="AI600" s="16" t="n"/>
      <c r="AJ600" s="16" t="n"/>
      <c r="AK600" s="16" t="n"/>
      <c r="AL600" s="17" t="n"/>
      <c r="AM600" s="125" t="n"/>
      <c r="AN600" s="125" t="n"/>
      <c r="AO600" s="125" t="n"/>
      <c r="AP600" s="125" t="n"/>
      <c r="AQ600" s="125" t="n"/>
      <c r="AR600" s="125" t="n"/>
      <c r="AS600" s="125" t="n"/>
    </row>
    <row r="601">
      <c r="A601" s="8" t="n"/>
      <c r="B601" s="14" t="n"/>
      <c r="C601" s="125" t="n"/>
      <c r="D601" s="125" t="n"/>
      <c r="E601" s="125" t="n"/>
      <c r="F601" s="125" t="n"/>
      <c r="G601" s="125" t="n"/>
      <c r="H601" s="125" t="n"/>
      <c r="I601" s="125" t="n"/>
      <c r="J601" s="125" t="n"/>
      <c r="K601" s="125" t="n"/>
      <c r="L601" s="125" t="n"/>
      <c r="M601" s="125" t="n"/>
      <c r="N601" s="125" t="n"/>
      <c r="O601" s="125" t="n"/>
      <c r="P601" s="125" t="n"/>
      <c r="Q601" s="125" t="n"/>
      <c r="R601" s="125" t="n"/>
      <c r="S601" s="125" t="n"/>
      <c r="T601" s="125" t="n"/>
      <c r="U601" s="125" t="n"/>
      <c r="V601" s="125" t="n"/>
      <c r="W601" s="125" t="n"/>
      <c r="X601" s="125" t="n"/>
      <c r="Y601" s="125" t="n"/>
      <c r="Z601" s="125" t="n"/>
      <c r="AA601" s="125" t="n"/>
      <c r="AB601" s="125" t="n"/>
      <c r="AC601" s="125" t="n"/>
      <c r="AD601" s="125" t="n"/>
      <c r="AE601" s="125" t="n"/>
      <c r="AF601" s="125" t="n"/>
      <c r="AG601" s="125" t="n"/>
      <c r="AH601" s="125" t="n"/>
      <c r="AI601" s="125" t="n"/>
      <c r="AJ601" s="125" t="n"/>
      <c r="AK601" s="125" t="n"/>
      <c r="AL601" s="125" t="n"/>
      <c r="AM601" s="125" t="n"/>
      <c r="AN601" s="125" t="n"/>
      <c r="AO601" s="125" t="n"/>
      <c r="AP601" s="125" t="n"/>
      <c r="AQ601" s="125" t="n"/>
      <c r="AR601" s="125" t="n"/>
      <c r="AS601" s="125" t="n"/>
    </row>
    <row r="602">
      <c r="A602" s="8" t="n"/>
      <c r="B602" s="14" t="n"/>
      <c r="C602" s="125" t="n"/>
      <c r="D602" s="125" t="n"/>
      <c r="E602" s="125" t="n"/>
      <c r="F602" s="125" t="n"/>
      <c r="G602" s="125" t="n"/>
      <c r="H602" s="125" t="n"/>
      <c r="I602" s="125" t="n"/>
      <c r="J602" s="125" t="n"/>
      <c r="K602" s="125" t="n"/>
      <c r="L602" s="125" t="n"/>
      <c r="M602" s="125" t="n"/>
      <c r="N602" s="125" t="n"/>
      <c r="O602" s="125" t="n"/>
      <c r="P602" s="125" t="n"/>
      <c r="Q602" s="125" t="n"/>
      <c r="R602" s="125" t="n"/>
      <c r="S602" s="125" t="n"/>
      <c r="T602" s="125" t="n"/>
      <c r="U602" s="125" t="n"/>
      <c r="V602" s="125" t="n"/>
      <c r="W602" s="125" t="n"/>
      <c r="X602" s="125" t="n"/>
      <c r="Y602" s="125" t="n"/>
      <c r="Z602" s="125" t="n"/>
      <c r="AA602" s="125" t="n"/>
      <c r="AB602" s="125" t="n"/>
      <c r="AC602" s="125" t="n"/>
      <c r="AD602" s="125" t="n"/>
      <c r="AE602" s="125" t="n"/>
      <c r="AF602" s="125" t="n"/>
      <c r="AG602" s="125" t="n"/>
      <c r="AH602" s="125" t="n"/>
      <c r="AI602" s="125" t="n"/>
      <c r="AJ602" s="125" t="n"/>
      <c r="AK602" s="125" t="n"/>
      <c r="AL602" s="125" t="n"/>
      <c r="AM602" s="125" t="n"/>
      <c r="AN602" s="125" t="n"/>
      <c r="AO602" s="125" t="n"/>
      <c r="AP602" s="125" t="n"/>
      <c r="AQ602" s="125" t="n"/>
      <c r="AR602" s="125" t="n"/>
      <c r="AS602" s="125" t="n"/>
    </row>
    <row r="603">
      <c r="A603" s="8" t="n"/>
      <c r="B603" s="14" t="n"/>
      <c r="C603" s="125" t="n"/>
      <c r="D603" s="125" t="n"/>
      <c r="E603" s="125" t="n"/>
      <c r="F603" s="125" t="n"/>
      <c r="G603" s="125" t="n"/>
      <c r="H603" s="142" t="n">
        <v>4</v>
      </c>
      <c r="I603" s="143" t="n">
        <v>4</v>
      </c>
      <c r="J603" s="128">
        <f>DADOS_INVOC!$HE$5</f>
        <v/>
      </c>
      <c r="K603" s="19" t="n"/>
      <c r="L603" s="19" t="n"/>
      <c r="M603" s="19" t="n"/>
      <c r="N603" s="19" t="n"/>
      <c r="O603" s="19" t="n"/>
      <c r="P603" s="19" t="n"/>
      <c r="Q603" s="19" t="n"/>
      <c r="R603" s="19" t="n"/>
      <c r="S603" s="19" t="n"/>
      <c r="T603" s="19" t="n"/>
      <c r="U603" s="19" t="n"/>
      <c r="V603" s="19" t="n"/>
      <c r="W603" s="19" t="n"/>
      <c r="X603" s="19" t="n"/>
      <c r="Y603" s="20" t="n"/>
      <c r="Z603" s="125" t="n"/>
      <c r="AA603" s="142" t="n">
        <v>10</v>
      </c>
      <c r="AB603" s="143" t="n">
        <v>10</v>
      </c>
      <c r="AC603" s="128">
        <f>DADOS_INVOC!$HE$11</f>
        <v/>
      </c>
      <c r="AD603" s="19" t="n"/>
      <c r="AE603" s="19" t="n"/>
      <c r="AF603" s="19" t="n"/>
      <c r="AG603" s="19" t="n"/>
      <c r="AH603" s="19" t="n"/>
      <c r="AI603" s="19" t="n"/>
      <c r="AJ603" s="19" t="n"/>
      <c r="AK603" s="19" t="n"/>
      <c r="AL603" s="19" t="n"/>
      <c r="AM603" s="19" t="n"/>
      <c r="AN603" s="19" t="n"/>
      <c r="AO603" s="19" t="n"/>
      <c r="AP603" s="19" t="n"/>
      <c r="AQ603" s="19" t="n"/>
      <c r="AR603" s="20" t="n"/>
      <c r="AS603" s="125" t="n"/>
    </row>
    <row r="604">
      <c r="A604" s="8" t="n"/>
      <c r="B604" s="14" t="n"/>
      <c r="C604" s="125" t="n"/>
      <c r="D604" s="125" t="n"/>
      <c r="E604" s="125" t="n"/>
      <c r="F604" s="125" t="n"/>
      <c r="G604" s="125" t="n"/>
      <c r="I604" s="129" t="n"/>
      <c r="J604" s="23" t="n"/>
      <c r="K604" s="24" t="n"/>
      <c r="L604" s="24" t="n"/>
      <c r="M604" s="24" t="n"/>
      <c r="N604" s="24" t="n"/>
      <c r="O604" s="24" t="n"/>
      <c r="P604" s="24" t="n"/>
      <c r="Q604" s="24" t="n"/>
      <c r="R604" s="24" t="n"/>
      <c r="S604" s="24" t="n"/>
      <c r="T604" s="24" t="n"/>
      <c r="U604" s="24" t="n"/>
      <c r="V604" s="24" t="n"/>
      <c r="W604" s="24" t="n"/>
      <c r="X604" s="24" t="n"/>
      <c r="Y604" s="25" t="n"/>
      <c r="Z604" s="125" t="n"/>
      <c r="AB604" s="129" t="n"/>
      <c r="AC604" s="23" t="n"/>
      <c r="AD604" s="24" t="n"/>
      <c r="AE604" s="24" t="n"/>
      <c r="AF604" s="24" t="n"/>
      <c r="AG604" s="24" t="n"/>
      <c r="AH604" s="24" t="n"/>
      <c r="AI604" s="24" t="n"/>
      <c r="AJ604" s="24" t="n"/>
      <c r="AK604" s="24" t="n"/>
      <c r="AL604" s="24" t="n"/>
      <c r="AM604" s="24" t="n"/>
      <c r="AN604" s="24" t="n"/>
      <c r="AO604" s="24" t="n"/>
      <c r="AP604" s="24" t="n"/>
      <c r="AQ604" s="24" t="n"/>
      <c r="AR604" s="25" t="n"/>
      <c r="AS604" s="125" t="n"/>
    </row>
    <row r="605" hidden="1" outlineLevel="1">
      <c r="A605" s="8" t="n"/>
      <c r="B605" s="14" t="n"/>
      <c r="C605" s="125" t="n"/>
      <c r="D605" s="125" t="n"/>
      <c r="E605" s="125" t="n"/>
      <c r="F605" s="125" t="n"/>
      <c r="G605" s="125" t="n"/>
      <c r="H605" s="144">
        <f>DADOS_INVOC!$HF$5</f>
        <v/>
      </c>
      <c r="I605" s="125" t="n"/>
      <c r="J605" s="125" t="n"/>
      <c r="K605" s="125" t="n"/>
      <c r="L605" s="125" t="n"/>
      <c r="M605" s="125" t="n"/>
      <c r="N605" s="125" t="n"/>
      <c r="O605" s="125" t="n"/>
      <c r="P605" s="125" t="n"/>
      <c r="Q605" s="125" t="n"/>
      <c r="R605" s="125" t="n"/>
      <c r="S605" s="125" t="n"/>
      <c r="T605" s="125" t="n"/>
      <c r="U605" s="125" t="n"/>
      <c r="V605" s="125" t="n"/>
      <c r="W605" s="125" t="n"/>
      <c r="X605" s="125" t="n"/>
      <c r="Y605" s="125" t="n"/>
      <c r="Z605" s="125" t="n"/>
      <c r="AA605" s="144">
        <f>DADOS_INVOC!$HF$11</f>
        <v/>
      </c>
      <c r="AB605" s="125" t="n"/>
      <c r="AC605" s="125" t="n"/>
      <c r="AD605" s="125" t="n"/>
      <c r="AE605" s="125" t="n"/>
      <c r="AF605" s="125" t="n"/>
      <c r="AG605" s="125" t="n"/>
      <c r="AH605" s="125" t="n"/>
      <c r="AI605" s="125" t="n"/>
      <c r="AJ605" s="125" t="n"/>
      <c r="AK605" s="125" t="n"/>
      <c r="AL605" s="125" t="n"/>
      <c r="AM605" s="125" t="n"/>
      <c r="AN605" s="125" t="n"/>
      <c r="AO605" s="125" t="n"/>
      <c r="AP605" s="125" t="n"/>
      <c r="AQ605" s="125" t="n"/>
      <c r="AR605" s="125" t="n"/>
      <c r="AS605" s="125" t="n"/>
    </row>
    <row r="606" hidden="1" outlineLevel="1">
      <c r="A606" s="8" t="n"/>
      <c r="B606" s="14" t="n"/>
      <c r="C606" s="125" t="n"/>
      <c r="D606" s="125" t="n"/>
      <c r="E606" s="125" t="n"/>
      <c r="F606" s="125" t="n"/>
      <c r="G606" s="125" t="n"/>
      <c r="I606" s="55" t="inlineStr">
        <is>
          <t>NOME</t>
        </is>
      </c>
      <c r="J606" s="16" t="n"/>
      <c r="K606" s="16" t="n"/>
      <c r="L606" s="16" t="n"/>
      <c r="M606" s="17" t="n"/>
      <c r="N606" s="125" t="n"/>
      <c r="O606" s="55" t="inlineStr">
        <is>
          <t>NÍVEL</t>
        </is>
      </c>
      <c r="P606" s="55" t="inlineStr">
        <is>
          <t>CLASSE</t>
        </is>
      </c>
      <c r="Q606" s="55" t="inlineStr">
        <is>
          <t>MAESTRIA</t>
        </is>
      </c>
      <c r="R606" s="55" t="inlineStr">
        <is>
          <t>ENTRADA</t>
        </is>
      </c>
      <c r="S606" s="55" t="inlineStr">
        <is>
          <t>RETORNO</t>
        </is>
      </c>
      <c r="T606" s="125" t="n"/>
      <c r="U606" s="55" t="inlineStr">
        <is>
          <t>VIDA ATUAL</t>
        </is>
      </c>
      <c r="V606" s="55" t="inlineStr">
        <is>
          <t>VIDA MÁXIMA</t>
        </is>
      </c>
      <c r="W606" s="55" t="inlineStr">
        <is>
          <t>TEMPORÁRIA</t>
        </is>
      </c>
      <c r="X606" s="55" t="inlineStr">
        <is>
          <t>± PERDA / GANHO</t>
        </is>
      </c>
      <c r="Y606" s="55">
        <f>DADOS_INVOC!$HZ$5</f>
        <v/>
      </c>
      <c r="Z606" s="125" t="n"/>
      <c r="AB606" s="55" t="inlineStr">
        <is>
          <t>NOME</t>
        </is>
      </c>
      <c r="AC606" s="16" t="n"/>
      <c r="AD606" s="16" t="n"/>
      <c r="AE606" s="16" t="n"/>
      <c r="AF606" s="17" t="n"/>
      <c r="AG606" s="125" t="n"/>
      <c r="AH606" s="55" t="inlineStr">
        <is>
          <t>NÍVEL</t>
        </is>
      </c>
      <c r="AI606" s="55" t="inlineStr">
        <is>
          <t>CLASSE</t>
        </is>
      </c>
      <c r="AJ606" s="55" t="inlineStr">
        <is>
          <t>MAESTRIA</t>
        </is>
      </c>
      <c r="AK606" s="55" t="inlineStr">
        <is>
          <t>ENTRADA</t>
        </is>
      </c>
      <c r="AL606" s="55" t="inlineStr">
        <is>
          <t>RETORNO</t>
        </is>
      </c>
      <c r="AM606" s="125" t="n"/>
      <c r="AN606" s="55" t="inlineStr">
        <is>
          <t>VIDA ATUAL</t>
        </is>
      </c>
      <c r="AO606" s="55" t="inlineStr">
        <is>
          <t>VIDA MÁXIMA</t>
        </is>
      </c>
      <c r="AP606" s="55" t="inlineStr">
        <is>
          <t>TEMPORÁRIA</t>
        </is>
      </c>
      <c r="AQ606" s="55" t="inlineStr">
        <is>
          <t>± PERDA / GANHO</t>
        </is>
      </c>
      <c r="AR606" s="55">
        <f>DADOS_INVOC!$HZ$11</f>
        <v/>
      </c>
      <c r="AS606" s="125" t="n"/>
    </row>
    <row r="607" hidden="1" outlineLevel="1">
      <c r="A607" s="8" t="n"/>
      <c r="B607" s="14" t="n"/>
      <c r="C607" s="125" t="n"/>
      <c r="D607" s="125" t="n"/>
      <c r="E607" s="125" t="n"/>
      <c r="F607" s="125" t="n"/>
      <c r="G607" s="125" t="n"/>
      <c r="I607" s="84" t="n"/>
      <c r="J607" s="19" t="n"/>
      <c r="K607" s="19" t="n"/>
      <c r="L607" s="19" t="n"/>
      <c r="M607" s="20" t="n"/>
      <c r="N607" s="125" t="n"/>
      <c r="O607" s="98">
        <f>DADOS_INVOC!$FM$5</f>
        <v/>
      </c>
      <c r="P607" s="98">
        <f>DADOS_INVOC!$FN$5</f>
        <v/>
      </c>
      <c r="Q607" s="98">
        <f>DADOS_INVOC!$HG$5</f>
        <v/>
      </c>
      <c r="R607" s="98">
        <f>DADOS_INVOC!$HH$5</f>
        <v/>
      </c>
      <c r="S607" s="98">
        <f>DADOS_INVOC!$HI$5</f>
        <v/>
      </c>
      <c r="T607" s="125" t="n"/>
      <c r="U607" s="98">
        <f>DADOS_INVOC!$GE$5</f>
        <v/>
      </c>
      <c r="V607" s="98">
        <f>DADOS_INVOC!$GD$5</f>
        <v/>
      </c>
      <c r="W607" s="98" t="n"/>
      <c r="X607" s="98" t="n"/>
      <c r="Y607" s="98" t="n"/>
      <c r="Z607" s="125" t="n"/>
      <c r="AB607" s="84" t="n"/>
      <c r="AC607" s="19" t="n"/>
      <c r="AD607" s="19" t="n"/>
      <c r="AE607" s="19" t="n"/>
      <c r="AF607" s="20" t="n"/>
      <c r="AG607" s="125" t="n"/>
      <c r="AH607" s="98">
        <f>DADOS_INVOC!$FM$11</f>
        <v/>
      </c>
      <c r="AI607" s="98">
        <f>DADOS_INVOC!$FN$11</f>
        <v/>
      </c>
      <c r="AJ607" s="98">
        <f>DADOS_INVOC!$HG$11</f>
        <v/>
      </c>
      <c r="AK607" s="98">
        <f>DADOS_INVOC!$HH$11</f>
        <v/>
      </c>
      <c r="AL607" s="98">
        <f>DADOS_INVOC!$HI$11</f>
        <v/>
      </c>
      <c r="AM607" s="125" t="n"/>
      <c r="AN607" s="98">
        <f>DADOS_INVOC!$GE$11</f>
        <v/>
      </c>
      <c r="AO607" s="98">
        <f>DADOS_INVOC!$GD$11</f>
        <v/>
      </c>
      <c r="AP607" s="98" t="n"/>
      <c r="AQ607" s="98" t="n"/>
      <c r="AR607" s="98" t="n"/>
      <c r="AS607" s="125" t="n"/>
    </row>
    <row r="608" hidden="1" outlineLevel="1">
      <c r="A608" s="8" t="n"/>
      <c r="B608" s="14" t="n"/>
      <c r="C608" s="125" t="n"/>
      <c r="D608" s="125" t="n"/>
      <c r="E608" s="125" t="n"/>
      <c r="F608" s="125" t="n"/>
      <c r="G608" s="125" t="n"/>
      <c r="I608" s="23" t="n"/>
      <c r="J608" s="24" t="n"/>
      <c r="K608" s="24" t="n"/>
      <c r="L608" s="24" t="n"/>
      <c r="M608" s="25" t="n"/>
      <c r="N608" s="125" t="n"/>
      <c r="O608" s="129" t="n"/>
      <c r="P608" s="129" t="n"/>
      <c r="Q608" s="129" t="n"/>
      <c r="R608" s="129" t="n"/>
      <c r="S608" s="129" t="n"/>
      <c r="T608" s="125" t="n"/>
      <c r="U608" s="129" t="n"/>
      <c r="V608" s="129" t="n"/>
      <c r="W608" s="129" t="n"/>
      <c r="X608" s="129" t="n"/>
      <c r="Y608" s="129" t="n"/>
      <c r="Z608" s="125" t="n"/>
      <c r="AB608" s="23" t="n"/>
      <c r="AC608" s="24" t="n"/>
      <c r="AD608" s="24" t="n"/>
      <c r="AE608" s="24" t="n"/>
      <c r="AF608" s="25" t="n"/>
      <c r="AG608" s="125" t="n"/>
      <c r="AH608" s="129" t="n"/>
      <c r="AI608" s="129" t="n"/>
      <c r="AJ608" s="129" t="n"/>
      <c r="AK608" s="129" t="n"/>
      <c r="AL608" s="129" t="n"/>
      <c r="AM608" s="125" t="n"/>
      <c r="AN608" s="129" t="n"/>
      <c r="AO608" s="129" t="n"/>
      <c r="AP608" s="129" t="n"/>
      <c r="AQ608" s="129" t="n"/>
      <c r="AR608" s="129" t="n"/>
      <c r="AS608" s="125" t="n"/>
    </row>
    <row r="609" hidden="1" outlineLevel="1">
      <c r="A609" s="8" t="n"/>
      <c r="B609" s="14" t="n"/>
      <c r="C609" s="125" t="n"/>
      <c r="D609" s="125" t="n"/>
      <c r="E609" s="125" t="n"/>
      <c r="F609" s="125" t="n"/>
      <c r="G609" s="125" t="n"/>
      <c r="I609" s="145" t="inlineStr">
        <is>
          <t>FOTO
式神</t>
        </is>
      </c>
      <c r="J609" s="19" t="n"/>
      <c r="K609" s="19" t="n"/>
      <c r="L609" s="19" t="n"/>
      <c r="M609" s="20" t="n"/>
      <c r="N609" s="125" t="n"/>
      <c r="O609" s="125" t="n"/>
      <c r="P609" s="125" t="n"/>
      <c r="Q609" s="125" t="n"/>
      <c r="R609" s="125" t="n"/>
      <c r="S609" s="125" t="n"/>
      <c r="T609" s="125" t="n"/>
      <c r="U609" s="134">
        <f>IFERROR(SPARKLINE(DADOS_INVOC!$GF$5,{"charttype","bar";"max",MAX(1,DADOS_INVOC!$GD$5);"color1",DADOS_INVOC!$CZ$12}),"")</f>
        <v/>
      </c>
      <c r="V609" s="16" t="n"/>
      <c r="W609" s="16" t="n"/>
      <c r="X609" s="16" t="n"/>
      <c r="Y609" s="17" t="n"/>
      <c r="Z609" s="125" t="n"/>
      <c r="AB609" s="145" t="inlineStr">
        <is>
          <t>FOTO
式神</t>
        </is>
      </c>
      <c r="AC609" s="19" t="n"/>
      <c r="AD609" s="19" t="n"/>
      <c r="AE609" s="19" t="n"/>
      <c r="AF609" s="20" t="n"/>
      <c r="AG609" s="125" t="n"/>
      <c r="AH609" s="125" t="n"/>
      <c r="AI609" s="125" t="n"/>
      <c r="AJ609" s="125" t="n"/>
      <c r="AK609" s="125" t="n"/>
      <c r="AL609" s="125" t="n"/>
      <c r="AM609" s="125" t="n"/>
      <c r="AN609" s="134">
        <f>IFERROR(SPARKLINE(DADOS_INVOC!$GF$11,{"charttype","bar";"max",MAX(1,DADOS_INVOC!$GD$11);"color1",DADOS_INVOC!$CZ$12}),"")</f>
        <v/>
      </c>
      <c r="AO609" s="16" t="n"/>
      <c r="AP609" s="16" t="n"/>
      <c r="AQ609" s="16" t="n"/>
      <c r="AR609" s="17" t="n"/>
      <c r="AS609" s="125" t="n"/>
    </row>
    <row r="610" hidden="1" outlineLevel="1">
      <c r="A610" s="8" t="n"/>
      <c r="B610" s="14" t="n"/>
      <c r="C610" s="125" t="n"/>
      <c r="D610" s="125" t="n"/>
      <c r="E610" s="125" t="n"/>
      <c r="F610" s="125" t="n"/>
      <c r="G610" s="125" t="n"/>
      <c r="I610" s="21" t="n"/>
      <c r="M610" s="22" t="n"/>
      <c r="N610" s="125" t="n"/>
      <c r="O610" s="55">
        <f>DADOS_INVOC!$HJ$5</f>
        <v/>
      </c>
      <c r="P610" s="16" t="n"/>
      <c r="Q610" s="16" t="n"/>
      <c r="R610" s="16" t="n"/>
      <c r="S610" s="17" t="n"/>
      <c r="T610" s="125" t="n"/>
      <c r="U610" s="125" t="n"/>
      <c r="V610" s="125" t="n"/>
      <c r="W610" s="125" t="n"/>
      <c r="X610" s="125" t="n"/>
      <c r="Y610" s="125" t="n"/>
      <c r="Z610" s="125" t="n"/>
      <c r="AB610" s="21" t="n"/>
      <c r="AF610" s="22" t="n"/>
      <c r="AG610" s="125" t="n"/>
      <c r="AH610" s="55">
        <f>DADOS_INVOC!$HJ$11</f>
        <v/>
      </c>
      <c r="AI610" s="16" t="n"/>
      <c r="AJ610" s="16" t="n"/>
      <c r="AK610" s="16" t="n"/>
      <c r="AL610" s="17" t="n"/>
      <c r="AM610" s="125" t="n"/>
      <c r="AN610" s="125" t="n"/>
      <c r="AO610" s="125" t="n"/>
      <c r="AP610" s="125" t="n"/>
      <c r="AQ610" s="125" t="n"/>
      <c r="AR610" s="125" t="n"/>
      <c r="AS610" s="125" t="n"/>
    </row>
    <row r="611" hidden="1" outlineLevel="1">
      <c r="A611" s="8" t="n"/>
      <c r="B611" s="14" t="n"/>
      <c r="C611" s="125" t="n"/>
      <c r="D611" s="125" t="n"/>
      <c r="E611" s="125" t="n"/>
      <c r="F611" s="125" t="n"/>
      <c r="G611" s="125" t="n"/>
      <c r="I611" s="21" t="n"/>
      <c r="M611" s="22" t="n"/>
      <c r="N611" s="125" t="n"/>
      <c r="O611" s="55" t="inlineStr">
        <is>
          <t>FOR</t>
        </is>
      </c>
      <c r="P611" s="55" t="inlineStr">
        <is>
          <t>DES</t>
        </is>
      </c>
      <c r="Q611" s="55" t="inlineStr">
        <is>
          <t>CON</t>
        </is>
      </c>
      <c r="R611" s="55" t="inlineStr">
        <is>
          <t>INT</t>
        </is>
      </c>
      <c r="S611" s="55" t="inlineStr">
        <is>
          <t>ESS</t>
        </is>
      </c>
      <c r="T611" s="125" t="n"/>
      <c r="U611" s="55" t="inlineStr">
        <is>
          <t>ALMA</t>
        </is>
      </c>
      <c r="V611" s="55" t="inlineStr">
        <is>
          <t>INTEGRIDADE ATUAL</t>
        </is>
      </c>
      <c r="W611" s="55" t="inlineStr">
        <is>
          <t>INTEGRIDADE MÁXIMA</t>
        </is>
      </c>
      <c r="X611" s="55" t="inlineStr">
        <is>
          <t>ESTÁGIO</t>
        </is>
      </c>
      <c r="Y611" s="17" t="n"/>
      <c r="Z611" s="125" t="n"/>
      <c r="AB611" s="21" t="n"/>
      <c r="AF611" s="22" t="n"/>
      <c r="AG611" s="125" t="n"/>
      <c r="AH611" s="55" t="inlineStr">
        <is>
          <t>FOR</t>
        </is>
      </c>
      <c r="AI611" s="55" t="inlineStr">
        <is>
          <t>DES</t>
        </is>
      </c>
      <c r="AJ611" s="55" t="inlineStr">
        <is>
          <t>CON</t>
        </is>
      </c>
      <c r="AK611" s="55" t="inlineStr">
        <is>
          <t>INT</t>
        </is>
      </c>
      <c r="AL611" s="55" t="inlineStr">
        <is>
          <t>ESS</t>
        </is>
      </c>
      <c r="AM611" s="125" t="n"/>
      <c r="AN611" s="55" t="inlineStr">
        <is>
          <t>ALMA</t>
        </is>
      </c>
      <c r="AO611" s="55" t="inlineStr">
        <is>
          <t>INTEGRIDADE ATUAL</t>
        </is>
      </c>
      <c r="AP611" s="55" t="inlineStr">
        <is>
          <t>INTEGRIDADE MÁXIMA</t>
        </is>
      </c>
      <c r="AQ611" s="55" t="inlineStr">
        <is>
          <t>ESTÁGIO</t>
        </is>
      </c>
      <c r="AR611" s="17" t="n"/>
      <c r="AS611" s="125" t="n"/>
    </row>
    <row r="612" hidden="1" outlineLevel="1">
      <c r="A612" s="8" t="n"/>
      <c r="B612" s="14" t="n"/>
      <c r="C612" s="125" t="n"/>
      <c r="D612" s="125" t="n"/>
      <c r="E612" s="125" t="n"/>
      <c r="F612" s="125" t="n"/>
      <c r="G612" s="125" t="n"/>
      <c r="I612" s="21" t="n"/>
      <c r="M612" s="22" t="n"/>
      <c r="N612" s="125" t="n"/>
      <c r="O612" s="98">
        <f>DADOS_INVOC!$FP$5</f>
        <v/>
      </c>
      <c r="P612" s="98">
        <f>DADOS_INVOC!$FQ$5</f>
        <v/>
      </c>
      <c r="Q612" s="98">
        <f>DADOS_INVOC!$FR$5</f>
        <v/>
      </c>
      <c r="R612" s="98">
        <f>DADOS_INVOC!$FS$5</f>
        <v/>
      </c>
      <c r="S612" s="98">
        <f>DADOS_INVOC!$FT$5</f>
        <v/>
      </c>
      <c r="T612" s="125" t="n"/>
      <c r="U612" s="89" t="inlineStr">
        <is>
          <t>Com alma</t>
        </is>
      </c>
      <c r="V612" s="98">
        <f>DADOS_INVOC!$GH$5</f>
        <v/>
      </c>
      <c r="W612" s="98">
        <f>DADOS_INVOC!$GJ$5</f>
        <v/>
      </c>
      <c r="X612" s="89">
        <f>DADOS_INVOC!$GK$5</f>
        <v/>
      </c>
      <c r="Y612" s="20" t="n"/>
      <c r="Z612" s="125" t="n"/>
      <c r="AB612" s="21" t="n"/>
      <c r="AF612" s="22" t="n"/>
      <c r="AG612" s="125" t="n"/>
      <c r="AH612" s="98">
        <f>DADOS_INVOC!$FP$11</f>
        <v/>
      </c>
      <c r="AI612" s="98">
        <f>DADOS_INVOC!$FQ$11</f>
        <v/>
      </c>
      <c r="AJ612" s="98">
        <f>DADOS_INVOC!$FR$11</f>
        <v/>
      </c>
      <c r="AK612" s="98">
        <f>DADOS_INVOC!$FS$11</f>
        <v/>
      </c>
      <c r="AL612" s="98">
        <f>DADOS_INVOC!$FT$11</f>
        <v/>
      </c>
      <c r="AM612" s="125" t="n"/>
      <c r="AN612" s="89" t="inlineStr">
        <is>
          <t>Com alma</t>
        </is>
      </c>
      <c r="AO612" s="98">
        <f>DADOS_INVOC!$GH$11</f>
        <v/>
      </c>
      <c r="AP612" s="98">
        <f>DADOS_INVOC!$GJ$11</f>
        <v/>
      </c>
      <c r="AQ612" s="89">
        <f>DADOS_INVOC!$GK$11</f>
        <v/>
      </c>
      <c r="AR612" s="20" t="n"/>
      <c r="AS612" s="125" t="n"/>
    </row>
    <row r="613" hidden="1" outlineLevel="1">
      <c r="A613" s="8" t="n"/>
      <c r="B613" s="14" t="n"/>
      <c r="C613" s="125" t="n"/>
      <c r="D613" s="125" t="n"/>
      <c r="E613" s="125" t="n"/>
      <c r="F613" s="125" t="n"/>
      <c r="G613" s="125" t="n"/>
      <c r="I613" s="21" t="n"/>
      <c r="M613" s="22" t="n"/>
      <c r="N613" s="125" t="n"/>
      <c r="O613" s="129" t="n"/>
      <c r="P613" s="129" t="n"/>
      <c r="Q613" s="129" t="n"/>
      <c r="R613" s="129" t="n"/>
      <c r="S613" s="129" t="n"/>
      <c r="T613" s="125" t="n"/>
      <c r="U613" s="129" t="n"/>
      <c r="V613" s="129" t="n"/>
      <c r="W613" s="129" t="n"/>
      <c r="X613" s="23" t="n"/>
      <c r="Y613" s="25" t="n"/>
      <c r="Z613" s="125" t="n"/>
      <c r="AB613" s="21" t="n"/>
      <c r="AF613" s="22" t="n"/>
      <c r="AG613" s="125" t="n"/>
      <c r="AH613" s="129" t="n"/>
      <c r="AI613" s="129" t="n"/>
      <c r="AJ613" s="129" t="n"/>
      <c r="AK613" s="129" t="n"/>
      <c r="AL613" s="129" t="n"/>
      <c r="AM613" s="125" t="n"/>
      <c r="AN613" s="129" t="n"/>
      <c r="AO613" s="129" t="n"/>
      <c r="AP613" s="129" t="n"/>
      <c r="AQ613" s="23" t="n"/>
      <c r="AR613" s="25" t="n"/>
      <c r="AS613" s="125" t="n"/>
    </row>
    <row r="614" hidden="1" outlineLevel="1">
      <c r="A614" s="8" t="n"/>
      <c r="B614" s="14" t="n"/>
      <c r="C614" s="125" t="n"/>
      <c r="D614" s="125" t="n"/>
      <c r="E614" s="125" t="n"/>
      <c r="F614" s="125" t="n"/>
      <c r="G614" s="125" t="n"/>
      <c r="I614" s="21" t="n"/>
      <c r="M614" s="22" t="n"/>
      <c r="N614" s="125" t="n"/>
      <c r="O614" s="146" t="n">
        <v>0</v>
      </c>
      <c r="P614" s="146" t="n">
        <v>0</v>
      </c>
      <c r="Q614" s="146" t="n">
        <v>0</v>
      </c>
      <c r="R614" s="146" t="n">
        <v>0</v>
      </c>
      <c r="S614" s="146" t="n">
        <v>0</v>
      </c>
      <c r="T614" s="125" t="n"/>
      <c r="U614" s="125" t="n"/>
      <c r="V614" s="125" t="n"/>
      <c r="W614" s="125" t="n"/>
      <c r="X614" s="125" t="n"/>
      <c r="Y614" s="125" t="n"/>
      <c r="Z614" s="125" t="n"/>
      <c r="AB614" s="21" t="n"/>
      <c r="AF614" s="22" t="n"/>
      <c r="AG614" s="125" t="n"/>
      <c r="AH614" s="146" t="n">
        <v>0</v>
      </c>
      <c r="AI614" s="146" t="n">
        <v>0</v>
      </c>
      <c r="AJ614" s="146" t="n">
        <v>0</v>
      </c>
      <c r="AK614" s="146" t="n">
        <v>0</v>
      </c>
      <c r="AL614" s="146" t="n">
        <v>0</v>
      </c>
      <c r="AM614" s="125" t="n"/>
      <c r="AN614" s="125" t="n"/>
      <c r="AO614" s="125" t="n"/>
      <c r="AP614" s="125" t="n"/>
      <c r="AQ614" s="125" t="n"/>
      <c r="AR614" s="125" t="n"/>
      <c r="AS614" s="125" t="n"/>
    </row>
    <row r="615" hidden="1" outlineLevel="1">
      <c r="A615" s="8" t="n"/>
      <c r="B615" s="14" t="n"/>
      <c r="C615" s="125" t="n"/>
      <c r="D615" s="125" t="n"/>
      <c r="E615" s="125" t="n"/>
      <c r="F615" s="125" t="n"/>
      <c r="G615" s="125" t="n"/>
      <c r="I615" s="21" t="n"/>
      <c r="M615" s="22" t="n"/>
      <c r="N615" s="125" t="n"/>
      <c r="O615" s="147" t="n">
        <v>0</v>
      </c>
      <c r="P615" s="147" t="n">
        <v>0</v>
      </c>
      <c r="Q615" s="147" t="n">
        <v>0</v>
      </c>
      <c r="R615" s="147" t="n">
        <v>0</v>
      </c>
      <c r="S615" s="147" t="n">
        <v>0</v>
      </c>
      <c r="T615" s="125" t="n"/>
      <c r="U615" s="55" t="inlineStr">
        <is>
          <t>CONDIÇÕES E USOS GASTOS</t>
        </is>
      </c>
      <c r="V615" s="16" t="n"/>
      <c r="W615" s="16" t="n"/>
      <c r="X615" s="16" t="n"/>
      <c r="Y615" s="17" t="n"/>
      <c r="Z615" s="125" t="n"/>
      <c r="AB615" s="21" t="n"/>
      <c r="AF615" s="22" t="n"/>
      <c r="AG615" s="125" t="n"/>
      <c r="AH615" s="147" t="n">
        <v>0</v>
      </c>
      <c r="AI615" s="147" t="n">
        <v>0</v>
      </c>
      <c r="AJ615" s="147" t="n">
        <v>0</v>
      </c>
      <c r="AK615" s="147" t="n">
        <v>0</v>
      </c>
      <c r="AL615" s="147" t="n">
        <v>0</v>
      </c>
      <c r="AM615" s="125" t="n"/>
      <c r="AN615" s="55" t="inlineStr">
        <is>
          <t>CONDIÇÕES E USOS GASTOS</t>
        </is>
      </c>
      <c r="AO615" s="16" t="n"/>
      <c r="AP615" s="16" t="n"/>
      <c r="AQ615" s="16" t="n"/>
      <c r="AR615" s="17" t="n"/>
      <c r="AS615" s="125" t="n"/>
    </row>
    <row r="616" hidden="1" outlineLevel="1">
      <c r="A616" s="8" t="n"/>
      <c r="B616" s="14" t="n"/>
      <c r="C616" s="125" t="n"/>
      <c r="D616" s="125" t="n"/>
      <c r="E616" s="125" t="n"/>
      <c r="F616" s="125" t="n"/>
      <c r="G616" s="125" t="n"/>
      <c r="I616" s="21" t="n"/>
      <c r="M616" s="22" t="n"/>
      <c r="N616" s="125" t="n"/>
      <c r="O616" s="125" t="n"/>
      <c r="P616" s="125" t="n"/>
      <c r="Q616" s="125" t="n"/>
      <c r="R616" s="125" t="n"/>
      <c r="S616" s="125" t="n"/>
      <c r="T616" s="125" t="n"/>
      <c r="U616" s="121" t="n"/>
      <c r="V616" s="19" t="n"/>
      <c r="W616" s="19" t="n"/>
      <c r="X616" s="19" t="n"/>
      <c r="Y616" s="20" t="n"/>
      <c r="Z616" s="125" t="n"/>
      <c r="AB616" s="21" t="n"/>
      <c r="AF616" s="22" t="n"/>
      <c r="AG616" s="125" t="n"/>
      <c r="AH616" s="125" t="n"/>
      <c r="AI616" s="125" t="n"/>
      <c r="AJ616" s="125" t="n"/>
      <c r="AK616" s="125" t="n"/>
      <c r="AL616" s="125" t="n"/>
      <c r="AM616" s="125" t="n"/>
      <c r="AN616" s="121" t="n"/>
      <c r="AO616" s="19" t="n"/>
      <c r="AP616" s="19" t="n"/>
      <c r="AQ616" s="19" t="n"/>
      <c r="AR616" s="20" t="n"/>
      <c r="AS616" s="125" t="n"/>
    </row>
    <row r="617" hidden="1" outlineLevel="1">
      <c r="A617" s="8" t="n"/>
      <c r="B617" s="14" t="n"/>
      <c r="C617" s="125" t="n"/>
      <c r="D617" s="125" t="n"/>
      <c r="E617" s="125" t="n"/>
      <c r="F617" s="125" t="n"/>
      <c r="G617" s="125" t="n"/>
      <c r="I617" s="21" t="n"/>
      <c r="M617" s="22" t="n"/>
      <c r="N617" s="125" t="n"/>
      <c r="O617" s="55" t="inlineStr">
        <is>
          <t>ATAQUE</t>
        </is>
      </c>
      <c r="P617" s="55" t="inlineStr">
        <is>
          <t>CD</t>
        </is>
      </c>
      <c r="Q617" s="55" t="inlineStr">
        <is>
          <t>DEFESA</t>
        </is>
      </c>
      <c r="R617" s="55" t="inlineStr">
        <is>
          <t>VIDA MÁXIMA</t>
        </is>
      </c>
      <c r="S617" s="55" t="inlineStr">
        <is>
          <t>DESLOCAMENTO</t>
        </is>
      </c>
      <c r="T617" s="125" t="n"/>
      <c r="U617" s="21" t="n"/>
      <c r="Y617" s="22" t="n"/>
      <c r="Z617" s="125" t="n"/>
      <c r="AB617" s="21" t="n"/>
      <c r="AF617" s="22" t="n"/>
      <c r="AG617" s="125" t="n"/>
      <c r="AH617" s="55" t="inlineStr">
        <is>
          <t>ATAQUE</t>
        </is>
      </c>
      <c r="AI617" s="55" t="inlineStr">
        <is>
          <t>CD</t>
        </is>
      </c>
      <c r="AJ617" s="55" t="inlineStr">
        <is>
          <t>DEFESA</t>
        </is>
      </c>
      <c r="AK617" s="55" t="inlineStr">
        <is>
          <t>VIDA MÁXIMA</t>
        </is>
      </c>
      <c r="AL617" s="55" t="inlineStr">
        <is>
          <t>DESLOCAMENTO</t>
        </is>
      </c>
      <c r="AM617" s="125" t="n"/>
      <c r="AN617" s="21" t="n"/>
      <c r="AR617" s="22" t="n"/>
      <c r="AS617" s="125" t="n"/>
    </row>
    <row r="618" hidden="1" outlineLevel="1">
      <c r="A618" s="8" t="n"/>
      <c r="B618" s="14" t="n"/>
      <c r="C618" s="125" t="n"/>
      <c r="D618" s="125" t="n"/>
      <c r="E618" s="125" t="n"/>
      <c r="F618" s="125" t="n"/>
      <c r="G618" s="125" t="n"/>
      <c r="I618" s="21" t="n"/>
      <c r="M618" s="22" t="n"/>
      <c r="N618" s="125" t="n"/>
      <c r="O618" s="98">
        <f>DADOS_INVOC!$HK$5</f>
        <v/>
      </c>
      <c r="P618" s="98">
        <f>DADOS_INVOC!$HL$5</f>
        <v/>
      </c>
      <c r="Q618" s="98">
        <f>DADOS_INVOC!$GB$5</f>
        <v/>
      </c>
      <c r="R618" s="98">
        <f>DADOS_INVOC!$GD$5</f>
        <v/>
      </c>
      <c r="S618" s="98">
        <f>DADOS_INVOC!$HM$5</f>
        <v/>
      </c>
      <c r="T618" s="125" t="n"/>
      <c r="U618" s="23" t="n"/>
      <c r="V618" s="24" t="n"/>
      <c r="W618" s="24" t="n"/>
      <c r="X618" s="24" t="n"/>
      <c r="Y618" s="25" t="n"/>
      <c r="Z618" s="125" t="n"/>
      <c r="AB618" s="21" t="n"/>
      <c r="AF618" s="22" t="n"/>
      <c r="AG618" s="125" t="n"/>
      <c r="AH618" s="98">
        <f>DADOS_INVOC!$HK$11</f>
        <v/>
      </c>
      <c r="AI618" s="98">
        <f>DADOS_INVOC!$HL$11</f>
        <v/>
      </c>
      <c r="AJ618" s="98">
        <f>DADOS_INVOC!$GB$11</f>
        <v/>
      </c>
      <c r="AK618" s="98">
        <f>DADOS_INVOC!$GD$11</f>
        <v/>
      </c>
      <c r="AL618" s="98">
        <f>DADOS_INVOC!$HM$11</f>
        <v/>
      </c>
      <c r="AM618" s="125" t="n"/>
      <c r="AN618" s="23" t="n"/>
      <c r="AO618" s="24" t="n"/>
      <c r="AP618" s="24" t="n"/>
      <c r="AQ618" s="24" t="n"/>
      <c r="AR618" s="25" t="n"/>
      <c r="AS618" s="125" t="n"/>
    </row>
    <row r="619" hidden="1" outlineLevel="1">
      <c r="A619" s="8" t="n"/>
      <c r="B619" s="14" t="n"/>
      <c r="C619" s="125" t="n"/>
      <c r="D619" s="125" t="n"/>
      <c r="E619" s="125" t="n"/>
      <c r="F619" s="125" t="n"/>
      <c r="G619" s="125" t="n"/>
      <c r="I619" s="21" t="n"/>
      <c r="M619" s="22" t="n"/>
      <c r="N619" s="125" t="n"/>
      <c r="O619" s="129" t="n"/>
      <c r="P619" s="129" t="n"/>
      <c r="Q619" s="129" t="n"/>
      <c r="R619" s="129" t="n"/>
      <c r="S619" s="129" t="n"/>
      <c r="T619" s="125" t="n"/>
      <c r="U619" s="125" t="n"/>
      <c r="V619" s="125" t="n"/>
      <c r="W619" s="125" t="n"/>
      <c r="X619" s="125" t="n"/>
      <c r="Y619" s="125" t="n"/>
      <c r="Z619" s="125" t="n"/>
      <c r="AB619" s="21" t="n"/>
      <c r="AF619" s="22" t="n"/>
      <c r="AG619" s="125" t="n"/>
      <c r="AH619" s="129" t="n"/>
      <c r="AI619" s="129" t="n"/>
      <c r="AJ619" s="129" t="n"/>
      <c r="AK619" s="129" t="n"/>
      <c r="AL619" s="129" t="n"/>
      <c r="AM619" s="125" t="n"/>
      <c r="AN619" s="125" t="n"/>
      <c r="AO619" s="125" t="n"/>
      <c r="AP619" s="125" t="n"/>
      <c r="AQ619" s="125" t="n"/>
      <c r="AR619" s="125" t="n"/>
      <c r="AS619" s="125" t="n"/>
    </row>
    <row r="620" hidden="1" outlineLevel="1">
      <c r="A620" s="8" t="n"/>
      <c r="B620" s="14" t="n"/>
      <c r="C620" s="125" t="n"/>
      <c r="D620" s="125" t="n"/>
      <c r="E620" s="125" t="n"/>
      <c r="F620" s="125" t="n"/>
      <c r="G620" s="125" t="n"/>
      <c r="I620" s="21" t="n"/>
      <c r="M620" s="22" t="n"/>
      <c r="N620" s="125" t="n"/>
      <c r="O620" s="147" t="n">
        <v>0</v>
      </c>
      <c r="P620" s="147" t="n">
        <v>0</v>
      </c>
      <c r="Q620" s="147" t="n">
        <v>0</v>
      </c>
      <c r="R620" s="147" t="n">
        <v>0</v>
      </c>
      <c r="S620" s="147" t="n">
        <v>0</v>
      </c>
      <c r="T620" s="125" t="n"/>
      <c r="U620" s="55" t="inlineStr">
        <is>
          <t>ANOTAÇÕES</t>
        </is>
      </c>
      <c r="V620" s="16" t="n"/>
      <c r="W620" s="16" t="n"/>
      <c r="X620" s="16" t="n"/>
      <c r="Y620" s="17" t="n"/>
      <c r="Z620" s="125" t="n"/>
      <c r="AB620" s="21" t="n"/>
      <c r="AF620" s="22" t="n"/>
      <c r="AG620" s="125" t="n"/>
      <c r="AH620" s="147" t="n">
        <v>0</v>
      </c>
      <c r="AI620" s="147" t="n">
        <v>0</v>
      </c>
      <c r="AJ620" s="147" t="n">
        <v>0</v>
      </c>
      <c r="AK620" s="147" t="n">
        <v>0</v>
      </c>
      <c r="AL620" s="147" t="n">
        <v>0</v>
      </c>
      <c r="AM620" s="125" t="n"/>
      <c r="AN620" s="55" t="inlineStr">
        <is>
          <t>ANOTAÇÕES</t>
        </is>
      </c>
      <c r="AO620" s="16" t="n"/>
      <c r="AP620" s="16" t="n"/>
      <c r="AQ620" s="16" t="n"/>
      <c r="AR620" s="17" t="n"/>
      <c r="AS620" s="125" t="n"/>
    </row>
    <row r="621" hidden="1" outlineLevel="1">
      <c r="A621" s="8" t="n"/>
      <c r="B621" s="14" t="n"/>
      <c r="C621" s="125" t="n"/>
      <c r="D621" s="125" t="n"/>
      <c r="E621" s="125" t="n"/>
      <c r="F621" s="125" t="n"/>
      <c r="G621" s="125" t="n"/>
      <c r="I621" s="21" t="n"/>
      <c r="M621" s="22" t="n"/>
      <c r="N621" s="125" t="n"/>
      <c r="O621" s="125" t="n"/>
      <c r="P621" s="125" t="n"/>
      <c r="Q621" s="125" t="n"/>
      <c r="R621" s="125" t="n"/>
      <c r="S621" s="125" t="n"/>
      <c r="T621" s="125" t="n"/>
      <c r="U621" s="121" t="n"/>
      <c r="V621" s="19" t="n"/>
      <c r="W621" s="19" t="n"/>
      <c r="X621" s="19" t="n"/>
      <c r="Y621" s="20" t="n"/>
      <c r="Z621" s="125" t="n"/>
      <c r="AB621" s="21" t="n"/>
      <c r="AF621" s="22" t="n"/>
      <c r="AG621" s="125" t="n"/>
      <c r="AH621" s="125" t="n"/>
      <c r="AI621" s="125" t="n"/>
      <c r="AJ621" s="125" t="n"/>
      <c r="AK621" s="125" t="n"/>
      <c r="AL621" s="125" t="n"/>
      <c r="AM621" s="125" t="n"/>
      <c r="AN621" s="121" t="n"/>
      <c r="AO621" s="19" t="n"/>
      <c r="AP621" s="19" t="n"/>
      <c r="AQ621" s="19" t="n"/>
      <c r="AR621" s="20" t="n"/>
      <c r="AS621" s="125" t="n"/>
    </row>
    <row r="622" hidden="1" outlineLevel="1">
      <c r="A622" s="8" t="n"/>
      <c r="B622" s="14" t="n"/>
      <c r="C622" s="125" t="n"/>
      <c r="D622" s="125" t="n"/>
      <c r="E622" s="125" t="n"/>
      <c r="F622" s="125" t="n"/>
      <c r="G622" s="125" t="n"/>
      <c r="I622" s="21" t="n"/>
      <c r="M622" s="22" t="n"/>
      <c r="N622" s="125" t="n"/>
      <c r="O622" s="55" t="inlineStr">
        <is>
          <t>FÍSICO</t>
        </is>
      </c>
      <c r="P622" s="55" t="inlineStr">
        <is>
          <t>VIGOR</t>
        </is>
      </c>
      <c r="Q622" s="55" t="inlineStr">
        <is>
          <t>INTELECTO</t>
        </is>
      </c>
      <c r="R622" s="55" t="inlineStr">
        <is>
          <t>ESPÍRITO</t>
        </is>
      </c>
      <c r="S622" s="55" t="inlineStr">
        <is>
          <t>TR TREINADO</t>
        </is>
      </c>
      <c r="T622" s="125" t="n"/>
      <c r="U622" s="21" t="n"/>
      <c r="Y622" s="22" t="n"/>
      <c r="Z622" s="125" t="n"/>
      <c r="AB622" s="21" t="n"/>
      <c r="AF622" s="22" t="n"/>
      <c r="AG622" s="125" t="n"/>
      <c r="AH622" s="55" t="inlineStr">
        <is>
          <t>FÍSICO</t>
        </is>
      </c>
      <c r="AI622" s="55" t="inlineStr">
        <is>
          <t>VIGOR</t>
        </is>
      </c>
      <c r="AJ622" s="55" t="inlineStr">
        <is>
          <t>INTELECTO</t>
        </is>
      </c>
      <c r="AK622" s="55" t="inlineStr">
        <is>
          <t>ESPÍRITO</t>
        </is>
      </c>
      <c r="AL622" s="55" t="inlineStr">
        <is>
          <t>TR TREINADO</t>
        </is>
      </c>
      <c r="AM622" s="125" t="n"/>
      <c r="AN622" s="21" t="n"/>
      <c r="AR622" s="22" t="n"/>
      <c r="AS622" s="125" t="n"/>
    </row>
    <row r="623" hidden="1" outlineLevel="1">
      <c r="A623" s="8" t="n"/>
      <c r="B623" s="14" t="n"/>
      <c r="C623" s="125" t="n"/>
      <c r="D623" s="125" t="n"/>
      <c r="E623" s="125" t="n"/>
      <c r="F623" s="125" t="n"/>
      <c r="G623" s="125" t="n"/>
      <c r="I623" s="21" t="n"/>
      <c r="M623" s="22" t="n"/>
      <c r="N623" s="125" t="n"/>
      <c r="O623" s="98">
        <f>DADOS_INVOC!$HN$5</f>
        <v/>
      </c>
      <c r="P623" s="98">
        <f>DADOS_INVOC!$HO$5</f>
        <v/>
      </c>
      <c r="Q623" s="98">
        <f>DADOS_INVOC!$HP$5</f>
        <v/>
      </c>
      <c r="R623" s="98">
        <f>DADOS_INVOC!$HQ$5</f>
        <v/>
      </c>
      <c r="S623" s="89" t="n"/>
      <c r="T623" s="125" t="n"/>
      <c r="U623" s="21" t="n"/>
      <c r="Y623" s="22" t="n"/>
      <c r="Z623" s="125" t="n"/>
      <c r="AB623" s="21" t="n"/>
      <c r="AF623" s="22" t="n"/>
      <c r="AG623" s="125" t="n"/>
      <c r="AH623" s="98">
        <f>DADOS_INVOC!$HN$11</f>
        <v/>
      </c>
      <c r="AI623" s="98">
        <f>DADOS_INVOC!$HO$11</f>
        <v/>
      </c>
      <c r="AJ623" s="98">
        <f>DADOS_INVOC!$HP$11</f>
        <v/>
      </c>
      <c r="AK623" s="98">
        <f>DADOS_INVOC!$HQ$11</f>
        <v/>
      </c>
      <c r="AL623" s="89" t="n"/>
      <c r="AM623" s="125" t="n"/>
      <c r="AN623" s="21" t="n"/>
      <c r="AR623" s="22" t="n"/>
      <c r="AS623" s="125" t="n"/>
    </row>
    <row r="624" hidden="1" outlineLevel="1">
      <c r="A624" s="8" t="n"/>
      <c r="B624" s="14" t="n"/>
      <c r="C624" s="125" t="n"/>
      <c r="D624" s="125" t="n"/>
      <c r="E624" s="125" t="n"/>
      <c r="F624" s="125" t="n"/>
      <c r="G624" s="125" t="n"/>
      <c r="I624" s="21" t="n"/>
      <c r="M624" s="22" t="n"/>
      <c r="N624" s="125" t="n"/>
      <c r="O624" s="129" t="n"/>
      <c r="P624" s="129" t="n"/>
      <c r="Q624" s="129" t="n"/>
      <c r="R624" s="129" t="n"/>
      <c r="S624" s="129" t="n"/>
      <c r="T624" s="125" t="n"/>
      <c r="U624" s="23" t="n"/>
      <c r="V624" s="24" t="n"/>
      <c r="W624" s="24" t="n"/>
      <c r="X624" s="24" t="n"/>
      <c r="Y624" s="25" t="n"/>
      <c r="Z624" s="125" t="n"/>
      <c r="AB624" s="21" t="n"/>
      <c r="AF624" s="22" t="n"/>
      <c r="AG624" s="125" t="n"/>
      <c r="AH624" s="129" t="n"/>
      <c r="AI624" s="129" t="n"/>
      <c r="AJ624" s="129" t="n"/>
      <c r="AK624" s="129" t="n"/>
      <c r="AL624" s="129" t="n"/>
      <c r="AM624" s="125" t="n"/>
      <c r="AN624" s="23" t="n"/>
      <c r="AO624" s="24" t="n"/>
      <c r="AP624" s="24" t="n"/>
      <c r="AQ624" s="24" t="n"/>
      <c r="AR624" s="25" t="n"/>
      <c r="AS624" s="125" t="n"/>
    </row>
    <row r="625" hidden="1" outlineLevel="1">
      <c r="A625" s="8" t="n"/>
      <c r="B625" s="14" t="n"/>
      <c r="C625" s="125" t="n"/>
      <c r="D625" s="125" t="n"/>
      <c r="E625" s="125" t="n"/>
      <c r="F625" s="125" t="n"/>
      <c r="G625" s="125" t="n"/>
      <c r="I625" s="21" t="n"/>
      <c r="M625" s="22" t="n"/>
      <c r="N625" s="125" t="n"/>
      <c r="O625" s="147" t="n">
        <v>0</v>
      </c>
      <c r="P625" s="147" t="n">
        <v>0</v>
      </c>
      <c r="Q625" s="147" t="n">
        <v>0</v>
      </c>
      <c r="R625" s="147" t="n">
        <v>0</v>
      </c>
      <c r="S625" s="125" t="n"/>
      <c r="T625" s="125" t="n"/>
      <c r="U625" s="125" t="n"/>
      <c r="V625" s="125" t="n"/>
      <c r="W625" s="125" t="n"/>
      <c r="X625" s="125" t="n"/>
      <c r="Y625" s="125" t="n"/>
      <c r="Z625" s="125" t="n"/>
      <c r="AB625" s="21" t="n"/>
      <c r="AF625" s="22" t="n"/>
      <c r="AG625" s="125" t="n"/>
      <c r="AH625" s="147" t="n">
        <v>0</v>
      </c>
      <c r="AI625" s="147" t="n">
        <v>0</v>
      </c>
      <c r="AJ625" s="147" t="n">
        <v>0</v>
      </c>
      <c r="AK625" s="147" t="n">
        <v>0</v>
      </c>
      <c r="AL625" s="125" t="n"/>
      <c r="AM625" s="125" t="n"/>
      <c r="AN625" s="125" t="n"/>
      <c r="AO625" s="125" t="n"/>
      <c r="AP625" s="125" t="n"/>
      <c r="AQ625" s="125" t="n"/>
      <c r="AR625" s="125" t="n"/>
      <c r="AS625" s="125" t="n"/>
    </row>
    <row r="626" hidden="1" outlineLevel="1">
      <c r="A626" s="8" t="n"/>
      <c r="B626" s="14" t="n"/>
      <c r="C626" s="125" t="n"/>
      <c r="D626" s="125" t="n"/>
      <c r="E626" s="125" t="n"/>
      <c r="F626" s="125" t="n"/>
      <c r="G626" s="125" t="n"/>
      <c r="I626" s="21" t="n"/>
      <c r="M626" s="22" t="n"/>
      <c r="N626" s="125" t="n"/>
      <c r="O626" s="125" t="n"/>
      <c r="P626" s="125" t="n"/>
      <c r="Q626" s="125" t="n"/>
      <c r="R626" s="125" t="n"/>
      <c r="S626" s="125" t="n"/>
      <c r="T626" s="125" t="n"/>
      <c r="U626" s="55">
        <f>DADOS_INVOC!$IA$5</f>
        <v/>
      </c>
      <c r="V626" s="16" t="n"/>
      <c r="W626" s="16" t="n"/>
      <c r="X626" s="17" t="n"/>
      <c r="Y626" s="55" t="inlineStr">
        <is>
          <t>VOL.</t>
        </is>
      </c>
      <c r="Z626" s="125" t="n"/>
      <c r="AB626" s="21" t="n"/>
      <c r="AF626" s="22" t="n"/>
      <c r="AG626" s="125" t="n"/>
      <c r="AH626" s="125" t="n"/>
      <c r="AI626" s="125" t="n"/>
      <c r="AJ626" s="125" t="n"/>
      <c r="AK626" s="125" t="n"/>
      <c r="AL626" s="125" t="n"/>
      <c r="AM626" s="125" t="n"/>
      <c r="AN626" s="55">
        <f>DADOS_INVOC!$IA$11</f>
        <v/>
      </c>
      <c r="AO626" s="16" t="n"/>
      <c r="AP626" s="16" t="n"/>
      <c r="AQ626" s="17" t="n"/>
      <c r="AR626" s="55" t="inlineStr">
        <is>
          <t>VOL.</t>
        </is>
      </c>
      <c r="AS626" s="125" t="n"/>
    </row>
    <row r="627" hidden="1" outlineLevel="1">
      <c r="A627" s="8" t="n"/>
      <c r="B627" s="14" t="n"/>
      <c r="C627" s="125" t="n"/>
      <c r="D627" s="125" t="n"/>
      <c r="E627" s="125" t="n"/>
      <c r="F627" s="125" t="n"/>
      <c r="G627" s="125" t="n"/>
      <c r="I627" s="21" t="n"/>
      <c r="M627" s="22" t="n"/>
      <c r="N627" s="125" t="n"/>
      <c r="O627" s="55" t="inlineStr">
        <is>
          <t>ATRIBUTO DE ACERTO</t>
        </is>
      </c>
      <c r="P627" s="16" t="n"/>
      <c r="Q627" s="17" t="n"/>
      <c r="R627" s="55" t="inlineStr">
        <is>
          <t>FÍSICO USA</t>
        </is>
      </c>
      <c r="S627" s="17" t="n"/>
      <c r="T627" s="125" t="n"/>
      <c r="U627" s="55" t="inlineStr">
        <is>
          <t>MÃO 1</t>
        </is>
      </c>
      <c r="V627" s="134" t="n"/>
      <c r="W627" s="16" t="n"/>
      <c r="X627" s="17" t="n"/>
      <c r="Y627" s="89" t="n"/>
      <c r="Z627" s="125" t="n"/>
      <c r="AB627" s="21" t="n"/>
      <c r="AF627" s="22" t="n"/>
      <c r="AG627" s="125" t="n"/>
      <c r="AH627" s="55" t="inlineStr">
        <is>
          <t>ATRIBUTO DE ACERTO</t>
        </is>
      </c>
      <c r="AI627" s="16" t="n"/>
      <c r="AJ627" s="17" t="n"/>
      <c r="AK627" s="55" t="inlineStr">
        <is>
          <t>FÍSICO USA</t>
        </is>
      </c>
      <c r="AL627" s="17" t="n"/>
      <c r="AM627" s="125" t="n"/>
      <c r="AN627" s="55" t="inlineStr">
        <is>
          <t>MÃO 1</t>
        </is>
      </c>
      <c r="AO627" s="134" t="n"/>
      <c r="AP627" s="16" t="n"/>
      <c r="AQ627" s="17" t="n"/>
      <c r="AR627" s="89" t="n"/>
      <c r="AS627" s="125" t="n"/>
    </row>
    <row r="628" hidden="1" outlineLevel="1">
      <c r="A628" s="8" t="n"/>
      <c r="B628" s="14" t="n"/>
      <c r="C628" s="125" t="n"/>
      <c r="D628" s="125" t="n"/>
      <c r="E628" s="125" t="n"/>
      <c r="F628" s="125" t="n"/>
      <c r="G628" s="125" t="n"/>
      <c r="I628" s="21" t="n"/>
      <c r="M628" s="22" t="n"/>
      <c r="N628" s="125" t="n"/>
      <c r="O628" s="89" t="n"/>
      <c r="P628" s="19" t="n"/>
      <c r="Q628" s="20" t="n"/>
      <c r="R628" s="89" t="inlineStr">
        <is>
          <t>Força</t>
        </is>
      </c>
      <c r="S628" s="20" t="n"/>
      <c r="T628" s="125" t="n"/>
      <c r="U628" s="55" t="inlineStr">
        <is>
          <t>MÃO 2</t>
        </is>
      </c>
      <c r="V628" s="134" t="n"/>
      <c r="W628" s="16" t="n"/>
      <c r="X628" s="17" t="n"/>
      <c r="Y628" s="89" t="n"/>
      <c r="Z628" s="125" t="n"/>
      <c r="AB628" s="21" t="n"/>
      <c r="AF628" s="22" t="n"/>
      <c r="AG628" s="125" t="n"/>
      <c r="AH628" s="89" t="n"/>
      <c r="AI628" s="19" t="n"/>
      <c r="AJ628" s="20" t="n"/>
      <c r="AK628" s="89" t="inlineStr">
        <is>
          <t>Força</t>
        </is>
      </c>
      <c r="AL628" s="20" t="n"/>
      <c r="AM628" s="125" t="n"/>
      <c r="AN628" s="55" t="inlineStr">
        <is>
          <t>MÃO 2</t>
        </is>
      </c>
      <c r="AO628" s="134" t="n"/>
      <c r="AP628" s="16" t="n"/>
      <c r="AQ628" s="17" t="n"/>
      <c r="AR628" s="89" t="n"/>
      <c r="AS628" s="125" t="n"/>
    </row>
    <row r="629" hidden="1" outlineLevel="1">
      <c r="A629" s="8" t="n"/>
      <c r="B629" s="14" t="n"/>
      <c r="C629" s="125" t="n"/>
      <c r="D629" s="125" t="n"/>
      <c r="E629" s="125" t="n"/>
      <c r="F629" s="125" t="n"/>
      <c r="G629" s="125" t="n"/>
      <c r="I629" s="21" t="n"/>
      <c r="M629" s="22" t="n"/>
      <c r="N629" s="125" t="n"/>
      <c r="O629" s="23" t="n"/>
      <c r="P629" s="24" t="n"/>
      <c r="Q629" s="25" t="n"/>
      <c r="R629" s="23" t="n"/>
      <c r="S629" s="25" t="n"/>
      <c r="T629" s="125" t="n"/>
      <c r="U629" s="55" t="inlineStr">
        <is>
          <t>VESTE</t>
        </is>
      </c>
      <c r="V629" s="134" t="n"/>
      <c r="W629" s="16" t="n"/>
      <c r="X629" s="17" t="n"/>
      <c r="Y629" s="89" t="n"/>
      <c r="Z629" s="125" t="n"/>
      <c r="AB629" s="21" t="n"/>
      <c r="AF629" s="22" t="n"/>
      <c r="AG629" s="125" t="n"/>
      <c r="AH629" s="23" t="n"/>
      <c r="AI629" s="24" t="n"/>
      <c r="AJ629" s="25" t="n"/>
      <c r="AK629" s="23" t="n"/>
      <c r="AL629" s="25" t="n"/>
      <c r="AM629" s="125" t="n"/>
      <c r="AN629" s="55" t="inlineStr">
        <is>
          <t>VESTE</t>
        </is>
      </c>
      <c r="AO629" s="134" t="n"/>
      <c r="AP629" s="16" t="n"/>
      <c r="AQ629" s="17" t="n"/>
      <c r="AR629" s="89" t="n"/>
      <c r="AS629" s="125" t="n"/>
    </row>
    <row r="630" hidden="1" outlineLevel="1">
      <c r="A630" s="8" t="n"/>
      <c r="B630" s="14" t="n"/>
      <c r="C630" s="125" t="n"/>
      <c r="D630" s="125" t="n"/>
      <c r="E630" s="125" t="n"/>
      <c r="F630" s="125" t="n"/>
      <c r="G630" s="125" t="n"/>
      <c r="I630" s="21" t="n"/>
      <c r="M630" s="22" t="n"/>
      <c r="N630" s="125" t="n"/>
      <c r="O630" s="125" t="n"/>
      <c r="P630" s="125" t="n"/>
      <c r="Q630" s="125" t="n"/>
      <c r="R630" s="125" t="n"/>
      <c r="S630" s="125" t="n"/>
      <c r="T630" s="125" t="n"/>
      <c r="U630" s="55" t="inlineStr">
        <is>
          <t>GUARDADO · SÓ COM A CARACTERÍSTICA DE TRANSPORTE</t>
        </is>
      </c>
      <c r="V630" s="16" t="n"/>
      <c r="W630" s="16" t="n"/>
      <c r="X630" s="17" t="n"/>
      <c r="Y630" s="55" t="inlineStr">
        <is>
          <t>VOL.</t>
        </is>
      </c>
      <c r="Z630" s="125" t="n"/>
      <c r="AB630" s="21" t="n"/>
      <c r="AF630" s="22" t="n"/>
      <c r="AG630" s="125" t="n"/>
      <c r="AH630" s="125" t="n"/>
      <c r="AI630" s="125" t="n"/>
      <c r="AJ630" s="125" t="n"/>
      <c r="AK630" s="125" t="n"/>
      <c r="AL630" s="125" t="n"/>
      <c r="AM630" s="125" t="n"/>
      <c r="AN630" s="55" t="inlineStr">
        <is>
          <t>GUARDADO · SÓ COM A CARACTERÍSTICA DE TRANSPORTE</t>
        </is>
      </c>
      <c r="AO630" s="16" t="n"/>
      <c r="AP630" s="16" t="n"/>
      <c r="AQ630" s="17" t="n"/>
      <c r="AR630" s="55" t="inlineStr">
        <is>
          <t>VOL.</t>
        </is>
      </c>
      <c r="AS630" s="125" t="n"/>
    </row>
    <row r="631" hidden="1" outlineLevel="1">
      <c r="A631" s="8" t="n"/>
      <c r="B631" s="14" t="n"/>
      <c r="C631" s="125" t="n"/>
      <c r="D631" s="125" t="n"/>
      <c r="E631" s="125" t="n"/>
      <c r="F631" s="125" t="n"/>
      <c r="G631" s="125" t="n"/>
      <c r="I631" s="21" t="n"/>
      <c r="M631" s="22" t="n"/>
      <c r="N631" s="125" t="n"/>
      <c r="O631" s="55">
        <f>DADOS_INVOC!$HR$5</f>
        <v/>
      </c>
      <c r="P631" s="16" t="n"/>
      <c r="Q631" s="16" t="n"/>
      <c r="R631" s="16" t="n"/>
      <c r="S631" s="17" t="n"/>
      <c r="T631" s="125" t="n"/>
      <c r="U631" s="134" t="n"/>
      <c r="V631" s="16" t="n"/>
      <c r="W631" s="16" t="n"/>
      <c r="X631" s="17" t="n"/>
      <c r="Y631" s="89" t="n"/>
      <c r="Z631" s="125" t="n"/>
      <c r="AB631" s="21" t="n"/>
      <c r="AF631" s="22" t="n"/>
      <c r="AG631" s="125" t="n"/>
      <c r="AH631" s="55">
        <f>DADOS_INVOC!$HR$11</f>
        <v/>
      </c>
      <c r="AI631" s="16" t="n"/>
      <c r="AJ631" s="16" t="n"/>
      <c r="AK631" s="16" t="n"/>
      <c r="AL631" s="17" t="n"/>
      <c r="AM631" s="125" t="n"/>
      <c r="AN631" s="134" t="n"/>
      <c r="AO631" s="16" t="n"/>
      <c r="AP631" s="16" t="n"/>
      <c r="AQ631" s="17" t="n"/>
      <c r="AR631" s="89" t="n"/>
      <c r="AS631" s="125" t="n"/>
    </row>
    <row r="632" hidden="1" outlineLevel="1">
      <c r="A632" s="8" t="n"/>
      <c r="B632" s="14" t="n"/>
      <c r="C632" s="125" t="n"/>
      <c r="D632" s="125" t="n"/>
      <c r="E632" s="125" t="n"/>
      <c r="F632" s="125" t="n"/>
      <c r="G632" s="125" t="n"/>
      <c r="I632" s="21" t="n"/>
      <c r="M632" s="22" t="n"/>
      <c r="N632" s="125" t="n"/>
      <c r="O632" s="134" t="n"/>
      <c r="P632" s="16" t="n"/>
      <c r="Q632" s="17" t="n"/>
      <c r="R632" s="89">
        <f>DADOS_INVOC!$HS$5</f>
        <v/>
      </c>
      <c r="S632" s="17" t="n"/>
      <c r="T632" s="125" t="n"/>
      <c r="U632" s="134" t="n"/>
      <c r="V632" s="16" t="n"/>
      <c r="W632" s="16" t="n"/>
      <c r="X632" s="17" t="n"/>
      <c r="Y632" s="89" t="n"/>
      <c r="Z632" s="125" t="n"/>
      <c r="AB632" s="21" t="n"/>
      <c r="AF632" s="22" t="n"/>
      <c r="AG632" s="125" t="n"/>
      <c r="AH632" s="134" t="n"/>
      <c r="AI632" s="16" t="n"/>
      <c r="AJ632" s="17" t="n"/>
      <c r="AK632" s="89">
        <f>DADOS_INVOC!$HS$11</f>
        <v/>
      </c>
      <c r="AL632" s="17" t="n"/>
      <c r="AM632" s="125" t="n"/>
      <c r="AN632" s="134" t="n"/>
      <c r="AO632" s="16" t="n"/>
      <c r="AP632" s="16" t="n"/>
      <c r="AQ632" s="17" t="n"/>
      <c r="AR632" s="89" t="n"/>
      <c r="AS632" s="125" t="n"/>
    </row>
    <row r="633" hidden="1" outlineLevel="1">
      <c r="A633" s="8" t="n"/>
      <c r="B633" s="14" t="n"/>
      <c r="C633" s="125" t="n"/>
      <c r="D633" s="125" t="n"/>
      <c r="E633" s="125" t="n"/>
      <c r="F633" s="125" t="n"/>
      <c r="G633" s="125" t="n"/>
      <c r="I633" s="21" t="n"/>
      <c r="M633" s="22" t="n"/>
      <c r="N633" s="125" t="n"/>
      <c r="O633" s="134" t="n"/>
      <c r="P633" s="16" t="n"/>
      <c r="Q633" s="17" t="n"/>
      <c r="R633" s="89">
        <f>DADOS_INVOC!$HT$5</f>
        <v/>
      </c>
      <c r="S633" s="17" t="n"/>
      <c r="T633" s="125" t="n"/>
      <c r="U633" s="134" t="n"/>
      <c r="V633" s="16" t="n"/>
      <c r="W633" s="16" t="n"/>
      <c r="X633" s="17" t="n"/>
      <c r="Y633" s="89" t="n"/>
      <c r="Z633" s="125" t="n"/>
      <c r="AB633" s="21" t="n"/>
      <c r="AF633" s="22" t="n"/>
      <c r="AG633" s="125" t="n"/>
      <c r="AH633" s="134" t="n"/>
      <c r="AI633" s="16" t="n"/>
      <c r="AJ633" s="17" t="n"/>
      <c r="AK633" s="89">
        <f>DADOS_INVOC!$HT$11</f>
        <v/>
      </c>
      <c r="AL633" s="17" t="n"/>
      <c r="AM633" s="125" t="n"/>
      <c r="AN633" s="134" t="n"/>
      <c r="AO633" s="16" t="n"/>
      <c r="AP633" s="16" t="n"/>
      <c r="AQ633" s="17" t="n"/>
      <c r="AR633" s="89" t="n"/>
      <c r="AS633" s="125" t="n"/>
    </row>
    <row r="634" hidden="1" outlineLevel="1">
      <c r="A634" s="8" t="n"/>
      <c r="B634" s="14" t="n"/>
      <c r="C634" s="125" t="n"/>
      <c r="D634" s="125" t="n"/>
      <c r="E634" s="125" t="n"/>
      <c r="F634" s="125" t="n"/>
      <c r="G634" s="125" t="n"/>
      <c r="I634" s="23" t="n"/>
      <c r="J634" s="24" t="n"/>
      <c r="K634" s="24" t="n"/>
      <c r="L634" s="24" t="n"/>
      <c r="M634" s="25" t="n"/>
      <c r="N634" s="125" t="n"/>
      <c r="O634" s="134" t="n"/>
      <c r="P634" s="16" t="n"/>
      <c r="Q634" s="17" t="n"/>
      <c r="R634" s="89">
        <f>DADOS_INVOC!$HU$5</f>
        <v/>
      </c>
      <c r="S634" s="17" t="n"/>
      <c r="T634" s="125" t="n"/>
      <c r="U634" s="134" t="n"/>
      <c r="V634" s="16" t="n"/>
      <c r="W634" s="16" t="n"/>
      <c r="X634" s="17" t="n"/>
      <c r="Y634" s="89" t="n"/>
      <c r="Z634" s="125" t="n"/>
      <c r="AB634" s="23" t="n"/>
      <c r="AC634" s="24" t="n"/>
      <c r="AD634" s="24" t="n"/>
      <c r="AE634" s="24" t="n"/>
      <c r="AF634" s="25" t="n"/>
      <c r="AG634" s="125" t="n"/>
      <c r="AH634" s="134" t="n"/>
      <c r="AI634" s="16" t="n"/>
      <c r="AJ634" s="17" t="n"/>
      <c r="AK634" s="89">
        <f>DADOS_INVOC!$HU$11</f>
        <v/>
      </c>
      <c r="AL634" s="17" t="n"/>
      <c r="AM634" s="125" t="n"/>
      <c r="AN634" s="134" t="n"/>
      <c r="AO634" s="16" t="n"/>
      <c r="AP634" s="16" t="n"/>
      <c r="AQ634" s="17" t="n"/>
      <c r="AR634" s="89" t="n"/>
      <c r="AS634" s="125" t="n"/>
    </row>
    <row r="635" hidden="1" outlineLevel="1">
      <c r="A635" s="8" t="n"/>
      <c r="B635" s="14" t="n"/>
      <c r="C635" s="125" t="n"/>
      <c r="D635" s="125" t="n"/>
      <c r="E635" s="125" t="n"/>
      <c r="F635" s="125" t="n"/>
      <c r="G635" s="125" t="n"/>
      <c r="I635" s="125" t="n"/>
      <c r="J635" s="125" t="n"/>
      <c r="K635" s="125" t="n"/>
      <c r="L635" s="125" t="n"/>
      <c r="M635" s="125" t="n"/>
      <c r="N635" s="125" t="n"/>
      <c r="O635" s="134" t="n"/>
      <c r="P635" s="16" t="n"/>
      <c r="Q635" s="17" t="n"/>
      <c r="R635" s="89">
        <f>DADOS_INVOC!$HV$5</f>
        <v/>
      </c>
      <c r="S635" s="17" t="n"/>
      <c r="T635" s="125" t="n"/>
      <c r="U635" s="134" t="n"/>
      <c r="V635" s="16" t="n"/>
      <c r="W635" s="16" t="n"/>
      <c r="X635" s="17" t="n"/>
      <c r="Y635" s="89" t="n"/>
      <c r="Z635" s="125" t="n"/>
      <c r="AB635" s="125" t="n"/>
      <c r="AC635" s="125" t="n"/>
      <c r="AD635" s="125" t="n"/>
      <c r="AE635" s="125" t="n"/>
      <c r="AF635" s="125" t="n"/>
      <c r="AG635" s="125" t="n"/>
      <c r="AH635" s="134" t="n"/>
      <c r="AI635" s="16" t="n"/>
      <c r="AJ635" s="17" t="n"/>
      <c r="AK635" s="89">
        <f>DADOS_INVOC!$HV$11</f>
        <v/>
      </c>
      <c r="AL635" s="17" t="n"/>
      <c r="AM635" s="125" t="n"/>
      <c r="AN635" s="134" t="n"/>
      <c r="AO635" s="16" t="n"/>
      <c r="AP635" s="16" t="n"/>
      <c r="AQ635" s="17" t="n"/>
      <c r="AR635" s="89" t="n"/>
      <c r="AS635" s="125" t="n"/>
    </row>
    <row r="636" hidden="1" outlineLevel="1">
      <c r="A636" s="8" t="n"/>
      <c r="B636" s="14" t="n"/>
      <c r="C636" s="125" t="n"/>
      <c r="D636" s="125" t="n"/>
      <c r="E636" s="125" t="n"/>
      <c r="F636" s="125" t="n"/>
      <c r="G636" s="125" t="n"/>
      <c r="I636" s="55" t="inlineStr">
        <is>
          <t>TIPO</t>
        </is>
      </c>
      <c r="J636" s="16" t="n"/>
      <c r="K636" s="16" t="n"/>
      <c r="L636" s="16" t="n"/>
      <c r="M636" s="17" t="n"/>
      <c r="N636" s="125" t="n"/>
      <c r="O636" s="134" t="n"/>
      <c r="P636" s="16" t="n"/>
      <c r="Q636" s="17" t="n"/>
      <c r="R636" s="89">
        <f>DADOS_INVOC!$HW$5</f>
        <v/>
      </c>
      <c r="S636" s="17" t="n"/>
      <c r="T636" s="125" t="n"/>
      <c r="U636" s="134" t="n"/>
      <c r="V636" s="16" t="n"/>
      <c r="W636" s="16" t="n"/>
      <c r="X636" s="17" t="n"/>
      <c r="Y636" s="89" t="n"/>
      <c r="Z636" s="125" t="n"/>
      <c r="AB636" s="55" t="inlineStr">
        <is>
          <t>TIPO</t>
        </is>
      </c>
      <c r="AC636" s="16" t="n"/>
      <c r="AD636" s="16" t="n"/>
      <c r="AE636" s="16" t="n"/>
      <c r="AF636" s="17" t="n"/>
      <c r="AG636" s="125" t="n"/>
      <c r="AH636" s="134" t="n"/>
      <c r="AI636" s="16" t="n"/>
      <c r="AJ636" s="17" t="n"/>
      <c r="AK636" s="89">
        <f>DADOS_INVOC!$HW$11</f>
        <v/>
      </c>
      <c r="AL636" s="17" t="n"/>
      <c r="AM636" s="125" t="n"/>
      <c r="AN636" s="134" t="n"/>
      <c r="AO636" s="16" t="n"/>
      <c r="AP636" s="16" t="n"/>
      <c r="AQ636" s="17" t="n"/>
      <c r="AR636" s="89" t="n"/>
      <c r="AS636" s="125" t="n"/>
    </row>
    <row r="637" hidden="1" outlineLevel="1">
      <c r="A637" s="8" t="n"/>
      <c r="B637" s="14" t="n"/>
      <c r="C637" s="125" t="n"/>
      <c r="D637" s="125" t="n"/>
      <c r="E637" s="125" t="n"/>
      <c r="F637" s="125" t="n"/>
      <c r="G637" s="125" t="n"/>
      <c r="I637" s="89" t="inlineStr">
        <is>
          <t>Shikigami de técnica</t>
        </is>
      </c>
      <c r="J637" s="19" t="n"/>
      <c r="K637" s="19" t="n"/>
      <c r="L637" s="19" t="n"/>
      <c r="M637" s="20" t="n"/>
      <c r="N637" s="125" t="n"/>
      <c r="O637" s="134" t="n"/>
      <c r="P637" s="16" t="n"/>
      <c r="Q637" s="17" t="n"/>
      <c r="R637" s="89">
        <f>DADOS_INVOC!$HX$5</f>
        <v/>
      </c>
      <c r="S637" s="17" t="n"/>
      <c r="T637" s="125" t="n"/>
      <c r="U637" s="125" t="n"/>
      <c r="V637" s="125" t="n"/>
      <c r="W637" s="125" t="n"/>
      <c r="X637" s="125" t="n"/>
      <c r="Y637" s="125" t="n"/>
      <c r="Z637" s="125" t="n"/>
      <c r="AB637" s="89" t="inlineStr">
        <is>
          <t>Shikigami de técnica</t>
        </is>
      </c>
      <c r="AC637" s="19" t="n"/>
      <c r="AD637" s="19" t="n"/>
      <c r="AE637" s="19" t="n"/>
      <c r="AF637" s="20" t="n"/>
      <c r="AG637" s="125" t="n"/>
      <c r="AH637" s="134" t="n"/>
      <c r="AI637" s="16" t="n"/>
      <c r="AJ637" s="17" t="n"/>
      <c r="AK637" s="89">
        <f>DADOS_INVOC!$HX$11</f>
        <v/>
      </c>
      <c r="AL637" s="17" t="n"/>
      <c r="AM637" s="125" t="n"/>
      <c r="AN637" s="125" t="n"/>
      <c r="AO637" s="125" t="n"/>
      <c r="AP637" s="125" t="n"/>
      <c r="AQ637" s="125" t="n"/>
      <c r="AR637" s="125" t="n"/>
      <c r="AS637" s="125" t="n"/>
    </row>
    <row r="638" hidden="1" outlineLevel="1">
      <c r="A638" s="8" t="n"/>
      <c r="B638" s="14" t="n"/>
      <c r="C638" s="125" t="n"/>
      <c r="D638" s="125" t="n"/>
      <c r="E638" s="125" t="n"/>
      <c r="F638" s="125" t="n"/>
      <c r="G638" s="125" t="n"/>
      <c r="I638" s="23" t="n"/>
      <c r="J638" s="24" t="n"/>
      <c r="K638" s="24" t="n"/>
      <c r="L638" s="24" t="n"/>
      <c r="M638" s="25" t="n"/>
      <c r="N638" s="125" t="n"/>
      <c r="O638" s="134" t="n"/>
      <c r="P638" s="16" t="n"/>
      <c r="Q638" s="17" t="n"/>
      <c r="R638" s="89">
        <f>DADOS_INVOC!$HY$5</f>
        <v/>
      </c>
      <c r="S638" s="17" t="n"/>
      <c r="T638" s="125" t="n"/>
      <c r="U638" s="55" t="inlineStr">
        <is>
          <t>CORPO, SENTIDOS E COMUNICAÇÃO</t>
        </is>
      </c>
      <c r="V638" s="16" t="n"/>
      <c r="W638" s="16" t="n"/>
      <c r="X638" s="16" t="n"/>
      <c r="Y638" s="17" t="n"/>
      <c r="Z638" s="125" t="n"/>
      <c r="AB638" s="23" t="n"/>
      <c r="AC638" s="24" t="n"/>
      <c r="AD638" s="24" t="n"/>
      <c r="AE638" s="24" t="n"/>
      <c r="AF638" s="25" t="n"/>
      <c r="AG638" s="125" t="n"/>
      <c r="AH638" s="134" t="n"/>
      <c r="AI638" s="16" t="n"/>
      <c r="AJ638" s="17" t="n"/>
      <c r="AK638" s="89">
        <f>DADOS_INVOC!$HY$11</f>
        <v/>
      </c>
      <c r="AL638" s="17" t="n"/>
      <c r="AM638" s="125" t="n"/>
      <c r="AN638" s="55" t="inlineStr">
        <is>
          <t>CORPO, SENTIDOS E COMUNICAÇÃO</t>
        </is>
      </c>
      <c r="AO638" s="16" t="n"/>
      <c r="AP638" s="16" t="n"/>
      <c r="AQ638" s="16" t="n"/>
      <c r="AR638" s="17" t="n"/>
      <c r="AS638" s="125" t="n"/>
    </row>
    <row r="639" hidden="1" outlineLevel="1">
      <c r="A639" s="8" t="n"/>
      <c r="B639" s="14" t="n"/>
      <c r="C639" s="125" t="n"/>
      <c r="D639" s="125" t="n"/>
      <c r="E639" s="125" t="n"/>
      <c r="F639" s="125" t="n"/>
      <c r="G639" s="125" t="n"/>
      <c r="I639" s="125" t="n"/>
      <c r="J639" s="125" t="n"/>
      <c r="K639" s="125" t="n"/>
      <c r="L639" s="125" t="n"/>
      <c r="M639" s="125" t="n"/>
      <c r="N639" s="125" t="n"/>
      <c r="O639" s="125" t="n"/>
      <c r="P639" s="125" t="n"/>
      <c r="Q639" s="125" t="n"/>
      <c r="R639" s="125" t="n"/>
      <c r="S639" s="125" t="n"/>
      <c r="T639" s="125" t="n"/>
      <c r="U639" s="121" t="n"/>
      <c r="V639" s="19" t="n"/>
      <c r="W639" s="19" t="n"/>
      <c r="X639" s="19" t="n"/>
      <c r="Y639" s="20" t="n"/>
      <c r="Z639" s="125" t="n"/>
      <c r="AB639" s="125" t="n"/>
      <c r="AC639" s="125" t="n"/>
      <c r="AD639" s="125" t="n"/>
      <c r="AE639" s="125" t="n"/>
      <c r="AF639" s="125" t="n"/>
      <c r="AG639" s="125" t="n"/>
      <c r="AH639" s="125" t="n"/>
      <c r="AI639" s="125" t="n"/>
      <c r="AJ639" s="125" t="n"/>
      <c r="AK639" s="125" t="n"/>
      <c r="AL639" s="125" t="n"/>
      <c r="AM639" s="125" t="n"/>
      <c r="AN639" s="121" t="n"/>
      <c r="AO639" s="19" t="n"/>
      <c r="AP639" s="19" t="n"/>
      <c r="AQ639" s="19" t="n"/>
      <c r="AR639" s="20" t="n"/>
      <c r="AS639" s="125" t="n"/>
    </row>
    <row r="640" hidden="1" outlineLevel="1">
      <c r="A640" s="8" t="n"/>
      <c r="B640" s="14" t="n"/>
      <c r="C640" s="125" t="n"/>
      <c r="D640" s="125" t="n"/>
      <c r="E640" s="125" t="n"/>
      <c r="F640" s="125" t="n"/>
      <c r="G640" s="125" t="n"/>
      <c r="I640" s="55" t="inlineStr">
        <is>
          <t>AQUISIÇÃO</t>
        </is>
      </c>
      <c r="J640" s="17" t="n"/>
      <c r="K640" s="55" t="inlineStr">
        <is>
          <t>OBTIDA NO NÍVEL</t>
        </is>
      </c>
      <c r="L640" s="55" t="inlineStr">
        <is>
          <t>TALISMÃ</t>
        </is>
      </c>
      <c r="M640" s="17" t="n"/>
      <c r="N640" s="125" t="n"/>
      <c r="O640" s="55">
        <f>DADOS_INVOC!$IB$5</f>
        <v/>
      </c>
      <c r="P640" s="16" t="n"/>
      <c r="Q640" s="16" t="n"/>
      <c r="R640" s="16" t="n"/>
      <c r="S640" s="17" t="n"/>
      <c r="T640" s="125" t="n"/>
      <c r="U640" s="21" t="n"/>
      <c r="Y640" s="22" t="n"/>
      <c r="Z640" s="125" t="n"/>
      <c r="AB640" s="55" t="inlineStr">
        <is>
          <t>AQUISIÇÃO</t>
        </is>
      </c>
      <c r="AC640" s="17" t="n"/>
      <c r="AD640" s="55" t="inlineStr">
        <is>
          <t>OBTIDA NO NÍVEL</t>
        </is>
      </c>
      <c r="AE640" s="55" t="inlineStr">
        <is>
          <t>TALISMÃ</t>
        </is>
      </c>
      <c r="AF640" s="17" t="n"/>
      <c r="AG640" s="125" t="n"/>
      <c r="AH640" s="55">
        <f>DADOS_INVOC!$IB$11</f>
        <v/>
      </c>
      <c r="AI640" s="16" t="n"/>
      <c r="AJ640" s="16" t="n"/>
      <c r="AK640" s="16" t="n"/>
      <c r="AL640" s="17" t="n"/>
      <c r="AM640" s="125" t="n"/>
      <c r="AN640" s="21" t="n"/>
      <c r="AR640" s="22" t="n"/>
      <c r="AS640" s="125" t="n"/>
    </row>
    <row r="641" hidden="1" outlineLevel="1">
      <c r="A641" s="8" t="n"/>
      <c r="B641" s="14" t="n"/>
      <c r="C641" s="125" t="n"/>
      <c r="D641" s="125" t="n"/>
      <c r="E641" s="125" t="n"/>
      <c r="F641" s="125" t="n"/>
      <c r="G641" s="125" t="n"/>
      <c r="I641" s="89" t="inlineStr">
        <is>
          <t>Espaço conhecido</t>
        </is>
      </c>
      <c r="J641" s="20" t="n"/>
      <c r="K641" s="89" t="n"/>
      <c r="L641" s="89" t="inlineStr">
        <is>
          <t>Sem carga</t>
        </is>
      </c>
      <c r="M641" s="20" t="n"/>
      <c r="N641" s="125" t="n"/>
      <c r="O641" s="55" t="inlineStr">
        <is>
          <t>LIVRE</t>
        </is>
      </c>
      <c r="P641" s="55" t="inlineStr">
        <is>
          <t>LIVRE · TRILHA</t>
        </is>
      </c>
      <c r="Q641" s="55" t="inlineStr">
        <is>
          <t>ABERTA</t>
        </is>
      </c>
      <c r="R641" s="55" t="inlineStr">
        <is>
          <t>ABERTA</t>
        </is>
      </c>
      <c r="S641" s="55" t="inlineStr">
        <is>
          <t>ABERTA · TRILHA</t>
        </is>
      </c>
      <c r="T641" s="125" t="n"/>
      <c r="U641" s="21" t="n"/>
      <c r="Y641" s="22" t="n"/>
      <c r="Z641" s="125" t="n"/>
      <c r="AB641" s="89" t="inlineStr">
        <is>
          <t>Espaço conhecido</t>
        </is>
      </c>
      <c r="AC641" s="20" t="n"/>
      <c r="AD641" s="89" t="n"/>
      <c r="AE641" s="89" t="inlineStr">
        <is>
          <t>Sem carga</t>
        </is>
      </c>
      <c r="AF641" s="20" t="n"/>
      <c r="AG641" s="125" t="n"/>
      <c r="AH641" s="55" t="inlineStr">
        <is>
          <t>LIVRE</t>
        </is>
      </c>
      <c r="AI641" s="55" t="inlineStr">
        <is>
          <t>LIVRE · TRILHA</t>
        </is>
      </c>
      <c r="AJ641" s="55" t="inlineStr">
        <is>
          <t>ABERTA</t>
        </is>
      </c>
      <c r="AK641" s="55" t="inlineStr">
        <is>
          <t>ABERTA</t>
        </is>
      </c>
      <c r="AL641" s="55" t="inlineStr">
        <is>
          <t>ABERTA · TRILHA</t>
        </is>
      </c>
      <c r="AM641" s="125" t="n"/>
      <c r="AN641" s="21" t="n"/>
      <c r="AR641" s="22" t="n"/>
      <c r="AS641" s="125" t="n"/>
    </row>
    <row r="642" hidden="1" outlineLevel="1">
      <c r="A642" s="8" t="n"/>
      <c r="B642" s="14" t="n"/>
      <c r="C642" s="125" t="n"/>
      <c r="D642" s="125" t="n"/>
      <c r="E642" s="125" t="n"/>
      <c r="F642" s="125" t="n"/>
      <c r="G642" s="125" t="n"/>
      <c r="I642" s="23" t="n"/>
      <c r="J642" s="25" t="n"/>
      <c r="K642" s="129" t="n"/>
      <c r="L642" s="23" t="n"/>
      <c r="M642" s="25" t="n"/>
      <c r="N642" s="125" t="n"/>
      <c r="O642" s="89" t="n"/>
      <c r="P642" s="89" t="n"/>
      <c r="Q642" s="89" t="n"/>
      <c r="R642" s="89" t="n"/>
      <c r="S642" s="89" t="n"/>
      <c r="T642" s="125" t="n"/>
      <c r="U642" s="21" t="n"/>
      <c r="Y642" s="22" t="n"/>
      <c r="Z642" s="125" t="n"/>
      <c r="AB642" s="23" t="n"/>
      <c r="AC642" s="25" t="n"/>
      <c r="AD642" s="129" t="n"/>
      <c r="AE642" s="23" t="n"/>
      <c r="AF642" s="25" t="n"/>
      <c r="AG642" s="125" t="n"/>
      <c r="AH642" s="89" t="n"/>
      <c r="AI642" s="89" t="n"/>
      <c r="AJ642" s="89" t="n"/>
      <c r="AK642" s="89" t="n"/>
      <c r="AL642" s="89" t="n"/>
      <c r="AM642" s="125" t="n"/>
      <c r="AN642" s="21" t="n"/>
      <c r="AR642" s="22" t="n"/>
      <c r="AS642" s="125" t="n"/>
    </row>
    <row r="643" hidden="1" outlineLevel="1">
      <c r="A643" s="8" t="n"/>
      <c r="B643" s="14" t="n"/>
      <c r="C643" s="125" t="n"/>
      <c r="D643" s="125" t="n"/>
      <c r="E643" s="125" t="n"/>
      <c r="F643" s="125" t="n"/>
      <c r="G643" s="125" t="n"/>
      <c r="I643" s="125" t="n"/>
      <c r="J643" s="125" t="n"/>
      <c r="K643" s="125" t="n"/>
      <c r="L643" s="125" t="n"/>
      <c r="M643" s="125" t="n"/>
      <c r="N643" s="125" t="n"/>
      <c r="O643" s="129" t="n"/>
      <c r="P643" s="129" t="n"/>
      <c r="Q643" s="129" t="n"/>
      <c r="R643" s="129" t="n"/>
      <c r="S643" s="129" t="n"/>
      <c r="T643" s="125" t="n"/>
      <c r="U643" s="23" t="n"/>
      <c r="V643" s="24" t="n"/>
      <c r="W643" s="24" t="n"/>
      <c r="X643" s="24" t="n"/>
      <c r="Y643" s="25" t="n"/>
      <c r="Z643" s="125" t="n"/>
      <c r="AB643" s="125" t="n"/>
      <c r="AC643" s="125" t="n"/>
      <c r="AD643" s="125" t="n"/>
      <c r="AE643" s="125" t="n"/>
      <c r="AF643" s="125" t="n"/>
      <c r="AG643" s="125" t="n"/>
      <c r="AH643" s="129" t="n"/>
      <c r="AI643" s="129" t="n"/>
      <c r="AJ643" s="129" t="n"/>
      <c r="AK643" s="129" t="n"/>
      <c r="AL643" s="129" t="n"/>
      <c r="AM643" s="125" t="n"/>
      <c r="AN643" s="23" t="n"/>
      <c r="AO643" s="24" t="n"/>
      <c r="AP643" s="24" t="n"/>
      <c r="AQ643" s="24" t="n"/>
      <c r="AR643" s="25" t="n"/>
      <c r="AS643" s="125" t="n"/>
    </row>
    <row r="644" hidden="1" outlineLevel="1">
      <c r="A644" s="8" t="n"/>
      <c r="B644" s="14" t="n"/>
      <c r="C644" s="125" t="n"/>
      <c r="D644" s="125" t="n"/>
      <c r="E644" s="125" t="n"/>
      <c r="F644" s="125" t="n"/>
      <c r="G644" s="125" t="n"/>
      <c r="I644" s="125" t="n"/>
      <c r="J644" s="125" t="n"/>
      <c r="K644" s="125" t="n"/>
      <c r="L644" s="125" t="n"/>
      <c r="M644" s="125" t="n"/>
      <c r="N644" s="125" t="n"/>
      <c r="O644" s="125" t="n"/>
      <c r="P644" s="125" t="n"/>
      <c r="Q644" s="125" t="n"/>
      <c r="R644" s="125" t="n"/>
      <c r="S644" s="125" t="n"/>
      <c r="T644" s="125" t="n"/>
      <c r="U644" s="125" t="n"/>
      <c r="V644" s="125" t="n"/>
      <c r="W644" s="125" t="n"/>
      <c r="X644" s="125" t="n"/>
      <c r="Y644" s="125" t="n"/>
      <c r="Z644" s="125" t="n"/>
      <c r="AB644" s="125" t="n"/>
      <c r="AC644" s="125" t="n"/>
      <c r="AD644" s="125" t="n"/>
      <c r="AE644" s="125" t="n"/>
      <c r="AF644" s="125" t="n"/>
      <c r="AG644" s="125" t="n"/>
      <c r="AH644" s="125" t="n"/>
      <c r="AI644" s="125" t="n"/>
      <c r="AJ644" s="125" t="n"/>
      <c r="AK644" s="125" t="n"/>
      <c r="AL644" s="125" t="n"/>
      <c r="AM644" s="125" t="n"/>
      <c r="AN644" s="125" t="n"/>
      <c r="AO644" s="125" t="n"/>
      <c r="AP644" s="125" t="n"/>
      <c r="AQ644" s="125" t="n"/>
      <c r="AR644" s="125" t="n"/>
      <c r="AS644" s="125" t="n"/>
    </row>
    <row r="645" hidden="1" outlineLevel="1">
      <c r="A645" s="8" t="n"/>
      <c r="B645" s="14" t="n"/>
      <c r="C645" s="125" t="n"/>
      <c r="D645" s="125" t="n"/>
      <c r="E645" s="125" t="n"/>
      <c r="F645" s="125" t="n"/>
      <c r="G645" s="125"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5"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5" t="n"/>
    </row>
    <row r="646" hidden="1" outlineLevel="1">
      <c r="A646" s="8" t="n"/>
      <c r="B646" s="14" t="n"/>
      <c r="C646" s="125" t="n"/>
      <c r="D646" s="125" t="n"/>
      <c r="E646" s="125" t="n"/>
      <c r="F646" s="125" t="n"/>
      <c r="G646" s="125" t="n"/>
      <c r="I646" s="121" t="n"/>
      <c r="J646" s="19" t="n"/>
      <c r="K646" s="19" t="n"/>
      <c r="L646" s="19" t="n"/>
      <c r="M646" s="19" t="n"/>
      <c r="N646" s="19" t="n"/>
      <c r="O646" s="19" t="n"/>
      <c r="P646" s="19" t="n"/>
      <c r="Q646" s="19" t="n"/>
      <c r="R646" s="19" t="n"/>
      <c r="S646" s="19" t="n"/>
      <c r="T646" s="19" t="n"/>
      <c r="U646" s="19" t="n"/>
      <c r="V646" s="19" t="n"/>
      <c r="W646" s="19" t="n"/>
      <c r="X646" s="19" t="n"/>
      <c r="Y646" s="20" t="n"/>
      <c r="Z646" s="125" t="n"/>
      <c r="AB646" s="121" t="n"/>
      <c r="AC646" s="19" t="n"/>
      <c r="AD646" s="19" t="n"/>
      <c r="AE646" s="19" t="n"/>
      <c r="AF646" s="19" t="n"/>
      <c r="AG646" s="19" t="n"/>
      <c r="AH646" s="19" t="n"/>
      <c r="AI646" s="19" t="n"/>
      <c r="AJ646" s="19" t="n"/>
      <c r="AK646" s="19" t="n"/>
      <c r="AL646" s="19" t="n"/>
      <c r="AM646" s="19" t="n"/>
      <c r="AN646" s="19" t="n"/>
      <c r="AO646" s="19" t="n"/>
      <c r="AP646" s="19" t="n"/>
      <c r="AQ646" s="19" t="n"/>
      <c r="AR646" s="20" t="n"/>
      <c r="AS646" s="125" t="n"/>
    </row>
    <row r="647" hidden="1" outlineLevel="1">
      <c r="A647" s="8" t="n"/>
      <c r="B647" s="14" t="n"/>
      <c r="C647" s="125" t="n"/>
      <c r="D647" s="125" t="n"/>
      <c r="E647" s="125" t="n"/>
      <c r="F647" s="125" t="n"/>
      <c r="G647" s="125" t="n"/>
      <c r="I647" s="23" t="n"/>
      <c r="J647" s="24" t="n"/>
      <c r="K647" s="24" t="n"/>
      <c r="L647" s="24" t="n"/>
      <c r="M647" s="24" t="n"/>
      <c r="N647" s="24" t="n"/>
      <c r="O647" s="24" t="n"/>
      <c r="P647" s="24" t="n"/>
      <c r="Q647" s="24" t="n"/>
      <c r="R647" s="24" t="n"/>
      <c r="S647" s="24" t="n"/>
      <c r="T647" s="24" t="n"/>
      <c r="U647" s="24" t="n"/>
      <c r="V647" s="24" t="n"/>
      <c r="W647" s="24" t="n"/>
      <c r="X647" s="24" t="n"/>
      <c r="Y647" s="25" t="n"/>
      <c r="Z647" s="125"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5" t="n"/>
    </row>
    <row r="648" hidden="1" outlineLevel="1">
      <c r="A648" s="8" t="n"/>
      <c r="B648" s="14" t="n"/>
      <c r="C648" s="125" t="n"/>
      <c r="D648" s="125" t="n"/>
      <c r="E648" s="125" t="n"/>
      <c r="F648" s="125" t="n"/>
      <c r="G648" s="125" t="n"/>
      <c r="I648" s="125" t="n"/>
      <c r="J648" s="125" t="n"/>
      <c r="K648" s="125" t="n"/>
      <c r="L648" s="125" t="n"/>
      <c r="M648" s="125" t="n"/>
      <c r="N648" s="125" t="n"/>
      <c r="O648" s="125" t="n"/>
      <c r="P648" s="125" t="n"/>
      <c r="Q648" s="125" t="n"/>
      <c r="R648" s="125" t="n"/>
      <c r="S648" s="125" t="n"/>
      <c r="T648" s="125" t="n"/>
      <c r="U648" s="125" t="n"/>
      <c r="V648" s="125" t="n"/>
      <c r="W648" s="125" t="n"/>
      <c r="X648" s="125" t="n"/>
      <c r="Y648" s="125" t="n"/>
      <c r="Z648" s="125" t="n"/>
      <c r="AB648" s="125" t="n"/>
      <c r="AC648" s="125" t="n"/>
      <c r="AD648" s="125" t="n"/>
      <c r="AE648" s="125" t="n"/>
      <c r="AF648" s="125" t="n"/>
      <c r="AG648" s="125" t="n"/>
      <c r="AH648" s="125" t="n"/>
      <c r="AI648" s="125" t="n"/>
      <c r="AJ648" s="125" t="n"/>
      <c r="AK648" s="125" t="n"/>
      <c r="AL648" s="125" t="n"/>
      <c r="AM648" s="125" t="n"/>
      <c r="AN648" s="125" t="n"/>
      <c r="AO648" s="125" t="n"/>
      <c r="AP648" s="125" t="n"/>
      <c r="AQ648" s="125" t="n"/>
      <c r="AR648" s="125" t="n"/>
      <c r="AS648" s="125" t="n"/>
    </row>
    <row r="649" hidden="1" outlineLevel="1">
      <c r="A649" s="8" t="n"/>
      <c r="B649" s="14" t="n"/>
      <c r="C649" s="125" t="n"/>
      <c r="D649" s="125" t="n"/>
      <c r="E649" s="125" t="n"/>
      <c r="F649" s="125" t="n"/>
      <c r="G649" s="125" t="n"/>
      <c r="I649" s="137">
        <f>DADOS_INVOC!$IC$5</f>
        <v/>
      </c>
      <c r="J649" s="16" t="n"/>
      <c r="K649" s="16" t="n"/>
      <c r="L649" s="16" t="n"/>
      <c r="M649" s="16" t="n"/>
      <c r="N649" s="16" t="n"/>
      <c r="O649" s="16" t="n"/>
      <c r="P649" s="16" t="n"/>
      <c r="Q649" s="16" t="n"/>
      <c r="R649" s="16" t="n"/>
      <c r="S649" s="16" t="n"/>
      <c r="T649" s="16" t="n"/>
      <c r="U649" s="16" t="n"/>
      <c r="V649" s="16" t="n"/>
      <c r="W649" s="16" t="n"/>
      <c r="X649" s="16" t="n"/>
      <c r="Y649" s="17" t="n"/>
      <c r="Z649" s="125" t="n"/>
      <c r="AB649" s="137">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5" t="n"/>
    </row>
    <row r="650" hidden="1" outlineLevel="1">
      <c r="A650" s="8" t="n"/>
      <c r="B650" s="14" t="n"/>
      <c r="C650" s="125" t="n"/>
      <c r="D650" s="125" t="n"/>
      <c r="E650" s="125" t="n"/>
      <c r="F650" s="125" t="n"/>
      <c r="G650" s="125" t="n"/>
      <c r="I650" s="125" t="n"/>
      <c r="J650" s="125" t="n"/>
      <c r="K650" s="125" t="n"/>
      <c r="L650" s="125" t="n"/>
      <c r="M650" s="125" t="n"/>
      <c r="N650" s="125" t="n"/>
      <c r="O650" s="125" t="n"/>
      <c r="P650" s="125" t="n"/>
      <c r="Q650" s="125" t="n"/>
      <c r="R650" s="125" t="n"/>
      <c r="S650" s="125" t="n"/>
      <c r="T650" s="125" t="n"/>
      <c r="U650" s="125" t="n"/>
      <c r="V650" s="125" t="n"/>
      <c r="W650" s="125" t="n"/>
      <c r="X650" s="125" t="n"/>
      <c r="Y650" s="125" t="n"/>
      <c r="Z650" s="125" t="n"/>
      <c r="AB650" s="125" t="n"/>
      <c r="AC650" s="125" t="n"/>
      <c r="AD650" s="125" t="n"/>
      <c r="AE650" s="125" t="n"/>
      <c r="AF650" s="125" t="n"/>
      <c r="AG650" s="125" t="n"/>
      <c r="AH650" s="125" t="n"/>
      <c r="AI650" s="125" t="n"/>
      <c r="AJ650" s="125" t="n"/>
      <c r="AK650" s="125" t="n"/>
      <c r="AL650" s="125" t="n"/>
      <c r="AM650" s="125" t="n"/>
      <c r="AN650" s="125" t="n"/>
      <c r="AO650" s="125" t="n"/>
      <c r="AP650" s="125" t="n"/>
      <c r="AQ650" s="125" t="n"/>
      <c r="AR650" s="125" t="n"/>
      <c r="AS650" s="125" t="n"/>
    </row>
    <row r="651" hidden="1" outlineLevel="1">
      <c r="A651" s="8" t="n"/>
      <c r="B651" s="14" t="n"/>
      <c r="C651" s="125" t="n"/>
      <c r="D651" s="125" t="n"/>
      <c r="E651" s="125" t="n"/>
      <c r="F651" s="125" t="n"/>
      <c r="G651" s="125" t="n"/>
      <c r="I651" s="55">
        <f>DADOS_INVOC!$PX$41</f>
        <v/>
      </c>
      <c r="J651" s="16" t="n"/>
      <c r="K651" s="16" t="n"/>
      <c r="L651" s="16" t="n"/>
      <c r="M651" s="17" t="n"/>
      <c r="N651" s="125" t="n"/>
      <c r="O651" s="55">
        <f>DADOS_INVOC!$PX$42</f>
        <v/>
      </c>
      <c r="P651" s="16" t="n"/>
      <c r="Q651" s="16" t="n"/>
      <c r="R651" s="16" t="n"/>
      <c r="S651" s="17" t="n"/>
      <c r="T651" s="125" t="n"/>
      <c r="U651" s="55">
        <f>DADOS_INVOC!$PX$43</f>
        <v/>
      </c>
      <c r="V651" s="16" t="n"/>
      <c r="W651" s="16" t="n"/>
      <c r="X651" s="16" t="n"/>
      <c r="Y651" s="17" t="n"/>
      <c r="Z651" s="125" t="n"/>
      <c r="AB651" s="55">
        <f>DADOS_INVOC!$PX$119</f>
        <v/>
      </c>
      <c r="AC651" s="16" t="n"/>
      <c r="AD651" s="16" t="n"/>
      <c r="AE651" s="16" t="n"/>
      <c r="AF651" s="17" t="n"/>
      <c r="AG651" s="125" t="n"/>
      <c r="AH651" s="55">
        <f>DADOS_INVOC!$PX$120</f>
        <v/>
      </c>
      <c r="AI651" s="16" t="n"/>
      <c r="AJ651" s="16" t="n"/>
      <c r="AK651" s="16" t="n"/>
      <c r="AL651" s="17" t="n"/>
      <c r="AM651" s="125" t="n"/>
      <c r="AN651" s="55">
        <f>DADOS_INVOC!$PX$121</f>
        <v/>
      </c>
      <c r="AO651" s="16" t="n"/>
      <c r="AP651" s="16" t="n"/>
      <c r="AQ651" s="16" t="n"/>
      <c r="AR651" s="17" t="n"/>
      <c r="AS651" s="125" t="n"/>
    </row>
    <row r="652" hidden="1" outlineLevel="1">
      <c r="A652" s="8" t="n"/>
      <c r="B652" s="14" t="n"/>
      <c r="C652" s="125" t="n"/>
      <c r="D652" s="125" t="n"/>
      <c r="E652" s="125" t="n"/>
      <c r="F652" s="125" t="n"/>
      <c r="G652" s="125" t="n"/>
      <c r="I652" s="131" t="n">
        <v>0</v>
      </c>
      <c r="J652" s="120" t="n"/>
      <c r="K652" s="16" t="n"/>
      <c r="L652" s="17" t="n"/>
      <c r="M652" s="132">
        <f>DADOS_INVOC!$PV$41</f>
        <v/>
      </c>
      <c r="N652" s="125" t="n"/>
      <c r="O652" s="131" t="n">
        <v>1</v>
      </c>
      <c r="P652" s="120" t="n"/>
      <c r="Q652" s="16" t="n"/>
      <c r="R652" s="17" t="n"/>
      <c r="S652" s="132">
        <f>DADOS_INVOC!$PV$42</f>
        <v/>
      </c>
      <c r="T652" s="125" t="n"/>
      <c r="U652" s="131" t="n">
        <v>1</v>
      </c>
      <c r="V652" s="120" t="n"/>
      <c r="W652" s="16" t="n"/>
      <c r="X652" s="17" t="n"/>
      <c r="Y652" s="132">
        <f>DADOS_INVOC!$PV$43</f>
        <v/>
      </c>
      <c r="Z652" s="125" t="n"/>
      <c r="AB652" s="131" t="n">
        <v>0</v>
      </c>
      <c r="AC652" s="120" t="n"/>
      <c r="AD652" s="16" t="n"/>
      <c r="AE652" s="17" t="n"/>
      <c r="AF652" s="132">
        <f>DADOS_INVOC!$PV$119</f>
        <v/>
      </c>
      <c r="AG652" s="125" t="n"/>
      <c r="AH652" s="131" t="n">
        <v>1</v>
      </c>
      <c r="AI652" s="120" t="n"/>
      <c r="AJ652" s="16" t="n"/>
      <c r="AK652" s="17" t="n"/>
      <c r="AL652" s="132">
        <f>DADOS_INVOC!$PV$120</f>
        <v/>
      </c>
      <c r="AM652" s="125" t="n"/>
      <c r="AN652" s="131" t="n">
        <v>1</v>
      </c>
      <c r="AO652" s="120" t="n"/>
      <c r="AP652" s="16" t="n"/>
      <c r="AQ652" s="17" t="n"/>
      <c r="AR652" s="132">
        <f>DADOS_INVOC!$PV$121</f>
        <v/>
      </c>
      <c r="AS652" s="125" t="n"/>
    </row>
    <row r="653" hidden="1" outlineLevel="2">
      <c r="A653" s="8" t="n"/>
      <c r="B653" s="14" t="n"/>
      <c r="C653" s="125" t="n"/>
      <c r="D653" s="125" t="n"/>
      <c r="E653" s="125" t="n"/>
      <c r="F653" s="125" t="n"/>
      <c r="G653" s="125" t="n"/>
      <c r="I653" s="55" t="inlineStr">
        <is>
          <t>COMO É</t>
        </is>
      </c>
      <c r="J653" s="16" t="n"/>
      <c r="K653" s="16" t="n"/>
      <c r="L653" s="16" t="n"/>
      <c r="M653" s="17" t="n"/>
      <c r="N653" s="125" t="n"/>
      <c r="O653" s="55" t="inlineStr">
        <is>
          <t>COMO É</t>
        </is>
      </c>
      <c r="P653" s="16" t="n"/>
      <c r="Q653" s="16" t="n"/>
      <c r="R653" s="16" t="n"/>
      <c r="S653" s="17" t="n"/>
      <c r="T653" s="125" t="n"/>
      <c r="U653" s="55" t="inlineStr">
        <is>
          <t>COMO É</t>
        </is>
      </c>
      <c r="V653" s="16" t="n"/>
      <c r="W653" s="16" t="n"/>
      <c r="X653" s="16" t="n"/>
      <c r="Y653" s="17" t="n"/>
      <c r="Z653" s="125" t="n"/>
      <c r="AB653" s="55" t="inlineStr">
        <is>
          <t>COMO É</t>
        </is>
      </c>
      <c r="AC653" s="16" t="n"/>
      <c r="AD653" s="16" t="n"/>
      <c r="AE653" s="16" t="n"/>
      <c r="AF653" s="17" t="n"/>
      <c r="AG653" s="125" t="n"/>
      <c r="AH653" s="55" t="inlineStr">
        <is>
          <t>COMO É</t>
        </is>
      </c>
      <c r="AI653" s="16" t="n"/>
      <c r="AJ653" s="16" t="n"/>
      <c r="AK653" s="16" t="n"/>
      <c r="AL653" s="17" t="n"/>
      <c r="AM653" s="125" t="n"/>
      <c r="AN653" s="55" t="inlineStr">
        <is>
          <t>COMO É</t>
        </is>
      </c>
      <c r="AO653" s="16" t="n"/>
      <c r="AP653" s="16" t="n"/>
      <c r="AQ653" s="16" t="n"/>
      <c r="AR653" s="17" t="n"/>
      <c r="AS653" s="125" t="n"/>
    </row>
    <row r="654" hidden="1" outlineLevel="2">
      <c r="A654" s="8" t="n"/>
      <c r="B654" s="14" t="n"/>
      <c r="C654" s="125" t="n"/>
      <c r="D654" s="125" t="n"/>
      <c r="E654" s="125" t="n"/>
      <c r="F654" s="125" t="n"/>
      <c r="G654" s="125" t="n"/>
      <c r="I654" s="121" t="n"/>
      <c r="J654" s="19" t="n"/>
      <c r="K654" s="19" t="n"/>
      <c r="L654" s="19" t="n"/>
      <c r="M654" s="20" t="n"/>
      <c r="N654" s="125" t="n"/>
      <c r="O654" s="121" t="n"/>
      <c r="P654" s="19" t="n"/>
      <c r="Q654" s="19" t="n"/>
      <c r="R654" s="19" t="n"/>
      <c r="S654" s="20" t="n"/>
      <c r="T654" s="125" t="n"/>
      <c r="U654" s="121" t="n"/>
      <c r="V654" s="19" t="n"/>
      <c r="W654" s="19" t="n"/>
      <c r="X654" s="19" t="n"/>
      <c r="Y654" s="20" t="n"/>
      <c r="Z654" s="125" t="n"/>
      <c r="AB654" s="121" t="n"/>
      <c r="AC654" s="19" t="n"/>
      <c r="AD654" s="19" t="n"/>
      <c r="AE654" s="19" t="n"/>
      <c r="AF654" s="20" t="n"/>
      <c r="AG654" s="125" t="n"/>
      <c r="AH654" s="121" t="n"/>
      <c r="AI654" s="19" t="n"/>
      <c r="AJ654" s="19" t="n"/>
      <c r="AK654" s="19" t="n"/>
      <c r="AL654" s="20" t="n"/>
      <c r="AM654" s="125" t="n"/>
      <c r="AN654" s="121" t="n"/>
      <c r="AO654" s="19" t="n"/>
      <c r="AP654" s="19" t="n"/>
      <c r="AQ654" s="19" t="n"/>
      <c r="AR654" s="20" t="n"/>
      <c r="AS654" s="125" t="n"/>
    </row>
    <row r="655" hidden="1" outlineLevel="2">
      <c r="A655" s="8" t="n"/>
      <c r="B655" s="14" t="n"/>
      <c r="C655" s="125" t="n"/>
      <c r="D655" s="125" t="n"/>
      <c r="E655" s="125" t="n"/>
      <c r="F655" s="125" t="n"/>
      <c r="G655" s="125" t="n"/>
      <c r="I655" s="21" t="n"/>
      <c r="M655" s="22" t="n"/>
      <c r="N655" s="125" t="n"/>
      <c r="O655" s="21" t="n"/>
      <c r="S655" s="22" t="n"/>
      <c r="T655" s="125" t="n"/>
      <c r="U655" s="21" t="n"/>
      <c r="Y655" s="22" t="n"/>
      <c r="Z655" s="125" t="n"/>
      <c r="AB655" s="21" t="n"/>
      <c r="AF655" s="22" t="n"/>
      <c r="AG655" s="125" t="n"/>
      <c r="AH655" s="21" t="n"/>
      <c r="AL655" s="22" t="n"/>
      <c r="AM655" s="125" t="n"/>
      <c r="AN655" s="21" t="n"/>
      <c r="AR655" s="22" t="n"/>
      <c r="AS655" s="125" t="n"/>
    </row>
    <row r="656" hidden="1" outlineLevel="2">
      <c r="A656" s="8" t="n"/>
      <c r="B656" s="14" t="n"/>
      <c r="C656" s="125" t="n"/>
      <c r="D656" s="125" t="n"/>
      <c r="E656" s="125" t="n"/>
      <c r="F656" s="125" t="n"/>
      <c r="G656" s="125" t="n"/>
      <c r="I656" s="23" t="n"/>
      <c r="J656" s="24" t="n"/>
      <c r="K656" s="24" t="n"/>
      <c r="L656" s="24" t="n"/>
      <c r="M656" s="25" t="n"/>
      <c r="N656" s="125" t="n"/>
      <c r="O656" s="23" t="n"/>
      <c r="P656" s="24" t="n"/>
      <c r="Q656" s="24" t="n"/>
      <c r="R656" s="24" t="n"/>
      <c r="S656" s="25" t="n"/>
      <c r="T656" s="125" t="n"/>
      <c r="U656" s="23" t="n"/>
      <c r="V656" s="24" t="n"/>
      <c r="W656" s="24" t="n"/>
      <c r="X656" s="24" t="n"/>
      <c r="Y656" s="25" t="n"/>
      <c r="Z656" s="125" t="n"/>
      <c r="AB656" s="23" t="n"/>
      <c r="AC656" s="24" t="n"/>
      <c r="AD656" s="24" t="n"/>
      <c r="AE656" s="24" t="n"/>
      <c r="AF656" s="25" t="n"/>
      <c r="AG656" s="125" t="n"/>
      <c r="AH656" s="23" t="n"/>
      <c r="AI656" s="24" t="n"/>
      <c r="AJ656" s="24" t="n"/>
      <c r="AK656" s="24" t="n"/>
      <c r="AL656" s="25" t="n"/>
      <c r="AM656" s="125" t="n"/>
      <c r="AN656" s="23" t="n"/>
      <c r="AO656" s="24" t="n"/>
      <c r="AP656" s="24" t="n"/>
      <c r="AQ656" s="24" t="n"/>
      <c r="AR656" s="25" t="n"/>
      <c r="AS656" s="125" t="n"/>
    </row>
    <row r="657" hidden="1" outlineLevel="1">
      <c r="A657" s="8" t="n"/>
      <c r="B657" s="14" t="n"/>
      <c r="C657" s="125" t="n"/>
      <c r="D657" s="125" t="n"/>
      <c r="E657" s="125" t="n"/>
      <c r="F657" s="125" t="n"/>
      <c r="G657" s="125" t="n"/>
      <c r="I657" s="89" t="inlineStr">
        <is>
          <t>Projétil</t>
        </is>
      </c>
      <c r="J657" s="17" t="n"/>
      <c r="K657" s="68">
        <f>DADOS_INVOC!$QC$41</f>
        <v/>
      </c>
      <c r="L657" s="17" t="n"/>
      <c r="M657" s="68">
        <f>DADOS_INVOC!$PY$41</f>
        <v/>
      </c>
      <c r="N657" s="125" t="n"/>
      <c r="O657" s="89" t="inlineStr">
        <is>
          <t>Projétil</t>
        </is>
      </c>
      <c r="P657" s="17" t="n"/>
      <c r="Q657" s="68">
        <f>DADOS_INVOC!$QC$42</f>
        <v/>
      </c>
      <c r="R657" s="17" t="n"/>
      <c r="S657" s="68">
        <f>DADOS_INVOC!$PY$42</f>
        <v/>
      </c>
      <c r="T657" s="125" t="n"/>
      <c r="U657" s="89" t="inlineStr">
        <is>
          <t>Projétil</t>
        </is>
      </c>
      <c r="V657" s="17" t="n"/>
      <c r="W657" s="68">
        <f>DADOS_INVOC!$QC$43</f>
        <v/>
      </c>
      <c r="X657" s="17" t="n"/>
      <c r="Y657" s="68">
        <f>DADOS_INVOC!$PY$43</f>
        <v/>
      </c>
      <c r="Z657" s="125" t="n"/>
      <c r="AB657" s="89" t="inlineStr">
        <is>
          <t>Projétil</t>
        </is>
      </c>
      <c r="AC657" s="17" t="n"/>
      <c r="AD657" s="68">
        <f>DADOS_INVOC!$QC$119</f>
        <v/>
      </c>
      <c r="AE657" s="17" t="n"/>
      <c r="AF657" s="68">
        <f>DADOS_INVOC!$PY$119</f>
        <v/>
      </c>
      <c r="AG657" s="125" t="n"/>
      <c r="AH657" s="89" t="inlineStr">
        <is>
          <t>Projétil</t>
        </is>
      </c>
      <c r="AI657" s="17" t="n"/>
      <c r="AJ657" s="68">
        <f>DADOS_INVOC!$QC$120</f>
        <v/>
      </c>
      <c r="AK657" s="17" t="n"/>
      <c r="AL657" s="68">
        <f>DADOS_INVOC!$PY$120</f>
        <v/>
      </c>
      <c r="AM657" s="125" t="n"/>
      <c r="AN657" s="89" t="inlineStr">
        <is>
          <t>Projétil</t>
        </is>
      </c>
      <c r="AO657" s="17" t="n"/>
      <c r="AP657" s="68">
        <f>DADOS_INVOC!$QC$121</f>
        <v/>
      </c>
      <c r="AQ657" s="17" t="n"/>
      <c r="AR657" s="68">
        <f>DADOS_INVOC!$PY$121</f>
        <v/>
      </c>
      <c r="AS657" s="125" t="n"/>
    </row>
    <row r="658" hidden="1" outlineLevel="1">
      <c r="A658" s="8" t="n"/>
      <c r="B658" s="14" t="n"/>
      <c r="C658" s="125" t="n"/>
      <c r="D658" s="125" t="n"/>
      <c r="E658" s="125" t="n"/>
      <c r="F658" s="125" t="n"/>
      <c r="G658" s="125" t="n"/>
      <c r="I658" s="89" t="n"/>
      <c r="J658" s="17" t="n"/>
      <c r="K658" s="89" t="n"/>
      <c r="L658" s="16" t="n"/>
      <c r="M658" s="17" t="n"/>
      <c r="N658" s="125" t="n"/>
      <c r="O658" s="89" t="n"/>
      <c r="P658" s="17" t="n"/>
      <c r="Q658" s="89" t="n"/>
      <c r="R658" s="16" t="n"/>
      <c r="S658" s="17" t="n"/>
      <c r="T658" s="125" t="n"/>
      <c r="U658" s="89" t="n"/>
      <c r="V658" s="17" t="n"/>
      <c r="W658" s="89" t="n"/>
      <c r="X658" s="16" t="n"/>
      <c r="Y658" s="17" t="n"/>
      <c r="Z658" s="125" t="n"/>
      <c r="AB658" s="89" t="n"/>
      <c r="AC658" s="17" t="n"/>
      <c r="AD658" s="89" t="n"/>
      <c r="AE658" s="16" t="n"/>
      <c r="AF658" s="17" t="n"/>
      <c r="AG658" s="125" t="n"/>
      <c r="AH658" s="89" t="n"/>
      <c r="AI658" s="17" t="n"/>
      <c r="AJ658" s="89" t="n"/>
      <c r="AK658" s="16" t="n"/>
      <c r="AL658" s="17" t="n"/>
      <c r="AM658" s="125" t="n"/>
      <c r="AN658" s="89" t="n"/>
      <c r="AO658" s="17" t="n"/>
      <c r="AP658" s="89" t="n"/>
      <c r="AQ658" s="16" t="n"/>
      <c r="AR658" s="17" t="n"/>
      <c r="AS658" s="125" t="n"/>
    </row>
    <row r="659" hidden="1" outlineLevel="1">
      <c r="A659" s="8" t="n"/>
      <c r="B659" s="14" t="n"/>
      <c r="C659" s="125" t="n"/>
      <c r="D659" s="125" t="n"/>
      <c r="E659" s="125" t="n"/>
      <c r="F659" s="125" t="n"/>
      <c r="G659" s="125" t="n"/>
      <c r="I659" s="89">
        <f>DADOS_INVOC!$PZ$41</f>
        <v/>
      </c>
      <c r="J659" s="17" t="n"/>
      <c r="K659" s="89">
        <f>DADOS_INVOC!$QB$41</f>
        <v/>
      </c>
      <c r="L659" s="16" t="n"/>
      <c r="M659" s="17" t="n"/>
      <c r="N659" s="125" t="n"/>
      <c r="O659" s="89">
        <f>DADOS_INVOC!$PZ$42</f>
        <v/>
      </c>
      <c r="P659" s="17" t="n"/>
      <c r="Q659" s="89">
        <f>DADOS_INVOC!$QB$42</f>
        <v/>
      </c>
      <c r="R659" s="16" t="n"/>
      <c r="S659" s="17" t="n"/>
      <c r="T659" s="125" t="n"/>
      <c r="U659" s="89">
        <f>DADOS_INVOC!$PZ$43</f>
        <v/>
      </c>
      <c r="V659" s="17" t="n"/>
      <c r="W659" s="89">
        <f>DADOS_INVOC!$QB$43</f>
        <v/>
      </c>
      <c r="X659" s="16" t="n"/>
      <c r="Y659" s="17" t="n"/>
      <c r="Z659" s="125" t="n"/>
      <c r="AB659" s="89">
        <f>DADOS_INVOC!$PZ$119</f>
        <v/>
      </c>
      <c r="AC659" s="17" t="n"/>
      <c r="AD659" s="89">
        <f>DADOS_INVOC!$QB$119</f>
        <v/>
      </c>
      <c r="AE659" s="16" t="n"/>
      <c r="AF659" s="17" t="n"/>
      <c r="AG659" s="125" t="n"/>
      <c r="AH659" s="89">
        <f>DADOS_INVOC!$PZ$120</f>
        <v/>
      </c>
      <c r="AI659" s="17" t="n"/>
      <c r="AJ659" s="89">
        <f>DADOS_INVOC!$QB$120</f>
        <v/>
      </c>
      <c r="AK659" s="16" t="n"/>
      <c r="AL659" s="17" t="n"/>
      <c r="AM659" s="125" t="n"/>
      <c r="AN659" s="89">
        <f>DADOS_INVOC!$PZ$121</f>
        <v/>
      </c>
      <c r="AO659" s="17" t="n"/>
      <c r="AP659" s="89">
        <f>DADOS_INVOC!$QB$121</f>
        <v/>
      </c>
      <c r="AQ659" s="16" t="n"/>
      <c r="AR659" s="17" t="n"/>
      <c r="AS659" s="125" t="n"/>
    </row>
    <row r="660" hidden="1" outlineLevel="1">
      <c r="A660" s="8" t="n"/>
      <c r="B660" s="14" t="n"/>
      <c r="C660" s="125" t="n"/>
      <c r="D660" s="125" t="n"/>
      <c r="E660" s="125" t="n"/>
      <c r="F660" s="125" t="n"/>
      <c r="G660" s="125" t="n"/>
      <c r="I660" s="133">
        <f>DADOS_INVOC!$QH$41</f>
        <v/>
      </c>
      <c r="J660" s="16" t="n"/>
      <c r="K660" s="16" t="n"/>
      <c r="L660" s="16" t="n"/>
      <c r="M660" s="17" t="n"/>
      <c r="N660" s="125" t="n"/>
      <c r="O660" s="133">
        <f>DADOS_INVOC!$QH$42</f>
        <v/>
      </c>
      <c r="P660" s="16" t="n"/>
      <c r="Q660" s="16" t="n"/>
      <c r="R660" s="16" t="n"/>
      <c r="S660" s="17" t="n"/>
      <c r="T660" s="125" t="n"/>
      <c r="U660" s="133">
        <f>DADOS_INVOC!$QH$43</f>
        <v/>
      </c>
      <c r="V660" s="16" t="n"/>
      <c r="W660" s="16" t="n"/>
      <c r="X660" s="16" t="n"/>
      <c r="Y660" s="17" t="n"/>
      <c r="Z660" s="125" t="n"/>
      <c r="AB660" s="133">
        <f>DADOS_INVOC!$QH$119</f>
        <v/>
      </c>
      <c r="AC660" s="16" t="n"/>
      <c r="AD660" s="16" t="n"/>
      <c r="AE660" s="16" t="n"/>
      <c r="AF660" s="17" t="n"/>
      <c r="AG660" s="125" t="n"/>
      <c r="AH660" s="133">
        <f>DADOS_INVOC!$QH$120</f>
        <v/>
      </c>
      <c r="AI660" s="16" t="n"/>
      <c r="AJ660" s="16" t="n"/>
      <c r="AK660" s="16" t="n"/>
      <c r="AL660" s="17" t="n"/>
      <c r="AM660" s="125" t="n"/>
      <c r="AN660" s="133">
        <f>DADOS_INVOC!$QH$121</f>
        <v/>
      </c>
      <c r="AO660" s="16" t="n"/>
      <c r="AP660" s="16" t="n"/>
      <c r="AQ660" s="16" t="n"/>
      <c r="AR660" s="17" t="n"/>
      <c r="AS660" s="125" t="n"/>
    </row>
    <row r="661" hidden="1" outlineLevel="2">
      <c r="A661" s="8" t="n"/>
      <c r="B661" s="14" t="n"/>
      <c r="C661" s="125" t="n"/>
      <c r="D661" s="125" t="n"/>
      <c r="E661" s="125" t="n"/>
      <c r="F661" s="125" t="n"/>
      <c r="G661" s="125" t="n"/>
      <c r="I661" s="55" t="inlineStr">
        <is>
          <t>MELHORIAS</t>
        </is>
      </c>
      <c r="J661" s="134" t="n"/>
      <c r="K661" s="16" t="n"/>
      <c r="L661" s="17" t="n"/>
      <c r="M661" s="133">
        <f>DADOS_INVOC!$QK$41</f>
        <v/>
      </c>
      <c r="N661" s="125" t="n"/>
      <c r="O661" s="55" t="inlineStr">
        <is>
          <t>MELHORIAS</t>
        </is>
      </c>
      <c r="P661" s="134" t="n"/>
      <c r="Q661" s="16" t="n"/>
      <c r="R661" s="17" t="n"/>
      <c r="S661" s="133">
        <f>DADOS_INVOC!$QK$42</f>
        <v/>
      </c>
      <c r="T661" s="125" t="n"/>
      <c r="U661" s="55" t="inlineStr">
        <is>
          <t>MELHORIAS</t>
        </is>
      </c>
      <c r="V661" s="134" t="n"/>
      <c r="W661" s="16" t="n"/>
      <c r="X661" s="17" t="n"/>
      <c r="Y661" s="133">
        <f>DADOS_INVOC!$QK$43</f>
        <v/>
      </c>
      <c r="Z661" s="125" t="n"/>
      <c r="AB661" s="55" t="inlineStr">
        <is>
          <t>MELHORIAS</t>
        </is>
      </c>
      <c r="AC661" s="134" t="n"/>
      <c r="AD661" s="16" t="n"/>
      <c r="AE661" s="17" t="n"/>
      <c r="AF661" s="133">
        <f>DADOS_INVOC!$QK$119</f>
        <v/>
      </c>
      <c r="AG661" s="125" t="n"/>
      <c r="AH661" s="55" t="inlineStr">
        <is>
          <t>MELHORIAS</t>
        </is>
      </c>
      <c r="AI661" s="134" t="n"/>
      <c r="AJ661" s="16" t="n"/>
      <c r="AK661" s="17" t="n"/>
      <c r="AL661" s="133">
        <f>DADOS_INVOC!$QK$120</f>
        <v/>
      </c>
      <c r="AM661" s="125" t="n"/>
      <c r="AN661" s="55" t="inlineStr">
        <is>
          <t>MELHORIAS</t>
        </is>
      </c>
      <c r="AO661" s="134" t="n"/>
      <c r="AP661" s="16" t="n"/>
      <c r="AQ661" s="17" t="n"/>
      <c r="AR661" s="133">
        <f>DADOS_INVOC!$QK$121</f>
        <v/>
      </c>
      <c r="AS661" s="125" t="n"/>
    </row>
    <row r="662" hidden="1" outlineLevel="2">
      <c r="A662" s="8" t="n"/>
      <c r="B662" s="14" t="n"/>
      <c r="C662" s="125" t="n"/>
      <c r="D662" s="125" t="n"/>
      <c r="E662" s="125" t="n"/>
      <c r="F662" s="125" t="n"/>
      <c r="G662" s="125" t="n"/>
      <c r="I662" s="135" t="n"/>
      <c r="J662" s="134" t="n"/>
      <c r="K662" s="16" t="n"/>
      <c r="L662" s="17" t="n"/>
      <c r="M662" s="133">
        <f>DADOS_INVOC!$QL$41</f>
        <v/>
      </c>
      <c r="N662" s="125" t="n"/>
      <c r="O662" s="135" t="n"/>
      <c r="P662" s="134" t="n"/>
      <c r="Q662" s="16" t="n"/>
      <c r="R662" s="17" t="n"/>
      <c r="S662" s="133">
        <f>DADOS_INVOC!$QL$42</f>
        <v/>
      </c>
      <c r="T662" s="125" t="n"/>
      <c r="U662" s="135" t="n"/>
      <c r="V662" s="134" t="n"/>
      <c r="W662" s="16" t="n"/>
      <c r="X662" s="17" t="n"/>
      <c r="Y662" s="133">
        <f>DADOS_INVOC!$QL$43</f>
        <v/>
      </c>
      <c r="Z662" s="125" t="n"/>
      <c r="AB662" s="135" t="n"/>
      <c r="AC662" s="134" t="n"/>
      <c r="AD662" s="16" t="n"/>
      <c r="AE662" s="17" t="n"/>
      <c r="AF662" s="133">
        <f>DADOS_INVOC!$QL$119</f>
        <v/>
      </c>
      <c r="AG662" s="125" t="n"/>
      <c r="AH662" s="135" t="n"/>
      <c r="AI662" s="134" t="n"/>
      <c r="AJ662" s="16" t="n"/>
      <c r="AK662" s="17" t="n"/>
      <c r="AL662" s="133">
        <f>DADOS_INVOC!$QL$120</f>
        <v/>
      </c>
      <c r="AM662" s="125" t="n"/>
      <c r="AN662" s="135" t="n"/>
      <c r="AO662" s="134" t="n"/>
      <c r="AP662" s="16" t="n"/>
      <c r="AQ662" s="17" t="n"/>
      <c r="AR662" s="133">
        <f>DADOS_INVOC!$QL$121</f>
        <v/>
      </c>
      <c r="AS662" s="125" t="n"/>
    </row>
    <row r="663" hidden="1" outlineLevel="2">
      <c r="A663" s="8" t="n"/>
      <c r="B663" s="14" t="n"/>
      <c r="C663" s="125" t="n"/>
      <c r="D663" s="125" t="n"/>
      <c r="E663" s="125" t="n"/>
      <c r="F663" s="125" t="n"/>
      <c r="G663" s="125" t="n"/>
      <c r="I663" s="135" t="n"/>
      <c r="J663" s="134" t="n"/>
      <c r="K663" s="16" t="n"/>
      <c r="L663" s="17" t="n"/>
      <c r="M663" s="133">
        <f>DADOS_INVOC!$QM$41</f>
        <v/>
      </c>
      <c r="N663" s="125" t="n"/>
      <c r="O663" s="135" t="n"/>
      <c r="P663" s="134" t="n"/>
      <c r="Q663" s="16" t="n"/>
      <c r="R663" s="17" t="n"/>
      <c r="S663" s="133">
        <f>DADOS_INVOC!$QM$42</f>
        <v/>
      </c>
      <c r="T663" s="125" t="n"/>
      <c r="U663" s="135" t="n"/>
      <c r="V663" s="134" t="n"/>
      <c r="W663" s="16" t="n"/>
      <c r="X663" s="17" t="n"/>
      <c r="Y663" s="133">
        <f>DADOS_INVOC!$QM$43</f>
        <v/>
      </c>
      <c r="Z663" s="125" t="n"/>
      <c r="AB663" s="135" t="n"/>
      <c r="AC663" s="134" t="n"/>
      <c r="AD663" s="16" t="n"/>
      <c r="AE663" s="17" t="n"/>
      <c r="AF663" s="133">
        <f>DADOS_INVOC!$QM$119</f>
        <v/>
      </c>
      <c r="AG663" s="125" t="n"/>
      <c r="AH663" s="135" t="n"/>
      <c r="AI663" s="134" t="n"/>
      <c r="AJ663" s="16" t="n"/>
      <c r="AK663" s="17" t="n"/>
      <c r="AL663" s="133">
        <f>DADOS_INVOC!$QM$120</f>
        <v/>
      </c>
      <c r="AM663" s="125" t="n"/>
      <c r="AN663" s="135" t="n"/>
      <c r="AO663" s="134" t="n"/>
      <c r="AP663" s="16" t="n"/>
      <c r="AQ663" s="17" t="n"/>
      <c r="AR663" s="133">
        <f>DADOS_INVOC!$QM$121</f>
        <v/>
      </c>
      <c r="AS663" s="125" t="n"/>
    </row>
    <row r="664" hidden="1" outlineLevel="2">
      <c r="A664" s="8" t="n"/>
      <c r="B664" s="14" t="n"/>
      <c r="C664" s="125" t="n"/>
      <c r="D664" s="125" t="n"/>
      <c r="E664" s="125" t="n"/>
      <c r="F664" s="125" t="n"/>
      <c r="G664" s="125" t="n"/>
      <c r="I664" s="129" t="n"/>
      <c r="J664" s="134" t="n"/>
      <c r="K664" s="16" t="n"/>
      <c r="L664" s="17" t="n"/>
      <c r="M664" s="133">
        <f>DADOS_INVOC!$QN$41</f>
        <v/>
      </c>
      <c r="N664" s="125" t="n"/>
      <c r="O664" s="129" t="n"/>
      <c r="P664" s="134" t="n"/>
      <c r="Q664" s="16" t="n"/>
      <c r="R664" s="17" t="n"/>
      <c r="S664" s="133">
        <f>DADOS_INVOC!$QN$42</f>
        <v/>
      </c>
      <c r="T664" s="125" t="n"/>
      <c r="U664" s="129" t="n"/>
      <c r="V664" s="134" t="n"/>
      <c r="W664" s="16" t="n"/>
      <c r="X664" s="17" t="n"/>
      <c r="Y664" s="133">
        <f>DADOS_INVOC!$QN$43</f>
        <v/>
      </c>
      <c r="Z664" s="125" t="n"/>
      <c r="AB664" s="129" t="n"/>
      <c r="AC664" s="134" t="n"/>
      <c r="AD664" s="16" t="n"/>
      <c r="AE664" s="17" t="n"/>
      <c r="AF664" s="133">
        <f>DADOS_INVOC!$QN$119</f>
        <v/>
      </c>
      <c r="AG664" s="125" t="n"/>
      <c r="AH664" s="129" t="n"/>
      <c r="AI664" s="134" t="n"/>
      <c r="AJ664" s="16" t="n"/>
      <c r="AK664" s="17" t="n"/>
      <c r="AL664" s="133">
        <f>DADOS_INVOC!$QN$120</f>
        <v/>
      </c>
      <c r="AM664" s="125" t="n"/>
      <c r="AN664" s="129" t="n"/>
      <c r="AO664" s="134" t="n"/>
      <c r="AP664" s="16" t="n"/>
      <c r="AQ664" s="17" t="n"/>
      <c r="AR664" s="133">
        <f>DADOS_INVOC!$QN$121</f>
        <v/>
      </c>
      <c r="AS664" s="125" t="n"/>
    </row>
    <row r="665" hidden="1" outlineLevel="2">
      <c r="A665" s="8" t="n"/>
      <c r="B665" s="14" t="n"/>
      <c r="C665" s="125" t="n"/>
      <c r="D665" s="125" t="n"/>
      <c r="E665" s="125" t="n"/>
      <c r="F665" s="125" t="n"/>
      <c r="G665" s="125" t="n"/>
      <c r="I665" s="55" t="inlineStr">
        <is>
          <t>RESTRIÇÕES</t>
        </is>
      </c>
      <c r="J665" s="134" t="n"/>
      <c r="K665" s="16" t="n"/>
      <c r="L665" s="17" t="n"/>
      <c r="M665" s="133">
        <f>DADOS_INVOC!$QO$41</f>
        <v/>
      </c>
      <c r="N665" s="125" t="n"/>
      <c r="O665" s="55" t="inlineStr">
        <is>
          <t>RESTRIÇÕES</t>
        </is>
      </c>
      <c r="P665" s="134" t="n"/>
      <c r="Q665" s="16" t="n"/>
      <c r="R665" s="17" t="n"/>
      <c r="S665" s="133">
        <f>DADOS_INVOC!$QO$42</f>
        <v/>
      </c>
      <c r="T665" s="125" t="n"/>
      <c r="U665" s="55" t="inlineStr">
        <is>
          <t>RESTRIÇÕES</t>
        </is>
      </c>
      <c r="V665" s="134" t="n"/>
      <c r="W665" s="16" t="n"/>
      <c r="X665" s="17" t="n"/>
      <c r="Y665" s="133">
        <f>DADOS_INVOC!$QO$43</f>
        <v/>
      </c>
      <c r="Z665" s="125" t="n"/>
      <c r="AB665" s="55" t="inlineStr">
        <is>
          <t>RESTRIÇÕES</t>
        </is>
      </c>
      <c r="AC665" s="134" t="n"/>
      <c r="AD665" s="16" t="n"/>
      <c r="AE665" s="17" t="n"/>
      <c r="AF665" s="133">
        <f>DADOS_INVOC!$QO$119</f>
        <v/>
      </c>
      <c r="AG665" s="125" t="n"/>
      <c r="AH665" s="55" t="inlineStr">
        <is>
          <t>RESTRIÇÕES</t>
        </is>
      </c>
      <c r="AI665" s="134" t="n"/>
      <c r="AJ665" s="16" t="n"/>
      <c r="AK665" s="17" t="n"/>
      <c r="AL665" s="133">
        <f>DADOS_INVOC!$QO$120</f>
        <v/>
      </c>
      <c r="AM665" s="125" t="n"/>
      <c r="AN665" s="55" t="inlineStr">
        <is>
          <t>RESTRIÇÕES</t>
        </is>
      </c>
      <c r="AO665" s="134" t="n"/>
      <c r="AP665" s="16" t="n"/>
      <c r="AQ665" s="17" t="n"/>
      <c r="AR665" s="133">
        <f>DADOS_INVOC!$QO$121</f>
        <v/>
      </c>
      <c r="AS665" s="125" t="n"/>
    </row>
    <row r="666" hidden="1" outlineLevel="2">
      <c r="A666" s="8" t="n"/>
      <c r="B666" s="14" t="n"/>
      <c r="C666" s="125" t="n"/>
      <c r="D666" s="125" t="n"/>
      <c r="E666" s="125" t="n"/>
      <c r="F666" s="125" t="n"/>
      <c r="G666" s="125" t="n"/>
      <c r="I666" s="129" t="n"/>
      <c r="J666" s="134" t="n"/>
      <c r="K666" s="16" t="n"/>
      <c r="L666" s="17" t="n"/>
      <c r="M666" s="133">
        <f>DADOS_INVOC!$QP$41</f>
        <v/>
      </c>
      <c r="N666" s="125" t="n"/>
      <c r="O666" s="129" t="n"/>
      <c r="P666" s="134" t="n"/>
      <c r="Q666" s="16" t="n"/>
      <c r="R666" s="17" t="n"/>
      <c r="S666" s="133">
        <f>DADOS_INVOC!$QP$42</f>
        <v/>
      </c>
      <c r="T666" s="125" t="n"/>
      <c r="U666" s="129" t="n"/>
      <c r="V666" s="134" t="n"/>
      <c r="W666" s="16" t="n"/>
      <c r="X666" s="17" t="n"/>
      <c r="Y666" s="133">
        <f>DADOS_INVOC!$QP$43</f>
        <v/>
      </c>
      <c r="Z666" s="125" t="n"/>
      <c r="AB666" s="129" t="n"/>
      <c r="AC666" s="134" t="n"/>
      <c r="AD666" s="16" t="n"/>
      <c r="AE666" s="17" t="n"/>
      <c r="AF666" s="133">
        <f>DADOS_INVOC!$QP$119</f>
        <v/>
      </c>
      <c r="AG666" s="125" t="n"/>
      <c r="AH666" s="129" t="n"/>
      <c r="AI666" s="134" t="n"/>
      <c r="AJ666" s="16" t="n"/>
      <c r="AK666" s="17" t="n"/>
      <c r="AL666" s="133">
        <f>DADOS_INVOC!$QP$120</f>
        <v/>
      </c>
      <c r="AM666" s="125" t="n"/>
      <c r="AN666" s="129" t="n"/>
      <c r="AO666" s="134" t="n"/>
      <c r="AP666" s="16" t="n"/>
      <c r="AQ666" s="17" t="n"/>
      <c r="AR666" s="133">
        <f>DADOS_INVOC!$QP$121</f>
        <v/>
      </c>
      <c r="AS666" s="125" t="n"/>
    </row>
    <row r="667" hidden="1" outlineLevel="2">
      <c r="A667" s="8" t="n"/>
      <c r="B667" s="14" t="n"/>
      <c r="C667" s="125" t="n"/>
      <c r="D667" s="125" t="n"/>
      <c r="E667" s="125" t="n"/>
      <c r="F667" s="125" t="n"/>
      <c r="G667" s="125" t="n"/>
      <c r="I667" s="55" t="inlineStr">
        <is>
          <t>CONTA</t>
        </is>
      </c>
      <c r="J667" s="136">
        <f>DADOS_INVOC!$QI$41</f>
        <v/>
      </c>
      <c r="K667" s="16" t="n"/>
      <c r="L667" s="16" t="n"/>
      <c r="M667" s="17" t="n"/>
      <c r="N667" s="125" t="n"/>
      <c r="O667" s="55" t="inlineStr">
        <is>
          <t>CONTA</t>
        </is>
      </c>
      <c r="P667" s="136">
        <f>DADOS_INVOC!$QI$42</f>
        <v/>
      </c>
      <c r="Q667" s="16" t="n"/>
      <c r="R667" s="16" t="n"/>
      <c r="S667" s="17" t="n"/>
      <c r="T667" s="125" t="n"/>
      <c r="U667" s="55" t="inlineStr">
        <is>
          <t>CONTA</t>
        </is>
      </c>
      <c r="V667" s="136">
        <f>DADOS_INVOC!$QI$43</f>
        <v/>
      </c>
      <c r="W667" s="16" t="n"/>
      <c r="X667" s="16" t="n"/>
      <c r="Y667" s="17" t="n"/>
      <c r="Z667" s="125" t="n"/>
      <c r="AB667" s="55" t="inlineStr">
        <is>
          <t>CONTA</t>
        </is>
      </c>
      <c r="AC667" s="136">
        <f>DADOS_INVOC!$QI$119</f>
        <v/>
      </c>
      <c r="AD667" s="16" t="n"/>
      <c r="AE667" s="16" t="n"/>
      <c r="AF667" s="17" t="n"/>
      <c r="AG667" s="125" t="n"/>
      <c r="AH667" s="55" t="inlineStr">
        <is>
          <t>CONTA</t>
        </is>
      </c>
      <c r="AI667" s="136">
        <f>DADOS_INVOC!$QI$120</f>
        <v/>
      </c>
      <c r="AJ667" s="16" t="n"/>
      <c r="AK667" s="16" t="n"/>
      <c r="AL667" s="17" t="n"/>
      <c r="AM667" s="125" t="n"/>
      <c r="AN667" s="55" t="inlineStr">
        <is>
          <t>CONTA</t>
        </is>
      </c>
      <c r="AO667" s="136">
        <f>DADOS_INVOC!$QI$121</f>
        <v/>
      </c>
      <c r="AP667" s="16" t="n"/>
      <c r="AQ667" s="16" t="n"/>
      <c r="AR667" s="17" t="n"/>
      <c r="AS667" s="125" t="n"/>
    </row>
    <row r="668" hidden="1" outlineLevel="2">
      <c r="A668" s="8" t="n"/>
      <c r="B668" s="14" t="n"/>
      <c r="C668" s="125" t="n"/>
      <c r="D668" s="125" t="n"/>
      <c r="E668" s="125" t="n"/>
      <c r="F668" s="125" t="n"/>
      <c r="G668" s="125" t="n"/>
      <c r="I668" s="55" t="inlineStr">
        <is>
          <t>AMPLIAR</t>
        </is>
      </c>
      <c r="J668" s="136">
        <f>DADOS_INVOC!$QJ$41</f>
        <v/>
      </c>
      <c r="K668" s="19" t="n"/>
      <c r="L668" s="19" t="n"/>
      <c r="M668" s="20" t="n"/>
      <c r="N668" s="125" t="n"/>
      <c r="O668" s="55" t="inlineStr">
        <is>
          <t>AMPLIAR</t>
        </is>
      </c>
      <c r="P668" s="136">
        <f>DADOS_INVOC!$QJ$42</f>
        <v/>
      </c>
      <c r="Q668" s="19" t="n"/>
      <c r="R668" s="19" t="n"/>
      <c r="S668" s="20" t="n"/>
      <c r="T668" s="125" t="n"/>
      <c r="U668" s="55" t="inlineStr">
        <is>
          <t>AMPLIAR</t>
        </is>
      </c>
      <c r="V668" s="136">
        <f>DADOS_INVOC!$QJ$43</f>
        <v/>
      </c>
      <c r="W668" s="19" t="n"/>
      <c r="X668" s="19" t="n"/>
      <c r="Y668" s="20" t="n"/>
      <c r="Z668" s="125" t="n"/>
      <c r="AB668" s="55" t="inlineStr">
        <is>
          <t>AMPLIAR</t>
        </is>
      </c>
      <c r="AC668" s="136">
        <f>DADOS_INVOC!$QJ$119</f>
        <v/>
      </c>
      <c r="AD668" s="19" t="n"/>
      <c r="AE668" s="19" t="n"/>
      <c r="AF668" s="20" t="n"/>
      <c r="AG668" s="125" t="n"/>
      <c r="AH668" s="55" t="inlineStr">
        <is>
          <t>AMPLIAR</t>
        </is>
      </c>
      <c r="AI668" s="136">
        <f>DADOS_INVOC!$QJ$120</f>
        <v/>
      </c>
      <c r="AJ668" s="19" t="n"/>
      <c r="AK668" s="19" t="n"/>
      <c r="AL668" s="20" t="n"/>
      <c r="AM668" s="125" t="n"/>
      <c r="AN668" s="55" t="inlineStr">
        <is>
          <t>AMPLIAR</t>
        </is>
      </c>
      <c r="AO668" s="136">
        <f>DADOS_INVOC!$QJ$121</f>
        <v/>
      </c>
      <c r="AP668" s="19" t="n"/>
      <c r="AQ668" s="19" t="n"/>
      <c r="AR668" s="20" t="n"/>
      <c r="AS668" s="125" t="n"/>
    </row>
    <row r="669" hidden="1" outlineLevel="2">
      <c r="A669" s="8" t="n"/>
      <c r="B669" s="14" t="n"/>
      <c r="C669" s="125" t="n"/>
      <c r="D669" s="125" t="n"/>
      <c r="E669" s="125" t="n"/>
      <c r="F669" s="125" t="n"/>
      <c r="G669" s="125" t="n"/>
      <c r="I669" s="129" t="n"/>
      <c r="J669" s="23" t="n"/>
      <c r="K669" s="24" t="n"/>
      <c r="L669" s="24" t="n"/>
      <c r="M669" s="25" t="n"/>
      <c r="N669" s="125" t="n"/>
      <c r="O669" s="129" t="n"/>
      <c r="P669" s="23" t="n"/>
      <c r="Q669" s="24" t="n"/>
      <c r="R669" s="24" t="n"/>
      <c r="S669" s="25" t="n"/>
      <c r="T669" s="125" t="n"/>
      <c r="U669" s="129" t="n"/>
      <c r="V669" s="23" t="n"/>
      <c r="W669" s="24" t="n"/>
      <c r="X669" s="24" t="n"/>
      <c r="Y669" s="25" t="n"/>
      <c r="Z669" s="125" t="n"/>
      <c r="AB669" s="129" t="n"/>
      <c r="AC669" s="23" t="n"/>
      <c r="AD669" s="24" t="n"/>
      <c r="AE669" s="24" t="n"/>
      <c r="AF669" s="25" t="n"/>
      <c r="AG669" s="125" t="n"/>
      <c r="AH669" s="129" t="n"/>
      <c r="AI669" s="23" t="n"/>
      <c r="AJ669" s="24" t="n"/>
      <c r="AK669" s="24" t="n"/>
      <c r="AL669" s="25" t="n"/>
      <c r="AM669" s="125" t="n"/>
      <c r="AN669" s="129" t="n"/>
      <c r="AO669" s="23" t="n"/>
      <c r="AP669" s="24" t="n"/>
      <c r="AQ669" s="24" t="n"/>
      <c r="AR669" s="25" t="n"/>
      <c r="AS669" s="125" t="n"/>
    </row>
    <row r="670" hidden="1" outlineLevel="2">
      <c r="A670" s="8" t="n"/>
      <c r="B670" s="14" t="n"/>
      <c r="C670" s="125" t="n"/>
      <c r="D670" s="125" t="n"/>
      <c r="E670" s="125" t="n"/>
      <c r="F670" s="125" t="n"/>
      <c r="G670" s="125" t="n"/>
      <c r="I670" s="136">
        <f>DADOS_INVOC!$PW$41</f>
        <v/>
      </c>
      <c r="J670" s="19" t="n"/>
      <c r="K670" s="19" t="n"/>
      <c r="L670" s="19" t="n"/>
      <c r="M670" s="20" t="n"/>
      <c r="N670" s="125" t="n"/>
      <c r="O670" s="136">
        <f>DADOS_INVOC!$PW$42</f>
        <v/>
      </c>
      <c r="P670" s="19" t="n"/>
      <c r="Q670" s="19" t="n"/>
      <c r="R670" s="19" t="n"/>
      <c r="S670" s="20" t="n"/>
      <c r="T670" s="125" t="n"/>
      <c r="U670" s="136">
        <f>DADOS_INVOC!$PW$43</f>
        <v/>
      </c>
      <c r="V670" s="19" t="n"/>
      <c r="W670" s="19" t="n"/>
      <c r="X670" s="19" t="n"/>
      <c r="Y670" s="20" t="n"/>
      <c r="Z670" s="125" t="n"/>
      <c r="AB670" s="136">
        <f>DADOS_INVOC!$PW$119</f>
        <v/>
      </c>
      <c r="AC670" s="19" t="n"/>
      <c r="AD670" s="19" t="n"/>
      <c r="AE670" s="19" t="n"/>
      <c r="AF670" s="20" t="n"/>
      <c r="AG670" s="125" t="n"/>
      <c r="AH670" s="136">
        <f>DADOS_INVOC!$PW$120</f>
        <v/>
      </c>
      <c r="AI670" s="19" t="n"/>
      <c r="AJ670" s="19" t="n"/>
      <c r="AK670" s="19" t="n"/>
      <c r="AL670" s="20" t="n"/>
      <c r="AM670" s="125" t="n"/>
      <c r="AN670" s="136">
        <f>DADOS_INVOC!$PW$121</f>
        <v/>
      </c>
      <c r="AO670" s="19" t="n"/>
      <c r="AP670" s="19" t="n"/>
      <c r="AQ670" s="19" t="n"/>
      <c r="AR670" s="20" t="n"/>
      <c r="AS670" s="125" t="n"/>
    </row>
    <row r="671" hidden="1" outlineLevel="2">
      <c r="A671" s="8" t="n"/>
      <c r="B671" s="14" t="n"/>
      <c r="C671" s="125" t="n"/>
      <c r="D671" s="125" t="n"/>
      <c r="E671" s="125" t="n"/>
      <c r="F671" s="125" t="n"/>
      <c r="G671" s="125" t="n"/>
      <c r="I671" s="23" t="n"/>
      <c r="J671" s="24" t="n"/>
      <c r="K671" s="24" t="n"/>
      <c r="L671" s="24" t="n"/>
      <c r="M671" s="25" t="n"/>
      <c r="N671" s="125" t="n"/>
      <c r="O671" s="23" t="n"/>
      <c r="P671" s="24" t="n"/>
      <c r="Q671" s="24" t="n"/>
      <c r="R671" s="24" t="n"/>
      <c r="S671" s="25" t="n"/>
      <c r="T671" s="125" t="n"/>
      <c r="U671" s="23" t="n"/>
      <c r="V671" s="24" t="n"/>
      <c r="W671" s="24" t="n"/>
      <c r="X671" s="24" t="n"/>
      <c r="Y671" s="25" t="n"/>
      <c r="Z671" s="125" t="n"/>
      <c r="AB671" s="23" t="n"/>
      <c r="AC671" s="24" t="n"/>
      <c r="AD671" s="24" t="n"/>
      <c r="AE671" s="24" t="n"/>
      <c r="AF671" s="25" t="n"/>
      <c r="AG671" s="125" t="n"/>
      <c r="AH671" s="23" t="n"/>
      <c r="AI671" s="24" t="n"/>
      <c r="AJ671" s="24" t="n"/>
      <c r="AK671" s="24" t="n"/>
      <c r="AL671" s="25" t="n"/>
      <c r="AM671" s="125" t="n"/>
      <c r="AN671" s="23" t="n"/>
      <c r="AO671" s="24" t="n"/>
      <c r="AP671" s="24" t="n"/>
      <c r="AQ671" s="24" t="n"/>
      <c r="AR671" s="25" t="n"/>
      <c r="AS671" s="125" t="n"/>
    </row>
    <row r="672" hidden="1" outlineLevel="1">
      <c r="A672" s="8" t="n"/>
      <c r="B672" s="14" t="n"/>
      <c r="C672" s="125" t="n"/>
      <c r="D672" s="125" t="n"/>
      <c r="E672" s="125" t="n"/>
      <c r="F672" s="125" t="n"/>
      <c r="G672" s="125" t="n"/>
      <c r="I672" s="125" t="n"/>
      <c r="J672" s="125" t="n"/>
      <c r="K672" s="125" t="n"/>
      <c r="L672" s="125" t="n"/>
      <c r="M672" s="125" t="n"/>
      <c r="N672" s="125" t="n"/>
      <c r="O672" s="125" t="n"/>
      <c r="P672" s="125" t="n"/>
      <c r="Q672" s="125" t="n"/>
      <c r="R672" s="125" t="n"/>
      <c r="S672" s="125" t="n"/>
      <c r="T672" s="125" t="n"/>
      <c r="U672" s="125" t="n"/>
      <c r="V672" s="125" t="n"/>
      <c r="W672" s="125" t="n"/>
      <c r="X672" s="125" t="n"/>
      <c r="Y672" s="125" t="n"/>
      <c r="Z672" s="125" t="n"/>
      <c r="AB672" s="125" t="n"/>
      <c r="AC672" s="125" t="n"/>
      <c r="AD672" s="125" t="n"/>
      <c r="AE672" s="125" t="n"/>
      <c r="AF672" s="125" t="n"/>
      <c r="AG672" s="125" t="n"/>
      <c r="AH672" s="125" t="n"/>
      <c r="AI672" s="125" t="n"/>
      <c r="AJ672" s="125" t="n"/>
      <c r="AK672" s="125" t="n"/>
      <c r="AL672" s="125" t="n"/>
      <c r="AM672" s="125" t="n"/>
      <c r="AN672" s="125" t="n"/>
      <c r="AO672" s="125" t="n"/>
      <c r="AP672" s="125" t="n"/>
      <c r="AQ672" s="125" t="n"/>
      <c r="AR672" s="125" t="n"/>
      <c r="AS672" s="125" t="n"/>
    </row>
    <row r="673" hidden="1" outlineLevel="1">
      <c r="A673" s="8" t="n"/>
      <c r="B673" s="14" t="n"/>
      <c r="C673" s="125" t="n"/>
      <c r="D673" s="125" t="n"/>
      <c r="E673" s="125" t="n"/>
      <c r="F673" s="125" t="n"/>
      <c r="G673" s="125"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5"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5" t="n"/>
    </row>
    <row r="674" hidden="1" outlineLevel="1">
      <c r="A674" s="8" t="n"/>
      <c r="B674" s="14" t="n"/>
      <c r="C674" s="125" t="n"/>
      <c r="D674" s="125" t="n"/>
      <c r="E674" s="125" t="n"/>
      <c r="F674" s="125" t="n"/>
      <c r="G674" s="125" t="n"/>
      <c r="I674" s="55" t="inlineStr">
        <is>
          <t>NV 1 · CE 1</t>
        </is>
      </c>
      <c r="J674" s="134" t="n"/>
      <c r="K674" s="16" t="n"/>
      <c r="L674" s="17" t="n"/>
      <c r="M674" s="141">
        <f>DADOS_INVOC!$IM$5</f>
        <v/>
      </c>
      <c r="N674" s="16" t="n"/>
      <c r="O674" s="16" t="n"/>
      <c r="P674" s="16" t="n"/>
      <c r="Q674" s="16" t="n"/>
      <c r="R674" s="16" t="n"/>
      <c r="S674" s="16" t="n"/>
      <c r="T674" s="16" t="n"/>
      <c r="U674" s="16" t="n"/>
      <c r="V674" s="16" t="n"/>
      <c r="W674" s="16" t="n"/>
      <c r="X674" s="16" t="n"/>
      <c r="Y674" s="17" t="n"/>
      <c r="Z674" s="125" t="n"/>
      <c r="AB674" s="55" t="inlineStr">
        <is>
          <t>NV 1 · CE 1</t>
        </is>
      </c>
      <c r="AC674" s="134" t="n"/>
      <c r="AD674" s="16" t="n"/>
      <c r="AE674" s="17" t="n"/>
      <c r="AF674" s="141">
        <f>DADOS_INVOC!$IM$11</f>
        <v/>
      </c>
      <c r="AG674" s="16" t="n"/>
      <c r="AH674" s="16" t="n"/>
      <c r="AI674" s="16" t="n"/>
      <c r="AJ674" s="16" t="n"/>
      <c r="AK674" s="16" t="n"/>
      <c r="AL674" s="16" t="n"/>
      <c r="AM674" s="16" t="n"/>
      <c r="AN674" s="16" t="n"/>
      <c r="AO674" s="16" t="n"/>
      <c r="AP674" s="16" t="n"/>
      <c r="AQ674" s="16" t="n"/>
      <c r="AR674" s="17" t="n"/>
      <c r="AS674" s="125" t="n"/>
    </row>
    <row r="675" hidden="1" outlineLevel="1">
      <c r="A675" s="8" t="n"/>
      <c r="B675" s="14" t="n"/>
      <c r="C675" s="125" t="n"/>
      <c r="D675" s="125" t="n"/>
      <c r="E675" s="125" t="n"/>
      <c r="F675" s="125" t="n"/>
      <c r="G675" s="125" t="n"/>
      <c r="I675" s="55" t="inlineStr">
        <is>
          <t>NV 6 · CE 1</t>
        </is>
      </c>
      <c r="J675" s="134" t="n"/>
      <c r="K675" s="16" t="n"/>
      <c r="L675" s="17" t="n"/>
      <c r="M675" s="141">
        <f>DADOS_INVOC!$IN$5</f>
        <v/>
      </c>
      <c r="N675" s="16" t="n"/>
      <c r="O675" s="16" t="n"/>
      <c r="P675" s="16" t="n"/>
      <c r="Q675" s="16" t="n"/>
      <c r="R675" s="16" t="n"/>
      <c r="S675" s="16" t="n"/>
      <c r="T675" s="16" t="n"/>
      <c r="U675" s="16" t="n"/>
      <c r="V675" s="16" t="n"/>
      <c r="W675" s="16" t="n"/>
      <c r="X675" s="16" t="n"/>
      <c r="Y675" s="17" t="n"/>
      <c r="Z675" s="125" t="n"/>
      <c r="AB675" s="55" t="inlineStr">
        <is>
          <t>NV 6 · CE 1</t>
        </is>
      </c>
      <c r="AC675" s="134" t="n"/>
      <c r="AD675" s="16" t="n"/>
      <c r="AE675" s="17" t="n"/>
      <c r="AF675" s="141">
        <f>DADOS_INVOC!$IN$11</f>
        <v/>
      </c>
      <c r="AG675" s="16" t="n"/>
      <c r="AH675" s="16" t="n"/>
      <c r="AI675" s="16" t="n"/>
      <c r="AJ675" s="16" t="n"/>
      <c r="AK675" s="16" t="n"/>
      <c r="AL675" s="16" t="n"/>
      <c r="AM675" s="16" t="n"/>
      <c r="AN675" s="16" t="n"/>
      <c r="AO675" s="16" t="n"/>
      <c r="AP675" s="16" t="n"/>
      <c r="AQ675" s="16" t="n"/>
      <c r="AR675" s="17" t="n"/>
      <c r="AS675" s="125" t="n"/>
    </row>
    <row r="676" hidden="1" outlineLevel="1">
      <c r="A676" s="8" t="n"/>
      <c r="B676" s="14" t="n"/>
      <c r="C676" s="125" t="n"/>
      <c r="D676" s="125" t="n"/>
      <c r="E676" s="125" t="n"/>
      <c r="F676" s="125" t="n"/>
      <c r="G676" s="125" t="n"/>
      <c r="I676" s="55" t="inlineStr">
        <is>
          <t>NV 10 · CE 2</t>
        </is>
      </c>
      <c r="J676" s="134" t="n"/>
      <c r="K676" s="16" t="n"/>
      <c r="L676" s="17" t="n"/>
      <c r="M676" s="141">
        <f>DADOS_INVOC!$IO$5</f>
        <v/>
      </c>
      <c r="N676" s="16" t="n"/>
      <c r="O676" s="16" t="n"/>
      <c r="P676" s="16" t="n"/>
      <c r="Q676" s="16" t="n"/>
      <c r="R676" s="16" t="n"/>
      <c r="S676" s="16" t="n"/>
      <c r="T676" s="16" t="n"/>
      <c r="U676" s="16" t="n"/>
      <c r="V676" s="16" t="n"/>
      <c r="W676" s="16" t="n"/>
      <c r="X676" s="16" t="n"/>
      <c r="Y676" s="17" t="n"/>
      <c r="Z676" s="125" t="n"/>
      <c r="AB676" s="55" t="inlineStr">
        <is>
          <t>NV 10 · CE 2</t>
        </is>
      </c>
      <c r="AC676" s="134" t="n"/>
      <c r="AD676" s="16" t="n"/>
      <c r="AE676" s="17" t="n"/>
      <c r="AF676" s="141">
        <f>DADOS_INVOC!$IO$11</f>
        <v/>
      </c>
      <c r="AG676" s="16" t="n"/>
      <c r="AH676" s="16" t="n"/>
      <c r="AI676" s="16" t="n"/>
      <c r="AJ676" s="16" t="n"/>
      <c r="AK676" s="16" t="n"/>
      <c r="AL676" s="16" t="n"/>
      <c r="AM676" s="16" t="n"/>
      <c r="AN676" s="16" t="n"/>
      <c r="AO676" s="16" t="n"/>
      <c r="AP676" s="16" t="n"/>
      <c r="AQ676" s="16" t="n"/>
      <c r="AR676" s="17" t="n"/>
      <c r="AS676" s="125" t="n"/>
    </row>
    <row r="677" hidden="1" outlineLevel="1">
      <c r="A677" s="8" t="n"/>
      <c r="B677" s="14" t="n"/>
      <c r="C677" s="125" t="n"/>
      <c r="D677" s="125" t="n"/>
      <c r="E677" s="125" t="n"/>
      <c r="F677" s="125" t="n"/>
      <c r="G677" s="125" t="n"/>
      <c r="I677" s="55" t="inlineStr">
        <is>
          <t>NV 14 · CE 3</t>
        </is>
      </c>
      <c r="J677" s="134" t="n"/>
      <c r="K677" s="16" t="n"/>
      <c r="L677" s="17" t="n"/>
      <c r="M677" s="141">
        <f>DADOS_INVOC!$IP$5</f>
        <v/>
      </c>
      <c r="N677" s="16" t="n"/>
      <c r="O677" s="16" t="n"/>
      <c r="P677" s="16" t="n"/>
      <c r="Q677" s="16" t="n"/>
      <c r="R677" s="16" t="n"/>
      <c r="S677" s="16" t="n"/>
      <c r="T677" s="16" t="n"/>
      <c r="U677" s="16" t="n"/>
      <c r="V677" s="16" t="n"/>
      <c r="W677" s="16" t="n"/>
      <c r="X677" s="16" t="n"/>
      <c r="Y677" s="17" t="n"/>
      <c r="Z677" s="125" t="n"/>
      <c r="AB677" s="55" t="inlineStr">
        <is>
          <t>NV 14 · CE 3</t>
        </is>
      </c>
      <c r="AC677" s="134" t="n"/>
      <c r="AD677" s="16" t="n"/>
      <c r="AE677" s="17" t="n"/>
      <c r="AF677" s="141">
        <f>DADOS_INVOC!$IP$11</f>
        <v/>
      </c>
      <c r="AG677" s="16" t="n"/>
      <c r="AH677" s="16" t="n"/>
      <c r="AI677" s="16" t="n"/>
      <c r="AJ677" s="16" t="n"/>
      <c r="AK677" s="16" t="n"/>
      <c r="AL677" s="16" t="n"/>
      <c r="AM677" s="16" t="n"/>
      <c r="AN677" s="16" t="n"/>
      <c r="AO677" s="16" t="n"/>
      <c r="AP677" s="16" t="n"/>
      <c r="AQ677" s="16" t="n"/>
      <c r="AR677" s="17" t="n"/>
      <c r="AS677" s="125" t="n"/>
    </row>
    <row r="678" hidden="1" outlineLevel="1">
      <c r="A678" s="8" t="n"/>
      <c r="B678" s="14" t="n"/>
      <c r="C678" s="125" t="n"/>
      <c r="D678" s="125" t="n"/>
      <c r="E678" s="125" t="n"/>
      <c r="F678" s="125" t="n"/>
      <c r="G678" s="125" t="n"/>
      <c r="I678" s="55" t="inlineStr">
        <is>
          <t>NV 18 · CE 3</t>
        </is>
      </c>
      <c r="J678" s="134" t="n"/>
      <c r="K678" s="16" t="n"/>
      <c r="L678" s="17" t="n"/>
      <c r="M678" s="141">
        <f>DADOS_INVOC!$IQ$5</f>
        <v/>
      </c>
      <c r="N678" s="16" t="n"/>
      <c r="O678" s="16" t="n"/>
      <c r="P678" s="16" t="n"/>
      <c r="Q678" s="16" t="n"/>
      <c r="R678" s="16" t="n"/>
      <c r="S678" s="16" t="n"/>
      <c r="T678" s="16" t="n"/>
      <c r="U678" s="16" t="n"/>
      <c r="V678" s="16" t="n"/>
      <c r="W678" s="16" t="n"/>
      <c r="X678" s="16" t="n"/>
      <c r="Y678" s="17" t="n"/>
      <c r="Z678" s="125" t="n"/>
      <c r="AB678" s="55" t="inlineStr">
        <is>
          <t>NV 18 · CE 3</t>
        </is>
      </c>
      <c r="AC678" s="134" t="n"/>
      <c r="AD678" s="16" t="n"/>
      <c r="AE678" s="17" t="n"/>
      <c r="AF678" s="141">
        <f>DADOS_INVOC!$IQ$11</f>
        <v/>
      </c>
      <c r="AG678" s="16" t="n"/>
      <c r="AH678" s="16" t="n"/>
      <c r="AI678" s="16" t="n"/>
      <c r="AJ678" s="16" t="n"/>
      <c r="AK678" s="16" t="n"/>
      <c r="AL678" s="16" t="n"/>
      <c r="AM678" s="16" t="n"/>
      <c r="AN678" s="16" t="n"/>
      <c r="AO678" s="16" t="n"/>
      <c r="AP678" s="16" t="n"/>
      <c r="AQ678" s="16" t="n"/>
      <c r="AR678" s="17" t="n"/>
      <c r="AS678" s="125" t="n"/>
    </row>
    <row r="679" hidden="1" outlineLevel="1">
      <c r="A679" s="8" t="n"/>
      <c r="B679" s="14" t="n"/>
      <c r="C679" s="125" t="n"/>
      <c r="D679" s="125" t="n"/>
      <c r="E679" s="125" t="n"/>
      <c r="F679" s="125" t="n"/>
      <c r="G679" s="125" t="n"/>
      <c r="I679" s="55" t="inlineStr">
        <is>
          <t>NV 22 · CE 3</t>
        </is>
      </c>
      <c r="J679" s="134" t="n"/>
      <c r="K679" s="16" t="n"/>
      <c r="L679" s="17" t="n"/>
      <c r="M679" s="141">
        <f>DADOS_INVOC!$IR$5</f>
        <v/>
      </c>
      <c r="N679" s="16" t="n"/>
      <c r="O679" s="16" t="n"/>
      <c r="P679" s="16" t="n"/>
      <c r="Q679" s="16" t="n"/>
      <c r="R679" s="16" t="n"/>
      <c r="S679" s="16" t="n"/>
      <c r="T679" s="16" t="n"/>
      <c r="U679" s="16" t="n"/>
      <c r="V679" s="16" t="n"/>
      <c r="W679" s="16" t="n"/>
      <c r="X679" s="16" t="n"/>
      <c r="Y679" s="17" t="n"/>
      <c r="Z679" s="125" t="n"/>
      <c r="AB679" s="55" t="inlineStr">
        <is>
          <t>NV 22 · CE 3</t>
        </is>
      </c>
      <c r="AC679" s="134" t="n"/>
      <c r="AD679" s="16" t="n"/>
      <c r="AE679" s="17" t="n"/>
      <c r="AF679" s="141">
        <f>DADOS_INVOC!$IR$11</f>
        <v/>
      </c>
      <c r="AG679" s="16" t="n"/>
      <c r="AH679" s="16" t="n"/>
      <c r="AI679" s="16" t="n"/>
      <c r="AJ679" s="16" t="n"/>
      <c r="AK679" s="16" t="n"/>
      <c r="AL679" s="16" t="n"/>
      <c r="AM679" s="16" t="n"/>
      <c r="AN679" s="16" t="n"/>
      <c r="AO679" s="16" t="n"/>
      <c r="AP679" s="16" t="n"/>
      <c r="AQ679" s="16" t="n"/>
      <c r="AR679" s="17" t="n"/>
      <c r="AS679" s="125" t="n"/>
    </row>
    <row r="680" hidden="1" outlineLevel="1">
      <c r="A680" s="8" t="n"/>
      <c r="B680" s="14" t="n"/>
      <c r="C680" s="125" t="n"/>
      <c r="D680" s="125" t="n"/>
      <c r="E680" s="125" t="n"/>
      <c r="F680" s="125" t="n"/>
      <c r="G680" s="125" t="n"/>
      <c r="I680" s="55" t="inlineStr">
        <is>
          <t>NV 26 · CE 3</t>
        </is>
      </c>
      <c r="J680" s="134" t="n"/>
      <c r="K680" s="16" t="n"/>
      <c r="L680" s="17" t="n"/>
      <c r="M680" s="141">
        <f>DADOS_INVOC!$IS$5</f>
        <v/>
      </c>
      <c r="N680" s="16" t="n"/>
      <c r="O680" s="16" t="n"/>
      <c r="P680" s="16" t="n"/>
      <c r="Q680" s="16" t="n"/>
      <c r="R680" s="16" t="n"/>
      <c r="S680" s="16" t="n"/>
      <c r="T680" s="16" t="n"/>
      <c r="U680" s="16" t="n"/>
      <c r="V680" s="16" t="n"/>
      <c r="W680" s="16" t="n"/>
      <c r="X680" s="16" t="n"/>
      <c r="Y680" s="17" t="n"/>
      <c r="Z680" s="125" t="n"/>
      <c r="AB680" s="55" t="inlineStr">
        <is>
          <t>NV 26 · CE 3</t>
        </is>
      </c>
      <c r="AC680" s="134" t="n"/>
      <c r="AD680" s="16" t="n"/>
      <c r="AE680" s="17" t="n"/>
      <c r="AF680" s="141">
        <f>DADOS_INVOC!$IS$11</f>
        <v/>
      </c>
      <c r="AG680" s="16" t="n"/>
      <c r="AH680" s="16" t="n"/>
      <c r="AI680" s="16" t="n"/>
      <c r="AJ680" s="16" t="n"/>
      <c r="AK680" s="16" t="n"/>
      <c r="AL680" s="16" t="n"/>
      <c r="AM680" s="16" t="n"/>
      <c r="AN680" s="16" t="n"/>
      <c r="AO680" s="16" t="n"/>
      <c r="AP680" s="16" t="n"/>
      <c r="AQ680" s="16" t="n"/>
      <c r="AR680" s="17" t="n"/>
      <c r="AS680" s="125" t="n"/>
    </row>
    <row r="681" hidden="1" outlineLevel="1">
      <c r="A681" s="8" t="n"/>
      <c r="B681" s="14" t="n"/>
      <c r="C681" s="125" t="n"/>
      <c r="D681" s="125" t="n"/>
      <c r="E681" s="125" t="n"/>
      <c r="F681" s="125" t="n"/>
      <c r="G681" s="125" t="n"/>
      <c r="I681" s="55" t="inlineStr">
        <is>
          <t>NV 30 · CE 3</t>
        </is>
      </c>
      <c r="J681" s="134" t="n"/>
      <c r="K681" s="16" t="n"/>
      <c r="L681" s="17" t="n"/>
      <c r="M681" s="141">
        <f>DADOS_INVOC!$IT$5</f>
        <v/>
      </c>
      <c r="N681" s="16" t="n"/>
      <c r="O681" s="16" t="n"/>
      <c r="P681" s="16" t="n"/>
      <c r="Q681" s="16" t="n"/>
      <c r="R681" s="16" t="n"/>
      <c r="S681" s="16" t="n"/>
      <c r="T681" s="16" t="n"/>
      <c r="U681" s="16" t="n"/>
      <c r="V681" s="16" t="n"/>
      <c r="W681" s="16" t="n"/>
      <c r="X681" s="16" t="n"/>
      <c r="Y681" s="17" t="n"/>
      <c r="Z681" s="125" t="n"/>
      <c r="AB681" s="55" t="inlineStr">
        <is>
          <t>NV 30 · CE 3</t>
        </is>
      </c>
      <c r="AC681" s="134" t="n"/>
      <c r="AD681" s="16" t="n"/>
      <c r="AE681" s="17" t="n"/>
      <c r="AF681" s="141">
        <f>DADOS_INVOC!$IT$11</f>
        <v/>
      </c>
      <c r="AG681" s="16" t="n"/>
      <c r="AH681" s="16" t="n"/>
      <c r="AI681" s="16" t="n"/>
      <c r="AJ681" s="16" t="n"/>
      <c r="AK681" s="16" t="n"/>
      <c r="AL681" s="16" t="n"/>
      <c r="AM681" s="16" t="n"/>
      <c r="AN681" s="16" t="n"/>
      <c r="AO681" s="16" t="n"/>
      <c r="AP681" s="16" t="n"/>
      <c r="AQ681" s="16" t="n"/>
      <c r="AR681" s="17" t="n"/>
      <c r="AS681" s="125" t="n"/>
    </row>
    <row r="682" hidden="1" outlineLevel="1">
      <c r="A682" s="8" t="n"/>
      <c r="B682" s="14" t="n"/>
      <c r="C682" s="125" t="n"/>
      <c r="D682" s="125" t="n"/>
      <c r="E682" s="125" t="n"/>
      <c r="F682" s="125" t="n"/>
      <c r="G682" s="125" t="n"/>
      <c r="I682" s="125" t="n"/>
      <c r="J682" s="125" t="n"/>
      <c r="K682" s="125" t="n"/>
      <c r="L682" s="125" t="n"/>
      <c r="M682" s="125" t="n"/>
      <c r="N682" s="125" t="n"/>
      <c r="O682" s="125" t="n"/>
      <c r="P682" s="125" t="n"/>
      <c r="Q682" s="125" t="n"/>
      <c r="R682" s="125" t="n"/>
      <c r="S682" s="125" t="n"/>
      <c r="T682" s="125" t="n"/>
      <c r="U682" s="125" t="n"/>
      <c r="V682" s="125" t="n"/>
      <c r="W682" s="125" t="n"/>
      <c r="X682" s="125" t="n"/>
      <c r="Y682" s="125" t="n"/>
      <c r="Z682" s="125" t="n"/>
      <c r="AB682" s="125" t="n"/>
      <c r="AC682" s="125" t="n"/>
      <c r="AD682" s="125" t="n"/>
      <c r="AE682" s="125" t="n"/>
      <c r="AF682" s="125" t="n"/>
      <c r="AG682" s="125" t="n"/>
      <c r="AH682" s="125" t="n"/>
      <c r="AI682" s="125" t="n"/>
      <c r="AJ682" s="125" t="n"/>
      <c r="AK682" s="125" t="n"/>
      <c r="AL682" s="125" t="n"/>
      <c r="AM682" s="125" t="n"/>
      <c r="AN682" s="125" t="n"/>
      <c r="AO682" s="125" t="n"/>
      <c r="AP682" s="125" t="n"/>
      <c r="AQ682" s="125" t="n"/>
      <c r="AR682" s="125" t="n"/>
      <c r="AS682" s="125" t="n"/>
    </row>
    <row r="683" hidden="1" outlineLevel="1">
      <c r="A683" s="8" t="n"/>
      <c r="B683" s="14" t="n"/>
      <c r="C683" s="125" t="n"/>
      <c r="D683" s="125" t="n"/>
      <c r="E683" s="125" t="n"/>
      <c r="F683" s="125" t="n"/>
      <c r="G683" s="125" t="n"/>
      <c r="I683" s="137"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5" t="n"/>
      <c r="AB683" s="137"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5" t="n"/>
    </row>
    <row r="684" hidden="1" outlineLevel="2">
      <c r="A684" s="8" t="n"/>
      <c r="B684" s="14" t="n"/>
      <c r="C684" s="125" t="n"/>
      <c r="D684" s="125" t="n"/>
      <c r="E684" s="125" t="n"/>
      <c r="F684" s="125" t="n"/>
      <c r="G684" s="125" t="n"/>
      <c r="I684" s="125" t="n"/>
      <c r="J684" s="125" t="n"/>
      <c r="K684" s="125" t="n"/>
      <c r="L684" s="125" t="n"/>
      <c r="M684" s="125" t="n"/>
      <c r="N684" s="125" t="n"/>
      <c r="O684" s="125" t="n"/>
      <c r="P684" s="125" t="n"/>
      <c r="Q684" s="125" t="n"/>
      <c r="R684" s="125" t="n"/>
      <c r="S684" s="125" t="n"/>
      <c r="T684" s="125" t="n"/>
      <c r="U684" s="125" t="n"/>
      <c r="V684" s="125" t="n"/>
      <c r="W684" s="125" t="n"/>
      <c r="X684" s="125" t="n"/>
      <c r="Y684" s="125" t="n"/>
      <c r="Z684" s="125" t="n"/>
      <c r="AB684" s="125" t="n"/>
      <c r="AC684" s="125" t="n"/>
      <c r="AD684" s="125" t="n"/>
      <c r="AE684" s="125" t="n"/>
      <c r="AF684" s="125" t="n"/>
      <c r="AG684" s="125" t="n"/>
      <c r="AH684" s="125" t="n"/>
      <c r="AI684" s="125" t="n"/>
      <c r="AJ684" s="125" t="n"/>
      <c r="AK684" s="125" t="n"/>
      <c r="AL684" s="125" t="n"/>
      <c r="AM684" s="125" t="n"/>
      <c r="AN684" s="125" t="n"/>
      <c r="AO684" s="125" t="n"/>
      <c r="AP684" s="125" t="n"/>
      <c r="AQ684" s="125" t="n"/>
      <c r="AR684" s="125" t="n"/>
      <c r="AS684" s="125" t="n"/>
    </row>
    <row r="685" hidden="1" outlineLevel="2">
      <c r="A685" s="8" t="n"/>
      <c r="B685" s="14" t="n"/>
      <c r="C685" s="125" t="n"/>
      <c r="D685" s="125" t="n"/>
      <c r="E685" s="125" t="n"/>
      <c r="F685" s="125" t="n"/>
      <c r="G685" s="125" t="n"/>
      <c r="I685" s="55">
        <f>DADOS_INVOC!$PX$44</f>
        <v/>
      </c>
      <c r="J685" s="16" t="n"/>
      <c r="K685" s="16" t="n"/>
      <c r="L685" s="16" t="n"/>
      <c r="M685" s="17" t="n"/>
      <c r="N685" s="125" t="n"/>
      <c r="O685" s="55">
        <f>DADOS_INVOC!$PX$45</f>
        <v/>
      </c>
      <c r="P685" s="16" t="n"/>
      <c r="Q685" s="16" t="n"/>
      <c r="R685" s="16" t="n"/>
      <c r="S685" s="17" t="n"/>
      <c r="T685" s="125" t="n"/>
      <c r="U685" s="55">
        <f>DADOS_INVOC!$PX$46</f>
        <v/>
      </c>
      <c r="V685" s="16" t="n"/>
      <c r="W685" s="16" t="n"/>
      <c r="X685" s="16" t="n"/>
      <c r="Y685" s="17" t="n"/>
      <c r="Z685" s="125" t="n"/>
      <c r="AB685" s="55">
        <f>DADOS_INVOC!$PX$122</f>
        <v/>
      </c>
      <c r="AC685" s="16" t="n"/>
      <c r="AD685" s="16" t="n"/>
      <c r="AE685" s="16" t="n"/>
      <c r="AF685" s="17" t="n"/>
      <c r="AG685" s="125" t="n"/>
      <c r="AH685" s="55">
        <f>DADOS_INVOC!$PX$123</f>
        <v/>
      </c>
      <c r="AI685" s="16" t="n"/>
      <c r="AJ685" s="16" t="n"/>
      <c r="AK685" s="16" t="n"/>
      <c r="AL685" s="17" t="n"/>
      <c r="AM685" s="125" t="n"/>
      <c r="AN685" s="55">
        <f>DADOS_INVOC!$PX$124</f>
        <v/>
      </c>
      <c r="AO685" s="16" t="n"/>
      <c r="AP685" s="16" t="n"/>
      <c r="AQ685" s="16" t="n"/>
      <c r="AR685" s="17" t="n"/>
      <c r="AS685" s="125" t="n"/>
    </row>
    <row r="686" hidden="1" outlineLevel="2">
      <c r="A686" s="8" t="n"/>
      <c r="B686" s="14" t="n"/>
      <c r="C686" s="125" t="n"/>
      <c r="D686" s="125" t="n"/>
      <c r="E686" s="125" t="n"/>
      <c r="F686" s="125" t="n"/>
      <c r="G686" s="125" t="n"/>
      <c r="I686" s="131" t="n">
        <v>0</v>
      </c>
      <c r="J686" s="120" t="n"/>
      <c r="K686" s="16" t="n"/>
      <c r="L686" s="17" t="n"/>
      <c r="M686" s="132">
        <f>DADOS_INVOC!$PV$44</f>
        <v/>
      </c>
      <c r="N686" s="125" t="n"/>
      <c r="O686" s="131" t="n">
        <v>1</v>
      </c>
      <c r="P686" s="120" t="n"/>
      <c r="Q686" s="16" t="n"/>
      <c r="R686" s="17" t="n"/>
      <c r="S686" s="132">
        <f>DADOS_INVOC!$PV$45</f>
        <v/>
      </c>
      <c r="T686" s="125" t="n"/>
      <c r="U686" s="131" t="n">
        <v>1</v>
      </c>
      <c r="V686" s="120" t="n"/>
      <c r="W686" s="16" t="n"/>
      <c r="X686" s="17" t="n"/>
      <c r="Y686" s="132">
        <f>DADOS_INVOC!$PV$46</f>
        <v/>
      </c>
      <c r="Z686" s="125" t="n"/>
      <c r="AB686" s="131" t="n">
        <v>0</v>
      </c>
      <c r="AC686" s="120" t="n"/>
      <c r="AD686" s="16" t="n"/>
      <c r="AE686" s="17" t="n"/>
      <c r="AF686" s="132">
        <f>DADOS_INVOC!$PV$122</f>
        <v/>
      </c>
      <c r="AG686" s="125" t="n"/>
      <c r="AH686" s="131" t="n">
        <v>1</v>
      </c>
      <c r="AI686" s="120" t="n"/>
      <c r="AJ686" s="16" t="n"/>
      <c r="AK686" s="17" t="n"/>
      <c r="AL686" s="132">
        <f>DADOS_INVOC!$PV$123</f>
        <v/>
      </c>
      <c r="AM686" s="125" t="n"/>
      <c r="AN686" s="131" t="n">
        <v>1</v>
      </c>
      <c r="AO686" s="120" t="n"/>
      <c r="AP686" s="16" t="n"/>
      <c r="AQ686" s="17" t="n"/>
      <c r="AR686" s="132">
        <f>DADOS_INVOC!$PV$124</f>
        <v/>
      </c>
      <c r="AS686" s="125" t="n"/>
    </row>
    <row r="687" hidden="1" outlineLevel="3">
      <c r="A687" s="8" t="n"/>
      <c r="B687" s="14" t="n"/>
      <c r="C687" s="125" t="n"/>
      <c r="D687" s="125" t="n"/>
      <c r="E687" s="125" t="n"/>
      <c r="F687" s="125" t="n"/>
      <c r="G687" s="125" t="n"/>
      <c r="I687" s="55" t="inlineStr">
        <is>
          <t>COMO É</t>
        </is>
      </c>
      <c r="J687" s="16" t="n"/>
      <c r="K687" s="16" t="n"/>
      <c r="L687" s="16" t="n"/>
      <c r="M687" s="17" t="n"/>
      <c r="N687" s="125" t="n"/>
      <c r="O687" s="55" t="inlineStr">
        <is>
          <t>COMO É</t>
        </is>
      </c>
      <c r="P687" s="16" t="n"/>
      <c r="Q687" s="16" t="n"/>
      <c r="R687" s="16" t="n"/>
      <c r="S687" s="17" t="n"/>
      <c r="T687" s="125" t="n"/>
      <c r="U687" s="55" t="inlineStr">
        <is>
          <t>COMO É</t>
        </is>
      </c>
      <c r="V687" s="16" t="n"/>
      <c r="W687" s="16" t="n"/>
      <c r="X687" s="16" t="n"/>
      <c r="Y687" s="17" t="n"/>
      <c r="Z687" s="125" t="n"/>
      <c r="AB687" s="55" t="inlineStr">
        <is>
          <t>COMO É</t>
        </is>
      </c>
      <c r="AC687" s="16" t="n"/>
      <c r="AD687" s="16" t="n"/>
      <c r="AE687" s="16" t="n"/>
      <c r="AF687" s="17" t="n"/>
      <c r="AG687" s="125" t="n"/>
      <c r="AH687" s="55" t="inlineStr">
        <is>
          <t>COMO É</t>
        </is>
      </c>
      <c r="AI687" s="16" t="n"/>
      <c r="AJ687" s="16" t="n"/>
      <c r="AK687" s="16" t="n"/>
      <c r="AL687" s="17" t="n"/>
      <c r="AM687" s="125" t="n"/>
      <c r="AN687" s="55" t="inlineStr">
        <is>
          <t>COMO É</t>
        </is>
      </c>
      <c r="AO687" s="16" t="n"/>
      <c r="AP687" s="16" t="n"/>
      <c r="AQ687" s="16" t="n"/>
      <c r="AR687" s="17" t="n"/>
      <c r="AS687" s="125" t="n"/>
    </row>
    <row r="688" hidden="1" outlineLevel="3">
      <c r="A688" s="8" t="n"/>
      <c r="B688" s="14" t="n"/>
      <c r="C688" s="125" t="n"/>
      <c r="D688" s="125" t="n"/>
      <c r="E688" s="125" t="n"/>
      <c r="F688" s="125" t="n"/>
      <c r="G688" s="125" t="n"/>
      <c r="I688" s="121" t="n"/>
      <c r="J688" s="19" t="n"/>
      <c r="K688" s="19" t="n"/>
      <c r="L688" s="19" t="n"/>
      <c r="M688" s="20" t="n"/>
      <c r="N688" s="125" t="n"/>
      <c r="O688" s="121" t="n"/>
      <c r="P688" s="19" t="n"/>
      <c r="Q688" s="19" t="n"/>
      <c r="R688" s="19" t="n"/>
      <c r="S688" s="20" t="n"/>
      <c r="T688" s="125" t="n"/>
      <c r="U688" s="121" t="n"/>
      <c r="V688" s="19" t="n"/>
      <c r="W688" s="19" t="n"/>
      <c r="X688" s="19" t="n"/>
      <c r="Y688" s="20" t="n"/>
      <c r="Z688" s="125" t="n"/>
      <c r="AB688" s="121" t="n"/>
      <c r="AC688" s="19" t="n"/>
      <c r="AD688" s="19" t="n"/>
      <c r="AE688" s="19" t="n"/>
      <c r="AF688" s="20" t="n"/>
      <c r="AG688" s="125" t="n"/>
      <c r="AH688" s="121" t="n"/>
      <c r="AI688" s="19" t="n"/>
      <c r="AJ688" s="19" t="n"/>
      <c r="AK688" s="19" t="n"/>
      <c r="AL688" s="20" t="n"/>
      <c r="AM688" s="125" t="n"/>
      <c r="AN688" s="121" t="n"/>
      <c r="AO688" s="19" t="n"/>
      <c r="AP688" s="19" t="n"/>
      <c r="AQ688" s="19" t="n"/>
      <c r="AR688" s="20" t="n"/>
      <c r="AS688" s="125" t="n"/>
    </row>
    <row r="689" hidden="1" outlineLevel="3">
      <c r="A689" s="8" t="n"/>
      <c r="B689" s="14" t="n"/>
      <c r="C689" s="125" t="n"/>
      <c r="D689" s="125" t="n"/>
      <c r="E689" s="125" t="n"/>
      <c r="F689" s="125" t="n"/>
      <c r="G689" s="125" t="n"/>
      <c r="I689" s="21" t="n"/>
      <c r="M689" s="22" t="n"/>
      <c r="N689" s="125" t="n"/>
      <c r="O689" s="21" t="n"/>
      <c r="S689" s="22" t="n"/>
      <c r="T689" s="125" t="n"/>
      <c r="U689" s="21" t="n"/>
      <c r="Y689" s="22" t="n"/>
      <c r="Z689" s="125" t="n"/>
      <c r="AB689" s="21" t="n"/>
      <c r="AF689" s="22" t="n"/>
      <c r="AG689" s="125" t="n"/>
      <c r="AH689" s="21" t="n"/>
      <c r="AL689" s="22" t="n"/>
      <c r="AM689" s="125" t="n"/>
      <c r="AN689" s="21" t="n"/>
      <c r="AR689" s="22" t="n"/>
      <c r="AS689" s="125" t="n"/>
    </row>
    <row r="690" hidden="1" outlineLevel="3">
      <c r="A690" s="8" t="n"/>
      <c r="B690" s="14" t="n"/>
      <c r="C690" s="125" t="n"/>
      <c r="D690" s="125" t="n"/>
      <c r="E690" s="125" t="n"/>
      <c r="F690" s="125" t="n"/>
      <c r="G690" s="125" t="n"/>
      <c r="I690" s="23" t="n"/>
      <c r="J690" s="24" t="n"/>
      <c r="K690" s="24" t="n"/>
      <c r="L690" s="24" t="n"/>
      <c r="M690" s="25" t="n"/>
      <c r="N690" s="125" t="n"/>
      <c r="O690" s="23" t="n"/>
      <c r="P690" s="24" t="n"/>
      <c r="Q690" s="24" t="n"/>
      <c r="R690" s="24" t="n"/>
      <c r="S690" s="25" t="n"/>
      <c r="T690" s="125" t="n"/>
      <c r="U690" s="23" t="n"/>
      <c r="V690" s="24" t="n"/>
      <c r="W690" s="24" t="n"/>
      <c r="X690" s="24" t="n"/>
      <c r="Y690" s="25" t="n"/>
      <c r="Z690" s="125" t="n"/>
      <c r="AB690" s="23" t="n"/>
      <c r="AC690" s="24" t="n"/>
      <c r="AD690" s="24" t="n"/>
      <c r="AE690" s="24" t="n"/>
      <c r="AF690" s="25" t="n"/>
      <c r="AG690" s="125" t="n"/>
      <c r="AH690" s="23" t="n"/>
      <c r="AI690" s="24" t="n"/>
      <c r="AJ690" s="24" t="n"/>
      <c r="AK690" s="24" t="n"/>
      <c r="AL690" s="25" t="n"/>
      <c r="AM690" s="125" t="n"/>
      <c r="AN690" s="23" t="n"/>
      <c r="AO690" s="24" t="n"/>
      <c r="AP690" s="24" t="n"/>
      <c r="AQ690" s="24" t="n"/>
      <c r="AR690" s="25" t="n"/>
      <c r="AS690" s="125" t="n"/>
    </row>
    <row r="691" hidden="1" outlineLevel="2">
      <c r="A691" s="8" t="n"/>
      <c r="B691" s="14" t="n"/>
      <c r="C691" s="125" t="n"/>
      <c r="D691" s="125" t="n"/>
      <c r="E691" s="125" t="n"/>
      <c r="F691" s="125" t="n"/>
      <c r="G691" s="125" t="n"/>
      <c r="I691" s="89" t="inlineStr">
        <is>
          <t>Projétil</t>
        </is>
      </c>
      <c r="J691" s="17" t="n"/>
      <c r="K691" s="68">
        <f>DADOS_INVOC!$QC$44</f>
        <v/>
      </c>
      <c r="L691" s="17" t="n"/>
      <c r="M691" s="68">
        <f>DADOS_INVOC!$PY$44</f>
        <v/>
      </c>
      <c r="N691" s="125" t="n"/>
      <c r="O691" s="89" t="inlineStr">
        <is>
          <t>Projétil</t>
        </is>
      </c>
      <c r="P691" s="17" t="n"/>
      <c r="Q691" s="68">
        <f>DADOS_INVOC!$QC$45</f>
        <v/>
      </c>
      <c r="R691" s="17" t="n"/>
      <c r="S691" s="68">
        <f>DADOS_INVOC!$PY$45</f>
        <v/>
      </c>
      <c r="T691" s="125" t="n"/>
      <c r="U691" s="89" t="inlineStr">
        <is>
          <t>Projétil</t>
        </is>
      </c>
      <c r="V691" s="17" t="n"/>
      <c r="W691" s="68">
        <f>DADOS_INVOC!$QC$46</f>
        <v/>
      </c>
      <c r="X691" s="17" t="n"/>
      <c r="Y691" s="68">
        <f>DADOS_INVOC!$PY$46</f>
        <v/>
      </c>
      <c r="Z691" s="125" t="n"/>
      <c r="AB691" s="89" t="inlineStr">
        <is>
          <t>Projétil</t>
        </is>
      </c>
      <c r="AC691" s="17" t="n"/>
      <c r="AD691" s="68">
        <f>DADOS_INVOC!$QC$122</f>
        <v/>
      </c>
      <c r="AE691" s="17" t="n"/>
      <c r="AF691" s="68">
        <f>DADOS_INVOC!$PY$122</f>
        <v/>
      </c>
      <c r="AG691" s="125" t="n"/>
      <c r="AH691" s="89" t="inlineStr">
        <is>
          <t>Projétil</t>
        </is>
      </c>
      <c r="AI691" s="17" t="n"/>
      <c r="AJ691" s="68">
        <f>DADOS_INVOC!$QC$123</f>
        <v/>
      </c>
      <c r="AK691" s="17" t="n"/>
      <c r="AL691" s="68">
        <f>DADOS_INVOC!$PY$123</f>
        <v/>
      </c>
      <c r="AM691" s="125" t="n"/>
      <c r="AN691" s="89" t="inlineStr">
        <is>
          <t>Projétil</t>
        </is>
      </c>
      <c r="AO691" s="17" t="n"/>
      <c r="AP691" s="68">
        <f>DADOS_INVOC!$QC$124</f>
        <v/>
      </c>
      <c r="AQ691" s="17" t="n"/>
      <c r="AR691" s="68">
        <f>DADOS_INVOC!$PY$124</f>
        <v/>
      </c>
      <c r="AS691" s="125" t="n"/>
    </row>
    <row r="692" hidden="1" outlineLevel="2">
      <c r="A692" s="8" t="n"/>
      <c r="B692" s="14" t="n"/>
      <c r="C692" s="125" t="n"/>
      <c r="D692" s="125" t="n"/>
      <c r="E692" s="125" t="n"/>
      <c r="F692" s="125" t="n"/>
      <c r="G692" s="125" t="n"/>
      <c r="I692" s="89" t="n"/>
      <c r="J692" s="17" t="n"/>
      <c r="K692" s="89" t="n"/>
      <c r="L692" s="16" t="n"/>
      <c r="M692" s="17" t="n"/>
      <c r="N692" s="125" t="n"/>
      <c r="O692" s="89" t="n"/>
      <c r="P692" s="17" t="n"/>
      <c r="Q692" s="89" t="n"/>
      <c r="R692" s="16" t="n"/>
      <c r="S692" s="17" t="n"/>
      <c r="T692" s="125" t="n"/>
      <c r="U692" s="89" t="n"/>
      <c r="V692" s="17" t="n"/>
      <c r="W692" s="89" t="n"/>
      <c r="X692" s="16" t="n"/>
      <c r="Y692" s="17" t="n"/>
      <c r="Z692" s="125" t="n"/>
      <c r="AB692" s="89" t="n"/>
      <c r="AC692" s="17" t="n"/>
      <c r="AD692" s="89" t="n"/>
      <c r="AE692" s="16" t="n"/>
      <c r="AF692" s="17" t="n"/>
      <c r="AG692" s="125" t="n"/>
      <c r="AH692" s="89" t="n"/>
      <c r="AI692" s="17" t="n"/>
      <c r="AJ692" s="89" t="n"/>
      <c r="AK692" s="16" t="n"/>
      <c r="AL692" s="17" t="n"/>
      <c r="AM692" s="125" t="n"/>
      <c r="AN692" s="89" t="n"/>
      <c r="AO692" s="17" t="n"/>
      <c r="AP692" s="89" t="n"/>
      <c r="AQ692" s="16" t="n"/>
      <c r="AR692" s="17" t="n"/>
      <c r="AS692" s="125" t="n"/>
    </row>
    <row r="693" hidden="1" outlineLevel="2">
      <c r="A693" s="8" t="n"/>
      <c r="B693" s="14" t="n"/>
      <c r="C693" s="125" t="n"/>
      <c r="D693" s="125" t="n"/>
      <c r="E693" s="125" t="n"/>
      <c r="F693" s="125" t="n"/>
      <c r="G693" s="125" t="n"/>
      <c r="I693" s="89">
        <f>DADOS_INVOC!$PZ$44</f>
        <v/>
      </c>
      <c r="J693" s="17" t="n"/>
      <c r="K693" s="89">
        <f>DADOS_INVOC!$QB$44</f>
        <v/>
      </c>
      <c r="L693" s="16" t="n"/>
      <c r="M693" s="17" t="n"/>
      <c r="N693" s="125" t="n"/>
      <c r="O693" s="89">
        <f>DADOS_INVOC!$PZ$45</f>
        <v/>
      </c>
      <c r="P693" s="17" t="n"/>
      <c r="Q693" s="89">
        <f>DADOS_INVOC!$QB$45</f>
        <v/>
      </c>
      <c r="R693" s="16" t="n"/>
      <c r="S693" s="17" t="n"/>
      <c r="T693" s="125" t="n"/>
      <c r="U693" s="89">
        <f>DADOS_INVOC!$PZ$46</f>
        <v/>
      </c>
      <c r="V693" s="17" t="n"/>
      <c r="W693" s="89">
        <f>DADOS_INVOC!$QB$46</f>
        <v/>
      </c>
      <c r="X693" s="16" t="n"/>
      <c r="Y693" s="17" t="n"/>
      <c r="Z693" s="125" t="n"/>
      <c r="AB693" s="89">
        <f>DADOS_INVOC!$PZ$122</f>
        <v/>
      </c>
      <c r="AC693" s="17" t="n"/>
      <c r="AD693" s="89">
        <f>DADOS_INVOC!$QB$122</f>
        <v/>
      </c>
      <c r="AE693" s="16" t="n"/>
      <c r="AF693" s="17" t="n"/>
      <c r="AG693" s="125" t="n"/>
      <c r="AH693" s="89">
        <f>DADOS_INVOC!$PZ$123</f>
        <v/>
      </c>
      <c r="AI693" s="17" t="n"/>
      <c r="AJ693" s="89">
        <f>DADOS_INVOC!$QB$123</f>
        <v/>
      </c>
      <c r="AK693" s="16" t="n"/>
      <c r="AL693" s="17" t="n"/>
      <c r="AM693" s="125" t="n"/>
      <c r="AN693" s="89">
        <f>DADOS_INVOC!$PZ$124</f>
        <v/>
      </c>
      <c r="AO693" s="17" t="n"/>
      <c r="AP693" s="89">
        <f>DADOS_INVOC!$QB$124</f>
        <v/>
      </c>
      <c r="AQ693" s="16" t="n"/>
      <c r="AR693" s="17" t="n"/>
      <c r="AS693" s="125" t="n"/>
    </row>
    <row r="694" hidden="1" outlineLevel="2">
      <c r="A694" s="8" t="n"/>
      <c r="B694" s="14" t="n"/>
      <c r="C694" s="125" t="n"/>
      <c r="D694" s="125" t="n"/>
      <c r="E694" s="125" t="n"/>
      <c r="F694" s="125" t="n"/>
      <c r="G694" s="125" t="n"/>
      <c r="I694" s="133">
        <f>DADOS_INVOC!$QH$44</f>
        <v/>
      </c>
      <c r="J694" s="16" t="n"/>
      <c r="K694" s="16" t="n"/>
      <c r="L694" s="16" t="n"/>
      <c r="M694" s="17" t="n"/>
      <c r="N694" s="125" t="n"/>
      <c r="O694" s="133">
        <f>DADOS_INVOC!$QH$45</f>
        <v/>
      </c>
      <c r="P694" s="16" t="n"/>
      <c r="Q694" s="16" t="n"/>
      <c r="R694" s="16" t="n"/>
      <c r="S694" s="17" t="n"/>
      <c r="T694" s="125" t="n"/>
      <c r="U694" s="133">
        <f>DADOS_INVOC!$QH$46</f>
        <v/>
      </c>
      <c r="V694" s="16" t="n"/>
      <c r="W694" s="16" t="n"/>
      <c r="X694" s="16" t="n"/>
      <c r="Y694" s="17" t="n"/>
      <c r="Z694" s="125" t="n"/>
      <c r="AB694" s="133">
        <f>DADOS_INVOC!$QH$122</f>
        <v/>
      </c>
      <c r="AC694" s="16" t="n"/>
      <c r="AD694" s="16" t="n"/>
      <c r="AE694" s="16" t="n"/>
      <c r="AF694" s="17" t="n"/>
      <c r="AG694" s="125" t="n"/>
      <c r="AH694" s="133">
        <f>DADOS_INVOC!$QH$123</f>
        <v/>
      </c>
      <c r="AI694" s="16" t="n"/>
      <c r="AJ694" s="16" t="n"/>
      <c r="AK694" s="16" t="n"/>
      <c r="AL694" s="17" t="n"/>
      <c r="AM694" s="125" t="n"/>
      <c r="AN694" s="133">
        <f>DADOS_INVOC!$QH$124</f>
        <v/>
      </c>
      <c r="AO694" s="16" t="n"/>
      <c r="AP694" s="16" t="n"/>
      <c r="AQ694" s="16" t="n"/>
      <c r="AR694" s="17" t="n"/>
      <c r="AS694" s="125" t="n"/>
    </row>
    <row r="695" hidden="1" outlineLevel="3">
      <c r="A695" s="8" t="n"/>
      <c r="B695" s="14" t="n"/>
      <c r="C695" s="125" t="n"/>
      <c r="D695" s="125" t="n"/>
      <c r="E695" s="125" t="n"/>
      <c r="F695" s="125" t="n"/>
      <c r="G695" s="125" t="n"/>
      <c r="I695" s="55" t="inlineStr">
        <is>
          <t>MELHORIAS</t>
        </is>
      </c>
      <c r="J695" s="134" t="n"/>
      <c r="K695" s="16" t="n"/>
      <c r="L695" s="17" t="n"/>
      <c r="M695" s="133">
        <f>DADOS_INVOC!$QK$44</f>
        <v/>
      </c>
      <c r="N695" s="125" t="n"/>
      <c r="O695" s="55" t="inlineStr">
        <is>
          <t>MELHORIAS</t>
        </is>
      </c>
      <c r="P695" s="134" t="n"/>
      <c r="Q695" s="16" t="n"/>
      <c r="R695" s="17" t="n"/>
      <c r="S695" s="133">
        <f>DADOS_INVOC!$QK$45</f>
        <v/>
      </c>
      <c r="T695" s="125" t="n"/>
      <c r="U695" s="55" t="inlineStr">
        <is>
          <t>MELHORIAS</t>
        </is>
      </c>
      <c r="V695" s="134" t="n"/>
      <c r="W695" s="16" t="n"/>
      <c r="X695" s="17" t="n"/>
      <c r="Y695" s="133">
        <f>DADOS_INVOC!$QK$46</f>
        <v/>
      </c>
      <c r="Z695" s="125" t="n"/>
      <c r="AB695" s="55" t="inlineStr">
        <is>
          <t>MELHORIAS</t>
        </is>
      </c>
      <c r="AC695" s="134" t="n"/>
      <c r="AD695" s="16" t="n"/>
      <c r="AE695" s="17" t="n"/>
      <c r="AF695" s="133">
        <f>DADOS_INVOC!$QK$122</f>
        <v/>
      </c>
      <c r="AG695" s="125" t="n"/>
      <c r="AH695" s="55" t="inlineStr">
        <is>
          <t>MELHORIAS</t>
        </is>
      </c>
      <c r="AI695" s="134" t="n"/>
      <c r="AJ695" s="16" t="n"/>
      <c r="AK695" s="17" t="n"/>
      <c r="AL695" s="133">
        <f>DADOS_INVOC!$QK$123</f>
        <v/>
      </c>
      <c r="AM695" s="125" t="n"/>
      <c r="AN695" s="55" t="inlineStr">
        <is>
          <t>MELHORIAS</t>
        </is>
      </c>
      <c r="AO695" s="134" t="n"/>
      <c r="AP695" s="16" t="n"/>
      <c r="AQ695" s="17" t="n"/>
      <c r="AR695" s="133">
        <f>DADOS_INVOC!$QK$124</f>
        <v/>
      </c>
      <c r="AS695" s="125" t="n"/>
    </row>
    <row r="696" hidden="1" outlineLevel="3">
      <c r="A696" s="8" t="n"/>
      <c r="B696" s="14" t="n"/>
      <c r="C696" s="125" t="n"/>
      <c r="D696" s="125" t="n"/>
      <c r="E696" s="125" t="n"/>
      <c r="F696" s="125" t="n"/>
      <c r="G696" s="125" t="n"/>
      <c r="I696" s="135" t="n"/>
      <c r="J696" s="134" t="n"/>
      <c r="K696" s="16" t="n"/>
      <c r="L696" s="17" t="n"/>
      <c r="M696" s="133">
        <f>DADOS_INVOC!$QL$44</f>
        <v/>
      </c>
      <c r="N696" s="125" t="n"/>
      <c r="O696" s="135" t="n"/>
      <c r="P696" s="134" t="n"/>
      <c r="Q696" s="16" t="n"/>
      <c r="R696" s="17" t="n"/>
      <c r="S696" s="133">
        <f>DADOS_INVOC!$QL$45</f>
        <v/>
      </c>
      <c r="T696" s="125" t="n"/>
      <c r="U696" s="135" t="n"/>
      <c r="V696" s="134" t="n"/>
      <c r="W696" s="16" t="n"/>
      <c r="X696" s="17" t="n"/>
      <c r="Y696" s="133">
        <f>DADOS_INVOC!$QL$46</f>
        <v/>
      </c>
      <c r="Z696" s="125" t="n"/>
      <c r="AB696" s="135" t="n"/>
      <c r="AC696" s="134" t="n"/>
      <c r="AD696" s="16" t="n"/>
      <c r="AE696" s="17" t="n"/>
      <c r="AF696" s="133">
        <f>DADOS_INVOC!$QL$122</f>
        <v/>
      </c>
      <c r="AG696" s="125" t="n"/>
      <c r="AH696" s="135" t="n"/>
      <c r="AI696" s="134" t="n"/>
      <c r="AJ696" s="16" t="n"/>
      <c r="AK696" s="17" t="n"/>
      <c r="AL696" s="133">
        <f>DADOS_INVOC!$QL$123</f>
        <v/>
      </c>
      <c r="AM696" s="125" t="n"/>
      <c r="AN696" s="135" t="n"/>
      <c r="AO696" s="134" t="n"/>
      <c r="AP696" s="16" t="n"/>
      <c r="AQ696" s="17" t="n"/>
      <c r="AR696" s="133">
        <f>DADOS_INVOC!$QL$124</f>
        <v/>
      </c>
      <c r="AS696" s="125" t="n"/>
    </row>
    <row r="697" hidden="1" outlineLevel="3">
      <c r="A697" s="8" t="n"/>
      <c r="B697" s="14" t="n"/>
      <c r="C697" s="125" t="n"/>
      <c r="D697" s="125" t="n"/>
      <c r="E697" s="125" t="n"/>
      <c r="F697" s="125" t="n"/>
      <c r="G697" s="125" t="n"/>
      <c r="I697" s="135" t="n"/>
      <c r="J697" s="134" t="n"/>
      <c r="K697" s="16" t="n"/>
      <c r="L697" s="17" t="n"/>
      <c r="M697" s="133">
        <f>DADOS_INVOC!$QM$44</f>
        <v/>
      </c>
      <c r="N697" s="125" t="n"/>
      <c r="O697" s="135" t="n"/>
      <c r="P697" s="134" t="n"/>
      <c r="Q697" s="16" t="n"/>
      <c r="R697" s="17" t="n"/>
      <c r="S697" s="133">
        <f>DADOS_INVOC!$QM$45</f>
        <v/>
      </c>
      <c r="T697" s="125" t="n"/>
      <c r="U697" s="135" t="n"/>
      <c r="V697" s="134" t="n"/>
      <c r="W697" s="16" t="n"/>
      <c r="X697" s="17" t="n"/>
      <c r="Y697" s="133">
        <f>DADOS_INVOC!$QM$46</f>
        <v/>
      </c>
      <c r="Z697" s="125" t="n"/>
      <c r="AB697" s="135" t="n"/>
      <c r="AC697" s="134" t="n"/>
      <c r="AD697" s="16" t="n"/>
      <c r="AE697" s="17" t="n"/>
      <c r="AF697" s="133">
        <f>DADOS_INVOC!$QM$122</f>
        <v/>
      </c>
      <c r="AG697" s="125" t="n"/>
      <c r="AH697" s="135" t="n"/>
      <c r="AI697" s="134" t="n"/>
      <c r="AJ697" s="16" t="n"/>
      <c r="AK697" s="17" t="n"/>
      <c r="AL697" s="133">
        <f>DADOS_INVOC!$QM$123</f>
        <v/>
      </c>
      <c r="AM697" s="125" t="n"/>
      <c r="AN697" s="135" t="n"/>
      <c r="AO697" s="134" t="n"/>
      <c r="AP697" s="16" t="n"/>
      <c r="AQ697" s="17" t="n"/>
      <c r="AR697" s="133">
        <f>DADOS_INVOC!$QM$124</f>
        <v/>
      </c>
      <c r="AS697" s="125" t="n"/>
    </row>
    <row r="698" hidden="1" outlineLevel="3">
      <c r="A698" s="8" t="n"/>
      <c r="B698" s="14" t="n"/>
      <c r="C698" s="125" t="n"/>
      <c r="D698" s="125" t="n"/>
      <c r="E698" s="125" t="n"/>
      <c r="F698" s="125" t="n"/>
      <c r="G698" s="125" t="n"/>
      <c r="I698" s="129" t="n"/>
      <c r="J698" s="134" t="n"/>
      <c r="K698" s="16" t="n"/>
      <c r="L698" s="17" t="n"/>
      <c r="M698" s="133">
        <f>DADOS_INVOC!$QN$44</f>
        <v/>
      </c>
      <c r="N698" s="125" t="n"/>
      <c r="O698" s="129" t="n"/>
      <c r="P698" s="134" t="n"/>
      <c r="Q698" s="16" t="n"/>
      <c r="R698" s="17" t="n"/>
      <c r="S698" s="133">
        <f>DADOS_INVOC!$QN$45</f>
        <v/>
      </c>
      <c r="T698" s="125" t="n"/>
      <c r="U698" s="129" t="n"/>
      <c r="V698" s="134" t="n"/>
      <c r="W698" s="16" t="n"/>
      <c r="X698" s="17" t="n"/>
      <c r="Y698" s="133">
        <f>DADOS_INVOC!$QN$46</f>
        <v/>
      </c>
      <c r="Z698" s="125" t="n"/>
      <c r="AB698" s="129" t="n"/>
      <c r="AC698" s="134" t="n"/>
      <c r="AD698" s="16" t="n"/>
      <c r="AE698" s="17" t="n"/>
      <c r="AF698" s="133">
        <f>DADOS_INVOC!$QN$122</f>
        <v/>
      </c>
      <c r="AG698" s="125" t="n"/>
      <c r="AH698" s="129" t="n"/>
      <c r="AI698" s="134" t="n"/>
      <c r="AJ698" s="16" t="n"/>
      <c r="AK698" s="17" t="n"/>
      <c r="AL698" s="133">
        <f>DADOS_INVOC!$QN$123</f>
        <v/>
      </c>
      <c r="AM698" s="125" t="n"/>
      <c r="AN698" s="129" t="n"/>
      <c r="AO698" s="134" t="n"/>
      <c r="AP698" s="16" t="n"/>
      <c r="AQ698" s="17" t="n"/>
      <c r="AR698" s="133">
        <f>DADOS_INVOC!$QN$124</f>
        <v/>
      </c>
      <c r="AS698" s="125" t="n"/>
    </row>
    <row r="699" hidden="1" outlineLevel="3">
      <c r="A699" s="8" t="n"/>
      <c r="B699" s="14" t="n"/>
      <c r="C699" s="125" t="n"/>
      <c r="D699" s="125" t="n"/>
      <c r="E699" s="125" t="n"/>
      <c r="F699" s="125" t="n"/>
      <c r="G699" s="125" t="n"/>
      <c r="I699" s="55" t="inlineStr">
        <is>
          <t>RESTRIÇÕES</t>
        </is>
      </c>
      <c r="J699" s="134" t="n"/>
      <c r="K699" s="16" t="n"/>
      <c r="L699" s="17" t="n"/>
      <c r="M699" s="133">
        <f>DADOS_INVOC!$QO$44</f>
        <v/>
      </c>
      <c r="N699" s="125" t="n"/>
      <c r="O699" s="55" t="inlineStr">
        <is>
          <t>RESTRIÇÕES</t>
        </is>
      </c>
      <c r="P699" s="134" t="n"/>
      <c r="Q699" s="16" t="n"/>
      <c r="R699" s="17" t="n"/>
      <c r="S699" s="133">
        <f>DADOS_INVOC!$QO$45</f>
        <v/>
      </c>
      <c r="T699" s="125" t="n"/>
      <c r="U699" s="55" t="inlineStr">
        <is>
          <t>RESTRIÇÕES</t>
        </is>
      </c>
      <c r="V699" s="134" t="n"/>
      <c r="W699" s="16" t="n"/>
      <c r="X699" s="17" t="n"/>
      <c r="Y699" s="133">
        <f>DADOS_INVOC!$QO$46</f>
        <v/>
      </c>
      <c r="Z699" s="125" t="n"/>
      <c r="AB699" s="55" t="inlineStr">
        <is>
          <t>RESTRIÇÕES</t>
        </is>
      </c>
      <c r="AC699" s="134" t="n"/>
      <c r="AD699" s="16" t="n"/>
      <c r="AE699" s="17" t="n"/>
      <c r="AF699" s="133">
        <f>DADOS_INVOC!$QO$122</f>
        <v/>
      </c>
      <c r="AG699" s="125" t="n"/>
      <c r="AH699" s="55" t="inlineStr">
        <is>
          <t>RESTRIÇÕES</t>
        </is>
      </c>
      <c r="AI699" s="134" t="n"/>
      <c r="AJ699" s="16" t="n"/>
      <c r="AK699" s="17" t="n"/>
      <c r="AL699" s="133">
        <f>DADOS_INVOC!$QO$123</f>
        <v/>
      </c>
      <c r="AM699" s="125" t="n"/>
      <c r="AN699" s="55" t="inlineStr">
        <is>
          <t>RESTRIÇÕES</t>
        </is>
      </c>
      <c r="AO699" s="134" t="n"/>
      <c r="AP699" s="16" t="n"/>
      <c r="AQ699" s="17" t="n"/>
      <c r="AR699" s="133">
        <f>DADOS_INVOC!$QO$124</f>
        <v/>
      </c>
      <c r="AS699" s="125" t="n"/>
    </row>
    <row r="700" hidden="1" outlineLevel="3">
      <c r="A700" s="8" t="n"/>
      <c r="B700" s="14" t="n"/>
      <c r="C700" s="125" t="n"/>
      <c r="D700" s="125" t="n"/>
      <c r="E700" s="125" t="n"/>
      <c r="F700" s="125" t="n"/>
      <c r="G700" s="125" t="n"/>
      <c r="I700" s="129" t="n"/>
      <c r="J700" s="134" t="n"/>
      <c r="K700" s="16" t="n"/>
      <c r="L700" s="17" t="n"/>
      <c r="M700" s="133">
        <f>DADOS_INVOC!$QP$44</f>
        <v/>
      </c>
      <c r="N700" s="125" t="n"/>
      <c r="O700" s="129" t="n"/>
      <c r="P700" s="134" t="n"/>
      <c r="Q700" s="16" t="n"/>
      <c r="R700" s="17" t="n"/>
      <c r="S700" s="133">
        <f>DADOS_INVOC!$QP$45</f>
        <v/>
      </c>
      <c r="T700" s="125" t="n"/>
      <c r="U700" s="129" t="n"/>
      <c r="V700" s="134" t="n"/>
      <c r="W700" s="16" t="n"/>
      <c r="X700" s="17" t="n"/>
      <c r="Y700" s="133">
        <f>DADOS_INVOC!$QP$46</f>
        <v/>
      </c>
      <c r="Z700" s="125" t="n"/>
      <c r="AB700" s="129" t="n"/>
      <c r="AC700" s="134" t="n"/>
      <c r="AD700" s="16" t="n"/>
      <c r="AE700" s="17" t="n"/>
      <c r="AF700" s="133">
        <f>DADOS_INVOC!$QP$122</f>
        <v/>
      </c>
      <c r="AG700" s="125" t="n"/>
      <c r="AH700" s="129" t="n"/>
      <c r="AI700" s="134" t="n"/>
      <c r="AJ700" s="16" t="n"/>
      <c r="AK700" s="17" t="n"/>
      <c r="AL700" s="133">
        <f>DADOS_INVOC!$QP$123</f>
        <v/>
      </c>
      <c r="AM700" s="125" t="n"/>
      <c r="AN700" s="129" t="n"/>
      <c r="AO700" s="134" t="n"/>
      <c r="AP700" s="16" t="n"/>
      <c r="AQ700" s="17" t="n"/>
      <c r="AR700" s="133">
        <f>DADOS_INVOC!$QP$124</f>
        <v/>
      </c>
      <c r="AS700" s="125" t="n"/>
    </row>
    <row r="701" hidden="1" outlineLevel="3">
      <c r="A701" s="8" t="n"/>
      <c r="B701" s="14" t="n"/>
      <c r="C701" s="125" t="n"/>
      <c r="D701" s="125" t="n"/>
      <c r="E701" s="125" t="n"/>
      <c r="F701" s="125" t="n"/>
      <c r="G701" s="125" t="n"/>
      <c r="I701" s="55" t="inlineStr">
        <is>
          <t>CONTA</t>
        </is>
      </c>
      <c r="J701" s="136">
        <f>DADOS_INVOC!$QI$44</f>
        <v/>
      </c>
      <c r="K701" s="16" t="n"/>
      <c r="L701" s="16" t="n"/>
      <c r="M701" s="17" t="n"/>
      <c r="N701" s="125" t="n"/>
      <c r="O701" s="55" t="inlineStr">
        <is>
          <t>CONTA</t>
        </is>
      </c>
      <c r="P701" s="136">
        <f>DADOS_INVOC!$QI$45</f>
        <v/>
      </c>
      <c r="Q701" s="16" t="n"/>
      <c r="R701" s="16" t="n"/>
      <c r="S701" s="17" t="n"/>
      <c r="T701" s="125" t="n"/>
      <c r="U701" s="55" t="inlineStr">
        <is>
          <t>CONTA</t>
        </is>
      </c>
      <c r="V701" s="136">
        <f>DADOS_INVOC!$QI$46</f>
        <v/>
      </c>
      <c r="W701" s="16" t="n"/>
      <c r="X701" s="16" t="n"/>
      <c r="Y701" s="17" t="n"/>
      <c r="Z701" s="125" t="n"/>
      <c r="AB701" s="55" t="inlineStr">
        <is>
          <t>CONTA</t>
        </is>
      </c>
      <c r="AC701" s="136">
        <f>DADOS_INVOC!$QI$122</f>
        <v/>
      </c>
      <c r="AD701" s="16" t="n"/>
      <c r="AE701" s="16" t="n"/>
      <c r="AF701" s="17" t="n"/>
      <c r="AG701" s="125" t="n"/>
      <c r="AH701" s="55" t="inlineStr">
        <is>
          <t>CONTA</t>
        </is>
      </c>
      <c r="AI701" s="136">
        <f>DADOS_INVOC!$QI$123</f>
        <v/>
      </c>
      <c r="AJ701" s="16" t="n"/>
      <c r="AK701" s="16" t="n"/>
      <c r="AL701" s="17" t="n"/>
      <c r="AM701" s="125" t="n"/>
      <c r="AN701" s="55" t="inlineStr">
        <is>
          <t>CONTA</t>
        </is>
      </c>
      <c r="AO701" s="136">
        <f>DADOS_INVOC!$QI$124</f>
        <v/>
      </c>
      <c r="AP701" s="16" t="n"/>
      <c r="AQ701" s="16" t="n"/>
      <c r="AR701" s="17" t="n"/>
      <c r="AS701" s="125" t="n"/>
    </row>
    <row r="702" hidden="1" outlineLevel="3">
      <c r="A702" s="8" t="n"/>
      <c r="B702" s="14" t="n"/>
      <c r="C702" s="125" t="n"/>
      <c r="D702" s="125" t="n"/>
      <c r="E702" s="125" t="n"/>
      <c r="F702" s="125" t="n"/>
      <c r="G702" s="125" t="n"/>
      <c r="I702" s="55" t="inlineStr">
        <is>
          <t>AMPLIAR</t>
        </is>
      </c>
      <c r="J702" s="136">
        <f>DADOS_INVOC!$QJ$44</f>
        <v/>
      </c>
      <c r="K702" s="19" t="n"/>
      <c r="L702" s="19" t="n"/>
      <c r="M702" s="20" t="n"/>
      <c r="N702" s="125" t="n"/>
      <c r="O702" s="55" t="inlineStr">
        <is>
          <t>AMPLIAR</t>
        </is>
      </c>
      <c r="P702" s="136">
        <f>DADOS_INVOC!$QJ$45</f>
        <v/>
      </c>
      <c r="Q702" s="19" t="n"/>
      <c r="R702" s="19" t="n"/>
      <c r="S702" s="20" t="n"/>
      <c r="T702" s="125" t="n"/>
      <c r="U702" s="55" t="inlineStr">
        <is>
          <t>AMPLIAR</t>
        </is>
      </c>
      <c r="V702" s="136">
        <f>DADOS_INVOC!$QJ$46</f>
        <v/>
      </c>
      <c r="W702" s="19" t="n"/>
      <c r="X702" s="19" t="n"/>
      <c r="Y702" s="20" t="n"/>
      <c r="Z702" s="125" t="n"/>
      <c r="AB702" s="55" t="inlineStr">
        <is>
          <t>AMPLIAR</t>
        </is>
      </c>
      <c r="AC702" s="136">
        <f>DADOS_INVOC!$QJ$122</f>
        <v/>
      </c>
      <c r="AD702" s="19" t="n"/>
      <c r="AE702" s="19" t="n"/>
      <c r="AF702" s="20" t="n"/>
      <c r="AG702" s="125" t="n"/>
      <c r="AH702" s="55" t="inlineStr">
        <is>
          <t>AMPLIAR</t>
        </is>
      </c>
      <c r="AI702" s="136">
        <f>DADOS_INVOC!$QJ$123</f>
        <v/>
      </c>
      <c r="AJ702" s="19" t="n"/>
      <c r="AK702" s="19" t="n"/>
      <c r="AL702" s="20" t="n"/>
      <c r="AM702" s="125" t="n"/>
      <c r="AN702" s="55" t="inlineStr">
        <is>
          <t>AMPLIAR</t>
        </is>
      </c>
      <c r="AO702" s="136">
        <f>DADOS_INVOC!$QJ$124</f>
        <v/>
      </c>
      <c r="AP702" s="19" t="n"/>
      <c r="AQ702" s="19" t="n"/>
      <c r="AR702" s="20" t="n"/>
      <c r="AS702" s="125" t="n"/>
    </row>
    <row r="703" hidden="1" outlineLevel="3">
      <c r="A703" s="8" t="n"/>
      <c r="B703" s="14" t="n"/>
      <c r="C703" s="125" t="n"/>
      <c r="D703" s="125" t="n"/>
      <c r="E703" s="125" t="n"/>
      <c r="F703" s="125" t="n"/>
      <c r="G703" s="125" t="n"/>
      <c r="I703" s="129" t="n"/>
      <c r="J703" s="23" t="n"/>
      <c r="K703" s="24" t="n"/>
      <c r="L703" s="24" t="n"/>
      <c r="M703" s="25" t="n"/>
      <c r="N703" s="125" t="n"/>
      <c r="O703" s="129" t="n"/>
      <c r="P703" s="23" t="n"/>
      <c r="Q703" s="24" t="n"/>
      <c r="R703" s="24" t="n"/>
      <c r="S703" s="25" t="n"/>
      <c r="T703" s="125" t="n"/>
      <c r="U703" s="129" t="n"/>
      <c r="V703" s="23" t="n"/>
      <c r="W703" s="24" t="n"/>
      <c r="X703" s="24" t="n"/>
      <c r="Y703" s="25" t="n"/>
      <c r="Z703" s="125" t="n"/>
      <c r="AB703" s="129" t="n"/>
      <c r="AC703" s="23" t="n"/>
      <c r="AD703" s="24" t="n"/>
      <c r="AE703" s="24" t="n"/>
      <c r="AF703" s="25" t="n"/>
      <c r="AG703" s="125" t="n"/>
      <c r="AH703" s="129" t="n"/>
      <c r="AI703" s="23" t="n"/>
      <c r="AJ703" s="24" t="n"/>
      <c r="AK703" s="24" t="n"/>
      <c r="AL703" s="25" t="n"/>
      <c r="AM703" s="125" t="n"/>
      <c r="AN703" s="129" t="n"/>
      <c r="AO703" s="23" t="n"/>
      <c r="AP703" s="24" t="n"/>
      <c r="AQ703" s="24" t="n"/>
      <c r="AR703" s="25" t="n"/>
      <c r="AS703" s="125" t="n"/>
    </row>
    <row r="704" hidden="1" outlineLevel="3">
      <c r="A704" s="8" t="n"/>
      <c r="B704" s="14" t="n"/>
      <c r="C704" s="125" t="n"/>
      <c r="D704" s="125" t="n"/>
      <c r="E704" s="125" t="n"/>
      <c r="F704" s="125" t="n"/>
      <c r="G704" s="125" t="n"/>
      <c r="I704" s="136">
        <f>DADOS_INVOC!$PW$44</f>
        <v/>
      </c>
      <c r="J704" s="19" t="n"/>
      <c r="K704" s="19" t="n"/>
      <c r="L704" s="19" t="n"/>
      <c r="M704" s="20" t="n"/>
      <c r="N704" s="125" t="n"/>
      <c r="O704" s="136">
        <f>DADOS_INVOC!$PW$45</f>
        <v/>
      </c>
      <c r="P704" s="19" t="n"/>
      <c r="Q704" s="19" t="n"/>
      <c r="R704" s="19" t="n"/>
      <c r="S704" s="20" t="n"/>
      <c r="T704" s="125" t="n"/>
      <c r="U704" s="136">
        <f>DADOS_INVOC!$PW$46</f>
        <v/>
      </c>
      <c r="V704" s="19" t="n"/>
      <c r="W704" s="19" t="n"/>
      <c r="X704" s="19" t="n"/>
      <c r="Y704" s="20" t="n"/>
      <c r="Z704" s="125" t="n"/>
      <c r="AB704" s="136">
        <f>DADOS_INVOC!$PW$122</f>
        <v/>
      </c>
      <c r="AC704" s="19" t="n"/>
      <c r="AD704" s="19" t="n"/>
      <c r="AE704" s="19" t="n"/>
      <c r="AF704" s="20" t="n"/>
      <c r="AG704" s="125" t="n"/>
      <c r="AH704" s="136">
        <f>DADOS_INVOC!$PW$123</f>
        <v/>
      </c>
      <c r="AI704" s="19" t="n"/>
      <c r="AJ704" s="19" t="n"/>
      <c r="AK704" s="19" t="n"/>
      <c r="AL704" s="20" t="n"/>
      <c r="AM704" s="125" t="n"/>
      <c r="AN704" s="136">
        <f>DADOS_INVOC!$PW$124</f>
        <v/>
      </c>
      <c r="AO704" s="19" t="n"/>
      <c r="AP704" s="19" t="n"/>
      <c r="AQ704" s="19" t="n"/>
      <c r="AR704" s="20" t="n"/>
      <c r="AS704" s="125" t="n"/>
    </row>
    <row r="705" hidden="1" outlineLevel="3">
      <c r="A705" s="8" t="n"/>
      <c r="B705" s="14" t="n"/>
      <c r="C705" s="125" t="n"/>
      <c r="D705" s="125" t="n"/>
      <c r="E705" s="125" t="n"/>
      <c r="F705" s="125" t="n"/>
      <c r="G705" s="125" t="n"/>
      <c r="I705" s="23" t="n"/>
      <c r="J705" s="24" t="n"/>
      <c r="K705" s="24" t="n"/>
      <c r="L705" s="24" t="n"/>
      <c r="M705" s="25" t="n"/>
      <c r="N705" s="125" t="n"/>
      <c r="O705" s="23" t="n"/>
      <c r="P705" s="24" t="n"/>
      <c r="Q705" s="24" t="n"/>
      <c r="R705" s="24" t="n"/>
      <c r="S705" s="25" t="n"/>
      <c r="T705" s="125" t="n"/>
      <c r="U705" s="23" t="n"/>
      <c r="V705" s="24" t="n"/>
      <c r="W705" s="24" t="n"/>
      <c r="X705" s="24" t="n"/>
      <c r="Y705" s="25" t="n"/>
      <c r="Z705" s="125" t="n"/>
      <c r="AB705" s="23" t="n"/>
      <c r="AC705" s="24" t="n"/>
      <c r="AD705" s="24" t="n"/>
      <c r="AE705" s="24" t="n"/>
      <c r="AF705" s="25" t="n"/>
      <c r="AG705" s="125" t="n"/>
      <c r="AH705" s="23" t="n"/>
      <c r="AI705" s="24" t="n"/>
      <c r="AJ705" s="24" t="n"/>
      <c r="AK705" s="24" t="n"/>
      <c r="AL705" s="25" t="n"/>
      <c r="AM705" s="125" t="n"/>
      <c r="AN705" s="23" t="n"/>
      <c r="AO705" s="24" t="n"/>
      <c r="AP705" s="24" t="n"/>
      <c r="AQ705" s="24" t="n"/>
      <c r="AR705" s="25" t="n"/>
      <c r="AS705" s="125" t="n"/>
    </row>
    <row r="706" hidden="1" outlineLevel="2">
      <c r="A706" s="8" t="n"/>
      <c r="B706" s="14" t="n"/>
      <c r="C706" s="125" t="n"/>
      <c r="D706" s="125" t="n"/>
      <c r="E706" s="125" t="n"/>
      <c r="F706" s="125" t="n"/>
      <c r="G706" s="125" t="n"/>
      <c r="I706" s="125" t="n"/>
      <c r="J706" s="125" t="n"/>
      <c r="K706" s="125" t="n"/>
      <c r="L706" s="125" t="n"/>
      <c r="M706" s="125" t="n"/>
      <c r="N706" s="125" t="n"/>
      <c r="O706" s="125" t="n"/>
      <c r="P706" s="125" t="n"/>
      <c r="Q706" s="125" t="n"/>
      <c r="R706" s="125" t="n"/>
      <c r="S706" s="125" t="n"/>
      <c r="T706" s="125" t="n"/>
      <c r="U706" s="125" t="n"/>
      <c r="V706" s="125" t="n"/>
      <c r="W706" s="125" t="n"/>
      <c r="X706" s="125" t="n"/>
      <c r="Y706" s="125" t="n"/>
      <c r="Z706" s="125" t="n"/>
      <c r="AB706" s="125" t="n"/>
      <c r="AC706" s="125" t="n"/>
      <c r="AD706" s="125" t="n"/>
      <c r="AE706" s="125" t="n"/>
      <c r="AF706" s="125" t="n"/>
      <c r="AG706" s="125" t="n"/>
      <c r="AH706" s="125" t="n"/>
      <c r="AI706" s="125" t="n"/>
      <c r="AJ706" s="125" t="n"/>
      <c r="AK706" s="125" t="n"/>
      <c r="AL706" s="125" t="n"/>
      <c r="AM706" s="125" t="n"/>
      <c r="AN706" s="125" t="n"/>
      <c r="AO706" s="125" t="n"/>
      <c r="AP706" s="125" t="n"/>
      <c r="AQ706" s="125" t="n"/>
      <c r="AR706" s="125" t="n"/>
      <c r="AS706" s="125" t="n"/>
    </row>
    <row r="707" hidden="1" outlineLevel="2">
      <c r="A707" s="8" t="n"/>
      <c r="B707" s="14" t="n"/>
      <c r="C707" s="125" t="n"/>
      <c r="D707" s="125" t="n"/>
      <c r="E707" s="125" t="n"/>
      <c r="F707" s="125" t="n"/>
      <c r="G707" s="125" t="n"/>
      <c r="I707" s="55">
        <f>DADOS_INVOC!$PX$47</f>
        <v/>
      </c>
      <c r="J707" s="16" t="n"/>
      <c r="K707" s="16" t="n"/>
      <c r="L707" s="16" t="n"/>
      <c r="M707" s="17" t="n"/>
      <c r="N707" s="125" t="n"/>
      <c r="O707" s="55">
        <f>DADOS_INVOC!$PX$48</f>
        <v/>
      </c>
      <c r="P707" s="16" t="n"/>
      <c r="Q707" s="16" t="n"/>
      <c r="R707" s="16" t="n"/>
      <c r="S707" s="17" t="n"/>
      <c r="T707" s="125" t="n"/>
      <c r="U707" s="55">
        <f>DADOS_INVOC!$PX$49</f>
        <v/>
      </c>
      <c r="V707" s="16" t="n"/>
      <c r="W707" s="16" t="n"/>
      <c r="X707" s="16" t="n"/>
      <c r="Y707" s="17" t="n"/>
      <c r="Z707" s="125" t="n"/>
      <c r="AB707" s="55">
        <f>DADOS_INVOC!$PX$125</f>
        <v/>
      </c>
      <c r="AC707" s="16" t="n"/>
      <c r="AD707" s="16" t="n"/>
      <c r="AE707" s="16" t="n"/>
      <c r="AF707" s="17" t="n"/>
      <c r="AG707" s="125" t="n"/>
      <c r="AH707" s="55">
        <f>DADOS_INVOC!$PX$126</f>
        <v/>
      </c>
      <c r="AI707" s="16" t="n"/>
      <c r="AJ707" s="16" t="n"/>
      <c r="AK707" s="16" t="n"/>
      <c r="AL707" s="17" t="n"/>
      <c r="AM707" s="125" t="n"/>
      <c r="AN707" s="55">
        <f>DADOS_INVOC!$PX$127</f>
        <v/>
      </c>
      <c r="AO707" s="16" t="n"/>
      <c r="AP707" s="16" t="n"/>
      <c r="AQ707" s="16" t="n"/>
      <c r="AR707" s="17" t="n"/>
      <c r="AS707" s="125" t="n"/>
    </row>
    <row r="708" hidden="1" outlineLevel="2">
      <c r="A708" s="8" t="n"/>
      <c r="B708" s="14" t="n"/>
      <c r="C708" s="125" t="n"/>
      <c r="D708" s="125" t="n"/>
      <c r="E708" s="125" t="n"/>
      <c r="F708" s="125" t="n"/>
      <c r="G708" s="125" t="n"/>
      <c r="I708" s="131" t="n">
        <v>1</v>
      </c>
      <c r="J708" s="120" t="n"/>
      <c r="K708" s="16" t="n"/>
      <c r="L708" s="17" t="n"/>
      <c r="M708" s="132">
        <f>DADOS_INVOC!$PV$47</f>
        <v/>
      </c>
      <c r="N708" s="125" t="n"/>
      <c r="O708" s="131" t="n">
        <v>1</v>
      </c>
      <c r="P708" s="120" t="n"/>
      <c r="Q708" s="16" t="n"/>
      <c r="R708" s="17" t="n"/>
      <c r="S708" s="132">
        <f>DADOS_INVOC!$PV$48</f>
        <v/>
      </c>
      <c r="T708" s="125" t="n"/>
      <c r="U708" s="131" t="n">
        <v>1</v>
      </c>
      <c r="V708" s="120" t="n"/>
      <c r="W708" s="16" t="n"/>
      <c r="X708" s="17" t="n"/>
      <c r="Y708" s="132">
        <f>DADOS_INVOC!$PV$49</f>
        <v/>
      </c>
      <c r="Z708" s="125" t="n"/>
      <c r="AB708" s="131" t="n">
        <v>1</v>
      </c>
      <c r="AC708" s="120" t="n"/>
      <c r="AD708" s="16" t="n"/>
      <c r="AE708" s="17" t="n"/>
      <c r="AF708" s="132">
        <f>DADOS_INVOC!$PV$125</f>
        <v/>
      </c>
      <c r="AG708" s="125" t="n"/>
      <c r="AH708" s="131" t="n">
        <v>1</v>
      </c>
      <c r="AI708" s="120" t="n"/>
      <c r="AJ708" s="16" t="n"/>
      <c r="AK708" s="17" t="n"/>
      <c r="AL708" s="132">
        <f>DADOS_INVOC!$PV$126</f>
        <v/>
      </c>
      <c r="AM708" s="125" t="n"/>
      <c r="AN708" s="131" t="n">
        <v>1</v>
      </c>
      <c r="AO708" s="120" t="n"/>
      <c r="AP708" s="16" t="n"/>
      <c r="AQ708" s="17" t="n"/>
      <c r="AR708" s="132">
        <f>DADOS_INVOC!$PV$127</f>
        <v/>
      </c>
      <c r="AS708" s="125" t="n"/>
    </row>
    <row r="709" hidden="1" outlineLevel="3">
      <c r="A709" s="8" t="n"/>
      <c r="B709" s="14" t="n"/>
      <c r="C709" s="125" t="n"/>
      <c r="D709" s="125" t="n"/>
      <c r="E709" s="125" t="n"/>
      <c r="F709" s="125" t="n"/>
      <c r="G709" s="125" t="n"/>
      <c r="I709" s="55" t="inlineStr">
        <is>
          <t>COMO É</t>
        </is>
      </c>
      <c r="J709" s="16" t="n"/>
      <c r="K709" s="16" t="n"/>
      <c r="L709" s="16" t="n"/>
      <c r="M709" s="17" t="n"/>
      <c r="N709" s="125" t="n"/>
      <c r="O709" s="55" t="inlineStr">
        <is>
          <t>COMO É</t>
        </is>
      </c>
      <c r="P709" s="16" t="n"/>
      <c r="Q709" s="16" t="n"/>
      <c r="R709" s="16" t="n"/>
      <c r="S709" s="17" t="n"/>
      <c r="T709" s="125" t="n"/>
      <c r="U709" s="55" t="inlineStr">
        <is>
          <t>COMO É</t>
        </is>
      </c>
      <c r="V709" s="16" t="n"/>
      <c r="W709" s="16" t="n"/>
      <c r="X709" s="16" t="n"/>
      <c r="Y709" s="17" t="n"/>
      <c r="Z709" s="125" t="n"/>
      <c r="AB709" s="55" t="inlineStr">
        <is>
          <t>COMO É</t>
        </is>
      </c>
      <c r="AC709" s="16" t="n"/>
      <c r="AD709" s="16" t="n"/>
      <c r="AE709" s="16" t="n"/>
      <c r="AF709" s="17" t="n"/>
      <c r="AG709" s="125" t="n"/>
      <c r="AH709" s="55" t="inlineStr">
        <is>
          <t>COMO É</t>
        </is>
      </c>
      <c r="AI709" s="16" t="n"/>
      <c r="AJ709" s="16" t="n"/>
      <c r="AK709" s="16" t="n"/>
      <c r="AL709" s="17" t="n"/>
      <c r="AM709" s="125" t="n"/>
      <c r="AN709" s="55" t="inlineStr">
        <is>
          <t>COMO É</t>
        </is>
      </c>
      <c r="AO709" s="16" t="n"/>
      <c r="AP709" s="16" t="n"/>
      <c r="AQ709" s="16" t="n"/>
      <c r="AR709" s="17" t="n"/>
      <c r="AS709" s="125" t="n"/>
    </row>
    <row r="710" hidden="1" outlineLevel="3">
      <c r="A710" s="8" t="n"/>
      <c r="B710" s="14" t="n"/>
      <c r="C710" s="125" t="n"/>
      <c r="D710" s="125" t="n"/>
      <c r="E710" s="125" t="n"/>
      <c r="F710" s="125" t="n"/>
      <c r="G710" s="125" t="n"/>
      <c r="I710" s="121" t="n"/>
      <c r="J710" s="19" t="n"/>
      <c r="K710" s="19" t="n"/>
      <c r="L710" s="19" t="n"/>
      <c r="M710" s="20" t="n"/>
      <c r="N710" s="125" t="n"/>
      <c r="O710" s="121" t="n"/>
      <c r="P710" s="19" t="n"/>
      <c r="Q710" s="19" t="n"/>
      <c r="R710" s="19" t="n"/>
      <c r="S710" s="20" t="n"/>
      <c r="T710" s="125" t="n"/>
      <c r="U710" s="121" t="n"/>
      <c r="V710" s="19" t="n"/>
      <c r="W710" s="19" t="n"/>
      <c r="X710" s="19" t="n"/>
      <c r="Y710" s="20" t="n"/>
      <c r="Z710" s="125" t="n"/>
      <c r="AB710" s="121" t="n"/>
      <c r="AC710" s="19" t="n"/>
      <c r="AD710" s="19" t="n"/>
      <c r="AE710" s="19" t="n"/>
      <c r="AF710" s="20" t="n"/>
      <c r="AG710" s="125" t="n"/>
      <c r="AH710" s="121" t="n"/>
      <c r="AI710" s="19" t="n"/>
      <c r="AJ710" s="19" t="n"/>
      <c r="AK710" s="19" t="n"/>
      <c r="AL710" s="20" t="n"/>
      <c r="AM710" s="125" t="n"/>
      <c r="AN710" s="121" t="n"/>
      <c r="AO710" s="19" t="n"/>
      <c r="AP710" s="19" t="n"/>
      <c r="AQ710" s="19" t="n"/>
      <c r="AR710" s="20" t="n"/>
      <c r="AS710" s="125" t="n"/>
    </row>
    <row r="711" hidden="1" outlineLevel="3">
      <c r="A711" s="8" t="n"/>
      <c r="B711" s="14" t="n"/>
      <c r="C711" s="125" t="n"/>
      <c r="D711" s="125" t="n"/>
      <c r="E711" s="125" t="n"/>
      <c r="F711" s="125" t="n"/>
      <c r="G711" s="125" t="n"/>
      <c r="I711" s="21" t="n"/>
      <c r="M711" s="22" t="n"/>
      <c r="N711" s="125" t="n"/>
      <c r="O711" s="21" t="n"/>
      <c r="S711" s="22" t="n"/>
      <c r="T711" s="125" t="n"/>
      <c r="U711" s="21" t="n"/>
      <c r="Y711" s="22" t="n"/>
      <c r="Z711" s="125" t="n"/>
      <c r="AB711" s="21" t="n"/>
      <c r="AF711" s="22" t="n"/>
      <c r="AG711" s="125" t="n"/>
      <c r="AH711" s="21" t="n"/>
      <c r="AL711" s="22" t="n"/>
      <c r="AM711" s="125" t="n"/>
      <c r="AN711" s="21" t="n"/>
      <c r="AR711" s="22" t="n"/>
      <c r="AS711" s="125" t="n"/>
    </row>
    <row r="712" hidden="1" outlineLevel="3">
      <c r="A712" s="8" t="n"/>
      <c r="B712" s="14" t="n"/>
      <c r="C712" s="125" t="n"/>
      <c r="D712" s="125" t="n"/>
      <c r="E712" s="125" t="n"/>
      <c r="F712" s="125" t="n"/>
      <c r="G712" s="125" t="n"/>
      <c r="I712" s="23" t="n"/>
      <c r="J712" s="24" t="n"/>
      <c r="K712" s="24" t="n"/>
      <c r="L712" s="24" t="n"/>
      <c r="M712" s="25" t="n"/>
      <c r="N712" s="125" t="n"/>
      <c r="O712" s="23" t="n"/>
      <c r="P712" s="24" t="n"/>
      <c r="Q712" s="24" t="n"/>
      <c r="R712" s="24" t="n"/>
      <c r="S712" s="25" t="n"/>
      <c r="T712" s="125" t="n"/>
      <c r="U712" s="23" t="n"/>
      <c r="V712" s="24" t="n"/>
      <c r="W712" s="24" t="n"/>
      <c r="X712" s="24" t="n"/>
      <c r="Y712" s="25" t="n"/>
      <c r="Z712" s="125" t="n"/>
      <c r="AB712" s="23" t="n"/>
      <c r="AC712" s="24" t="n"/>
      <c r="AD712" s="24" t="n"/>
      <c r="AE712" s="24" t="n"/>
      <c r="AF712" s="25" t="n"/>
      <c r="AG712" s="125" t="n"/>
      <c r="AH712" s="23" t="n"/>
      <c r="AI712" s="24" t="n"/>
      <c r="AJ712" s="24" t="n"/>
      <c r="AK712" s="24" t="n"/>
      <c r="AL712" s="25" t="n"/>
      <c r="AM712" s="125" t="n"/>
      <c r="AN712" s="23" t="n"/>
      <c r="AO712" s="24" t="n"/>
      <c r="AP712" s="24" t="n"/>
      <c r="AQ712" s="24" t="n"/>
      <c r="AR712" s="25" t="n"/>
      <c r="AS712" s="125" t="n"/>
    </row>
    <row r="713" hidden="1" outlineLevel="2">
      <c r="A713" s="8" t="n"/>
      <c r="B713" s="14" t="n"/>
      <c r="C713" s="125" t="n"/>
      <c r="D713" s="125" t="n"/>
      <c r="E713" s="125" t="n"/>
      <c r="F713" s="125" t="n"/>
      <c r="G713" s="125" t="n"/>
      <c r="I713" s="89" t="inlineStr">
        <is>
          <t>Projétil</t>
        </is>
      </c>
      <c r="J713" s="17" t="n"/>
      <c r="K713" s="68">
        <f>DADOS_INVOC!$QC$47</f>
        <v/>
      </c>
      <c r="L713" s="17" t="n"/>
      <c r="M713" s="68">
        <f>DADOS_INVOC!$PY$47</f>
        <v/>
      </c>
      <c r="N713" s="125" t="n"/>
      <c r="O713" s="89" t="inlineStr">
        <is>
          <t>Projétil</t>
        </is>
      </c>
      <c r="P713" s="17" t="n"/>
      <c r="Q713" s="68">
        <f>DADOS_INVOC!$QC$48</f>
        <v/>
      </c>
      <c r="R713" s="17" t="n"/>
      <c r="S713" s="68">
        <f>DADOS_INVOC!$PY$48</f>
        <v/>
      </c>
      <c r="T713" s="125" t="n"/>
      <c r="U713" s="89" t="inlineStr">
        <is>
          <t>Projétil</t>
        </is>
      </c>
      <c r="V713" s="17" t="n"/>
      <c r="W713" s="68">
        <f>DADOS_INVOC!$QC$49</f>
        <v/>
      </c>
      <c r="X713" s="17" t="n"/>
      <c r="Y713" s="68">
        <f>DADOS_INVOC!$PY$49</f>
        <v/>
      </c>
      <c r="Z713" s="125" t="n"/>
      <c r="AB713" s="89" t="inlineStr">
        <is>
          <t>Projétil</t>
        </is>
      </c>
      <c r="AC713" s="17" t="n"/>
      <c r="AD713" s="68">
        <f>DADOS_INVOC!$QC$125</f>
        <v/>
      </c>
      <c r="AE713" s="17" t="n"/>
      <c r="AF713" s="68">
        <f>DADOS_INVOC!$PY$125</f>
        <v/>
      </c>
      <c r="AG713" s="125" t="n"/>
      <c r="AH713" s="89" t="inlineStr">
        <is>
          <t>Projétil</t>
        </is>
      </c>
      <c r="AI713" s="17" t="n"/>
      <c r="AJ713" s="68">
        <f>DADOS_INVOC!$QC$126</f>
        <v/>
      </c>
      <c r="AK713" s="17" t="n"/>
      <c r="AL713" s="68">
        <f>DADOS_INVOC!$PY$126</f>
        <v/>
      </c>
      <c r="AM713" s="125" t="n"/>
      <c r="AN713" s="89" t="inlineStr">
        <is>
          <t>Projétil</t>
        </is>
      </c>
      <c r="AO713" s="17" t="n"/>
      <c r="AP713" s="68">
        <f>DADOS_INVOC!$QC$127</f>
        <v/>
      </c>
      <c r="AQ713" s="17" t="n"/>
      <c r="AR713" s="68">
        <f>DADOS_INVOC!$PY$127</f>
        <v/>
      </c>
      <c r="AS713" s="125" t="n"/>
    </row>
    <row r="714" hidden="1" outlineLevel="2">
      <c r="A714" s="8" t="n"/>
      <c r="B714" s="14" t="n"/>
      <c r="C714" s="125" t="n"/>
      <c r="D714" s="125" t="n"/>
      <c r="E714" s="125" t="n"/>
      <c r="F714" s="125" t="n"/>
      <c r="G714" s="125" t="n"/>
      <c r="I714" s="89" t="n"/>
      <c r="J714" s="17" t="n"/>
      <c r="K714" s="89" t="n"/>
      <c r="L714" s="16" t="n"/>
      <c r="M714" s="17" t="n"/>
      <c r="N714" s="125" t="n"/>
      <c r="O714" s="89" t="n"/>
      <c r="P714" s="17" t="n"/>
      <c r="Q714" s="89" t="n"/>
      <c r="R714" s="16" t="n"/>
      <c r="S714" s="17" t="n"/>
      <c r="T714" s="125" t="n"/>
      <c r="U714" s="89" t="n"/>
      <c r="V714" s="17" t="n"/>
      <c r="W714" s="89" t="n"/>
      <c r="X714" s="16" t="n"/>
      <c r="Y714" s="17" t="n"/>
      <c r="Z714" s="125" t="n"/>
      <c r="AB714" s="89" t="n"/>
      <c r="AC714" s="17" t="n"/>
      <c r="AD714" s="89" t="n"/>
      <c r="AE714" s="16" t="n"/>
      <c r="AF714" s="17" t="n"/>
      <c r="AG714" s="125" t="n"/>
      <c r="AH714" s="89" t="n"/>
      <c r="AI714" s="17" t="n"/>
      <c r="AJ714" s="89" t="n"/>
      <c r="AK714" s="16" t="n"/>
      <c r="AL714" s="17" t="n"/>
      <c r="AM714" s="125" t="n"/>
      <c r="AN714" s="89" t="n"/>
      <c r="AO714" s="17" t="n"/>
      <c r="AP714" s="89" t="n"/>
      <c r="AQ714" s="16" t="n"/>
      <c r="AR714" s="17" t="n"/>
      <c r="AS714" s="125" t="n"/>
    </row>
    <row r="715" hidden="1" outlineLevel="2">
      <c r="A715" s="8" t="n"/>
      <c r="B715" s="14" t="n"/>
      <c r="C715" s="125" t="n"/>
      <c r="D715" s="125" t="n"/>
      <c r="E715" s="125" t="n"/>
      <c r="F715" s="125" t="n"/>
      <c r="G715" s="125" t="n"/>
      <c r="I715" s="89">
        <f>DADOS_INVOC!$PZ$47</f>
        <v/>
      </c>
      <c r="J715" s="17" t="n"/>
      <c r="K715" s="89">
        <f>DADOS_INVOC!$QB$47</f>
        <v/>
      </c>
      <c r="L715" s="16" t="n"/>
      <c r="M715" s="17" t="n"/>
      <c r="N715" s="125" t="n"/>
      <c r="O715" s="89">
        <f>DADOS_INVOC!$PZ$48</f>
        <v/>
      </c>
      <c r="P715" s="17" t="n"/>
      <c r="Q715" s="89">
        <f>DADOS_INVOC!$QB$48</f>
        <v/>
      </c>
      <c r="R715" s="16" t="n"/>
      <c r="S715" s="17" t="n"/>
      <c r="T715" s="125" t="n"/>
      <c r="U715" s="89">
        <f>DADOS_INVOC!$PZ$49</f>
        <v/>
      </c>
      <c r="V715" s="17" t="n"/>
      <c r="W715" s="89">
        <f>DADOS_INVOC!$QB$49</f>
        <v/>
      </c>
      <c r="X715" s="16" t="n"/>
      <c r="Y715" s="17" t="n"/>
      <c r="Z715" s="125" t="n"/>
      <c r="AB715" s="89">
        <f>DADOS_INVOC!$PZ$125</f>
        <v/>
      </c>
      <c r="AC715" s="17" t="n"/>
      <c r="AD715" s="89">
        <f>DADOS_INVOC!$QB$125</f>
        <v/>
      </c>
      <c r="AE715" s="16" t="n"/>
      <c r="AF715" s="17" t="n"/>
      <c r="AG715" s="125" t="n"/>
      <c r="AH715" s="89">
        <f>DADOS_INVOC!$PZ$126</f>
        <v/>
      </c>
      <c r="AI715" s="17" t="n"/>
      <c r="AJ715" s="89">
        <f>DADOS_INVOC!$QB$126</f>
        <v/>
      </c>
      <c r="AK715" s="16" t="n"/>
      <c r="AL715" s="17" t="n"/>
      <c r="AM715" s="125" t="n"/>
      <c r="AN715" s="89">
        <f>DADOS_INVOC!$PZ$127</f>
        <v/>
      </c>
      <c r="AO715" s="17" t="n"/>
      <c r="AP715" s="89">
        <f>DADOS_INVOC!$QB$127</f>
        <v/>
      </c>
      <c r="AQ715" s="16" t="n"/>
      <c r="AR715" s="17" t="n"/>
      <c r="AS715" s="125" t="n"/>
    </row>
    <row r="716" hidden="1" outlineLevel="2">
      <c r="A716" s="8" t="n"/>
      <c r="B716" s="14" t="n"/>
      <c r="C716" s="125" t="n"/>
      <c r="D716" s="125" t="n"/>
      <c r="E716" s="125" t="n"/>
      <c r="F716" s="125" t="n"/>
      <c r="G716" s="125" t="n"/>
      <c r="I716" s="133">
        <f>DADOS_INVOC!$QH$47</f>
        <v/>
      </c>
      <c r="J716" s="16" t="n"/>
      <c r="K716" s="16" t="n"/>
      <c r="L716" s="16" t="n"/>
      <c r="M716" s="17" t="n"/>
      <c r="N716" s="125" t="n"/>
      <c r="O716" s="133">
        <f>DADOS_INVOC!$QH$48</f>
        <v/>
      </c>
      <c r="P716" s="16" t="n"/>
      <c r="Q716" s="16" t="n"/>
      <c r="R716" s="16" t="n"/>
      <c r="S716" s="17" t="n"/>
      <c r="T716" s="125" t="n"/>
      <c r="U716" s="133">
        <f>DADOS_INVOC!$QH$49</f>
        <v/>
      </c>
      <c r="V716" s="16" t="n"/>
      <c r="W716" s="16" t="n"/>
      <c r="X716" s="16" t="n"/>
      <c r="Y716" s="17" t="n"/>
      <c r="Z716" s="125" t="n"/>
      <c r="AB716" s="133">
        <f>DADOS_INVOC!$QH$125</f>
        <v/>
      </c>
      <c r="AC716" s="16" t="n"/>
      <c r="AD716" s="16" t="n"/>
      <c r="AE716" s="16" t="n"/>
      <c r="AF716" s="17" t="n"/>
      <c r="AG716" s="125" t="n"/>
      <c r="AH716" s="133">
        <f>DADOS_INVOC!$QH$126</f>
        <v/>
      </c>
      <c r="AI716" s="16" t="n"/>
      <c r="AJ716" s="16" t="n"/>
      <c r="AK716" s="16" t="n"/>
      <c r="AL716" s="17" t="n"/>
      <c r="AM716" s="125" t="n"/>
      <c r="AN716" s="133">
        <f>DADOS_INVOC!$QH$127</f>
        <v/>
      </c>
      <c r="AO716" s="16" t="n"/>
      <c r="AP716" s="16" t="n"/>
      <c r="AQ716" s="16" t="n"/>
      <c r="AR716" s="17" t="n"/>
      <c r="AS716" s="125" t="n"/>
    </row>
    <row r="717" hidden="1" outlineLevel="3">
      <c r="A717" s="8" t="n"/>
      <c r="B717" s="14" t="n"/>
      <c r="C717" s="125" t="n"/>
      <c r="D717" s="125" t="n"/>
      <c r="E717" s="125" t="n"/>
      <c r="F717" s="125" t="n"/>
      <c r="G717" s="125" t="n"/>
      <c r="I717" s="55" t="inlineStr">
        <is>
          <t>MELHORIAS</t>
        </is>
      </c>
      <c r="J717" s="134" t="n"/>
      <c r="K717" s="16" t="n"/>
      <c r="L717" s="17" t="n"/>
      <c r="M717" s="133">
        <f>DADOS_INVOC!$QK$47</f>
        <v/>
      </c>
      <c r="N717" s="125" t="n"/>
      <c r="O717" s="55" t="inlineStr">
        <is>
          <t>MELHORIAS</t>
        </is>
      </c>
      <c r="P717" s="134" t="n"/>
      <c r="Q717" s="16" t="n"/>
      <c r="R717" s="17" t="n"/>
      <c r="S717" s="133">
        <f>DADOS_INVOC!$QK$48</f>
        <v/>
      </c>
      <c r="T717" s="125" t="n"/>
      <c r="U717" s="55" t="inlineStr">
        <is>
          <t>MELHORIAS</t>
        </is>
      </c>
      <c r="V717" s="134" t="n"/>
      <c r="W717" s="16" t="n"/>
      <c r="X717" s="17" t="n"/>
      <c r="Y717" s="133">
        <f>DADOS_INVOC!$QK$49</f>
        <v/>
      </c>
      <c r="Z717" s="125" t="n"/>
      <c r="AB717" s="55" t="inlineStr">
        <is>
          <t>MELHORIAS</t>
        </is>
      </c>
      <c r="AC717" s="134" t="n"/>
      <c r="AD717" s="16" t="n"/>
      <c r="AE717" s="17" t="n"/>
      <c r="AF717" s="133">
        <f>DADOS_INVOC!$QK$125</f>
        <v/>
      </c>
      <c r="AG717" s="125" t="n"/>
      <c r="AH717" s="55" t="inlineStr">
        <is>
          <t>MELHORIAS</t>
        </is>
      </c>
      <c r="AI717" s="134" t="n"/>
      <c r="AJ717" s="16" t="n"/>
      <c r="AK717" s="17" t="n"/>
      <c r="AL717" s="133">
        <f>DADOS_INVOC!$QK$126</f>
        <v/>
      </c>
      <c r="AM717" s="125" t="n"/>
      <c r="AN717" s="55" t="inlineStr">
        <is>
          <t>MELHORIAS</t>
        </is>
      </c>
      <c r="AO717" s="134" t="n"/>
      <c r="AP717" s="16" t="n"/>
      <c r="AQ717" s="17" t="n"/>
      <c r="AR717" s="133">
        <f>DADOS_INVOC!$QK$127</f>
        <v/>
      </c>
      <c r="AS717" s="125" t="n"/>
    </row>
    <row r="718" hidden="1" outlineLevel="3">
      <c r="A718" s="8" t="n"/>
      <c r="B718" s="14" t="n"/>
      <c r="C718" s="125" t="n"/>
      <c r="D718" s="125" t="n"/>
      <c r="E718" s="125" t="n"/>
      <c r="F718" s="125" t="n"/>
      <c r="G718" s="125" t="n"/>
      <c r="I718" s="135" t="n"/>
      <c r="J718" s="134" t="n"/>
      <c r="K718" s="16" t="n"/>
      <c r="L718" s="17" t="n"/>
      <c r="M718" s="133">
        <f>DADOS_INVOC!$QL$47</f>
        <v/>
      </c>
      <c r="N718" s="125" t="n"/>
      <c r="O718" s="135" t="n"/>
      <c r="P718" s="134" t="n"/>
      <c r="Q718" s="16" t="n"/>
      <c r="R718" s="17" t="n"/>
      <c r="S718" s="133">
        <f>DADOS_INVOC!$QL$48</f>
        <v/>
      </c>
      <c r="T718" s="125" t="n"/>
      <c r="U718" s="135" t="n"/>
      <c r="V718" s="134" t="n"/>
      <c r="W718" s="16" t="n"/>
      <c r="X718" s="17" t="n"/>
      <c r="Y718" s="133">
        <f>DADOS_INVOC!$QL$49</f>
        <v/>
      </c>
      <c r="Z718" s="125" t="n"/>
      <c r="AB718" s="135" t="n"/>
      <c r="AC718" s="134" t="n"/>
      <c r="AD718" s="16" t="n"/>
      <c r="AE718" s="17" t="n"/>
      <c r="AF718" s="133">
        <f>DADOS_INVOC!$QL$125</f>
        <v/>
      </c>
      <c r="AG718" s="125" t="n"/>
      <c r="AH718" s="135" t="n"/>
      <c r="AI718" s="134" t="n"/>
      <c r="AJ718" s="16" t="n"/>
      <c r="AK718" s="17" t="n"/>
      <c r="AL718" s="133">
        <f>DADOS_INVOC!$QL$126</f>
        <v/>
      </c>
      <c r="AM718" s="125" t="n"/>
      <c r="AN718" s="135" t="n"/>
      <c r="AO718" s="134" t="n"/>
      <c r="AP718" s="16" t="n"/>
      <c r="AQ718" s="17" t="n"/>
      <c r="AR718" s="133">
        <f>DADOS_INVOC!$QL$127</f>
        <v/>
      </c>
      <c r="AS718" s="125" t="n"/>
    </row>
    <row r="719" hidden="1" outlineLevel="3">
      <c r="A719" s="8" t="n"/>
      <c r="B719" s="14" t="n"/>
      <c r="C719" s="125" t="n"/>
      <c r="D719" s="125" t="n"/>
      <c r="E719" s="125" t="n"/>
      <c r="F719" s="125" t="n"/>
      <c r="G719" s="125" t="n"/>
      <c r="I719" s="135" t="n"/>
      <c r="J719" s="134" t="n"/>
      <c r="K719" s="16" t="n"/>
      <c r="L719" s="17" t="n"/>
      <c r="M719" s="133">
        <f>DADOS_INVOC!$QM$47</f>
        <v/>
      </c>
      <c r="N719" s="125" t="n"/>
      <c r="O719" s="135" t="n"/>
      <c r="P719" s="134" t="n"/>
      <c r="Q719" s="16" t="n"/>
      <c r="R719" s="17" t="n"/>
      <c r="S719" s="133">
        <f>DADOS_INVOC!$QM$48</f>
        <v/>
      </c>
      <c r="T719" s="125" t="n"/>
      <c r="U719" s="135" t="n"/>
      <c r="V719" s="134" t="n"/>
      <c r="W719" s="16" t="n"/>
      <c r="X719" s="17" t="n"/>
      <c r="Y719" s="133">
        <f>DADOS_INVOC!$QM$49</f>
        <v/>
      </c>
      <c r="Z719" s="125" t="n"/>
      <c r="AB719" s="135" t="n"/>
      <c r="AC719" s="134" t="n"/>
      <c r="AD719" s="16" t="n"/>
      <c r="AE719" s="17" t="n"/>
      <c r="AF719" s="133">
        <f>DADOS_INVOC!$QM$125</f>
        <v/>
      </c>
      <c r="AG719" s="125" t="n"/>
      <c r="AH719" s="135" t="n"/>
      <c r="AI719" s="134" t="n"/>
      <c r="AJ719" s="16" t="n"/>
      <c r="AK719" s="17" t="n"/>
      <c r="AL719" s="133">
        <f>DADOS_INVOC!$QM$126</f>
        <v/>
      </c>
      <c r="AM719" s="125" t="n"/>
      <c r="AN719" s="135" t="n"/>
      <c r="AO719" s="134" t="n"/>
      <c r="AP719" s="16" t="n"/>
      <c r="AQ719" s="17" t="n"/>
      <c r="AR719" s="133">
        <f>DADOS_INVOC!$QM$127</f>
        <v/>
      </c>
      <c r="AS719" s="125" t="n"/>
    </row>
    <row r="720" hidden="1" outlineLevel="3">
      <c r="A720" s="8" t="n"/>
      <c r="B720" s="14" t="n"/>
      <c r="C720" s="125" t="n"/>
      <c r="D720" s="125" t="n"/>
      <c r="E720" s="125" t="n"/>
      <c r="F720" s="125" t="n"/>
      <c r="G720" s="125" t="n"/>
      <c r="I720" s="129" t="n"/>
      <c r="J720" s="134" t="n"/>
      <c r="K720" s="16" t="n"/>
      <c r="L720" s="17" t="n"/>
      <c r="M720" s="133">
        <f>DADOS_INVOC!$QN$47</f>
        <v/>
      </c>
      <c r="N720" s="125" t="n"/>
      <c r="O720" s="129" t="n"/>
      <c r="P720" s="134" t="n"/>
      <c r="Q720" s="16" t="n"/>
      <c r="R720" s="17" t="n"/>
      <c r="S720" s="133">
        <f>DADOS_INVOC!$QN$48</f>
        <v/>
      </c>
      <c r="T720" s="125" t="n"/>
      <c r="U720" s="129" t="n"/>
      <c r="V720" s="134" t="n"/>
      <c r="W720" s="16" t="n"/>
      <c r="X720" s="17" t="n"/>
      <c r="Y720" s="133">
        <f>DADOS_INVOC!$QN$49</f>
        <v/>
      </c>
      <c r="Z720" s="125" t="n"/>
      <c r="AB720" s="129" t="n"/>
      <c r="AC720" s="134" t="n"/>
      <c r="AD720" s="16" t="n"/>
      <c r="AE720" s="17" t="n"/>
      <c r="AF720" s="133">
        <f>DADOS_INVOC!$QN$125</f>
        <v/>
      </c>
      <c r="AG720" s="125" t="n"/>
      <c r="AH720" s="129" t="n"/>
      <c r="AI720" s="134" t="n"/>
      <c r="AJ720" s="16" t="n"/>
      <c r="AK720" s="17" t="n"/>
      <c r="AL720" s="133">
        <f>DADOS_INVOC!$QN$126</f>
        <v/>
      </c>
      <c r="AM720" s="125" t="n"/>
      <c r="AN720" s="129" t="n"/>
      <c r="AO720" s="134" t="n"/>
      <c r="AP720" s="16" t="n"/>
      <c r="AQ720" s="17" t="n"/>
      <c r="AR720" s="133">
        <f>DADOS_INVOC!$QN$127</f>
        <v/>
      </c>
      <c r="AS720" s="125" t="n"/>
    </row>
    <row r="721" hidden="1" outlineLevel="3">
      <c r="A721" s="8" t="n"/>
      <c r="B721" s="14" t="n"/>
      <c r="C721" s="125" t="n"/>
      <c r="D721" s="125" t="n"/>
      <c r="E721" s="125" t="n"/>
      <c r="F721" s="125" t="n"/>
      <c r="G721" s="125" t="n"/>
      <c r="I721" s="55" t="inlineStr">
        <is>
          <t>RESTRIÇÕES</t>
        </is>
      </c>
      <c r="J721" s="134" t="n"/>
      <c r="K721" s="16" t="n"/>
      <c r="L721" s="17" t="n"/>
      <c r="M721" s="133">
        <f>DADOS_INVOC!$QO$47</f>
        <v/>
      </c>
      <c r="N721" s="125" t="n"/>
      <c r="O721" s="55" t="inlineStr">
        <is>
          <t>RESTRIÇÕES</t>
        </is>
      </c>
      <c r="P721" s="134" t="n"/>
      <c r="Q721" s="16" t="n"/>
      <c r="R721" s="17" t="n"/>
      <c r="S721" s="133">
        <f>DADOS_INVOC!$QO$48</f>
        <v/>
      </c>
      <c r="T721" s="125" t="n"/>
      <c r="U721" s="55" t="inlineStr">
        <is>
          <t>RESTRIÇÕES</t>
        </is>
      </c>
      <c r="V721" s="134" t="n"/>
      <c r="W721" s="16" t="n"/>
      <c r="X721" s="17" t="n"/>
      <c r="Y721" s="133">
        <f>DADOS_INVOC!$QO$49</f>
        <v/>
      </c>
      <c r="Z721" s="125" t="n"/>
      <c r="AB721" s="55" t="inlineStr">
        <is>
          <t>RESTRIÇÕES</t>
        </is>
      </c>
      <c r="AC721" s="134" t="n"/>
      <c r="AD721" s="16" t="n"/>
      <c r="AE721" s="17" t="n"/>
      <c r="AF721" s="133">
        <f>DADOS_INVOC!$QO$125</f>
        <v/>
      </c>
      <c r="AG721" s="125" t="n"/>
      <c r="AH721" s="55" t="inlineStr">
        <is>
          <t>RESTRIÇÕES</t>
        </is>
      </c>
      <c r="AI721" s="134" t="n"/>
      <c r="AJ721" s="16" t="n"/>
      <c r="AK721" s="17" t="n"/>
      <c r="AL721" s="133">
        <f>DADOS_INVOC!$QO$126</f>
        <v/>
      </c>
      <c r="AM721" s="125" t="n"/>
      <c r="AN721" s="55" t="inlineStr">
        <is>
          <t>RESTRIÇÕES</t>
        </is>
      </c>
      <c r="AO721" s="134" t="n"/>
      <c r="AP721" s="16" t="n"/>
      <c r="AQ721" s="17" t="n"/>
      <c r="AR721" s="133">
        <f>DADOS_INVOC!$QO$127</f>
        <v/>
      </c>
      <c r="AS721" s="125" t="n"/>
    </row>
    <row r="722" hidden="1" outlineLevel="3">
      <c r="A722" s="8" t="n"/>
      <c r="B722" s="14" t="n"/>
      <c r="C722" s="125" t="n"/>
      <c r="D722" s="125" t="n"/>
      <c r="E722" s="125" t="n"/>
      <c r="F722" s="125" t="n"/>
      <c r="G722" s="125" t="n"/>
      <c r="I722" s="129" t="n"/>
      <c r="J722" s="134" t="n"/>
      <c r="K722" s="16" t="n"/>
      <c r="L722" s="17" t="n"/>
      <c r="M722" s="133">
        <f>DADOS_INVOC!$QP$47</f>
        <v/>
      </c>
      <c r="N722" s="125" t="n"/>
      <c r="O722" s="129" t="n"/>
      <c r="P722" s="134" t="n"/>
      <c r="Q722" s="16" t="n"/>
      <c r="R722" s="17" t="n"/>
      <c r="S722" s="133">
        <f>DADOS_INVOC!$QP$48</f>
        <v/>
      </c>
      <c r="T722" s="125" t="n"/>
      <c r="U722" s="129" t="n"/>
      <c r="V722" s="134" t="n"/>
      <c r="W722" s="16" t="n"/>
      <c r="X722" s="17" t="n"/>
      <c r="Y722" s="133">
        <f>DADOS_INVOC!$QP$49</f>
        <v/>
      </c>
      <c r="Z722" s="125" t="n"/>
      <c r="AB722" s="129" t="n"/>
      <c r="AC722" s="134" t="n"/>
      <c r="AD722" s="16" t="n"/>
      <c r="AE722" s="17" t="n"/>
      <c r="AF722" s="133">
        <f>DADOS_INVOC!$QP$125</f>
        <v/>
      </c>
      <c r="AG722" s="125" t="n"/>
      <c r="AH722" s="129" t="n"/>
      <c r="AI722" s="134" t="n"/>
      <c r="AJ722" s="16" t="n"/>
      <c r="AK722" s="17" t="n"/>
      <c r="AL722" s="133">
        <f>DADOS_INVOC!$QP$126</f>
        <v/>
      </c>
      <c r="AM722" s="125" t="n"/>
      <c r="AN722" s="129" t="n"/>
      <c r="AO722" s="134" t="n"/>
      <c r="AP722" s="16" t="n"/>
      <c r="AQ722" s="17" t="n"/>
      <c r="AR722" s="133">
        <f>DADOS_INVOC!$QP$127</f>
        <v/>
      </c>
      <c r="AS722" s="125" t="n"/>
    </row>
    <row r="723" hidden="1" outlineLevel="3">
      <c r="A723" s="8" t="n"/>
      <c r="B723" s="14" t="n"/>
      <c r="C723" s="125" t="n"/>
      <c r="D723" s="125" t="n"/>
      <c r="E723" s="125" t="n"/>
      <c r="F723" s="125" t="n"/>
      <c r="G723" s="125" t="n"/>
      <c r="I723" s="55" t="inlineStr">
        <is>
          <t>CONTA</t>
        </is>
      </c>
      <c r="J723" s="136">
        <f>DADOS_INVOC!$QI$47</f>
        <v/>
      </c>
      <c r="K723" s="16" t="n"/>
      <c r="L723" s="16" t="n"/>
      <c r="M723" s="17" t="n"/>
      <c r="N723" s="125" t="n"/>
      <c r="O723" s="55" t="inlineStr">
        <is>
          <t>CONTA</t>
        </is>
      </c>
      <c r="P723" s="136">
        <f>DADOS_INVOC!$QI$48</f>
        <v/>
      </c>
      <c r="Q723" s="16" t="n"/>
      <c r="R723" s="16" t="n"/>
      <c r="S723" s="17" t="n"/>
      <c r="T723" s="125" t="n"/>
      <c r="U723" s="55" t="inlineStr">
        <is>
          <t>CONTA</t>
        </is>
      </c>
      <c r="V723" s="136">
        <f>DADOS_INVOC!$QI$49</f>
        <v/>
      </c>
      <c r="W723" s="16" t="n"/>
      <c r="X723" s="16" t="n"/>
      <c r="Y723" s="17" t="n"/>
      <c r="Z723" s="125" t="n"/>
      <c r="AB723" s="55" t="inlineStr">
        <is>
          <t>CONTA</t>
        </is>
      </c>
      <c r="AC723" s="136">
        <f>DADOS_INVOC!$QI$125</f>
        <v/>
      </c>
      <c r="AD723" s="16" t="n"/>
      <c r="AE723" s="16" t="n"/>
      <c r="AF723" s="17" t="n"/>
      <c r="AG723" s="125" t="n"/>
      <c r="AH723" s="55" t="inlineStr">
        <is>
          <t>CONTA</t>
        </is>
      </c>
      <c r="AI723" s="136">
        <f>DADOS_INVOC!$QI$126</f>
        <v/>
      </c>
      <c r="AJ723" s="16" t="n"/>
      <c r="AK723" s="16" t="n"/>
      <c r="AL723" s="17" t="n"/>
      <c r="AM723" s="125" t="n"/>
      <c r="AN723" s="55" t="inlineStr">
        <is>
          <t>CONTA</t>
        </is>
      </c>
      <c r="AO723" s="136">
        <f>DADOS_INVOC!$QI$127</f>
        <v/>
      </c>
      <c r="AP723" s="16" t="n"/>
      <c r="AQ723" s="16" t="n"/>
      <c r="AR723" s="17" t="n"/>
      <c r="AS723" s="125" t="n"/>
    </row>
    <row r="724" hidden="1" outlineLevel="3">
      <c r="A724" s="8" t="n"/>
      <c r="B724" s="14" t="n"/>
      <c r="C724" s="125" t="n"/>
      <c r="D724" s="125" t="n"/>
      <c r="E724" s="125" t="n"/>
      <c r="F724" s="125" t="n"/>
      <c r="G724" s="125" t="n"/>
      <c r="I724" s="55" t="inlineStr">
        <is>
          <t>AMPLIAR</t>
        </is>
      </c>
      <c r="J724" s="136">
        <f>DADOS_INVOC!$QJ$47</f>
        <v/>
      </c>
      <c r="K724" s="19" t="n"/>
      <c r="L724" s="19" t="n"/>
      <c r="M724" s="20" t="n"/>
      <c r="N724" s="125" t="n"/>
      <c r="O724" s="55" t="inlineStr">
        <is>
          <t>AMPLIAR</t>
        </is>
      </c>
      <c r="P724" s="136">
        <f>DADOS_INVOC!$QJ$48</f>
        <v/>
      </c>
      <c r="Q724" s="19" t="n"/>
      <c r="R724" s="19" t="n"/>
      <c r="S724" s="20" t="n"/>
      <c r="T724" s="125" t="n"/>
      <c r="U724" s="55" t="inlineStr">
        <is>
          <t>AMPLIAR</t>
        </is>
      </c>
      <c r="V724" s="136">
        <f>DADOS_INVOC!$QJ$49</f>
        <v/>
      </c>
      <c r="W724" s="19" t="n"/>
      <c r="X724" s="19" t="n"/>
      <c r="Y724" s="20" t="n"/>
      <c r="Z724" s="125" t="n"/>
      <c r="AB724" s="55" t="inlineStr">
        <is>
          <t>AMPLIAR</t>
        </is>
      </c>
      <c r="AC724" s="136">
        <f>DADOS_INVOC!$QJ$125</f>
        <v/>
      </c>
      <c r="AD724" s="19" t="n"/>
      <c r="AE724" s="19" t="n"/>
      <c r="AF724" s="20" t="n"/>
      <c r="AG724" s="125" t="n"/>
      <c r="AH724" s="55" t="inlineStr">
        <is>
          <t>AMPLIAR</t>
        </is>
      </c>
      <c r="AI724" s="136">
        <f>DADOS_INVOC!$QJ$126</f>
        <v/>
      </c>
      <c r="AJ724" s="19" t="n"/>
      <c r="AK724" s="19" t="n"/>
      <c r="AL724" s="20" t="n"/>
      <c r="AM724" s="125" t="n"/>
      <c r="AN724" s="55" t="inlineStr">
        <is>
          <t>AMPLIAR</t>
        </is>
      </c>
      <c r="AO724" s="136">
        <f>DADOS_INVOC!$QJ$127</f>
        <v/>
      </c>
      <c r="AP724" s="19" t="n"/>
      <c r="AQ724" s="19" t="n"/>
      <c r="AR724" s="20" t="n"/>
      <c r="AS724" s="125" t="n"/>
    </row>
    <row r="725" hidden="1" outlineLevel="3">
      <c r="A725" s="8" t="n"/>
      <c r="B725" s="14" t="n"/>
      <c r="C725" s="125" t="n"/>
      <c r="D725" s="125" t="n"/>
      <c r="E725" s="125" t="n"/>
      <c r="F725" s="125" t="n"/>
      <c r="G725" s="125" t="n"/>
      <c r="I725" s="129" t="n"/>
      <c r="J725" s="23" t="n"/>
      <c r="K725" s="24" t="n"/>
      <c r="L725" s="24" t="n"/>
      <c r="M725" s="25" t="n"/>
      <c r="N725" s="125" t="n"/>
      <c r="O725" s="129" t="n"/>
      <c r="P725" s="23" t="n"/>
      <c r="Q725" s="24" t="n"/>
      <c r="R725" s="24" t="n"/>
      <c r="S725" s="25" t="n"/>
      <c r="T725" s="125" t="n"/>
      <c r="U725" s="129" t="n"/>
      <c r="V725" s="23" t="n"/>
      <c r="W725" s="24" t="n"/>
      <c r="X725" s="24" t="n"/>
      <c r="Y725" s="25" t="n"/>
      <c r="Z725" s="125" t="n"/>
      <c r="AB725" s="129" t="n"/>
      <c r="AC725" s="23" t="n"/>
      <c r="AD725" s="24" t="n"/>
      <c r="AE725" s="24" t="n"/>
      <c r="AF725" s="25" t="n"/>
      <c r="AG725" s="125" t="n"/>
      <c r="AH725" s="129" t="n"/>
      <c r="AI725" s="23" t="n"/>
      <c r="AJ725" s="24" t="n"/>
      <c r="AK725" s="24" t="n"/>
      <c r="AL725" s="25" t="n"/>
      <c r="AM725" s="125" t="n"/>
      <c r="AN725" s="129" t="n"/>
      <c r="AO725" s="23" t="n"/>
      <c r="AP725" s="24" t="n"/>
      <c r="AQ725" s="24" t="n"/>
      <c r="AR725" s="25" t="n"/>
      <c r="AS725" s="125" t="n"/>
    </row>
    <row r="726" hidden="1" outlineLevel="3">
      <c r="A726" s="8" t="n"/>
      <c r="B726" s="14" t="n"/>
      <c r="C726" s="125" t="n"/>
      <c r="D726" s="125" t="n"/>
      <c r="E726" s="125" t="n"/>
      <c r="F726" s="125" t="n"/>
      <c r="G726" s="125" t="n"/>
      <c r="I726" s="136">
        <f>DADOS_INVOC!$PW$47</f>
        <v/>
      </c>
      <c r="J726" s="19" t="n"/>
      <c r="K726" s="19" t="n"/>
      <c r="L726" s="19" t="n"/>
      <c r="M726" s="20" t="n"/>
      <c r="N726" s="125" t="n"/>
      <c r="O726" s="136">
        <f>DADOS_INVOC!$PW$48</f>
        <v/>
      </c>
      <c r="P726" s="19" t="n"/>
      <c r="Q726" s="19" t="n"/>
      <c r="R726" s="19" t="n"/>
      <c r="S726" s="20" t="n"/>
      <c r="T726" s="125" t="n"/>
      <c r="U726" s="136">
        <f>DADOS_INVOC!$PW$49</f>
        <v/>
      </c>
      <c r="V726" s="19" t="n"/>
      <c r="W726" s="19" t="n"/>
      <c r="X726" s="19" t="n"/>
      <c r="Y726" s="20" t="n"/>
      <c r="Z726" s="125" t="n"/>
      <c r="AB726" s="136">
        <f>DADOS_INVOC!$PW$125</f>
        <v/>
      </c>
      <c r="AC726" s="19" t="n"/>
      <c r="AD726" s="19" t="n"/>
      <c r="AE726" s="19" t="n"/>
      <c r="AF726" s="20" t="n"/>
      <c r="AG726" s="125" t="n"/>
      <c r="AH726" s="136">
        <f>DADOS_INVOC!$PW$126</f>
        <v/>
      </c>
      <c r="AI726" s="19" t="n"/>
      <c r="AJ726" s="19" t="n"/>
      <c r="AK726" s="19" t="n"/>
      <c r="AL726" s="20" t="n"/>
      <c r="AM726" s="125" t="n"/>
      <c r="AN726" s="136">
        <f>DADOS_INVOC!$PW$127</f>
        <v/>
      </c>
      <c r="AO726" s="19" t="n"/>
      <c r="AP726" s="19" t="n"/>
      <c r="AQ726" s="19" t="n"/>
      <c r="AR726" s="20" t="n"/>
      <c r="AS726" s="125" t="n"/>
    </row>
    <row r="727" hidden="1" outlineLevel="3">
      <c r="A727" s="8" t="n"/>
      <c r="B727" s="14" t="n"/>
      <c r="C727" s="125" t="n"/>
      <c r="D727" s="125" t="n"/>
      <c r="E727" s="125" t="n"/>
      <c r="F727" s="125" t="n"/>
      <c r="G727" s="125" t="n"/>
      <c r="I727" s="23" t="n"/>
      <c r="J727" s="24" t="n"/>
      <c r="K727" s="24" t="n"/>
      <c r="L727" s="24" t="n"/>
      <c r="M727" s="25" t="n"/>
      <c r="N727" s="125" t="n"/>
      <c r="O727" s="23" t="n"/>
      <c r="P727" s="24" t="n"/>
      <c r="Q727" s="24" t="n"/>
      <c r="R727" s="24" t="n"/>
      <c r="S727" s="25" t="n"/>
      <c r="T727" s="125" t="n"/>
      <c r="U727" s="23" t="n"/>
      <c r="V727" s="24" t="n"/>
      <c r="W727" s="24" t="n"/>
      <c r="X727" s="24" t="n"/>
      <c r="Y727" s="25" t="n"/>
      <c r="Z727" s="125" t="n"/>
      <c r="AB727" s="23" t="n"/>
      <c r="AC727" s="24" t="n"/>
      <c r="AD727" s="24" t="n"/>
      <c r="AE727" s="24" t="n"/>
      <c r="AF727" s="25" t="n"/>
      <c r="AG727" s="125" t="n"/>
      <c r="AH727" s="23" t="n"/>
      <c r="AI727" s="24" t="n"/>
      <c r="AJ727" s="24" t="n"/>
      <c r="AK727" s="24" t="n"/>
      <c r="AL727" s="25" t="n"/>
      <c r="AM727" s="125" t="n"/>
      <c r="AN727" s="23" t="n"/>
      <c r="AO727" s="24" t="n"/>
      <c r="AP727" s="24" t="n"/>
      <c r="AQ727" s="24" t="n"/>
      <c r="AR727" s="25" t="n"/>
      <c r="AS727" s="125" t="n"/>
    </row>
    <row r="728" hidden="1" outlineLevel="2">
      <c r="A728" s="8" t="n"/>
      <c r="B728" s="14" t="n"/>
      <c r="C728" s="125" t="n"/>
      <c r="D728" s="125" t="n"/>
      <c r="E728" s="125" t="n"/>
      <c r="F728" s="125" t="n"/>
      <c r="G728" s="125" t="n"/>
      <c r="I728" s="125" t="n"/>
      <c r="J728" s="125" t="n"/>
      <c r="K728" s="125" t="n"/>
      <c r="L728" s="125" t="n"/>
      <c r="M728" s="125" t="n"/>
      <c r="N728" s="125" t="n"/>
      <c r="O728" s="125" t="n"/>
      <c r="P728" s="125" t="n"/>
      <c r="Q728" s="125" t="n"/>
      <c r="R728" s="125" t="n"/>
      <c r="S728" s="125" t="n"/>
      <c r="T728" s="125" t="n"/>
      <c r="U728" s="125" t="n"/>
      <c r="V728" s="125" t="n"/>
      <c r="W728" s="125" t="n"/>
      <c r="X728" s="125" t="n"/>
      <c r="Y728" s="125" t="n"/>
      <c r="Z728" s="125" t="n"/>
      <c r="AB728" s="125" t="n"/>
      <c r="AC728" s="125" t="n"/>
      <c r="AD728" s="125" t="n"/>
      <c r="AE728" s="125" t="n"/>
      <c r="AF728" s="125" t="n"/>
      <c r="AG728" s="125" t="n"/>
      <c r="AH728" s="125" t="n"/>
      <c r="AI728" s="125" t="n"/>
      <c r="AJ728" s="125" t="n"/>
      <c r="AK728" s="125" t="n"/>
      <c r="AL728" s="125" t="n"/>
      <c r="AM728" s="125" t="n"/>
      <c r="AN728" s="125" t="n"/>
      <c r="AO728" s="125" t="n"/>
      <c r="AP728" s="125" t="n"/>
      <c r="AQ728" s="125" t="n"/>
      <c r="AR728" s="125" t="n"/>
      <c r="AS728" s="125" t="n"/>
    </row>
    <row r="729" hidden="1" outlineLevel="2">
      <c r="A729" s="8" t="n"/>
      <c r="B729" s="14" t="n"/>
      <c r="C729" s="125" t="n"/>
      <c r="D729" s="125" t="n"/>
      <c r="E729" s="125" t="n"/>
      <c r="F729" s="125" t="n"/>
      <c r="G729" s="125" t="n"/>
      <c r="I729" s="55">
        <f>DADOS_INVOC!$PX$50</f>
        <v/>
      </c>
      <c r="J729" s="16" t="n"/>
      <c r="K729" s="16" t="n"/>
      <c r="L729" s="16" t="n"/>
      <c r="M729" s="17" t="n"/>
      <c r="N729" s="125" t="n"/>
      <c r="O729" s="125" t="n"/>
      <c r="P729" s="125" t="n"/>
      <c r="Q729" s="125" t="n"/>
      <c r="R729" s="125" t="n"/>
      <c r="S729" s="125" t="n"/>
      <c r="T729" s="125" t="n"/>
      <c r="U729" s="125" t="n"/>
      <c r="V729" s="125" t="n"/>
      <c r="W729" s="125" t="n"/>
      <c r="X729" s="125" t="n"/>
      <c r="Y729" s="125" t="n"/>
      <c r="Z729" s="125" t="n"/>
      <c r="AB729" s="55">
        <f>DADOS_INVOC!$PX$128</f>
        <v/>
      </c>
      <c r="AC729" s="16" t="n"/>
      <c r="AD729" s="16" t="n"/>
      <c r="AE729" s="16" t="n"/>
      <c r="AF729" s="17" t="n"/>
      <c r="AG729" s="125" t="n"/>
      <c r="AH729" s="125" t="n"/>
      <c r="AI729" s="125" t="n"/>
      <c r="AJ729" s="125" t="n"/>
      <c r="AK729" s="125" t="n"/>
      <c r="AL729" s="125" t="n"/>
      <c r="AM729" s="125" t="n"/>
      <c r="AN729" s="125" t="n"/>
      <c r="AO729" s="125" t="n"/>
      <c r="AP729" s="125" t="n"/>
      <c r="AQ729" s="125" t="n"/>
      <c r="AR729" s="125" t="n"/>
      <c r="AS729" s="125" t="n"/>
    </row>
    <row r="730" hidden="1" outlineLevel="2">
      <c r="A730" s="8" t="n"/>
      <c r="B730" s="14" t="n"/>
      <c r="C730" s="125" t="n"/>
      <c r="D730" s="125" t="n"/>
      <c r="E730" s="125" t="n"/>
      <c r="F730" s="125" t="n"/>
      <c r="G730" s="125" t="n"/>
      <c r="I730" s="131" t="n">
        <v>1</v>
      </c>
      <c r="J730" s="120" t="n"/>
      <c r="K730" s="16" t="n"/>
      <c r="L730" s="17" t="n"/>
      <c r="M730" s="132">
        <f>DADOS_INVOC!$PV$50</f>
        <v/>
      </c>
      <c r="N730" s="125" t="n"/>
      <c r="O730" s="125" t="n"/>
      <c r="P730" s="125" t="n"/>
      <c r="Q730" s="125" t="n"/>
      <c r="R730" s="125" t="n"/>
      <c r="S730" s="125" t="n"/>
      <c r="T730" s="125" t="n"/>
      <c r="U730" s="125" t="n"/>
      <c r="V730" s="125" t="n"/>
      <c r="W730" s="125" t="n"/>
      <c r="X730" s="125" t="n"/>
      <c r="Y730" s="125" t="n"/>
      <c r="Z730" s="125" t="n"/>
      <c r="AB730" s="131" t="n">
        <v>1</v>
      </c>
      <c r="AC730" s="120" t="n"/>
      <c r="AD730" s="16" t="n"/>
      <c r="AE730" s="17" t="n"/>
      <c r="AF730" s="132">
        <f>DADOS_INVOC!$PV$128</f>
        <v/>
      </c>
      <c r="AG730" s="125" t="n"/>
      <c r="AH730" s="125" t="n"/>
      <c r="AI730" s="125" t="n"/>
      <c r="AJ730" s="125" t="n"/>
      <c r="AK730" s="125" t="n"/>
      <c r="AL730" s="125" t="n"/>
      <c r="AM730" s="125" t="n"/>
      <c r="AN730" s="125" t="n"/>
      <c r="AO730" s="125" t="n"/>
      <c r="AP730" s="125" t="n"/>
      <c r="AQ730" s="125" t="n"/>
      <c r="AR730" s="125" t="n"/>
      <c r="AS730" s="125" t="n"/>
    </row>
    <row r="731" hidden="1" outlineLevel="3">
      <c r="A731" s="8" t="n"/>
      <c r="B731" s="14" t="n"/>
      <c r="C731" s="125" t="n"/>
      <c r="D731" s="125" t="n"/>
      <c r="E731" s="125" t="n"/>
      <c r="F731" s="125" t="n"/>
      <c r="G731" s="125" t="n"/>
      <c r="I731" s="55" t="inlineStr">
        <is>
          <t>COMO É</t>
        </is>
      </c>
      <c r="J731" s="16" t="n"/>
      <c r="K731" s="16" t="n"/>
      <c r="L731" s="16" t="n"/>
      <c r="M731" s="17" t="n"/>
      <c r="N731" s="125" t="n"/>
      <c r="O731" s="125" t="n"/>
      <c r="P731" s="125" t="n"/>
      <c r="Q731" s="125" t="n"/>
      <c r="R731" s="125" t="n"/>
      <c r="S731" s="125" t="n"/>
      <c r="T731" s="125" t="n"/>
      <c r="U731" s="125" t="n"/>
      <c r="V731" s="125" t="n"/>
      <c r="W731" s="125" t="n"/>
      <c r="X731" s="125" t="n"/>
      <c r="Y731" s="125" t="n"/>
      <c r="Z731" s="125" t="n"/>
      <c r="AB731" s="55" t="inlineStr">
        <is>
          <t>COMO É</t>
        </is>
      </c>
      <c r="AC731" s="16" t="n"/>
      <c r="AD731" s="16" t="n"/>
      <c r="AE731" s="16" t="n"/>
      <c r="AF731" s="17" t="n"/>
      <c r="AG731" s="125" t="n"/>
      <c r="AH731" s="125" t="n"/>
      <c r="AI731" s="125" t="n"/>
      <c r="AJ731" s="125" t="n"/>
      <c r="AK731" s="125" t="n"/>
      <c r="AL731" s="125" t="n"/>
      <c r="AM731" s="125" t="n"/>
      <c r="AN731" s="125" t="n"/>
      <c r="AO731" s="125" t="n"/>
      <c r="AP731" s="125" t="n"/>
      <c r="AQ731" s="125" t="n"/>
      <c r="AR731" s="125" t="n"/>
      <c r="AS731" s="125" t="n"/>
    </row>
    <row r="732" hidden="1" outlineLevel="3">
      <c r="A732" s="8" t="n"/>
      <c r="B732" s="14" t="n"/>
      <c r="C732" s="125" t="n"/>
      <c r="D732" s="125" t="n"/>
      <c r="E732" s="125" t="n"/>
      <c r="F732" s="125" t="n"/>
      <c r="G732" s="125" t="n"/>
      <c r="I732" s="121" t="n"/>
      <c r="J732" s="19" t="n"/>
      <c r="K732" s="19" t="n"/>
      <c r="L732" s="19" t="n"/>
      <c r="M732" s="20" t="n"/>
      <c r="N732" s="125" t="n"/>
      <c r="O732" s="125" t="n"/>
      <c r="P732" s="125" t="n"/>
      <c r="Q732" s="125" t="n"/>
      <c r="R732" s="125" t="n"/>
      <c r="S732" s="125" t="n"/>
      <c r="T732" s="125" t="n"/>
      <c r="U732" s="125" t="n"/>
      <c r="V732" s="125" t="n"/>
      <c r="W732" s="125" t="n"/>
      <c r="X732" s="125" t="n"/>
      <c r="Y732" s="125" t="n"/>
      <c r="Z732" s="125" t="n"/>
      <c r="AB732" s="121" t="n"/>
      <c r="AC732" s="19" t="n"/>
      <c r="AD732" s="19" t="n"/>
      <c r="AE732" s="19" t="n"/>
      <c r="AF732" s="20" t="n"/>
      <c r="AG732" s="125" t="n"/>
      <c r="AH732" s="125" t="n"/>
      <c r="AI732" s="125" t="n"/>
      <c r="AJ732" s="125" t="n"/>
      <c r="AK732" s="125" t="n"/>
      <c r="AL732" s="125" t="n"/>
      <c r="AM732" s="125" t="n"/>
      <c r="AN732" s="125" t="n"/>
      <c r="AO732" s="125" t="n"/>
      <c r="AP732" s="125" t="n"/>
      <c r="AQ732" s="125" t="n"/>
      <c r="AR732" s="125" t="n"/>
      <c r="AS732" s="125" t="n"/>
    </row>
    <row r="733" hidden="1" outlineLevel="3">
      <c r="A733" s="8" t="n"/>
      <c r="B733" s="14" t="n"/>
      <c r="C733" s="125" t="n"/>
      <c r="D733" s="125" t="n"/>
      <c r="E733" s="125" t="n"/>
      <c r="F733" s="125" t="n"/>
      <c r="G733" s="125" t="n"/>
      <c r="I733" s="21" t="n"/>
      <c r="M733" s="22" t="n"/>
      <c r="N733" s="125" t="n"/>
      <c r="O733" s="125" t="n"/>
      <c r="P733" s="125" t="n"/>
      <c r="Q733" s="125" t="n"/>
      <c r="R733" s="125" t="n"/>
      <c r="S733" s="125" t="n"/>
      <c r="T733" s="125" t="n"/>
      <c r="U733" s="125" t="n"/>
      <c r="V733" s="125" t="n"/>
      <c r="W733" s="125" t="n"/>
      <c r="X733" s="125" t="n"/>
      <c r="Y733" s="125" t="n"/>
      <c r="Z733" s="125" t="n"/>
      <c r="AB733" s="21" t="n"/>
      <c r="AF733" s="22" t="n"/>
      <c r="AG733" s="125" t="n"/>
      <c r="AH733" s="125" t="n"/>
      <c r="AI733" s="125" t="n"/>
      <c r="AJ733" s="125" t="n"/>
      <c r="AK733" s="125" t="n"/>
      <c r="AL733" s="125" t="n"/>
      <c r="AM733" s="125" t="n"/>
      <c r="AN733" s="125" t="n"/>
      <c r="AO733" s="125" t="n"/>
      <c r="AP733" s="125" t="n"/>
      <c r="AQ733" s="125" t="n"/>
      <c r="AR733" s="125" t="n"/>
      <c r="AS733" s="125" t="n"/>
    </row>
    <row r="734" hidden="1" outlineLevel="3">
      <c r="A734" s="8" t="n"/>
      <c r="B734" s="14" t="n"/>
      <c r="C734" s="125" t="n"/>
      <c r="D734" s="125" t="n"/>
      <c r="E734" s="125" t="n"/>
      <c r="F734" s="125" t="n"/>
      <c r="G734" s="125" t="n"/>
      <c r="I734" s="23" t="n"/>
      <c r="J734" s="24" t="n"/>
      <c r="K734" s="24" t="n"/>
      <c r="L734" s="24" t="n"/>
      <c r="M734" s="25" t="n"/>
      <c r="N734" s="125" t="n"/>
      <c r="O734" s="125" t="n"/>
      <c r="P734" s="125" t="n"/>
      <c r="Q734" s="125" t="n"/>
      <c r="R734" s="125" t="n"/>
      <c r="S734" s="125" t="n"/>
      <c r="T734" s="125" t="n"/>
      <c r="U734" s="125" t="n"/>
      <c r="V734" s="125" t="n"/>
      <c r="W734" s="125" t="n"/>
      <c r="X734" s="125" t="n"/>
      <c r="Y734" s="125" t="n"/>
      <c r="Z734" s="125" t="n"/>
      <c r="AB734" s="23" t="n"/>
      <c r="AC734" s="24" t="n"/>
      <c r="AD734" s="24" t="n"/>
      <c r="AE734" s="24" t="n"/>
      <c r="AF734" s="25" t="n"/>
      <c r="AG734" s="125" t="n"/>
      <c r="AH734" s="125" t="n"/>
      <c r="AI734" s="125" t="n"/>
      <c r="AJ734" s="125" t="n"/>
      <c r="AK734" s="125" t="n"/>
      <c r="AL734" s="125" t="n"/>
      <c r="AM734" s="125" t="n"/>
      <c r="AN734" s="125" t="n"/>
      <c r="AO734" s="125" t="n"/>
      <c r="AP734" s="125" t="n"/>
      <c r="AQ734" s="125" t="n"/>
      <c r="AR734" s="125" t="n"/>
      <c r="AS734" s="125" t="n"/>
    </row>
    <row r="735" hidden="1" outlineLevel="2">
      <c r="A735" s="8" t="n"/>
      <c r="B735" s="14" t="n"/>
      <c r="C735" s="125" t="n"/>
      <c r="D735" s="125" t="n"/>
      <c r="E735" s="125" t="n"/>
      <c r="F735" s="125" t="n"/>
      <c r="G735" s="125" t="n"/>
      <c r="I735" s="89" t="inlineStr">
        <is>
          <t>Projétil</t>
        </is>
      </c>
      <c r="J735" s="17" t="n"/>
      <c r="K735" s="68">
        <f>DADOS_INVOC!$QC$50</f>
        <v/>
      </c>
      <c r="L735" s="17" t="n"/>
      <c r="M735" s="68">
        <f>DADOS_INVOC!$PY$50</f>
        <v/>
      </c>
      <c r="N735" s="125" t="n"/>
      <c r="O735" s="125" t="n"/>
      <c r="P735" s="125" t="n"/>
      <c r="Q735" s="125" t="n"/>
      <c r="R735" s="125" t="n"/>
      <c r="S735" s="125" t="n"/>
      <c r="T735" s="125" t="n"/>
      <c r="U735" s="125" t="n"/>
      <c r="V735" s="125" t="n"/>
      <c r="W735" s="125" t="n"/>
      <c r="X735" s="125" t="n"/>
      <c r="Y735" s="125" t="n"/>
      <c r="Z735" s="125" t="n"/>
      <c r="AB735" s="89" t="inlineStr">
        <is>
          <t>Projétil</t>
        </is>
      </c>
      <c r="AC735" s="17" t="n"/>
      <c r="AD735" s="68">
        <f>DADOS_INVOC!$QC$128</f>
        <v/>
      </c>
      <c r="AE735" s="17" t="n"/>
      <c r="AF735" s="68">
        <f>DADOS_INVOC!$PY$128</f>
        <v/>
      </c>
      <c r="AG735" s="125" t="n"/>
      <c r="AH735" s="125" t="n"/>
      <c r="AI735" s="125" t="n"/>
      <c r="AJ735" s="125" t="n"/>
      <c r="AK735" s="125" t="n"/>
      <c r="AL735" s="125" t="n"/>
      <c r="AM735" s="125" t="n"/>
      <c r="AN735" s="125" t="n"/>
      <c r="AO735" s="125" t="n"/>
      <c r="AP735" s="125" t="n"/>
      <c r="AQ735" s="125" t="n"/>
      <c r="AR735" s="125" t="n"/>
      <c r="AS735" s="125" t="n"/>
    </row>
    <row r="736" hidden="1" outlineLevel="2">
      <c r="A736" s="8" t="n"/>
      <c r="B736" s="14" t="n"/>
      <c r="C736" s="125" t="n"/>
      <c r="D736" s="125" t="n"/>
      <c r="E736" s="125" t="n"/>
      <c r="F736" s="125" t="n"/>
      <c r="G736" s="125" t="n"/>
      <c r="I736" s="89" t="n"/>
      <c r="J736" s="17" t="n"/>
      <c r="K736" s="89" t="n"/>
      <c r="L736" s="16" t="n"/>
      <c r="M736" s="17" t="n"/>
      <c r="N736" s="125" t="n"/>
      <c r="O736" s="125" t="n"/>
      <c r="P736" s="125" t="n"/>
      <c r="Q736" s="125" t="n"/>
      <c r="R736" s="125" t="n"/>
      <c r="S736" s="125" t="n"/>
      <c r="T736" s="125" t="n"/>
      <c r="U736" s="125" t="n"/>
      <c r="V736" s="125" t="n"/>
      <c r="W736" s="125" t="n"/>
      <c r="X736" s="125" t="n"/>
      <c r="Y736" s="125" t="n"/>
      <c r="Z736" s="125" t="n"/>
      <c r="AB736" s="89" t="n"/>
      <c r="AC736" s="17" t="n"/>
      <c r="AD736" s="89" t="n"/>
      <c r="AE736" s="16" t="n"/>
      <c r="AF736" s="17" t="n"/>
      <c r="AG736" s="125" t="n"/>
      <c r="AH736" s="125" t="n"/>
      <c r="AI736" s="125" t="n"/>
      <c r="AJ736" s="125" t="n"/>
      <c r="AK736" s="125" t="n"/>
      <c r="AL736" s="125" t="n"/>
      <c r="AM736" s="125" t="n"/>
      <c r="AN736" s="125" t="n"/>
      <c r="AO736" s="125" t="n"/>
      <c r="AP736" s="125" t="n"/>
      <c r="AQ736" s="125" t="n"/>
      <c r="AR736" s="125" t="n"/>
      <c r="AS736" s="125" t="n"/>
    </row>
    <row r="737" hidden="1" outlineLevel="2">
      <c r="A737" s="8" t="n"/>
      <c r="B737" s="14" t="n"/>
      <c r="C737" s="125" t="n"/>
      <c r="D737" s="125" t="n"/>
      <c r="E737" s="125" t="n"/>
      <c r="F737" s="125" t="n"/>
      <c r="G737" s="125" t="n"/>
      <c r="I737" s="89">
        <f>DADOS_INVOC!$PZ$50</f>
        <v/>
      </c>
      <c r="J737" s="17" t="n"/>
      <c r="K737" s="89">
        <f>DADOS_INVOC!$QB$50</f>
        <v/>
      </c>
      <c r="L737" s="16" t="n"/>
      <c r="M737" s="17" t="n"/>
      <c r="N737" s="125" t="n"/>
      <c r="O737" s="125" t="n"/>
      <c r="P737" s="125" t="n"/>
      <c r="Q737" s="125" t="n"/>
      <c r="R737" s="125" t="n"/>
      <c r="S737" s="125" t="n"/>
      <c r="T737" s="125" t="n"/>
      <c r="U737" s="125" t="n"/>
      <c r="V737" s="125" t="n"/>
      <c r="W737" s="125" t="n"/>
      <c r="X737" s="125" t="n"/>
      <c r="Y737" s="125" t="n"/>
      <c r="Z737" s="125" t="n"/>
      <c r="AB737" s="89">
        <f>DADOS_INVOC!$PZ$128</f>
        <v/>
      </c>
      <c r="AC737" s="17" t="n"/>
      <c r="AD737" s="89">
        <f>DADOS_INVOC!$QB$128</f>
        <v/>
      </c>
      <c r="AE737" s="16" t="n"/>
      <c r="AF737" s="17" t="n"/>
      <c r="AG737" s="125" t="n"/>
      <c r="AH737" s="125" t="n"/>
      <c r="AI737" s="125" t="n"/>
      <c r="AJ737" s="125" t="n"/>
      <c r="AK737" s="125" t="n"/>
      <c r="AL737" s="125" t="n"/>
      <c r="AM737" s="125" t="n"/>
      <c r="AN737" s="125" t="n"/>
      <c r="AO737" s="125" t="n"/>
      <c r="AP737" s="125" t="n"/>
      <c r="AQ737" s="125" t="n"/>
      <c r="AR737" s="125" t="n"/>
      <c r="AS737" s="125" t="n"/>
    </row>
    <row r="738" hidden="1" outlineLevel="2">
      <c r="A738" s="8" t="n"/>
      <c r="B738" s="14" t="n"/>
      <c r="C738" s="125" t="n"/>
      <c r="D738" s="125" t="n"/>
      <c r="E738" s="125" t="n"/>
      <c r="F738" s="125" t="n"/>
      <c r="G738" s="125" t="n"/>
      <c r="I738" s="133">
        <f>DADOS_INVOC!$QH$50</f>
        <v/>
      </c>
      <c r="J738" s="16" t="n"/>
      <c r="K738" s="16" t="n"/>
      <c r="L738" s="16" t="n"/>
      <c r="M738" s="17" t="n"/>
      <c r="N738" s="125" t="n"/>
      <c r="O738" s="125" t="n"/>
      <c r="P738" s="125" t="n"/>
      <c r="Q738" s="125" t="n"/>
      <c r="R738" s="125" t="n"/>
      <c r="S738" s="125" t="n"/>
      <c r="T738" s="125" t="n"/>
      <c r="U738" s="125" t="n"/>
      <c r="V738" s="125" t="n"/>
      <c r="W738" s="125" t="n"/>
      <c r="X738" s="125" t="n"/>
      <c r="Y738" s="125" t="n"/>
      <c r="Z738" s="125" t="n"/>
      <c r="AB738" s="133">
        <f>DADOS_INVOC!$QH$128</f>
        <v/>
      </c>
      <c r="AC738" s="16" t="n"/>
      <c r="AD738" s="16" t="n"/>
      <c r="AE738" s="16" t="n"/>
      <c r="AF738" s="17" t="n"/>
      <c r="AG738" s="125" t="n"/>
      <c r="AH738" s="125" t="n"/>
      <c r="AI738" s="125" t="n"/>
      <c r="AJ738" s="125" t="n"/>
      <c r="AK738" s="125" t="n"/>
      <c r="AL738" s="125" t="n"/>
      <c r="AM738" s="125" t="n"/>
      <c r="AN738" s="125" t="n"/>
      <c r="AO738" s="125" t="n"/>
      <c r="AP738" s="125" t="n"/>
      <c r="AQ738" s="125" t="n"/>
      <c r="AR738" s="125" t="n"/>
      <c r="AS738" s="125" t="n"/>
    </row>
    <row r="739" hidden="1" outlineLevel="3">
      <c r="A739" s="8" t="n"/>
      <c r="B739" s="14" t="n"/>
      <c r="C739" s="125" t="n"/>
      <c r="D739" s="125" t="n"/>
      <c r="E739" s="125" t="n"/>
      <c r="F739" s="125" t="n"/>
      <c r="G739" s="125" t="n"/>
      <c r="I739" s="55" t="inlineStr">
        <is>
          <t>MELHORIAS</t>
        </is>
      </c>
      <c r="J739" s="134" t="n"/>
      <c r="K739" s="16" t="n"/>
      <c r="L739" s="17" t="n"/>
      <c r="M739" s="133">
        <f>DADOS_INVOC!$QK$50</f>
        <v/>
      </c>
      <c r="N739" s="125" t="n"/>
      <c r="O739" s="125" t="n"/>
      <c r="P739" s="125" t="n"/>
      <c r="Q739" s="125" t="n"/>
      <c r="R739" s="125" t="n"/>
      <c r="S739" s="125" t="n"/>
      <c r="T739" s="125" t="n"/>
      <c r="U739" s="125" t="n"/>
      <c r="V739" s="125" t="n"/>
      <c r="W739" s="125" t="n"/>
      <c r="X739" s="125" t="n"/>
      <c r="Y739" s="125" t="n"/>
      <c r="Z739" s="125" t="n"/>
      <c r="AB739" s="55" t="inlineStr">
        <is>
          <t>MELHORIAS</t>
        </is>
      </c>
      <c r="AC739" s="134" t="n"/>
      <c r="AD739" s="16" t="n"/>
      <c r="AE739" s="17" t="n"/>
      <c r="AF739" s="133">
        <f>DADOS_INVOC!$QK$128</f>
        <v/>
      </c>
      <c r="AG739" s="125" t="n"/>
      <c r="AH739" s="125" t="n"/>
      <c r="AI739" s="125" t="n"/>
      <c r="AJ739" s="125" t="n"/>
      <c r="AK739" s="125" t="n"/>
      <c r="AL739" s="125" t="n"/>
      <c r="AM739" s="125" t="n"/>
      <c r="AN739" s="125" t="n"/>
      <c r="AO739" s="125" t="n"/>
      <c r="AP739" s="125" t="n"/>
      <c r="AQ739" s="125" t="n"/>
      <c r="AR739" s="125" t="n"/>
      <c r="AS739" s="125" t="n"/>
    </row>
    <row r="740" hidden="1" outlineLevel="3">
      <c r="A740" s="8" t="n"/>
      <c r="B740" s="14" t="n"/>
      <c r="C740" s="125" t="n"/>
      <c r="D740" s="125" t="n"/>
      <c r="E740" s="125" t="n"/>
      <c r="F740" s="125" t="n"/>
      <c r="G740" s="125" t="n"/>
      <c r="I740" s="135" t="n"/>
      <c r="J740" s="134" t="n"/>
      <c r="K740" s="16" t="n"/>
      <c r="L740" s="17" t="n"/>
      <c r="M740" s="133">
        <f>DADOS_INVOC!$QL$50</f>
        <v/>
      </c>
      <c r="N740" s="125" t="n"/>
      <c r="O740" s="125" t="n"/>
      <c r="P740" s="125" t="n"/>
      <c r="Q740" s="125" t="n"/>
      <c r="R740" s="125" t="n"/>
      <c r="S740" s="125" t="n"/>
      <c r="T740" s="125" t="n"/>
      <c r="U740" s="125" t="n"/>
      <c r="V740" s="125" t="n"/>
      <c r="W740" s="125" t="n"/>
      <c r="X740" s="125" t="n"/>
      <c r="Y740" s="125" t="n"/>
      <c r="Z740" s="125" t="n"/>
      <c r="AB740" s="135" t="n"/>
      <c r="AC740" s="134" t="n"/>
      <c r="AD740" s="16" t="n"/>
      <c r="AE740" s="17" t="n"/>
      <c r="AF740" s="133">
        <f>DADOS_INVOC!$QL$128</f>
        <v/>
      </c>
      <c r="AG740" s="125" t="n"/>
      <c r="AH740" s="125" t="n"/>
      <c r="AI740" s="125" t="n"/>
      <c r="AJ740" s="125" t="n"/>
      <c r="AK740" s="125" t="n"/>
      <c r="AL740" s="125" t="n"/>
      <c r="AM740" s="125" t="n"/>
      <c r="AN740" s="125" t="n"/>
      <c r="AO740" s="125" t="n"/>
      <c r="AP740" s="125" t="n"/>
      <c r="AQ740" s="125" t="n"/>
      <c r="AR740" s="125" t="n"/>
      <c r="AS740" s="125" t="n"/>
    </row>
    <row r="741" hidden="1" outlineLevel="3">
      <c r="A741" s="8" t="n"/>
      <c r="B741" s="14" t="n"/>
      <c r="C741" s="125" t="n"/>
      <c r="D741" s="125" t="n"/>
      <c r="E741" s="125" t="n"/>
      <c r="F741" s="125" t="n"/>
      <c r="G741" s="125" t="n"/>
      <c r="I741" s="135" t="n"/>
      <c r="J741" s="134" t="n"/>
      <c r="K741" s="16" t="n"/>
      <c r="L741" s="17" t="n"/>
      <c r="M741" s="133">
        <f>DADOS_INVOC!$QM$50</f>
        <v/>
      </c>
      <c r="N741" s="125" t="n"/>
      <c r="O741" s="125" t="n"/>
      <c r="P741" s="125" t="n"/>
      <c r="Q741" s="125" t="n"/>
      <c r="R741" s="125" t="n"/>
      <c r="S741" s="125" t="n"/>
      <c r="T741" s="125" t="n"/>
      <c r="U741" s="125" t="n"/>
      <c r="V741" s="125" t="n"/>
      <c r="W741" s="125" t="n"/>
      <c r="X741" s="125" t="n"/>
      <c r="Y741" s="125" t="n"/>
      <c r="Z741" s="125" t="n"/>
      <c r="AB741" s="135" t="n"/>
      <c r="AC741" s="134" t="n"/>
      <c r="AD741" s="16" t="n"/>
      <c r="AE741" s="17" t="n"/>
      <c r="AF741" s="133">
        <f>DADOS_INVOC!$QM$128</f>
        <v/>
      </c>
      <c r="AG741" s="125" t="n"/>
      <c r="AH741" s="125" t="n"/>
      <c r="AI741" s="125" t="n"/>
      <c r="AJ741" s="125" t="n"/>
      <c r="AK741" s="125" t="n"/>
      <c r="AL741" s="125" t="n"/>
      <c r="AM741" s="125" t="n"/>
      <c r="AN741" s="125" t="n"/>
      <c r="AO741" s="125" t="n"/>
      <c r="AP741" s="125" t="n"/>
      <c r="AQ741" s="125" t="n"/>
      <c r="AR741" s="125" t="n"/>
      <c r="AS741" s="125" t="n"/>
    </row>
    <row r="742" hidden="1" outlineLevel="3">
      <c r="A742" s="8" t="n"/>
      <c r="B742" s="14" t="n"/>
      <c r="C742" s="125" t="n"/>
      <c r="D742" s="125" t="n"/>
      <c r="E742" s="125" t="n"/>
      <c r="F742" s="125" t="n"/>
      <c r="G742" s="125" t="n"/>
      <c r="I742" s="129" t="n"/>
      <c r="J742" s="134" t="n"/>
      <c r="K742" s="16" t="n"/>
      <c r="L742" s="17" t="n"/>
      <c r="M742" s="133">
        <f>DADOS_INVOC!$QN$50</f>
        <v/>
      </c>
      <c r="N742" s="125" t="n"/>
      <c r="O742" s="125" t="n"/>
      <c r="P742" s="125" t="n"/>
      <c r="Q742" s="125" t="n"/>
      <c r="R742" s="125" t="n"/>
      <c r="S742" s="125" t="n"/>
      <c r="T742" s="125" t="n"/>
      <c r="U742" s="125" t="n"/>
      <c r="V742" s="125" t="n"/>
      <c r="W742" s="125" t="n"/>
      <c r="X742" s="125" t="n"/>
      <c r="Y742" s="125" t="n"/>
      <c r="Z742" s="125" t="n"/>
      <c r="AB742" s="129" t="n"/>
      <c r="AC742" s="134" t="n"/>
      <c r="AD742" s="16" t="n"/>
      <c r="AE742" s="17" t="n"/>
      <c r="AF742" s="133">
        <f>DADOS_INVOC!$QN$128</f>
        <v/>
      </c>
      <c r="AG742" s="125" t="n"/>
      <c r="AH742" s="125" t="n"/>
      <c r="AI742" s="125" t="n"/>
      <c r="AJ742" s="125" t="n"/>
      <c r="AK742" s="125" t="n"/>
      <c r="AL742" s="125" t="n"/>
      <c r="AM742" s="125" t="n"/>
      <c r="AN742" s="125" t="n"/>
      <c r="AO742" s="125" t="n"/>
      <c r="AP742" s="125" t="n"/>
      <c r="AQ742" s="125" t="n"/>
      <c r="AR742" s="125" t="n"/>
      <c r="AS742" s="125" t="n"/>
    </row>
    <row r="743" hidden="1" outlineLevel="3">
      <c r="A743" s="8" t="n"/>
      <c r="B743" s="14" t="n"/>
      <c r="C743" s="125" t="n"/>
      <c r="D743" s="125" t="n"/>
      <c r="E743" s="125" t="n"/>
      <c r="F743" s="125" t="n"/>
      <c r="G743" s="125" t="n"/>
      <c r="I743" s="55" t="inlineStr">
        <is>
          <t>RESTRIÇÕES</t>
        </is>
      </c>
      <c r="J743" s="134" t="n"/>
      <c r="K743" s="16" t="n"/>
      <c r="L743" s="17" t="n"/>
      <c r="M743" s="133">
        <f>DADOS_INVOC!$QO$50</f>
        <v/>
      </c>
      <c r="N743" s="125" t="n"/>
      <c r="O743" s="125" t="n"/>
      <c r="P743" s="125" t="n"/>
      <c r="Q743" s="125" t="n"/>
      <c r="R743" s="125" t="n"/>
      <c r="S743" s="125" t="n"/>
      <c r="T743" s="125" t="n"/>
      <c r="U743" s="125" t="n"/>
      <c r="V743" s="125" t="n"/>
      <c r="W743" s="125" t="n"/>
      <c r="X743" s="125" t="n"/>
      <c r="Y743" s="125" t="n"/>
      <c r="Z743" s="125" t="n"/>
      <c r="AB743" s="55" t="inlineStr">
        <is>
          <t>RESTRIÇÕES</t>
        </is>
      </c>
      <c r="AC743" s="134" t="n"/>
      <c r="AD743" s="16" t="n"/>
      <c r="AE743" s="17" t="n"/>
      <c r="AF743" s="133">
        <f>DADOS_INVOC!$QO$128</f>
        <v/>
      </c>
      <c r="AG743" s="125" t="n"/>
      <c r="AH743" s="125" t="n"/>
      <c r="AI743" s="125" t="n"/>
      <c r="AJ743" s="125" t="n"/>
      <c r="AK743" s="125" t="n"/>
      <c r="AL743" s="125" t="n"/>
      <c r="AM743" s="125" t="n"/>
      <c r="AN743" s="125" t="n"/>
      <c r="AO743" s="125" t="n"/>
      <c r="AP743" s="125" t="n"/>
      <c r="AQ743" s="125" t="n"/>
      <c r="AR743" s="125" t="n"/>
      <c r="AS743" s="125" t="n"/>
    </row>
    <row r="744" hidden="1" outlineLevel="3">
      <c r="A744" s="8" t="n"/>
      <c r="B744" s="14" t="n"/>
      <c r="C744" s="125" t="n"/>
      <c r="D744" s="125" t="n"/>
      <c r="E744" s="125" t="n"/>
      <c r="F744" s="125" t="n"/>
      <c r="G744" s="125" t="n"/>
      <c r="I744" s="129" t="n"/>
      <c r="J744" s="134" t="n"/>
      <c r="K744" s="16" t="n"/>
      <c r="L744" s="17" t="n"/>
      <c r="M744" s="133">
        <f>DADOS_INVOC!$QP$50</f>
        <v/>
      </c>
      <c r="N744" s="125" t="n"/>
      <c r="O744" s="125" t="n"/>
      <c r="P744" s="125" t="n"/>
      <c r="Q744" s="125" t="n"/>
      <c r="R744" s="125" t="n"/>
      <c r="S744" s="125" t="n"/>
      <c r="T744" s="125" t="n"/>
      <c r="U744" s="125" t="n"/>
      <c r="V744" s="125" t="n"/>
      <c r="W744" s="125" t="n"/>
      <c r="X744" s="125" t="n"/>
      <c r="Y744" s="125" t="n"/>
      <c r="Z744" s="125" t="n"/>
      <c r="AB744" s="129" t="n"/>
      <c r="AC744" s="134" t="n"/>
      <c r="AD744" s="16" t="n"/>
      <c r="AE744" s="17" t="n"/>
      <c r="AF744" s="133">
        <f>DADOS_INVOC!$QP$128</f>
        <v/>
      </c>
      <c r="AG744" s="125" t="n"/>
      <c r="AH744" s="125" t="n"/>
      <c r="AI744" s="125" t="n"/>
      <c r="AJ744" s="125" t="n"/>
      <c r="AK744" s="125" t="n"/>
      <c r="AL744" s="125" t="n"/>
      <c r="AM744" s="125" t="n"/>
      <c r="AN744" s="125" t="n"/>
      <c r="AO744" s="125" t="n"/>
      <c r="AP744" s="125" t="n"/>
      <c r="AQ744" s="125" t="n"/>
      <c r="AR744" s="125" t="n"/>
      <c r="AS744" s="125" t="n"/>
    </row>
    <row r="745" hidden="1" outlineLevel="3">
      <c r="A745" s="8" t="n"/>
      <c r="B745" s="14" t="n"/>
      <c r="C745" s="125" t="n"/>
      <c r="D745" s="125" t="n"/>
      <c r="E745" s="125" t="n"/>
      <c r="F745" s="125" t="n"/>
      <c r="G745" s="125" t="n"/>
      <c r="I745" s="55" t="inlineStr">
        <is>
          <t>CONTA</t>
        </is>
      </c>
      <c r="J745" s="136">
        <f>DADOS_INVOC!$QI$50</f>
        <v/>
      </c>
      <c r="K745" s="16" t="n"/>
      <c r="L745" s="16" t="n"/>
      <c r="M745" s="17" t="n"/>
      <c r="N745" s="125" t="n"/>
      <c r="O745" s="125" t="n"/>
      <c r="P745" s="125" t="n"/>
      <c r="Q745" s="125" t="n"/>
      <c r="R745" s="125" t="n"/>
      <c r="S745" s="125" t="n"/>
      <c r="T745" s="125" t="n"/>
      <c r="U745" s="125" t="n"/>
      <c r="V745" s="125" t="n"/>
      <c r="W745" s="125" t="n"/>
      <c r="X745" s="125" t="n"/>
      <c r="Y745" s="125" t="n"/>
      <c r="Z745" s="125" t="n"/>
      <c r="AB745" s="55" t="inlineStr">
        <is>
          <t>CONTA</t>
        </is>
      </c>
      <c r="AC745" s="136">
        <f>DADOS_INVOC!$QI$128</f>
        <v/>
      </c>
      <c r="AD745" s="16" t="n"/>
      <c r="AE745" s="16" t="n"/>
      <c r="AF745" s="17" t="n"/>
      <c r="AG745" s="125" t="n"/>
      <c r="AH745" s="125" t="n"/>
      <c r="AI745" s="125" t="n"/>
      <c r="AJ745" s="125" t="n"/>
      <c r="AK745" s="125" t="n"/>
      <c r="AL745" s="125" t="n"/>
      <c r="AM745" s="125" t="n"/>
      <c r="AN745" s="125" t="n"/>
      <c r="AO745" s="125" t="n"/>
      <c r="AP745" s="125" t="n"/>
      <c r="AQ745" s="125" t="n"/>
      <c r="AR745" s="125" t="n"/>
      <c r="AS745" s="125" t="n"/>
    </row>
    <row r="746" hidden="1" outlineLevel="3">
      <c r="A746" s="8" t="n"/>
      <c r="B746" s="14" t="n"/>
      <c r="C746" s="125" t="n"/>
      <c r="D746" s="125" t="n"/>
      <c r="E746" s="125" t="n"/>
      <c r="F746" s="125" t="n"/>
      <c r="G746" s="125" t="n"/>
      <c r="I746" s="55" t="inlineStr">
        <is>
          <t>AMPLIAR</t>
        </is>
      </c>
      <c r="J746" s="136">
        <f>DADOS_INVOC!$QJ$50</f>
        <v/>
      </c>
      <c r="K746" s="19" t="n"/>
      <c r="L746" s="19" t="n"/>
      <c r="M746" s="20" t="n"/>
      <c r="N746" s="125" t="n"/>
      <c r="O746" s="125" t="n"/>
      <c r="P746" s="125" t="n"/>
      <c r="Q746" s="125" t="n"/>
      <c r="R746" s="125" t="n"/>
      <c r="S746" s="125" t="n"/>
      <c r="T746" s="125" t="n"/>
      <c r="U746" s="125" t="n"/>
      <c r="V746" s="125" t="n"/>
      <c r="W746" s="125" t="n"/>
      <c r="X746" s="125" t="n"/>
      <c r="Y746" s="125" t="n"/>
      <c r="Z746" s="125" t="n"/>
      <c r="AB746" s="55" t="inlineStr">
        <is>
          <t>AMPLIAR</t>
        </is>
      </c>
      <c r="AC746" s="136">
        <f>DADOS_INVOC!$QJ$128</f>
        <v/>
      </c>
      <c r="AD746" s="19" t="n"/>
      <c r="AE746" s="19" t="n"/>
      <c r="AF746" s="20" t="n"/>
      <c r="AG746" s="125" t="n"/>
      <c r="AH746" s="125" t="n"/>
      <c r="AI746" s="125" t="n"/>
      <c r="AJ746" s="125" t="n"/>
      <c r="AK746" s="125" t="n"/>
      <c r="AL746" s="125" t="n"/>
      <c r="AM746" s="125" t="n"/>
      <c r="AN746" s="125" t="n"/>
      <c r="AO746" s="125" t="n"/>
      <c r="AP746" s="125" t="n"/>
      <c r="AQ746" s="125" t="n"/>
      <c r="AR746" s="125" t="n"/>
      <c r="AS746" s="125" t="n"/>
    </row>
    <row r="747" hidden="1" outlineLevel="3">
      <c r="A747" s="8" t="n"/>
      <c r="B747" s="14" t="n"/>
      <c r="C747" s="125" t="n"/>
      <c r="D747" s="125" t="n"/>
      <c r="E747" s="125" t="n"/>
      <c r="F747" s="125" t="n"/>
      <c r="G747" s="125" t="n"/>
      <c r="I747" s="129" t="n"/>
      <c r="J747" s="23" t="n"/>
      <c r="K747" s="24" t="n"/>
      <c r="L747" s="24" t="n"/>
      <c r="M747" s="25" t="n"/>
      <c r="N747" s="125" t="n"/>
      <c r="O747" s="125" t="n"/>
      <c r="P747" s="125" t="n"/>
      <c r="Q747" s="125" t="n"/>
      <c r="R747" s="125" t="n"/>
      <c r="S747" s="125" t="n"/>
      <c r="T747" s="125" t="n"/>
      <c r="U747" s="125" t="n"/>
      <c r="V747" s="125" t="n"/>
      <c r="W747" s="125" t="n"/>
      <c r="X747" s="125" t="n"/>
      <c r="Y747" s="125" t="n"/>
      <c r="Z747" s="125" t="n"/>
      <c r="AB747" s="129" t="n"/>
      <c r="AC747" s="23" t="n"/>
      <c r="AD747" s="24" t="n"/>
      <c r="AE747" s="24" t="n"/>
      <c r="AF747" s="25" t="n"/>
      <c r="AG747" s="125" t="n"/>
      <c r="AH747" s="125" t="n"/>
      <c r="AI747" s="125" t="n"/>
      <c r="AJ747" s="125" t="n"/>
      <c r="AK747" s="125" t="n"/>
      <c r="AL747" s="125" t="n"/>
      <c r="AM747" s="125" t="n"/>
      <c r="AN747" s="125" t="n"/>
      <c r="AO747" s="125" t="n"/>
      <c r="AP747" s="125" t="n"/>
      <c r="AQ747" s="125" t="n"/>
      <c r="AR747" s="125" t="n"/>
      <c r="AS747" s="125" t="n"/>
    </row>
    <row r="748" hidden="1" outlineLevel="3">
      <c r="A748" s="8" t="n"/>
      <c r="B748" s="14" t="n"/>
      <c r="C748" s="125" t="n"/>
      <c r="D748" s="125" t="n"/>
      <c r="E748" s="125" t="n"/>
      <c r="F748" s="125" t="n"/>
      <c r="G748" s="125" t="n"/>
      <c r="I748" s="136">
        <f>DADOS_INVOC!$PW$50</f>
        <v/>
      </c>
      <c r="J748" s="19" t="n"/>
      <c r="K748" s="19" t="n"/>
      <c r="L748" s="19" t="n"/>
      <c r="M748" s="20" t="n"/>
      <c r="N748" s="125" t="n"/>
      <c r="O748" s="125" t="n"/>
      <c r="P748" s="125" t="n"/>
      <c r="Q748" s="125" t="n"/>
      <c r="R748" s="125" t="n"/>
      <c r="S748" s="125" t="n"/>
      <c r="T748" s="125" t="n"/>
      <c r="U748" s="125" t="n"/>
      <c r="V748" s="125" t="n"/>
      <c r="W748" s="125" t="n"/>
      <c r="X748" s="125" t="n"/>
      <c r="Y748" s="125" t="n"/>
      <c r="Z748" s="125" t="n"/>
      <c r="AB748" s="136">
        <f>DADOS_INVOC!$PW$128</f>
        <v/>
      </c>
      <c r="AC748" s="19" t="n"/>
      <c r="AD748" s="19" t="n"/>
      <c r="AE748" s="19" t="n"/>
      <c r="AF748" s="20" t="n"/>
      <c r="AG748" s="125" t="n"/>
      <c r="AH748" s="125" t="n"/>
      <c r="AI748" s="125" t="n"/>
      <c r="AJ748" s="125" t="n"/>
      <c r="AK748" s="125" t="n"/>
      <c r="AL748" s="125" t="n"/>
      <c r="AM748" s="125" t="n"/>
      <c r="AN748" s="125" t="n"/>
      <c r="AO748" s="125" t="n"/>
      <c r="AP748" s="125" t="n"/>
      <c r="AQ748" s="125" t="n"/>
      <c r="AR748" s="125" t="n"/>
      <c r="AS748" s="125" t="n"/>
    </row>
    <row r="749" hidden="1" outlineLevel="3">
      <c r="A749" s="8" t="n"/>
      <c r="B749" s="14" t="n"/>
      <c r="C749" s="125" t="n"/>
      <c r="D749" s="125" t="n"/>
      <c r="E749" s="125" t="n"/>
      <c r="F749" s="125" t="n"/>
      <c r="G749" s="125" t="n"/>
      <c r="I749" s="23" t="n"/>
      <c r="J749" s="24" t="n"/>
      <c r="K749" s="24" t="n"/>
      <c r="L749" s="24" t="n"/>
      <c r="M749" s="25" t="n"/>
      <c r="N749" s="125" t="n"/>
      <c r="O749" s="125" t="n"/>
      <c r="P749" s="125" t="n"/>
      <c r="Q749" s="125" t="n"/>
      <c r="R749" s="125" t="n"/>
      <c r="S749" s="125" t="n"/>
      <c r="T749" s="125" t="n"/>
      <c r="U749" s="125" t="n"/>
      <c r="V749" s="125" t="n"/>
      <c r="W749" s="125" t="n"/>
      <c r="X749" s="125" t="n"/>
      <c r="Y749" s="125" t="n"/>
      <c r="Z749" s="125" t="n"/>
      <c r="AB749" s="23" t="n"/>
      <c r="AC749" s="24" t="n"/>
      <c r="AD749" s="24" t="n"/>
      <c r="AE749" s="24" t="n"/>
      <c r="AF749" s="25" t="n"/>
      <c r="AG749" s="125" t="n"/>
      <c r="AH749" s="125" t="n"/>
      <c r="AI749" s="125" t="n"/>
      <c r="AJ749" s="125" t="n"/>
      <c r="AK749" s="125" t="n"/>
      <c r="AL749" s="125" t="n"/>
      <c r="AM749" s="125" t="n"/>
      <c r="AN749" s="125" t="n"/>
      <c r="AO749" s="125" t="n"/>
      <c r="AP749" s="125" t="n"/>
      <c r="AQ749" s="125" t="n"/>
      <c r="AR749" s="125" t="n"/>
      <c r="AS749" s="125" t="n"/>
    </row>
    <row r="750" hidden="1" outlineLevel="1">
      <c r="A750" s="8" t="n"/>
      <c r="B750" s="14" t="n"/>
      <c r="C750" s="125" t="n"/>
      <c r="D750" s="125" t="n"/>
      <c r="E750" s="125" t="n"/>
      <c r="F750" s="125" t="n"/>
      <c r="G750" s="125" t="n"/>
      <c r="I750" s="125" t="n"/>
      <c r="J750" s="125" t="n"/>
      <c r="K750" s="125" t="n"/>
      <c r="L750" s="125" t="n"/>
      <c r="M750" s="125" t="n"/>
      <c r="N750" s="125" t="n"/>
      <c r="O750" s="125" t="n"/>
      <c r="P750" s="125" t="n"/>
      <c r="Q750" s="125" t="n"/>
      <c r="R750" s="125" t="n"/>
      <c r="S750" s="125" t="n"/>
      <c r="T750" s="125" t="n"/>
      <c r="U750" s="125" t="n"/>
      <c r="V750" s="125" t="n"/>
      <c r="W750" s="125" t="n"/>
      <c r="X750" s="125" t="n"/>
      <c r="Y750" s="125" t="n"/>
      <c r="Z750" s="125" t="n"/>
      <c r="AB750" s="125" t="n"/>
      <c r="AC750" s="125" t="n"/>
      <c r="AD750" s="125" t="n"/>
      <c r="AE750" s="125" t="n"/>
      <c r="AF750" s="125" t="n"/>
      <c r="AG750" s="125" t="n"/>
      <c r="AH750" s="125" t="n"/>
      <c r="AI750" s="125" t="n"/>
      <c r="AJ750" s="125" t="n"/>
      <c r="AK750" s="125" t="n"/>
      <c r="AL750" s="125" t="n"/>
      <c r="AM750" s="125" t="n"/>
      <c r="AN750" s="125" t="n"/>
      <c r="AO750" s="125" t="n"/>
      <c r="AP750" s="125" t="n"/>
      <c r="AQ750" s="125" t="n"/>
      <c r="AR750" s="125" t="n"/>
      <c r="AS750" s="125" t="n"/>
    </row>
    <row r="751" hidden="1" outlineLevel="1">
      <c r="A751" s="8" t="n"/>
      <c r="B751" s="14" t="n"/>
      <c r="C751" s="125" t="n"/>
      <c r="D751" s="125" t="n"/>
      <c r="E751" s="125" t="n"/>
      <c r="F751" s="125" t="n"/>
      <c r="G751" s="125" t="n"/>
      <c r="I751" s="137"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5" t="n"/>
      <c r="AB751" s="137"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5" t="n"/>
    </row>
    <row r="752" hidden="1" outlineLevel="2">
      <c r="A752" s="8" t="n"/>
      <c r="B752" s="14" t="n"/>
      <c r="C752" s="125" t="n"/>
      <c r="D752" s="125" t="n"/>
      <c r="E752" s="125" t="n"/>
      <c r="F752" s="125" t="n"/>
      <c r="G752" s="125" t="n"/>
      <c r="I752" s="125" t="n"/>
      <c r="J752" s="125" t="n"/>
      <c r="K752" s="125" t="n"/>
      <c r="L752" s="125" t="n"/>
      <c r="M752" s="125" t="n"/>
      <c r="N752" s="125" t="n"/>
      <c r="O752" s="125" t="n"/>
      <c r="P752" s="125" t="n"/>
      <c r="Q752" s="125" t="n"/>
      <c r="R752" s="125" t="n"/>
      <c r="S752" s="125" t="n"/>
      <c r="T752" s="125" t="n"/>
      <c r="U752" s="125" t="n"/>
      <c r="V752" s="125" t="n"/>
      <c r="W752" s="125" t="n"/>
      <c r="X752" s="125" t="n"/>
      <c r="Y752" s="125" t="n"/>
      <c r="Z752" s="125" t="n"/>
      <c r="AB752" s="125" t="n"/>
      <c r="AC752" s="125" t="n"/>
      <c r="AD752" s="125" t="n"/>
      <c r="AE752" s="125" t="n"/>
      <c r="AF752" s="125" t="n"/>
      <c r="AG752" s="125" t="n"/>
      <c r="AH752" s="125" t="n"/>
      <c r="AI752" s="125" t="n"/>
      <c r="AJ752" s="125" t="n"/>
      <c r="AK752" s="125" t="n"/>
      <c r="AL752" s="125" t="n"/>
      <c r="AM752" s="125" t="n"/>
      <c r="AN752" s="125" t="n"/>
      <c r="AO752" s="125" t="n"/>
      <c r="AP752" s="125" t="n"/>
      <c r="AQ752" s="125" t="n"/>
      <c r="AR752" s="125" t="n"/>
      <c r="AS752" s="125" t="n"/>
    </row>
    <row r="753" hidden="1" outlineLevel="2">
      <c r="A753" s="8" t="n"/>
      <c r="B753" s="14" t="n"/>
      <c r="C753" s="125" t="n"/>
      <c r="D753" s="125" t="n"/>
      <c r="E753" s="125" t="n"/>
      <c r="F753" s="125" t="n"/>
      <c r="G753" s="125" t="n"/>
      <c r="I753" s="55">
        <f>DADOS_INVOC!$PX$51</f>
        <v/>
      </c>
      <c r="J753" s="16" t="n"/>
      <c r="K753" s="16" t="n"/>
      <c r="L753" s="16" t="n"/>
      <c r="M753" s="17" t="n"/>
      <c r="N753" s="125" t="n"/>
      <c r="O753" s="55">
        <f>DADOS_INVOC!$PX$52</f>
        <v/>
      </c>
      <c r="P753" s="16" t="n"/>
      <c r="Q753" s="16" t="n"/>
      <c r="R753" s="16" t="n"/>
      <c r="S753" s="17" t="n"/>
      <c r="T753" s="125" t="n"/>
      <c r="U753" s="55">
        <f>DADOS_INVOC!$PX$53</f>
        <v/>
      </c>
      <c r="V753" s="16" t="n"/>
      <c r="W753" s="16" t="n"/>
      <c r="X753" s="16" t="n"/>
      <c r="Y753" s="17" t="n"/>
      <c r="Z753" s="125" t="n"/>
      <c r="AB753" s="55">
        <f>DADOS_INVOC!$PX$129</f>
        <v/>
      </c>
      <c r="AC753" s="16" t="n"/>
      <c r="AD753" s="16" t="n"/>
      <c r="AE753" s="16" t="n"/>
      <c r="AF753" s="17" t="n"/>
      <c r="AG753" s="125" t="n"/>
      <c r="AH753" s="55">
        <f>DADOS_INVOC!$PX$130</f>
        <v/>
      </c>
      <c r="AI753" s="16" t="n"/>
      <c r="AJ753" s="16" t="n"/>
      <c r="AK753" s="16" t="n"/>
      <c r="AL753" s="17" t="n"/>
      <c r="AM753" s="125" t="n"/>
      <c r="AN753" s="55">
        <f>DADOS_INVOC!$PX$131</f>
        <v/>
      </c>
      <c r="AO753" s="16" t="n"/>
      <c r="AP753" s="16" t="n"/>
      <c r="AQ753" s="16" t="n"/>
      <c r="AR753" s="17" t="n"/>
      <c r="AS753" s="125" t="n"/>
    </row>
    <row r="754" hidden="1" outlineLevel="2">
      <c r="A754" s="8" t="n"/>
      <c r="B754" s="14" t="n"/>
      <c r="C754" s="125" t="n"/>
      <c r="D754" s="125" t="n"/>
      <c r="E754" s="125" t="n"/>
      <c r="F754" s="125" t="n"/>
      <c r="G754" s="125" t="n"/>
      <c r="I754" s="131" t="n">
        <v>1</v>
      </c>
      <c r="J754" s="120" t="n"/>
      <c r="K754" s="16" t="n"/>
      <c r="L754" s="17" t="n"/>
      <c r="M754" s="132">
        <f>DADOS_INVOC!$PV$51</f>
        <v/>
      </c>
      <c r="N754" s="125" t="n"/>
      <c r="O754" s="131" t="n">
        <v>1</v>
      </c>
      <c r="P754" s="120" t="n"/>
      <c r="Q754" s="16" t="n"/>
      <c r="R754" s="17" t="n"/>
      <c r="S754" s="132">
        <f>DADOS_INVOC!$PV$52</f>
        <v/>
      </c>
      <c r="T754" s="125" t="n"/>
      <c r="U754" s="131" t="n">
        <v>1</v>
      </c>
      <c r="V754" s="120" t="n"/>
      <c r="W754" s="16" t="n"/>
      <c r="X754" s="17" t="n"/>
      <c r="Y754" s="132">
        <f>DADOS_INVOC!$PV$53</f>
        <v/>
      </c>
      <c r="Z754" s="125" t="n"/>
      <c r="AB754" s="131" t="n">
        <v>1</v>
      </c>
      <c r="AC754" s="120" t="n"/>
      <c r="AD754" s="16" t="n"/>
      <c r="AE754" s="17" t="n"/>
      <c r="AF754" s="132">
        <f>DADOS_INVOC!$PV$129</f>
        <v/>
      </c>
      <c r="AG754" s="125" t="n"/>
      <c r="AH754" s="131" t="n">
        <v>1</v>
      </c>
      <c r="AI754" s="120" t="n"/>
      <c r="AJ754" s="16" t="n"/>
      <c r="AK754" s="17" t="n"/>
      <c r="AL754" s="132">
        <f>DADOS_INVOC!$PV$130</f>
        <v/>
      </c>
      <c r="AM754" s="125" t="n"/>
      <c r="AN754" s="131" t="n">
        <v>1</v>
      </c>
      <c r="AO754" s="120" t="n"/>
      <c r="AP754" s="16" t="n"/>
      <c r="AQ754" s="17" t="n"/>
      <c r="AR754" s="132">
        <f>DADOS_INVOC!$PV$131</f>
        <v/>
      </c>
      <c r="AS754" s="125" t="n"/>
    </row>
    <row r="755" hidden="1" outlineLevel="3">
      <c r="A755" s="8" t="n"/>
      <c r="B755" s="14" t="n"/>
      <c r="C755" s="125" t="n"/>
      <c r="D755" s="125" t="n"/>
      <c r="E755" s="125" t="n"/>
      <c r="F755" s="125" t="n"/>
      <c r="G755" s="125" t="n"/>
      <c r="I755" s="55" t="inlineStr">
        <is>
          <t>COMO É</t>
        </is>
      </c>
      <c r="J755" s="16" t="n"/>
      <c r="K755" s="16" t="n"/>
      <c r="L755" s="16" t="n"/>
      <c r="M755" s="17" t="n"/>
      <c r="N755" s="125" t="n"/>
      <c r="O755" s="55" t="inlineStr">
        <is>
          <t>COMO É</t>
        </is>
      </c>
      <c r="P755" s="16" t="n"/>
      <c r="Q755" s="16" t="n"/>
      <c r="R755" s="16" t="n"/>
      <c r="S755" s="17" t="n"/>
      <c r="T755" s="125" t="n"/>
      <c r="U755" s="55" t="inlineStr">
        <is>
          <t>COMO É</t>
        </is>
      </c>
      <c r="V755" s="16" t="n"/>
      <c r="W755" s="16" t="n"/>
      <c r="X755" s="16" t="n"/>
      <c r="Y755" s="17" t="n"/>
      <c r="Z755" s="125" t="n"/>
      <c r="AB755" s="55" t="inlineStr">
        <is>
          <t>COMO É</t>
        </is>
      </c>
      <c r="AC755" s="16" t="n"/>
      <c r="AD755" s="16" t="n"/>
      <c r="AE755" s="16" t="n"/>
      <c r="AF755" s="17" t="n"/>
      <c r="AG755" s="125" t="n"/>
      <c r="AH755" s="55" t="inlineStr">
        <is>
          <t>COMO É</t>
        </is>
      </c>
      <c r="AI755" s="16" t="n"/>
      <c r="AJ755" s="16" t="n"/>
      <c r="AK755" s="16" t="n"/>
      <c r="AL755" s="17" t="n"/>
      <c r="AM755" s="125" t="n"/>
      <c r="AN755" s="55" t="inlineStr">
        <is>
          <t>COMO É</t>
        </is>
      </c>
      <c r="AO755" s="16" t="n"/>
      <c r="AP755" s="16" t="n"/>
      <c r="AQ755" s="16" t="n"/>
      <c r="AR755" s="17" t="n"/>
      <c r="AS755" s="125" t="n"/>
    </row>
    <row r="756" hidden="1" outlineLevel="3">
      <c r="A756" s="8" t="n"/>
      <c r="B756" s="14" t="n"/>
      <c r="C756" s="125" t="n"/>
      <c r="D756" s="125" t="n"/>
      <c r="E756" s="125" t="n"/>
      <c r="F756" s="125" t="n"/>
      <c r="G756" s="125" t="n"/>
      <c r="I756" s="121" t="n"/>
      <c r="J756" s="19" t="n"/>
      <c r="K756" s="19" t="n"/>
      <c r="L756" s="19" t="n"/>
      <c r="M756" s="20" t="n"/>
      <c r="N756" s="125" t="n"/>
      <c r="O756" s="121" t="n"/>
      <c r="P756" s="19" t="n"/>
      <c r="Q756" s="19" t="n"/>
      <c r="R756" s="19" t="n"/>
      <c r="S756" s="20" t="n"/>
      <c r="T756" s="125" t="n"/>
      <c r="U756" s="121" t="n"/>
      <c r="V756" s="19" t="n"/>
      <c r="W756" s="19" t="n"/>
      <c r="X756" s="19" t="n"/>
      <c r="Y756" s="20" t="n"/>
      <c r="Z756" s="125" t="n"/>
      <c r="AB756" s="121" t="n"/>
      <c r="AC756" s="19" t="n"/>
      <c r="AD756" s="19" t="n"/>
      <c r="AE756" s="19" t="n"/>
      <c r="AF756" s="20" t="n"/>
      <c r="AG756" s="125" t="n"/>
      <c r="AH756" s="121" t="n"/>
      <c r="AI756" s="19" t="n"/>
      <c r="AJ756" s="19" t="n"/>
      <c r="AK756" s="19" t="n"/>
      <c r="AL756" s="20" t="n"/>
      <c r="AM756" s="125" t="n"/>
      <c r="AN756" s="121" t="n"/>
      <c r="AO756" s="19" t="n"/>
      <c r="AP756" s="19" t="n"/>
      <c r="AQ756" s="19" t="n"/>
      <c r="AR756" s="20" t="n"/>
      <c r="AS756" s="125" t="n"/>
    </row>
    <row r="757" hidden="1" outlineLevel="3">
      <c r="A757" s="8" t="n"/>
      <c r="B757" s="14" t="n"/>
      <c r="C757" s="125" t="n"/>
      <c r="D757" s="125" t="n"/>
      <c r="E757" s="125" t="n"/>
      <c r="F757" s="125" t="n"/>
      <c r="G757" s="125" t="n"/>
      <c r="I757" s="21" t="n"/>
      <c r="M757" s="22" t="n"/>
      <c r="N757" s="125" t="n"/>
      <c r="O757" s="21" t="n"/>
      <c r="S757" s="22" t="n"/>
      <c r="T757" s="125" t="n"/>
      <c r="U757" s="21" t="n"/>
      <c r="Y757" s="22" t="n"/>
      <c r="Z757" s="125" t="n"/>
      <c r="AB757" s="21" t="n"/>
      <c r="AF757" s="22" t="n"/>
      <c r="AG757" s="125" t="n"/>
      <c r="AH757" s="21" t="n"/>
      <c r="AL757" s="22" t="n"/>
      <c r="AM757" s="125" t="n"/>
      <c r="AN757" s="21" t="n"/>
      <c r="AR757" s="22" t="n"/>
      <c r="AS757" s="125" t="n"/>
    </row>
    <row r="758" hidden="1" outlineLevel="3">
      <c r="A758" s="8" t="n"/>
      <c r="B758" s="14" t="n"/>
      <c r="C758" s="125" t="n"/>
      <c r="D758" s="125" t="n"/>
      <c r="E758" s="125" t="n"/>
      <c r="F758" s="125" t="n"/>
      <c r="G758" s="125" t="n"/>
      <c r="I758" s="23" t="n"/>
      <c r="J758" s="24" t="n"/>
      <c r="K758" s="24" t="n"/>
      <c r="L758" s="24" t="n"/>
      <c r="M758" s="25" t="n"/>
      <c r="N758" s="125" t="n"/>
      <c r="O758" s="23" t="n"/>
      <c r="P758" s="24" t="n"/>
      <c r="Q758" s="24" t="n"/>
      <c r="R758" s="24" t="n"/>
      <c r="S758" s="25" t="n"/>
      <c r="T758" s="125" t="n"/>
      <c r="U758" s="23" t="n"/>
      <c r="V758" s="24" t="n"/>
      <c r="W758" s="24" t="n"/>
      <c r="X758" s="24" t="n"/>
      <c r="Y758" s="25" t="n"/>
      <c r="Z758" s="125" t="n"/>
      <c r="AB758" s="23" t="n"/>
      <c r="AC758" s="24" t="n"/>
      <c r="AD758" s="24" t="n"/>
      <c r="AE758" s="24" t="n"/>
      <c r="AF758" s="25" t="n"/>
      <c r="AG758" s="125" t="n"/>
      <c r="AH758" s="23" t="n"/>
      <c r="AI758" s="24" t="n"/>
      <c r="AJ758" s="24" t="n"/>
      <c r="AK758" s="24" t="n"/>
      <c r="AL758" s="25" t="n"/>
      <c r="AM758" s="125" t="n"/>
      <c r="AN758" s="23" t="n"/>
      <c r="AO758" s="24" t="n"/>
      <c r="AP758" s="24" t="n"/>
      <c r="AQ758" s="24" t="n"/>
      <c r="AR758" s="25" t="n"/>
      <c r="AS758" s="125" t="n"/>
    </row>
    <row r="759" hidden="1" outlineLevel="2">
      <c r="A759" s="8" t="n"/>
      <c r="B759" s="14" t="n"/>
      <c r="C759" s="125" t="n"/>
      <c r="D759" s="125" t="n"/>
      <c r="E759" s="125" t="n"/>
      <c r="F759" s="125" t="n"/>
      <c r="G759" s="125" t="n"/>
      <c r="I759" s="89" t="inlineStr">
        <is>
          <t>Projétil</t>
        </is>
      </c>
      <c r="J759" s="17" t="n"/>
      <c r="K759" s="68">
        <f>DADOS_INVOC!$QC$51</f>
        <v/>
      </c>
      <c r="L759" s="17" t="n"/>
      <c r="M759" s="68">
        <f>DADOS_INVOC!$PY$51</f>
        <v/>
      </c>
      <c r="N759" s="125" t="n"/>
      <c r="O759" s="89" t="inlineStr">
        <is>
          <t>Projétil</t>
        </is>
      </c>
      <c r="P759" s="17" t="n"/>
      <c r="Q759" s="68">
        <f>DADOS_INVOC!$QC$52</f>
        <v/>
      </c>
      <c r="R759" s="17" t="n"/>
      <c r="S759" s="68">
        <f>DADOS_INVOC!$PY$52</f>
        <v/>
      </c>
      <c r="T759" s="125" t="n"/>
      <c r="U759" s="89" t="inlineStr">
        <is>
          <t>Projétil</t>
        </is>
      </c>
      <c r="V759" s="17" t="n"/>
      <c r="W759" s="68">
        <f>DADOS_INVOC!$QC$53</f>
        <v/>
      </c>
      <c r="X759" s="17" t="n"/>
      <c r="Y759" s="68">
        <f>DADOS_INVOC!$PY$53</f>
        <v/>
      </c>
      <c r="Z759" s="125" t="n"/>
      <c r="AB759" s="89" t="inlineStr">
        <is>
          <t>Projétil</t>
        </is>
      </c>
      <c r="AC759" s="17" t="n"/>
      <c r="AD759" s="68">
        <f>DADOS_INVOC!$QC$129</f>
        <v/>
      </c>
      <c r="AE759" s="17" t="n"/>
      <c r="AF759" s="68">
        <f>DADOS_INVOC!$PY$129</f>
        <v/>
      </c>
      <c r="AG759" s="125" t="n"/>
      <c r="AH759" s="89" t="inlineStr">
        <is>
          <t>Projétil</t>
        </is>
      </c>
      <c r="AI759" s="17" t="n"/>
      <c r="AJ759" s="68">
        <f>DADOS_INVOC!$QC$130</f>
        <v/>
      </c>
      <c r="AK759" s="17" t="n"/>
      <c r="AL759" s="68">
        <f>DADOS_INVOC!$PY$130</f>
        <v/>
      </c>
      <c r="AM759" s="125" t="n"/>
      <c r="AN759" s="89" t="inlineStr">
        <is>
          <t>Projétil</t>
        </is>
      </c>
      <c r="AO759" s="17" t="n"/>
      <c r="AP759" s="68">
        <f>DADOS_INVOC!$QC$131</f>
        <v/>
      </c>
      <c r="AQ759" s="17" t="n"/>
      <c r="AR759" s="68">
        <f>DADOS_INVOC!$PY$131</f>
        <v/>
      </c>
      <c r="AS759" s="125" t="n"/>
    </row>
    <row r="760" hidden="1" outlineLevel="2">
      <c r="A760" s="8" t="n"/>
      <c r="B760" s="14" t="n"/>
      <c r="C760" s="125" t="n"/>
      <c r="D760" s="125" t="n"/>
      <c r="E760" s="125" t="n"/>
      <c r="F760" s="125" t="n"/>
      <c r="G760" s="125" t="n"/>
      <c r="I760" s="89" t="n"/>
      <c r="J760" s="17" t="n"/>
      <c r="K760" s="89" t="n"/>
      <c r="L760" s="16" t="n"/>
      <c r="M760" s="17" t="n"/>
      <c r="N760" s="125" t="n"/>
      <c r="O760" s="89" t="n"/>
      <c r="P760" s="17" t="n"/>
      <c r="Q760" s="89" t="n"/>
      <c r="R760" s="16" t="n"/>
      <c r="S760" s="17" t="n"/>
      <c r="T760" s="125" t="n"/>
      <c r="U760" s="89" t="n"/>
      <c r="V760" s="17" t="n"/>
      <c r="W760" s="89" t="n"/>
      <c r="X760" s="16" t="n"/>
      <c r="Y760" s="17" t="n"/>
      <c r="Z760" s="125" t="n"/>
      <c r="AB760" s="89" t="n"/>
      <c r="AC760" s="17" t="n"/>
      <c r="AD760" s="89" t="n"/>
      <c r="AE760" s="16" t="n"/>
      <c r="AF760" s="17" t="n"/>
      <c r="AG760" s="125" t="n"/>
      <c r="AH760" s="89" t="n"/>
      <c r="AI760" s="17" t="n"/>
      <c r="AJ760" s="89" t="n"/>
      <c r="AK760" s="16" t="n"/>
      <c r="AL760" s="17" t="n"/>
      <c r="AM760" s="125" t="n"/>
      <c r="AN760" s="89" t="n"/>
      <c r="AO760" s="17" t="n"/>
      <c r="AP760" s="89" t="n"/>
      <c r="AQ760" s="16" t="n"/>
      <c r="AR760" s="17" t="n"/>
      <c r="AS760" s="125" t="n"/>
    </row>
    <row r="761" hidden="1" outlineLevel="2">
      <c r="A761" s="8" t="n"/>
      <c r="B761" s="14" t="n"/>
      <c r="C761" s="125" t="n"/>
      <c r="D761" s="125" t="n"/>
      <c r="E761" s="125" t="n"/>
      <c r="F761" s="125" t="n"/>
      <c r="G761" s="125" t="n"/>
      <c r="I761" s="89">
        <f>DADOS_INVOC!$PZ$51</f>
        <v/>
      </c>
      <c r="J761" s="17" t="n"/>
      <c r="K761" s="89">
        <f>DADOS_INVOC!$QB$51</f>
        <v/>
      </c>
      <c r="L761" s="16" t="n"/>
      <c r="M761" s="17" t="n"/>
      <c r="N761" s="125" t="n"/>
      <c r="O761" s="89">
        <f>DADOS_INVOC!$PZ$52</f>
        <v/>
      </c>
      <c r="P761" s="17" t="n"/>
      <c r="Q761" s="89">
        <f>DADOS_INVOC!$QB$52</f>
        <v/>
      </c>
      <c r="R761" s="16" t="n"/>
      <c r="S761" s="17" t="n"/>
      <c r="T761" s="125" t="n"/>
      <c r="U761" s="89">
        <f>DADOS_INVOC!$PZ$53</f>
        <v/>
      </c>
      <c r="V761" s="17" t="n"/>
      <c r="W761" s="89">
        <f>DADOS_INVOC!$QB$53</f>
        <v/>
      </c>
      <c r="X761" s="16" t="n"/>
      <c r="Y761" s="17" t="n"/>
      <c r="Z761" s="125" t="n"/>
      <c r="AB761" s="89">
        <f>DADOS_INVOC!$PZ$129</f>
        <v/>
      </c>
      <c r="AC761" s="17" t="n"/>
      <c r="AD761" s="89">
        <f>DADOS_INVOC!$QB$129</f>
        <v/>
      </c>
      <c r="AE761" s="16" t="n"/>
      <c r="AF761" s="17" t="n"/>
      <c r="AG761" s="125" t="n"/>
      <c r="AH761" s="89">
        <f>DADOS_INVOC!$PZ$130</f>
        <v/>
      </c>
      <c r="AI761" s="17" t="n"/>
      <c r="AJ761" s="89">
        <f>DADOS_INVOC!$QB$130</f>
        <v/>
      </c>
      <c r="AK761" s="16" t="n"/>
      <c r="AL761" s="17" t="n"/>
      <c r="AM761" s="125" t="n"/>
      <c r="AN761" s="89">
        <f>DADOS_INVOC!$PZ$131</f>
        <v/>
      </c>
      <c r="AO761" s="17" t="n"/>
      <c r="AP761" s="89">
        <f>DADOS_INVOC!$QB$131</f>
        <v/>
      </c>
      <c r="AQ761" s="16" t="n"/>
      <c r="AR761" s="17" t="n"/>
      <c r="AS761" s="125" t="n"/>
    </row>
    <row r="762" hidden="1" outlineLevel="2">
      <c r="A762" s="8" t="n"/>
      <c r="B762" s="14" t="n"/>
      <c r="C762" s="125" t="n"/>
      <c r="D762" s="125" t="n"/>
      <c r="E762" s="125" t="n"/>
      <c r="F762" s="125" t="n"/>
      <c r="G762" s="125" t="n"/>
      <c r="I762" s="133">
        <f>DADOS_INVOC!$QH$51</f>
        <v/>
      </c>
      <c r="J762" s="16" t="n"/>
      <c r="K762" s="16" t="n"/>
      <c r="L762" s="16" t="n"/>
      <c r="M762" s="17" t="n"/>
      <c r="N762" s="125" t="n"/>
      <c r="O762" s="133">
        <f>DADOS_INVOC!$QH$52</f>
        <v/>
      </c>
      <c r="P762" s="16" t="n"/>
      <c r="Q762" s="16" t="n"/>
      <c r="R762" s="16" t="n"/>
      <c r="S762" s="17" t="n"/>
      <c r="T762" s="125" t="n"/>
      <c r="U762" s="133">
        <f>DADOS_INVOC!$QH$53</f>
        <v/>
      </c>
      <c r="V762" s="16" t="n"/>
      <c r="W762" s="16" t="n"/>
      <c r="X762" s="16" t="n"/>
      <c r="Y762" s="17" t="n"/>
      <c r="Z762" s="125" t="n"/>
      <c r="AB762" s="133">
        <f>DADOS_INVOC!$QH$129</f>
        <v/>
      </c>
      <c r="AC762" s="16" t="n"/>
      <c r="AD762" s="16" t="n"/>
      <c r="AE762" s="16" t="n"/>
      <c r="AF762" s="17" t="n"/>
      <c r="AG762" s="125" t="n"/>
      <c r="AH762" s="133">
        <f>DADOS_INVOC!$QH$130</f>
        <v/>
      </c>
      <c r="AI762" s="16" t="n"/>
      <c r="AJ762" s="16" t="n"/>
      <c r="AK762" s="16" t="n"/>
      <c r="AL762" s="17" t="n"/>
      <c r="AM762" s="125" t="n"/>
      <c r="AN762" s="133">
        <f>DADOS_INVOC!$QH$131</f>
        <v/>
      </c>
      <c r="AO762" s="16" t="n"/>
      <c r="AP762" s="16" t="n"/>
      <c r="AQ762" s="16" t="n"/>
      <c r="AR762" s="17" t="n"/>
      <c r="AS762" s="125" t="n"/>
    </row>
    <row r="763" hidden="1" outlineLevel="3">
      <c r="A763" s="8" t="n"/>
      <c r="B763" s="14" t="n"/>
      <c r="C763" s="125" t="n"/>
      <c r="D763" s="125" t="n"/>
      <c r="E763" s="125" t="n"/>
      <c r="F763" s="125" t="n"/>
      <c r="G763" s="125" t="n"/>
      <c r="I763" s="55" t="inlineStr">
        <is>
          <t>MELHORIAS</t>
        </is>
      </c>
      <c r="J763" s="134" t="n"/>
      <c r="K763" s="16" t="n"/>
      <c r="L763" s="17" t="n"/>
      <c r="M763" s="133">
        <f>DADOS_INVOC!$QK$51</f>
        <v/>
      </c>
      <c r="N763" s="125" t="n"/>
      <c r="O763" s="55" t="inlineStr">
        <is>
          <t>MELHORIAS</t>
        </is>
      </c>
      <c r="P763" s="134" t="n"/>
      <c r="Q763" s="16" t="n"/>
      <c r="R763" s="17" t="n"/>
      <c r="S763" s="133">
        <f>DADOS_INVOC!$QK$52</f>
        <v/>
      </c>
      <c r="T763" s="125" t="n"/>
      <c r="U763" s="55" t="inlineStr">
        <is>
          <t>MELHORIAS</t>
        </is>
      </c>
      <c r="V763" s="134" t="n"/>
      <c r="W763" s="16" t="n"/>
      <c r="X763" s="17" t="n"/>
      <c r="Y763" s="133">
        <f>DADOS_INVOC!$QK$53</f>
        <v/>
      </c>
      <c r="Z763" s="125" t="n"/>
      <c r="AB763" s="55" t="inlineStr">
        <is>
          <t>MELHORIAS</t>
        </is>
      </c>
      <c r="AC763" s="134" t="n"/>
      <c r="AD763" s="16" t="n"/>
      <c r="AE763" s="17" t="n"/>
      <c r="AF763" s="133">
        <f>DADOS_INVOC!$QK$129</f>
        <v/>
      </c>
      <c r="AG763" s="125" t="n"/>
      <c r="AH763" s="55" t="inlineStr">
        <is>
          <t>MELHORIAS</t>
        </is>
      </c>
      <c r="AI763" s="134" t="n"/>
      <c r="AJ763" s="16" t="n"/>
      <c r="AK763" s="17" t="n"/>
      <c r="AL763" s="133">
        <f>DADOS_INVOC!$QK$130</f>
        <v/>
      </c>
      <c r="AM763" s="125" t="n"/>
      <c r="AN763" s="55" t="inlineStr">
        <is>
          <t>MELHORIAS</t>
        </is>
      </c>
      <c r="AO763" s="134" t="n"/>
      <c r="AP763" s="16" t="n"/>
      <c r="AQ763" s="17" t="n"/>
      <c r="AR763" s="133">
        <f>DADOS_INVOC!$QK$131</f>
        <v/>
      </c>
      <c r="AS763" s="125" t="n"/>
    </row>
    <row r="764" hidden="1" outlineLevel="3">
      <c r="A764" s="8" t="n"/>
      <c r="B764" s="14" t="n"/>
      <c r="C764" s="125" t="n"/>
      <c r="D764" s="125" t="n"/>
      <c r="E764" s="125" t="n"/>
      <c r="F764" s="125" t="n"/>
      <c r="G764" s="125" t="n"/>
      <c r="I764" s="135" t="n"/>
      <c r="J764" s="134" t="n"/>
      <c r="K764" s="16" t="n"/>
      <c r="L764" s="17" t="n"/>
      <c r="M764" s="133">
        <f>DADOS_INVOC!$QL$51</f>
        <v/>
      </c>
      <c r="N764" s="125" t="n"/>
      <c r="O764" s="135" t="n"/>
      <c r="P764" s="134" t="n"/>
      <c r="Q764" s="16" t="n"/>
      <c r="R764" s="17" t="n"/>
      <c r="S764" s="133">
        <f>DADOS_INVOC!$QL$52</f>
        <v/>
      </c>
      <c r="T764" s="125" t="n"/>
      <c r="U764" s="135" t="n"/>
      <c r="V764" s="134" t="n"/>
      <c r="W764" s="16" t="n"/>
      <c r="X764" s="17" t="n"/>
      <c r="Y764" s="133">
        <f>DADOS_INVOC!$QL$53</f>
        <v/>
      </c>
      <c r="Z764" s="125" t="n"/>
      <c r="AB764" s="135" t="n"/>
      <c r="AC764" s="134" t="n"/>
      <c r="AD764" s="16" t="n"/>
      <c r="AE764" s="17" t="n"/>
      <c r="AF764" s="133">
        <f>DADOS_INVOC!$QL$129</f>
        <v/>
      </c>
      <c r="AG764" s="125" t="n"/>
      <c r="AH764" s="135" t="n"/>
      <c r="AI764" s="134" t="n"/>
      <c r="AJ764" s="16" t="n"/>
      <c r="AK764" s="17" t="n"/>
      <c r="AL764" s="133">
        <f>DADOS_INVOC!$QL$130</f>
        <v/>
      </c>
      <c r="AM764" s="125" t="n"/>
      <c r="AN764" s="135" t="n"/>
      <c r="AO764" s="134" t="n"/>
      <c r="AP764" s="16" t="n"/>
      <c r="AQ764" s="17" t="n"/>
      <c r="AR764" s="133">
        <f>DADOS_INVOC!$QL$131</f>
        <v/>
      </c>
      <c r="AS764" s="125" t="n"/>
    </row>
    <row r="765" hidden="1" outlineLevel="3">
      <c r="A765" s="8" t="n"/>
      <c r="B765" s="14" t="n"/>
      <c r="C765" s="125" t="n"/>
      <c r="D765" s="125" t="n"/>
      <c r="E765" s="125" t="n"/>
      <c r="F765" s="125" t="n"/>
      <c r="G765" s="125" t="n"/>
      <c r="I765" s="135" t="n"/>
      <c r="J765" s="134" t="n"/>
      <c r="K765" s="16" t="n"/>
      <c r="L765" s="17" t="n"/>
      <c r="M765" s="133">
        <f>DADOS_INVOC!$QM$51</f>
        <v/>
      </c>
      <c r="N765" s="125" t="n"/>
      <c r="O765" s="135" t="n"/>
      <c r="P765" s="134" t="n"/>
      <c r="Q765" s="16" t="n"/>
      <c r="R765" s="17" t="n"/>
      <c r="S765" s="133">
        <f>DADOS_INVOC!$QM$52</f>
        <v/>
      </c>
      <c r="T765" s="125" t="n"/>
      <c r="U765" s="135" t="n"/>
      <c r="V765" s="134" t="n"/>
      <c r="W765" s="16" t="n"/>
      <c r="X765" s="17" t="n"/>
      <c r="Y765" s="133">
        <f>DADOS_INVOC!$QM$53</f>
        <v/>
      </c>
      <c r="Z765" s="125" t="n"/>
      <c r="AB765" s="135" t="n"/>
      <c r="AC765" s="134" t="n"/>
      <c r="AD765" s="16" t="n"/>
      <c r="AE765" s="17" t="n"/>
      <c r="AF765" s="133">
        <f>DADOS_INVOC!$QM$129</f>
        <v/>
      </c>
      <c r="AG765" s="125" t="n"/>
      <c r="AH765" s="135" t="n"/>
      <c r="AI765" s="134" t="n"/>
      <c r="AJ765" s="16" t="n"/>
      <c r="AK765" s="17" t="n"/>
      <c r="AL765" s="133">
        <f>DADOS_INVOC!$QM$130</f>
        <v/>
      </c>
      <c r="AM765" s="125" t="n"/>
      <c r="AN765" s="135" t="n"/>
      <c r="AO765" s="134" t="n"/>
      <c r="AP765" s="16" t="n"/>
      <c r="AQ765" s="17" t="n"/>
      <c r="AR765" s="133">
        <f>DADOS_INVOC!$QM$131</f>
        <v/>
      </c>
      <c r="AS765" s="125" t="n"/>
    </row>
    <row r="766" hidden="1" outlineLevel="3">
      <c r="A766" s="8" t="n"/>
      <c r="B766" s="14" t="n"/>
      <c r="C766" s="125" t="n"/>
      <c r="D766" s="125" t="n"/>
      <c r="E766" s="125" t="n"/>
      <c r="F766" s="125" t="n"/>
      <c r="G766" s="125" t="n"/>
      <c r="I766" s="129" t="n"/>
      <c r="J766" s="134" t="n"/>
      <c r="K766" s="16" t="n"/>
      <c r="L766" s="17" t="n"/>
      <c r="M766" s="133">
        <f>DADOS_INVOC!$QN$51</f>
        <v/>
      </c>
      <c r="N766" s="125" t="n"/>
      <c r="O766" s="129" t="n"/>
      <c r="P766" s="134" t="n"/>
      <c r="Q766" s="16" t="n"/>
      <c r="R766" s="17" t="n"/>
      <c r="S766" s="133">
        <f>DADOS_INVOC!$QN$52</f>
        <v/>
      </c>
      <c r="T766" s="125" t="n"/>
      <c r="U766" s="129" t="n"/>
      <c r="V766" s="134" t="n"/>
      <c r="W766" s="16" t="n"/>
      <c r="X766" s="17" t="n"/>
      <c r="Y766" s="133">
        <f>DADOS_INVOC!$QN$53</f>
        <v/>
      </c>
      <c r="Z766" s="125" t="n"/>
      <c r="AB766" s="129" t="n"/>
      <c r="AC766" s="134" t="n"/>
      <c r="AD766" s="16" t="n"/>
      <c r="AE766" s="17" t="n"/>
      <c r="AF766" s="133">
        <f>DADOS_INVOC!$QN$129</f>
        <v/>
      </c>
      <c r="AG766" s="125" t="n"/>
      <c r="AH766" s="129" t="n"/>
      <c r="AI766" s="134" t="n"/>
      <c r="AJ766" s="16" t="n"/>
      <c r="AK766" s="17" t="n"/>
      <c r="AL766" s="133">
        <f>DADOS_INVOC!$QN$130</f>
        <v/>
      </c>
      <c r="AM766" s="125" t="n"/>
      <c r="AN766" s="129" t="n"/>
      <c r="AO766" s="134" t="n"/>
      <c r="AP766" s="16" t="n"/>
      <c r="AQ766" s="17" t="n"/>
      <c r="AR766" s="133">
        <f>DADOS_INVOC!$QN$131</f>
        <v/>
      </c>
      <c r="AS766" s="125" t="n"/>
    </row>
    <row r="767" hidden="1" outlineLevel="3">
      <c r="A767" s="8" t="n"/>
      <c r="B767" s="14" t="n"/>
      <c r="C767" s="125" t="n"/>
      <c r="D767" s="125" t="n"/>
      <c r="E767" s="125" t="n"/>
      <c r="F767" s="125" t="n"/>
      <c r="G767" s="125" t="n"/>
      <c r="I767" s="55" t="inlineStr">
        <is>
          <t>RESTRIÇÕES</t>
        </is>
      </c>
      <c r="J767" s="134" t="n"/>
      <c r="K767" s="16" t="n"/>
      <c r="L767" s="17" t="n"/>
      <c r="M767" s="133">
        <f>DADOS_INVOC!$QO$51</f>
        <v/>
      </c>
      <c r="N767" s="125" t="n"/>
      <c r="O767" s="55" t="inlineStr">
        <is>
          <t>RESTRIÇÕES</t>
        </is>
      </c>
      <c r="P767" s="134" t="n"/>
      <c r="Q767" s="16" t="n"/>
      <c r="R767" s="17" t="n"/>
      <c r="S767" s="133">
        <f>DADOS_INVOC!$QO$52</f>
        <v/>
      </c>
      <c r="T767" s="125" t="n"/>
      <c r="U767" s="55" t="inlineStr">
        <is>
          <t>RESTRIÇÕES</t>
        </is>
      </c>
      <c r="V767" s="134" t="n"/>
      <c r="W767" s="16" t="n"/>
      <c r="X767" s="17" t="n"/>
      <c r="Y767" s="133">
        <f>DADOS_INVOC!$QO$53</f>
        <v/>
      </c>
      <c r="Z767" s="125" t="n"/>
      <c r="AB767" s="55" t="inlineStr">
        <is>
          <t>RESTRIÇÕES</t>
        </is>
      </c>
      <c r="AC767" s="134" t="n"/>
      <c r="AD767" s="16" t="n"/>
      <c r="AE767" s="17" t="n"/>
      <c r="AF767" s="133">
        <f>DADOS_INVOC!$QO$129</f>
        <v/>
      </c>
      <c r="AG767" s="125" t="n"/>
      <c r="AH767" s="55" t="inlineStr">
        <is>
          <t>RESTRIÇÕES</t>
        </is>
      </c>
      <c r="AI767" s="134" t="n"/>
      <c r="AJ767" s="16" t="n"/>
      <c r="AK767" s="17" t="n"/>
      <c r="AL767" s="133">
        <f>DADOS_INVOC!$QO$130</f>
        <v/>
      </c>
      <c r="AM767" s="125" t="n"/>
      <c r="AN767" s="55" t="inlineStr">
        <is>
          <t>RESTRIÇÕES</t>
        </is>
      </c>
      <c r="AO767" s="134" t="n"/>
      <c r="AP767" s="16" t="n"/>
      <c r="AQ767" s="17" t="n"/>
      <c r="AR767" s="133">
        <f>DADOS_INVOC!$QO$131</f>
        <v/>
      </c>
      <c r="AS767" s="125" t="n"/>
    </row>
    <row r="768" hidden="1" outlineLevel="3">
      <c r="A768" s="8" t="n"/>
      <c r="B768" s="14" t="n"/>
      <c r="C768" s="125" t="n"/>
      <c r="D768" s="125" t="n"/>
      <c r="E768" s="125" t="n"/>
      <c r="F768" s="125" t="n"/>
      <c r="G768" s="125" t="n"/>
      <c r="I768" s="129" t="n"/>
      <c r="J768" s="134" t="n"/>
      <c r="K768" s="16" t="n"/>
      <c r="L768" s="17" t="n"/>
      <c r="M768" s="133">
        <f>DADOS_INVOC!$QP$51</f>
        <v/>
      </c>
      <c r="N768" s="125" t="n"/>
      <c r="O768" s="129" t="n"/>
      <c r="P768" s="134" t="n"/>
      <c r="Q768" s="16" t="n"/>
      <c r="R768" s="17" t="n"/>
      <c r="S768" s="133">
        <f>DADOS_INVOC!$QP$52</f>
        <v/>
      </c>
      <c r="T768" s="125" t="n"/>
      <c r="U768" s="129" t="n"/>
      <c r="V768" s="134" t="n"/>
      <c r="W768" s="16" t="n"/>
      <c r="X768" s="17" t="n"/>
      <c r="Y768" s="133">
        <f>DADOS_INVOC!$QP$53</f>
        <v/>
      </c>
      <c r="Z768" s="125" t="n"/>
      <c r="AB768" s="129" t="n"/>
      <c r="AC768" s="134" t="n"/>
      <c r="AD768" s="16" t="n"/>
      <c r="AE768" s="17" t="n"/>
      <c r="AF768" s="133">
        <f>DADOS_INVOC!$QP$129</f>
        <v/>
      </c>
      <c r="AG768" s="125" t="n"/>
      <c r="AH768" s="129" t="n"/>
      <c r="AI768" s="134" t="n"/>
      <c r="AJ768" s="16" t="n"/>
      <c r="AK768" s="17" t="n"/>
      <c r="AL768" s="133">
        <f>DADOS_INVOC!$QP$130</f>
        <v/>
      </c>
      <c r="AM768" s="125" t="n"/>
      <c r="AN768" s="129" t="n"/>
      <c r="AO768" s="134" t="n"/>
      <c r="AP768" s="16" t="n"/>
      <c r="AQ768" s="17" t="n"/>
      <c r="AR768" s="133">
        <f>DADOS_INVOC!$QP$131</f>
        <v/>
      </c>
      <c r="AS768" s="125" t="n"/>
    </row>
    <row r="769" hidden="1" outlineLevel="3">
      <c r="A769" s="8" t="n"/>
      <c r="B769" s="14" t="n"/>
      <c r="C769" s="125" t="n"/>
      <c r="D769" s="125" t="n"/>
      <c r="E769" s="125" t="n"/>
      <c r="F769" s="125" t="n"/>
      <c r="G769" s="125" t="n"/>
      <c r="I769" s="55" t="inlineStr">
        <is>
          <t>CONTA</t>
        </is>
      </c>
      <c r="J769" s="136">
        <f>DADOS_INVOC!$QI$51</f>
        <v/>
      </c>
      <c r="K769" s="16" t="n"/>
      <c r="L769" s="16" t="n"/>
      <c r="M769" s="17" t="n"/>
      <c r="N769" s="125" t="n"/>
      <c r="O769" s="55" t="inlineStr">
        <is>
          <t>CONTA</t>
        </is>
      </c>
      <c r="P769" s="136">
        <f>DADOS_INVOC!$QI$52</f>
        <v/>
      </c>
      <c r="Q769" s="16" t="n"/>
      <c r="R769" s="16" t="n"/>
      <c r="S769" s="17" t="n"/>
      <c r="T769" s="125" t="n"/>
      <c r="U769" s="55" t="inlineStr">
        <is>
          <t>CONTA</t>
        </is>
      </c>
      <c r="V769" s="136">
        <f>DADOS_INVOC!$QI$53</f>
        <v/>
      </c>
      <c r="W769" s="16" t="n"/>
      <c r="X769" s="16" t="n"/>
      <c r="Y769" s="17" t="n"/>
      <c r="Z769" s="125" t="n"/>
      <c r="AB769" s="55" t="inlineStr">
        <is>
          <t>CONTA</t>
        </is>
      </c>
      <c r="AC769" s="136">
        <f>DADOS_INVOC!$QI$129</f>
        <v/>
      </c>
      <c r="AD769" s="16" t="n"/>
      <c r="AE769" s="16" t="n"/>
      <c r="AF769" s="17" t="n"/>
      <c r="AG769" s="125" t="n"/>
      <c r="AH769" s="55" t="inlineStr">
        <is>
          <t>CONTA</t>
        </is>
      </c>
      <c r="AI769" s="136">
        <f>DADOS_INVOC!$QI$130</f>
        <v/>
      </c>
      <c r="AJ769" s="16" t="n"/>
      <c r="AK769" s="16" t="n"/>
      <c r="AL769" s="17" t="n"/>
      <c r="AM769" s="125" t="n"/>
      <c r="AN769" s="55" t="inlineStr">
        <is>
          <t>CONTA</t>
        </is>
      </c>
      <c r="AO769" s="136">
        <f>DADOS_INVOC!$QI$131</f>
        <v/>
      </c>
      <c r="AP769" s="16" t="n"/>
      <c r="AQ769" s="16" t="n"/>
      <c r="AR769" s="17" t="n"/>
      <c r="AS769" s="125" t="n"/>
    </row>
    <row r="770" hidden="1" outlineLevel="3">
      <c r="A770" s="8" t="n"/>
      <c r="B770" s="14" t="n"/>
      <c r="C770" s="125" t="n"/>
      <c r="D770" s="125" t="n"/>
      <c r="E770" s="125" t="n"/>
      <c r="F770" s="125" t="n"/>
      <c r="G770" s="125" t="n"/>
      <c r="I770" s="55" t="inlineStr">
        <is>
          <t>AMPLIAR</t>
        </is>
      </c>
      <c r="J770" s="136">
        <f>DADOS_INVOC!$QJ$51</f>
        <v/>
      </c>
      <c r="K770" s="19" t="n"/>
      <c r="L770" s="19" t="n"/>
      <c r="M770" s="20" t="n"/>
      <c r="N770" s="125" t="n"/>
      <c r="O770" s="55" t="inlineStr">
        <is>
          <t>AMPLIAR</t>
        </is>
      </c>
      <c r="P770" s="136">
        <f>DADOS_INVOC!$QJ$52</f>
        <v/>
      </c>
      <c r="Q770" s="19" t="n"/>
      <c r="R770" s="19" t="n"/>
      <c r="S770" s="20" t="n"/>
      <c r="T770" s="125" t="n"/>
      <c r="U770" s="55" t="inlineStr">
        <is>
          <t>AMPLIAR</t>
        </is>
      </c>
      <c r="V770" s="136">
        <f>DADOS_INVOC!$QJ$53</f>
        <v/>
      </c>
      <c r="W770" s="19" t="n"/>
      <c r="X770" s="19" t="n"/>
      <c r="Y770" s="20" t="n"/>
      <c r="Z770" s="125" t="n"/>
      <c r="AB770" s="55" t="inlineStr">
        <is>
          <t>AMPLIAR</t>
        </is>
      </c>
      <c r="AC770" s="136">
        <f>DADOS_INVOC!$QJ$129</f>
        <v/>
      </c>
      <c r="AD770" s="19" t="n"/>
      <c r="AE770" s="19" t="n"/>
      <c r="AF770" s="20" t="n"/>
      <c r="AG770" s="125" t="n"/>
      <c r="AH770" s="55" t="inlineStr">
        <is>
          <t>AMPLIAR</t>
        </is>
      </c>
      <c r="AI770" s="136">
        <f>DADOS_INVOC!$QJ$130</f>
        <v/>
      </c>
      <c r="AJ770" s="19" t="n"/>
      <c r="AK770" s="19" t="n"/>
      <c r="AL770" s="20" t="n"/>
      <c r="AM770" s="125" t="n"/>
      <c r="AN770" s="55" t="inlineStr">
        <is>
          <t>AMPLIAR</t>
        </is>
      </c>
      <c r="AO770" s="136">
        <f>DADOS_INVOC!$QJ$131</f>
        <v/>
      </c>
      <c r="AP770" s="19" t="n"/>
      <c r="AQ770" s="19" t="n"/>
      <c r="AR770" s="20" t="n"/>
      <c r="AS770" s="125" t="n"/>
    </row>
    <row r="771" hidden="1" outlineLevel="3">
      <c r="A771" s="8" t="n"/>
      <c r="B771" s="14" t="n"/>
      <c r="C771" s="125" t="n"/>
      <c r="D771" s="125" t="n"/>
      <c r="E771" s="125" t="n"/>
      <c r="F771" s="125" t="n"/>
      <c r="G771" s="125" t="n"/>
      <c r="I771" s="129" t="n"/>
      <c r="J771" s="23" t="n"/>
      <c r="K771" s="24" t="n"/>
      <c r="L771" s="24" t="n"/>
      <c r="M771" s="25" t="n"/>
      <c r="N771" s="125" t="n"/>
      <c r="O771" s="129" t="n"/>
      <c r="P771" s="23" t="n"/>
      <c r="Q771" s="24" t="n"/>
      <c r="R771" s="24" t="n"/>
      <c r="S771" s="25" t="n"/>
      <c r="T771" s="125" t="n"/>
      <c r="U771" s="129" t="n"/>
      <c r="V771" s="23" t="n"/>
      <c r="W771" s="24" t="n"/>
      <c r="X771" s="24" t="n"/>
      <c r="Y771" s="25" t="n"/>
      <c r="Z771" s="125" t="n"/>
      <c r="AB771" s="129" t="n"/>
      <c r="AC771" s="23" t="n"/>
      <c r="AD771" s="24" t="n"/>
      <c r="AE771" s="24" t="n"/>
      <c r="AF771" s="25" t="n"/>
      <c r="AG771" s="125" t="n"/>
      <c r="AH771" s="129" t="n"/>
      <c r="AI771" s="23" t="n"/>
      <c r="AJ771" s="24" t="n"/>
      <c r="AK771" s="24" t="n"/>
      <c r="AL771" s="25" t="n"/>
      <c r="AM771" s="125" t="n"/>
      <c r="AN771" s="129" t="n"/>
      <c r="AO771" s="23" t="n"/>
      <c r="AP771" s="24" t="n"/>
      <c r="AQ771" s="24" t="n"/>
      <c r="AR771" s="25" t="n"/>
      <c r="AS771" s="125" t="n"/>
    </row>
    <row r="772" hidden="1" outlineLevel="3">
      <c r="A772" s="8" t="n"/>
      <c r="B772" s="14" t="n"/>
      <c r="C772" s="125" t="n"/>
      <c r="D772" s="125" t="n"/>
      <c r="E772" s="125" t="n"/>
      <c r="F772" s="125" t="n"/>
      <c r="G772" s="125" t="n"/>
      <c r="I772" s="136">
        <f>DADOS_INVOC!$PW$51</f>
        <v/>
      </c>
      <c r="J772" s="19" t="n"/>
      <c r="K772" s="19" t="n"/>
      <c r="L772" s="19" t="n"/>
      <c r="M772" s="20" t="n"/>
      <c r="N772" s="125" t="n"/>
      <c r="O772" s="136">
        <f>DADOS_INVOC!$PW$52</f>
        <v/>
      </c>
      <c r="P772" s="19" t="n"/>
      <c r="Q772" s="19" t="n"/>
      <c r="R772" s="19" t="n"/>
      <c r="S772" s="20" t="n"/>
      <c r="T772" s="125" t="n"/>
      <c r="U772" s="136">
        <f>DADOS_INVOC!$PW$53</f>
        <v/>
      </c>
      <c r="V772" s="19" t="n"/>
      <c r="W772" s="19" t="n"/>
      <c r="X772" s="19" t="n"/>
      <c r="Y772" s="20" t="n"/>
      <c r="Z772" s="125" t="n"/>
      <c r="AB772" s="136">
        <f>DADOS_INVOC!$PW$129</f>
        <v/>
      </c>
      <c r="AC772" s="19" t="n"/>
      <c r="AD772" s="19" t="n"/>
      <c r="AE772" s="19" t="n"/>
      <c r="AF772" s="20" t="n"/>
      <c r="AG772" s="125" t="n"/>
      <c r="AH772" s="136">
        <f>DADOS_INVOC!$PW$130</f>
        <v/>
      </c>
      <c r="AI772" s="19" t="n"/>
      <c r="AJ772" s="19" t="n"/>
      <c r="AK772" s="19" t="n"/>
      <c r="AL772" s="20" t="n"/>
      <c r="AM772" s="125" t="n"/>
      <c r="AN772" s="136">
        <f>DADOS_INVOC!$PW$131</f>
        <v/>
      </c>
      <c r="AO772" s="19" t="n"/>
      <c r="AP772" s="19" t="n"/>
      <c r="AQ772" s="19" t="n"/>
      <c r="AR772" s="20" t="n"/>
      <c r="AS772" s="125" t="n"/>
    </row>
    <row r="773" hidden="1" outlineLevel="3">
      <c r="A773" s="8" t="n"/>
      <c r="B773" s="14" t="n"/>
      <c r="C773" s="125" t="n"/>
      <c r="D773" s="125" t="n"/>
      <c r="E773" s="125" t="n"/>
      <c r="F773" s="125" t="n"/>
      <c r="G773" s="125" t="n"/>
      <c r="I773" s="23" t="n"/>
      <c r="J773" s="24" t="n"/>
      <c r="K773" s="24" t="n"/>
      <c r="L773" s="24" t="n"/>
      <c r="M773" s="25" t="n"/>
      <c r="N773" s="125" t="n"/>
      <c r="O773" s="23" t="n"/>
      <c r="P773" s="24" t="n"/>
      <c r="Q773" s="24" t="n"/>
      <c r="R773" s="24" t="n"/>
      <c r="S773" s="25" t="n"/>
      <c r="T773" s="125" t="n"/>
      <c r="U773" s="23" t="n"/>
      <c r="V773" s="24" t="n"/>
      <c r="W773" s="24" t="n"/>
      <c r="X773" s="24" t="n"/>
      <c r="Y773" s="25" t="n"/>
      <c r="Z773" s="125" t="n"/>
      <c r="AB773" s="23" t="n"/>
      <c r="AC773" s="24" t="n"/>
      <c r="AD773" s="24" t="n"/>
      <c r="AE773" s="24" t="n"/>
      <c r="AF773" s="25" t="n"/>
      <c r="AG773" s="125" t="n"/>
      <c r="AH773" s="23" t="n"/>
      <c r="AI773" s="24" t="n"/>
      <c r="AJ773" s="24" t="n"/>
      <c r="AK773" s="24" t="n"/>
      <c r="AL773" s="25" t="n"/>
      <c r="AM773" s="125" t="n"/>
      <c r="AN773" s="23" t="n"/>
      <c r="AO773" s="24" t="n"/>
      <c r="AP773" s="24" t="n"/>
      <c r="AQ773" s="24" t="n"/>
      <c r="AR773" s="25" t="n"/>
      <c r="AS773" s="125" t="n"/>
    </row>
    <row r="774" hidden="1" outlineLevel="2">
      <c r="A774" s="8" t="n"/>
      <c r="B774" s="14" t="n"/>
      <c r="C774" s="125" t="n"/>
      <c r="D774" s="125" t="n"/>
      <c r="E774" s="125" t="n"/>
      <c r="F774" s="125" t="n"/>
      <c r="G774" s="125" t="n"/>
      <c r="I774" s="125" t="n"/>
      <c r="J774" s="125" t="n"/>
      <c r="K774" s="125" t="n"/>
      <c r="L774" s="125" t="n"/>
      <c r="M774" s="125" t="n"/>
      <c r="N774" s="125" t="n"/>
      <c r="O774" s="125" t="n"/>
      <c r="P774" s="125" t="n"/>
      <c r="Q774" s="125" t="n"/>
      <c r="R774" s="125" t="n"/>
      <c r="S774" s="125" t="n"/>
      <c r="T774" s="125" t="n"/>
      <c r="U774" s="125" t="n"/>
      <c r="V774" s="125" t="n"/>
      <c r="W774" s="125" t="n"/>
      <c r="X774" s="125" t="n"/>
      <c r="Y774" s="125" t="n"/>
      <c r="Z774" s="125" t="n"/>
      <c r="AB774" s="125" t="n"/>
      <c r="AC774" s="125" t="n"/>
      <c r="AD774" s="125" t="n"/>
      <c r="AE774" s="125" t="n"/>
      <c r="AF774" s="125" t="n"/>
      <c r="AG774" s="125" t="n"/>
      <c r="AH774" s="125" t="n"/>
      <c r="AI774" s="125" t="n"/>
      <c r="AJ774" s="125" t="n"/>
      <c r="AK774" s="125" t="n"/>
      <c r="AL774" s="125" t="n"/>
      <c r="AM774" s="125" t="n"/>
      <c r="AN774" s="125" t="n"/>
      <c r="AO774" s="125" t="n"/>
      <c r="AP774" s="125" t="n"/>
      <c r="AQ774" s="125" t="n"/>
      <c r="AR774" s="125" t="n"/>
      <c r="AS774" s="125" t="n"/>
    </row>
    <row r="775" hidden="1" outlineLevel="2">
      <c r="A775" s="8" t="n"/>
      <c r="B775" s="14" t="n"/>
      <c r="C775" s="125" t="n"/>
      <c r="D775" s="125" t="n"/>
      <c r="E775" s="125" t="n"/>
      <c r="F775" s="125" t="n"/>
      <c r="G775" s="125"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5"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5" t="n"/>
    </row>
    <row r="776" hidden="1" outlineLevel="2">
      <c r="A776" s="8" t="n"/>
      <c r="B776" s="14" t="n"/>
      <c r="C776" s="125" t="n"/>
      <c r="D776" s="125" t="n"/>
      <c r="E776" s="125" t="n"/>
      <c r="F776" s="125" t="n"/>
      <c r="G776" s="125" t="n"/>
      <c r="I776" s="55" t="inlineStr">
        <is>
          <t>TRILHA · CE 1</t>
        </is>
      </c>
      <c r="J776" s="134" t="n"/>
      <c r="K776" s="16" t="n"/>
      <c r="L776" s="17" t="n"/>
      <c r="M776" s="141">
        <f>DADOS_INVOC!$IU$5</f>
        <v/>
      </c>
      <c r="N776" s="16" t="n"/>
      <c r="O776" s="16" t="n"/>
      <c r="P776" s="16" t="n"/>
      <c r="Q776" s="16" t="n"/>
      <c r="R776" s="16" t="n"/>
      <c r="S776" s="16" t="n"/>
      <c r="T776" s="16" t="n"/>
      <c r="U776" s="16" t="n"/>
      <c r="V776" s="16" t="n"/>
      <c r="W776" s="16" t="n"/>
      <c r="X776" s="16" t="n"/>
      <c r="Y776" s="17" t="n"/>
      <c r="Z776" s="125" t="n"/>
      <c r="AB776" s="55" t="inlineStr">
        <is>
          <t>TRILHA · CE 1</t>
        </is>
      </c>
      <c r="AC776" s="134" t="n"/>
      <c r="AD776" s="16" t="n"/>
      <c r="AE776" s="17" t="n"/>
      <c r="AF776" s="141">
        <f>DADOS_INVOC!$IU$11</f>
        <v/>
      </c>
      <c r="AG776" s="16" t="n"/>
      <c r="AH776" s="16" t="n"/>
      <c r="AI776" s="16" t="n"/>
      <c r="AJ776" s="16" t="n"/>
      <c r="AK776" s="16" t="n"/>
      <c r="AL776" s="16" t="n"/>
      <c r="AM776" s="16" t="n"/>
      <c r="AN776" s="16" t="n"/>
      <c r="AO776" s="16" t="n"/>
      <c r="AP776" s="16" t="n"/>
      <c r="AQ776" s="16" t="n"/>
      <c r="AR776" s="17" t="n"/>
      <c r="AS776" s="125" t="n"/>
    </row>
    <row r="777" hidden="1" outlineLevel="2">
      <c r="A777" s="8" t="n"/>
      <c r="B777" s="14" t="n"/>
      <c r="C777" s="125" t="n"/>
      <c r="D777" s="125" t="n"/>
      <c r="E777" s="125" t="n"/>
      <c r="F777" s="125" t="n"/>
      <c r="G777" s="125" t="n"/>
      <c r="I777" s="55" t="inlineStr">
        <is>
          <t>TRILHA · CE 1</t>
        </is>
      </c>
      <c r="J777" s="134" t="n"/>
      <c r="K777" s="16" t="n"/>
      <c r="L777" s="17" t="n"/>
      <c r="M777" s="141">
        <f>DADOS_INVOC!$IV$5</f>
        <v/>
      </c>
      <c r="N777" s="16" t="n"/>
      <c r="O777" s="16" t="n"/>
      <c r="P777" s="16" t="n"/>
      <c r="Q777" s="16" t="n"/>
      <c r="R777" s="16" t="n"/>
      <c r="S777" s="16" t="n"/>
      <c r="T777" s="16" t="n"/>
      <c r="U777" s="16" t="n"/>
      <c r="V777" s="16" t="n"/>
      <c r="W777" s="16" t="n"/>
      <c r="X777" s="16" t="n"/>
      <c r="Y777" s="17" t="n"/>
      <c r="Z777" s="125" t="n"/>
      <c r="AB777" s="55" t="inlineStr">
        <is>
          <t>TRILHA · CE 1</t>
        </is>
      </c>
      <c r="AC777" s="134" t="n"/>
      <c r="AD777" s="16" t="n"/>
      <c r="AE777" s="17" t="n"/>
      <c r="AF777" s="141">
        <f>DADOS_INVOC!$IV$11</f>
        <v/>
      </c>
      <c r="AG777" s="16" t="n"/>
      <c r="AH777" s="16" t="n"/>
      <c r="AI777" s="16" t="n"/>
      <c r="AJ777" s="16" t="n"/>
      <c r="AK777" s="16" t="n"/>
      <c r="AL777" s="16" t="n"/>
      <c r="AM777" s="16" t="n"/>
      <c r="AN777" s="16" t="n"/>
      <c r="AO777" s="16" t="n"/>
      <c r="AP777" s="16" t="n"/>
      <c r="AQ777" s="16" t="n"/>
      <c r="AR777" s="17" t="n"/>
      <c r="AS777" s="125" t="n"/>
    </row>
    <row r="778" hidden="1" outlineLevel="2">
      <c r="A778" s="8" t="n"/>
      <c r="B778" s="14" t="n"/>
      <c r="C778" s="125" t="n"/>
      <c r="D778" s="125" t="n"/>
      <c r="E778" s="125" t="n"/>
      <c r="F778" s="125" t="n"/>
      <c r="G778" s="125" t="n"/>
      <c r="I778" s="55" t="inlineStr">
        <is>
          <t>TRILHA · CE 1</t>
        </is>
      </c>
      <c r="J778" s="134" t="n"/>
      <c r="K778" s="16" t="n"/>
      <c r="L778" s="17" t="n"/>
      <c r="M778" s="141">
        <f>DADOS_INVOC!$IW$5</f>
        <v/>
      </c>
      <c r="N778" s="16" t="n"/>
      <c r="O778" s="16" t="n"/>
      <c r="P778" s="16" t="n"/>
      <c r="Q778" s="16" t="n"/>
      <c r="R778" s="16" t="n"/>
      <c r="S778" s="16" t="n"/>
      <c r="T778" s="16" t="n"/>
      <c r="U778" s="16" t="n"/>
      <c r="V778" s="16" t="n"/>
      <c r="W778" s="16" t="n"/>
      <c r="X778" s="16" t="n"/>
      <c r="Y778" s="17" t="n"/>
      <c r="Z778" s="125" t="n"/>
      <c r="AB778" s="55" t="inlineStr">
        <is>
          <t>TRILHA · CE 1</t>
        </is>
      </c>
      <c r="AC778" s="134" t="n"/>
      <c r="AD778" s="16" t="n"/>
      <c r="AE778" s="17" t="n"/>
      <c r="AF778" s="141">
        <f>DADOS_INVOC!$IW$11</f>
        <v/>
      </c>
      <c r="AG778" s="16" t="n"/>
      <c r="AH778" s="16" t="n"/>
      <c r="AI778" s="16" t="n"/>
      <c r="AJ778" s="16" t="n"/>
      <c r="AK778" s="16" t="n"/>
      <c r="AL778" s="16" t="n"/>
      <c r="AM778" s="16" t="n"/>
      <c r="AN778" s="16" t="n"/>
      <c r="AO778" s="16" t="n"/>
      <c r="AP778" s="16" t="n"/>
      <c r="AQ778" s="16" t="n"/>
      <c r="AR778" s="17" t="n"/>
      <c r="AS778" s="125" t="n"/>
    </row>
    <row r="779" hidden="1" outlineLevel="1">
      <c r="A779" s="8" t="n"/>
      <c r="B779" s="14" t="n"/>
      <c r="C779" s="125" t="n"/>
      <c r="D779" s="125" t="n"/>
      <c r="E779" s="125" t="n"/>
      <c r="F779" s="125" t="n"/>
      <c r="G779" s="125" t="n"/>
      <c r="I779" s="125" t="n"/>
      <c r="J779" s="125" t="n"/>
      <c r="K779" s="125" t="n"/>
      <c r="L779" s="125" t="n"/>
      <c r="M779" s="125" t="n"/>
      <c r="N779" s="125" t="n"/>
      <c r="O779" s="125" t="n"/>
      <c r="P779" s="125" t="n"/>
      <c r="Q779" s="125" t="n"/>
      <c r="R779" s="125" t="n"/>
      <c r="S779" s="125" t="n"/>
      <c r="T779" s="125" t="n"/>
      <c r="U779" s="125" t="n"/>
      <c r="V779" s="125" t="n"/>
      <c r="W779" s="125" t="n"/>
      <c r="X779" s="125" t="n"/>
      <c r="Y779" s="125" t="n"/>
      <c r="Z779" s="125" t="n"/>
      <c r="AB779" s="125" t="n"/>
      <c r="AC779" s="125" t="n"/>
      <c r="AD779" s="125" t="n"/>
      <c r="AE779" s="125" t="n"/>
      <c r="AF779" s="125" t="n"/>
      <c r="AG779" s="125" t="n"/>
      <c r="AH779" s="125" t="n"/>
      <c r="AI779" s="125" t="n"/>
      <c r="AJ779" s="125" t="n"/>
      <c r="AK779" s="125" t="n"/>
      <c r="AL779" s="125" t="n"/>
      <c r="AM779" s="125" t="n"/>
      <c r="AN779" s="125" t="n"/>
      <c r="AO779" s="125" t="n"/>
      <c r="AP779" s="125" t="n"/>
      <c r="AQ779" s="125" t="n"/>
      <c r="AR779" s="125" t="n"/>
      <c r="AS779" s="125" t="n"/>
    </row>
    <row r="780" hidden="1" outlineLevel="1">
      <c r="A780" s="8" t="n"/>
      <c r="B780" s="14" t="n"/>
      <c r="C780" s="125" t="n"/>
      <c r="D780" s="125" t="n"/>
      <c r="E780" s="125" t="n"/>
      <c r="F780" s="125" t="n"/>
      <c r="G780" s="125" t="n"/>
      <c r="I780" s="137"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5" t="n"/>
      <c r="AB780" s="137"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5" t="n"/>
    </row>
    <row r="781" hidden="1" outlineLevel="2">
      <c r="A781" s="8" t="n"/>
      <c r="B781" s="14" t="n"/>
      <c r="C781" s="125" t="n"/>
      <c r="D781" s="125" t="n"/>
      <c r="E781" s="125" t="n"/>
      <c r="F781" s="125" t="n"/>
      <c r="G781" s="125" t="n"/>
      <c r="I781" s="125" t="n"/>
      <c r="J781" s="125" t="n"/>
      <c r="K781" s="125" t="n"/>
      <c r="L781" s="125" t="n"/>
      <c r="M781" s="125" t="n"/>
      <c r="N781" s="125" t="n"/>
      <c r="O781" s="125" t="n"/>
      <c r="P781" s="125" t="n"/>
      <c r="Q781" s="125" t="n"/>
      <c r="R781" s="125" t="n"/>
      <c r="S781" s="125" t="n"/>
      <c r="T781" s="125" t="n"/>
      <c r="U781" s="125" t="n"/>
      <c r="V781" s="125" t="n"/>
      <c r="W781" s="125" t="n"/>
      <c r="X781" s="125" t="n"/>
      <c r="Y781" s="125" t="n"/>
      <c r="Z781" s="125" t="n"/>
      <c r="AB781" s="125" t="n"/>
      <c r="AC781" s="125" t="n"/>
      <c r="AD781" s="125" t="n"/>
      <c r="AE781" s="125" t="n"/>
      <c r="AF781" s="125" t="n"/>
      <c r="AG781" s="125" t="n"/>
      <c r="AH781" s="125" t="n"/>
      <c r="AI781" s="125" t="n"/>
      <c r="AJ781" s="125" t="n"/>
      <c r="AK781" s="125" t="n"/>
      <c r="AL781" s="125" t="n"/>
      <c r="AM781" s="125" t="n"/>
      <c r="AN781" s="125" t="n"/>
      <c r="AO781" s="125" t="n"/>
      <c r="AP781" s="125" t="n"/>
      <c r="AQ781" s="125" t="n"/>
      <c r="AR781" s="125" t="n"/>
      <c r="AS781" s="125" t="n"/>
    </row>
    <row r="782" hidden="1" outlineLevel="2">
      <c r="A782" s="8" t="n"/>
      <c r="B782" s="14" t="n"/>
      <c r="C782" s="125" t="n"/>
      <c r="D782" s="125" t="n"/>
      <c r="E782" s="125" t="n"/>
      <c r="F782" s="125" t="n"/>
      <c r="G782" s="125" t="n"/>
      <c r="I782" s="55" t="inlineStr">
        <is>
          <t>LIBERAÇÃO MÁXIMA 1</t>
        </is>
      </c>
      <c r="J782" s="16" t="n"/>
      <c r="K782" s="16" t="n"/>
      <c r="L782" s="16" t="n"/>
      <c r="M782" s="17" t="n"/>
      <c r="N782" s="125" t="n"/>
      <c r="O782" s="55" t="inlineStr">
        <is>
          <t>LIBERAÇÃO MÁXIMA 2</t>
        </is>
      </c>
      <c r="P782" s="16" t="n"/>
      <c r="Q782" s="16" t="n"/>
      <c r="R782" s="16" t="n"/>
      <c r="S782" s="17" t="n"/>
      <c r="T782" s="125" t="n"/>
      <c r="U782" s="55" t="inlineStr">
        <is>
          <t>LIBERAÇÃO MÁXIMA 3</t>
        </is>
      </c>
      <c r="V782" s="16" t="n"/>
      <c r="W782" s="16" t="n"/>
      <c r="X782" s="16" t="n"/>
      <c r="Y782" s="17" t="n"/>
      <c r="Z782" s="125" t="n"/>
      <c r="AB782" s="55" t="inlineStr">
        <is>
          <t>LIBERAÇÃO MÁXIMA 1</t>
        </is>
      </c>
      <c r="AC782" s="16" t="n"/>
      <c r="AD782" s="16" t="n"/>
      <c r="AE782" s="16" t="n"/>
      <c r="AF782" s="17" t="n"/>
      <c r="AG782" s="125" t="n"/>
      <c r="AH782" s="55" t="inlineStr">
        <is>
          <t>LIBERAÇÃO MÁXIMA 2</t>
        </is>
      </c>
      <c r="AI782" s="16" t="n"/>
      <c r="AJ782" s="16" t="n"/>
      <c r="AK782" s="16" t="n"/>
      <c r="AL782" s="17" t="n"/>
      <c r="AM782" s="125" t="n"/>
      <c r="AN782" s="55" t="inlineStr">
        <is>
          <t>LIBERAÇÃO MÁXIMA 3</t>
        </is>
      </c>
      <c r="AO782" s="16" t="n"/>
      <c r="AP782" s="16" t="n"/>
      <c r="AQ782" s="16" t="n"/>
      <c r="AR782" s="17" t="n"/>
      <c r="AS782" s="125" t="n"/>
    </row>
    <row r="783" hidden="1" outlineLevel="2">
      <c r="A783" s="8" t="n"/>
      <c r="B783" s="14" t="n"/>
      <c r="C783" s="125" t="n"/>
      <c r="D783" s="125" t="n"/>
      <c r="E783" s="125" t="n"/>
      <c r="F783" s="125" t="n"/>
      <c r="G783" s="125" t="n"/>
      <c r="I783" s="131" t="n">
        <v>3</v>
      </c>
      <c r="J783" s="120" t="n"/>
      <c r="K783" s="16" t="n"/>
      <c r="L783" s="17" t="n"/>
      <c r="M783" s="132">
        <f>DADOS_INVOC!$IX$5</f>
        <v/>
      </c>
      <c r="N783" s="125" t="n"/>
      <c r="O783" s="131" t="n">
        <v>3</v>
      </c>
      <c r="P783" s="120" t="n"/>
      <c r="Q783" s="16" t="n"/>
      <c r="R783" s="17" t="n"/>
      <c r="S783" s="132">
        <f>DADOS_INVOC!$IY$5</f>
        <v/>
      </c>
      <c r="T783" s="125" t="n"/>
      <c r="U783" s="131" t="n">
        <v>3</v>
      </c>
      <c r="V783" s="120" t="n"/>
      <c r="W783" s="16" t="n"/>
      <c r="X783" s="17" t="n"/>
      <c r="Y783" s="132">
        <f>DADOS_INVOC!$IZ$5</f>
        <v/>
      </c>
      <c r="Z783" s="125" t="n"/>
      <c r="AB783" s="131" t="n">
        <v>3</v>
      </c>
      <c r="AC783" s="120" t="n"/>
      <c r="AD783" s="16" t="n"/>
      <c r="AE783" s="17" t="n"/>
      <c r="AF783" s="132">
        <f>DADOS_INVOC!$IX$11</f>
        <v/>
      </c>
      <c r="AG783" s="125" t="n"/>
      <c r="AH783" s="131" t="n">
        <v>3</v>
      </c>
      <c r="AI783" s="120" t="n"/>
      <c r="AJ783" s="16" t="n"/>
      <c r="AK783" s="17" t="n"/>
      <c r="AL783" s="132">
        <f>DADOS_INVOC!$IY$11</f>
        <v/>
      </c>
      <c r="AM783" s="125" t="n"/>
      <c r="AN783" s="131" t="n">
        <v>3</v>
      </c>
      <c r="AO783" s="120" t="n"/>
      <c r="AP783" s="16" t="n"/>
      <c r="AQ783" s="17" t="n"/>
      <c r="AR783" s="132">
        <f>DADOS_INVOC!$IZ$11</f>
        <v/>
      </c>
      <c r="AS783" s="125" t="n"/>
    </row>
    <row r="784" hidden="1" outlineLevel="2">
      <c r="A784" s="8" t="n"/>
      <c r="B784" s="14" t="n"/>
      <c r="C784" s="125" t="n"/>
      <c r="D784" s="125" t="n"/>
      <c r="E784" s="125" t="n"/>
      <c r="F784" s="125" t="n"/>
      <c r="G784" s="125" t="n"/>
      <c r="I784" s="121" t="n"/>
      <c r="J784" s="19" t="n"/>
      <c r="K784" s="19" t="n"/>
      <c r="L784" s="19" t="n"/>
      <c r="M784" s="20" t="n"/>
      <c r="N784" s="125" t="n"/>
      <c r="O784" s="121" t="n"/>
      <c r="P784" s="19" t="n"/>
      <c r="Q784" s="19" t="n"/>
      <c r="R784" s="19" t="n"/>
      <c r="S784" s="20" t="n"/>
      <c r="T784" s="125" t="n"/>
      <c r="U784" s="121" t="n"/>
      <c r="V784" s="19" t="n"/>
      <c r="W784" s="19" t="n"/>
      <c r="X784" s="19" t="n"/>
      <c r="Y784" s="20" t="n"/>
      <c r="Z784" s="125" t="n"/>
      <c r="AB784" s="121" t="n"/>
      <c r="AC784" s="19" t="n"/>
      <c r="AD784" s="19" t="n"/>
      <c r="AE784" s="19" t="n"/>
      <c r="AF784" s="20" t="n"/>
      <c r="AG784" s="125" t="n"/>
      <c r="AH784" s="121" t="n"/>
      <c r="AI784" s="19" t="n"/>
      <c r="AJ784" s="19" t="n"/>
      <c r="AK784" s="19" t="n"/>
      <c r="AL784" s="20" t="n"/>
      <c r="AM784" s="125" t="n"/>
      <c r="AN784" s="121" t="n"/>
      <c r="AO784" s="19" t="n"/>
      <c r="AP784" s="19" t="n"/>
      <c r="AQ784" s="19" t="n"/>
      <c r="AR784" s="20" t="n"/>
      <c r="AS784" s="125" t="n"/>
    </row>
    <row r="785" hidden="1" outlineLevel="2">
      <c r="A785" s="8" t="n"/>
      <c r="B785" s="14" t="n"/>
      <c r="C785" s="125" t="n"/>
      <c r="D785" s="125" t="n"/>
      <c r="E785" s="125" t="n"/>
      <c r="F785" s="125" t="n"/>
      <c r="G785" s="125" t="n"/>
      <c r="I785" s="21" t="n"/>
      <c r="M785" s="22" t="n"/>
      <c r="N785" s="125" t="n"/>
      <c r="O785" s="21" t="n"/>
      <c r="S785" s="22" t="n"/>
      <c r="T785" s="125" t="n"/>
      <c r="U785" s="21" t="n"/>
      <c r="Y785" s="22" t="n"/>
      <c r="Z785" s="125" t="n"/>
      <c r="AB785" s="21" t="n"/>
      <c r="AF785" s="22" t="n"/>
      <c r="AG785" s="125" t="n"/>
      <c r="AH785" s="21" t="n"/>
      <c r="AL785" s="22" t="n"/>
      <c r="AM785" s="125" t="n"/>
      <c r="AN785" s="21" t="n"/>
      <c r="AR785" s="22" t="n"/>
      <c r="AS785" s="125" t="n"/>
    </row>
    <row r="786" hidden="1" outlineLevel="2">
      <c r="A786" s="8" t="n"/>
      <c r="B786" s="14" t="n"/>
      <c r="C786" s="125" t="n"/>
      <c r="D786" s="125" t="n"/>
      <c r="E786" s="125" t="n"/>
      <c r="F786" s="125" t="n"/>
      <c r="G786" s="125" t="n"/>
      <c r="I786" s="21" t="n"/>
      <c r="M786" s="22" t="n"/>
      <c r="N786" s="125" t="n"/>
      <c r="O786" s="21" t="n"/>
      <c r="S786" s="22" t="n"/>
      <c r="T786" s="125" t="n"/>
      <c r="U786" s="21" t="n"/>
      <c r="Y786" s="22" t="n"/>
      <c r="Z786" s="125" t="n"/>
      <c r="AB786" s="21" t="n"/>
      <c r="AF786" s="22" t="n"/>
      <c r="AG786" s="125" t="n"/>
      <c r="AH786" s="21" t="n"/>
      <c r="AL786" s="22" t="n"/>
      <c r="AM786" s="125" t="n"/>
      <c r="AN786" s="21" t="n"/>
      <c r="AR786" s="22" t="n"/>
      <c r="AS786" s="125" t="n"/>
    </row>
    <row r="787" hidden="1" outlineLevel="2">
      <c r="A787" s="8" t="n"/>
      <c r="B787" s="14" t="n"/>
      <c r="C787" s="125" t="n"/>
      <c r="D787" s="125" t="n"/>
      <c r="E787" s="125" t="n"/>
      <c r="F787" s="125" t="n"/>
      <c r="G787" s="125" t="n"/>
      <c r="I787" s="23" t="n"/>
      <c r="J787" s="24" t="n"/>
      <c r="K787" s="24" t="n"/>
      <c r="L787" s="24" t="n"/>
      <c r="M787" s="25" t="n"/>
      <c r="N787" s="125" t="n"/>
      <c r="O787" s="23" t="n"/>
      <c r="P787" s="24" t="n"/>
      <c r="Q787" s="24" t="n"/>
      <c r="R787" s="24" t="n"/>
      <c r="S787" s="25" t="n"/>
      <c r="T787" s="125" t="n"/>
      <c r="U787" s="23" t="n"/>
      <c r="V787" s="24" t="n"/>
      <c r="W787" s="24" t="n"/>
      <c r="X787" s="24" t="n"/>
      <c r="Y787" s="25" t="n"/>
      <c r="Z787" s="125" t="n"/>
      <c r="AB787" s="23" t="n"/>
      <c r="AC787" s="24" t="n"/>
      <c r="AD787" s="24" t="n"/>
      <c r="AE787" s="24" t="n"/>
      <c r="AF787" s="25" t="n"/>
      <c r="AG787" s="125" t="n"/>
      <c r="AH787" s="23" t="n"/>
      <c r="AI787" s="24" t="n"/>
      <c r="AJ787" s="24" t="n"/>
      <c r="AK787" s="24" t="n"/>
      <c r="AL787" s="25" t="n"/>
      <c r="AM787" s="125" t="n"/>
      <c r="AN787" s="23" t="n"/>
      <c r="AO787" s="24" t="n"/>
      <c r="AP787" s="24" t="n"/>
      <c r="AQ787" s="24" t="n"/>
      <c r="AR787" s="25" t="n"/>
      <c r="AS787" s="125" t="n"/>
    </row>
    <row r="788" hidden="1" outlineLevel="2">
      <c r="A788" s="8" t="n"/>
      <c r="B788" s="14" t="n"/>
      <c r="C788" s="125" t="n"/>
      <c r="D788" s="125" t="n"/>
      <c r="E788" s="125" t="n"/>
      <c r="F788" s="125" t="n"/>
      <c r="G788" s="125" t="n"/>
      <c r="I788" s="68">
        <f>DADOS_INVOC!$JA$5</f>
        <v/>
      </c>
      <c r="J788" s="16" t="n"/>
      <c r="K788" s="16" t="n"/>
      <c r="L788" s="16" t="n"/>
      <c r="M788" s="17" t="n"/>
      <c r="N788" s="125" t="n"/>
      <c r="O788" s="68">
        <f>DADOS_INVOC!$JB$5</f>
        <v/>
      </c>
      <c r="P788" s="16" t="n"/>
      <c r="Q788" s="16" t="n"/>
      <c r="R788" s="16" t="n"/>
      <c r="S788" s="17" t="n"/>
      <c r="T788" s="125" t="n"/>
      <c r="U788" s="68">
        <f>DADOS_INVOC!$JC$5</f>
        <v/>
      </c>
      <c r="V788" s="16" t="n"/>
      <c r="W788" s="16" t="n"/>
      <c r="X788" s="16" t="n"/>
      <c r="Y788" s="17" t="n"/>
      <c r="Z788" s="125" t="n"/>
      <c r="AB788" s="68">
        <f>DADOS_INVOC!$JA$11</f>
        <v/>
      </c>
      <c r="AC788" s="16" t="n"/>
      <c r="AD788" s="16" t="n"/>
      <c r="AE788" s="16" t="n"/>
      <c r="AF788" s="17" t="n"/>
      <c r="AG788" s="125" t="n"/>
      <c r="AH788" s="68">
        <f>DADOS_INVOC!$JB$11</f>
        <v/>
      </c>
      <c r="AI788" s="16" t="n"/>
      <c r="AJ788" s="16" t="n"/>
      <c r="AK788" s="16" t="n"/>
      <c r="AL788" s="17" t="n"/>
      <c r="AM788" s="125" t="n"/>
      <c r="AN788" s="68">
        <f>DADOS_INVOC!$JC$11</f>
        <v/>
      </c>
      <c r="AO788" s="16" t="n"/>
      <c r="AP788" s="16" t="n"/>
      <c r="AQ788" s="16" t="n"/>
      <c r="AR788" s="17" t="n"/>
      <c r="AS788" s="125" t="n"/>
    </row>
    <row r="789" hidden="1" outlineLevel="2">
      <c r="A789" s="8" t="n"/>
      <c r="B789" s="14" t="n"/>
      <c r="C789" s="125" t="n"/>
      <c r="D789" s="125" t="n"/>
      <c r="E789" s="125" t="n"/>
      <c r="F789" s="125" t="n"/>
      <c r="G789" s="125" t="n"/>
      <c r="I789" s="89" t="inlineStr">
        <is>
          <t>Sua Ação Completa + a básica dela</t>
        </is>
      </c>
      <c r="J789" s="16" t="n"/>
      <c r="K789" s="16" t="n"/>
      <c r="L789" s="16" t="n"/>
      <c r="M789" s="17" t="n"/>
      <c r="N789" s="125" t="n"/>
      <c r="O789" s="89" t="inlineStr">
        <is>
          <t>Sua Ação Completa + a básica dela</t>
        </is>
      </c>
      <c r="P789" s="16" t="n"/>
      <c r="Q789" s="16" t="n"/>
      <c r="R789" s="16" t="n"/>
      <c r="S789" s="17" t="n"/>
      <c r="T789" s="125" t="n"/>
      <c r="U789" s="89" t="inlineStr">
        <is>
          <t>Sua Ação Completa + a básica dela</t>
        </is>
      </c>
      <c r="V789" s="16" t="n"/>
      <c r="W789" s="16" t="n"/>
      <c r="X789" s="16" t="n"/>
      <c r="Y789" s="17" t="n"/>
      <c r="Z789" s="125" t="n"/>
      <c r="AB789" s="89" t="inlineStr">
        <is>
          <t>Sua Ação Completa + a básica dela</t>
        </is>
      </c>
      <c r="AC789" s="16" t="n"/>
      <c r="AD789" s="16" t="n"/>
      <c r="AE789" s="16" t="n"/>
      <c r="AF789" s="17" t="n"/>
      <c r="AG789" s="125" t="n"/>
      <c r="AH789" s="89" t="inlineStr">
        <is>
          <t>Sua Ação Completa + a básica dela</t>
        </is>
      </c>
      <c r="AI789" s="16" t="n"/>
      <c r="AJ789" s="16" t="n"/>
      <c r="AK789" s="16" t="n"/>
      <c r="AL789" s="17" t="n"/>
      <c r="AM789" s="125" t="n"/>
      <c r="AN789" s="89" t="inlineStr">
        <is>
          <t>Sua Ação Completa + a básica dela</t>
        </is>
      </c>
      <c r="AO789" s="16" t="n"/>
      <c r="AP789" s="16" t="n"/>
      <c r="AQ789" s="16" t="n"/>
      <c r="AR789" s="17" t="n"/>
      <c r="AS789" s="125" t="n"/>
    </row>
    <row r="790" hidden="1" outlineLevel="2">
      <c r="A790" s="8" t="n"/>
      <c r="B790" s="14" t="n"/>
      <c r="C790" s="125" t="n"/>
      <c r="D790" s="125" t="n"/>
      <c r="E790" s="125" t="n"/>
      <c r="F790" s="125" t="n"/>
      <c r="G790" s="125" t="n"/>
      <c r="I790" s="125" t="n"/>
      <c r="J790" s="125" t="n"/>
      <c r="K790" s="125" t="n"/>
      <c r="L790" s="125" t="n"/>
      <c r="M790" s="125" t="n"/>
      <c r="N790" s="125" t="n"/>
      <c r="O790" s="125" t="n"/>
      <c r="P790" s="125" t="n"/>
      <c r="Q790" s="125" t="n"/>
      <c r="R790" s="125" t="n"/>
      <c r="S790" s="125" t="n"/>
      <c r="T790" s="125" t="n"/>
      <c r="U790" s="125" t="n"/>
      <c r="V790" s="125" t="n"/>
      <c r="W790" s="125" t="n"/>
      <c r="X790" s="125" t="n"/>
      <c r="Y790" s="125" t="n"/>
      <c r="Z790" s="125" t="n"/>
      <c r="AB790" s="125" t="n"/>
      <c r="AC790" s="125" t="n"/>
      <c r="AD790" s="125" t="n"/>
      <c r="AE790" s="125" t="n"/>
      <c r="AF790" s="125" t="n"/>
      <c r="AG790" s="125" t="n"/>
      <c r="AH790" s="125" t="n"/>
      <c r="AI790" s="125" t="n"/>
      <c r="AJ790" s="125" t="n"/>
      <c r="AK790" s="125" t="n"/>
      <c r="AL790" s="125" t="n"/>
      <c r="AM790" s="125" t="n"/>
      <c r="AN790" s="125" t="n"/>
      <c r="AO790" s="125" t="n"/>
      <c r="AP790" s="125" t="n"/>
      <c r="AQ790" s="125" t="n"/>
      <c r="AR790" s="125" t="n"/>
      <c r="AS790" s="125" t="n"/>
    </row>
    <row r="791" hidden="1" outlineLevel="2">
      <c r="A791" s="8" t="n"/>
      <c r="B791" s="14" t="n"/>
      <c r="C791" s="125" t="n"/>
      <c r="D791" s="125" t="n"/>
      <c r="E791" s="125" t="n"/>
      <c r="F791" s="125" t="n"/>
      <c r="G791" s="125" t="n"/>
      <c r="I791" s="55" t="inlineStr">
        <is>
          <t>TÉCNICA MÁXIMA</t>
        </is>
      </c>
      <c r="J791" s="16" t="n"/>
      <c r="K791" s="16" t="n"/>
      <c r="L791" s="16" t="n"/>
      <c r="M791" s="17" t="n"/>
      <c r="N791" s="125" t="n"/>
      <c r="O791" s="55" t="inlineStr">
        <is>
          <t>EXPANSÃO DE DOMÍNIO</t>
        </is>
      </c>
      <c r="P791" s="16" t="n"/>
      <c r="Q791" s="16" t="n"/>
      <c r="R791" s="16" t="n"/>
      <c r="S791" s="17" t="n"/>
      <c r="T791" s="125" t="n"/>
      <c r="U791" s="125" t="n"/>
      <c r="V791" s="125" t="n"/>
      <c r="W791" s="125" t="n"/>
      <c r="X791" s="125" t="n"/>
      <c r="Y791" s="125" t="n"/>
      <c r="Z791" s="125" t="n"/>
      <c r="AB791" s="55" t="inlineStr">
        <is>
          <t>TÉCNICA MÁXIMA</t>
        </is>
      </c>
      <c r="AC791" s="16" t="n"/>
      <c r="AD791" s="16" t="n"/>
      <c r="AE791" s="16" t="n"/>
      <c r="AF791" s="17" t="n"/>
      <c r="AG791" s="125" t="n"/>
      <c r="AH791" s="55" t="inlineStr">
        <is>
          <t>EXPANSÃO DE DOMÍNIO</t>
        </is>
      </c>
      <c r="AI791" s="16" t="n"/>
      <c r="AJ791" s="16" t="n"/>
      <c r="AK791" s="16" t="n"/>
      <c r="AL791" s="17" t="n"/>
      <c r="AM791" s="125" t="n"/>
      <c r="AN791" s="125" t="n"/>
      <c r="AO791" s="125" t="n"/>
      <c r="AP791" s="125" t="n"/>
      <c r="AQ791" s="125" t="n"/>
      <c r="AR791" s="125" t="n"/>
      <c r="AS791" s="125" t="n"/>
    </row>
    <row r="792" hidden="1" outlineLevel="2">
      <c r="A792" s="8" t="n"/>
      <c r="B792" s="14" t="n"/>
      <c r="C792" s="125" t="n"/>
      <c r="D792" s="125" t="n"/>
      <c r="E792" s="125" t="n"/>
      <c r="F792" s="125" t="n"/>
      <c r="G792" s="125" t="n"/>
      <c r="I792" s="120" t="n"/>
      <c r="J792" s="16" t="n"/>
      <c r="K792" s="16" t="n"/>
      <c r="L792" s="17" t="n"/>
      <c r="M792" s="132">
        <f>DADOS_INVOC!$JD$5</f>
        <v/>
      </c>
      <c r="N792" s="125" t="n"/>
      <c r="O792" s="120" t="n"/>
      <c r="P792" s="16" t="n"/>
      <c r="Q792" s="16" t="n"/>
      <c r="R792" s="17" t="n"/>
      <c r="S792" s="132">
        <f>DADOS_INVOC!$JF$5</f>
        <v/>
      </c>
      <c r="T792" s="125" t="n"/>
      <c r="U792" s="125" t="n"/>
      <c r="V792" s="125" t="n"/>
      <c r="W792" s="125" t="n"/>
      <c r="X792" s="125" t="n"/>
      <c r="Y792" s="125" t="n"/>
      <c r="Z792" s="125" t="n"/>
      <c r="AB792" s="120" t="n"/>
      <c r="AC792" s="16" t="n"/>
      <c r="AD792" s="16" t="n"/>
      <c r="AE792" s="17" t="n"/>
      <c r="AF792" s="132">
        <f>DADOS_INVOC!$JD$11</f>
        <v/>
      </c>
      <c r="AG792" s="125" t="n"/>
      <c r="AH792" s="120" t="n"/>
      <c r="AI792" s="16" t="n"/>
      <c r="AJ792" s="16" t="n"/>
      <c r="AK792" s="17" t="n"/>
      <c r="AL792" s="132">
        <f>DADOS_INVOC!$JF$11</f>
        <v/>
      </c>
      <c r="AM792" s="125" t="n"/>
      <c r="AN792" s="125" t="n"/>
      <c r="AO792" s="125" t="n"/>
      <c r="AP792" s="125" t="n"/>
      <c r="AQ792" s="125" t="n"/>
      <c r="AR792" s="125" t="n"/>
      <c r="AS792" s="125" t="n"/>
    </row>
    <row r="793" hidden="1" outlineLevel="2">
      <c r="A793" s="8" t="n"/>
      <c r="B793" s="14" t="n"/>
      <c r="C793" s="125" t="n"/>
      <c r="D793" s="125" t="n"/>
      <c r="E793" s="125" t="n"/>
      <c r="F793" s="125" t="n"/>
      <c r="G793" s="125" t="n"/>
      <c r="I793" s="121" t="n"/>
      <c r="J793" s="19" t="n"/>
      <c r="K793" s="19" t="n"/>
      <c r="L793" s="19" t="n"/>
      <c r="M793" s="20" t="n"/>
      <c r="N793" s="125" t="n"/>
      <c r="O793" s="121" t="n"/>
      <c r="P793" s="19" t="n"/>
      <c r="Q793" s="19" t="n"/>
      <c r="R793" s="19" t="n"/>
      <c r="S793" s="20" t="n"/>
      <c r="T793" s="125" t="n"/>
      <c r="U793" s="125" t="n"/>
      <c r="V793" s="125" t="n"/>
      <c r="W793" s="125" t="n"/>
      <c r="X793" s="125" t="n"/>
      <c r="Y793" s="125" t="n"/>
      <c r="Z793" s="125" t="n"/>
      <c r="AB793" s="121" t="n"/>
      <c r="AC793" s="19" t="n"/>
      <c r="AD793" s="19" t="n"/>
      <c r="AE793" s="19" t="n"/>
      <c r="AF793" s="20" t="n"/>
      <c r="AG793" s="125" t="n"/>
      <c r="AH793" s="121" t="n"/>
      <c r="AI793" s="19" t="n"/>
      <c r="AJ793" s="19" t="n"/>
      <c r="AK793" s="19" t="n"/>
      <c r="AL793" s="20" t="n"/>
      <c r="AM793" s="125" t="n"/>
      <c r="AN793" s="125" t="n"/>
      <c r="AO793" s="125" t="n"/>
      <c r="AP793" s="125" t="n"/>
      <c r="AQ793" s="125" t="n"/>
      <c r="AR793" s="125" t="n"/>
      <c r="AS793" s="125" t="n"/>
    </row>
    <row r="794" hidden="1" outlineLevel="2">
      <c r="A794" s="8" t="n"/>
      <c r="B794" s="14" t="n"/>
      <c r="C794" s="125" t="n"/>
      <c r="D794" s="125" t="n"/>
      <c r="E794" s="125" t="n"/>
      <c r="F794" s="125" t="n"/>
      <c r="G794" s="125" t="n"/>
      <c r="I794" s="21" t="n"/>
      <c r="M794" s="22" t="n"/>
      <c r="N794" s="125" t="n"/>
      <c r="O794" s="21" t="n"/>
      <c r="S794" s="22" t="n"/>
      <c r="T794" s="125" t="n"/>
      <c r="U794" s="125" t="n"/>
      <c r="V794" s="125" t="n"/>
      <c r="W794" s="125" t="n"/>
      <c r="X794" s="125" t="n"/>
      <c r="Y794" s="125" t="n"/>
      <c r="Z794" s="125" t="n"/>
      <c r="AB794" s="21" t="n"/>
      <c r="AF794" s="22" t="n"/>
      <c r="AG794" s="125" t="n"/>
      <c r="AH794" s="21" t="n"/>
      <c r="AL794" s="22" t="n"/>
      <c r="AM794" s="125" t="n"/>
      <c r="AN794" s="125" t="n"/>
      <c r="AO794" s="125" t="n"/>
      <c r="AP794" s="125" t="n"/>
      <c r="AQ794" s="125" t="n"/>
      <c r="AR794" s="125" t="n"/>
      <c r="AS794" s="125" t="n"/>
    </row>
    <row r="795" hidden="1" outlineLevel="2">
      <c r="A795" s="8" t="n"/>
      <c r="B795" s="14" t="n"/>
      <c r="C795" s="125" t="n"/>
      <c r="D795" s="125" t="n"/>
      <c r="E795" s="125" t="n"/>
      <c r="F795" s="125" t="n"/>
      <c r="G795" s="125" t="n"/>
      <c r="I795" s="21" t="n"/>
      <c r="M795" s="22" t="n"/>
      <c r="N795" s="125" t="n"/>
      <c r="O795" s="21" t="n"/>
      <c r="S795" s="22" t="n"/>
      <c r="T795" s="125" t="n"/>
      <c r="U795" s="125" t="n"/>
      <c r="V795" s="125" t="n"/>
      <c r="W795" s="125" t="n"/>
      <c r="X795" s="125" t="n"/>
      <c r="Y795" s="125" t="n"/>
      <c r="Z795" s="125" t="n"/>
      <c r="AB795" s="21" t="n"/>
      <c r="AF795" s="22" t="n"/>
      <c r="AG795" s="125" t="n"/>
      <c r="AH795" s="21" t="n"/>
      <c r="AL795" s="22" t="n"/>
      <c r="AM795" s="125" t="n"/>
      <c r="AN795" s="125" t="n"/>
      <c r="AO795" s="125" t="n"/>
      <c r="AP795" s="125" t="n"/>
      <c r="AQ795" s="125" t="n"/>
      <c r="AR795" s="125" t="n"/>
      <c r="AS795" s="125" t="n"/>
    </row>
    <row r="796" hidden="1" outlineLevel="2">
      <c r="A796" s="8" t="n"/>
      <c r="B796" s="14" t="n"/>
      <c r="C796" s="125" t="n"/>
      <c r="D796" s="125" t="n"/>
      <c r="E796" s="125" t="n"/>
      <c r="F796" s="125" t="n"/>
      <c r="G796" s="125" t="n"/>
      <c r="I796" s="23" t="n"/>
      <c r="J796" s="24" t="n"/>
      <c r="K796" s="24" t="n"/>
      <c r="L796" s="24" t="n"/>
      <c r="M796" s="25" t="n"/>
      <c r="N796" s="125" t="n"/>
      <c r="O796" s="23" t="n"/>
      <c r="P796" s="24" t="n"/>
      <c r="Q796" s="24" t="n"/>
      <c r="R796" s="24" t="n"/>
      <c r="S796" s="25" t="n"/>
      <c r="T796" s="125" t="n"/>
      <c r="U796" s="125" t="n"/>
      <c r="V796" s="125" t="n"/>
      <c r="W796" s="125" t="n"/>
      <c r="X796" s="125" t="n"/>
      <c r="Y796" s="125" t="n"/>
      <c r="Z796" s="125" t="n"/>
      <c r="AB796" s="23" t="n"/>
      <c r="AC796" s="24" t="n"/>
      <c r="AD796" s="24" t="n"/>
      <c r="AE796" s="24" t="n"/>
      <c r="AF796" s="25" t="n"/>
      <c r="AG796" s="125" t="n"/>
      <c r="AH796" s="23" t="n"/>
      <c r="AI796" s="24" t="n"/>
      <c r="AJ796" s="24" t="n"/>
      <c r="AK796" s="24" t="n"/>
      <c r="AL796" s="25" t="n"/>
      <c r="AM796" s="125" t="n"/>
      <c r="AN796" s="125" t="n"/>
      <c r="AO796" s="125" t="n"/>
      <c r="AP796" s="125" t="n"/>
      <c r="AQ796" s="125" t="n"/>
      <c r="AR796" s="125" t="n"/>
      <c r="AS796" s="125" t="n"/>
    </row>
    <row r="797" hidden="1" outlineLevel="2">
      <c r="A797" s="8" t="n"/>
      <c r="B797" s="14" t="n"/>
      <c r="C797" s="125" t="n"/>
      <c r="D797" s="125" t="n"/>
      <c r="E797" s="125" t="n"/>
      <c r="F797" s="125" t="n"/>
      <c r="G797" s="125" t="n"/>
      <c r="I797" s="68">
        <f>DADOS_INVOC!$JE$5</f>
        <v/>
      </c>
      <c r="J797" s="16" t="n"/>
      <c r="K797" s="16" t="n"/>
      <c r="L797" s="16" t="n"/>
      <c r="M797" s="17" t="n"/>
      <c r="N797" s="125" t="n"/>
      <c r="O797" s="89" t="n"/>
      <c r="P797" s="17" t="n"/>
      <c r="Q797" s="68">
        <f>DADOS_INVOC!$JG$5</f>
        <v/>
      </c>
      <c r="R797" s="16" t="n"/>
      <c r="S797" s="17" t="n"/>
      <c r="T797" s="125" t="n"/>
      <c r="U797" s="125" t="n"/>
      <c r="V797" s="125" t="n"/>
      <c r="W797" s="125" t="n"/>
      <c r="X797" s="125" t="n"/>
      <c r="Y797" s="125" t="n"/>
      <c r="Z797" s="125" t="n"/>
      <c r="AB797" s="68">
        <f>DADOS_INVOC!$JE$11</f>
        <v/>
      </c>
      <c r="AC797" s="16" t="n"/>
      <c r="AD797" s="16" t="n"/>
      <c r="AE797" s="16" t="n"/>
      <c r="AF797" s="17" t="n"/>
      <c r="AG797" s="125" t="n"/>
      <c r="AH797" s="89" t="n"/>
      <c r="AI797" s="17" t="n"/>
      <c r="AJ797" s="68">
        <f>DADOS_INVOC!$JG$11</f>
        <v/>
      </c>
      <c r="AK797" s="16" t="n"/>
      <c r="AL797" s="17" t="n"/>
      <c r="AM797" s="125" t="n"/>
      <c r="AN797" s="125" t="n"/>
      <c r="AO797" s="125" t="n"/>
      <c r="AP797" s="125" t="n"/>
      <c r="AQ797" s="125" t="n"/>
      <c r="AR797" s="125" t="n"/>
      <c r="AS797" s="125" t="n"/>
    </row>
    <row r="798" hidden="1" outlineLevel="2">
      <c r="A798" s="8" t="n"/>
      <c r="B798" s="14" t="n"/>
      <c r="C798" s="125" t="n"/>
      <c r="D798" s="125" t="n"/>
      <c r="E798" s="125" t="n"/>
      <c r="F798" s="125" t="n"/>
      <c r="G798" s="125" t="n"/>
      <c r="I798" s="89" t="inlineStr">
        <is>
          <t>Sua Ação Completa + a básica dela</t>
        </is>
      </c>
      <c r="J798" s="16" t="n"/>
      <c r="K798" s="16" t="n"/>
      <c r="L798" s="16" t="n"/>
      <c r="M798" s="17" t="n"/>
      <c r="N798" s="125" t="n"/>
      <c r="O798" s="133">
        <f>DADOS_INVOC!$JH$5</f>
        <v/>
      </c>
      <c r="P798" s="16" t="n"/>
      <c r="Q798" s="16" t="n"/>
      <c r="R798" s="16" t="n"/>
      <c r="S798" s="17" t="n"/>
      <c r="T798" s="125" t="n"/>
      <c r="U798" s="125" t="n"/>
      <c r="V798" s="125" t="n"/>
      <c r="W798" s="125" t="n"/>
      <c r="X798" s="125" t="n"/>
      <c r="Y798" s="125" t="n"/>
      <c r="Z798" s="125" t="n"/>
      <c r="AB798" s="89" t="inlineStr">
        <is>
          <t>Sua Ação Completa + a básica dela</t>
        </is>
      </c>
      <c r="AC798" s="16" t="n"/>
      <c r="AD798" s="16" t="n"/>
      <c r="AE798" s="16" t="n"/>
      <c r="AF798" s="17" t="n"/>
      <c r="AG798" s="125" t="n"/>
      <c r="AH798" s="133">
        <f>DADOS_INVOC!$JH$11</f>
        <v/>
      </c>
      <c r="AI798" s="16" t="n"/>
      <c r="AJ798" s="16" t="n"/>
      <c r="AK798" s="16" t="n"/>
      <c r="AL798" s="17" t="n"/>
      <c r="AM798" s="125" t="n"/>
      <c r="AN798" s="125" t="n"/>
      <c r="AO798" s="125" t="n"/>
      <c r="AP798" s="125" t="n"/>
      <c r="AQ798" s="125" t="n"/>
      <c r="AR798" s="125" t="n"/>
      <c r="AS798" s="125" t="n"/>
    </row>
    <row r="799">
      <c r="A799" s="8" t="n"/>
      <c r="B799" s="14" t="n"/>
      <c r="C799" s="125" t="n"/>
      <c r="D799" s="125" t="n"/>
      <c r="E799" s="125" t="n"/>
      <c r="F799" s="125" t="n"/>
      <c r="G799" s="125" t="n"/>
      <c r="H799" s="125" t="n"/>
      <c r="I799" s="125" t="n"/>
      <c r="J799" s="125" t="n"/>
      <c r="K799" s="125" t="n"/>
      <c r="L799" s="125" t="n"/>
      <c r="M799" s="125" t="n"/>
      <c r="N799" s="125" t="n"/>
      <c r="O799" s="125" t="n"/>
      <c r="P799" s="125" t="n"/>
      <c r="Q799" s="125" t="n"/>
      <c r="R799" s="125" t="n"/>
      <c r="S799" s="125" t="n"/>
      <c r="T799" s="125" t="n"/>
      <c r="U799" s="125" t="n"/>
      <c r="V799" s="125" t="n"/>
      <c r="W799" s="125" t="n"/>
      <c r="X799" s="125" t="n"/>
      <c r="Y799" s="125" t="n"/>
      <c r="Z799" s="125" t="n"/>
      <c r="AA799" s="125" t="n"/>
      <c r="AB799" s="125" t="n"/>
      <c r="AC799" s="125" t="n"/>
      <c r="AD799" s="125" t="n"/>
      <c r="AE799" s="125" t="n"/>
      <c r="AF799" s="125" t="n"/>
      <c r="AG799" s="125" t="n"/>
      <c r="AH799" s="125" t="n"/>
      <c r="AI799" s="125" t="n"/>
      <c r="AJ799" s="125" t="n"/>
      <c r="AK799" s="125" t="n"/>
      <c r="AL799" s="125" t="n"/>
      <c r="AM799" s="125" t="n"/>
      <c r="AN799" s="125" t="n"/>
      <c r="AO799" s="125" t="n"/>
      <c r="AP799" s="125" t="n"/>
      <c r="AQ799" s="125" t="n"/>
      <c r="AR799" s="125" t="n"/>
      <c r="AS799" s="125" t="n"/>
    </row>
    <row r="800">
      <c r="A800" s="8" t="n"/>
      <c r="B800" s="14" t="n"/>
      <c r="C800" s="125" t="n"/>
      <c r="D800" s="125" t="n"/>
      <c r="E800" s="125" t="n"/>
      <c r="F800" s="125" t="n"/>
      <c r="G800" s="125" t="n"/>
      <c r="H800" s="125" t="n"/>
      <c r="I800" s="125" t="n"/>
      <c r="J800" s="125" t="n"/>
      <c r="K800" s="125" t="n"/>
      <c r="L800" s="125" t="n"/>
      <c r="M800" s="125" t="n"/>
      <c r="N800" s="125" t="n"/>
      <c r="O800" s="125" t="n"/>
      <c r="P800" s="125" t="n"/>
      <c r="Q800" s="125" t="n"/>
      <c r="R800" s="125" t="n"/>
      <c r="S800" s="125" t="n"/>
      <c r="T800" s="125" t="n"/>
      <c r="U800" s="125" t="n"/>
      <c r="V800" s="125" t="n"/>
      <c r="W800" s="125" t="n"/>
      <c r="X800" s="125" t="n"/>
      <c r="Y800" s="125" t="n"/>
      <c r="Z800" s="125" t="n"/>
      <c r="AA800" s="125" t="n"/>
      <c r="AB800" s="125" t="n"/>
      <c r="AC800" s="125" t="n"/>
      <c r="AD800" s="125" t="n"/>
      <c r="AE800" s="125" t="n"/>
      <c r="AF800" s="125" t="n"/>
      <c r="AG800" s="125" t="n"/>
      <c r="AH800" s="125" t="n"/>
      <c r="AI800" s="125" t="n"/>
      <c r="AJ800" s="125" t="n"/>
      <c r="AK800" s="125" t="n"/>
      <c r="AL800" s="125" t="n"/>
      <c r="AM800" s="125" t="n"/>
      <c r="AN800" s="125" t="n"/>
      <c r="AO800" s="125" t="n"/>
      <c r="AP800" s="125" t="n"/>
      <c r="AQ800" s="125" t="n"/>
      <c r="AR800" s="125" t="n"/>
      <c r="AS800" s="125" t="n"/>
    </row>
    <row r="801">
      <c r="A801" s="8" t="n"/>
      <c r="B801" s="14" t="n"/>
      <c r="C801" s="125" t="n"/>
      <c r="D801" s="125" t="n"/>
      <c r="E801" s="125" t="n"/>
      <c r="F801" s="125" t="n"/>
      <c r="G801" s="125" t="n"/>
      <c r="H801" s="142" t="n">
        <v>5</v>
      </c>
      <c r="I801" s="143" t="n">
        <v>5</v>
      </c>
      <c r="J801" s="128">
        <f>DADOS_INVOC!$HE$6</f>
        <v/>
      </c>
      <c r="K801" s="19" t="n"/>
      <c r="L801" s="19" t="n"/>
      <c r="M801" s="19" t="n"/>
      <c r="N801" s="19" t="n"/>
      <c r="O801" s="19" t="n"/>
      <c r="P801" s="19" t="n"/>
      <c r="Q801" s="19" t="n"/>
      <c r="R801" s="19" t="n"/>
      <c r="S801" s="19" t="n"/>
      <c r="T801" s="19" t="n"/>
      <c r="U801" s="19" t="n"/>
      <c r="V801" s="19" t="n"/>
      <c r="W801" s="19" t="n"/>
      <c r="X801" s="19" t="n"/>
      <c r="Y801" s="20" t="n"/>
      <c r="Z801" s="125" t="n"/>
      <c r="AA801" s="142" t="n">
        <v>11</v>
      </c>
      <c r="AB801" s="143" t="n">
        <v>11</v>
      </c>
      <c r="AC801" s="128">
        <f>DADOS_INVOC!$HE$12</f>
        <v/>
      </c>
      <c r="AD801" s="19" t="n"/>
      <c r="AE801" s="19" t="n"/>
      <c r="AF801" s="19" t="n"/>
      <c r="AG801" s="19" t="n"/>
      <c r="AH801" s="19" t="n"/>
      <c r="AI801" s="19" t="n"/>
      <c r="AJ801" s="19" t="n"/>
      <c r="AK801" s="19" t="n"/>
      <c r="AL801" s="19" t="n"/>
      <c r="AM801" s="19" t="n"/>
      <c r="AN801" s="19" t="n"/>
      <c r="AO801" s="19" t="n"/>
      <c r="AP801" s="19" t="n"/>
      <c r="AQ801" s="19" t="n"/>
      <c r="AR801" s="20" t="n"/>
      <c r="AS801" s="125" t="n"/>
    </row>
    <row r="802">
      <c r="A802" s="8" t="n"/>
      <c r="B802" s="14" t="n"/>
      <c r="C802" s="125" t="n"/>
      <c r="D802" s="125" t="n"/>
      <c r="E802" s="125" t="n"/>
      <c r="F802" s="125" t="n"/>
      <c r="G802" s="125" t="n"/>
      <c r="I802" s="129" t="n"/>
      <c r="J802" s="23" t="n"/>
      <c r="K802" s="24" t="n"/>
      <c r="L802" s="24" t="n"/>
      <c r="M802" s="24" t="n"/>
      <c r="N802" s="24" t="n"/>
      <c r="O802" s="24" t="n"/>
      <c r="P802" s="24" t="n"/>
      <c r="Q802" s="24" t="n"/>
      <c r="R802" s="24" t="n"/>
      <c r="S802" s="24" t="n"/>
      <c r="T802" s="24" t="n"/>
      <c r="U802" s="24" t="n"/>
      <c r="V802" s="24" t="n"/>
      <c r="W802" s="24" t="n"/>
      <c r="X802" s="24" t="n"/>
      <c r="Y802" s="25" t="n"/>
      <c r="Z802" s="125" t="n"/>
      <c r="AB802" s="129" t="n"/>
      <c r="AC802" s="23" t="n"/>
      <c r="AD802" s="24" t="n"/>
      <c r="AE802" s="24" t="n"/>
      <c r="AF802" s="24" t="n"/>
      <c r="AG802" s="24" t="n"/>
      <c r="AH802" s="24" t="n"/>
      <c r="AI802" s="24" t="n"/>
      <c r="AJ802" s="24" t="n"/>
      <c r="AK802" s="24" t="n"/>
      <c r="AL802" s="24" t="n"/>
      <c r="AM802" s="24" t="n"/>
      <c r="AN802" s="24" t="n"/>
      <c r="AO802" s="24" t="n"/>
      <c r="AP802" s="24" t="n"/>
      <c r="AQ802" s="24" t="n"/>
      <c r="AR802" s="25" t="n"/>
      <c r="AS802" s="125" t="n"/>
    </row>
    <row r="803" hidden="1" outlineLevel="1">
      <c r="A803" s="8" t="n"/>
      <c r="B803" s="14" t="n"/>
      <c r="C803" s="125" t="n"/>
      <c r="D803" s="125" t="n"/>
      <c r="E803" s="125" t="n"/>
      <c r="F803" s="125" t="n"/>
      <c r="G803" s="125" t="n"/>
      <c r="H803" s="144">
        <f>DADOS_INVOC!$HF$6</f>
        <v/>
      </c>
      <c r="I803" s="125" t="n"/>
      <c r="J803" s="125" t="n"/>
      <c r="K803" s="125" t="n"/>
      <c r="L803" s="125" t="n"/>
      <c r="M803" s="125" t="n"/>
      <c r="N803" s="125" t="n"/>
      <c r="O803" s="125" t="n"/>
      <c r="P803" s="125" t="n"/>
      <c r="Q803" s="125" t="n"/>
      <c r="R803" s="125" t="n"/>
      <c r="S803" s="125" t="n"/>
      <c r="T803" s="125" t="n"/>
      <c r="U803" s="125" t="n"/>
      <c r="V803" s="125" t="n"/>
      <c r="W803" s="125" t="n"/>
      <c r="X803" s="125" t="n"/>
      <c r="Y803" s="125" t="n"/>
      <c r="Z803" s="125" t="n"/>
      <c r="AA803" s="144">
        <f>DADOS_INVOC!$HF$12</f>
        <v/>
      </c>
      <c r="AB803" s="125" t="n"/>
      <c r="AC803" s="125" t="n"/>
      <c r="AD803" s="125" t="n"/>
      <c r="AE803" s="125" t="n"/>
      <c r="AF803" s="125" t="n"/>
      <c r="AG803" s="125" t="n"/>
      <c r="AH803" s="125" t="n"/>
      <c r="AI803" s="125" t="n"/>
      <c r="AJ803" s="125" t="n"/>
      <c r="AK803" s="125" t="n"/>
      <c r="AL803" s="125" t="n"/>
      <c r="AM803" s="125" t="n"/>
      <c r="AN803" s="125" t="n"/>
      <c r="AO803" s="125" t="n"/>
      <c r="AP803" s="125" t="n"/>
      <c r="AQ803" s="125" t="n"/>
      <c r="AR803" s="125" t="n"/>
      <c r="AS803" s="125" t="n"/>
    </row>
    <row r="804" hidden="1" outlineLevel="1">
      <c r="A804" s="8" t="n"/>
      <c r="B804" s="14" t="n"/>
      <c r="C804" s="125" t="n"/>
      <c r="D804" s="125" t="n"/>
      <c r="E804" s="125" t="n"/>
      <c r="F804" s="125" t="n"/>
      <c r="G804" s="125" t="n"/>
      <c r="I804" s="55" t="inlineStr">
        <is>
          <t>NOME</t>
        </is>
      </c>
      <c r="J804" s="16" t="n"/>
      <c r="K804" s="16" t="n"/>
      <c r="L804" s="16" t="n"/>
      <c r="M804" s="17" t="n"/>
      <c r="N804" s="125" t="n"/>
      <c r="O804" s="55" t="inlineStr">
        <is>
          <t>NÍVEL</t>
        </is>
      </c>
      <c r="P804" s="55" t="inlineStr">
        <is>
          <t>CLASSE</t>
        </is>
      </c>
      <c r="Q804" s="55" t="inlineStr">
        <is>
          <t>MAESTRIA</t>
        </is>
      </c>
      <c r="R804" s="55" t="inlineStr">
        <is>
          <t>ENTRADA</t>
        </is>
      </c>
      <c r="S804" s="55" t="inlineStr">
        <is>
          <t>RETORNO</t>
        </is>
      </c>
      <c r="T804" s="125" t="n"/>
      <c r="U804" s="55" t="inlineStr">
        <is>
          <t>VIDA ATUAL</t>
        </is>
      </c>
      <c r="V804" s="55" t="inlineStr">
        <is>
          <t>VIDA MÁXIMA</t>
        </is>
      </c>
      <c r="W804" s="55" t="inlineStr">
        <is>
          <t>TEMPORÁRIA</t>
        </is>
      </c>
      <c r="X804" s="55" t="inlineStr">
        <is>
          <t>± PERDA / GANHO</t>
        </is>
      </c>
      <c r="Y804" s="55">
        <f>DADOS_INVOC!$HZ$6</f>
        <v/>
      </c>
      <c r="Z804" s="125" t="n"/>
      <c r="AB804" s="55" t="inlineStr">
        <is>
          <t>NOME</t>
        </is>
      </c>
      <c r="AC804" s="16" t="n"/>
      <c r="AD804" s="16" t="n"/>
      <c r="AE804" s="16" t="n"/>
      <c r="AF804" s="17" t="n"/>
      <c r="AG804" s="125" t="n"/>
      <c r="AH804" s="55" t="inlineStr">
        <is>
          <t>NÍVEL</t>
        </is>
      </c>
      <c r="AI804" s="55" t="inlineStr">
        <is>
          <t>CLASSE</t>
        </is>
      </c>
      <c r="AJ804" s="55" t="inlineStr">
        <is>
          <t>MAESTRIA</t>
        </is>
      </c>
      <c r="AK804" s="55" t="inlineStr">
        <is>
          <t>ENTRADA</t>
        </is>
      </c>
      <c r="AL804" s="55" t="inlineStr">
        <is>
          <t>RETORNO</t>
        </is>
      </c>
      <c r="AM804" s="125" t="n"/>
      <c r="AN804" s="55" t="inlineStr">
        <is>
          <t>VIDA ATUAL</t>
        </is>
      </c>
      <c r="AO804" s="55" t="inlineStr">
        <is>
          <t>VIDA MÁXIMA</t>
        </is>
      </c>
      <c r="AP804" s="55" t="inlineStr">
        <is>
          <t>TEMPORÁRIA</t>
        </is>
      </c>
      <c r="AQ804" s="55" t="inlineStr">
        <is>
          <t>± PERDA / GANHO</t>
        </is>
      </c>
      <c r="AR804" s="55">
        <f>DADOS_INVOC!$HZ$12</f>
        <v/>
      </c>
      <c r="AS804" s="125" t="n"/>
    </row>
    <row r="805" hidden="1" outlineLevel="1">
      <c r="A805" s="8" t="n"/>
      <c r="B805" s="14" t="n"/>
      <c r="C805" s="125" t="n"/>
      <c r="D805" s="125" t="n"/>
      <c r="E805" s="125" t="n"/>
      <c r="F805" s="125" t="n"/>
      <c r="G805" s="125" t="n"/>
      <c r="I805" s="84" t="n"/>
      <c r="J805" s="19" t="n"/>
      <c r="K805" s="19" t="n"/>
      <c r="L805" s="19" t="n"/>
      <c r="M805" s="20" t="n"/>
      <c r="N805" s="125" t="n"/>
      <c r="O805" s="98">
        <f>DADOS_INVOC!$FM$6</f>
        <v/>
      </c>
      <c r="P805" s="98">
        <f>DADOS_INVOC!$FN$6</f>
        <v/>
      </c>
      <c r="Q805" s="98">
        <f>DADOS_INVOC!$HG$6</f>
        <v/>
      </c>
      <c r="R805" s="98">
        <f>DADOS_INVOC!$HH$6</f>
        <v/>
      </c>
      <c r="S805" s="98">
        <f>DADOS_INVOC!$HI$6</f>
        <v/>
      </c>
      <c r="T805" s="125" t="n"/>
      <c r="U805" s="98">
        <f>DADOS_INVOC!$GE$6</f>
        <v/>
      </c>
      <c r="V805" s="98">
        <f>DADOS_INVOC!$GD$6</f>
        <v/>
      </c>
      <c r="W805" s="98" t="n"/>
      <c r="X805" s="98" t="n"/>
      <c r="Y805" s="98" t="n"/>
      <c r="Z805" s="125" t="n"/>
      <c r="AB805" s="84" t="n"/>
      <c r="AC805" s="19" t="n"/>
      <c r="AD805" s="19" t="n"/>
      <c r="AE805" s="19" t="n"/>
      <c r="AF805" s="20" t="n"/>
      <c r="AG805" s="125" t="n"/>
      <c r="AH805" s="98">
        <f>DADOS_INVOC!$FM$12</f>
        <v/>
      </c>
      <c r="AI805" s="98">
        <f>DADOS_INVOC!$FN$12</f>
        <v/>
      </c>
      <c r="AJ805" s="98">
        <f>DADOS_INVOC!$HG$12</f>
        <v/>
      </c>
      <c r="AK805" s="98">
        <f>DADOS_INVOC!$HH$12</f>
        <v/>
      </c>
      <c r="AL805" s="98">
        <f>DADOS_INVOC!$HI$12</f>
        <v/>
      </c>
      <c r="AM805" s="125" t="n"/>
      <c r="AN805" s="98">
        <f>DADOS_INVOC!$GE$12</f>
        <v/>
      </c>
      <c r="AO805" s="98">
        <f>DADOS_INVOC!$GD$12</f>
        <v/>
      </c>
      <c r="AP805" s="98" t="n"/>
      <c r="AQ805" s="98" t="n"/>
      <c r="AR805" s="98" t="n"/>
      <c r="AS805" s="125" t="n"/>
    </row>
    <row r="806" hidden="1" outlineLevel="1">
      <c r="A806" s="8" t="n"/>
      <c r="B806" s="14" t="n"/>
      <c r="C806" s="125" t="n"/>
      <c r="D806" s="125" t="n"/>
      <c r="E806" s="125" t="n"/>
      <c r="F806" s="125" t="n"/>
      <c r="G806" s="125" t="n"/>
      <c r="I806" s="23" t="n"/>
      <c r="J806" s="24" t="n"/>
      <c r="K806" s="24" t="n"/>
      <c r="L806" s="24" t="n"/>
      <c r="M806" s="25" t="n"/>
      <c r="N806" s="125" t="n"/>
      <c r="O806" s="129" t="n"/>
      <c r="P806" s="129" t="n"/>
      <c r="Q806" s="129" t="n"/>
      <c r="R806" s="129" t="n"/>
      <c r="S806" s="129" t="n"/>
      <c r="T806" s="125" t="n"/>
      <c r="U806" s="129" t="n"/>
      <c r="V806" s="129" t="n"/>
      <c r="W806" s="129" t="n"/>
      <c r="X806" s="129" t="n"/>
      <c r="Y806" s="129" t="n"/>
      <c r="Z806" s="125" t="n"/>
      <c r="AB806" s="23" t="n"/>
      <c r="AC806" s="24" t="n"/>
      <c r="AD806" s="24" t="n"/>
      <c r="AE806" s="24" t="n"/>
      <c r="AF806" s="25" t="n"/>
      <c r="AG806" s="125" t="n"/>
      <c r="AH806" s="129" t="n"/>
      <c r="AI806" s="129" t="n"/>
      <c r="AJ806" s="129" t="n"/>
      <c r="AK806" s="129" t="n"/>
      <c r="AL806" s="129" t="n"/>
      <c r="AM806" s="125" t="n"/>
      <c r="AN806" s="129" t="n"/>
      <c r="AO806" s="129" t="n"/>
      <c r="AP806" s="129" t="n"/>
      <c r="AQ806" s="129" t="n"/>
      <c r="AR806" s="129" t="n"/>
      <c r="AS806" s="125" t="n"/>
    </row>
    <row r="807" hidden="1" outlineLevel="1">
      <c r="A807" s="8" t="n"/>
      <c r="B807" s="14" t="n"/>
      <c r="C807" s="125" t="n"/>
      <c r="D807" s="125" t="n"/>
      <c r="E807" s="125" t="n"/>
      <c r="F807" s="125" t="n"/>
      <c r="G807" s="125" t="n"/>
      <c r="I807" s="145" t="inlineStr">
        <is>
          <t>FOTO
式神</t>
        </is>
      </c>
      <c r="J807" s="19" t="n"/>
      <c r="K807" s="19" t="n"/>
      <c r="L807" s="19" t="n"/>
      <c r="M807" s="20" t="n"/>
      <c r="N807" s="125" t="n"/>
      <c r="O807" s="125" t="n"/>
      <c r="P807" s="125" t="n"/>
      <c r="Q807" s="125" t="n"/>
      <c r="R807" s="125" t="n"/>
      <c r="S807" s="125" t="n"/>
      <c r="T807" s="125" t="n"/>
      <c r="U807" s="134">
        <f>IFERROR(SPARKLINE(DADOS_INVOC!$GF$6,{"charttype","bar";"max",MAX(1,DADOS_INVOC!$GD$6);"color1",DADOS_INVOC!$CZ$12}),"")</f>
        <v/>
      </c>
      <c r="V807" s="16" t="n"/>
      <c r="W807" s="16" t="n"/>
      <c r="X807" s="16" t="n"/>
      <c r="Y807" s="17" t="n"/>
      <c r="Z807" s="125" t="n"/>
      <c r="AB807" s="145" t="inlineStr">
        <is>
          <t>FOTO
式神</t>
        </is>
      </c>
      <c r="AC807" s="19" t="n"/>
      <c r="AD807" s="19" t="n"/>
      <c r="AE807" s="19" t="n"/>
      <c r="AF807" s="20" t="n"/>
      <c r="AG807" s="125" t="n"/>
      <c r="AH807" s="125" t="n"/>
      <c r="AI807" s="125" t="n"/>
      <c r="AJ807" s="125" t="n"/>
      <c r="AK807" s="125" t="n"/>
      <c r="AL807" s="125" t="n"/>
      <c r="AM807" s="125" t="n"/>
      <c r="AN807" s="134">
        <f>IFERROR(SPARKLINE(DADOS_INVOC!$GF$12,{"charttype","bar";"max",MAX(1,DADOS_INVOC!$GD$12);"color1",DADOS_INVOC!$CZ$12}),"")</f>
        <v/>
      </c>
      <c r="AO807" s="16" t="n"/>
      <c r="AP807" s="16" t="n"/>
      <c r="AQ807" s="16" t="n"/>
      <c r="AR807" s="17" t="n"/>
      <c r="AS807" s="125" t="n"/>
    </row>
    <row r="808" hidden="1" outlineLevel="1">
      <c r="A808" s="8" t="n"/>
      <c r="B808" s="14" t="n"/>
      <c r="C808" s="125" t="n"/>
      <c r="D808" s="125" t="n"/>
      <c r="E808" s="125" t="n"/>
      <c r="F808" s="125" t="n"/>
      <c r="G808" s="125" t="n"/>
      <c r="I808" s="21" t="n"/>
      <c r="M808" s="22" t="n"/>
      <c r="N808" s="125" t="n"/>
      <c r="O808" s="55">
        <f>DADOS_INVOC!$HJ$6</f>
        <v/>
      </c>
      <c r="P808" s="16" t="n"/>
      <c r="Q808" s="16" t="n"/>
      <c r="R808" s="16" t="n"/>
      <c r="S808" s="17" t="n"/>
      <c r="T808" s="125" t="n"/>
      <c r="U808" s="125" t="n"/>
      <c r="V808" s="125" t="n"/>
      <c r="W808" s="125" t="n"/>
      <c r="X808" s="125" t="n"/>
      <c r="Y808" s="125" t="n"/>
      <c r="Z808" s="125" t="n"/>
      <c r="AB808" s="21" t="n"/>
      <c r="AF808" s="22" t="n"/>
      <c r="AG808" s="125" t="n"/>
      <c r="AH808" s="55">
        <f>DADOS_INVOC!$HJ$12</f>
        <v/>
      </c>
      <c r="AI808" s="16" t="n"/>
      <c r="AJ808" s="16" t="n"/>
      <c r="AK808" s="16" t="n"/>
      <c r="AL808" s="17" t="n"/>
      <c r="AM808" s="125" t="n"/>
      <c r="AN808" s="125" t="n"/>
      <c r="AO808" s="125" t="n"/>
      <c r="AP808" s="125" t="n"/>
      <c r="AQ808" s="125" t="n"/>
      <c r="AR808" s="125" t="n"/>
      <c r="AS808" s="125" t="n"/>
    </row>
    <row r="809" hidden="1" outlineLevel="1">
      <c r="A809" s="8" t="n"/>
      <c r="B809" s="14" t="n"/>
      <c r="C809" s="125" t="n"/>
      <c r="D809" s="125" t="n"/>
      <c r="E809" s="125" t="n"/>
      <c r="F809" s="125" t="n"/>
      <c r="G809" s="125" t="n"/>
      <c r="I809" s="21" t="n"/>
      <c r="M809" s="22" t="n"/>
      <c r="N809" s="125" t="n"/>
      <c r="O809" s="55" t="inlineStr">
        <is>
          <t>FOR</t>
        </is>
      </c>
      <c r="P809" s="55" t="inlineStr">
        <is>
          <t>DES</t>
        </is>
      </c>
      <c r="Q809" s="55" t="inlineStr">
        <is>
          <t>CON</t>
        </is>
      </c>
      <c r="R809" s="55" t="inlineStr">
        <is>
          <t>INT</t>
        </is>
      </c>
      <c r="S809" s="55" t="inlineStr">
        <is>
          <t>ESS</t>
        </is>
      </c>
      <c r="T809" s="125" t="n"/>
      <c r="U809" s="55" t="inlineStr">
        <is>
          <t>ALMA</t>
        </is>
      </c>
      <c r="V809" s="55" t="inlineStr">
        <is>
          <t>INTEGRIDADE ATUAL</t>
        </is>
      </c>
      <c r="W809" s="55" t="inlineStr">
        <is>
          <t>INTEGRIDADE MÁXIMA</t>
        </is>
      </c>
      <c r="X809" s="55" t="inlineStr">
        <is>
          <t>ESTÁGIO</t>
        </is>
      </c>
      <c r="Y809" s="17" t="n"/>
      <c r="Z809" s="125" t="n"/>
      <c r="AB809" s="21" t="n"/>
      <c r="AF809" s="22" t="n"/>
      <c r="AG809" s="125" t="n"/>
      <c r="AH809" s="55" t="inlineStr">
        <is>
          <t>FOR</t>
        </is>
      </c>
      <c r="AI809" s="55" t="inlineStr">
        <is>
          <t>DES</t>
        </is>
      </c>
      <c r="AJ809" s="55" t="inlineStr">
        <is>
          <t>CON</t>
        </is>
      </c>
      <c r="AK809" s="55" t="inlineStr">
        <is>
          <t>INT</t>
        </is>
      </c>
      <c r="AL809" s="55" t="inlineStr">
        <is>
          <t>ESS</t>
        </is>
      </c>
      <c r="AM809" s="125" t="n"/>
      <c r="AN809" s="55" t="inlineStr">
        <is>
          <t>ALMA</t>
        </is>
      </c>
      <c r="AO809" s="55" t="inlineStr">
        <is>
          <t>INTEGRIDADE ATUAL</t>
        </is>
      </c>
      <c r="AP809" s="55" t="inlineStr">
        <is>
          <t>INTEGRIDADE MÁXIMA</t>
        </is>
      </c>
      <c r="AQ809" s="55" t="inlineStr">
        <is>
          <t>ESTÁGIO</t>
        </is>
      </c>
      <c r="AR809" s="17" t="n"/>
      <c r="AS809" s="125" t="n"/>
    </row>
    <row r="810" hidden="1" outlineLevel="1">
      <c r="A810" s="8" t="n"/>
      <c r="B810" s="14" t="n"/>
      <c r="C810" s="125" t="n"/>
      <c r="D810" s="125" t="n"/>
      <c r="E810" s="125" t="n"/>
      <c r="F810" s="125" t="n"/>
      <c r="G810" s="125" t="n"/>
      <c r="I810" s="21" t="n"/>
      <c r="M810" s="22" t="n"/>
      <c r="N810" s="125" t="n"/>
      <c r="O810" s="98">
        <f>DADOS_INVOC!$FP$6</f>
        <v/>
      </c>
      <c r="P810" s="98">
        <f>DADOS_INVOC!$FQ$6</f>
        <v/>
      </c>
      <c r="Q810" s="98">
        <f>DADOS_INVOC!$FR$6</f>
        <v/>
      </c>
      <c r="R810" s="98">
        <f>DADOS_INVOC!$FS$6</f>
        <v/>
      </c>
      <c r="S810" s="98">
        <f>DADOS_INVOC!$FT$6</f>
        <v/>
      </c>
      <c r="T810" s="125" t="n"/>
      <c r="U810" s="89" t="inlineStr">
        <is>
          <t>Com alma</t>
        </is>
      </c>
      <c r="V810" s="98">
        <f>DADOS_INVOC!$GH$6</f>
        <v/>
      </c>
      <c r="W810" s="98">
        <f>DADOS_INVOC!$GJ$6</f>
        <v/>
      </c>
      <c r="X810" s="89">
        <f>DADOS_INVOC!$GK$6</f>
        <v/>
      </c>
      <c r="Y810" s="20" t="n"/>
      <c r="Z810" s="125" t="n"/>
      <c r="AB810" s="21" t="n"/>
      <c r="AF810" s="22" t="n"/>
      <c r="AG810" s="125" t="n"/>
      <c r="AH810" s="98">
        <f>DADOS_INVOC!$FP$12</f>
        <v/>
      </c>
      <c r="AI810" s="98">
        <f>DADOS_INVOC!$FQ$12</f>
        <v/>
      </c>
      <c r="AJ810" s="98">
        <f>DADOS_INVOC!$FR$12</f>
        <v/>
      </c>
      <c r="AK810" s="98">
        <f>DADOS_INVOC!$FS$12</f>
        <v/>
      </c>
      <c r="AL810" s="98">
        <f>DADOS_INVOC!$FT$12</f>
        <v/>
      </c>
      <c r="AM810" s="125" t="n"/>
      <c r="AN810" s="89" t="inlineStr">
        <is>
          <t>Com alma</t>
        </is>
      </c>
      <c r="AO810" s="98">
        <f>DADOS_INVOC!$GH$12</f>
        <v/>
      </c>
      <c r="AP810" s="98">
        <f>DADOS_INVOC!$GJ$12</f>
        <v/>
      </c>
      <c r="AQ810" s="89">
        <f>DADOS_INVOC!$GK$12</f>
        <v/>
      </c>
      <c r="AR810" s="20" t="n"/>
      <c r="AS810" s="125" t="n"/>
    </row>
    <row r="811" hidden="1" outlineLevel="1">
      <c r="A811" s="8" t="n"/>
      <c r="B811" s="14" t="n"/>
      <c r="C811" s="125" t="n"/>
      <c r="D811" s="125" t="n"/>
      <c r="E811" s="125" t="n"/>
      <c r="F811" s="125" t="n"/>
      <c r="G811" s="125" t="n"/>
      <c r="I811" s="21" t="n"/>
      <c r="M811" s="22" t="n"/>
      <c r="N811" s="125" t="n"/>
      <c r="O811" s="129" t="n"/>
      <c r="P811" s="129" t="n"/>
      <c r="Q811" s="129" t="n"/>
      <c r="R811" s="129" t="n"/>
      <c r="S811" s="129" t="n"/>
      <c r="T811" s="125" t="n"/>
      <c r="U811" s="129" t="n"/>
      <c r="V811" s="129" t="n"/>
      <c r="W811" s="129" t="n"/>
      <c r="X811" s="23" t="n"/>
      <c r="Y811" s="25" t="n"/>
      <c r="Z811" s="125" t="n"/>
      <c r="AB811" s="21" t="n"/>
      <c r="AF811" s="22" t="n"/>
      <c r="AG811" s="125" t="n"/>
      <c r="AH811" s="129" t="n"/>
      <c r="AI811" s="129" t="n"/>
      <c r="AJ811" s="129" t="n"/>
      <c r="AK811" s="129" t="n"/>
      <c r="AL811" s="129" t="n"/>
      <c r="AM811" s="125" t="n"/>
      <c r="AN811" s="129" t="n"/>
      <c r="AO811" s="129" t="n"/>
      <c r="AP811" s="129" t="n"/>
      <c r="AQ811" s="23" t="n"/>
      <c r="AR811" s="25" t="n"/>
      <c r="AS811" s="125" t="n"/>
    </row>
    <row r="812" hidden="1" outlineLevel="1">
      <c r="A812" s="8" t="n"/>
      <c r="B812" s="14" t="n"/>
      <c r="C812" s="125" t="n"/>
      <c r="D812" s="125" t="n"/>
      <c r="E812" s="125" t="n"/>
      <c r="F812" s="125" t="n"/>
      <c r="G812" s="125" t="n"/>
      <c r="I812" s="21" t="n"/>
      <c r="M812" s="22" t="n"/>
      <c r="N812" s="125" t="n"/>
      <c r="O812" s="146" t="n">
        <v>0</v>
      </c>
      <c r="P812" s="146" t="n">
        <v>0</v>
      </c>
      <c r="Q812" s="146" t="n">
        <v>0</v>
      </c>
      <c r="R812" s="146" t="n">
        <v>0</v>
      </c>
      <c r="S812" s="146" t="n">
        <v>0</v>
      </c>
      <c r="T812" s="125" t="n"/>
      <c r="U812" s="125" t="n"/>
      <c r="V812" s="125" t="n"/>
      <c r="W812" s="125" t="n"/>
      <c r="X812" s="125" t="n"/>
      <c r="Y812" s="125" t="n"/>
      <c r="Z812" s="125" t="n"/>
      <c r="AB812" s="21" t="n"/>
      <c r="AF812" s="22" t="n"/>
      <c r="AG812" s="125" t="n"/>
      <c r="AH812" s="146" t="n">
        <v>0</v>
      </c>
      <c r="AI812" s="146" t="n">
        <v>0</v>
      </c>
      <c r="AJ812" s="146" t="n">
        <v>0</v>
      </c>
      <c r="AK812" s="146" t="n">
        <v>0</v>
      </c>
      <c r="AL812" s="146" t="n">
        <v>0</v>
      </c>
      <c r="AM812" s="125" t="n"/>
      <c r="AN812" s="125" t="n"/>
      <c r="AO812" s="125" t="n"/>
      <c r="AP812" s="125" t="n"/>
      <c r="AQ812" s="125" t="n"/>
      <c r="AR812" s="125" t="n"/>
      <c r="AS812" s="125" t="n"/>
    </row>
    <row r="813" hidden="1" outlineLevel="1">
      <c r="A813" s="8" t="n"/>
      <c r="B813" s="14" t="n"/>
      <c r="C813" s="125" t="n"/>
      <c r="D813" s="125" t="n"/>
      <c r="E813" s="125" t="n"/>
      <c r="F813" s="125" t="n"/>
      <c r="G813" s="125" t="n"/>
      <c r="I813" s="21" t="n"/>
      <c r="M813" s="22" t="n"/>
      <c r="N813" s="125" t="n"/>
      <c r="O813" s="147" t="n">
        <v>0</v>
      </c>
      <c r="P813" s="147" t="n">
        <v>0</v>
      </c>
      <c r="Q813" s="147" t="n">
        <v>0</v>
      </c>
      <c r="R813" s="147" t="n">
        <v>0</v>
      </c>
      <c r="S813" s="147" t="n">
        <v>0</v>
      </c>
      <c r="T813" s="125" t="n"/>
      <c r="U813" s="55" t="inlineStr">
        <is>
          <t>CONDIÇÕES E USOS GASTOS</t>
        </is>
      </c>
      <c r="V813" s="16" t="n"/>
      <c r="W813" s="16" t="n"/>
      <c r="X813" s="16" t="n"/>
      <c r="Y813" s="17" t="n"/>
      <c r="Z813" s="125" t="n"/>
      <c r="AB813" s="21" t="n"/>
      <c r="AF813" s="22" t="n"/>
      <c r="AG813" s="125" t="n"/>
      <c r="AH813" s="147" t="n">
        <v>0</v>
      </c>
      <c r="AI813" s="147" t="n">
        <v>0</v>
      </c>
      <c r="AJ813" s="147" t="n">
        <v>0</v>
      </c>
      <c r="AK813" s="147" t="n">
        <v>0</v>
      </c>
      <c r="AL813" s="147" t="n">
        <v>0</v>
      </c>
      <c r="AM813" s="125" t="n"/>
      <c r="AN813" s="55" t="inlineStr">
        <is>
          <t>CONDIÇÕES E USOS GASTOS</t>
        </is>
      </c>
      <c r="AO813" s="16" t="n"/>
      <c r="AP813" s="16" t="n"/>
      <c r="AQ813" s="16" t="n"/>
      <c r="AR813" s="17" t="n"/>
      <c r="AS813" s="125" t="n"/>
    </row>
    <row r="814" hidden="1" outlineLevel="1">
      <c r="A814" s="8" t="n"/>
      <c r="B814" s="14" t="n"/>
      <c r="C814" s="125" t="n"/>
      <c r="D814" s="125" t="n"/>
      <c r="E814" s="125" t="n"/>
      <c r="F814" s="125" t="n"/>
      <c r="G814" s="125" t="n"/>
      <c r="I814" s="21" t="n"/>
      <c r="M814" s="22" t="n"/>
      <c r="N814" s="125" t="n"/>
      <c r="O814" s="125" t="n"/>
      <c r="P814" s="125" t="n"/>
      <c r="Q814" s="125" t="n"/>
      <c r="R814" s="125" t="n"/>
      <c r="S814" s="125" t="n"/>
      <c r="T814" s="125" t="n"/>
      <c r="U814" s="121" t="n"/>
      <c r="V814" s="19" t="n"/>
      <c r="W814" s="19" t="n"/>
      <c r="X814" s="19" t="n"/>
      <c r="Y814" s="20" t="n"/>
      <c r="Z814" s="125" t="n"/>
      <c r="AB814" s="21" t="n"/>
      <c r="AF814" s="22" t="n"/>
      <c r="AG814" s="125" t="n"/>
      <c r="AH814" s="125" t="n"/>
      <c r="AI814" s="125" t="n"/>
      <c r="AJ814" s="125" t="n"/>
      <c r="AK814" s="125" t="n"/>
      <c r="AL814" s="125" t="n"/>
      <c r="AM814" s="125" t="n"/>
      <c r="AN814" s="121" t="n"/>
      <c r="AO814" s="19" t="n"/>
      <c r="AP814" s="19" t="n"/>
      <c r="AQ814" s="19" t="n"/>
      <c r="AR814" s="20" t="n"/>
      <c r="AS814" s="125" t="n"/>
    </row>
    <row r="815" hidden="1" outlineLevel="1">
      <c r="A815" s="8" t="n"/>
      <c r="B815" s="14" t="n"/>
      <c r="C815" s="125" t="n"/>
      <c r="D815" s="125" t="n"/>
      <c r="E815" s="125" t="n"/>
      <c r="F815" s="125" t="n"/>
      <c r="G815" s="125" t="n"/>
      <c r="I815" s="21" t="n"/>
      <c r="M815" s="22" t="n"/>
      <c r="N815" s="125" t="n"/>
      <c r="O815" s="55" t="inlineStr">
        <is>
          <t>ATAQUE</t>
        </is>
      </c>
      <c r="P815" s="55" t="inlineStr">
        <is>
          <t>CD</t>
        </is>
      </c>
      <c r="Q815" s="55" t="inlineStr">
        <is>
          <t>DEFESA</t>
        </is>
      </c>
      <c r="R815" s="55" t="inlineStr">
        <is>
          <t>VIDA MÁXIMA</t>
        </is>
      </c>
      <c r="S815" s="55" t="inlineStr">
        <is>
          <t>DESLOCAMENTO</t>
        </is>
      </c>
      <c r="T815" s="125" t="n"/>
      <c r="U815" s="21" t="n"/>
      <c r="Y815" s="22" t="n"/>
      <c r="Z815" s="125" t="n"/>
      <c r="AB815" s="21" t="n"/>
      <c r="AF815" s="22" t="n"/>
      <c r="AG815" s="125" t="n"/>
      <c r="AH815" s="55" t="inlineStr">
        <is>
          <t>ATAQUE</t>
        </is>
      </c>
      <c r="AI815" s="55" t="inlineStr">
        <is>
          <t>CD</t>
        </is>
      </c>
      <c r="AJ815" s="55" t="inlineStr">
        <is>
          <t>DEFESA</t>
        </is>
      </c>
      <c r="AK815" s="55" t="inlineStr">
        <is>
          <t>VIDA MÁXIMA</t>
        </is>
      </c>
      <c r="AL815" s="55" t="inlineStr">
        <is>
          <t>DESLOCAMENTO</t>
        </is>
      </c>
      <c r="AM815" s="125" t="n"/>
      <c r="AN815" s="21" t="n"/>
      <c r="AR815" s="22" t="n"/>
      <c r="AS815" s="125" t="n"/>
    </row>
    <row r="816" hidden="1" outlineLevel="1">
      <c r="A816" s="8" t="n"/>
      <c r="B816" s="14" t="n"/>
      <c r="C816" s="125" t="n"/>
      <c r="D816" s="125" t="n"/>
      <c r="E816" s="125" t="n"/>
      <c r="F816" s="125" t="n"/>
      <c r="G816" s="125" t="n"/>
      <c r="I816" s="21" t="n"/>
      <c r="M816" s="22" t="n"/>
      <c r="N816" s="125" t="n"/>
      <c r="O816" s="98">
        <f>DADOS_INVOC!$HK$6</f>
        <v/>
      </c>
      <c r="P816" s="98">
        <f>DADOS_INVOC!$HL$6</f>
        <v/>
      </c>
      <c r="Q816" s="98">
        <f>DADOS_INVOC!$GB$6</f>
        <v/>
      </c>
      <c r="R816" s="98">
        <f>DADOS_INVOC!$GD$6</f>
        <v/>
      </c>
      <c r="S816" s="98">
        <f>DADOS_INVOC!$HM$6</f>
        <v/>
      </c>
      <c r="T816" s="125" t="n"/>
      <c r="U816" s="23" t="n"/>
      <c r="V816" s="24" t="n"/>
      <c r="W816" s="24" t="n"/>
      <c r="X816" s="24" t="n"/>
      <c r="Y816" s="25" t="n"/>
      <c r="Z816" s="125" t="n"/>
      <c r="AB816" s="21" t="n"/>
      <c r="AF816" s="22" t="n"/>
      <c r="AG816" s="125" t="n"/>
      <c r="AH816" s="98">
        <f>DADOS_INVOC!$HK$12</f>
        <v/>
      </c>
      <c r="AI816" s="98">
        <f>DADOS_INVOC!$HL$12</f>
        <v/>
      </c>
      <c r="AJ816" s="98">
        <f>DADOS_INVOC!$GB$12</f>
        <v/>
      </c>
      <c r="AK816" s="98">
        <f>DADOS_INVOC!$GD$12</f>
        <v/>
      </c>
      <c r="AL816" s="98">
        <f>DADOS_INVOC!$HM$12</f>
        <v/>
      </c>
      <c r="AM816" s="125" t="n"/>
      <c r="AN816" s="23" t="n"/>
      <c r="AO816" s="24" t="n"/>
      <c r="AP816" s="24" t="n"/>
      <c r="AQ816" s="24" t="n"/>
      <c r="AR816" s="25" t="n"/>
      <c r="AS816" s="125" t="n"/>
    </row>
    <row r="817" hidden="1" outlineLevel="1">
      <c r="A817" s="8" t="n"/>
      <c r="B817" s="14" t="n"/>
      <c r="C817" s="125" t="n"/>
      <c r="D817" s="125" t="n"/>
      <c r="E817" s="125" t="n"/>
      <c r="F817" s="125" t="n"/>
      <c r="G817" s="125" t="n"/>
      <c r="I817" s="21" t="n"/>
      <c r="M817" s="22" t="n"/>
      <c r="N817" s="125" t="n"/>
      <c r="O817" s="129" t="n"/>
      <c r="P817" s="129" t="n"/>
      <c r="Q817" s="129" t="n"/>
      <c r="R817" s="129" t="n"/>
      <c r="S817" s="129" t="n"/>
      <c r="T817" s="125" t="n"/>
      <c r="U817" s="125" t="n"/>
      <c r="V817" s="125" t="n"/>
      <c r="W817" s="125" t="n"/>
      <c r="X817" s="125" t="n"/>
      <c r="Y817" s="125" t="n"/>
      <c r="Z817" s="125" t="n"/>
      <c r="AB817" s="21" t="n"/>
      <c r="AF817" s="22" t="n"/>
      <c r="AG817" s="125" t="n"/>
      <c r="AH817" s="129" t="n"/>
      <c r="AI817" s="129" t="n"/>
      <c r="AJ817" s="129" t="n"/>
      <c r="AK817" s="129" t="n"/>
      <c r="AL817" s="129" t="n"/>
      <c r="AM817" s="125" t="n"/>
      <c r="AN817" s="125" t="n"/>
      <c r="AO817" s="125" t="n"/>
      <c r="AP817" s="125" t="n"/>
      <c r="AQ817" s="125" t="n"/>
      <c r="AR817" s="125" t="n"/>
      <c r="AS817" s="125" t="n"/>
    </row>
    <row r="818" hidden="1" outlineLevel="1">
      <c r="A818" s="8" t="n"/>
      <c r="B818" s="14" t="n"/>
      <c r="C818" s="125" t="n"/>
      <c r="D818" s="125" t="n"/>
      <c r="E818" s="125" t="n"/>
      <c r="F818" s="125" t="n"/>
      <c r="G818" s="125" t="n"/>
      <c r="I818" s="21" t="n"/>
      <c r="M818" s="22" t="n"/>
      <c r="N818" s="125" t="n"/>
      <c r="O818" s="147" t="n">
        <v>0</v>
      </c>
      <c r="P818" s="147" t="n">
        <v>0</v>
      </c>
      <c r="Q818" s="147" t="n">
        <v>0</v>
      </c>
      <c r="R818" s="147" t="n">
        <v>0</v>
      </c>
      <c r="S818" s="147" t="n">
        <v>0</v>
      </c>
      <c r="T818" s="125" t="n"/>
      <c r="U818" s="55" t="inlineStr">
        <is>
          <t>ANOTAÇÕES</t>
        </is>
      </c>
      <c r="V818" s="16" t="n"/>
      <c r="W818" s="16" t="n"/>
      <c r="X818" s="16" t="n"/>
      <c r="Y818" s="17" t="n"/>
      <c r="Z818" s="125" t="n"/>
      <c r="AB818" s="21" t="n"/>
      <c r="AF818" s="22" t="n"/>
      <c r="AG818" s="125" t="n"/>
      <c r="AH818" s="147" t="n">
        <v>0</v>
      </c>
      <c r="AI818" s="147" t="n">
        <v>0</v>
      </c>
      <c r="AJ818" s="147" t="n">
        <v>0</v>
      </c>
      <c r="AK818" s="147" t="n">
        <v>0</v>
      </c>
      <c r="AL818" s="147" t="n">
        <v>0</v>
      </c>
      <c r="AM818" s="125" t="n"/>
      <c r="AN818" s="55" t="inlineStr">
        <is>
          <t>ANOTAÇÕES</t>
        </is>
      </c>
      <c r="AO818" s="16" t="n"/>
      <c r="AP818" s="16" t="n"/>
      <c r="AQ818" s="16" t="n"/>
      <c r="AR818" s="17" t="n"/>
      <c r="AS818" s="125" t="n"/>
    </row>
    <row r="819" hidden="1" outlineLevel="1">
      <c r="A819" s="8" t="n"/>
      <c r="B819" s="14" t="n"/>
      <c r="C819" s="125" t="n"/>
      <c r="D819" s="125" t="n"/>
      <c r="E819" s="125" t="n"/>
      <c r="F819" s="125" t="n"/>
      <c r="G819" s="125" t="n"/>
      <c r="I819" s="21" t="n"/>
      <c r="M819" s="22" t="n"/>
      <c r="N819" s="125" t="n"/>
      <c r="O819" s="125" t="n"/>
      <c r="P819" s="125" t="n"/>
      <c r="Q819" s="125" t="n"/>
      <c r="R819" s="125" t="n"/>
      <c r="S819" s="125" t="n"/>
      <c r="T819" s="125" t="n"/>
      <c r="U819" s="121" t="n"/>
      <c r="V819" s="19" t="n"/>
      <c r="W819" s="19" t="n"/>
      <c r="X819" s="19" t="n"/>
      <c r="Y819" s="20" t="n"/>
      <c r="Z819" s="125" t="n"/>
      <c r="AB819" s="21" t="n"/>
      <c r="AF819" s="22" t="n"/>
      <c r="AG819" s="125" t="n"/>
      <c r="AH819" s="125" t="n"/>
      <c r="AI819" s="125" t="n"/>
      <c r="AJ819" s="125" t="n"/>
      <c r="AK819" s="125" t="n"/>
      <c r="AL819" s="125" t="n"/>
      <c r="AM819" s="125" t="n"/>
      <c r="AN819" s="121" t="n"/>
      <c r="AO819" s="19" t="n"/>
      <c r="AP819" s="19" t="n"/>
      <c r="AQ819" s="19" t="n"/>
      <c r="AR819" s="20" t="n"/>
      <c r="AS819" s="125" t="n"/>
    </row>
    <row r="820" hidden="1" outlineLevel="1">
      <c r="A820" s="8" t="n"/>
      <c r="B820" s="14" t="n"/>
      <c r="C820" s="125" t="n"/>
      <c r="D820" s="125" t="n"/>
      <c r="E820" s="125" t="n"/>
      <c r="F820" s="125" t="n"/>
      <c r="G820" s="125" t="n"/>
      <c r="I820" s="21" t="n"/>
      <c r="M820" s="22" t="n"/>
      <c r="N820" s="125" t="n"/>
      <c r="O820" s="55" t="inlineStr">
        <is>
          <t>FÍSICO</t>
        </is>
      </c>
      <c r="P820" s="55" t="inlineStr">
        <is>
          <t>VIGOR</t>
        </is>
      </c>
      <c r="Q820" s="55" t="inlineStr">
        <is>
          <t>INTELECTO</t>
        </is>
      </c>
      <c r="R820" s="55" t="inlineStr">
        <is>
          <t>ESPÍRITO</t>
        </is>
      </c>
      <c r="S820" s="55" t="inlineStr">
        <is>
          <t>TR TREINADO</t>
        </is>
      </c>
      <c r="T820" s="125" t="n"/>
      <c r="U820" s="21" t="n"/>
      <c r="Y820" s="22" t="n"/>
      <c r="Z820" s="125" t="n"/>
      <c r="AB820" s="21" t="n"/>
      <c r="AF820" s="22" t="n"/>
      <c r="AG820" s="125" t="n"/>
      <c r="AH820" s="55" t="inlineStr">
        <is>
          <t>FÍSICO</t>
        </is>
      </c>
      <c r="AI820" s="55" t="inlineStr">
        <is>
          <t>VIGOR</t>
        </is>
      </c>
      <c r="AJ820" s="55" t="inlineStr">
        <is>
          <t>INTELECTO</t>
        </is>
      </c>
      <c r="AK820" s="55" t="inlineStr">
        <is>
          <t>ESPÍRITO</t>
        </is>
      </c>
      <c r="AL820" s="55" t="inlineStr">
        <is>
          <t>TR TREINADO</t>
        </is>
      </c>
      <c r="AM820" s="125" t="n"/>
      <c r="AN820" s="21" t="n"/>
      <c r="AR820" s="22" t="n"/>
      <c r="AS820" s="125" t="n"/>
    </row>
    <row r="821" hidden="1" outlineLevel="1">
      <c r="A821" s="8" t="n"/>
      <c r="B821" s="14" t="n"/>
      <c r="C821" s="125" t="n"/>
      <c r="D821" s="125" t="n"/>
      <c r="E821" s="125" t="n"/>
      <c r="F821" s="125" t="n"/>
      <c r="G821" s="125" t="n"/>
      <c r="I821" s="21" t="n"/>
      <c r="M821" s="22" t="n"/>
      <c r="N821" s="125" t="n"/>
      <c r="O821" s="98">
        <f>DADOS_INVOC!$HN$6</f>
        <v/>
      </c>
      <c r="P821" s="98">
        <f>DADOS_INVOC!$HO$6</f>
        <v/>
      </c>
      <c r="Q821" s="98">
        <f>DADOS_INVOC!$HP$6</f>
        <v/>
      </c>
      <c r="R821" s="98">
        <f>DADOS_INVOC!$HQ$6</f>
        <v/>
      </c>
      <c r="S821" s="89" t="n"/>
      <c r="T821" s="125" t="n"/>
      <c r="U821" s="21" t="n"/>
      <c r="Y821" s="22" t="n"/>
      <c r="Z821" s="125" t="n"/>
      <c r="AB821" s="21" t="n"/>
      <c r="AF821" s="22" t="n"/>
      <c r="AG821" s="125" t="n"/>
      <c r="AH821" s="98">
        <f>DADOS_INVOC!$HN$12</f>
        <v/>
      </c>
      <c r="AI821" s="98">
        <f>DADOS_INVOC!$HO$12</f>
        <v/>
      </c>
      <c r="AJ821" s="98">
        <f>DADOS_INVOC!$HP$12</f>
        <v/>
      </c>
      <c r="AK821" s="98">
        <f>DADOS_INVOC!$HQ$12</f>
        <v/>
      </c>
      <c r="AL821" s="89" t="n"/>
      <c r="AM821" s="125" t="n"/>
      <c r="AN821" s="21" t="n"/>
      <c r="AR821" s="22" t="n"/>
      <c r="AS821" s="125" t="n"/>
    </row>
    <row r="822" hidden="1" outlineLevel="1">
      <c r="A822" s="8" t="n"/>
      <c r="B822" s="14" t="n"/>
      <c r="C822" s="125" t="n"/>
      <c r="D822" s="125" t="n"/>
      <c r="E822" s="125" t="n"/>
      <c r="F822" s="125" t="n"/>
      <c r="G822" s="125" t="n"/>
      <c r="I822" s="21" t="n"/>
      <c r="M822" s="22" t="n"/>
      <c r="N822" s="125" t="n"/>
      <c r="O822" s="129" t="n"/>
      <c r="P822" s="129" t="n"/>
      <c r="Q822" s="129" t="n"/>
      <c r="R822" s="129" t="n"/>
      <c r="S822" s="129" t="n"/>
      <c r="T822" s="125" t="n"/>
      <c r="U822" s="23" t="n"/>
      <c r="V822" s="24" t="n"/>
      <c r="W822" s="24" t="n"/>
      <c r="X822" s="24" t="n"/>
      <c r="Y822" s="25" t="n"/>
      <c r="Z822" s="125" t="n"/>
      <c r="AB822" s="21" t="n"/>
      <c r="AF822" s="22" t="n"/>
      <c r="AG822" s="125" t="n"/>
      <c r="AH822" s="129" t="n"/>
      <c r="AI822" s="129" t="n"/>
      <c r="AJ822" s="129" t="n"/>
      <c r="AK822" s="129" t="n"/>
      <c r="AL822" s="129" t="n"/>
      <c r="AM822" s="125" t="n"/>
      <c r="AN822" s="23" t="n"/>
      <c r="AO822" s="24" t="n"/>
      <c r="AP822" s="24" t="n"/>
      <c r="AQ822" s="24" t="n"/>
      <c r="AR822" s="25" t="n"/>
      <c r="AS822" s="125" t="n"/>
    </row>
    <row r="823" hidden="1" outlineLevel="1">
      <c r="A823" s="8" t="n"/>
      <c r="B823" s="14" t="n"/>
      <c r="C823" s="125" t="n"/>
      <c r="D823" s="125" t="n"/>
      <c r="E823" s="125" t="n"/>
      <c r="F823" s="125" t="n"/>
      <c r="G823" s="125" t="n"/>
      <c r="I823" s="21" t="n"/>
      <c r="M823" s="22" t="n"/>
      <c r="N823" s="125" t="n"/>
      <c r="O823" s="147" t="n">
        <v>0</v>
      </c>
      <c r="P823" s="147" t="n">
        <v>0</v>
      </c>
      <c r="Q823" s="147" t="n">
        <v>0</v>
      </c>
      <c r="R823" s="147" t="n">
        <v>0</v>
      </c>
      <c r="S823" s="125" t="n"/>
      <c r="T823" s="125" t="n"/>
      <c r="U823" s="125" t="n"/>
      <c r="V823" s="125" t="n"/>
      <c r="W823" s="125" t="n"/>
      <c r="X823" s="125" t="n"/>
      <c r="Y823" s="125" t="n"/>
      <c r="Z823" s="125" t="n"/>
      <c r="AB823" s="21" t="n"/>
      <c r="AF823" s="22" t="n"/>
      <c r="AG823" s="125" t="n"/>
      <c r="AH823" s="147" t="n">
        <v>0</v>
      </c>
      <c r="AI823" s="147" t="n">
        <v>0</v>
      </c>
      <c r="AJ823" s="147" t="n">
        <v>0</v>
      </c>
      <c r="AK823" s="147" t="n">
        <v>0</v>
      </c>
      <c r="AL823" s="125" t="n"/>
      <c r="AM823" s="125" t="n"/>
      <c r="AN823" s="125" t="n"/>
      <c r="AO823" s="125" t="n"/>
      <c r="AP823" s="125" t="n"/>
      <c r="AQ823" s="125" t="n"/>
      <c r="AR823" s="125" t="n"/>
      <c r="AS823" s="125" t="n"/>
    </row>
    <row r="824" hidden="1" outlineLevel="1">
      <c r="A824" s="8" t="n"/>
      <c r="B824" s="14" t="n"/>
      <c r="C824" s="125" t="n"/>
      <c r="D824" s="125" t="n"/>
      <c r="E824" s="125" t="n"/>
      <c r="F824" s="125" t="n"/>
      <c r="G824" s="125" t="n"/>
      <c r="I824" s="21" t="n"/>
      <c r="M824" s="22" t="n"/>
      <c r="N824" s="125" t="n"/>
      <c r="O824" s="125" t="n"/>
      <c r="P824" s="125" t="n"/>
      <c r="Q824" s="125" t="n"/>
      <c r="R824" s="125" t="n"/>
      <c r="S824" s="125" t="n"/>
      <c r="T824" s="125" t="n"/>
      <c r="U824" s="55">
        <f>DADOS_INVOC!$IA$6</f>
        <v/>
      </c>
      <c r="V824" s="16" t="n"/>
      <c r="W824" s="16" t="n"/>
      <c r="X824" s="17" t="n"/>
      <c r="Y824" s="55" t="inlineStr">
        <is>
          <t>VOL.</t>
        </is>
      </c>
      <c r="Z824" s="125" t="n"/>
      <c r="AB824" s="21" t="n"/>
      <c r="AF824" s="22" t="n"/>
      <c r="AG824" s="125" t="n"/>
      <c r="AH824" s="125" t="n"/>
      <c r="AI824" s="125" t="n"/>
      <c r="AJ824" s="125" t="n"/>
      <c r="AK824" s="125" t="n"/>
      <c r="AL824" s="125" t="n"/>
      <c r="AM824" s="125" t="n"/>
      <c r="AN824" s="55">
        <f>DADOS_INVOC!$IA$12</f>
        <v/>
      </c>
      <c r="AO824" s="16" t="n"/>
      <c r="AP824" s="16" t="n"/>
      <c r="AQ824" s="17" t="n"/>
      <c r="AR824" s="55" t="inlineStr">
        <is>
          <t>VOL.</t>
        </is>
      </c>
      <c r="AS824" s="125" t="n"/>
    </row>
    <row r="825" hidden="1" outlineLevel="1">
      <c r="A825" s="8" t="n"/>
      <c r="B825" s="14" t="n"/>
      <c r="C825" s="125" t="n"/>
      <c r="D825" s="125" t="n"/>
      <c r="E825" s="125" t="n"/>
      <c r="F825" s="125" t="n"/>
      <c r="G825" s="125" t="n"/>
      <c r="I825" s="21" t="n"/>
      <c r="M825" s="22" t="n"/>
      <c r="N825" s="125" t="n"/>
      <c r="O825" s="55" t="inlineStr">
        <is>
          <t>ATRIBUTO DE ACERTO</t>
        </is>
      </c>
      <c r="P825" s="16" t="n"/>
      <c r="Q825" s="17" t="n"/>
      <c r="R825" s="55" t="inlineStr">
        <is>
          <t>FÍSICO USA</t>
        </is>
      </c>
      <c r="S825" s="17" t="n"/>
      <c r="T825" s="125" t="n"/>
      <c r="U825" s="55" t="inlineStr">
        <is>
          <t>MÃO 1</t>
        </is>
      </c>
      <c r="V825" s="134" t="n"/>
      <c r="W825" s="16" t="n"/>
      <c r="X825" s="17" t="n"/>
      <c r="Y825" s="89" t="n"/>
      <c r="Z825" s="125" t="n"/>
      <c r="AB825" s="21" t="n"/>
      <c r="AF825" s="22" t="n"/>
      <c r="AG825" s="125" t="n"/>
      <c r="AH825" s="55" t="inlineStr">
        <is>
          <t>ATRIBUTO DE ACERTO</t>
        </is>
      </c>
      <c r="AI825" s="16" t="n"/>
      <c r="AJ825" s="17" t="n"/>
      <c r="AK825" s="55" t="inlineStr">
        <is>
          <t>FÍSICO USA</t>
        </is>
      </c>
      <c r="AL825" s="17" t="n"/>
      <c r="AM825" s="125" t="n"/>
      <c r="AN825" s="55" t="inlineStr">
        <is>
          <t>MÃO 1</t>
        </is>
      </c>
      <c r="AO825" s="134" t="n"/>
      <c r="AP825" s="16" t="n"/>
      <c r="AQ825" s="17" t="n"/>
      <c r="AR825" s="89" t="n"/>
      <c r="AS825" s="125" t="n"/>
    </row>
    <row r="826" hidden="1" outlineLevel="1">
      <c r="A826" s="8" t="n"/>
      <c r="B826" s="14" t="n"/>
      <c r="C826" s="125" t="n"/>
      <c r="D826" s="125" t="n"/>
      <c r="E826" s="125" t="n"/>
      <c r="F826" s="125" t="n"/>
      <c r="G826" s="125" t="n"/>
      <c r="I826" s="21" t="n"/>
      <c r="M826" s="22" t="n"/>
      <c r="N826" s="125" t="n"/>
      <c r="O826" s="89" t="n"/>
      <c r="P826" s="19" t="n"/>
      <c r="Q826" s="20" t="n"/>
      <c r="R826" s="89" t="inlineStr">
        <is>
          <t>Força</t>
        </is>
      </c>
      <c r="S826" s="20" t="n"/>
      <c r="T826" s="125" t="n"/>
      <c r="U826" s="55" t="inlineStr">
        <is>
          <t>MÃO 2</t>
        </is>
      </c>
      <c r="V826" s="134" t="n"/>
      <c r="W826" s="16" t="n"/>
      <c r="X826" s="17" t="n"/>
      <c r="Y826" s="89" t="n"/>
      <c r="Z826" s="125" t="n"/>
      <c r="AB826" s="21" t="n"/>
      <c r="AF826" s="22" t="n"/>
      <c r="AG826" s="125" t="n"/>
      <c r="AH826" s="89" t="n"/>
      <c r="AI826" s="19" t="n"/>
      <c r="AJ826" s="20" t="n"/>
      <c r="AK826" s="89" t="inlineStr">
        <is>
          <t>Força</t>
        </is>
      </c>
      <c r="AL826" s="20" t="n"/>
      <c r="AM826" s="125" t="n"/>
      <c r="AN826" s="55" t="inlineStr">
        <is>
          <t>MÃO 2</t>
        </is>
      </c>
      <c r="AO826" s="134" t="n"/>
      <c r="AP826" s="16" t="n"/>
      <c r="AQ826" s="17" t="n"/>
      <c r="AR826" s="89" t="n"/>
      <c r="AS826" s="125" t="n"/>
    </row>
    <row r="827" hidden="1" outlineLevel="1">
      <c r="A827" s="8" t="n"/>
      <c r="B827" s="14" t="n"/>
      <c r="C827" s="125" t="n"/>
      <c r="D827" s="125" t="n"/>
      <c r="E827" s="125" t="n"/>
      <c r="F827" s="125" t="n"/>
      <c r="G827" s="125" t="n"/>
      <c r="I827" s="21" t="n"/>
      <c r="M827" s="22" t="n"/>
      <c r="N827" s="125" t="n"/>
      <c r="O827" s="23" t="n"/>
      <c r="P827" s="24" t="n"/>
      <c r="Q827" s="25" t="n"/>
      <c r="R827" s="23" t="n"/>
      <c r="S827" s="25" t="n"/>
      <c r="T827" s="125" t="n"/>
      <c r="U827" s="55" t="inlineStr">
        <is>
          <t>VESTE</t>
        </is>
      </c>
      <c r="V827" s="134" t="n"/>
      <c r="W827" s="16" t="n"/>
      <c r="X827" s="17" t="n"/>
      <c r="Y827" s="89" t="n"/>
      <c r="Z827" s="125" t="n"/>
      <c r="AB827" s="21" t="n"/>
      <c r="AF827" s="22" t="n"/>
      <c r="AG827" s="125" t="n"/>
      <c r="AH827" s="23" t="n"/>
      <c r="AI827" s="24" t="n"/>
      <c r="AJ827" s="25" t="n"/>
      <c r="AK827" s="23" t="n"/>
      <c r="AL827" s="25" t="n"/>
      <c r="AM827" s="125" t="n"/>
      <c r="AN827" s="55" t="inlineStr">
        <is>
          <t>VESTE</t>
        </is>
      </c>
      <c r="AO827" s="134" t="n"/>
      <c r="AP827" s="16" t="n"/>
      <c r="AQ827" s="17" t="n"/>
      <c r="AR827" s="89" t="n"/>
      <c r="AS827" s="125" t="n"/>
    </row>
    <row r="828" hidden="1" outlineLevel="1">
      <c r="A828" s="8" t="n"/>
      <c r="B828" s="14" t="n"/>
      <c r="C828" s="125" t="n"/>
      <c r="D828" s="125" t="n"/>
      <c r="E828" s="125" t="n"/>
      <c r="F828" s="125" t="n"/>
      <c r="G828" s="125" t="n"/>
      <c r="I828" s="21" t="n"/>
      <c r="M828" s="22" t="n"/>
      <c r="N828" s="125" t="n"/>
      <c r="O828" s="125" t="n"/>
      <c r="P828" s="125" t="n"/>
      <c r="Q828" s="125" t="n"/>
      <c r="R828" s="125" t="n"/>
      <c r="S828" s="125" t="n"/>
      <c r="T828" s="125" t="n"/>
      <c r="U828" s="55" t="inlineStr">
        <is>
          <t>GUARDADO · SÓ COM A CARACTERÍSTICA DE TRANSPORTE</t>
        </is>
      </c>
      <c r="V828" s="16" t="n"/>
      <c r="W828" s="16" t="n"/>
      <c r="X828" s="17" t="n"/>
      <c r="Y828" s="55" t="inlineStr">
        <is>
          <t>VOL.</t>
        </is>
      </c>
      <c r="Z828" s="125" t="n"/>
      <c r="AB828" s="21" t="n"/>
      <c r="AF828" s="22" t="n"/>
      <c r="AG828" s="125" t="n"/>
      <c r="AH828" s="125" t="n"/>
      <c r="AI828" s="125" t="n"/>
      <c r="AJ828" s="125" t="n"/>
      <c r="AK828" s="125" t="n"/>
      <c r="AL828" s="125" t="n"/>
      <c r="AM828" s="125" t="n"/>
      <c r="AN828" s="55" t="inlineStr">
        <is>
          <t>GUARDADO · SÓ COM A CARACTERÍSTICA DE TRANSPORTE</t>
        </is>
      </c>
      <c r="AO828" s="16" t="n"/>
      <c r="AP828" s="16" t="n"/>
      <c r="AQ828" s="17" t="n"/>
      <c r="AR828" s="55" t="inlineStr">
        <is>
          <t>VOL.</t>
        </is>
      </c>
      <c r="AS828" s="125" t="n"/>
    </row>
    <row r="829" hidden="1" outlineLevel="1">
      <c r="A829" s="8" t="n"/>
      <c r="B829" s="14" t="n"/>
      <c r="C829" s="125" t="n"/>
      <c r="D829" s="125" t="n"/>
      <c r="E829" s="125" t="n"/>
      <c r="F829" s="125" t="n"/>
      <c r="G829" s="125" t="n"/>
      <c r="I829" s="21" t="n"/>
      <c r="M829" s="22" t="n"/>
      <c r="N829" s="125" t="n"/>
      <c r="O829" s="55">
        <f>DADOS_INVOC!$HR$6</f>
        <v/>
      </c>
      <c r="P829" s="16" t="n"/>
      <c r="Q829" s="16" t="n"/>
      <c r="R829" s="16" t="n"/>
      <c r="S829" s="17" t="n"/>
      <c r="T829" s="125" t="n"/>
      <c r="U829" s="134" t="n"/>
      <c r="V829" s="16" t="n"/>
      <c r="W829" s="16" t="n"/>
      <c r="X829" s="17" t="n"/>
      <c r="Y829" s="89" t="n"/>
      <c r="Z829" s="125" t="n"/>
      <c r="AB829" s="21" t="n"/>
      <c r="AF829" s="22" t="n"/>
      <c r="AG829" s="125" t="n"/>
      <c r="AH829" s="55">
        <f>DADOS_INVOC!$HR$12</f>
        <v/>
      </c>
      <c r="AI829" s="16" t="n"/>
      <c r="AJ829" s="16" t="n"/>
      <c r="AK829" s="16" t="n"/>
      <c r="AL829" s="17" t="n"/>
      <c r="AM829" s="125" t="n"/>
      <c r="AN829" s="134" t="n"/>
      <c r="AO829" s="16" t="n"/>
      <c r="AP829" s="16" t="n"/>
      <c r="AQ829" s="17" t="n"/>
      <c r="AR829" s="89" t="n"/>
      <c r="AS829" s="125" t="n"/>
    </row>
    <row r="830" hidden="1" outlineLevel="1">
      <c r="A830" s="8" t="n"/>
      <c r="B830" s="14" t="n"/>
      <c r="C830" s="125" t="n"/>
      <c r="D830" s="125" t="n"/>
      <c r="E830" s="125" t="n"/>
      <c r="F830" s="125" t="n"/>
      <c r="G830" s="125" t="n"/>
      <c r="I830" s="21" t="n"/>
      <c r="M830" s="22" t="n"/>
      <c r="N830" s="125" t="n"/>
      <c r="O830" s="134" t="n"/>
      <c r="P830" s="16" t="n"/>
      <c r="Q830" s="17" t="n"/>
      <c r="R830" s="89">
        <f>DADOS_INVOC!$HS$6</f>
        <v/>
      </c>
      <c r="S830" s="17" t="n"/>
      <c r="T830" s="125" t="n"/>
      <c r="U830" s="134" t="n"/>
      <c r="V830" s="16" t="n"/>
      <c r="W830" s="16" t="n"/>
      <c r="X830" s="17" t="n"/>
      <c r="Y830" s="89" t="n"/>
      <c r="Z830" s="125" t="n"/>
      <c r="AB830" s="21" t="n"/>
      <c r="AF830" s="22" t="n"/>
      <c r="AG830" s="125" t="n"/>
      <c r="AH830" s="134" t="n"/>
      <c r="AI830" s="16" t="n"/>
      <c r="AJ830" s="17" t="n"/>
      <c r="AK830" s="89">
        <f>DADOS_INVOC!$HS$12</f>
        <v/>
      </c>
      <c r="AL830" s="17" t="n"/>
      <c r="AM830" s="125" t="n"/>
      <c r="AN830" s="134" t="n"/>
      <c r="AO830" s="16" t="n"/>
      <c r="AP830" s="16" t="n"/>
      <c r="AQ830" s="17" t="n"/>
      <c r="AR830" s="89" t="n"/>
      <c r="AS830" s="125" t="n"/>
    </row>
    <row r="831" hidden="1" outlineLevel="1">
      <c r="A831" s="8" t="n"/>
      <c r="B831" s="14" t="n"/>
      <c r="C831" s="125" t="n"/>
      <c r="D831" s="125" t="n"/>
      <c r="E831" s="125" t="n"/>
      <c r="F831" s="125" t="n"/>
      <c r="G831" s="125" t="n"/>
      <c r="I831" s="21" t="n"/>
      <c r="M831" s="22" t="n"/>
      <c r="N831" s="125" t="n"/>
      <c r="O831" s="134" t="n"/>
      <c r="P831" s="16" t="n"/>
      <c r="Q831" s="17" t="n"/>
      <c r="R831" s="89">
        <f>DADOS_INVOC!$HT$6</f>
        <v/>
      </c>
      <c r="S831" s="17" t="n"/>
      <c r="T831" s="125" t="n"/>
      <c r="U831" s="134" t="n"/>
      <c r="V831" s="16" t="n"/>
      <c r="W831" s="16" t="n"/>
      <c r="X831" s="17" t="n"/>
      <c r="Y831" s="89" t="n"/>
      <c r="Z831" s="125" t="n"/>
      <c r="AB831" s="21" t="n"/>
      <c r="AF831" s="22" t="n"/>
      <c r="AG831" s="125" t="n"/>
      <c r="AH831" s="134" t="n"/>
      <c r="AI831" s="16" t="n"/>
      <c r="AJ831" s="17" t="n"/>
      <c r="AK831" s="89">
        <f>DADOS_INVOC!$HT$12</f>
        <v/>
      </c>
      <c r="AL831" s="17" t="n"/>
      <c r="AM831" s="125" t="n"/>
      <c r="AN831" s="134" t="n"/>
      <c r="AO831" s="16" t="n"/>
      <c r="AP831" s="16" t="n"/>
      <c r="AQ831" s="17" t="n"/>
      <c r="AR831" s="89" t="n"/>
      <c r="AS831" s="125" t="n"/>
    </row>
    <row r="832" hidden="1" outlineLevel="1">
      <c r="A832" s="8" t="n"/>
      <c r="B832" s="14" t="n"/>
      <c r="C832" s="125" t="n"/>
      <c r="D832" s="125" t="n"/>
      <c r="E832" s="125" t="n"/>
      <c r="F832" s="125" t="n"/>
      <c r="G832" s="125" t="n"/>
      <c r="I832" s="23" t="n"/>
      <c r="J832" s="24" t="n"/>
      <c r="K832" s="24" t="n"/>
      <c r="L832" s="24" t="n"/>
      <c r="M832" s="25" t="n"/>
      <c r="N832" s="125" t="n"/>
      <c r="O832" s="134" t="n"/>
      <c r="P832" s="16" t="n"/>
      <c r="Q832" s="17" t="n"/>
      <c r="R832" s="89">
        <f>DADOS_INVOC!$HU$6</f>
        <v/>
      </c>
      <c r="S832" s="17" t="n"/>
      <c r="T832" s="125" t="n"/>
      <c r="U832" s="134" t="n"/>
      <c r="V832" s="16" t="n"/>
      <c r="W832" s="16" t="n"/>
      <c r="X832" s="17" t="n"/>
      <c r="Y832" s="89" t="n"/>
      <c r="Z832" s="125" t="n"/>
      <c r="AB832" s="23" t="n"/>
      <c r="AC832" s="24" t="n"/>
      <c r="AD832" s="24" t="n"/>
      <c r="AE832" s="24" t="n"/>
      <c r="AF832" s="25" t="n"/>
      <c r="AG832" s="125" t="n"/>
      <c r="AH832" s="134" t="n"/>
      <c r="AI832" s="16" t="n"/>
      <c r="AJ832" s="17" t="n"/>
      <c r="AK832" s="89">
        <f>DADOS_INVOC!$HU$12</f>
        <v/>
      </c>
      <c r="AL832" s="17" t="n"/>
      <c r="AM832" s="125" t="n"/>
      <c r="AN832" s="134" t="n"/>
      <c r="AO832" s="16" t="n"/>
      <c r="AP832" s="16" t="n"/>
      <c r="AQ832" s="17" t="n"/>
      <c r="AR832" s="89" t="n"/>
      <c r="AS832" s="125" t="n"/>
    </row>
    <row r="833" hidden="1" outlineLevel="1">
      <c r="A833" s="8" t="n"/>
      <c r="B833" s="14" t="n"/>
      <c r="C833" s="125" t="n"/>
      <c r="D833" s="125" t="n"/>
      <c r="E833" s="125" t="n"/>
      <c r="F833" s="125" t="n"/>
      <c r="G833" s="125" t="n"/>
      <c r="I833" s="125" t="n"/>
      <c r="J833" s="125" t="n"/>
      <c r="K833" s="125" t="n"/>
      <c r="L833" s="125" t="n"/>
      <c r="M833" s="125" t="n"/>
      <c r="N833" s="125" t="n"/>
      <c r="O833" s="134" t="n"/>
      <c r="P833" s="16" t="n"/>
      <c r="Q833" s="17" t="n"/>
      <c r="R833" s="89">
        <f>DADOS_INVOC!$HV$6</f>
        <v/>
      </c>
      <c r="S833" s="17" t="n"/>
      <c r="T833" s="125" t="n"/>
      <c r="U833" s="134" t="n"/>
      <c r="V833" s="16" t="n"/>
      <c r="W833" s="16" t="n"/>
      <c r="X833" s="17" t="n"/>
      <c r="Y833" s="89" t="n"/>
      <c r="Z833" s="125" t="n"/>
      <c r="AB833" s="125" t="n"/>
      <c r="AC833" s="125" t="n"/>
      <c r="AD833" s="125" t="n"/>
      <c r="AE833" s="125" t="n"/>
      <c r="AF833" s="125" t="n"/>
      <c r="AG833" s="125" t="n"/>
      <c r="AH833" s="134" t="n"/>
      <c r="AI833" s="16" t="n"/>
      <c r="AJ833" s="17" t="n"/>
      <c r="AK833" s="89">
        <f>DADOS_INVOC!$HV$12</f>
        <v/>
      </c>
      <c r="AL833" s="17" t="n"/>
      <c r="AM833" s="125" t="n"/>
      <c r="AN833" s="134" t="n"/>
      <c r="AO833" s="16" t="n"/>
      <c r="AP833" s="16" t="n"/>
      <c r="AQ833" s="17" t="n"/>
      <c r="AR833" s="89" t="n"/>
      <c r="AS833" s="125" t="n"/>
    </row>
    <row r="834" hidden="1" outlineLevel="1">
      <c r="A834" s="8" t="n"/>
      <c r="B834" s="14" t="n"/>
      <c r="C834" s="125" t="n"/>
      <c r="D834" s="125" t="n"/>
      <c r="E834" s="125" t="n"/>
      <c r="F834" s="125" t="n"/>
      <c r="G834" s="125" t="n"/>
      <c r="I834" s="55" t="inlineStr">
        <is>
          <t>TIPO</t>
        </is>
      </c>
      <c r="J834" s="16" t="n"/>
      <c r="K834" s="16" t="n"/>
      <c r="L834" s="16" t="n"/>
      <c r="M834" s="17" t="n"/>
      <c r="N834" s="125" t="n"/>
      <c r="O834" s="134" t="n"/>
      <c r="P834" s="16" t="n"/>
      <c r="Q834" s="17" t="n"/>
      <c r="R834" s="89">
        <f>DADOS_INVOC!$HW$6</f>
        <v/>
      </c>
      <c r="S834" s="17" t="n"/>
      <c r="T834" s="125" t="n"/>
      <c r="U834" s="134" t="n"/>
      <c r="V834" s="16" t="n"/>
      <c r="W834" s="16" t="n"/>
      <c r="X834" s="17" t="n"/>
      <c r="Y834" s="89" t="n"/>
      <c r="Z834" s="125" t="n"/>
      <c r="AB834" s="55" t="inlineStr">
        <is>
          <t>TIPO</t>
        </is>
      </c>
      <c r="AC834" s="16" t="n"/>
      <c r="AD834" s="16" t="n"/>
      <c r="AE834" s="16" t="n"/>
      <c r="AF834" s="17" t="n"/>
      <c r="AG834" s="125" t="n"/>
      <c r="AH834" s="134" t="n"/>
      <c r="AI834" s="16" t="n"/>
      <c r="AJ834" s="17" t="n"/>
      <c r="AK834" s="89">
        <f>DADOS_INVOC!$HW$12</f>
        <v/>
      </c>
      <c r="AL834" s="17" t="n"/>
      <c r="AM834" s="125" t="n"/>
      <c r="AN834" s="134" t="n"/>
      <c r="AO834" s="16" t="n"/>
      <c r="AP834" s="16" t="n"/>
      <c r="AQ834" s="17" t="n"/>
      <c r="AR834" s="89" t="n"/>
      <c r="AS834" s="125" t="n"/>
    </row>
    <row r="835" hidden="1" outlineLevel="1">
      <c r="A835" s="8" t="n"/>
      <c r="B835" s="14" t="n"/>
      <c r="C835" s="125" t="n"/>
      <c r="D835" s="125" t="n"/>
      <c r="E835" s="125" t="n"/>
      <c r="F835" s="125" t="n"/>
      <c r="G835" s="125" t="n"/>
      <c r="I835" s="89" t="inlineStr">
        <is>
          <t>Shikigami de técnica</t>
        </is>
      </c>
      <c r="J835" s="19" t="n"/>
      <c r="K835" s="19" t="n"/>
      <c r="L835" s="19" t="n"/>
      <c r="M835" s="20" t="n"/>
      <c r="N835" s="125" t="n"/>
      <c r="O835" s="134" t="n"/>
      <c r="P835" s="16" t="n"/>
      <c r="Q835" s="17" t="n"/>
      <c r="R835" s="89">
        <f>DADOS_INVOC!$HX$6</f>
        <v/>
      </c>
      <c r="S835" s="17" t="n"/>
      <c r="T835" s="125" t="n"/>
      <c r="U835" s="125" t="n"/>
      <c r="V835" s="125" t="n"/>
      <c r="W835" s="125" t="n"/>
      <c r="X835" s="125" t="n"/>
      <c r="Y835" s="125" t="n"/>
      <c r="Z835" s="125" t="n"/>
      <c r="AB835" s="89" t="inlineStr">
        <is>
          <t>Shikigami de técnica</t>
        </is>
      </c>
      <c r="AC835" s="19" t="n"/>
      <c r="AD835" s="19" t="n"/>
      <c r="AE835" s="19" t="n"/>
      <c r="AF835" s="20" t="n"/>
      <c r="AG835" s="125" t="n"/>
      <c r="AH835" s="134" t="n"/>
      <c r="AI835" s="16" t="n"/>
      <c r="AJ835" s="17" t="n"/>
      <c r="AK835" s="89">
        <f>DADOS_INVOC!$HX$12</f>
        <v/>
      </c>
      <c r="AL835" s="17" t="n"/>
      <c r="AM835" s="125" t="n"/>
      <c r="AN835" s="125" t="n"/>
      <c r="AO835" s="125" t="n"/>
      <c r="AP835" s="125" t="n"/>
      <c r="AQ835" s="125" t="n"/>
      <c r="AR835" s="125" t="n"/>
      <c r="AS835" s="125" t="n"/>
    </row>
    <row r="836" hidden="1" outlineLevel="1">
      <c r="A836" s="8" t="n"/>
      <c r="B836" s="14" t="n"/>
      <c r="C836" s="125" t="n"/>
      <c r="D836" s="125" t="n"/>
      <c r="E836" s="125" t="n"/>
      <c r="F836" s="125" t="n"/>
      <c r="G836" s="125" t="n"/>
      <c r="I836" s="23" t="n"/>
      <c r="J836" s="24" t="n"/>
      <c r="K836" s="24" t="n"/>
      <c r="L836" s="24" t="n"/>
      <c r="M836" s="25" t="n"/>
      <c r="N836" s="125" t="n"/>
      <c r="O836" s="134" t="n"/>
      <c r="P836" s="16" t="n"/>
      <c r="Q836" s="17" t="n"/>
      <c r="R836" s="89">
        <f>DADOS_INVOC!$HY$6</f>
        <v/>
      </c>
      <c r="S836" s="17" t="n"/>
      <c r="T836" s="125" t="n"/>
      <c r="U836" s="55" t="inlineStr">
        <is>
          <t>CORPO, SENTIDOS E COMUNICAÇÃO</t>
        </is>
      </c>
      <c r="V836" s="16" t="n"/>
      <c r="W836" s="16" t="n"/>
      <c r="X836" s="16" t="n"/>
      <c r="Y836" s="17" t="n"/>
      <c r="Z836" s="125" t="n"/>
      <c r="AB836" s="23" t="n"/>
      <c r="AC836" s="24" t="n"/>
      <c r="AD836" s="24" t="n"/>
      <c r="AE836" s="24" t="n"/>
      <c r="AF836" s="25" t="n"/>
      <c r="AG836" s="125" t="n"/>
      <c r="AH836" s="134" t="n"/>
      <c r="AI836" s="16" t="n"/>
      <c r="AJ836" s="17" t="n"/>
      <c r="AK836" s="89">
        <f>DADOS_INVOC!$HY$12</f>
        <v/>
      </c>
      <c r="AL836" s="17" t="n"/>
      <c r="AM836" s="125" t="n"/>
      <c r="AN836" s="55" t="inlineStr">
        <is>
          <t>CORPO, SENTIDOS E COMUNICAÇÃO</t>
        </is>
      </c>
      <c r="AO836" s="16" t="n"/>
      <c r="AP836" s="16" t="n"/>
      <c r="AQ836" s="16" t="n"/>
      <c r="AR836" s="17" t="n"/>
      <c r="AS836" s="125" t="n"/>
    </row>
    <row r="837" hidden="1" outlineLevel="1">
      <c r="A837" s="8" t="n"/>
      <c r="B837" s="14" t="n"/>
      <c r="C837" s="125" t="n"/>
      <c r="D837" s="125" t="n"/>
      <c r="E837" s="125" t="n"/>
      <c r="F837" s="125" t="n"/>
      <c r="G837" s="125" t="n"/>
      <c r="I837" s="125" t="n"/>
      <c r="J837" s="125" t="n"/>
      <c r="K837" s="125" t="n"/>
      <c r="L837" s="125" t="n"/>
      <c r="M837" s="125" t="n"/>
      <c r="N837" s="125" t="n"/>
      <c r="O837" s="125" t="n"/>
      <c r="P837" s="125" t="n"/>
      <c r="Q837" s="125" t="n"/>
      <c r="R837" s="125" t="n"/>
      <c r="S837" s="125" t="n"/>
      <c r="T837" s="125" t="n"/>
      <c r="U837" s="121" t="n"/>
      <c r="V837" s="19" t="n"/>
      <c r="W837" s="19" t="n"/>
      <c r="X837" s="19" t="n"/>
      <c r="Y837" s="20" t="n"/>
      <c r="Z837" s="125" t="n"/>
      <c r="AB837" s="125" t="n"/>
      <c r="AC837" s="125" t="n"/>
      <c r="AD837" s="125" t="n"/>
      <c r="AE837" s="125" t="n"/>
      <c r="AF837" s="125" t="n"/>
      <c r="AG837" s="125" t="n"/>
      <c r="AH837" s="125" t="n"/>
      <c r="AI837" s="125" t="n"/>
      <c r="AJ837" s="125" t="n"/>
      <c r="AK837" s="125" t="n"/>
      <c r="AL837" s="125" t="n"/>
      <c r="AM837" s="125" t="n"/>
      <c r="AN837" s="121" t="n"/>
      <c r="AO837" s="19" t="n"/>
      <c r="AP837" s="19" t="n"/>
      <c r="AQ837" s="19" t="n"/>
      <c r="AR837" s="20" t="n"/>
      <c r="AS837" s="125" t="n"/>
    </row>
    <row r="838" hidden="1" outlineLevel="1">
      <c r="A838" s="8" t="n"/>
      <c r="B838" s="14" t="n"/>
      <c r="C838" s="125" t="n"/>
      <c r="D838" s="125" t="n"/>
      <c r="E838" s="125" t="n"/>
      <c r="F838" s="125" t="n"/>
      <c r="G838" s="125" t="n"/>
      <c r="I838" s="55" t="inlineStr">
        <is>
          <t>AQUISIÇÃO</t>
        </is>
      </c>
      <c r="J838" s="17" t="n"/>
      <c r="K838" s="55" t="inlineStr">
        <is>
          <t>OBTIDA NO NÍVEL</t>
        </is>
      </c>
      <c r="L838" s="55" t="inlineStr">
        <is>
          <t>TALISMÃ</t>
        </is>
      </c>
      <c r="M838" s="17" t="n"/>
      <c r="N838" s="125" t="n"/>
      <c r="O838" s="55">
        <f>DADOS_INVOC!$IB$6</f>
        <v/>
      </c>
      <c r="P838" s="16" t="n"/>
      <c r="Q838" s="16" t="n"/>
      <c r="R838" s="16" t="n"/>
      <c r="S838" s="17" t="n"/>
      <c r="T838" s="125" t="n"/>
      <c r="U838" s="21" t="n"/>
      <c r="Y838" s="22" t="n"/>
      <c r="Z838" s="125" t="n"/>
      <c r="AB838" s="55" t="inlineStr">
        <is>
          <t>AQUISIÇÃO</t>
        </is>
      </c>
      <c r="AC838" s="17" t="n"/>
      <c r="AD838" s="55" t="inlineStr">
        <is>
          <t>OBTIDA NO NÍVEL</t>
        </is>
      </c>
      <c r="AE838" s="55" t="inlineStr">
        <is>
          <t>TALISMÃ</t>
        </is>
      </c>
      <c r="AF838" s="17" t="n"/>
      <c r="AG838" s="125" t="n"/>
      <c r="AH838" s="55">
        <f>DADOS_INVOC!$IB$12</f>
        <v/>
      </c>
      <c r="AI838" s="16" t="n"/>
      <c r="AJ838" s="16" t="n"/>
      <c r="AK838" s="16" t="n"/>
      <c r="AL838" s="17" t="n"/>
      <c r="AM838" s="125" t="n"/>
      <c r="AN838" s="21" t="n"/>
      <c r="AR838" s="22" t="n"/>
      <c r="AS838" s="125" t="n"/>
    </row>
    <row r="839" hidden="1" outlineLevel="1">
      <c r="A839" s="8" t="n"/>
      <c r="B839" s="14" t="n"/>
      <c r="C839" s="125" t="n"/>
      <c r="D839" s="125" t="n"/>
      <c r="E839" s="125" t="n"/>
      <c r="F839" s="125" t="n"/>
      <c r="G839" s="125" t="n"/>
      <c r="I839" s="89" t="inlineStr">
        <is>
          <t>Espaço conhecido</t>
        </is>
      </c>
      <c r="J839" s="20" t="n"/>
      <c r="K839" s="89" t="n"/>
      <c r="L839" s="89" t="inlineStr">
        <is>
          <t>Sem carga</t>
        </is>
      </c>
      <c r="M839" s="20" t="n"/>
      <c r="N839" s="125" t="n"/>
      <c r="O839" s="55" t="inlineStr">
        <is>
          <t>LIVRE</t>
        </is>
      </c>
      <c r="P839" s="55" t="inlineStr">
        <is>
          <t>LIVRE · TRILHA</t>
        </is>
      </c>
      <c r="Q839" s="55" t="inlineStr">
        <is>
          <t>ABERTA</t>
        </is>
      </c>
      <c r="R839" s="55" t="inlineStr">
        <is>
          <t>ABERTA</t>
        </is>
      </c>
      <c r="S839" s="55" t="inlineStr">
        <is>
          <t>ABERTA · TRILHA</t>
        </is>
      </c>
      <c r="T839" s="125" t="n"/>
      <c r="U839" s="21" t="n"/>
      <c r="Y839" s="22" t="n"/>
      <c r="Z839" s="125" t="n"/>
      <c r="AB839" s="89" t="inlineStr">
        <is>
          <t>Espaço conhecido</t>
        </is>
      </c>
      <c r="AC839" s="20" t="n"/>
      <c r="AD839" s="89" t="n"/>
      <c r="AE839" s="89" t="inlineStr">
        <is>
          <t>Sem carga</t>
        </is>
      </c>
      <c r="AF839" s="20" t="n"/>
      <c r="AG839" s="125" t="n"/>
      <c r="AH839" s="55" t="inlineStr">
        <is>
          <t>LIVRE</t>
        </is>
      </c>
      <c r="AI839" s="55" t="inlineStr">
        <is>
          <t>LIVRE · TRILHA</t>
        </is>
      </c>
      <c r="AJ839" s="55" t="inlineStr">
        <is>
          <t>ABERTA</t>
        </is>
      </c>
      <c r="AK839" s="55" t="inlineStr">
        <is>
          <t>ABERTA</t>
        </is>
      </c>
      <c r="AL839" s="55" t="inlineStr">
        <is>
          <t>ABERTA · TRILHA</t>
        </is>
      </c>
      <c r="AM839" s="125" t="n"/>
      <c r="AN839" s="21" t="n"/>
      <c r="AR839" s="22" t="n"/>
      <c r="AS839" s="125" t="n"/>
    </row>
    <row r="840" hidden="1" outlineLevel="1">
      <c r="A840" s="8" t="n"/>
      <c r="B840" s="14" t="n"/>
      <c r="C840" s="125" t="n"/>
      <c r="D840" s="125" t="n"/>
      <c r="E840" s="125" t="n"/>
      <c r="F840" s="125" t="n"/>
      <c r="G840" s="125" t="n"/>
      <c r="I840" s="23" t="n"/>
      <c r="J840" s="25" t="n"/>
      <c r="K840" s="129" t="n"/>
      <c r="L840" s="23" t="n"/>
      <c r="M840" s="25" t="n"/>
      <c r="N840" s="125" t="n"/>
      <c r="O840" s="89" t="n"/>
      <c r="P840" s="89" t="n"/>
      <c r="Q840" s="89" t="n"/>
      <c r="R840" s="89" t="n"/>
      <c r="S840" s="89" t="n"/>
      <c r="T840" s="125" t="n"/>
      <c r="U840" s="21" t="n"/>
      <c r="Y840" s="22" t="n"/>
      <c r="Z840" s="125" t="n"/>
      <c r="AB840" s="23" t="n"/>
      <c r="AC840" s="25" t="n"/>
      <c r="AD840" s="129" t="n"/>
      <c r="AE840" s="23" t="n"/>
      <c r="AF840" s="25" t="n"/>
      <c r="AG840" s="125" t="n"/>
      <c r="AH840" s="89" t="n"/>
      <c r="AI840" s="89" t="n"/>
      <c r="AJ840" s="89" t="n"/>
      <c r="AK840" s="89" t="n"/>
      <c r="AL840" s="89" t="n"/>
      <c r="AM840" s="125" t="n"/>
      <c r="AN840" s="21" t="n"/>
      <c r="AR840" s="22" t="n"/>
      <c r="AS840" s="125" t="n"/>
    </row>
    <row r="841" hidden="1" outlineLevel="1">
      <c r="A841" s="8" t="n"/>
      <c r="B841" s="14" t="n"/>
      <c r="C841" s="125" t="n"/>
      <c r="D841" s="125" t="n"/>
      <c r="E841" s="125" t="n"/>
      <c r="F841" s="125" t="n"/>
      <c r="G841" s="125" t="n"/>
      <c r="I841" s="125" t="n"/>
      <c r="J841" s="125" t="n"/>
      <c r="K841" s="125" t="n"/>
      <c r="L841" s="125" t="n"/>
      <c r="M841" s="125" t="n"/>
      <c r="N841" s="125" t="n"/>
      <c r="O841" s="129" t="n"/>
      <c r="P841" s="129" t="n"/>
      <c r="Q841" s="129" t="n"/>
      <c r="R841" s="129" t="n"/>
      <c r="S841" s="129" t="n"/>
      <c r="T841" s="125" t="n"/>
      <c r="U841" s="23" t="n"/>
      <c r="V841" s="24" t="n"/>
      <c r="W841" s="24" t="n"/>
      <c r="X841" s="24" t="n"/>
      <c r="Y841" s="25" t="n"/>
      <c r="Z841" s="125" t="n"/>
      <c r="AB841" s="125" t="n"/>
      <c r="AC841" s="125" t="n"/>
      <c r="AD841" s="125" t="n"/>
      <c r="AE841" s="125" t="n"/>
      <c r="AF841" s="125" t="n"/>
      <c r="AG841" s="125" t="n"/>
      <c r="AH841" s="129" t="n"/>
      <c r="AI841" s="129" t="n"/>
      <c r="AJ841" s="129" t="n"/>
      <c r="AK841" s="129" t="n"/>
      <c r="AL841" s="129" t="n"/>
      <c r="AM841" s="125" t="n"/>
      <c r="AN841" s="23" t="n"/>
      <c r="AO841" s="24" t="n"/>
      <c r="AP841" s="24" t="n"/>
      <c r="AQ841" s="24" t="n"/>
      <c r="AR841" s="25" t="n"/>
      <c r="AS841" s="125" t="n"/>
    </row>
    <row r="842" hidden="1" outlineLevel="1">
      <c r="A842" s="8" t="n"/>
      <c r="B842" s="14" t="n"/>
      <c r="C842" s="125" t="n"/>
      <c r="D842" s="125" t="n"/>
      <c r="E842" s="125" t="n"/>
      <c r="F842" s="125" t="n"/>
      <c r="G842" s="125" t="n"/>
      <c r="I842" s="125" t="n"/>
      <c r="J842" s="125" t="n"/>
      <c r="K842" s="125" t="n"/>
      <c r="L842" s="125" t="n"/>
      <c r="M842" s="125" t="n"/>
      <c r="N842" s="125" t="n"/>
      <c r="O842" s="125" t="n"/>
      <c r="P842" s="125" t="n"/>
      <c r="Q842" s="125" t="n"/>
      <c r="R842" s="125" t="n"/>
      <c r="S842" s="125" t="n"/>
      <c r="T842" s="125" t="n"/>
      <c r="U842" s="125" t="n"/>
      <c r="V842" s="125" t="n"/>
      <c r="W842" s="125" t="n"/>
      <c r="X842" s="125" t="n"/>
      <c r="Y842" s="125" t="n"/>
      <c r="Z842" s="125" t="n"/>
      <c r="AB842" s="125" t="n"/>
      <c r="AC842" s="125" t="n"/>
      <c r="AD842" s="125" t="n"/>
      <c r="AE842" s="125" t="n"/>
      <c r="AF842" s="125" t="n"/>
      <c r="AG842" s="125" t="n"/>
      <c r="AH842" s="125" t="n"/>
      <c r="AI842" s="125" t="n"/>
      <c r="AJ842" s="125" t="n"/>
      <c r="AK842" s="125" t="n"/>
      <c r="AL842" s="125" t="n"/>
      <c r="AM842" s="125" t="n"/>
      <c r="AN842" s="125" t="n"/>
      <c r="AO842" s="125" t="n"/>
      <c r="AP842" s="125" t="n"/>
      <c r="AQ842" s="125" t="n"/>
      <c r="AR842" s="125" t="n"/>
      <c r="AS842" s="125" t="n"/>
    </row>
    <row r="843" hidden="1" outlineLevel="1">
      <c r="A843" s="8" t="n"/>
      <c r="B843" s="14" t="n"/>
      <c r="C843" s="125" t="n"/>
      <c r="D843" s="125" t="n"/>
      <c r="E843" s="125" t="n"/>
      <c r="F843" s="125" t="n"/>
      <c r="G843" s="125"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5"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5" t="n"/>
    </row>
    <row r="844" hidden="1" outlineLevel="1">
      <c r="A844" s="8" t="n"/>
      <c r="B844" s="14" t="n"/>
      <c r="C844" s="125" t="n"/>
      <c r="D844" s="125" t="n"/>
      <c r="E844" s="125" t="n"/>
      <c r="F844" s="125" t="n"/>
      <c r="G844" s="125" t="n"/>
      <c r="I844" s="121" t="n"/>
      <c r="J844" s="19" t="n"/>
      <c r="K844" s="19" t="n"/>
      <c r="L844" s="19" t="n"/>
      <c r="M844" s="19" t="n"/>
      <c r="N844" s="19" t="n"/>
      <c r="O844" s="19" t="n"/>
      <c r="P844" s="19" t="n"/>
      <c r="Q844" s="19" t="n"/>
      <c r="R844" s="19" t="n"/>
      <c r="S844" s="19" t="n"/>
      <c r="T844" s="19" t="n"/>
      <c r="U844" s="19" t="n"/>
      <c r="V844" s="19" t="n"/>
      <c r="W844" s="19" t="n"/>
      <c r="X844" s="19" t="n"/>
      <c r="Y844" s="20" t="n"/>
      <c r="Z844" s="125" t="n"/>
      <c r="AB844" s="121" t="n"/>
      <c r="AC844" s="19" t="n"/>
      <c r="AD844" s="19" t="n"/>
      <c r="AE844" s="19" t="n"/>
      <c r="AF844" s="19" t="n"/>
      <c r="AG844" s="19" t="n"/>
      <c r="AH844" s="19" t="n"/>
      <c r="AI844" s="19" t="n"/>
      <c r="AJ844" s="19" t="n"/>
      <c r="AK844" s="19" t="n"/>
      <c r="AL844" s="19" t="n"/>
      <c r="AM844" s="19" t="n"/>
      <c r="AN844" s="19" t="n"/>
      <c r="AO844" s="19" t="n"/>
      <c r="AP844" s="19" t="n"/>
      <c r="AQ844" s="19" t="n"/>
      <c r="AR844" s="20" t="n"/>
      <c r="AS844" s="125" t="n"/>
    </row>
    <row r="845" hidden="1" outlineLevel="1">
      <c r="A845" s="8" t="n"/>
      <c r="B845" s="14" t="n"/>
      <c r="C845" s="125" t="n"/>
      <c r="D845" s="125" t="n"/>
      <c r="E845" s="125" t="n"/>
      <c r="F845" s="125" t="n"/>
      <c r="G845" s="125" t="n"/>
      <c r="I845" s="23" t="n"/>
      <c r="J845" s="24" t="n"/>
      <c r="K845" s="24" t="n"/>
      <c r="L845" s="24" t="n"/>
      <c r="M845" s="24" t="n"/>
      <c r="N845" s="24" t="n"/>
      <c r="O845" s="24" t="n"/>
      <c r="P845" s="24" t="n"/>
      <c r="Q845" s="24" t="n"/>
      <c r="R845" s="24" t="n"/>
      <c r="S845" s="24" t="n"/>
      <c r="T845" s="24" t="n"/>
      <c r="U845" s="24" t="n"/>
      <c r="V845" s="24" t="n"/>
      <c r="W845" s="24" t="n"/>
      <c r="X845" s="24" t="n"/>
      <c r="Y845" s="25" t="n"/>
      <c r="Z845" s="125"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5" t="n"/>
    </row>
    <row r="846" hidden="1" outlineLevel="1">
      <c r="A846" s="8" t="n"/>
      <c r="B846" s="14" t="n"/>
      <c r="C846" s="125" t="n"/>
      <c r="D846" s="125" t="n"/>
      <c r="E846" s="125" t="n"/>
      <c r="F846" s="125" t="n"/>
      <c r="G846" s="125" t="n"/>
      <c r="I846" s="125" t="n"/>
      <c r="J846" s="125" t="n"/>
      <c r="K846" s="125" t="n"/>
      <c r="L846" s="125" t="n"/>
      <c r="M846" s="125" t="n"/>
      <c r="N846" s="125" t="n"/>
      <c r="O846" s="125" t="n"/>
      <c r="P846" s="125" t="n"/>
      <c r="Q846" s="125" t="n"/>
      <c r="R846" s="125" t="n"/>
      <c r="S846" s="125" t="n"/>
      <c r="T846" s="125" t="n"/>
      <c r="U846" s="125" t="n"/>
      <c r="V846" s="125" t="n"/>
      <c r="W846" s="125" t="n"/>
      <c r="X846" s="125" t="n"/>
      <c r="Y846" s="125" t="n"/>
      <c r="Z846" s="125" t="n"/>
      <c r="AB846" s="125" t="n"/>
      <c r="AC846" s="125" t="n"/>
      <c r="AD846" s="125" t="n"/>
      <c r="AE846" s="125" t="n"/>
      <c r="AF846" s="125" t="n"/>
      <c r="AG846" s="125" t="n"/>
      <c r="AH846" s="125" t="n"/>
      <c r="AI846" s="125" t="n"/>
      <c r="AJ846" s="125" t="n"/>
      <c r="AK846" s="125" t="n"/>
      <c r="AL846" s="125" t="n"/>
      <c r="AM846" s="125" t="n"/>
      <c r="AN846" s="125" t="n"/>
      <c r="AO846" s="125" t="n"/>
      <c r="AP846" s="125" t="n"/>
      <c r="AQ846" s="125" t="n"/>
      <c r="AR846" s="125" t="n"/>
      <c r="AS846" s="125" t="n"/>
    </row>
    <row r="847" hidden="1" outlineLevel="1">
      <c r="A847" s="8" t="n"/>
      <c r="B847" s="14" t="n"/>
      <c r="C847" s="125" t="n"/>
      <c r="D847" s="125" t="n"/>
      <c r="E847" s="125" t="n"/>
      <c r="F847" s="125" t="n"/>
      <c r="G847" s="125" t="n"/>
      <c r="I847" s="137">
        <f>DADOS_INVOC!$IC$6</f>
        <v/>
      </c>
      <c r="J847" s="16" t="n"/>
      <c r="K847" s="16" t="n"/>
      <c r="L847" s="16" t="n"/>
      <c r="M847" s="16" t="n"/>
      <c r="N847" s="16" t="n"/>
      <c r="O847" s="16" t="n"/>
      <c r="P847" s="16" t="n"/>
      <c r="Q847" s="16" t="n"/>
      <c r="R847" s="16" t="n"/>
      <c r="S847" s="16" t="n"/>
      <c r="T847" s="16" t="n"/>
      <c r="U847" s="16" t="n"/>
      <c r="V847" s="16" t="n"/>
      <c r="W847" s="16" t="n"/>
      <c r="X847" s="16" t="n"/>
      <c r="Y847" s="17" t="n"/>
      <c r="Z847" s="125" t="n"/>
      <c r="AB847" s="137">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5" t="n"/>
    </row>
    <row r="848" hidden="1" outlineLevel="1">
      <c r="A848" s="8" t="n"/>
      <c r="B848" s="14" t="n"/>
      <c r="C848" s="125" t="n"/>
      <c r="D848" s="125" t="n"/>
      <c r="E848" s="125" t="n"/>
      <c r="F848" s="125" t="n"/>
      <c r="G848" s="125" t="n"/>
      <c r="I848" s="125" t="n"/>
      <c r="J848" s="125" t="n"/>
      <c r="K848" s="125" t="n"/>
      <c r="L848" s="125" t="n"/>
      <c r="M848" s="125" t="n"/>
      <c r="N848" s="125" t="n"/>
      <c r="O848" s="125" t="n"/>
      <c r="P848" s="125" t="n"/>
      <c r="Q848" s="125" t="n"/>
      <c r="R848" s="125" t="n"/>
      <c r="S848" s="125" t="n"/>
      <c r="T848" s="125" t="n"/>
      <c r="U848" s="125" t="n"/>
      <c r="V848" s="125" t="n"/>
      <c r="W848" s="125" t="n"/>
      <c r="X848" s="125" t="n"/>
      <c r="Y848" s="125" t="n"/>
      <c r="Z848" s="125" t="n"/>
      <c r="AB848" s="125" t="n"/>
      <c r="AC848" s="125" t="n"/>
      <c r="AD848" s="125" t="n"/>
      <c r="AE848" s="125" t="n"/>
      <c r="AF848" s="125" t="n"/>
      <c r="AG848" s="125" t="n"/>
      <c r="AH848" s="125" t="n"/>
      <c r="AI848" s="125" t="n"/>
      <c r="AJ848" s="125" t="n"/>
      <c r="AK848" s="125" t="n"/>
      <c r="AL848" s="125" t="n"/>
      <c r="AM848" s="125" t="n"/>
      <c r="AN848" s="125" t="n"/>
      <c r="AO848" s="125" t="n"/>
      <c r="AP848" s="125" t="n"/>
      <c r="AQ848" s="125" t="n"/>
      <c r="AR848" s="125" t="n"/>
      <c r="AS848" s="125" t="n"/>
    </row>
    <row r="849" hidden="1" outlineLevel="1">
      <c r="A849" s="8" t="n"/>
      <c r="B849" s="14" t="n"/>
      <c r="C849" s="125" t="n"/>
      <c r="D849" s="125" t="n"/>
      <c r="E849" s="125" t="n"/>
      <c r="F849" s="125" t="n"/>
      <c r="G849" s="125" t="n"/>
      <c r="I849" s="55">
        <f>DADOS_INVOC!$PX$54</f>
        <v/>
      </c>
      <c r="J849" s="16" t="n"/>
      <c r="K849" s="16" t="n"/>
      <c r="L849" s="16" t="n"/>
      <c r="M849" s="17" t="n"/>
      <c r="N849" s="125" t="n"/>
      <c r="O849" s="55">
        <f>DADOS_INVOC!$PX$55</f>
        <v/>
      </c>
      <c r="P849" s="16" t="n"/>
      <c r="Q849" s="16" t="n"/>
      <c r="R849" s="16" t="n"/>
      <c r="S849" s="17" t="n"/>
      <c r="T849" s="125" t="n"/>
      <c r="U849" s="55">
        <f>DADOS_INVOC!$PX$56</f>
        <v/>
      </c>
      <c r="V849" s="16" t="n"/>
      <c r="W849" s="16" t="n"/>
      <c r="X849" s="16" t="n"/>
      <c r="Y849" s="17" t="n"/>
      <c r="Z849" s="125" t="n"/>
      <c r="AB849" s="55">
        <f>DADOS_INVOC!$PX$132</f>
        <v/>
      </c>
      <c r="AC849" s="16" t="n"/>
      <c r="AD849" s="16" t="n"/>
      <c r="AE849" s="16" t="n"/>
      <c r="AF849" s="17" t="n"/>
      <c r="AG849" s="125" t="n"/>
      <c r="AH849" s="55">
        <f>DADOS_INVOC!$PX$133</f>
        <v/>
      </c>
      <c r="AI849" s="16" t="n"/>
      <c r="AJ849" s="16" t="n"/>
      <c r="AK849" s="16" t="n"/>
      <c r="AL849" s="17" t="n"/>
      <c r="AM849" s="125" t="n"/>
      <c r="AN849" s="55">
        <f>DADOS_INVOC!$PX$134</f>
        <v/>
      </c>
      <c r="AO849" s="16" t="n"/>
      <c r="AP849" s="16" t="n"/>
      <c r="AQ849" s="16" t="n"/>
      <c r="AR849" s="17" t="n"/>
      <c r="AS849" s="125" t="n"/>
    </row>
    <row r="850" hidden="1" outlineLevel="1">
      <c r="A850" s="8" t="n"/>
      <c r="B850" s="14" t="n"/>
      <c r="C850" s="125" t="n"/>
      <c r="D850" s="125" t="n"/>
      <c r="E850" s="125" t="n"/>
      <c r="F850" s="125" t="n"/>
      <c r="G850" s="125" t="n"/>
      <c r="I850" s="131" t="n">
        <v>0</v>
      </c>
      <c r="J850" s="120" t="n"/>
      <c r="K850" s="16" t="n"/>
      <c r="L850" s="17" t="n"/>
      <c r="M850" s="132">
        <f>DADOS_INVOC!$PV$54</f>
        <v/>
      </c>
      <c r="N850" s="125" t="n"/>
      <c r="O850" s="131" t="n">
        <v>1</v>
      </c>
      <c r="P850" s="120" t="n"/>
      <c r="Q850" s="16" t="n"/>
      <c r="R850" s="17" t="n"/>
      <c r="S850" s="132">
        <f>DADOS_INVOC!$PV$55</f>
        <v/>
      </c>
      <c r="T850" s="125" t="n"/>
      <c r="U850" s="131" t="n">
        <v>1</v>
      </c>
      <c r="V850" s="120" t="n"/>
      <c r="W850" s="16" t="n"/>
      <c r="X850" s="17" t="n"/>
      <c r="Y850" s="132">
        <f>DADOS_INVOC!$PV$56</f>
        <v/>
      </c>
      <c r="Z850" s="125" t="n"/>
      <c r="AB850" s="131" t="n">
        <v>0</v>
      </c>
      <c r="AC850" s="120" t="n"/>
      <c r="AD850" s="16" t="n"/>
      <c r="AE850" s="17" t="n"/>
      <c r="AF850" s="132">
        <f>DADOS_INVOC!$PV$132</f>
        <v/>
      </c>
      <c r="AG850" s="125" t="n"/>
      <c r="AH850" s="131" t="n">
        <v>1</v>
      </c>
      <c r="AI850" s="120" t="n"/>
      <c r="AJ850" s="16" t="n"/>
      <c r="AK850" s="17" t="n"/>
      <c r="AL850" s="132">
        <f>DADOS_INVOC!$PV$133</f>
        <v/>
      </c>
      <c r="AM850" s="125" t="n"/>
      <c r="AN850" s="131" t="n">
        <v>1</v>
      </c>
      <c r="AO850" s="120" t="n"/>
      <c r="AP850" s="16" t="n"/>
      <c r="AQ850" s="17" t="n"/>
      <c r="AR850" s="132">
        <f>DADOS_INVOC!$PV$134</f>
        <v/>
      </c>
      <c r="AS850" s="125" t="n"/>
    </row>
    <row r="851" hidden="1" outlineLevel="2">
      <c r="A851" s="8" t="n"/>
      <c r="B851" s="14" t="n"/>
      <c r="C851" s="125" t="n"/>
      <c r="D851" s="125" t="n"/>
      <c r="E851" s="125" t="n"/>
      <c r="F851" s="125" t="n"/>
      <c r="G851" s="125" t="n"/>
      <c r="I851" s="55" t="inlineStr">
        <is>
          <t>COMO É</t>
        </is>
      </c>
      <c r="J851" s="16" t="n"/>
      <c r="K851" s="16" t="n"/>
      <c r="L851" s="16" t="n"/>
      <c r="M851" s="17" t="n"/>
      <c r="N851" s="125" t="n"/>
      <c r="O851" s="55" t="inlineStr">
        <is>
          <t>COMO É</t>
        </is>
      </c>
      <c r="P851" s="16" t="n"/>
      <c r="Q851" s="16" t="n"/>
      <c r="R851" s="16" t="n"/>
      <c r="S851" s="17" t="n"/>
      <c r="T851" s="125" t="n"/>
      <c r="U851" s="55" t="inlineStr">
        <is>
          <t>COMO É</t>
        </is>
      </c>
      <c r="V851" s="16" t="n"/>
      <c r="W851" s="16" t="n"/>
      <c r="X851" s="16" t="n"/>
      <c r="Y851" s="17" t="n"/>
      <c r="Z851" s="125" t="n"/>
      <c r="AB851" s="55" t="inlineStr">
        <is>
          <t>COMO É</t>
        </is>
      </c>
      <c r="AC851" s="16" t="n"/>
      <c r="AD851" s="16" t="n"/>
      <c r="AE851" s="16" t="n"/>
      <c r="AF851" s="17" t="n"/>
      <c r="AG851" s="125" t="n"/>
      <c r="AH851" s="55" t="inlineStr">
        <is>
          <t>COMO É</t>
        </is>
      </c>
      <c r="AI851" s="16" t="n"/>
      <c r="AJ851" s="16" t="n"/>
      <c r="AK851" s="16" t="n"/>
      <c r="AL851" s="17" t="n"/>
      <c r="AM851" s="125" t="n"/>
      <c r="AN851" s="55" t="inlineStr">
        <is>
          <t>COMO É</t>
        </is>
      </c>
      <c r="AO851" s="16" t="n"/>
      <c r="AP851" s="16" t="n"/>
      <c r="AQ851" s="16" t="n"/>
      <c r="AR851" s="17" t="n"/>
      <c r="AS851" s="125" t="n"/>
    </row>
    <row r="852" hidden="1" outlineLevel="2">
      <c r="A852" s="8" t="n"/>
      <c r="B852" s="14" t="n"/>
      <c r="C852" s="125" t="n"/>
      <c r="D852" s="125" t="n"/>
      <c r="E852" s="125" t="n"/>
      <c r="F852" s="125" t="n"/>
      <c r="G852" s="125" t="n"/>
      <c r="I852" s="121" t="n"/>
      <c r="J852" s="19" t="n"/>
      <c r="K852" s="19" t="n"/>
      <c r="L852" s="19" t="n"/>
      <c r="M852" s="20" t="n"/>
      <c r="N852" s="125" t="n"/>
      <c r="O852" s="121" t="n"/>
      <c r="P852" s="19" t="n"/>
      <c r="Q852" s="19" t="n"/>
      <c r="R852" s="19" t="n"/>
      <c r="S852" s="20" t="n"/>
      <c r="T852" s="125" t="n"/>
      <c r="U852" s="121" t="n"/>
      <c r="V852" s="19" t="n"/>
      <c r="W852" s="19" t="n"/>
      <c r="X852" s="19" t="n"/>
      <c r="Y852" s="20" t="n"/>
      <c r="Z852" s="125" t="n"/>
      <c r="AB852" s="121" t="n"/>
      <c r="AC852" s="19" t="n"/>
      <c r="AD852" s="19" t="n"/>
      <c r="AE852" s="19" t="n"/>
      <c r="AF852" s="20" t="n"/>
      <c r="AG852" s="125" t="n"/>
      <c r="AH852" s="121" t="n"/>
      <c r="AI852" s="19" t="n"/>
      <c r="AJ852" s="19" t="n"/>
      <c r="AK852" s="19" t="n"/>
      <c r="AL852" s="20" t="n"/>
      <c r="AM852" s="125" t="n"/>
      <c r="AN852" s="121" t="n"/>
      <c r="AO852" s="19" t="n"/>
      <c r="AP852" s="19" t="n"/>
      <c r="AQ852" s="19" t="n"/>
      <c r="AR852" s="20" t="n"/>
      <c r="AS852" s="125" t="n"/>
    </row>
    <row r="853" hidden="1" outlineLevel="2">
      <c r="A853" s="8" t="n"/>
      <c r="B853" s="14" t="n"/>
      <c r="C853" s="125" t="n"/>
      <c r="D853" s="125" t="n"/>
      <c r="E853" s="125" t="n"/>
      <c r="F853" s="125" t="n"/>
      <c r="G853" s="125" t="n"/>
      <c r="I853" s="21" t="n"/>
      <c r="M853" s="22" t="n"/>
      <c r="N853" s="125" t="n"/>
      <c r="O853" s="21" t="n"/>
      <c r="S853" s="22" t="n"/>
      <c r="T853" s="125" t="n"/>
      <c r="U853" s="21" t="n"/>
      <c r="Y853" s="22" t="n"/>
      <c r="Z853" s="125" t="n"/>
      <c r="AB853" s="21" t="n"/>
      <c r="AF853" s="22" t="n"/>
      <c r="AG853" s="125" t="n"/>
      <c r="AH853" s="21" t="n"/>
      <c r="AL853" s="22" t="n"/>
      <c r="AM853" s="125" t="n"/>
      <c r="AN853" s="21" t="n"/>
      <c r="AR853" s="22" t="n"/>
      <c r="AS853" s="125" t="n"/>
    </row>
    <row r="854" hidden="1" outlineLevel="2">
      <c r="A854" s="8" t="n"/>
      <c r="B854" s="14" t="n"/>
      <c r="C854" s="125" t="n"/>
      <c r="D854" s="125" t="n"/>
      <c r="E854" s="125" t="n"/>
      <c r="F854" s="125" t="n"/>
      <c r="G854" s="125" t="n"/>
      <c r="I854" s="23" t="n"/>
      <c r="J854" s="24" t="n"/>
      <c r="K854" s="24" t="n"/>
      <c r="L854" s="24" t="n"/>
      <c r="M854" s="25" t="n"/>
      <c r="N854" s="125" t="n"/>
      <c r="O854" s="23" t="n"/>
      <c r="P854" s="24" t="n"/>
      <c r="Q854" s="24" t="n"/>
      <c r="R854" s="24" t="n"/>
      <c r="S854" s="25" t="n"/>
      <c r="T854" s="125" t="n"/>
      <c r="U854" s="23" t="n"/>
      <c r="V854" s="24" t="n"/>
      <c r="W854" s="24" t="n"/>
      <c r="X854" s="24" t="n"/>
      <c r="Y854" s="25" t="n"/>
      <c r="Z854" s="125" t="n"/>
      <c r="AB854" s="23" t="n"/>
      <c r="AC854" s="24" t="n"/>
      <c r="AD854" s="24" t="n"/>
      <c r="AE854" s="24" t="n"/>
      <c r="AF854" s="25" t="n"/>
      <c r="AG854" s="125" t="n"/>
      <c r="AH854" s="23" t="n"/>
      <c r="AI854" s="24" t="n"/>
      <c r="AJ854" s="24" t="n"/>
      <c r="AK854" s="24" t="n"/>
      <c r="AL854" s="25" t="n"/>
      <c r="AM854" s="125" t="n"/>
      <c r="AN854" s="23" t="n"/>
      <c r="AO854" s="24" t="n"/>
      <c r="AP854" s="24" t="n"/>
      <c r="AQ854" s="24" t="n"/>
      <c r="AR854" s="25" t="n"/>
      <c r="AS854" s="125" t="n"/>
    </row>
    <row r="855" hidden="1" outlineLevel="1">
      <c r="A855" s="8" t="n"/>
      <c r="B855" s="14" t="n"/>
      <c r="C855" s="125" t="n"/>
      <c r="D855" s="125" t="n"/>
      <c r="E855" s="125" t="n"/>
      <c r="F855" s="125" t="n"/>
      <c r="G855" s="125" t="n"/>
      <c r="I855" s="89" t="inlineStr">
        <is>
          <t>Projétil</t>
        </is>
      </c>
      <c r="J855" s="17" t="n"/>
      <c r="K855" s="68">
        <f>DADOS_INVOC!$QC$54</f>
        <v/>
      </c>
      <c r="L855" s="17" t="n"/>
      <c r="M855" s="68">
        <f>DADOS_INVOC!$PY$54</f>
        <v/>
      </c>
      <c r="N855" s="125" t="n"/>
      <c r="O855" s="89" t="inlineStr">
        <is>
          <t>Projétil</t>
        </is>
      </c>
      <c r="P855" s="17" t="n"/>
      <c r="Q855" s="68">
        <f>DADOS_INVOC!$QC$55</f>
        <v/>
      </c>
      <c r="R855" s="17" t="n"/>
      <c r="S855" s="68">
        <f>DADOS_INVOC!$PY$55</f>
        <v/>
      </c>
      <c r="T855" s="125" t="n"/>
      <c r="U855" s="89" t="inlineStr">
        <is>
          <t>Projétil</t>
        </is>
      </c>
      <c r="V855" s="17" t="n"/>
      <c r="W855" s="68">
        <f>DADOS_INVOC!$QC$56</f>
        <v/>
      </c>
      <c r="X855" s="17" t="n"/>
      <c r="Y855" s="68">
        <f>DADOS_INVOC!$PY$56</f>
        <v/>
      </c>
      <c r="Z855" s="125" t="n"/>
      <c r="AB855" s="89" t="inlineStr">
        <is>
          <t>Projétil</t>
        </is>
      </c>
      <c r="AC855" s="17" t="n"/>
      <c r="AD855" s="68">
        <f>DADOS_INVOC!$QC$132</f>
        <v/>
      </c>
      <c r="AE855" s="17" t="n"/>
      <c r="AF855" s="68">
        <f>DADOS_INVOC!$PY$132</f>
        <v/>
      </c>
      <c r="AG855" s="125" t="n"/>
      <c r="AH855" s="89" t="inlineStr">
        <is>
          <t>Projétil</t>
        </is>
      </c>
      <c r="AI855" s="17" t="n"/>
      <c r="AJ855" s="68">
        <f>DADOS_INVOC!$QC$133</f>
        <v/>
      </c>
      <c r="AK855" s="17" t="n"/>
      <c r="AL855" s="68">
        <f>DADOS_INVOC!$PY$133</f>
        <v/>
      </c>
      <c r="AM855" s="125" t="n"/>
      <c r="AN855" s="89" t="inlineStr">
        <is>
          <t>Projétil</t>
        </is>
      </c>
      <c r="AO855" s="17" t="n"/>
      <c r="AP855" s="68">
        <f>DADOS_INVOC!$QC$134</f>
        <v/>
      </c>
      <c r="AQ855" s="17" t="n"/>
      <c r="AR855" s="68">
        <f>DADOS_INVOC!$PY$134</f>
        <v/>
      </c>
      <c r="AS855" s="125" t="n"/>
    </row>
    <row r="856" hidden="1" outlineLevel="1">
      <c r="A856" s="8" t="n"/>
      <c r="B856" s="14" t="n"/>
      <c r="C856" s="125" t="n"/>
      <c r="D856" s="125" t="n"/>
      <c r="E856" s="125" t="n"/>
      <c r="F856" s="125" t="n"/>
      <c r="G856" s="125" t="n"/>
      <c r="I856" s="89" t="n"/>
      <c r="J856" s="17" t="n"/>
      <c r="K856" s="89" t="n"/>
      <c r="L856" s="16" t="n"/>
      <c r="M856" s="17" t="n"/>
      <c r="N856" s="125" t="n"/>
      <c r="O856" s="89" t="n"/>
      <c r="P856" s="17" t="n"/>
      <c r="Q856" s="89" t="n"/>
      <c r="R856" s="16" t="n"/>
      <c r="S856" s="17" t="n"/>
      <c r="T856" s="125" t="n"/>
      <c r="U856" s="89" t="n"/>
      <c r="V856" s="17" t="n"/>
      <c r="W856" s="89" t="n"/>
      <c r="X856" s="16" t="n"/>
      <c r="Y856" s="17" t="n"/>
      <c r="Z856" s="125" t="n"/>
      <c r="AB856" s="89" t="n"/>
      <c r="AC856" s="17" t="n"/>
      <c r="AD856" s="89" t="n"/>
      <c r="AE856" s="16" t="n"/>
      <c r="AF856" s="17" t="n"/>
      <c r="AG856" s="125" t="n"/>
      <c r="AH856" s="89" t="n"/>
      <c r="AI856" s="17" t="n"/>
      <c r="AJ856" s="89" t="n"/>
      <c r="AK856" s="16" t="n"/>
      <c r="AL856" s="17" t="n"/>
      <c r="AM856" s="125" t="n"/>
      <c r="AN856" s="89" t="n"/>
      <c r="AO856" s="17" t="n"/>
      <c r="AP856" s="89" t="n"/>
      <c r="AQ856" s="16" t="n"/>
      <c r="AR856" s="17" t="n"/>
      <c r="AS856" s="125" t="n"/>
    </row>
    <row r="857" hidden="1" outlineLevel="1">
      <c r="A857" s="8" t="n"/>
      <c r="B857" s="14" t="n"/>
      <c r="C857" s="125" t="n"/>
      <c r="D857" s="125" t="n"/>
      <c r="E857" s="125" t="n"/>
      <c r="F857" s="125" t="n"/>
      <c r="G857" s="125" t="n"/>
      <c r="I857" s="89">
        <f>DADOS_INVOC!$PZ$54</f>
        <v/>
      </c>
      <c r="J857" s="17" t="n"/>
      <c r="K857" s="89">
        <f>DADOS_INVOC!$QB$54</f>
        <v/>
      </c>
      <c r="L857" s="16" t="n"/>
      <c r="M857" s="17" t="n"/>
      <c r="N857" s="125" t="n"/>
      <c r="O857" s="89">
        <f>DADOS_INVOC!$PZ$55</f>
        <v/>
      </c>
      <c r="P857" s="17" t="n"/>
      <c r="Q857" s="89">
        <f>DADOS_INVOC!$QB$55</f>
        <v/>
      </c>
      <c r="R857" s="16" t="n"/>
      <c r="S857" s="17" t="n"/>
      <c r="T857" s="125" t="n"/>
      <c r="U857" s="89">
        <f>DADOS_INVOC!$PZ$56</f>
        <v/>
      </c>
      <c r="V857" s="17" t="n"/>
      <c r="W857" s="89">
        <f>DADOS_INVOC!$QB$56</f>
        <v/>
      </c>
      <c r="X857" s="16" t="n"/>
      <c r="Y857" s="17" t="n"/>
      <c r="Z857" s="125" t="n"/>
      <c r="AB857" s="89">
        <f>DADOS_INVOC!$PZ$132</f>
        <v/>
      </c>
      <c r="AC857" s="17" t="n"/>
      <c r="AD857" s="89">
        <f>DADOS_INVOC!$QB$132</f>
        <v/>
      </c>
      <c r="AE857" s="16" t="n"/>
      <c r="AF857" s="17" t="n"/>
      <c r="AG857" s="125" t="n"/>
      <c r="AH857" s="89">
        <f>DADOS_INVOC!$PZ$133</f>
        <v/>
      </c>
      <c r="AI857" s="17" t="n"/>
      <c r="AJ857" s="89">
        <f>DADOS_INVOC!$QB$133</f>
        <v/>
      </c>
      <c r="AK857" s="16" t="n"/>
      <c r="AL857" s="17" t="n"/>
      <c r="AM857" s="125" t="n"/>
      <c r="AN857" s="89">
        <f>DADOS_INVOC!$PZ$134</f>
        <v/>
      </c>
      <c r="AO857" s="17" t="n"/>
      <c r="AP857" s="89">
        <f>DADOS_INVOC!$QB$134</f>
        <v/>
      </c>
      <c r="AQ857" s="16" t="n"/>
      <c r="AR857" s="17" t="n"/>
      <c r="AS857" s="125" t="n"/>
    </row>
    <row r="858" hidden="1" outlineLevel="1">
      <c r="A858" s="8" t="n"/>
      <c r="B858" s="14" t="n"/>
      <c r="C858" s="125" t="n"/>
      <c r="D858" s="125" t="n"/>
      <c r="E858" s="125" t="n"/>
      <c r="F858" s="125" t="n"/>
      <c r="G858" s="125" t="n"/>
      <c r="I858" s="133">
        <f>DADOS_INVOC!$QH$54</f>
        <v/>
      </c>
      <c r="J858" s="16" t="n"/>
      <c r="K858" s="16" t="n"/>
      <c r="L858" s="16" t="n"/>
      <c r="M858" s="17" t="n"/>
      <c r="N858" s="125" t="n"/>
      <c r="O858" s="133">
        <f>DADOS_INVOC!$QH$55</f>
        <v/>
      </c>
      <c r="P858" s="16" t="n"/>
      <c r="Q858" s="16" t="n"/>
      <c r="R858" s="16" t="n"/>
      <c r="S858" s="17" t="n"/>
      <c r="T858" s="125" t="n"/>
      <c r="U858" s="133">
        <f>DADOS_INVOC!$QH$56</f>
        <v/>
      </c>
      <c r="V858" s="16" t="n"/>
      <c r="W858" s="16" t="n"/>
      <c r="X858" s="16" t="n"/>
      <c r="Y858" s="17" t="n"/>
      <c r="Z858" s="125" t="n"/>
      <c r="AB858" s="133">
        <f>DADOS_INVOC!$QH$132</f>
        <v/>
      </c>
      <c r="AC858" s="16" t="n"/>
      <c r="AD858" s="16" t="n"/>
      <c r="AE858" s="16" t="n"/>
      <c r="AF858" s="17" t="n"/>
      <c r="AG858" s="125" t="n"/>
      <c r="AH858" s="133">
        <f>DADOS_INVOC!$QH$133</f>
        <v/>
      </c>
      <c r="AI858" s="16" t="n"/>
      <c r="AJ858" s="16" t="n"/>
      <c r="AK858" s="16" t="n"/>
      <c r="AL858" s="17" t="n"/>
      <c r="AM858" s="125" t="n"/>
      <c r="AN858" s="133">
        <f>DADOS_INVOC!$QH$134</f>
        <v/>
      </c>
      <c r="AO858" s="16" t="n"/>
      <c r="AP858" s="16" t="n"/>
      <c r="AQ858" s="16" t="n"/>
      <c r="AR858" s="17" t="n"/>
      <c r="AS858" s="125" t="n"/>
    </row>
    <row r="859" hidden="1" outlineLevel="2">
      <c r="A859" s="8" t="n"/>
      <c r="B859" s="14" t="n"/>
      <c r="C859" s="125" t="n"/>
      <c r="D859" s="125" t="n"/>
      <c r="E859" s="125" t="n"/>
      <c r="F859" s="125" t="n"/>
      <c r="G859" s="125" t="n"/>
      <c r="I859" s="55" t="inlineStr">
        <is>
          <t>MELHORIAS</t>
        </is>
      </c>
      <c r="J859" s="134" t="n"/>
      <c r="K859" s="16" t="n"/>
      <c r="L859" s="17" t="n"/>
      <c r="M859" s="133">
        <f>DADOS_INVOC!$QK$54</f>
        <v/>
      </c>
      <c r="N859" s="125" t="n"/>
      <c r="O859" s="55" t="inlineStr">
        <is>
          <t>MELHORIAS</t>
        </is>
      </c>
      <c r="P859" s="134" t="n"/>
      <c r="Q859" s="16" t="n"/>
      <c r="R859" s="17" t="n"/>
      <c r="S859" s="133">
        <f>DADOS_INVOC!$QK$55</f>
        <v/>
      </c>
      <c r="T859" s="125" t="n"/>
      <c r="U859" s="55" t="inlineStr">
        <is>
          <t>MELHORIAS</t>
        </is>
      </c>
      <c r="V859" s="134" t="n"/>
      <c r="W859" s="16" t="n"/>
      <c r="X859" s="17" t="n"/>
      <c r="Y859" s="133">
        <f>DADOS_INVOC!$QK$56</f>
        <v/>
      </c>
      <c r="Z859" s="125" t="n"/>
      <c r="AB859" s="55" t="inlineStr">
        <is>
          <t>MELHORIAS</t>
        </is>
      </c>
      <c r="AC859" s="134" t="n"/>
      <c r="AD859" s="16" t="n"/>
      <c r="AE859" s="17" t="n"/>
      <c r="AF859" s="133">
        <f>DADOS_INVOC!$QK$132</f>
        <v/>
      </c>
      <c r="AG859" s="125" t="n"/>
      <c r="AH859" s="55" t="inlineStr">
        <is>
          <t>MELHORIAS</t>
        </is>
      </c>
      <c r="AI859" s="134" t="n"/>
      <c r="AJ859" s="16" t="n"/>
      <c r="AK859" s="17" t="n"/>
      <c r="AL859" s="133">
        <f>DADOS_INVOC!$QK$133</f>
        <v/>
      </c>
      <c r="AM859" s="125" t="n"/>
      <c r="AN859" s="55" t="inlineStr">
        <is>
          <t>MELHORIAS</t>
        </is>
      </c>
      <c r="AO859" s="134" t="n"/>
      <c r="AP859" s="16" t="n"/>
      <c r="AQ859" s="17" t="n"/>
      <c r="AR859" s="133">
        <f>DADOS_INVOC!$QK$134</f>
        <v/>
      </c>
      <c r="AS859" s="125" t="n"/>
    </row>
    <row r="860" hidden="1" outlineLevel="2">
      <c r="A860" s="8" t="n"/>
      <c r="B860" s="14" t="n"/>
      <c r="C860" s="125" t="n"/>
      <c r="D860" s="125" t="n"/>
      <c r="E860" s="125" t="n"/>
      <c r="F860" s="125" t="n"/>
      <c r="G860" s="125" t="n"/>
      <c r="I860" s="135" t="n"/>
      <c r="J860" s="134" t="n"/>
      <c r="K860" s="16" t="n"/>
      <c r="L860" s="17" t="n"/>
      <c r="M860" s="133">
        <f>DADOS_INVOC!$QL$54</f>
        <v/>
      </c>
      <c r="N860" s="125" t="n"/>
      <c r="O860" s="135" t="n"/>
      <c r="P860" s="134" t="n"/>
      <c r="Q860" s="16" t="n"/>
      <c r="R860" s="17" t="n"/>
      <c r="S860" s="133">
        <f>DADOS_INVOC!$QL$55</f>
        <v/>
      </c>
      <c r="T860" s="125" t="n"/>
      <c r="U860" s="135" t="n"/>
      <c r="V860" s="134" t="n"/>
      <c r="W860" s="16" t="n"/>
      <c r="X860" s="17" t="n"/>
      <c r="Y860" s="133">
        <f>DADOS_INVOC!$QL$56</f>
        <v/>
      </c>
      <c r="Z860" s="125" t="n"/>
      <c r="AB860" s="135" t="n"/>
      <c r="AC860" s="134" t="n"/>
      <c r="AD860" s="16" t="n"/>
      <c r="AE860" s="17" t="n"/>
      <c r="AF860" s="133">
        <f>DADOS_INVOC!$QL$132</f>
        <v/>
      </c>
      <c r="AG860" s="125" t="n"/>
      <c r="AH860" s="135" t="n"/>
      <c r="AI860" s="134" t="n"/>
      <c r="AJ860" s="16" t="n"/>
      <c r="AK860" s="17" t="n"/>
      <c r="AL860" s="133">
        <f>DADOS_INVOC!$QL$133</f>
        <v/>
      </c>
      <c r="AM860" s="125" t="n"/>
      <c r="AN860" s="135" t="n"/>
      <c r="AO860" s="134" t="n"/>
      <c r="AP860" s="16" t="n"/>
      <c r="AQ860" s="17" t="n"/>
      <c r="AR860" s="133">
        <f>DADOS_INVOC!$QL$134</f>
        <v/>
      </c>
      <c r="AS860" s="125" t="n"/>
    </row>
    <row r="861" hidden="1" outlineLevel="2">
      <c r="A861" s="8" t="n"/>
      <c r="B861" s="14" t="n"/>
      <c r="C861" s="125" t="n"/>
      <c r="D861" s="125" t="n"/>
      <c r="E861" s="125" t="n"/>
      <c r="F861" s="125" t="n"/>
      <c r="G861" s="125" t="n"/>
      <c r="I861" s="135" t="n"/>
      <c r="J861" s="134" t="n"/>
      <c r="K861" s="16" t="n"/>
      <c r="L861" s="17" t="n"/>
      <c r="M861" s="133">
        <f>DADOS_INVOC!$QM$54</f>
        <v/>
      </c>
      <c r="N861" s="125" t="n"/>
      <c r="O861" s="135" t="n"/>
      <c r="P861" s="134" t="n"/>
      <c r="Q861" s="16" t="n"/>
      <c r="R861" s="17" t="n"/>
      <c r="S861" s="133">
        <f>DADOS_INVOC!$QM$55</f>
        <v/>
      </c>
      <c r="T861" s="125" t="n"/>
      <c r="U861" s="135" t="n"/>
      <c r="V861" s="134" t="n"/>
      <c r="W861" s="16" t="n"/>
      <c r="X861" s="17" t="n"/>
      <c r="Y861" s="133">
        <f>DADOS_INVOC!$QM$56</f>
        <v/>
      </c>
      <c r="Z861" s="125" t="n"/>
      <c r="AB861" s="135" t="n"/>
      <c r="AC861" s="134" t="n"/>
      <c r="AD861" s="16" t="n"/>
      <c r="AE861" s="17" t="n"/>
      <c r="AF861" s="133">
        <f>DADOS_INVOC!$QM$132</f>
        <v/>
      </c>
      <c r="AG861" s="125" t="n"/>
      <c r="AH861" s="135" t="n"/>
      <c r="AI861" s="134" t="n"/>
      <c r="AJ861" s="16" t="n"/>
      <c r="AK861" s="17" t="n"/>
      <c r="AL861" s="133">
        <f>DADOS_INVOC!$QM$133</f>
        <v/>
      </c>
      <c r="AM861" s="125" t="n"/>
      <c r="AN861" s="135" t="n"/>
      <c r="AO861" s="134" t="n"/>
      <c r="AP861" s="16" t="n"/>
      <c r="AQ861" s="17" t="n"/>
      <c r="AR861" s="133">
        <f>DADOS_INVOC!$QM$134</f>
        <v/>
      </c>
      <c r="AS861" s="125" t="n"/>
    </row>
    <row r="862" hidden="1" outlineLevel="2">
      <c r="A862" s="8" t="n"/>
      <c r="B862" s="14" t="n"/>
      <c r="C862" s="125" t="n"/>
      <c r="D862" s="125" t="n"/>
      <c r="E862" s="125" t="n"/>
      <c r="F862" s="125" t="n"/>
      <c r="G862" s="125" t="n"/>
      <c r="I862" s="129" t="n"/>
      <c r="J862" s="134" t="n"/>
      <c r="K862" s="16" t="n"/>
      <c r="L862" s="17" t="n"/>
      <c r="M862" s="133">
        <f>DADOS_INVOC!$QN$54</f>
        <v/>
      </c>
      <c r="N862" s="125" t="n"/>
      <c r="O862" s="129" t="n"/>
      <c r="P862" s="134" t="n"/>
      <c r="Q862" s="16" t="n"/>
      <c r="R862" s="17" t="n"/>
      <c r="S862" s="133">
        <f>DADOS_INVOC!$QN$55</f>
        <v/>
      </c>
      <c r="T862" s="125" t="n"/>
      <c r="U862" s="129" t="n"/>
      <c r="V862" s="134" t="n"/>
      <c r="W862" s="16" t="n"/>
      <c r="X862" s="17" t="n"/>
      <c r="Y862" s="133">
        <f>DADOS_INVOC!$QN$56</f>
        <v/>
      </c>
      <c r="Z862" s="125" t="n"/>
      <c r="AB862" s="129" t="n"/>
      <c r="AC862" s="134" t="n"/>
      <c r="AD862" s="16" t="n"/>
      <c r="AE862" s="17" t="n"/>
      <c r="AF862" s="133">
        <f>DADOS_INVOC!$QN$132</f>
        <v/>
      </c>
      <c r="AG862" s="125" t="n"/>
      <c r="AH862" s="129" t="n"/>
      <c r="AI862" s="134" t="n"/>
      <c r="AJ862" s="16" t="n"/>
      <c r="AK862" s="17" t="n"/>
      <c r="AL862" s="133">
        <f>DADOS_INVOC!$QN$133</f>
        <v/>
      </c>
      <c r="AM862" s="125" t="n"/>
      <c r="AN862" s="129" t="n"/>
      <c r="AO862" s="134" t="n"/>
      <c r="AP862" s="16" t="n"/>
      <c r="AQ862" s="17" t="n"/>
      <c r="AR862" s="133">
        <f>DADOS_INVOC!$QN$134</f>
        <v/>
      </c>
      <c r="AS862" s="125" t="n"/>
    </row>
    <row r="863" hidden="1" outlineLevel="2">
      <c r="A863" s="8" t="n"/>
      <c r="B863" s="14" t="n"/>
      <c r="C863" s="125" t="n"/>
      <c r="D863" s="125" t="n"/>
      <c r="E863" s="125" t="n"/>
      <c r="F863" s="125" t="n"/>
      <c r="G863" s="125" t="n"/>
      <c r="I863" s="55" t="inlineStr">
        <is>
          <t>RESTRIÇÕES</t>
        </is>
      </c>
      <c r="J863" s="134" t="n"/>
      <c r="K863" s="16" t="n"/>
      <c r="L863" s="17" t="n"/>
      <c r="M863" s="133">
        <f>DADOS_INVOC!$QO$54</f>
        <v/>
      </c>
      <c r="N863" s="125" t="n"/>
      <c r="O863" s="55" t="inlineStr">
        <is>
          <t>RESTRIÇÕES</t>
        </is>
      </c>
      <c r="P863" s="134" t="n"/>
      <c r="Q863" s="16" t="n"/>
      <c r="R863" s="17" t="n"/>
      <c r="S863" s="133">
        <f>DADOS_INVOC!$QO$55</f>
        <v/>
      </c>
      <c r="T863" s="125" t="n"/>
      <c r="U863" s="55" t="inlineStr">
        <is>
          <t>RESTRIÇÕES</t>
        </is>
      </c>
      <c r="V863" s="134" t="n"/>
      <c r="W863" s="16" t="n"/>
      <c r="X863" s="17" t="n"/>
      <c r="Y863" s="133">
        <f>DADOS_INVOC!$QO$56</f>
        <v/>
      </c>
      <c r="Z863" s="125" t="n"/>
      <c r="AB863" s="55" t="inlineStr">
        <is>
          <t>RESTRIÇÕES</t>
        </is>
      </c>
      <c r="AC863" s="134" t="n"/>
      <c r="AD863" s="16" t="n"/>
      <c r="AE863" s="17" t="n"/>
      <c r="AF863" s="133">
        <f>DADOS_INVOC!$QO$132</f>
        <v/>
      </c>
      <c r="AG863" s="125" t="n"/>
      <c r="AH863" s="55" t="inlineStr">
        <is>
          <t>RESTRIÇÕES</t>
        </is>
      </c>
      <c r="AI863" s="134" t="n"/>
      <c r="AJ863" s="16" t="n"/>
      <c r="AK863" s="17" t="n"/>
      <c r="AL863" s="133">
        <f>DADOS_INVOC!$QO$133</f>
        <v/>
      </c>
      <c r="AM863" s="125" t="n"/>
      <c r="AN863" s="55" t="inlineStr">
        <is>
          <t>RESTRIÇÕES</t>
        </is>
      </c>
      <c r="AO863" s="134" t="n"/>
      <c r="AP863" s="16" t="n"/>
      <c r="AQ863" s="17" t="n"/>
      <c r="AR863" s="133">
        <f>DADOS_INVOC!$QO$134</f>
        <v/>
      </c>
      <c r="AS863" s="125" t="n"/>
    </row>
    <row r="864" hidden="1" outlineLevel="2">
      <c r="A864" s="8" t="n"/>
      <c r="B864" s="14" t="n"/>
      <c r="C864" s="125" t="n"/>
      <c r="D864" s="125" t="n"/>
      <c r="E864" s="125" t="n"/>
      <c r="F864" s="125" t="n"/>
      <c r="G864" s="125" t="n"/>
      <c r="I864" s="129" t="n"/>
      <c r="J864" s="134" t="n"/>
      <c r="K864" s="16" t="n"/>
      <c r="L864" s="17" t="n"/>
      <c r="M864" s="133">
        <f>DADOS_INVOC!$QP$54</f>
        <v/>
      </c>
      <c r="N864" s="125" t="n"/>
      <c r="O864" s="129" t="n"/>
      <c r="P864" s="134" t="n"/>
      <c r="Q864" s="16" t="n"/>
      <c r="R864" s="17" t="n"/>
      <c r="S864" s="133">
        <f>DADOS_INVOC!$QP$55</f>
        <v/>
      </c>
      <c r="T864" s="125" t="n"/>
      <c r="U864" s="129" t="n"/>
      <c r="V864" s="134" t="n"/>
      <c r="W864" s="16" t="n"/>
      <c r="X864" s="17" t="n"/>
      <c r="Y864" s="133">
        <f>DADOS_INVOC!$QP$56</f>
        <v/>
      </c>
      <c r="Z864" s="125" t="n"/>
      <c r="AB864" s="129" t="n"/>
      <c r="AC864" s="134" t="n"/>
      <c r="AD864" s="16" t="n"/>
      <c r="AE864" s="17" t="n"/>
      <c r="AF864" s="133">
        <f>DADOS_INVOC!$QP$132</f>
        <v/>
      </c>
      <c r="AG864" s="125" t="n"/>
      <c r="AH864" s="129" t="n"/>
      <c r="AI864" s="134" t="n"/>
      <c r="AJ864" s="16" t="n"/>
      <c r="AK864" s="17" t="n"/>
      <c r="AL864" s="133">
        <f>DADOS_INVOC!$QP$133</f>
        <v/>
      </c>
      <c r="AM864" s="125" t="n"/>
      <c r="AN864" s="129" t="n"/>
      <c r="AO864" s="134" t="n"/>
      <c r="AP864" s="16" t="n"/>
      <c r="AQ864" s="17" t="n"/>
      <c r="AR864" s="133">
        <f>DADOS_INVOC!$QP$134</f>
        <v/>
      </c>
      <c r="AS864" s="125" t="n"/>
    </row>
    <row r="865" hidden="1" outlineLevel="2">
      <c r="A865" s="8" t="n"/>
      <c r="B865" s="14" t="n"/>
      <c r="C865" s="125" t="n"/>
      <c r="D865" s="125" t="n"/>
      <c r="E865" s="125" t="n"/>
      <c r="F865" s="125" t="n"/>
      <c r="G865" s="125" t="n"/>
      <c r="I865" s="55" t="inlineStr">
        <is>
          <t>CONTA</t>
        </is>
      </c>
      <c r="J865" s="136">
        <f>DADOS_INVOC!$QI$54</f>
        <v/>
      </c>
      <c r="K865" s="16" t="n"/>
      <c r="L865" s="16" t="n"/>
      <c r="M865" s="17" t="n"/>
      <c r="N865" s="125" t="n"/>
      <c r="O865" s="55" t="inlineStr">
        <is>
          <t>CONTA</t>
        </is>
      </c>
      <c r="P865" s="136">
        <f>DADOS_INVOC!$QI$55</f>
        <v/>
      </c>
      <c r="Q865" s="16" t="n"/>
      <c r="R865" s="16" t="n"/>
      <c r="S865" s="17" t="n"/>
      <c r="T865" s="125" t="n"/>
      <c r="U865" s="55" t="inlineStr">
        <is>
          <t>CONTA</t>
        </is>
      </c>
      <c r="V865" s="136">
        <f>DADOS_INVOC!$QI$56</f>
        <v/>
      </c>
      <c r="W865" s="16" t="n"/>
      <c r="X865" s="16" t="n"/>
      <c r="Y865" s="17" t="n"/>
      <c r="Z865" s="125" t="n"/>
      <c r="AB865" s="55" t="inlineStr">
        <is>
          <t>CONTA</t>
        </is>
      </c>
      <c r="AC865" s="136">
        <f>DADOS_INVOC!$QI$132</f>
        <v/>
      </c>
      <c r="AD865" s="16" t="n"/>
      <c r="AE865" s="16" t="n"/>
      <c r="AF865" s="17" t="n"/>
      <c r="AG865" s="125" t="n"/>
      <c r="AH865" s="55" t="inlineStr">
        <is>
          <t>CONTA</t>
        </is>
      </c>
      <c r="AI865" s="136">
        <f>DADOS_INVOC!$QI$133</f>
        <v/>
      </c>
      <c r="AJ865" s="16" t="n"/>
      <c r="AK865" s="16" t="n"/>
      <c r="AL865" s="17" t="n"/>
      <c r="AM865" s="125" t="n"/>
      <c r="AN865" s="55" t="inlineStr">
        <is>
          <t>CONTA</t>
        </is>
      </c>
      <c r="AO865" s="136">
        <f>DADOS_INVOC!$QI$134</f>
        <v/>
      </c>
      <c r="AP865" s="16" t="n"/>
      <c r="AQ865" s="16" t="n"/>
      <c r="AR865" s="17" t="n"/>
      <c r="AS865" s="125" t="n"/>
    </row>
    <row r="866" hidden="1" outlineLevel="2">
      <c r="A866" s="8" t="n"/>
      <c r="B866" s="14" t="n"/>
      <c r="C866" s="125" t="n"/>
      <c r="D866" s="125" t="n"/>
      <c r="E866" s="125" t="n"/>
      <c r="F866" s="125" t="n"/>
      <c r="G866" s="125" t="n"/>
      <c r="I866" s="55" t="inlineStr">
        <is>
          <t>AMPLIAR</t>
        </is>
      </c>
      <c r="J866" s="136">
        <f>DADOS_INVOC!$QJ$54</f>
        <v/>
      </c>
      <c r="K866" s="19" t="n"/>
      <c r="L866" s="19" t="n"/>
      <c r="M866" s="20" t="n"/>
      <c r="N866" s="125" t="n"/>
      <c r="O866" s="55" t="inlineStr">
        <is>
          <t>AMPLIAR</t>
        </is>
      </c>
      <c r="P866" s="136">
        <f>DADOS_INVOC!$QJ$55</f>
        <v/>
      </c>
      <c r="Q866" s="19" t="n"/>
      <c r="R866" s="19" t="n"/>
      <c r="S866" s="20" t="n"/>
      <c r="T866" s="125" t="n"/>
      <c r="U866" s="55" t="inlineStr">
        <is>
          <t>AMPLIAR</t>
        </is>
      </c>
      <c r="V866" s="136">
        <f>DADOS_INVOC!$QJ$56</f>
        <v/>
      </c>
      <c r="W866" s="19" t="n"/>
      <c r="X866" s="19" t="n"/>
      <c r="Y866" s="20" t="n"/>
      <c r="Z866" s="125" t="n"/>
      <c r="AB866" s="55" t="inlineStr">
        <is>
          <t>AMPLIAR</t>
        </is>
      </c>
      <c r="AC866" s="136">
        <f>DADOS_INVOC!$QJ$132</f>
        <v/>
      </c>
      <c r="AD866" s="19" t="n"/>
      <c r="AE866" s="19" t="n"/>
      <c r="AF866" s="20" t="n"/>
      <c r="AG866" s="125" t="n"/>
      <c r="AH866" s="55" t="inlineStr">
        <is>
          <t>AMPLIAR</t>
        </is>
      </c>
      <c r="AI866" s="136">
        <f>DADOS_INVOC!$QJ$133</f>
        <v/>
      </c>
      <c r="AJ866" s="19" t="n"/>
      <c r="AK866" s="19" t="n"/>
      <c r="AL866" s="20" t="n"/>
      <c r="AM866" s="125" t="n"/>
      <c r="AN866" s="55" t="inlineStr">
        <is>
          <t>AMPLIAR</t>
        </is>
      </c>
      <c r="AO866" s="136">
        <f>DADOS_INVOC!$QJ$134</f>
        <v/>
      </c>
      <c r="AP866" s="19" t="n"/>
      <c r="AQ866" s="19" t="n"/>
      <c r="AR866" s="20" t="n"/>
      <c r="AS866" s="125" t="n"/>
    </row>
    <row r="867" hidden="1" outlineLevel="2">
      <c r="A867" s="8" t="n"/>
      <c r="B867" s="14" t="n"/>
      <c r="C867" s="125" t="n"/>
      <c r="D867" s="125" t="n"/>
      <c r="E867" s="125" t="n"/>
      <c r="F867" s="125" t="n"/>
      <c r="G867" s="125" t="n"/>
      <c r="I867" s="129" t="n"/>
      <c r="J867" s="23" t="n"/>
      <c r="K867" s="24" t="n"/>
      <c r="L867" s="24" t="n"/>
      <c r="M867" s="25" t="n"/>
      <c r="N867" s="125" t="n"/>
      <c r="O867" s="129" t="n"/>
      <c r="P867" s="23" t="n"/>
      <c r="Q867" s="24" t="n"/>
      <c r="R867" s="24" t="n"/>
      <c r="S867" s="25" t="n"/>
      <c r="T867" s="125" t="n"/>
      <c r="U867" s="129" t="n"/>
      <c r="V867" s="23" t="n"/>
      <c r="W867" s="24" t="n"/>
      <c r="X867" s="24" t="n"/>
      <c r="Y867" s="25" t="n"/>
      <c r="Z867" s="125" t="n"/>
      <c r="AB867" s="129" t="n"/>
      <c r="AC867" s="23" t="n"/>
      <c r="AD867" s="24" t="n"/>
      <c r="AE867" s="24" t="n"/>
      <c r="AF867" s="25" t="n"/>
      <c r="AG867" s="125" t="n"/>
      <c r="AH867" s="129" t="n"/>
      <c r="AI867" s="23" t="n"/>
      <c r="AJ867" s="24" t="n"/>
      <c r="AK867" s="24" t="n"/>
      <c r="AL867" s="25" t="n"/>
      <c r="AM867" s="125" t="n"/>
      <c r="AN867" s="129" t="n"/>
      <c r="AO867" s="23" t="n"/>
      <c r="AP867" s="24" t="n"/>
      <c r="AQ867" s="24" t="n"/>
      <c r="AR867" s="25" t="n"/>
      <c r="AS867" s="125" t="n"/>
    </row>
    <row r="868" hidden="1" outlineLevel="2">
      <c r="A868" s="8" t="n"/>
      <c r="B868" s="14" t="n"/>
      <c r="C868" s="125" t="n"/>
      <c r="D868" s="125" t="n"/>
      <c r="E868" s="125" t="n"/>
      <c r="F868" s="125" t="n"/>
      <c r="G868" s="125" t="n"/>
      <c r="I868" s="136">
        <f>DADOS_INVOC!$PW$54</f>
        <v/>
      </c>
      <c r="J868" s="19" t="n"/>
      <c r="K868" s="19" t="n"/>
      <c r="L868" s="19" t="n"/>
      <c r="M868" s="20" t="n"/>
      <c r="N868" s="125" t="n"/>
      <c r="O868" s="136">
        <f>DADOS_INVOC!$PW$55</f>
        <v/>
      </c>
      <c r="P868" s="19" t="n"/>
      <c r="Q868" s="19" t="n"/>
      <c r="R868" s="19" t="n"/>
      <c r="S868" s="20" t="n"/>
      <c r="T868" s="125" t="n"/>
      <c r="U868" s="136">
        <f>DADOS_INVOC!$PW$56</f>
        <v/>
      </c>
      <c r="V868" s="19" t="n"/>
      <c r="W868" s="19" t="n"/>
      <c r="X868" s="19" t="n"/>
      <c r="Y868" s="20" t="n"/>
      <c r="Z868" s="125" t="n"/>
      <c r="AB868" s="136">
        <f>DADOS_INVOC!$PW$132</f>
        <v/>
      </c>
      <c r="AC868" s="19" t="n"/>
      <c r="AD868" s="19" t="n"/>
      <c r="AE868" s="19" t="n"/>
      <c r="AF868" s="20" t="n"/>
      <c r="AG868" s="125" t="n"/>
      <c r="AH868" s="136">
        <f>DADOS_INVOC!$PW$133</f>
        <v/>
      </c>
      <c r="AI868" s="19" t="n"/>
      <c r="AJ868" s="19" t="n"/>
      <c r="AK868" s="19" t="n"/>
      <c r="AL868" s="20" t="n"/>
      <c r="AM868" s="125" t="n"/>
      <c r="AN868" s="136">
        <f>DADOS_INVOC!$PW$134</f>
        <v/>
      </c>
      <c r="AO868" s="19" t="n"/>
      <c r="AP868" s="19" t="n"/>
      <c r="AQ868" s="19" t="n"/>
      <c r="AR868" s="20" t="n"/>
      <c r="AS868" s="125" t="n"/>
    </row>
    <row r="869" hidden="1" outlineLevel="2">
      <c r="A869" s="8" t="n"/>
      <c r="B869" s="14" t="n"/>
      <c r="C869" s="125" t="n"/>
      <c r="D869" s="125" t="n"/>
      <c r="E869" s="125" t="n"/>
      <c r="F869" s="125" t="n"/>
      <c r="G869" s="125" t="n"/>
      <c r="I869" s="23" t="n"/>
      <c r="J869" s="24" t="n"/>
      <c r="K869" s="24" t="n"/>
      <c r="L869" s="24" t="n"/>
      <c r="M869" s="25" t="n"/>
      <c r="N869" s="125" t="n"/>
      <c r="O869" s="23" t="n"/>
      <c r="P869" s="24" t="n"/>
      <c r="Q869" s="24" t="n"/>
      <c r="R869" s="24" t="n"/>
      <c r="S869" s="25" t="n"/>
      <c r="T869" s="125" t="n"/>
      <c r="U869" s="23" t="n"/>
      <c r="V869" s="24" t="n"/>
      <c r="W869" s="24" t="n"/>
      <c r="X869" s="24" t="n"/>
      <c r="Y869" s="25" t="n"/>
      <c r="Z869" s="125" t="n"/>
      <c r="AB869" s="23" t="n"/>
      <c r="AC869" s="24" t="n"/>
      <c r="AD869" s="24" t="n"/>
      <c r="AE869" s="24" t="n"/>
      <c r="AF869" s="25" t="n"/>
      <c r="AG869" s="125" t="n"/>
      <c r="AH869" s="23" t="n"/>
      <c r="AI869" s="24" t="n"/>
      <c r="AJ869" s="24" t="n"/>
      <c r="AK869" s="24" t="n"/>
      <c r="AL869" s="25" t="n"/>
      <c r="AM869" s="125" t="n"/>
      <c r="AN869" s="23" t="n"/>
      <c r="AO869" s="24" t="n"/>
      <c r="AP869" s="24" t="n"/>
      <c r="AQ869" s="24" t="n"/>
      <c r="AR869" s="25" t="n"/>
      <c r="AS869" s="125" t="n"/>
    </row>
    <row r="870" hidden="1" outlineLevel="1">
      <c r="A870" s="8" t="n"/>
      <c r="B870" s="14" t="n"/>
      <c r="C870" s="125" t="n"/>
      <c r="D870" s="125" t="n"/>
      <c r="E870" s="125" t="n"/>
      <c r="F870" s="125" t="n"/>
      <c r="G870" s="125" t="n"/>
      <c r="I870" s="125" t="n"/>
      <c r="J870" s="125" t="n"/>
      <c r="K870" s="125" t="n"/>
      <c r="L870" s="125" t="n"/>
      <c r="M870" s="125" t="n"/>
      <c r="N870" s="125" t="n"/>
      <c r="O870" s="125" t="n"/>
      <c r="P870" s="125" t="n"/>
      <c r="Q870" s="125" t="n"/>
      <c r="R870" s="125" t="n"/>
      <c r="S870" s="125" t="n"/>
      <c r="T870" s="125" t="n"/>
      <c r="U870" s="125" t="n"/>
      <c r="V870" s="125" t="n"/>
      <c r="W870" s="125" t="n"/>
      <c r="X870" s="125" t="n"/>
      <c r="Y870" s="125" t="n"/>
      <c r="Z870" s="125" t="n"/>
      <c r="AB870" s="125" t="n"/>
      <c r="AC870" s="125" t="n"/>
      <c r="AD870" s="125" t="n"/>
      <c r="AE870" s="125" t="n"/>
      <c r="AF870" s="125" t="n"/>
      <c r="AG870" s="125" t="n"/>
      <c r="AH870" s="125" t="n"/>
      <c r="AI870" s="125" t="n"/>
      <c r="AJ870" s="125" t="n"/>
      <c r="AK870" s="125" t="n"/>
      <c r="AL870" s="125" t="n"/>
      <c r="AM870" s="125" t="n"/>
      <c r="AN870" s="125" t="n"/>
      <c r="AO870" s="125" t="n"/>
      <c r="AP870" s="125" t="n"/>
      <c r="AQ870" s="125" t="n"/>
      <c r="AR870" s="125" t="n"/>
      <c r="AS870" s="125" t="n"/>
    </row>
    <row r="871" hidden="1" outlineLevel="1">
      <c r="A871" s="8" t="n"/>
      <c r="B871" s="14" t="n"/>
      <c r="C871" s="125" t="n"/>
      <c r="D871" s="125" t="n"/>
      <c r="E871" s="125" t="n"/>
      <c r="F871" s="125" t="n"/>
      <c r="G871" s="125"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5"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5" t="n"/>
    </row>
    <row r="872" hidden="1" outlineLevel="1">
      <c r="A872" s="8" t="n"/>
      <c r="B872" s="14" t="n"/>
      <c r="C872" s="125" t="n"/>
      <c r="D872" s="125" t="n"/>
      <c r="E872" s="125" t="n"/>
      <c r="F872" s="125" t="n"/>
      <c r="G872" s="125" t="n"/>
      <c r="I872" s="55" t="inlineStr">
        <is>
          <t>NV 1 · CE 1</t>
        </is>
      </c>
      <c r="J872" s="134" t="n"/>
      <c r="K872" s="16" t="n"/>
      <c r="L872" s="17" t="n"/>
      <c r="M872" s="141">
        <f>DADOS_INVOC!$IM$6</f>
        <v/>
      </c>
      <c r="N872" s="16" t="n"/>
      <c r="O872" s="16" t="n"/>
      <c r="P872" s="16" t="n"/>
      <c r="Q872" s="16" t="n"/>
      <c r="R872" s="16" t="n"/>
      <c r="S872" s="16" t="n"/>
      <c r="T872" s="16" t="n"/>
      <c r="U872" s="16" t="n"/>
      <c r="V872" s="16" t="n"/>
      <c r="W872" s="16" t="n"/>
      <c r="X872" s="16" t="n"/>
      <c r="Y872" s="17" t="n"/>
      <c r="Z872" s="125" t="n"/>
      <c r="AB872" s="55" t="inlineStr">
        <is>
          <t>NV 1 · CE 1</t>
        </is>
      </c>
      <c r="AC872" s="134" t="n"/>
      <c r="AD872" s="16" t="n"/>
      <c r="AE872" s="17" t="n"/>
      <c r="AF872" s="141">
        <f>DADOS_INVOC!$IM$12</f>
        <v/>
      </c>
      <c r="AG872" s="16" t="n"/>
      <c r="AH872" s="16" t="n"/>
      <c r="AI872" s="16" t="n"/>
      <c r="AJ872" s="16" t="n"/>
      <c r="AK872" s="16" t="n"/>
      <c r="AL872" s="16" t="n"/>
      <c r="AM872" s="16" t="n"/>
      <c r="AN872" s="16" t="n"/>
      <c r="AO872" s="16" t="n"/>
      <c r="AP872" s="16" t="n"/>
      <c r="AQ872" s="16" t="n"/>
      <c r="AR872" s="17" t="n"/>
      <c r="AS872" s="125" t="n"/>
    </row>
    <row r="873" hidden="1" outlineLevel="1">
      <c r="A873" s="8" t="n"/>
      <c r="B873" s="14" t="n"/>
      <c r="C873" s="125" t="n"/>
      <c r="D873" s="125" t="n"/>
      <c r="E873" s="125" t="n"/>
      <c r="F873" s="125" t="n"/>
      <c r="G873" s="125" t="n"/>
      <c r="I873" s="55" t="inlineStr">
        <is>
          <t>NV 6 · CE 1</t>
        </is>
      </c>
      <c r="J873" s="134" t="n"/>
      <c r="K873" s="16" t="n"/>
      <c r="L873" s="17" t="n"/>
      <c r="M873" s="141">
        <f>DADOS_INVOC!$IN$6</f>
        <v/>
      </c>
      <c r="N873" s="16" t="n"/>
      <c r="O873" s="16" t="n"/>
      <c r="P873" s="16" t="n"/>
      <c r="Q873" s="16" t="n"/>
      <c r="R873" s="16" t="n"/>
      <c r="S873" s="16" t="n"/>
      <c r="T873" s="16" t="n"/>
      <c r="U873" s="16" t="n"/>
      <c r="V873" s="16" t="n"/>
      <c r="W873" s="16" t="n"/>
      <c r="X873" s="16" t="n"/>
      <c r="Y873" s="17" t="n"/>
      <c r="Z873" s="125" t="n"/>
      <c r="AB873" s="55" t="inlineStr">
        <is>
          <t>NV 6 · CE 1</t>
        </is>
      </c>
      <c r="AC873" s="134" t="n"/>
      <c r="AD873" s="16" t="n"/>
      <c r="AE873" s="17" t="n"/>
      <c r="AF873" s="141">
        <f>DADOS_INVOC!$IN$12</f>
        <v/>
      </c>
      <c r="AG873" s="16" t="n"/>
      <c r="AH873" s="16" t="n"/>
      <c r="AI873" s="16" t="n"/>
      <c r="AJ873" s="16" t="n"/>
      <c r="AK873" s="16" t="n"/>
      <c r="AL873" s="16" t="n"/>
      <c r="AM873" s="16" t="n"/>
      <c r="AN873" s="16" t="n"/>
      <c r="AO873" s="16" t="n"/>
      <c r="AP873" s="16" t="n"/>
      <c r="AQ873" s="16" t="n"/>
      <c r="AR873" s="17" t="n"/>
      <c r="AS873" s="125" t="n"/>
    </row>
    <row r="874" hidden="1" outlineLevel="1">
      <c r="A874" s="8" t="n"/>
      <c r="B874" s="14" t="n"/>
      <c r="C874" s="125" t="n"/>
      <c r="D874" s="125" t="n"/>
      <c r="E874" s="125" t="n"/>
      <c r="F874" s="125" t="n"/>
      <c r="G874" s="125" t="n"/>
      <c r="I874" s="55" t="inlineStr">
        <is>
          <t>NV 10 · CE 2</t>
        </is>
      </c>
      <c r="J874" s="134" t="n"/>
      <c r="K874" s="16" t="n"/>
      <c r="L874" s="17" t="n"/>
      <c r="M874" s="141">
        <f>DADOS_INVOC!$IO$6</f>
        <v/>
      </c>
      <c r="N874" s="16" t="n"/>
      <c r="O874" s="16" t="n"/>
      <c r="P874" s="16" t="n"/>
      <c r="Q874" s="16" t="n"/>
      <c r="R874" s="16" t="n"/>
      <c r="S874" s="16" t="n"/>
      <c r="T874" s="16" t="n"/>
      <c r="U874" s="16" t="n"/>
      <c r="V874" s="16" t="n"/>
      <c r="W874" s="16" t="n"/>
      <c r="X874" s="16" t="n"/>
      <c r="Y874" s="17" t="n"/>
      <c r="Z874" s="125" t="n"/>
      <c r="AB874" s="55" t="inlineStr">
        <is>
          <t>NV 10 · CE 2</t>
        </is>
      </c>
      <c r="AC874" s="134" t="n"/>
      <c r="AD874" s="16" t="n"/>
      <c r="AE874" s="17" t="n"/>
      <c r="AF874" s="141">
        <f>DADOS_INVOC!$IO$12</f>
        <v/>
      </c>
      <c r="AG874" s="16" t="n"/>
      <c r="AH874" s="16" t="n"/>
      <c r="AI874" s="16" t="n"/>
      <c r="AJ874" s="16" t="n"/>
      <c r="AK874" s="16" t="n"/>
      <c r="AL874" s="16" t="n"/>
      <c r="AM874" s="16" t="n"/>
      <c r="AN874" s="16" t="n"/>
      <c r="AO874" s="16" t="n"/>
      <c r="AP874" s="16" t="n"/>
      <c r="AQ874" s="16" t="n"/>
      <c r="AR874" s="17" t="n"/>
      <c r="AS874" s="125" t="n"/>
    </row>
    <row r="875" hidden="1" outlineLevel="1">
      <c r="A875" s="8" t="n"/>
      <c r="B875" s="14" t="n"/>
      <c r="C875" s="125" t="n"/>
      <c r="D875" s="125" t="n"/>
      <c r="E875" s="125" t="n"/>
      <c r="F875" s="125" t="n"/>
      <c r="G875" s="125" t="n"/>
      <c r="I875" s="55" t="inlineStr">
        <is>
          <t>NV 14 · CE 3</t>
        </is>
      </c>
      <c r="J875" s="134" t="n"/>
      <c r="K875" s="16" t="n"/>
      <c r="L875" s="17" t="n"/>
      <c r="M875" s="141">
        <f>DADOS_INVOC!$IP$6</f>
        <v/>
      </c>
      <c r="N875" s="16" t="n"/>
      <c r="O875" s="16" t="n"/>
      <c r="P875" s="16" t="n"/>
      <c r="Q875" s="16" t="n"/>
      <c r="R875" s="16" t="n"/>
      <c r="S875" s="16" t="n"/>
      <c r="T875" s="16" t="n"/>
      <c r="U875" s="16" t="n"/>
      <c r="V875" s="16" t="n"/>
      <c r="W875" s="16" t="n"/>
      <c r="X875" s="16" t="n"/>
      <c r="Y875" s="17" t="n"/>
      <c r="Z875" s="125" t="n"/>
      <c r="AB875" s="55" t="inlineStr">
        <is>
          <t>NV 14 · CE 3</t>
        </is>
      </c>
      <c r="AC875" s="134" t="n"/>
      <c r="AD875" s="16" t="n"/>
      <c r="AE875" s="17" t="n"/>
      <c r="AF875" s="141">
        <f>DADOS_INVOC!$IP$12</f>
        <v/>
      </c>
      <c r="AG875" s="16" t="n"/>
      <c r="AH875" s="16" t="n"/>
      <c r="AI875" s="16" t="n"/>
      <c r="AJ875" s="16" t="n"/>
      <c r="AK875" s="16" t="n"/>
      <c r="AL875" s="16" t="n"/>
      <c r="AM875" s="16" t="n"/>
      <c r="AN875" s="16" t="n"/>
      <c r="AO875" s="16" t="n"/>
      <c r="AP875" s="16" t="n"/>
      <c r="AQ875" s="16" t="n"/>
      <c r="AR875" s="17" t="n"/>
      <c r="AS875" s="125" t="n"/>
    </row>
    <row r="876" hidden="1" outlineLevel="1">
      <c r="A876" s="8" t="n"/>
      <c r="B876" s="14" t="n"/>
      <c r="C876" s="125" t="n"/>
      <c r="D876" s="125" t="n"/>
      <c r="E876" s="125" t="n"/>
      <c r="F876" s="125" t="n"/>
      <c r="G876" s="125" t="n"/>
      <c r="I876" s="55" t="inlineStr">
        <is>
          <t>NV 18 · CE 3</t>
        </is>
      </c>
      <c r="J876" s="134" t="n"/>
      <c r="K876" s="16" t="n"/>
      <c r="L876" s="17" t="n"/>
      <c r="M876" s="141">
        <f>DADOS_INVOC!$IQ$6</f>
        <v/>
      </c>
      <c r="N876" s="16" t="n"/>
      <c r="O876" s="16" t="n"/>
      <c r="P876" s="16" t="n"/>
      <c r="Q876" s="16" t="n"/>
      <c r="R876" s="16" t="n"/>
      <c r="S876" s="16" t="n"/>
      <c r="T876" s="16" t="n"/>
      <c r="U876" s="16" t="n"/>
      <c r="V876" s="16" t="n"/>
      <c r="W876" s="16" t="n"/>
      <c r="X876" s="16" t="n"/>
      <c r="Y876" s="17" t="n"/>
      <c r="Z876" s="125" t="n"/>
      <c r="AB876" s="55" t="inlineStr">
        <is>
          <t>NV 18 · CE 3</t>
        </is>
      </c>
      <c r="AC876" s="134" t="n"/>
      <c r="AD876" s="16" t="n"/>
      <c r="AE876" s="17" t="n"/>
      <c r="AF876" s="141">
        <f>DADOS_INVOC!$IQ$12</f>
        <v/>
      </c>
      <c r="AG876" s="16" t="n"/>
      <c r="AH876" s="16" t="n"/>
      <c r="AI876" s="16" t="n"/>
      <c r="AJ876" s="16" t="n"/>
      <c r="AK876" s="16" t="n"/>
      <c r="AL876" s="16" t="n"/>
      <c r="AM876" s="16" t="n"/>
      <c r="AN876" s="16" t="n"/>
      <c r="AO876" s="16" t="n"/>
      <c r="AP876" s="16" t="n"/>
      <c r="AQ876" s="16" t="n"/>
      <c r="AR876" s="17" t="n"/>
      <c r="AS876" s="125" t="n"/>
    </row>
    <row r="877" hidden="1" outlineLevel="1">
      <c r="A877" s="8" t="n"/>
      <c r="B877" s="14" t="n"/>
      <c r="C877" s="125" t="n"/>
      <c r="D877" s="125" t="n"/>
      <c r="E877" s="125" t="n"/>
      <c r="F877" s="125" t="n"/>
      <c r="G877" s="125" t="n"/>
      <c r="I877" s="55" t="inlineStr">
        <is>
          <t>NV 22 · CE 3</t>
        </is>
      </c>
      <c r="J877" s="134" t="n"/>
      <c r="K877" s="16" t="n"/>
      <c r="L877" s="17" t="n"/>
      <c r="M877" s="141">
        <f>DADOS_INVOC!$IR$6</f>
        <v/>
      </c>
      <c r="N877" s="16" t="n"/>
      <c r="O877" s="16" t="n"/>
      <c r="P877" s="16" t="n"/>
      <c r="Q877" s="16" t="n"/>
      <c r="R877" s="16" t="n"/>
      <c r="S877" s="16" t="n"/>
      <c r="T877" s="16" t="n"/>
      <c r="U877" s="16" t="n"/>
      <c r="V877" s="16" t="n"/>
      <c r="W877" s="16" t="n"/>
      <c r="X877" s="16" t="n"/>
      <c r="Y877" s="17" t="n"/>
      <c r="Z877" s="125" t="n"/>
      <c r="AB877" s="55" t="inlineStr">
        <is>
          <t>NV 22 · CE 3</t>
        </is>
      </c>
      <c r="AC877" s="134" t="n"/>
      <c r="AD877" s="16" t="n"/>
      <c r="AE877" s="17" t="n"/>
      <c r="AF877" s="141">
        <f>DADOS_INVOC!$IR$12</f>
        <v/>
      </c>
      <c r="AG877" s="16" t="n"/>
      <c r="AH877" s="16" t="n"/>
      <c r="AI877" s="16" t="n"/>
      <c r="AJ877" s="16" t="n"/>
      <c r="AK877" s="16" t="n"/>
      <c r="AL877" s="16" t="n"/>
      <c r="AM877" s="16" t="n"/>
      <c r="AN877" s="16" t="n"/>
      <c r="AO877" s="16" t="n"/>
      <c r="AP877" s="16" t="n"/>
      <c r="AQ877" s="16" t="n"/>
      <c r="AR877" s="17" t="n"/>
      <c r="AS877" s="125" t="n"/>
    </row>
    <row r="878" hidden="1" outlineLevel="1">
      <c r="A878" s="8" t="n"/>
      <c r="B878" s="14" t="n"/>
      <c r="C878" s="125" t="n"/>
      <c r="D878" s="125" t="n"/>
      <c r="E878" s="125" t="n"/>
      <c r="F878" s="125" t="n"/>
      <c r="G878" s="125" t="n"/>
      <c r="I878" s="55" t="inlineStr">
        <is>
          <t>NV 26 · CE 3</t>
        </is>
      </c>
      <c r="J878" s="134" t="n"/>
      <c r="K878" s="16" t="n"/>
      <c r="L878" s="17" t="n"/>
      <c r="M878" s="141">
        <f>DADOS_INVOC!$IS$6</f>
        <v/>
      </c>
      <c r="N878" s="16" t="n"/>
      <c r="O878" s="16" t="n"/>
      <c r="P878" s="16" t="n"/>
      <c r="Q878" s="16" t="n"/>
      <c r="R878" s="16" t="n"/>
      <c r="S878" s="16" t="n"/>
      <c r="T878" s="16" t="n"/>
      <c r="U878" s="16" t="n"/>
      <c r="V878" s="16" t="n"/>
      <c r="W878" s="16" t="n"/>
      <c r="X878" s="16" t="n"/>
      <c r="Y878" s="17" t="n"/>
      <c r="Z878" s="125" t="n"/>
      <c r="AB878" s="55" t="inlineStr">
        <is>
          <t>NV 26 · CE 3</t>
        </is>
      </c>
      <c r="AC878" s="134" t="n"/>
      <c r="AD878" s="16" t="n"/>
      <c r="AE878" s="17" t="n"/>
      <c r="AF878" s="141">
        <f>DADOS_INVOC!$IS$12</f>
        <v/>
      </c>
      <c r="AG878" s="16" t="n"/>
      <c r="AH878" s="16" t="n"/>
      <c r="AI878" s="16" t="n"/>
      <c r="AJ878" s="16" t="n"/>
      <c r="AK878" s="16" t="n"/>
      <c r="AL878" s="16" t="n"/>
      <c r="AM878" s="16" t="n"/>
      <c r="AN878" s="16" t="n"/>
      <c r="AO878" s="16" t="n"/>
      <c r="AP878" s="16" t="n"/>
      <c r="AQ878" s="16" t="n"/>
      <c r="AR878" s="17" t="n"/>
      <c r="AS878" s="125" t="n"/>
    </row>
    <row r="879" hidden="1" outlineLevel="1">
      <c r="A879" s="8" t="n"/>
      <c r="B879" s="14" t="n"/>
      <c r="C879" s="125" t="n"/>
      <c r="D879" s="125" t="n"/>
      <c r="E879" s="125" t="n"/>
      <c r="F879" s="125" t="n"/>
      <c r="G879" s="125" t="n"/>
      <c r="I879" s="55" t="inlineStr">
        <is>
          <t>NV 30 · CE 3</t>
        </is>
      </c>
      <c r="J879" s="134" t="n"/>
      <c r="K879" s="16" t="n"/>
      <c r="L879" s="17" t="n"/>
      <c r="M879" s="141">
        <f>DADOS_INVOC!$IT$6</f>
        <v/>
      </c>
      <c r="N879" s="16" t="n"/>
      <c r="O879" s="16" t="n"/>
      <c r="P879" s="16" t="n"/>
      <c r="Q879" s="16" t="n"/>
      <c r="R879" s="16" t="n"/>
      <c r="S879" s="16" t="n"/>
      <c r="T879" s="16" t="n"/>
      <c r="U879" s="16" t="n"/>
      <c r="V879" s="16" t="n"/>
      <c r="W879" s="16" t="n"/>
      <c r="X879" s="16" t="n"/>
      <c r="Y879" s="17" t="n"/>
      <c r="Z879" s="125" t="n"/>
      <c r="AB879" s="55" t="inlineStr">
        <is>
          <t>NV 30 · CE 3</t>
        </is>
      </c>
      <c r="AC879" s="134" t="n"/>
      <c r="AD879" s="16" t="n"/>
      <c r="AE879" s="17" t="n"/>
      <c r="AF879" s="141">
        <f>DADOS_INVOC!$IT$12</f>
        <v/>
      </c>
      <c r="AG879" s="16" t="n"/>
      <c r="AH879" s="16" t="n"/>
      <c r="AI879" s="16" t="n"/>
      <c r="AJ879" s="16" t="n"/>
      <c r="AK879" s="16" t="n"/>
      <c r="AL879" s="16" t="n"/>
      <c r="AM879" s="16" t="n"/>
      <c r="AN879" s="16" t="n"/>
      <c r="AO879" s="16" t="n"/>
      <c r="AP879" s="16" t="n"/>
      <c r="AQ879" s="16" t="n"/>
      <c r="AR879" s="17" t="n"/>
      <c r="AS879" s="125" t="n"/>
    </row>
    <row r="880" hidden="1" outlineLevel="1">
      <c r="A880" s="8" t="n"/>
      <c r="B880" s="14" t="n"/>
      <c r="C880" s="125" t="n"/>
      <c r="D880" s="125" t="n"/>
      <c r="E880" s="125" t="n"/>
      <c r="F880" s="125" t="n"/>
      <c r="G880" s="125" t="n"/>
      <c r="I880" s="125" t="n"/>
      <c r="J880" s="125" t="n"/>
      <c r="K880" s="125" t="n"/>
      <c r="L880" s="125" t="n"/>
      <c r="M880" s="125" t="n"/>
      <c r="N880" s="125" t="n"/>
      <c r="O880" s="125" t="n"/>
      <c r="P880" s="125" t="n"/>
      <c r="Q880" s="125" t="n"/>
      <c r="R880" s="125" t="n"/>
      <c r="S880" s="125" t="n"/>
      <c r="T880" s="125" t="n"/>
      <c r="U880" s="125" t="n"/>
      <c r="V880" s="125" t="n"/>
      <c r="W880" s="125" t="n"/>
      <c r="X880" s="125" t="n"/>
      <c r="Y880" s="125" t="n"/>
      <c r="Z880" s="125" t="n"/>
      <c r="AB880" s="125" t="n"/>
      <c r="AC880" s="125" t="n"/>
      <c r="AD880" s="125" t="n"/>
      <c r="AE880" s="125" t="n"/>
      <c r="AF880" s="125" t="n"/>
      <c r="AG880" s="125" t="n"/>
      <c r="AH880" s="125" t="n"/>
      <c r="AI880" s="125" t="n"/>
      <c r="AJ880" s="125" t="n"/>
      <c r="AK880" s="125" t="n"/>
      <c r="AL880" s="125" t="n"/>
      <c r="AM880" s="125" t="n"/>
      <c r="AN880" s="125" t="n"/>
      <c r="AO880" s="125" t="n"/>
      <c r="AP880" s="125" t="n"/>
      <c r="AQ880" s="125" t="n"/>
      <c r="AR880" s="125" t="n"/>
      <c r="AS880" s="125" t="n"/>
    </row>
    <row r="881" hidden="1" outlineLevel="1">
      <c r="A881" s="8" t="n"/>
      <c r="B881" s="14" t="n"/>
      <c r="C881" s="125" t="n"/>
      <c r="D881" s="125" t="n"/>
      <c r="E881" s="125" t="n"/>
      <c r="F881" s="125" t="n"/>
      <c r="G881" s="125" t="n"/>
      <c r="I881" s="137"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5" t="n"/>
      <c r="AB881" s="137"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5" t="n"/>
    </row>
    <row r="882" hidden="1" outlineLevel="2">
      <c r="A882" s="8" t="n"/>
      <c r="B882" s="14" t="n"/>
      <c r="C882" s="125" t="n"/>
      <c r="D882" s="125" t="n"/>
      <c r="E882" s="125" t="n"/>
      <c r="F882" s="125" t="n"/>
      <c r="G882" s="125" t="n"/>
      <c r="I882" s="125" t="n"/>
      <c r="J882" s="125" t="n"/>
      <c r="K882" s="125" t="n"/>
      <c r="L882" s="125" t="n"/>
      <c r="M882" s="125" t="n"/>
      <c r="N882" s="125" t="n"/>
      <c r="O882" s="125" t="n"/>
      <c r="P882" s="125" t="n"/>
      <c r="Q882" s="125" t="n"/>
      <c r="R882" s="125" t="n"/>
      <c r="S882" s="125" t="n"/>
      <c r="T882" s="125" t="n"/>
      <c r="U882" s="125" t="n"/>
      <c r="V882" s="125" t="n"/>
      <c r="W882" s="125" t="n"/>
      <c r="X882" s="125" t="n"/>
      <c r="Y882" s="125" t="n"/>
      <c r="Z882" s="125" t="n"/>
      <c r="AB882" s="125" t="n"/>
      <c r="AC882" s="125" t="n"/>
      <c r="AD882" s="125" t="n"/>
      <c r="AE882" s="125" t="n"/>
      <c r="AF882" s="125" t="n"/>
      <c r="AG882" s="125" t="n"/>
      <c r="AH882" s="125" t="n"/>
      <c r="AI882" s="125" t="n"/>
      <c r="AJ882" s="125" t="n"/>
      <c r="AK882" s="125" t="n"/>
      <c r="AL882" s="125" t="n"/>
      <c r="AM882" s="125" t="n"/>
      <c r="AN882" s="125" t="n"/>
      <c r="AO882" s="125" t="n"/>
      <c r="AP882" s="125" t="n"/>
      <c r="AQ882" s="125" t="n"/>
      <c r="AR882" s="125" t="n"/>
      <c r="AS882" s="125" t="n"/>
    </row>
    <row r="883" hidden="1" outlineLevel="2">
      <c r="A883" s="8" t="n"/>
      <c r="B883" s="14" t="n"/>
      <c r="C883" s="125" t="n"/>
      <c r="D883" s="125" t="n"/>
      <c r="E883" s="125" t="n"/>
      <c r="F883" s="125" t="n"/>
      <c r="G883" s="125" t="n"/>
      <c r="I883" s="55">
        <f>DADOS_INVOC!$PX$57</f>
        <v/>
      </c>
      <c r="J883" s="16" t="n"/>
      <c r="K883" s="16" t="n"/>
      <c r="L883" s="16" t="n"/>
      <c r="M883" s="17" t="n"/>
      <c r="N883" s="125" t="n"/>
      <c r="O883" s="55">
        <f>DADOS_INVOC!$PX$58</f>
        <v/>
      </c>
      <c r="P883" s="16" t="n"/>
      <c r="Q883" s="16" t="n"/>
      <c r="R883" s="16" t="n"/>
      <c r="S883" s="17" t="n"/>
      <c r="T883" s="125" t="n"/>
      <c r="U883" s="55">
        <f>DADOS_INVOC!$PX$59</f>
        <v/>
      </c>
      <c r="V883" s="16" t="n"/>
      <c r="W883" s="16" t="n"/>
      <c r="X883" s="16" t="n"/>
      <c r="Y883" s="17" t="n"/>
      <c r="Z883" s="125" t="n"/>
      <c r="AB883" s="55">
        <f>DADOS_INVOC!$PX$135</f>
        <v/>
      </c>
      <c r="AC883" s="16" t="n"/>
      <c r="AD883" s="16" t="n"/>
      <c r="AE883" s="16" t="n"/>
      <c r="AF883" s="17" t="n"/>
      <c r="AG883" s="125" t="n"/>
      <c r="AH883" s="55">
        <f>DADOS_INVOC!$PX$136</f>
        <v/>
      </c>
      <c r="AI883" s="16" t="n"/>
      <c r="AJ883" s="16" t="n"/>
      <c r="AK883" s="16" t="n"/>
      <c r="AL883" s="17" t="n"/>
      <c r="AM883" s="125" t="n"/>
      <c r="AN883" s="55">
        <f>DADOS_INVOC!$PX$137</f>
        <v/>
      </c>
      <c r="AO883" s="16" t="n"/>
      <c r="AP883" s="16" t="n"/>
      <c r="AQ883" s="16" t="n"/>
      <c r="AR883" s="17" t="n"/>
      <c r="AS883" s="125" t="n"/>
    </row>
    <row r="884" hidden="1" outlineLevel="2">
      <c r="A884" s="8" t="n"/>
      <c r="B884" s="14" t="n"/>
      <c r="C884" s="125" t="n"/>
      <c r="D884" s="125" t="n"/>
      <c r="E884" s="125" t="n"/>
      <c r="F884" s="125" t="n"/>
      <c r="G884" s="125" t="n"/>
      <c r="I884" s="131" t="n">
        <v>0</v>
      </c>
      <c r="J884" s="120" t="n"/>
      <c r="K884" s="16" t="n"/>
      <c r="L884" s="17" t="n"/>
      <c r="M884" s="132">
        <f>DADOS_INVOC!$PV$57</f>
        <v/>
      </c>
      <c r="N884" s="125" t="n"/>
      <c r="O884" s="131" t="n">
        <v>1</v>
      </c>
      <c r="P884" s="120" t="n"/>
      <c r="Q884" s="16" t="n"/>
      <c r="R884" s="17" t="n"/>
      <c r="S884" s="132">
        <f>DADOS_INVOC!$PV$58</f>
        <v/>
      </c>
      <c r="T884" s="125" t="n"/>
      <c r="U884" s="131" t="n">
        <v>1</v>
      </c>
      <c r="V884" s="120" t="n"/>
      <c r="W884" s="16" t="n"/>
      <c r="X884" s="17" t="n"/>
      <c r="Y884" s="132">
        <f>DADOS_INVOC!$PV$59</f>
        <v/>
      </c>
      <c r="Z884" s="125" t="n"/>
      <c r="AB884" s="131" t="n">
        <v>0</v>
      </c>
      <c r="AC884" s="120" t="n"/>
      <c r="AD884" s="16" t="n"/>
      <c r="AE884" s="17" t="n"/>
      <c r="AF884" s="132">
        <f>DADOS_INVOC!$PV$135</f>
        <v/>
      </c>
      <c r="AG884" s="125" t="n"/>
      <c r="AH884" s="131" t="n">
        <v>1</v>
      </c>
      <c r="AI884" s="120" t="n"/>
      <c r="AJ884" s="16" t="n"/>
      <c r="AK884" s="17" t="n"/>
      <c r="AL884" s="132">
        <f>DADOS_INVOC!$PV$136</f>
        <v/>
      </c>
      <c r="AM884" s="125" t="n"/>
      <c r="AN884" s="131" t="n">
        <v>1</v>
      </c>
      <c r="AO884" s="120" t="n"/>
      <c r="AP884" s="16" t="n"/>
      <c r="AQ884" s="17" t="n"/>
      <c r="AR884" s="132">
        <f>DADOS_INVOC!$PV$137</f>
        <v/>
      </c>
      <c r="AS884" s="125" t="n"/>
    </row>
    <row r="885" hidden="1" outlineLevel="3">
      <c r="A885" s="8" t="n"/>
      <c r="B885" s="14" t="n"/>
      <c r="C885" s="125" t="n"/>
      <c r="D885" s="125" t="n"/>
      <c r="E885" s="125" t="n"/>
      <c r="F885" s="125" t="n"/>
      <c r="G885" s="125" t="n"/>
      <c r="I885" s="55" t="inlineStr">
        <is>
          <t>COMO É</t>
        </is>
      </c>
      <c r="J885" s="16" t="n"/>
      <c r="K885" s="16" t="n"/>
      <c r="L885" s="16" t="n"/>
      <c r="M885" s="17" t="n"/>
      <c r="N885" s="125" t="n"/>
      <c r="O885" s="55" t="inlineStr">
        <is>
          <t>COMO É</t>
        </is>
      </c>
      <c r="P885" s="16" t="n"/>
      <c r="Q885" s="16" t="n"/>
      <c r="R885" s="16" t="n"/>
      <c r="S885" s="17" t="n"/>
      <c r="T885" s="125" t="n"/>
      <c r="U885" s="55" t="inlineStr">
        <is>
          <t>COMO É</t>
        </is>
      </c>
      <c r="V885" s="16" t="n"/>
      <c r="W885" s="16" t="n"/>
      <c r="X885" s="16" t="n"/>
      <c r="Y885" s="17" t="n"/>
      <c r="Z885" s="125" t="n"/>
      <c r="AB885" s="55" t="inlineStr">
        <is>
          <t>COMO É</t>
        </is>
      </c>
      <c r="AC885" s="16" t="n"/>
      <c r="AD885" s="16" t="n"/>
      <c r="AE885" s="16" t="n"/>
      <c r="AF885" s="17" t="n"/>
      <c r="AG885" s="125" t="n"/>
      <c r="AH885" s="55" t="inlineStr">
        <is>
          <t>COMO É</t>
        </is>
      </c>
      <c r="AI885" s="16" t="n"/>
      <c r="AJ885" s="16" t="n"/>
      <c r="AK885" s="16" t="n"/>
      <c r="AL885" s="17" t="n"/>
      <c r="AM885" s="125" t="n"/>
      <c r="AN885" s="55" t="inlineStr">
        <is>
          <t>COMO É</t>
        </is>
      </c>
      <c r="AO885" s="16" t="n"/>
      <c r="AP885" s="16" t="n"/>
      <c r="AQ885" s="16" t="n"/>
      <c r="AR885" s="17" t="n"/>
      <c r="AS885" s="125" t="n"/>
    </row>
    <row r="886" hidden="1" outlineLevel="3">
      <c r="A886" s="8" t="n"/>
      <c r="B886" s="14" t="n"/>
      <c r="C886" s="125" t="n"/>
      <c r="D886" s="125" t="n"/>
      <c r="E886" s="125" t="n"/>
      <c r="F886" s="125" t="n"/>
      <c r="G886" s="125" t="n"/>
      <c r="I886" s="121" t="n"/>
      <c r="J886" s="19" t="n"/>
      <c r="K886" s="19" t="n"/>
      <c r="L886" s="19" t="n"/>
      <c r="M886" s="20" t="n"/>
      <c r="N886" s="125" t="n"/>
      <c r="O886" s="121" t="n"/>
      <c r="P886" s="19" t="n"/>
      <c r="Q886" s="19" t="n"/>
      <c r="R886" s="19" t="n"/>
      <c r="S886" s="20" t="n"/>
      <c r="T886" s="125" t="n"/>
      <c r="U886" s="121" t="n"/>
      <c r="V886" s="19" t="n"/>
      <c r="W886" s="19" t="n"/>
      <c r="X886" s="19" t="n"/>
      <c r="Y886" s="20" t="n"/>
      <c r="Z886" s="125" t="n"/>
      <c r="AB886" s="121" t="n"/>
      <c r="AC886" s="19" t="n"/>
      <c r="AD886" s="19" t="n"/>
      <c r="AE886" s="19" t="n"/>
      <c r="AF886" s="20" t="n"/>
      <c r="AG886" s="125" t="n"/>
      <c r="AH886" s="121" t="n"/>
      <c r="AI886" s="19" t="n"/>
      <c r="AJ886" s="19" t="n"/>
      <c r="AK886" s="19" t="n"/>
      <c r="AL886" s="20" t="n"/>
      <c r="AM886" s="125" t="n"/>
      <c r="AN886" s="121" t="n"/>
      <c r="AO886" s="19" t="n"/>
      <c r="AP886" s="19" t="n"/>
      <c r="AQ886" s="19" t="n"/>
      <c r="AR886" s="20" t="n"/>
      <c r="AS886" s="125" t="n"/>
    </row>
    <row r="887" hidden="1" outlineLevel="3">
      <c r="A887" s="8" t="n"/>
      <c r="B887" s="14" t="n"/>
      <c r="C887" s="125" t="n"/>
      <c r="D887" s="125" t="n"/>
      <c r="E887" s="125" t="n"/>
      <c r="F887" s="125" t="n"/>
      <c r="G887" s="125" t="n"/>
      <c r="I887" s="21" t="n"/>
      <c r="M887" s="22" t="n"/>
      <c r="N887" s="125" t="n"/>
      <c r="O887" s="21" t="n"/>
      <c r="S887" s="22" t="n"/>
      <c r="T887" s="125" t="n"/>
      <c r="U887" s="21" t="n"/>
      <c r="Y887" s="22" t="n"/>
      <c r="Z887" s="125" t="n"/>
      <c r="AB887" s="21" t="n"/>
      <c r="AF887" s="22" t="n"/>
      <c r="AG887" s="125" t="n"/>
      <c r="AH887" s="21" t="n"/>
      <c r="AL887" s="22" t="n"/>
      <c r="AM887" s="125" t="n"/>
      <c r="AN887" s="21" t="n"/>
      <c r="AR887" s="22" t="n"/>
      <c r="AS887" s="125" t="n"/>
    </row>
    <row r="888" hidden="1" outlineLevel="3">
      <c r="A888" s="8" t="n"/>
      <c r="B888" s="14" t="n"/>
      <c r="C888" s="125" t="n"/>
      <c r="D888" s="125" t="n"/>
      <c r="E888" s="125" t="n"/>
      <c r="F888" s="125" t="n"/>
      <c r="G888" s="125" t="n"/>
      <c r="I888" s="23" t="n"/>
      <c r="J888" s="24" t="n"/>
      <c r="K888" s="24" t="n"/>
      <c r="L888" s="24" t="n"/>
      <c r="M888" s="25" t="n"/>
      <c r="N888" s="125" t="n"/>
      <c r="O888" s="23" t="n"/>
      <c r="P888" s="24" t="n"/>
      <c r="Q888" s="24" t="n"/>
      <c r="R888" s="24" t="n"/>
      <c r="S888" s="25" t="n"/>
      <c r="T888" s="125" t="n"/>
      <c r="U888" s="23" t="n"/>
      <c r="V888" s="24" t="n"/>
      <c r="W888" s="24" t="n"/>
      <c r="X888" s="24" t="n"/>
      <c r="Y888" s="25" t="n"/>
      <c r="Z888" s="125" t="n"/>
      <c r="AB888" s="23" t="n"/>
      <c r="AC888" s="24" t="n"/>
      <c r="AD888" s="24" t="n"/>
      <c r="AE888" s="24" t="n"/>
      <c r="AF888" s="25" t="n"/>
      <c r="AG888" s="125" t="n"/>
      <c r="AH888" s="23" t="n"/>
      <c r="AI888" s="24" t="n"/>
      <c r="AJ888" s="24" t="n"/>
      <c r="AK888" s="24" t="n"/>
      <c r="AL888" s="25" t="n"/>
      <c r="AM888" s="125" t="n"/>
      <c r="AN888" s="23" t="n"/>
      <c r="AO888" s="24" t="n"/>
      <c r="AP888" s="24" t="n"/>
      <c r="AQ888" s="24" t="n"/>
      <c r="AR888" s="25" t="n"/>
      <c r="AS888" s="125" t="n"/>
    </row>
    <row r="889" hidden="1" outlineLevel="2">
      <c r="A889" s="8" t="n"/>
      <c r="B889" s="14" t="n"/>
      <c r="C889" s="125" t="n"/>
      <c r="D889" s="125" t="n"/>
      <c r="E889" s="125" t="n"/>
      <c r="F889" s="125" t="n"/>
      <c r="G889" s="125" t="n"/>
      <c r="I889" s="89" t="inlineStr">
        <is>
          <t>Projétil</t>
        </is>
      </c>
      <c r="J889" s="17" t="n"/>
      <c r="K889" s="68">
        <f>DADOS_INVOC!$QC$57</f>
        <v/>
      </c>
      <c r="L889" s="17" t="n"/>
      <c r="M889" s="68">
        <f>DADOS_INVOC!$PY$57</f>
        <v/>
      </c>
      <c r="N889" s="125" t="n"/>
      <c r="O889" s="89" t="inlineStr">
        <is>
          <t>Projétil</t>
        </is>
      </c>
      <c r="P889" s="17" t="n"/>
      <c r="Q889" s="68">
        <f>DADOS_INVOC!$QC$58</f>
        <v/>
      </c>
      <c r="R889" s="17" t="n"/>
      <c r="S889" s="68">
        <f>DADOS_INVOC!$PY$58</f>
        <v/>
      </c>
      <c r="T889" s="125" t="n"/>
      <c r="U889" s="89" t="inlineStr">
        <is>
          <t>Projétil</t>
        </is>
      </c>
      <c r="V889" s="17" t="n"/>
      <c r="W889" s="68">
        <f>DADOS_INVOC!$QC$59</f>
        <v/>
      </c>
      <c r="X889" s="17" t="n"/>
      <c r="Y889" s="68">
        <f>DADOS_INVOC!$PY$59</f>
        <v/>
      </c>
      <c r="Z889" s="125" t="n"/>
      <c r="AB889" s="89" t="inlineStr">
        <is>
          <t>Projétil</t>
        </is>
      </c>
      <c r="AC889" s="17" t="n"/>
      <c r="AD889" s="68">
        <f>DADOS_INVOC!$QC$135</f>
        <v/>
      </c>
      <c r="AE889" s="17" t="n"/>
      <c r="AF889" s="68">
        <f>DADOS_INVOC!$PY$135</f>
        <v/>
      </c>
      <c r="AG889" s="125" t="n"/>
      <c r="AH889" s="89" t="inlineStr">
        <is>
          <t>Projétil</t>
        </is>
      </c>
      <c r="AI889" s="17" t="n"/>
      <c r="AJ889" s="68">
        <f>DADOS_INVOC!$QC$136</f>
        <v/>
      </c>
      <c r="AK889" s="17" t="n"/>
      <c r="AL889" s="68">
        <f>DADOS_INVOC!$PY$136</f>
        <v/>
      </c>
      <c r="AM889" s="125" t="n"/>
      <c r="AN889" s="89" t="inlineStr">
        <is>
          <t>Projétil</t>
        </is>
      </c>
      <c r="AO889" s="17" t="n"/>
      <c r="AP889" s="68">
        <f>DADOS_INVOC!$QC$137</f>
        <v/>
      </c>
      <c r="AQ889" s="17" t="n"/>
      <c r="AR889" s="68">
        <f>DADOS_INVOC!$PY$137</f>
        <v/>
      </c>
      <c r="AS889" s="125" t="n"/>
    </row>
    <row r="890" hidden="1" outlineLevel="2">
      <c r="A890" s="8" t="n"/>
      <c r="B890" s="14" t="n"/>
      <c r="C890" s="125" t="n"/>
      <c r="D890" s="125" t="n"/>
      <c r="E890" s="125" t="n"/>
      <c r="F890" s="125" t="n"/>
      <c r="G890" s="125" t="n"/>
      <c r="I890" s="89" t="n"/>
      <c r="J890" s="17" t="n"/>
      <c r="K890" s="89" t="n"/>
      <c r="L890" s="16" t="n"/>
      <c r="M890" s="17" t="n"/>
      <c r="N890" s="125" t="n"/>
      <c r="O890" s="89" t="n"/>
      <c r="P890" s="17" t="n"/>
      <c r="Q890" s="89" t="n"/>
      <c r="R890" s="16" t="n"/>
      <c r="S890" s="17" t="n"/>
      <c r="T890" s="125" t="n"/>
      <c r="U890" s="89" t="n"/>
      <c r="V890" s="17" t="n"/>
      <c r="W890" s="89" t="n"/>
      <c r="X890" s="16" t="n"/>
      <c r="Y890" s="17" t="n"/>
      <c r="Z890" s="125" t="n"/>
      <c r="AB890" s="89" t="n"/>
      <c r="AC890" s="17" t="n"/>
      <c r="AD890" s="89" t="n"/>
      <c r="AE890" s="16" t="n"/>
      <c r="AF890" s="17" t="n"/>
      <c r="AG890" s="125" t="n"/>
      <c r="AH890" s="89" t="n"/>
      <c r="AI890" s="17" t="n"/>
      <c r="AJ890" s="89" t="n"/>
      <c r="AK890" s="16" t="n"/>
      <c r="AL890" s="17" t="n"/>
      <c r="AM890" s="125" t="n"/>
      <c r="AN890" s="89" t="n"/>
      <c r="AO890" s="17" t="n"/>
      <c r="AP890" s="89" t="n"/>
      <c r="AQ890" s="16" t="n"/>
      <c r="AR890" s="17" t="n"/>
      <c r="AS890" s="125" t="n"/>
    </row>
    <row r="891" hidden="1" outlineLevel="2">
      <c r="A891" s="8" t="n"/>
      <c r="B891" s="14" t="n"/>
      <c r="C891" s="125" t="n"/>
      <c r="D891" s="125" t="n"/>
      <c r="E891" s="125" t="n"/>
      <c r="F891" s="125" t="n"/>
      <c r="G891" s="125" t="n"/>
      <c r="I891" s="89">
        <f>DADOS_INVOC!$PZ$57</f>
        <v/>
      </c>
      <c r="J891" s="17" t="n"/>
      <c r="K891" s="89">
        <f>DADOS_INVOC!$QB$57</f>
        <v/>
      </c>
      <c r="L891" s="16" t="n"/>
      <c r="M891" s="17" t="n"/>
      <c r="N891" s="125" t="n"/>
      <c r="O891" s="89">
        <f>DADOS_INVOC!$PZ$58</f>
        <v/>
      </c>
      <c r="P891" s="17" t="n"/>
      <c r="Q891" s="89">
        <f>DADOS_INVOC!$QB$58</f>
        <v/>
      </c>
      <c r="R891" s="16" t="n"/>
      <c r="S891" s="17" t="n"/>
      <c r="T891" s="125" t="n"/>
      <c r="U891" s="89">
        <f>DADOS_INVOC!$PZ$59</f>
        <v/>
      </c>
      <c r="V891" s="17" t="n"/>
      <c r="W891" s="89">
        <f>DADOS_INVOC!$QB$59</f>
        <v/>
      </c>
      <c r="X891" s="16" t="n"/>
      <c r="Y891" s="17" t="n"/>
      <c r="Z891" s="125" t="n"/>
      <c r="AB891" s="89">
        <f>DADOS_INVOC!$PZ$135</f>
        <v/>
      </c>
      <c r="AC891" s="17" t="n"/>
      <c r="AD891" s="89">
        <f>DADOS_INVOC!$QB$135</f>
        <v/>
      </c>
      <c r="AE891" s="16" t="n"/>
      <c r="AF891" s="17" t="n"/>
      <c r="AG891" s="125" t="n"/>
      <c r="AH891" s="89">
        <f>DADOS_INVOC!$PZ$136</f>
        <v/>
      </c>
      <c r="AI891" s="17" t="n"/>
      <c r="AJ891" s="89">
        <f>DADOS_INVOC!$QB$136</f>
        <v/>
      </c>
      <c r="AK891" s="16" t="n"/>
      <c r="AL891" s="17" t="n"/>
      <c r="AM891" s="125" t="n"/>
      <c r="AN891" s="89">
        <f>DADOS_INVOC!$PZ$137</f>
        <v/>
      </c>
      <c r="AO891" s="17" t="n"/>
      <c r="AP891" s="89">
        <f>DADOS_INVOC!$QB$137</f>
        <v/>
      </c>
      <c r="AQ891" s="16" t="n"/>
      <c r="AR891" s="17" t="n"/>
      <c r="AS891" s="125" t="n"/>
    </row>
    <row r="892" hidden="1" outlineLevel="2">
      <c r="A892" s="8" t="n"/>
      <c r="B892" s="14" t="n"/>
      <c r="C892" s="125" t="n"/>
      <c r="D892" s="125" t="n"/>
      <c r="E892" s="125" t="n"/>
      <c r="F892" s="125" t="n"/>
      <c r="G892" s="125" t="n"/>
      <c r="I892" s="133">
        <f>DADOS_INVOC!$QH$57</f>
        <v/>
      </c>
      <c r="J892" s="16" t="n"/>
      <c r="K892" s="16" t="n"/>
      <c r="L892" s="16" t="n"/>
      <c r="M892" s="17" t="n"/>
      <c r="N892" s="125" t="n"/>
      <c r="O892" s="133">
        <f>DADOS_INVOC!$QH$58</f>
        <v/>
      </c>
      <c r="P892" s="16" t="n"/>
      <c r="Q892" s="16" t="n"/>
      <c r="R892" s="16" t="n"/>
      <c r="S892" s="17" t="n"/>
      <c r="T892" s="125" t="n"/>
      <c r="U892" s="133">
        <f>DADOS_INVOC!$QH$59</f>
        <v/>
      </c>
      <c r="V892" s="16" t="n"/>
      <c r="W892" s="16" t="n"/>
      <c r="X892" s="16" t="n"/>
      <c r="Y892" s="17" t="n"/>
      <c r="Z892" s="125" t="n"/>
      <c r="AB892" s="133">
        <f>DADOS_INVOC!$QH$135</f>
        <v/>
      </c>
      <c r="AC892" s="16" t="n"/>
      <c r="AD892" s="16" t="n"/>
      <c r="AE892" s="16" t="n"/>
      <c r="AF892" s="17" t="n"/>
      <c r="AG892" s="125" t="n"/>
      <c r="AH892" s="133">
        <f>DADOS_INVOC!$QH$136</f>
        <v/>
      </c>
      <c r="AI892" s="16" t="n"/>
      <c r="AJ892" s="16" t="n"/>
      <c r="AK892" s="16" t="n"/>
      <c r="AL892" s="17" t="n"/>
      <c r="AM892" s="125" t="n"/>
      <c r="AN892" s="133">
        <f>DADOS_INVOC!$QH$137</f>
        <v/>
      </c>
      <c r="AO892" s="16" t="n"/>
      <c r="AP892" s="16" t="n"/>
      <c r="AQ892" s="16" t="n"/>
      <c r="AR892" s="17" t="n"/>
      <c r="AS892" s="125" t="n"/>
    </row>
    <row r="893" hidden="1" outlineLevel="3">
      <c r="A893" s="8" t="n"/>
      <c r="B893" s="14" t="n"/>
      <c r="C893" s="125" t="n"/>
      <c r="D893" s="125" t="n"/>
      <c r="E893" s="125" t="n"/>
      <c r="F893" s="125" t="n"/>
      <c r="G893" s="125" t="n"/>
      <c r="I893" s="55" t="inlineStr">
        <is>
          <t>MELHORIAS</t>
        </is>
      </c>
      <c r="J893" s="134" t="n"/>
      <c r="K893" s="16" t="n"/>
      <c r="L893" s="17" t="n"/>
      <c r="M893" s="133">
        <f>DADOS_INVOC!$QK$57</f>
        <v/>
      </c>
      <c r="N893" s="125" t="n"/>
      <c r="O893" s="55" t="inlineStr">
        <is>
          <t>MELHORIAS</t>
        </is>
      </c>
      <c r="P893" s="134" t="n"/>
      <c r="Q893" s="16" t="n"/>
      <c r="R893" s="17" t="n"/>
      <c r="S893" s="133">
        <f>DADOS_INVOC!$QK$58</f>
        <v/>
      </c>
      <c r="T893" s="125" t="n"/>
      <c r="U893" s="55" t="inlineStr">
        <is>
          <t>MELHORIAS</t>
        </is>
      </c>
      <c r="V893" s="134" t="n"/>
      <c r="W893" s="16" t="n"/>
      <c r="X893" s="17" t="n"/>
      <c r="Y893" s="133">
        <f>DADOS_INVOC!$QK$59</f>
        <v/>
      </c>
      <c r="Z893" s="125" t="n"/>
      <c r="AB893" s="55" t="inlineStr">
        <is>
          <t>MELHORIAS</t>
        </is>
      </c>
      <c r="AC893" s="134" t="n"/>
      <c r="AD893" s="16" t="n"/>
      <c r="AE893" s="17" t="n"/>
      <c r="AF893" s="133">
        <f>DADOS_INVOC!$QK$135</f>
        <v/>
      </c>
      <c r="AG893" s="125" t="n"/>
      <c r="AH893" s="55" t="inlineStr">
        <is>
          <t>MELHORIAS</t>
        </is>
      </c>
      <c r="AI893" s="134" t="n"/>
      <c r="AJ893" s="16" t="n"/>
      <c r="AK893" s="17" t="n"/>
      <c r="AL893" s="133">
        <f>DADOS_INVOC!$QK$136</f>
        <v/>
      </c>
      <c r="AM893" s="125" t="n"/>
      <c r="AN893" s="55" t="inlineStr">
        <is>
          <t>MELHORIAS</t>
        </is>
      </c>
      <c r="AO893" s="134" t="n"/>
      <c r="AP893" s="16" t="n"/>
      <c r="AQ893" s="17" t="n"/>
      <c r="AR893" s="133">
        <f>DADOS_INVOC!$QK$137</f>
        <v/>
      </c>
      <c r="AS893" s="125" t="n"/>
    </row>
    <row r="894" hidden="1" outlineLevel="3">
      <c r="A894" s="8" t="n"/>
      <c r="B894" s="14" t="n"/>
      <c r="C894" s="125" t="n"/>
      <c r="D894" s="125" t="n"/>
      <c r="E894" s="125" t="n"/>
      <c r="F894" s="125" t="n"/>
      <c r="G894" s="125" t="n"/>
      <c r="I894" s="135" t="n"/>
      <c r="J894" s="134" t="n"/>
      <c r="K894" s="16" t="n"/>
      <c r="L894" s="17" t="n"/>
      <c r="M894" s="133">
        <f>DADOS_INVOC!$QL$57</f>
        <v/>
      </c>
      <c r="N894" s="125" t="n"/>
      <c r="O894" s="135" t="n"/>
      <c r="P894" s="134" t="n"/>
      <c r="Q894" s="16" t="n"/>
      <c r="R894" s="17" t="n"/>
      <c r="S894" s="133">
        <f>DADOS_INVOC!$QL$58</f>
        <v/>
      </c>
      <c r="T894" s="125" t="n"/>
      <c r="U894" s="135" t="n"/>
      <c r="V894" s="134" t="n"/>
      <c r="W894" s="16" t="n"/>
      <c r="X894" s="17" t="n"/>
      <c r="Y894" s="133">
        <f>DADOS_INVOC!$QL$59</f>
        <v/>
      </c>
      <c r="Z894" s="125" t="n"/>
      <c r="AB894" s="135" t="n"/>
      <c r="AC894" s="134" t="n"/>
      <c r="AD894" s="16" t="n"/>
      <c r="AE894" s="17" t="n"/>
      <c r="AF894" s="133">
        <f>DADOS_INVOC!$QL$135</f>
        <v/>
      </c>
      <c r="AG894" s="125" t="n"/>
      <c r="AH894" s="135" t="n"/>
      <c r="AI894" s="134" t="n"/>
      <c r="AJ894" s="16" t="n"/>
      <c r="AK894" s="17" t="n"/>
      <c r="AL894" s="133">
        <f>DADOS_INVOC!$QL$136</f>
        <v/>
      </c>
      <c r="AM894" s="125" t="n"/>
      <c r="AN894" s="135" t="n"/>
      <c r="AO894" s="134" t="n"/>
      <c r="AP894" s="16" t="n"/>
      <c r="AQ894" s="17" t="n"/>
      <c r="AR894" s="133">
        <f>DADOS_INVOC!$QL$137</f>
        <v/>
      </c>
      <c r="AS894" s="125" t="n"/>
    </row>
    <row r="895" hidden="1" outlineLevel="3">
      <c r="A895" s="8" t="n"/>
      <c r="B895" s="14" t="n"/>
      <c r="C895" s="125" t="n"/>
      <c r="D895" s="125" t="n"/>
      <c r="E895" s="125" t="n"/>
      <c r="F895" s="125" t="n"/>
      <c r="G895" s="125" t="n"/>
      <c r="I895" s="135" t="n"/>
      <c r="J895" s="134" t="n"/>
      <c r="K895" s="16" t="n"/>
      <c r="L895" s="17" t="n"/>
      <c r="M895" s="133">
        <f>DADOS_INVOC!$QM$57</f>
        <v/>
      </c>
      <c r="N895" s="125" t="n"/>
      <c r="O895" s="135" t="n"/>
      <c r="P895" s="134" t="n"/>
      <c r="Q895" s="16" t="n"/>
      <c r="R895" s="17" t="n"/>
      <c r="S895" s="133">
        <f>DADOS_INVOC!$QM$58</f>
        <v/>
      </c>
      <c r="T895" s="125" t="n"/>
      <c r="U895" s="135" t="n"/>
      <c r="V895" s="134" t="n"/>
      <c r="W895" s="16" t="n"/>
      <c r="X895" s="17" t="n"/>
      <c r="Y895" s="133">
        <f>DADOS_INVOC!$QM$59</f>
        <v/>
      </c>
      <c r="Z895" s="125" t="n"/>
      <c r="AB895" s="135" t="n"/>
      <c r="AC895" s="134" t="n"/>
      <c r="AD895" s="16" t="n"/>
      <c r="AE895" s="17" t="n"/>
      <c r="AF895" s="133">
        <f>DADOS_INVOC!$QM$135</f>
        <v/>
      </c>
      <c r="AG895" s="125" t="n"/>
      <c r="AH895" s="135" t="n"/>
      <c r="AI895" s="134" t="n"/>
      <c r="AJ895" s="16" t="n"/>
      <c r="AK895" s="17" t="n"/>
      <c r="AL895" s="133">
        <f>DADOS_INVOC!$QM$136</f>
        <v/>
      </c>
      <c r="AM895" s="125" t="n"/>
      <c r="AN895" s="135" t="n"/>
      <c r="AO895" s="134" t="n"/>
      <c r="AP895" s="16" t="n"/>
      <c r="AQ895" s="17" t="n"/>
      <c r="AR895" s="133">
        <f>DADOS_INVOC!$QM$137</f>
        <v/>
      </c>
      <c r="AS895" s="125" t="n"/>
    </row>
    <row r="896" hidden="1" outlineLevel="3">
      <c r="A896" s="8" t="n"/>
      <c r="B896" s="14" t="n"/>
      <c r="C896" s="125" t="n"/>
      <c r="D896" s="125" t="n"/>
      <c r="E896" s="125" t="n"/>
      <c r="F896" s="125" t="n"/>
      <c r="G896" s="125" t="n"/>
      <c r="I896" s="129" t="n"/>
      <c r="J896" s="134" t="n"/>
      <c r="K896" s="16" t="n"/>
      <c r="L896" s="17" t="n"/>
      <c r="M896" s="133">
        <f>DADOS_INVOC!$QN$57</f>
        <v/>
      </c>
      <c r="N896" s="125" t="n"/>
      <c r="O896" s="129" t="n"/>
      <c r="P896" s="134" t="n"/>
      <c r="Q896" s="16" t="n"/>
      <c r="R896" s="17" t="n"/>
      <c r="S896" s="133">
        <f>DADOS_INVOC!$QN$58</f>
        <v/>
      </c>
      <c r="T896" s="125" t="n"/>
      <c r="U896" s="129" t="n"/>
      <c r="V896" s="134" t="n"/>
      <c r="W896" s="16" t="n"/>
      <c r="X896" s="17" t="n"/>
      <c r="Y896" s="133">
        <f>DADOS_INVOC!$QN$59</f>
        <v/>
      </c>
      <c r="Z896" s="125" t="n"/>
      <c r="AB896" s="129" t="n"/>
      <c r="AC896" s="134" t="n"/>
      <c r="AD896" s="16" t="n"/>
      <c r="AE896" s="17" t="n"/>
      <c r="AF896" s="133">
        <f>DADOS_INVOC!$QN$135</f>
        <v/>
      </c>
      <c r="AG896" s="125" t="n"/>
      <c r="AH896" s="129" t="n"/>
      <c r="AI896" s="134" t="n"/>
      <c r="AJ896" s="16" t="n"/>
      <c r="AK896" s="17" t="n"/>
      <c r="AL896" s="133">
        <f>DADOS_INVOC!$QN$136</f>
        <v/>
      </c>
      <c r="AM896" s="125" t="n"/>
      <c r="AN896" s="129" t="n"/>
      <c r="AO896" s="134" t="n"/>
      <c r="AP896" s="16" t="n"/>
      <c r="AQ896" s="17" t="n"/>
      <c r="AR896" s="133">
        <f>DADOS_INVOC!$QN$137</f>
        <v/>
      </c>
      <c r="AS896" s="125" t="n"/>
    </row>
    <row r="897" hidden="1" outlineLevel="3">
      <c r="A897" s="8" t="n"/>
      <c r="B897" s="14" t="n"/>
      <c r="C897" s="125" t="n"/>
      <c r="D897" s="125" t="n"/>
      <c r="E897" s="125" t="n"/>
      <c r="F897" s="125" t="n"/>
      <c r="G897" s="125" t="n"/>
      <c r="I897" s="55" t="inlineStr">
        <is>
          <t>RESTRIÇÕES</t>
        </is>
      </c>
      <c r="J897" s="134" t="n"/>
      <c r="K897" s="16" t="n"/>
      <c r="L897" s="17" t="n"/>
      <c r="M897" s="133">
        <f>DADOS_INVOC!$QO$57</f>
        <v/>
      </c>
      <c r="N897" s="125" t="n"/>
      <c r="O897" s="55" t="inlineStr">
        <is>
          <t>RESTRIÇÕES</t>
        </is>
      </c>
      <c r="P897" s="134" t="n"/>
      <c r="Q897" s="16" t="n"/>
      <c r="R897" s="17" t="n"/>
      <c r="S897" s="133">
        <f>DADOS_INVOC!$QO$58</f>
        <v/>
      </c>
      <c r="T897" s="125" t="n"/>
      <c r="U897" s="55" t="inlineStr">
        <is>
          <t>RESTRIÇÕES</t>
        </is>
      </c>
      <c r="V897" s="134" t="n"/>
      <c r="W897" s="16" t="n"/>
      <c r="X897" s="17" t="n"/>
      <c r="Y897" s="133">
        <f>DADOS_INVOC!$QO$59</f>
        <v/>
      </c>
      <c r="Z897" s="125" t="n"/>
      <c r="AB897" s="55" t="inlineStr">
        <is>
          <t>RESTRIÇÕES</t>
        </is>
      </c>
      <c r="AC897" s="134" t="n"/>
      <c r="AD897" s="16" t="n"/>
      <c r="AE897" s="17" t="n"/>
      <c r="AF897" s="133">
        <f>DADOS_INVOC!$QO$135</f>
        <v/>
      </c>
      <c r="AG897" s="125" t="n"/>
      <c r="AH897" s="55" t="inlineStr">
        <is>
          <t>RESTRIÇÕES</t>
        </is>
      </c>
      <c r="AI897" s="134" t="n"/>
      <c r="AJ897" s="16" t="n"/>
      <c r="AK897" s="17" t="n"/>
      <c r="AL897" s="133">
        <f>DADOS_INVOC!$QO$136</f>
        <v/>
      </c>
      <c r="AM897" s="125" t="n"/>
      <c r="AN897" s="55" t="inlineStr">
        <is>
          <t>RESTRIÇÕES</t>
        </is>
      </c>
      <c r="AO897" s="134" t="n"/>
      <c r="AP897" s="16" t="n"/>
      <c r="AQ897" s="17" t="n"/>
      <c r="AR897" s="133">
        <f>DADOS_INVOC!$QO$137</f>
        <v/>
      </c>
      <c r="AS897" s="125" t="n"/>
    </row>
    <row r="898" hidden="1" outlineLevel="3">
      <c r="A898" s="8" t="n"/>
      <c r="B898" s="14" t="n"/>
      <c r="C898" s="125" t="n"/>
      <c r="D898" s="125" t="n"/>
      <c r="E898" s="125" t="n"/>
      <c r="F898" s="125" t="n"/>
      <c r="G898" s="125" t="n"/>
      <c r="I898" s="129" t="n"/>
      <c r="J898" s="134" t="n"/>
      <c r="K898" s="16" t="n"/>
      <c r="L898" s="17" t="n"/>
      <c r="M898" s="133">
        <f>DADOS_INVOC!$QP$57</f>
        <v/>
      </c>
      <c r="N898" s="125" t="n"/>
      <c r="O898" s="129" t="n"/>
      <c r="P898" s="134" t="n"/>
      <c r="Q898" s="16" t="n"/>
      <c r="R898" s="17" t="n"/>
      <c r="S898" s="133">
        <f>DADOS_INVOC!$QP$58</f>
        <v/>
      </c>
      <c r="T898" s="125" t="n"/>
      <c r="U898" s="129" t="n"/>
      <c r="V898" s="134" t="n"/>
      <c r="W898" s="16" t="n"/>
      <c r="X898" s="17" t="n"/>
      <c r="Y898" s="133">
        <f>DADOS_INVOC!$QP$59</f>
        <v/>
      </c>
      <c r="Z898" s="125" t="n"/>
      <c r="AB898" s="129" t="n"/>
      <c r="AC898" s="134" t="n"/>
      <c r="AD898" s="16" t="n"/>
      <c r="AE898" s="17" t="n"/>
      <c r="AF898" s="133">
        <f>DADOS_INVOC!$QP$135</f>
        <v/>
      </c>
      <c r="AG898" s="125" t="n"/>
      <c r="AH898" s="129" t="n"/>
      <c r="AI898" s="134" t="n"/>
      <c r="AJ898" s="16" t="n"/>
      <c r="AK898" s="17" t="n"/>
      <c r="AL898" s="133">
        <f>DADOS_INVOC!$QP$136</f>
        <v/>
      </c>
      <c r="AM898" s="125" t="n"/>
      <c r="AN898" s="129" t="n"/>
      <c r="AO898" s="134" t="n"/>
      <c r="AP898" s="16" t="n"/>
      <c r="AQ898" s="17" t="n"/>
      <c r="AR898" s="133">
        <f>DADOS_INVOC!$QP$137</f>
        <v/>
      </c>
      <c r="AS898" s="125" t="n"/>
    </row>
    <row r="899" hidden="1" outlineLevel="3">
      <c r="A899" s="8" t="n"/>
      <c r="B899" s="14" t="n"/>
      <c r="C899" s="125" t="n"/>
      <c r="D899" s="125" t="n"/>
      <c r="E899" s="125" t="n"/>
      <c r="F899" s="125" t="n"/>
      <c r="G899" s="125" t="n"/>
      <c r="I899" s="55" t="inlineStr">
        <is>
          <t>CONTA</t>
        </is>
      </c>
      <c r="J899" s="136">
        <f>DADOS_INVOC!$QI$57</f>
        <v/>
      </c>
      <c r="K899" s="16" t="n"/>
      <c r="L899" s="16" t="n"/>
      <c r="M899" s="17" t="n"/>
      <c r="N899" s="125" t="n"/>
      <c r="O899" s="55" t="inlineStr">
        <is>
          <t>CONTA</t>
        </is>
      </c>
      <c r="P899" s="136">
        <f>DADOS_INVOC!$QI$58</f>
        <v/>
      </c>
      <c r="Q899" s="16" t="n"/>
      <c r="R899" s="16" t="n"/>
      <c r="S899" s="17" t="n"/>
      <c r="T899" s="125" t="n"/>
      <c r="U899" s="55" t="inlineStr">
        <is>
          <t>CONTA</t>
        </is>
      </c>
      <c r="V899" s="136">
        <f>DADOS_INVOC!$QI$59</f>
        <v/>
      </c>
      <c r="W899" s="16" t="n"/>
      <c r="X899" s="16" t="n"/>
      <c r="Y899" s="17" t="n"/>
      <c r="Z899" s="125" t="n"/>
      <c r="AB899" s="55" t="inlineStr">
        <is>
          <t>CONTA</t>
        </is>
      </c>
      <c r="AC899" s="136">
        <f>DADOS_INVOC!$QI$135</f>
        <v/>
      </c>
      <c r="AD899" s="16" t="n"/>
      <c r="AE899" s="16" t="n"/>
      <c r="AF899" s="17" t="n"/>
      <c r="AG899" s="125" t="n"/>
      <c r="AH899" s="55" t="inlineStr">
        <is>
          <t>CONTA</t>
        </is>
      </c>
      <c r="AI899" s="136">
        <f>DADOS_INVOC!$QI$136</f>
        <v/>
      </c>
      <c r="AJ899" s="16" t="n"/>
      <c r="AK899" s="16" t="n"/>
      <c r="AL899" s="17" t="n"/>
      <c r="AM899" s="125" t="n"/>
      <c r="AN899" s="55" t="inlineStr">
        <is>
          <t>CONTA</t>
        </is>
      </c>
      <c r="AO899" s="136">
        <f>DADOS_INVOC!$QI$137</f>
        <v/>
      </c>
      <c r="AP899" s="16" t="n"/>
      <c r="AQ899" s="16" t="n"/>
      <c r="AR899" s="17" t="n"/>
      <c r="AS899" s="125" t="n"/>
    </row>
    <row r="900" hidden="1" outlineLevel="3">
      <c r="A900" s="8" t="n"/>
      <c r="B900" s="14" t="n"/>
      <c r="C900" s="125" t="n"/>
      <c r="D900" s="125" t="n"/>
      <c r="E900" s="125" t="n"/>
      <c r="F900" s="125" t="n"/>
      <c r="G900" s="125" t="n"/>
      <c r="I900" s="55" t="inlineStr">
        <is>
          <t>AMPLIAR</t>
        </is>
      </c>
      <c r="J900" s="136">
        <f>DADOS_INVOC!$QJ$57</f>
        <v/>
      </c>
      <c r="K900" s="19" t="n"/>
      <c r="L900" s="19" t="n"/>
      <c r="M900" s="20" t="n"/>
      <c r="N900" s="125" t="n"/>
      <c r="O900" s="55" t="inlineStr">
        <is>
          <t>AMPLIAR</t>
        </is>
      </c>
      <c r="P900" s="136">
        <f>DADOS_INVOC!$QJ$58</f>
        <v/>
      </c>
      <c r="Q900" s="19" t="n"/>
      <c r="R900" s="19" t="n"/>
      <c r="S900" s="20" t="n"/>
      <c r="T900" s="125" t="n"/>
      <c r="U900" s="55" t="inlineStr">
        <is>
          <t>AMPLIAR</t>
        </is>
      </c>
      <c r="V900" s="136">
        <f>DADOS_INVOC!$QJ$59</f>
        <v/>
      </c>
      <c r="W900" s="19" t="n"/>
      <c r="X900" s="19" t="n"/>
      <c r="Y900" s="20" t="n"/>
      <c r="Z900" s="125" t="n"/>
      <c r="AB900" s="55" t="inlineStr">
        <is>
          <t>AMPLIAR</t>
        </is>
      </c>
      <c r="AC900" s="136">
        <f>DADOS_INVOC!$QJ$135</f>
        <v/>
      </c>
      <c r="AD900" s="19" t="n"/>
      <c r="AE900" s="19" t="n"/>
      <c r="AF900" s="20" t="n"/>
      <c r="AG900" s="125" t="n"/>
      <c r="AH900" s="55" t="inlineStr">
        <is>
          <t>AMPLIAR</t>
        </is>
      </c>
      <c r="AI900" s="136">
        <f>DADOS_INVOC!$QJ$136</f>
        <v/>
      </c>
      <c r="AJ900" s="19" t="n"/>
      <c r="AK900" s="19" t="n"/>
      <c r="AL900" s="20" t="n"/>
      <c r="AM900" s="125" t="n"/>
      <c r="AN900" s="55" t="inlineStr">
        <is>
          <t>AMPLIAR</t>
        </is>
      </c>
      <c r="AO900" s="136">
        <f>DADOS_INVOC!$QJ$137</f>
        <v/>
      </c>
      <c r="AP900" s="19" t="n"/>
      <c r="AQ900" s="19" t="n"/>
      <c r="AR900" s="20" t="n"/>
      <c r="AS900" s="125" t="n"/>
    </row>
    <row r="901" hidden="1" outlineLevel="3">
      <c r="A901" s="8" t="n"/>
      <c r="B901" s="14" t="n"/>
      <c r="C901" s="125" t="n"/>
      <c r="D901" s="125" t="n"/>
      <c r="E901" s="125" t="n"/>
      <c r="F901" s="125" t="n"/>
      <c r="G901" s="125" t="n"/>
      <c r="I901" s="129" t="n"/>
      <c r="J901" s="23" t="n"/>
      <c r="K901" s="24" t="n"/>
      <c r="L901" s="24" t="n"/>
      <c r="M901" s="25" t="n"/>
      <c r="N901" s="125" t="n"/>
      <c r="O901" s="129" t="n"/>
      <c r="P901" s="23" t="n"/>
      <c r="Q901" s="24" t="n"/>
      <c r="R901" s="24" t="n"/>
      <c r="S901" s="25" t="n"/>
      <c r="T901" s="125" t="n"/>
      <c r="U901" s="129" t="n"/>
      <c r="V901" s="23" t="n"/>
      <c r="W901" s="24" t="n"/>
      <c r="X901" s="24" t="n"/>
      <c r="Y901" s="25" t="n"/>
      <c r="Z901" s="125" t="n"/>
      <c r="AB901" s="129" t="n"/>
      <c r="AC901" s="23" t="n"/>
      <c r="AD901" s="24" t="n"/>
      <c r="AE901" s="24" t="n"/>
      <c r="AF901" s="25" t="n"/>
      <c r="AG901" s="125" t="n"/>
      <c r="AH901" s="129" t="n"/>
      <c r="AI901" s="23" t="n"/>
      <c r="AJ901" s="24" t="n"/>
      <c r="AK901" s="24" t="n"/>
      <c r="AL901" s="25" t="n"/>
      <c r="AM901" s="125" t="n"/>
      <c r="AN901" s="129" t="n"/>
      <c r="AO901" s="23" t="n"/>
      <c r="AP901" s="24" t="n"/>
      <c r="AQ901" s="24" t="n"/>
      <c r="AR901" s="25" t="n"/>
      <c r="AS901" s="125" t="n"/>
    </row>
    <row r="902" hidden="1" outlineLevel="3">
      <c r="A902" s="8" t="n"/>
      <c r="B902" s="14" t="n"/>
      <c r="C902" s="125" t="n"/>
      <c r="D902" s="125" t="n"/>
      <c r="E902" s="125" t="n"/>
      <c r="F902" s="125" t="n"/>
      <c r="G902" s="125" t="n"/>
      <c r="I902" s="136">
        <f>DADOS_INVOC!$PW$57</f>
        <v/>
      </c>
      <c r="J902" s="19" t="n"/>
      <c r="K902" s="19" t="n"/>
      <c r="L902" s="19" t="n"/>
      <c r="M902" s="20" t="n"/>
      <c r="N902" s="125" t="n"/>
      <c r="O902" s="136">
        <f>DADOS_INVOC!$PW$58</f>
        <v/>
      </c>
      <c r="P902" s="19" t="n"/>
      <c r="Q902" s="19" t="n"/>
      <c r="R902" s="19" t="n"/>
      <c r="S902" s="20" t="n"/>
      <c r="T902" s="125" t="n"/>
      <c r="U902" s="136">
        <f>DADOS_INVOC!$PW$59</f>
        <v/>
      </c>
      <c r="V902" s="19" t="n"/>
      <c r="W902" s="19" t="n"/>
      <c r="X902" s="19" t="n"/>
      <c r="Y902" s="20" t="n"/>
      <c r="Z902" s="125" t="n"/>
      <c r="AB902" s="136">
        <f>DADOS_INVOC!$PW$135</f>
        <v/>
      </c>
      <c r="AC902" s="19" t="n"/>
      <c r="AD902" s="19" t="n"/>
      <c r="AE902" s="19" t="n"/>
      <c r="AF902" s="20" t="n"/>
      <c r="AG902" s="125" t="n"/>
      <c r="AH902" s="136">
        <f>DADOS_INVOC!$PW$136</f>
        <v/>
      </c>
      <c r="AI902" s="19" t="n"/>
      <c r="AJ902" s="19" t="n"/>
      <c r="AK902" s="19" t="n"/>
      <c r="AL902" s="20" t="n"/>
      <c r="AM902" s="125" t="n"/>
      <c r="AN902" s="136">
        <f>DADOS_INVOC!$PW$137</f>
        <v/>
      </c>
      <c r="AO902" s="19" t="n"/>
      <c r="AP902" s="19" t="n"/>
      <c r="AQ902" s="19" t="n"/>
      <c r="AR902" s="20" t="n"/>
      <c r="AS902" s="125" t="n"/>
    </row>
    <row r="903" hidden="1" outlineLevel="3">
      <c r="A903" s="8" t="n"/>
      <c r="B903" s="14" t="n"/>
      <c r="C903" s="125" t="n"/>
      <c r="D903" s="125" t="n"/>
      <c r="E903" s="125" t="n"/>
      <c r="F903" s="125" t="n"/>
      <c r="G903" s="125" t="n"/>
      <c r="I903" s="23" t="n"/>
      <c r="J903" s="24" t="n"/>
      <c r="K903" s="24" t="n"/>
      <c r="L903" s="24" t="n"/>
      <c r="M903" s="25" t="n"/>
      <c r="N903" s="125" t="n"/>
      <c r="O903" s="23" t="n"/>
      <c r="P903" s="24" t="n"/>
      <c r="Q903" s="24" t="n"/>
      <c r="R903" s="24" t="n"/>
      <c r="S903" s="25" t="n"/>
      <c r="T903" s="125" t="n"/>
      <c r="U903" s="23" t="n"/>
      <c r="V903" s="24" t="n"/>
      <c r="W903" s="24" t="n"/>
      <c r="X903" s="24" t="n"/>
      <c r="Y903" s="25" t="n"/>
      <c r="Z903" s="125" t="n"/>
      <c r="AB903" s="23" t="n"/>
      <c r="AC903" s="24" t="n"/>
      <c r="AD903" s="24" t="n"/>
      <c r="AE903" s="24" t="n"/>
      <c r="AF903" s="25" t="n"/>
      <c r="AG903" s="125" t="n"/>
      <c r="AH903" s="23" t="n"/>
      <c r="AI903" s="24" t="n"/>
      <c r="AJ903" s="24" t="n"/>
      <c r="AK903" s="24" t="n"/>
      <c r="AL903" s="25" t="n"/>
      <c r="AM903" s="125" t="n"/>
      <c r="AN903" s="23" t="n"/>
      <c r="AO903" s="24" t="n"/>
      <c r="AP903" s="24" t="n"/>
      <c r="AQ903" s="24" t="n"/>
      <c r="AR903" s="25" t="n"/>
      <c r="AS903" s="125" t="n"/>
    </row>
    <row r="904" hidden="1" outlineLevel="2">
      <c r="A904" s="8" t="n"/>
      <c r="B904" s="14" t="n"/>
      <c r="C904" s="125" t="n"/>
      <c r="D904" s="125" t="n"/>
      <c r="E904" s="125" t="n"/>
      <c r="F904" s="125" t="n"/>
      <c r="G904" s="125" t="n"/>
      <c r="I904" s="125" t="n"/>
      <c r="J904" s="125" t="n"/>
      <c r="K904" s="125" t="n"/>
      <c r="L904" s="125" t="n"/>
      <c r="M904" s="125" t="n"/>
      <c r="N904" s="125" t="n"/>
      <c r="O904" s="125" t="n"/>
      <c r="P904" s="125" t="n"/>
      <c r="Q904" s="125" t="n"/>
      <c r="R904" s="125" t="n"/>
      <c r="S904" s="125" t="n"/>
      <c r="T904" s="125" t="n"/>
      <c r="U904" s="125" t="n"/>
      <c r="V904" s="125" t="n"/>
      <c r="W904" s="125" t="n"/>
      <c r="X904" s="125" t="n"/>
      <c r="Y904" s="125" t="n"/>
      <c r="Z904" s="125" t="n"/>
      <c r="AB904" s="125" t="n"/>
      <c r="AC904" s="125" t="n"/>
      <c r="AD904" s="125" t="n"/>
      <c r="AE904" s="125" t="n"/>
      <c r="AF904" s="125" t="n"/>
      <c r="AG904" s="125" t="n"/>
      <c r="AH904" s="125" t="n"/>
      <c r="AI904" s="125" t="n"/>
      <c r="AJ904" s="125" t="n"/>
      <c r="AK904" s="125" t="n"/>
      <c r="AL904" s="125" t="n"/>
      <c r="AM904" s="125" t="n"/>
      <c r="AN904" s="125" t="n"/>
      <c r="AO904" s="125" t="n"/>
      <c r="AP904" s="125" t="n"/>
      <c r="AQ904" s="125" t="n"/>
      <c r="AR904" s="125" t="n"/>
      <c r="AS904" s="125" t="n"/>
    </row>
    <row r="905" hidden="1" outlineLevel="2">
      <c r="A905" s="8" t="n"/>
      <c r="B905" s="14" t="n"/>
      <c r="C905" s="125" t="n"/>
      <c r="D905" s="125" t="n"/>
      <c r="E905" s="125" t="n"/>
      <c r="F905" s="125" t="n"/>
      <c r="G905" s="125" t="n"/>
      <c r="I905" s="55">
        <f>DADOS_INVOC!$PX$60</f>
        <v/>
      </c>
      <c r="J905" s="16" t="n"/>
      <c r="K905" s="16" t="n"/>
      <c r="L905" s="16" t="n"/>
      <c r="M905" s="17" t="n"/>
      <c r="N905" s="125" t="n"/>
      <c r="O905" s="55">
        <f>DADOS_INVOC!$PX$61</f>
        <v/>
      </c>
      <c r="P905" s="16" t="n"/>
      <c r="Q905" s="16" t="n"/>
      <c r="R905" s="16" t="n"/>
      <c r="S905" s="17" t="n"/>
      <c r="T905" s="125" t="n"/>
      <c r="U905" s="55">
        <f>DADOS_INVOC!$PX$62</f>
        <v/>
      </c>
      <c r="V905" s="16" t="n"/>
      <c r="W905" s="16" t="n"/>
      <c r="X905" s="16" t="n"/>
      <c r="Y905" s="17" t="n"/>
      <c r="Z905" s="125" t="n"/>
      <c r="AB905" s="55">
        <f>DADOS_INVOC!$PX$138</f>
        <v/>
      </c>
      <c r="AC905" s="16" t="n"/>
      <c r="AD905" s="16" t="n"/>
      <c r="AE905" s="16" t="n"/>
      <c r="AF905" s="17" t="n"/>
      <c r="AG905" s="125" t="n"/>
      <c r="AH905" s="55">
        <f>DADOS_INVOC!$PX$139</f>
        <v/>
      </c>
      <c r="AI905" s="16" t="n"/>
      <c r="AJ905" s="16" t="n"/>
      <c r="AK905" s="16" t="n"/>
      <c r="AL905" s="17" t="n"/>
      <c r="AM905" s="125" t="n"/>
      <c r="AN905" s="55">
        <f>DADOS_INVOC!$PX$140</f>
        <v/>
      </c>
      <c r="AO905" s="16" t="n"/>
      <c r="AP905" s="16" t="n"/>
      <c r="AQ905" s="16" t="n"/>
      <c r="AR905" s="17" t="n"/>
      <c r="AS905" s="125" t="n"/>
    </row>
    <row r="906" hidden="1" outlineLevel="2">
      <c r="A906" s="8" t="n"/>
      <c r="B906" s="14" t="n"/>
      <c r="C906" s="125" t="n"/>
      <c r="D906" s="125" t="n"/>
      <c r="E906" s="125" t="n"/>
      <c r="F906" s="125" t="n"/>
      <c r="G906" s="125" t="n"/>
      <c r="I906" s="131" t="n">
        <v>1</v>
      </c>
      <c r="J906" s="120" t="n"/>
      <c r="K906" s="16" t="n"/>
      <c r="L906" s="17" t="n"/>
      <c r="M906" s="132">
        <f>DADOS_INVOC!$PV$60</f>
        <v/>
      </c>
      <c r="N906" s="125" t="n"/>
      <c r="O906" s="131" t="n">
        <v>1</v>
      </c>
      <c r="P906" s="120" t="n"/>
      <c r="Q906" s="16" t="n"/>
      <c r="R906" s="17" t="n"/>
      <c r="S906" s="132">
        <f>DADOS_INVOC!$PV$61</f>
        <v/>
      </c>
      <c r="T906" s="125" t="n"/>
      <c r="U906" s="131" t="n">
        <v>1</v>
      </c>
      <c r="V906" s="120" t="n"/>
      <c r="W906" s="16" t="n"/>
      <c r="X906" s="17" t="n"/>
      <c r="Y906" s="132">
        <f>DADOS_INVOC!$PV$62</f>
        <v/>
      </c>
      <c r="Z906" s="125" t="n"/>
      <c r="AB906" s="131" t="n">
        <v>1</v>
      </c>
      <c r="AC906" s="120" t="n"/>
      <c r="AD906" s="16" t="n"/>
      <c r="AE906" s="17" t="n"/>
      <c r="AF906" s="132">
        <f>DADOS_INVOC!$PV$138</f>
        <v/>
      </c>
      <c r="AG906" s="125" t="n"/>
      <c r="AH906" s="131" t="n">
        <v>1</v>
      </c>
      <c r="AI906" s="120" t="n"/>
      <c r="AJ906" s="16" t="n"/>
      <c r="AK906" s="17" t="n"/>
      <c r="AL906" s="132">
        <f>DADOS_INVOC!$PV$139</f>
        <v/>
      </c>
      <c r="AM906" s="125" t="n"/>
      <c r="AN906" s="131" t="n">
        <v>1</v>
      </c>
      <c r="AO906" s="120" t="n"/>
      <c r="AP906" s="16" t="n"/>
      <c r="AQ906" s="17" t="n"/>
      <c r="AR906" s="132">
        <f>DADOS_INVOC!$PV$140</f>
        <v/>
      </c>
      <c r="AS906" s="125" t="n"/>
    </row>
    <row r="907" hidden="1" outlineLevel="3">
      <c r="A907" s="8" t="n"/>
      <c r="B907" s="14" t="n"/>
      <c r="C907" s="125" t="n"/>
      <c r="D907" s="125" t="n"/>
      <c r="E907" s="125" t="n"/>
      <c r="F907" s="125" t="n"/>
      <c r="G907" s="125" t="n"/>
      <c r="I907" s="55" t="inlineStr">
        <is>
          <t>COMO É</t>
        </is>
      </c>
      <c r="J907" s="16" t="n"/>
      <c r="K907" s="16" t="n"/>
      <c r="L907" s="16" t="n"/>
      <c r="M907" s="17" t="n"/>
      <c r="N907" s="125" t="n"/>
      <c r="O907" s="55" t="inlineStr">
        <is>
          <t>COMO É</t>
        </is>
      </c>
      <c r="P907" s="16" t="n"/>
      <c r="Q907" s="16" t="n"/>
      <c r="R907" s="16" t="n"/>
      <c r="S907" s="17" t="n"/>
      <c r="T907" s="125" t="n"/>
      <c r="U907" s="55" t="inlineStr">
        <is>
          <t>COMO É</t>
        </is>
      </c>
      <c r="V907" s="16" t="n"/>
      <c r="W907" s="16" t="n"/>
      <c r="X907" s="16" t="n"/>
      <c r="Y907" s="17" t="n"/>
      <c r="Z907" s="125" t="n"/>
      <c r="AB907" s="55" t="inlineStr">
        <is>
          <t>COMO É</t>
        </is>
      </c>
      <c r="AC907" s="16" t="n"/>
      <c r="AD907" s="16" t="n"/>
      <c r="AE907" s="16" t="n"/>
      <c r="AF907" s="17" t="n"/>
      <c r="AG907" s="125" t="n"/>
      <c r="AH907" s="55" t="inlineStr">
        <is>
          <t>COMO É</t>
        </is>
      </c>
      <c r="AI907" s="16" t="n"/>
      <c r="AJ907" s="16" t="n"/>
      <c r="AK907" s="16" t="n"/>
      <c r="AL907" s="17" t="n"/>
      <c r="AM907" s="125" t="n"/>
      <c r="AN907" s="55" t="inlineStr">
        <is>
          <t>COMO É</t>
        </is>
      </c>
      <c r="AO907" s="16" t="n"/>
      <c r="AP907" s="16" t="n"/>
      <c r="AQ907" s="16" t="n"/>
      <c r="AR907" s="17" t="n"/>
      <c r="AS907" s="125" t="n"/>
    </row>
    <row r="908" hidden="1" outlineLevel="3">
      <c r="A908" s="8" t="n"/>
      <c r="B908" s="14" t="n"/>
      <c r="C908" s="125" t="n"/>
      <c r="D908" s="125" t="n"/>
      <c r="E908" s="125" t="n"/>
      <c r="F908" s="125" t="n"/>
      <c r="G908" s="125" t="n"/>
      <c r="I908" s="121" t="n"/>
      <c r="J908" s="19" t="n"/>
      <c r="K908" s="19" t="n"/>
      <c r="L908" s="19" t="n"/>
      <c r="M908" s="20" t="n"/>
      <c r="N908" s="125" t="n"/>
      <c r="O908" s="121" t="n"/>
      <c r="P908" s="19" t="n"/>
      <c r="Q908" s="19" t="n"/>
      <c r="R908" s="19" t="n"/>
      <c r="S908" s="20" t="n"/>
      <c r="T908" s="125" t="n"/>
      <c r="U908" s="121" t="n"/>
      <c r="V908" s="19" t="n"/>
      <c r="W908" s="19" t="n"/>
      <c r="X908" s="19" t="n"/>
      <c r="Y908" s="20" t="n"/>
      <c r="Z908" s="125" t="n"/>
      <c r="AB908" s="121" t="n"/>
      <c r="AC908" s="19" t="n"/>
      <c r="AD908" s="19" t="n"/>
      <c r="AE908" s="19" t="n"/>
      <c r="AF908" s="20" t="n"/>
      <c r="AG908" s="125" t="n"/>
      <c r="AH908" s="121" t="n"/>
      <c r="AI908" s="19" t="n"/>
      <c r="AJ908" s="19" t="n"/>
      <c r="AK908" s="19" t="n"/>
      <c r="AL908" s="20" t="n"/>
      <c r="AM908" s="125" t="n"/>
      <c r="AN908" s="121" t="n"/>
      <c r="AO908" s="19" t="n"/>
      <c r="AP908" s="19" t="n"/>
      <c r="AQ908" s="19" t="n"/>
      <c r="AR908" s="20" t="n"/>
      <c r="AS908" s="125" t="n"/>
    </row>
    <row r="909" hidden="1" outlineLevel="3">
      <c r="A909" s="8" t="n"/>
      <c r="B909" s="14" t="n"/>
      <c r="C909" s="125" t="n"/>
      <c r="D909" s="125" t="n"/>
      <c r="E909" s="125" t="n"/>
      <c r="F909" s="125" t="n"/>
      <c r="G909" s="125" t="n"/>
      <c r="I909" s="21" t="n"/>
      <c r="M909" s="22" t="n"/>
      <c r="N909" s="125" t="n"/>
      <c r="O909" s="21" t="n"/>
      <c r="S909" s="22" t="n"/>
      <c r="T909" s="125" t="n"/>
      <c r="U909" s="21" t="n"/>
      <c r="Y909" s="22" t="n"/>
      <c r="Z909" s="125" t="n"/>
      <c r="AB909" s="21" t="n"/>
      <c r="AF909" s="22" t="n"/>
      <c r="AG909" s="125" t="n"/>
      <c r="AH909" s="21" t="n"/>
      <c r="AL909" s="22" t="n"/>
      <c r="AM909" s="125" t="n"/>
      <c r="AN909" s="21" t="n"/>
      <c r="AR909" s="22" t="n"/>
      <c r="AS909" s="125" t="n"/>
    </row>
    <row r="910" hidden="1" outlineLevel="3">
      <c r="A910" s="8" t="n"/>
      <c r="B910" s="14" t="n"/>
      <c r="C910" s="125" t="n"/>
      <c r="D910" s="125" t="n"/>
      <c r="E910" s="125" t="n"/>
      <c r="F910" s="125" t="n"/>
      <c r="G910" s="125" t="n"/>
      <c r="I910" s="23" t="n"/>
      <c r="J910" s="24" t="n"/>
      <c r="K910" s="24" t="n"/>
      <c r="L910" s="24" t="n"/>
      <c r="M910" s="25" t="n"/>
      <c r="N910" s="125" t="n"/>
      <c r="O910" s="23" t="n"/>
      <c r="P910" s="24" t="n"/>
      <c r="Q910" s="24" t="n"/>
      <c r="R910" s="24" t="n"/>
      <c r="S910" s="25" t="n"/>
      <c r="T910" s="125" t="n"/>
      <c r="U910" s="23" t="n"/>
      <c r="V910" s="24" t="n"/>
      <c r="W910" s="24" t="n"/>
      <c r="X910" s="24" t="n"/>
      <c r="Y910" s="25" t="n"/>
      <c r="Z910" s="125" t="n"/>
      <c r="AB910" s="23" t="n"/>
      <c r="AC910" s="24" t="n"/>
      <c r="AD910" s="24" t="n"/>
      <c r="AE910" s="24" t="n"/>
      <c r="AF910" s="25" t="n"/>
      <c r="AG910" s="125" t="n"/>
      <c r="AH910" s="23" t="n"/>
      <c r="AI910" s="24" t="n"/>
      <c r="AJ910" s="24" t="n"/>
      <c r="AK910" s="24" t="n"/>
      <c r="AL910" s="25" t="n"/>
      <c r="AM910" s="125" t="n"/>
      <c r="AN910" s="23" t="n"/>
      <c r="AO910" s="24" t="n"/>
      <c r="AP910" s="24" t="n"/>
      <c r="AQ910" s="24" t="n"/>
      <c r="AR910" s="25" t="n"/>
      <c r="AS910" s="125" t="n"/>
    </row>
    <row r="911" hidden="1" outlineLevel="2">
      <c r="A911" s="8" t="n"/>
      <c r="B911" s="14" t="n"/>
      <c r="C911" s="125" t="n"/>
      <c r="D911" s="125" t="n"/>
      <c r="E911" s="125" t="n"/>
      <c r="F911" s="125" t="n"/>
      <c r="G911" s="125" t="n"/>
      <c r="I911" s="89" t="inlineStr">
        <is>
          <t>Projétil</t>
        </is>
      </c>
      <c r="J911" s="17" t="n"/>
      <c r="K911" s="68">
        <f>DADOS_INVOC!$QC$60</f>
        <v/>
      </c>
      <c r="L911" s="17" t="n"/>
      <c r="M911" s="68">
        <f>DADOS_INVOC!$PY$60</f>
        <v/>
      </c>
      <c r="N911" s="125" t="n"/>
      <c r="O911" s="89" t="inlineStr">
        <is>
          <t>Projétil</t>
        </is>
      </c>
      <c r="P911" s="17" t="n"/>
      <c r="Q911" s="68">
        <f>DADOS_INVOC!$QC$61</f>
        <v/>
      </c>
      <c r="R911" s="17" t="n"/>
      <c r="S911" s="68">
        <f>DADOS_INVOC!$PY$61</f>
        <v/>
      </c>
      <c r="T911" s="125" t="n"/>
      <c r="U911" s="89" t="inlineStr">
        <is>
          <t>Projétil</t>
        </is>
      </c>
      <c r="V911" s="17" t="n"/>
      <c r="W911" s="68">
        <f>DADOS_INVOC!$QC$62</f>
        <v/>
      </c>
      <c r="X911" s="17" t="n"/>
      <c r="Y911" s="68">
        <f>DADOS_INVOC!$PY$62</f>
        <v/>
      </c>
      <c r="Z911" s="125" t="n"/>
      <c r="AB911" s="89" t="inlineStr">
        <is>
          <t>Projétil</t>
        </is>
      </c>
      <c r="AC911" s="17" t="n"/>
      <c r="AD911" s="68">
        <f>DADOS_INVOC!$QC$138</f>
        <v/>
      </c>
      <c r="AE911" s="17" t="n"/>
      <c r="AF911" s="68">
        <f>DADOS_INVOC!$PY$138</f>
        <v/>
      </c>
      <c r="AG911" s="125" t="n"/>
      <c r="AH911" s="89" t="inlineStr">
        <is>
          <t>Projétil</t>
        </is>
      </c>
      <c r="AI911" s="17" t="n"/>
      <c r="AJ911" s="68">
        <f>DADOS_INVOC!$QC$139</f>
        <v/>
      </c>
      <c r="AK911" s="17" t="n"/>
      <c r="AL911" s="68">
        <f>DADOS_INVOC!$PY$139</f>
        <v/>
      </c>
      <c r="AM911" s="125" t="n"/>
      <c r="AN911" s="89" t="inlineStr">
        <is>
          <t>Projétil</t>
        </is>
      </c>
      <c r="AO911" s="17" t="n"/>
      <c r="AP911" s="68">
        <f>DADOS_INVOC!$QC$140</f>
        <v/>
      </c>
      <c r="AQ911" s="17" t="n"/>
      <c r="AR911" s="68">
        <f>DADOS_INVOC!$PY$140</f>
        <v/>
      </c>
      <c r="AS911" s="125" t="n"/>
    </row>
    <row r="912" hidden="1" outlineLevel="2">
      <c r="A912" s="8" t="n"/>
      <c r="B912" s="14" t="n"/>
      <c r="C912" s="125" t="n"/>
      <c r="D912" s="125" t="n"/>
      <c r="E912" s="125" t="n"/>
      <c r="F912" s="125" t="n"/>
      <c r="G912" s="125" t="n"/>
      <c r="I912" s="89" t="n"/>
      <c r="J912" s="17" t="n"/>
      <c r="K912" s="89" t="n"/>
      <c r="L912" s="16" t="n"/>
      <c r="M912" s="17" t="n"/>
      <c r="N912" s="125" t="n"/>
      <c r="O912" s="89" t="n"/>
      <c r="P912" s="17" t="n"/>
      <c r="Q912" s="89" t="n"/>
      <c r="R912" s="16" t="n"/>
      <c r="S912" s="17" t="n"/>
      <c r="T912" s="125" t="n"/>
      <c r="U912" s="89" t="n"/>
      <c r="V912" s="17" t="n"/>
      <c r="W912" s="89" t="n"/>
      <c r="X912" s="16" t="n"/>
      <c r="Y912" s="17" t="n"/>
      <c r="Z912" s="125" t="n"/>
      <c r="AB912" s="89" t="n"/>
      <c r="AC912" s="17" t="n"/>
      <c r="AD912" s="89" t="n"/>
      <c r="AE912" s="16" t="n"/>
      <c r="AF912" s="17" t="n"/>
      <c r="AG912" s="125" t="n"/>
      <c r="AH912" s="89" t="n"/>
      <c r="AI912" s="17" t="n"/>
      <c r="AJ912" s="89" t="n"/>
      <c r="AK912" s="16" t="n"/>
      <c r="AL912" s="17" t="n"/>
      <c r="AM912" s="125" t="n"/>
      <c r="AN912" s="89" t="n"/>
      <c r="AO912" s="17" t="n"/>
      <c r="AP912" s="89" t="n"/>
      <c r="AQ912" s="16" t="n"/>
      <c r="AR912" s="17" t="n"/>
      <c r="AS912" s="125" t="n"/>
    </row>
    <row r="913" hidden="1" outlineLevel="2">
      <c r="A913" s="8" t="n"/>
      <c r="B913" s="14" t="n"/>
      <c r="C913" s="125" t="n"/>
      <c r="D913" s="125" t="n"/>
      <c r="E913" s="125" t="n"/>
      <c r="F913" s="125" t="n"/>
      <c r="G913" s="125" t="n"/>
      <c r="I913" s="89">
        <f>DADOS_INVOC!$PZ$60</f>
        <v/>
      </c>
      <c r="J913" s="17" t="n"/>
      <c r="K913" s="89">
        <f>DADOS_INVOC!$QB$60</f>
        <v/>
      </c>
      <c r="L913" s="16" t="n"/>
      <c r="M913" s="17" t="n"/>
      <c r="N913" s="125" t="n"/>
      <c r="O913" s="89">
        <f>DADOS_INVOC!$PZ$61</f>
        <v/>
      </c>
      <c r="P913" s="17" t="n"/>
      <c r="Q913" s="89">
        <f>DADOS_INVOC!$QB$61</f>
        <v/>
      </c>
      <c r="R913" s="16" t="n"/>
      <c r="S913" s="17" t="n"/>
      <c r="T913" s="125" t="n"/>
      <c r="U913" s="89">
        <f>DADOS_INVOC!$PZ$62</f>
        <v/>
      </c>
      <c r="V913" s="17" t="n"/>
      <c r="W913" s="89">
        <f>DADOS_INVOC!$QB$62</f>
        <v/>
      </c>
      <c r="X913" s="16" t="n"/>
      <c r="Y913" s="17" t="n"/>
      <c r="Z913" s="125" t="n"/>
      <c r="AB913" s="89">
        <f>DADOS_INVOC!$PZ$138</f>
        <v/>
      </c>
      <c r="AC913" s="17" t="n"/>
      <c r="AD913" s="89">
        <f>DADOS_INVOC!$QB$138</f>
        <v/>
      </c>
      <c r="AE913" s="16" t="n"/>
      <c r="AF913" s="17" t="n"/>
      <c r="AG913" s="125" t="n"/>
      <c r="AH913" s="89">
        <f>DADOS_INVOC!$PZ$139</f>
        <v/>
      </c>
      <c r="AI913" s="17" t="n"/>
      <c r="AJ913" s="89">
        <f>DADOS_INVOC!$QB$139</f>
        <v/>
      </c>
      <c r="AK913" s="16" t="n"/>
      <c r="AL913" s="17" t="n"/>
      <c r="AM913" s="125" t="n"/>
      <c r="AN913" s="89">
        <f>DADOS_INVOC!$PZ$140</f>
        <v/>
      </c>
      <c r="AO913" s="17" t="n"/>
      <c r="AP913" s="89">
        <f>DADOS_INVOC!$QB$140</f>
        <v/>
      </c>
      <c r="AQ913" s="16" t="n"/>
      <c r="AR913" s="17" t="n"/>
      <c r="AS913" s="125" t="n"/>
    </row>
    <row r="914" hidden="1" outlineLevel="2">
      <c r="A914" s="8" t="n"/>
      <c r="B914" s="14" t="n"/>
      <c r="C914" s="125" t="n"/>
      <c r="D914" s="125" t="n"/>
      <c r="E914" s="125" t="n"/>
      <c r="F914" s="125" t="n"/>
      <c r="G914" s="125" t="n"/>
      <c r="I914" s="133">
        <f>DADOS_INVOC!$QH$60</f>
        <v/>
      </c>
      <c r="J914" s="16" t="n"/>
      <c r="K914" s="16" t="n"/>
      <c r="L914" s="16" t="n"/>
      <c r="M914" s="17" t="n"/>
      <c r="N914" s="125" t="n"/>
      <c r="O914" s="133">
        <f>DADOS_INVOC!$QH$61</f>
        <v/>
      </c>
      <c r="P914" s="16" t="n"/>
      <c r="Q914" s="16" t="n"/>
      <c r="R914" s="16" t="n"/>
      <c r="S914" s="17" t="n"/>
      <c r="T914" s="125" t="n"/>
      <c r="U914" s="133">
        <f>DADOS_INVOC!$QH$62</f>
        <v/>
      </c>
      <c r="V914" s="16" t="n"/>
      <c r="W914" s="16" t="n"/>
      <c r="X914" s="16" t="n"/>
      <c r="Y914" s="17" t="n"/>
      <c r="Z914" s="125" t="n"/>
      <c r="AB914" s="133">
        <f>DADOS_INVOC!$QH$138</f>
        <v/>
      </c>
      <c r="AC914" s="16" t="n"/>
      <c r="AD914" s="16" t="n"/>
      <c r="AE914" s="16" t="n"/>
      <c r="AF914" s="17" t="n"/>
      <c r="AG914" s="125" t="n"/>
      <c r="AH914" s="133">
        <f>DADOS_INVOC!$QH$139</f>
        <v/>
      </c>
      <c r="AI914" s="16" t="n"/>
      <c r="AJ914" s="16" t="n"/>
      <c r="AK914" s="16" t="n"/>
      <c r="AL914" s="17" t="n"/>
      <c r="AM914" s="125" t="n"/>
      <c r="AN914" s="133">
        <f>DADOS_INVOC!$QH$140</f>
        <v/>
      </c>
      <c r="AO914" s="16" t="n"/>
      <c r="AP914" s="16" t="n"/>
      <c r="AQ914" s="16" t="n"/>
      <c r="AR914" s="17" t="n"/>
      <c r="AS914" s="125" t="n"/>
    </row>
    <row r="915" hidden="1" outlineLevel="3">
      <c r="A915" s="8" t="n"/>
      <c r="B915" s="14" t="n"/>
      <c r="C915" s="125" t="n"/>
      <c r="D915" s="125" t="n"/>
      <c r="E915" s="125" t="n"/>
      <c r="F915" s="125" t="n"/>
      <c r="G915" s="125" t="n"/>
      <c r="I915" s="55" t="inlineStr">
        <is>
          <t>MELHORIAS</t>
        </is>
      </c>
      <c r="J915" s="134" t="n"/>
      <c r="K915" s="16" t="n"/>
      <c r="L915" s="17" t="n"/>
      <c r="M915" s="133">
        <f>DADOS_INVOC!$QK$60</f>
        <v/>
      </c>
      <c r="N915" s="125" t="n"/>
      <c r="O915" s="55" t="inlineStr">
        <is>
          <t>MELHORIAS</t>
        </is>
      </c>
      <c r="P915" s="134" t="n"/>
      <c r="Q915" s="16" t="n"/>
      <c r="R915" s="17" t="n"/>
      <c r="S915" s="133">
        <f>DADOS_INVOC!$QK$61</f>
        <v/>
      </c>
      <c r="T915" s="125" t="n"/>
      <c r="U915" s="55" t="inlineStr">
        <is>
          <t>MELHORIAS</t>
        </is>
      </c>
      <c r="V915" s="134" t="n"/>
      <c r="W915" s="16" t="n"/>
      <c r="X915" s="17" t="n"/>
      <c r="Y915" s="133">
        <f>DADOS_INVOC!$QK$62</f>
        <v/>
      </c>
      <c r="Z915" s="125" t="n"/>
      <c r="AB915" s="55" t="inlineStr">
        <is>
          <t>MELHORIAS</t>
        </is>
      </c>
      <c r="AC915" s="134" t="n"/>
      <c r="AD915" s="16" t="n"/>
      <c r="AE915" s="17" t="n"/>
      <c r="AF915" s="133">
        <f>DADOS_INVOC!$QK$138</f>
        <v/>
      </c>
      <c r="AG915" s="125" t="n"/>
      <c r="AH915" s="55" t="inlineStr">
        <is>
          <t>MELHORIAS</t>
        </is>
      </c>
      <c r="AI915" s="134" t="n"/>
      <c r="AJ915" s="16" t="n"/>
      <c r="AK915" s="17" t="n"/>
      <c r="AL915" s="133">
        <f>DADOS_INVOC!$QK$139</f>
        <v/>
      </c>
      <c r="AM915" s="125" t="n"/>
      <c r="AN915" s="55" t="inlineStr">
        <is>
          <t>MELHORIAS</t>
        </is>
      </c>
      <c r="AO915" s="134" t="n"/>
      <c r="AP915" s="16" t="n"/>
      <c r="AQ915" s="17" t="n"/>
      <c r="AR915" s="133">
        <f>DADOS_INVOC!$QK$140</f>
        <v/>
      </c>
      <c r="AS915" s="125" t="n"/>
    </row>
    <row r="916" hidden="1" outlineLevel="3">
      <c r="A916" s="8" t="n"/>
      <c r="B916" s="14" t="n"/>
      <c r="C916" s="125" t="n"/>
      <c r="D916" s="125" t="n"/>
      <c r="E916" s="125" t="n"/>
      <c r="F916" s="125" t="n"/>
      <c r="G916" s="125" t="n"/>
      <c r="I916" s="135" t="n"/>
      <c r="J916" s="134" t="n"/>
      <c r="K916" s="16" t="n"/>
      <c r="L916" s="17" t="n"/>
      <c r="M916" s="133">
        <f>DADOS_INVOC!$QL$60</f>
        <v/>
      </c>
      <c r="N916" s="125" t="n"/>
      <c r="O916" s="135" t="n"/>
      <c r="P916" s="134" t="n"/>
      <c r="Q916" s="16" t="n"/>
      <c r="R916" s="17" t="n"/>
      <c r="S916" s="133">
        <f>DADOS_INVOC!$QL$61</f>
        <v/>
      </c>
      <c r="T916" s="125" t="n"/>
      <c r="U916" s="135" t="n"/>
      <c r="V916" s="134" t="n"/>
      <c r="W916" s="16" t="n"/>
      <c r="X916" s="17" t="n"/>
      <c r="Y916" s="133">
        <f>DADOS_INVOC!$QL$62</f>
        <v/>
      </c>
      <c r="Z916" s="125" t="n"/>
      <c r="AB916" s="135" t="n"/>
      <c r="AC916" s="134" t="n"/>
      <c r="AD916" s="16" t="n"/>
      <c r="AE916" s="17" t="n"/>
      <c r="AF916" s="133">
        <f>DADOS_INVOC!$QL$138</f>
        <v/>
      </c>
      <c r="AG916" s="125" t="n"/>
      <c r="AH916" s="135" t="n"/>
      <c r="AI916" s="134" t="n"/>
      <c r="AJ916" s="16" t="n"/>
      <c r="AK916" s="17" t="n"/>
      <c r="AL916" s="133">
        <f>DADOS_INVOC!$QL$139</f>
        <v/>
      </c>
      <c r="AM916" s="125" t="n"/>
      <c r="AN916" s="135" t="n"/>
      <c r="AO916" s="134" t="n"/>
      <c r="AP916" s="16" t="n"/>
      <c r="AQ916" s="17" t="n"/>
      <c r="AR916" s="133">
        <f>DADOS_INVOC!$QL$140</f>
        <v/>
      </c>
      <c r="AS916" s="125" t="n"/>
    </row>
    <row r="917" hidden="1" outlineLevel="3">
      <c r="A917" s="8" t="n"/>
      <c r="B917" s="14" t="n"/>
      <c r="C917" s="125" t="n"/>
      <c r="D917" s="125" t="n"/>
      <c r="E917" s="125" t="n"/>
      <c r="F917" s="125" t="n"/>
      <c r="G917" s="125" t="n"/>
      <c r="I917" s="135" t="n"/>
      <c r="J917" s="134" t="n"/>
      <c r="K917" s="16" t="n"/>
      <c r="L917" s="17" t="n"/>
      <c r="M917" s="133">
        <f>DADOS_INVOC!$QM$60</f>
        <v/>
      </c>
      <c r="N917" s="125" t="n"/>
      <c r="O917" s="135" t="n"/>
      <c r="P917" s="134" t="n"/>
      <c r="Q917" s="16" t="n"/>
      <c r="R917" s="17" t="n"/>
      <c r="S917" s="133">
        <f>DADOS_INVOC!$QM$61</f>
        <v/>
      </c>
      <c r="T917" s="125" t="n"/>
      <c r="U917" s="135" t="n"/>
      <c r="V917" s="134" t="n"/>
      <c r="W917" s="16" t="n"/>
      <c r="X917" s="17" t="n"/>
      <c r="Y917" s="133">
        <f>DADOS_INVOC!$QM$62</f>
        <v/>
      </c>
      <c r="Z917" s="125" t="n"/>
      <c r="AB917" s="135" t="n"/>
      <c r="AC917" s="134" t="n"/>
      <c r="AD917" s="16" t="n"/>
      <c r="AE917" s="17" t="n"/>
      <c r="AF917" s="133">
        <f>DADOS_INVOC!$QM$138</f>
        <v/>
      </c>
      <c r="AG917" s="125" t="n"/>
      <c r="AH917" s="135" t="n"/>
      <c r="AI917" s="134" t="n"/>
      <c r="AJ917" s="16" t="n"/>
      <c r="AK917" s="17" t="n"/>
      <c r="AL917" s="133">
        <f>DADOS_INVOC!$QM$139</f>
        <v/>
      </c>
      <c r="AM917" s="125" t="n"/>
      <c r="AN917" s="135" t="n"/>
      <c r="AO917" s="134" t="n"/>
      <c r="AP917" s="16" t="n"/>
      <c r="AQ917" s="17" t="n"/>
      <c r="AR917" s="133">
        <f>DADOS_INVOC!$QM$140</f>
        <v/>
      </c>
      <c r="AS917" s="125" t="n"/>
    </row>
    <row r="918" hidden="1" outlineLevel="3">
      <c r="A918" s="8" t="n"/>
      <c r="B918" s="14" t="n"/>
      <c r="C918" s="125" t="n"/>
      <c r="D918" s="125" t="n"/>
      <c r="E918" s="125" t="n"/>
      <c r="F918" s="125" t="n"/>
      <c r="G918" s="125" t="n"/>
      <c r="I918" s="129" t="n"/>
      <c r="J918" s="134" t="n"/>
      <c r="K918" s="16" t="n"/>
      <c r="L918" s="17" t="n"/>
      <c r="M918" s="133">
        <f>DADOS_INVOC!$QN$60</f>
        <v/>
      </c>
      <c r="N918" s="125" t="n"/>
      <c r="O918" s="129" t="n"/>
      <c r="P918" s="134" t="n"/>
      <c r="Q918" s="16" t="n"/>
      <c r="R918" s="17" t="n"/>
      <c r="S918" s="133">
        <f>DADOS_INVOC!$QN$61</f>
        <v/>
      </c>
      <c r="T918" s="125" t="n"/>
      <c r="U918" s="129" t="n"/>
      <c r="V918" s="134" t="n"/>
      <c r="W918" s="16" t="n"/>
      <c r="X918" s="17" t="n"/>
      <c r="Y918" s="133">
        <f>DADOS_INVOC!$QN$62</f>
        <v/>
      </c>
      <c r="Z918" s="125" t="n"/>
      <c r="AB918" s="129" t="n"/>
      <c r="AC918" s="134" t="n"/>
      <c r="AD918" s="16" t="n"/>
      <c r="AE918" s="17" t="n"/>
      <c r="AF918" s="133">
        <f>DADOS_INVOC!$QN$138</f>
        <v/>
      </c>
      <c r="AG918" s="125" t="n"/>
      <c r="AH918" s="129" t="n"/>
      <c r="AI918" s="134" t="n"/>
      <c r="AJ918" s="16" t="n"/>
      <c r="AK918" s="17" t="n"/>
      <c r="AL918" s="133">
        <f>DADOS_INVOC!$QN$139</f>
        <v/>
      </c>
      <c r="AM918" s="125" t="n"/>
      <c r="AN918" s="129" t="n"/>
      <c r="AO918" s="134" t="n"/>
      <c r="AP918" s="16" t="n"/>
      <c r="AQ918" s="17" t="n"/>
      <c r="AR918" s="133">
        <f>DADOS_INVOC!$QN$140</f>
        <v/>
      </c>
      <c r="AS918" s="125" t="n"/>
    </row>
    <row r="919" hidden="1" outlineLevel="3">
      <c r="A919" s="8" t="n"/>
      <c r="B919" s="14" t="n"/>
      <c r="C919" s="125" t="n"/>
      <c r="D919" s="125" t="n"/>
      <c r="E919" s="125" t="n"/>
      <c r="F919" s="125" t="n"/>
      <c r="G919" s="125" t="n"/>
      <c r="I919" s="55" t="inlineStr">
        <is>
          <t>RESTRIÇÕES</t>
        </is>
      </c>
      <c r="J919" s="134" t="n"/>
      <c r="K919" s="16" t="n"/>
      <c r="L919" s="17" t="n"/>
      <c r="M919" s="133">
        <f>DADOS_INVOC!$QO$60</f>
        <v/>
      </c>
      <c r="N919" s="125" t="n"/>
      <c r="O919" s="55" t="inlineStr">
        <is>
          <t>RESTRIÇÕES</t>
        </is>
      </c>
      <c r="P919" s="134" t="n"/>
      <c r="Q919" s="16" t="n"/>
      <c r="R919" s="17" t="n"/>
      <c r="S919" s="133">
        <f>DADOS_INVOC!$QO$61</f>
        <v/>
      </c>
      <c r="T919" s="125" t="n"/>
      <c r="U919" s="55" t="inlineStr">
        <is>
          <t>RESTRIÇÕES</t>
        </is>
      </c>
      <c r="V919" s="134" t="n"/>
      <c r="W919" s="16" t="n"/>
      <c r="X919" s="17" t="n"/>
      <c r="Y919" s="133">
        <f>DADOS_INVOC!$QO$62</f>
        <v/>
      </c>
      <c r="Z919" s="125" t="n"/>
      <c r="AB919" s="55" t="inlineStr">
        <is>
          <t>RESTRIÇÕES</t>
        </is>
      </c>
      <c r="AC919" s="134" t="n"/>
      <c r="AD919" s="16" t="n"/>
      <c r="AE919" s="17" t="n"/>
      <c r="AF919" s="133">
        <f>DADOS_INVOC!$QO$138</f>
        <v/>
      </c>
      <c r="AG919" s="125" t="n"/>
      <c r="AH919" s="55" t="inlineStr">
        <is>
          <t>RESTRIÇÕES</t>
        </is>
      </c>
      <c r="AI919" s="134" t="n"/>
      <c r="AJ919" s="16" t="n"/>
      <c r="AK919" s="17" t="n"/>
      <c r="AL919" s="133">
        <f>DADOS_INVOC!$QO$139</f>
        <v/>
      </c>
      <c r="AM919" s="125" t="n"/>
      <c r="AN919" s="55" t="inlineStr">
        <is>
          <t>RESTRIÇÕES</t>
        </is>
      </c>
      <c r="AO919" s="134" t="n"/>
      <c r="AP919" s="16" t="n"/>
      <c r="AQ919" s="17" t="n"/>
      <c r="AR919" s="133">
        <f>DADOS_INVOC!$QO$140</f>
        <v/>
      </c>
      <c r="AS919" s="125" t="n"/>
    </row>
    <row r="920" hidden="1" outlineLevel="3">
      <c r="A920" s="8" t="n"/>
      <c r="B920" s="14" t="n"/>
      <c r="C920" s="125" t="n"/>
      <c r="D920" s="125" t="n"/>
      <c r="E920" s="125" t="n"/>
      <c r="F920" s="125" t="n"/>
      <c r="G920" s="125" t="n"/>
      <c r="I920" s="129" t="n"/>
      <c r="J920" s="134" t="n"/>
      <c r="K920" s="16" t="n"/>
      <c r="L920" s="17" t="n"/>
      <c r="M920" s="133">
        <f>DADOS_INVOC!$QP$60</f>
        <v/>
      </c>
      <c r="N920" s="125" t="n"/>
      <c r="O920" s="129" t="n"/>
      <c r="P920" s="134" t="n"/>
      <c r="Q920" s="16" t="n"/>
      <c r="R920" s="17" t="n"/>
      <c r="S920" s="133">
        <f>DADOS_INVOC!$QP$61</f>
        <v/>
      </c>
      <c r="T920" s="125" t="n"/>
      <c r="U920" s="129" t="n"/>
      <c r="V920" s="134" t="n"/>
      <c r="W920" s="16" t="n"/>
      <c r="X920" s="17" t="n"/>
      <c r="Y920" s="133">
        <f>DADOS_INVOC!$QP$62</f>
        <v/>
      </c>
      <c r="Z920" s="125" t="n"/>
      <c r="AB920" s="129" t="n"/>
      <c r="AC920" s="134" t="n"/>
      <c r="AD920" s="16" t="n"/>
      <c r="AE920" s="17" t="n"/>
      <c r="AF920" s="133">
        <f>DADOS_INVOC!$QP$138</f>
        <v/>
      </c>
      <c r="AG920" s="125" t="n"/>
      <c r="AH920" s="129" t="n"/>
      <c r="AI920" s="134" t="n"/>
      <c r="AJ920" s="16" t="n"/>
      <c r="AK920" s="17" t="n"/>
      <c r="AL920" s="133">
        <f>DADOS_INVOC!$QP$139</f>
        <v/>
      </c>
      <c r="AM920" s="125" t="n"/>
      <c r="AN920" s="129" t="n"/>
      <c r="AO920" s="134" t="n"/>
      <c r="AP920" s="16" t="n"/>
      <c r="AQ920" s="17" t="n"/>
      <c r="AR920" s="133">
        <f>DADOS_INVOC!$QP$140</f>
        <v/>
      </c>
      <c r="AS920" s="125" t="n"/>
    </row>
    <row r="921" hidden="1" outlineLevel="3">
      <c r="A921" s="8" t="n"/>
      <c r="B921" s="14" t="n"/>
      <c r="C921" s="125" t="n"/>
      <c r="D921" s="125" t="n"/>
      <c r="E921" s="125" t="n"/>
      <c r="F921" s="125" t="n"/>
      <c r="G921" s="125" t="n"/>
      <c r="I921" s="55" t="inlineStr">
        <is>
          <t>CONTA</t>
        </is>
      </c>
      <c r="J921" s="136">
        <f>DADOS_INVOC!$QI$60</f>
        <v/>
      </c>
      <c r="K921" s="16" t="n"/>
      <c r="L921" s="16" t="n"/>
      <c r="M921" s="17" t="n"/>
      <c r="N921" s="125" t="n"/>
      <c r="O921" s="55" t="inlineStr">
        <is>
          <t>CONTA</t>
        </is>
      </c>
      <c r="P921" s="136">
        <f>DADOS_INVOC!$QI$61</f>
        <v/>
      </c>
      <c r="Q921" s="16" t="n"/>
      <c r="R921" s="16" t="n"/>
      <c r="S921" s="17" t="n"/>
      <c r="T921" s="125" t="n"/>
      <c r="U921" s="55" t="inlineStr">
        <is>
          <t>CONTA</t>
        </is>
      </c>
      <c r="V921" s="136">
        <f>DADOS_INVOC!$QI$62</f>
        <v/>
      </c>
      <c r="W921" s="16" t="n"/>
      <c r="X921" s="16" t="n"/>
      <c r="Y921" s="17" t="n"/>
      <c r="Z921" s="125" t="n"/>
      <c r="AB921" s="55" t="inlineStr">
        <is>
          <t>CONTA</t>
        </is>
      </c>
      <c r="AC921" s="136">
        <f>DADOS_INVOC!$QI$138</f>
        <v/>
      </c>
      <c r="AD921" s="16" t="n"/>
      <c r="AE921" s="16" t="n"/>
      <c r="AF921" s="17" t="n"/>
      <c r="AG921" s="125" t="n"/>
      <c r="AH921" s="55" t="inlineStr">
        <is>
          <t>CONTA</t>
        </is>
      </c>
      <c r="AI921" s="136">
        <f>DADOS_INVOC!$QI$139</f>
        <v/>
      </c>
      <c r="AJ921" s="16" t="n"/>
      <c r="AK921" s="16" t="n"/>
      <c r="AL921" s="17" t="n"/>
      <c r="AM921" s="125" t="n"/>
      <c r="AN921" s="55" t="inlineStr">
        <is>
          <t>CONTA</t>
        </is>
      </c>
      <c r="AO921" s="136">
        <f>DADOS_INVOC!$QI$140</f>
        <v/>
      </c>
      <c r="AP921" s="16" t="n"/>
      <c r="AQ921" s="16" t="n"/>
      <c r="AR921" s="17" t="n"/>
      <c r="AS921" s="125" t="n"/>
    </row>
    <row r="922" hidden="1" outlineLevel="3">
      <c r="A922" s="8" t="n"/>
      <c r="B922" s="14" t="n"/>
      <c r="C922" s="125" t="n"/>
      <c r="D922" s="125" t="n"/>
      <c r="E922" s="125" t="n"/>
      <c r="F922" s="125" t="n"/>
      <c r="G922" s="125" t="n"/>
      <c r="I922" s="55" t="inlineStr">
        <is>
          <t>AMPLIAR</t>
        </is>
      </c>
      <c r="J922" s="136">
        <f>DADOS_INVOC!$QJ$60</f>
        <v/>
      </c>
      <c r="K922" s="19" t="n"/>
      <c r="L922" s="19" t="n"/>
      <c r="M922" s="20" t="n"/>
      <c r="N922" s="125" t="n"/>
      <c r="O922" s="55" t="inlineStr">
        <is>
          <t>AMPLIAR</t>
        </is>
      </c>
      <c r="P922" s="136">
        <f>DADOS_INVOC!$QJ$61</f>
        <v/>
      </c>
      <c r="Q922" s="19" t="n"/>
      <c r="R922" s="19" t="n"/>
      <c r="S922" s="20" t="n"/>
      <c r="T922" s="125" t="n"/>
      <c r="U922" s="55" t="inlineStr">
        <is>
          <t>AMPLIAR</t>
        </is>
      </c>
      <c r="V922" s="136">
        <f>DADOS_INVOC!$QJ$62</f>
        <v/>
      </c>
      <c r="W922" s="19" t="n"/>
      <c r="X922" s="19" t="n"/>
      <c r="Y922" s="20" t="n"/>
      <c r="Z922" s="125" t="n"/>
      <c r="AB922" s="55" t="inlineStr">
        <is>
          <t>AMPLIAR</t>
        </is>
      </c>
      <c r="AC922" s="136">
        <f>DADOS_INVOC!$QJ$138</f>
        <v/>
      </c>
      <c r="AD922" s="19" t="n"/>
      <c r="AE922" s="19" t="n"/>
      <c r="AF922" s="20" t="n"/>
      <c r="AG922" s="125" t="n"/>
      <c r="AH922" s="55" t="inlineStr">
        <is>
          <t>AMPLIAR</t>
        </is>
      </c>
      <c r="AI922" s="136">
        <f>DADOS_INVOC!$QJ$139</f>
        <v/>
      </c>
      <c r="AJ922" s="19" t="n"/>
      <c r="AK922" s="19" t="n"/>
      <c r="AL922" s="20" t="n"/>
      <c r="AM922" s="125" t="n"/>
      <c r="AN922" s="55" t="inlineStr">
        <is>
          <t>AMPLIAR</t>
        </is>
      </c>
      <c r="AO922" s="136">
        <f>DADOS_INVOC!$QJ$140</f>
        <v/>
      </c>
      <c r="AP922" s="19" t="n"/>
      <c r="AQ922" s="19" t="n"/>
      <c r="AR922" s="20" t="n"/>
      <c r="AS922" s="125" t="n"/>
    </row>
    <row r="923" hidden="1" outlineLevel="3">
      <c r="A923" s="8" t="n"/>
      <c r="B923" s="14" t="n"/>
      <c r="C923" s="125" t="n"/>
      <c r="D923" s="125" t="n"/>
      <c r="E923" s="125" t="n"/>
      <c r="F923" s="125" t="n"/>
      <c r="G923" s="125" t="n"/>
      <c r="I923" s="129" t="n"/>
      <c r="J923" s="23" t="n"/>
      <c r="K923" s="24" t="n"/>
      <c r="L923" s="24" t="n"/>
      <c r="M923" s="25" t="n"/>
      <c r="N923" s="125" t="n"/>
      <c r="O923" s="129" t="n"/>
      <c r="P923" s="23" t="n"/>
      <c r="Q923" s="24" t="n"/>
      <c r="R923" s="24" t="n"/>
      <c r="S923" s="25" t="n"/>
      <c r="T923" s="125" t="n"/>
      <c r="U923" s="129" t="n"/>
      <c r="V923" s="23" t="n"/>
      <c r="W923" s="24" t="n"/>
      <c r="X923" s="24" t="n"/>
      <c r="Y923" s="25" t="n"/>
      <c r="Z923" s="125" t="n"/>
      <c r="AB923" s="129" t="n"/>
      <c r="AC923" s="23" t="n"/>
      <c r="AD923" s="24" t="n"/>
      <c r="AE923" s="24" t="n"/>
      <c r="AF923" s="25" t="n"/>
      <c r="AG923" s="125" t="n"/>
      <c r="AH923" s="129" t="n"/>
      <c r="AI923" s="23" t="n"/>
      <c r="AJ923" s="24" t="n"/>
      <c r="AK923" s="24" t="n"/>
      <c r="AL923" s="25" t="n"/>
      <c r="AM923" s="125" t="n"/>
      <c r="AN923" s="129" t="n"/>
      <c r="AO923" s="23" t="n"/>
      <c r="AP923" s="24" t="n"/>
      <c r="AQ923" s="24" t="n"/>
      <c r="AR923" s="25" t="n"/>
      <c r="AS923" s="125" t="n"/>
    </row>
    <row r="924" hidden="1" outlineLevel="3">
      <c r="A924" s="8" t="n"/>
      <c r="B924" s="14" t="n"/>
      <c r="C924" s="125" t="n"/>
      <c r="D924" s="125" t="n"/>
      <c r="E924" s="125" t="n"/>
      <c r="F924" s="125" t="n"/>
      <c r="G924" s="125" t="n"/>
      <c r="I924" s="136">
        <f>DADOS_INVOC!$PW$60</f>
        <v/>
      </c>
      <c r="J924" s="19" t="n"/>
      <c r="K924" s="19" t="n"/>
      <c r="L924" s="19" t="n"/>
      <c r="M924" s="20" t="n"/>
      <c r="N924" s="125" t="n"/>
      <c r="O924" s="136">
        <f>DADOS_INVOC!$PW$61</f>
        <v/>
      </c>
      <c r="P924" s="19" t="n"/>
      <c r="Q924" s="19" t="n"/>
      <c r="R924" s="19" t="n"/>
      <c r="S924" s="20" t="n"/>
      <c r="T924" s="125" t="n"/>
      <c r="U924" s="136">
        <f>DADOS_INVOC!$PW$62</f>
        <v/>
      </c>
      <c r="V924" s="19" t="n"/>
      <c r="W924" s="19" t="n"/>
      <c r="X924" s="19" t="n"/>
      <c r="Y924" s="20" t="n"/>
      <c r="Z924" s="125" t="n"/>
      <c r="AB924" s="136">
        <f>DADOS_INVOC!$PW$138</f>
        <v/>
      </c>
      <c r="AC924" s="19" t="n"/>
      <c r="AD924" s="19" t="n"/>
      <c r="AE924" s="19" t="n"/>
      <c r="AF924" s="20" t="n"/>
      <c r="AG924" s="125" t="n"/>
      <c r="AH924" s="136">
        <f>DADOS_INVOC!$PW$139</f>
        <v/>
      </c>
      <c r="AI924" s="19" t="n"/>
      <c r="AJ924" s="19" t="n"/>
      <c r="AK924" s="19" t="n"/>
      <c r="AL924" s="20" t="n"/>
      <c r="AM924" s="125" t="n"/>
      <c r="AN924" s="136">
        <f>DADOS_INVOC!$PW$140</f>
        <v/>
      </c>
      <c r="AO924" s="19" t="n"/>
      <c r="AP924" s="19" t="n"/>
      <c r="AQ924" s="19" t="n"/>
      <c r="AR924" s="20" t="n"/>
      <c r="AS924" s="125" t="n"/>
    </row>
    <row r="925" hidden="1" outlineLevel="3">
      <c r="A925" s="8" t="n"/>
      <c r="B925" s="14" t="n"/>
      <c r="C925" s="125" t="n"/>
      <c r="D925" s="125" t="n"/>
      <c r="E925" s="125" t="n"/>
      <c r="F925" s="125" t="n"/>
      <c r="G925" s="125" t="n"/>
      <c r="I925" s="23" t="n"/>
      <c r="J925" s="24" t="n"/>
      <c r="K925" s="24" t="n"/>
      <c r="L925" s="24" t="n"/>
      <c r="M925" s="25" t="n"/>
      <c r="N925" s="125" t="n"/>
      <c r="O925" s="23" t="n"/>
      <c r="P925" s="24" t="n"/>
      <c r="Q925" s="24" t="n"/>
      <c r="R925" s="24" t="n"/>
      <c r="S925" s="25" t="n"/>
      <c r="T925" s="125" t="n"/>
      <c r="U925" s="23" t="n"/>
      <c r="V925" s="24" t="n"/>
      <c r="W925" s="24" t="n"/>
      <c r="X925" s="24" t="n"/>
      <c r="Y925" s="25" t="n"/>
      <c r="Z925" s="125" t="n"/>
      <c r="AB925" s="23" t="n"/>
      <c r="AC925" s="24" t="n"/>
      <c r="AD925" s="24" t="n"/>
      <c r="AE925" s="24" t="n"/>
      <c r="AF925" s="25" t="n"/>
      <c r="AG925" s="125" t="n"/>
      <c r="AH925" s="23" t="n"/>
      <c r="AI925" s="24" t="n"/>
      <c r="AJ925" s="24" t="n"/>
      <c r="AK925" s="24" t="n"/>
      <c r="AL925" s="25" t="n"/>
      <c r="AM925" s="125" t="n"/>
      <c r="AN925" s="23" t="n"/>
      <c r="AO925" s="24" t="n"/>
      <c r="AP925" s="24" t="n"/>
      <c r="AQ925" s="24" t="n"/>
      <c r="AR925" s="25" t="n"/>
      <c r="AS925" s="125" t="n"/>
    </row>
    <row r="926" hidden="1" outlineLevel="2">
      <c r="A926" s="8" t="n"/>
      <c r="B926" s="14" t="n"/>
      <c r="C926" s="125" t="n"/>
      <c r="D926" s="125" t="n"/>
      <c r="E926" s="125" t="n"/>
      <c r="F926" s="125" t="n"/>
      <c r="G926" s="125" t="n"/>
      <c r="I926" s="125" t="n"/>
      <c r="J926" s="125" t="n"/>
      <c r="K926" s="125" t="n"/>
      <c r="L926" s="125" t="n"/>
      <c r="M926" s="125" t="n"/>
      <c r="N926" s="125" t="n"/>
      <c r="O926" s="125" t="n"/>
      <c r="P926" s="125" t="n"/>
      <c r="Q926" s="125" t="n"/>
      <c r="R926" s="125" t="n"/>
      <c r="S926" s="125" t="n"/>
      <c r="T926" s="125" t="n"/>
      <c r="U926" s="125" t="n"/>
      <c r="V926" s="125" t="n"/>
      <c r="W926" s="125" t="n"/>
      <c r="X926" s="125" t="n"/>
      <c r="Y926" s="125" t="n"/>
      <c r="Z926" s="125" t="n"/>
      <c r="AB926" s="125" t="n"/>
      <c r="AC926" s="125" t="n"/>
      <c r="AD926" s="125" t="n"/>
      <c r="AE926" s="125" t="n"/>
      <c r="AF926" s="125" t="n"/>
      <c r="AG926" s="125" t="n"/>
      <c r="AH926" s="125" t="n"/>
      <c r="AI926" s="125" t="n"/>
      <c r="AJ926" s="125" t="n"/>
      <c r="AK926" s="125" t="n"/>
      <c r="AL926" s="125" t="n"/>
      <c r="AM926" s="125" t="n"/>
      <c r="AN926" s="125" t="n"/>
      <c r="AO926" s="125" t="n"/>
      <c r="AP926" s="125" t="n"/>
      <c r="AQ926" s="125" t="n"/>
      <c r="AR926" s="125" t="n"/>
      <c r="AS926" s="125" t="n"/>
    </row>
    <row r="927" hidden="1" outlineLevel="2">
      <c r="A927" s="8" t="n"/>
      <c r="B927" s="14" t="n"/>
      <c r="C927" s="125" t="n"/>
      <c r="D927" s="125" t="n"/>
      <c r="E927" s="125" t="n"/>
      <c r="F927" s="125" t="n"/>
      <c r="G927" s="125" t="n"/>
      <c r="I927" s="55">
        <f>DADOS_INVOC!$PX$63</f>
        <v/>
      </c>
      <c r="J927" s="16" t="n"/>
      <c r="K927" s="16" t="n"/>
      <c r="L927" s="16" t="n"/>
      <c r="M927" s="17" t="n"/>
      <c r="N927" s="125" t="n"/>
      <c r="O927" s="125" t="n"/>
      <c r="P927" s="125" t="n"/>
      <c r="Q927" s="125" t="n"/>
      <c r="R927" s="125" t="n"/>
      <c r="S927" s="125" t="n"/>
      <c r="T927" s="125" t="n"/>
      <c r="U927" s="125" t="n"/>
      <c r="V927" s="125" t="n"/>
      <c r="W927" s="125" t="n"/>
      <c r="X927" s="125" t="n"/>
      <c r="Y927" s="125" t="n"/>
      <c r="Z927" s="125" t="n"/>
      <c r="AB927" s="55">
        <f>DADOS_INVOC!$PX$141</f>
        <v/>
      </c>
      <c r="AC927" s="16" t="n"/>
      <c r="AD927" s="16" t="n"/>
      <c r="AE927" s="16" t="n"/>
      <c r="AF927" s="17" t="n"/>
      <c r="AG927" s="125" t="n"/>
      <c r="AH927" s="125" t="n"/>
      <c r="AI927" s="125" t="n"/>
      <c r="AJ927" s="125" t="n"/>
      <c r="AK927" s="125" t="n"/>
      <c r="AL927" s="125" t="n"/>
      <c r="AM927" s="125" t="n"/>
      <c r="AN927" s="125" t="n"/>
      <c r="AO927" s="125" t="n"/>
      <c r="AP927" s="125" t="n"/>
      <c r="AQ927" s="125" t="n"/>
      <c r="AR927" s="125" t="n"/>
      <c r="AS927" s="125" t="n"/>
    </row>
    <row r="928" hidden="1" outlineLevel="2">
      <c r="A928" s="8" t="n"/>
      <c r="B928" s="14" t="n"/>
      <c r="C928" s="125" t="n"/>
      <c r="D928" s="125" t="n"/>
      <c r="E928" s="125" t="n"/>
      <c r="F928" s="125" t="n"/>
      <c r="G928" s="125" t="n"/>
      <c r="I928" s="131" t="n">
        <v>1</v>
      </c>
      <c r="J928" s="120" t="n"/>
      <c r="K928" s="16" t="n"/>
      <c r="L928" s="17" t="n"/>
      <c r="M928" s="132">
        <f>DADOS_INVOC!$PV$63</f>
        <v/>
      </c>
      <c r="N928" s="125" t="n"/>
      <c r="O928" s="125" t="n"/>
      <c r="P928" s="125" t="n"/>
      <c r="Q928" s="125" t="n"/>
      <c r="R928" s="125" t="n"/>
      <c r="S928" s="125" t="n"/>
      <c r="T928" s="125" t="n"/>
      <c r="U928" s="125" t="n"/>
      <c r="V928" s="125" t="n"/>
      <c r="W928" s="125" t="n"/>
      <c r="X928" s="125" t="n"/>
      <c r="Y928" s="125" t="n"/>
      <c r="Z928" s="125" t="n"/>
      <c r="AB928" s="131" t="n">
        <v>1</v>
      </c>
      <c r="AC928" s="120" t="n"/>
      <c r="AD928" s="16" t="n"/>
      <c r="AE928" s="17" t="n"/>
      <c r="AF928" s="132">
        <f>DADOS_INVOC!$PV$141</f>
        <v/>
      </c>
      <c r="AG928" s="125" t="n"/>
      <c r="AH928" s="125" t="n"/>
      <c r="AI928" s="125" t="n"/>
      <c r="AJ928" s="125" t="n"/>
      <c r="AK928" s="125" t="n"/>
      <c r="AL928" s="125" t="n"/>
      <c r="AM928" s="125" t="n"/>
      <c r="AN928" s="125" t="n"/>
      <c r="AO928" s="125" t="n"/>
      <c r="AP928" s="125" t="n"/>
      <c r="AQ928" s="125" t="n"/>
      <c r="AR928" s="125" t="n"/>
      <c r="AS928" s="125" t="n"/>
    </row>
    <row r="929" hidden="1" outlineLevel="3">
      <c r="A929" s="8" t="n"/>
      <c r="B929" s="14" t="n"/>
      <c r="C929" s="125" t="n"/>
      <c r="D929" s="125" t="n"/>
      <c r="E929" s="125" t="n"/>
      <c r="F929" s="125" t="n"/>
      <c r="G929" s="125" t="n"/>
      <c r="I929" s="55" t="inlineStr">
        <is>
          <t>COMO É</t>
        </is>
      </c>
      <c r="J929" s="16" t="n"/>
      <c r="K929" s="16" t="n"/>
      <c r="L929" s="16" t="n"/>
      <c r="M929" s="17" t="n"/>
      <c r="N929" s="125" t="n"/>
      <c r="O929" s="125" t="n"/>
      <c r="P929" s="125" t="n"/>
      <c r="Q929" s="125" t="n"/>
      <c r="R929" s="125" t="n"/>
      <c r="S929" s="125" t="n"/>
      <c r="T929" s="125" t="n"/>
      <c r="U929" s="125" t="n"/>
      <c r="V929" s="125" t="n"/>
      <c r="W929" s="125" t="n"/>
      <c r="X929" s="125" t="n"/>
      <c r="Y929" s="125" t="n"/>
      <c r="Z929" s="125" t="n"/>
      <c r="AB929" s="55" t="inlineStr">
        <is>
          <t>COMO É</t>
        </is>
      </c>
      <c r="AC929" s="16" t="n"/>
      <c r="AD929" s="16" t="n"/>
      <c r="AE929" s="16" t="n"/>
      <c r="AF929" s="17" t="n"/>
      <c r="AG929" s="125" t="n"/>
      <c r="AH929" s="125" t="n"/>
      <c r="AI929" s="125" t="n"/>
      <c r="AJ929" s="125" t="n"/>
      <c r="AK929" s="125" t="n"/>
      <c r="AL929" s="125" t="n"/>
      <c r="AM929" s="125" t="n"/>
      <c r="AN929" s="125" t="n"/>
      <c r="AO929" s="125" t="n"/>
      <c r="AP929" s="125" t="n"/>
      <c r="AQ929" s="125" t="n"/>
      <c r="AR929" s="125" t="n"/>
      <c r="AS929" s="125" t="n"/>
    </row>
    <row r="930" hidden="1" outlineLevel="3">
      <c r="A930" s="8" t="n"/>
      <c r="B930" s="14" t="n"/>
      <c r="C930" s="125" t="n"/>
      <c r="D930" s="125" t="n"/>
      <c r="E930" s="125" t="n"/>
      <c r="F930" s="125" t="n"/>
      <c r="G930" s="125" t="n"/>
      <c r="I930" s="121" t="n"/>
      <c r="J930" s="19" t="n"/>
      <c r="K930" s="19" t="n"/>
      <c r="L930" s="19" t="n"/>
      <c r="M930" s="20" t="n"/>
      <c r="N930" s="125" t="n"/>
      <c r="O930" s="125" t="n"/>
      <c r="P930" s="125" t="n"/>
      <c r="Q930" s="125" t="n"/>
      <c r="R930" s="125" t="n"/>
      <c r="S930" s="125" t="n"/>
      <c r="T930" s="125" t="n"/>
      <c r="U930" s="125" t="n"/>
      <c r="V930" s="125" t="n"/>
      <c r="W930" s="125" t="n"/>
      <c r="X930" s="125" t="n"/>
      <c r="Y930" s="125" t="n"/>
      <c r="Z930" s="125" t="n"/>
      <c r="AB930" s="121" t="n"/>
      <c r="AC930" s="19" t="n"/>
      <c r="AD930" s="19" t="n"/>
      <c r="AE930" s="19" t="n"/>
      <c r="AF930" s="20" t="n"/>
      <c r="AG930" s="125" t="n"/>
      <c r="AH930" s="125" t="n"/>
      <c r="AI930" s="125" t="n"/>
      <c r="AJ930" s="125" t="n"/>
      <c r="AK930" s="125" t="n"/>
      <c r="AL930" s="125" t="n"/>
      <c r="AM930" s="125" t="n"/>
      <c r="AN930" s="125" t="n"/>
      <c r="AO930" s="125" t="n"/>
      <c r="AP930" s="125" t="n"/>
      <c r="AQ930" s="125" t="n"/>
      <c r="AR930" s="125" t="n"/>
      <c r="AS930" s="125" t="n"/>
    </row>
    <row r="931" hidden="1" outlineLevel="3">
      <c r="A931" s="8" t="n"/>
      <c r="B931" s="14" t="n"/>
      <c r="C931" s="125" t="n"/>
      <c r="D931" s="125" t="n"/>
      <c r="E931" s="125" t="n"/>
      <c r="F931" s="125" t="n"/>
      <c r="G931" s="125" t="n"/>
      <c r="I931" s="21" t="n"/>
      <c r="M931" s="22" t="n"/>
      <c r="N931" s="125" t="n"/>
      <c r="O931" s="125" t="n"/>
      <c r="P931" s="125" t="n"/>
      <c r="Q931" s="125" t="n"/>
      <c r="R931" s="125" t="n"/>
      <c r="S931" s="125" t="n"/>
      <c r="T931" s="125" t="n"/>
      <c r="U931" s="125" t="n"/>
      <c r="V931" s="125" t="n"/>
      <c r="W931" s="125" t="n"/>
      <c r="X931" s="125" t="n"/>
      <c r="Y931" s="125" t="n"/>
      <c r="Z931" s="125" t="n"/>
      <c r="AB931" s="21" t="n"/>
      <c r="AF931" s="22" t="n"/>
      <c r="AG931" s="125" t="n"/>
      <c r="AH931" s="125" t="n"/>
      <c r="AI931" s="125" t="n"/>
      <c r="AJ931" s="125" t="n"/>
      <c r="AK931" s="125" t="n"/>
      <c r="AL931" s="125" t="n"/>
      <c r="AM931" s="125" t="n"/>
      <c r="AN931" s="125" t="n"/>
      <c r="AO931" s="125" t="n"/>
      <c r="AP931" s="125" t="n"/>
      <c r="AQ931" s="125" t="n"/>
      <c r="AR931" s="125" t="n"/>
      <c r="AS931" s="125" t="n"/>
    </row>
    <row r="932" hidden="1" outlineLevel="3">
      <c r="A932" s="8" t="n"/>
      <c r="B932" s="14" t="n"/>
      <c r="C932" s="125" t="n"/>
      <c r="D932" s="125" t="n"/>
      <c r="E932" s="125" t="n"/>
      <c r="F932" s="125" t="n"/>
      <c r="G932" s="125" t="n"/>
      <c r="I932" s="23" t="n"/>
      <c r="J932" s="24" t="n"/>
      <c r="K932" s="24" t="n"/>
      <c r="L932" s="24" t="n"/>
      <c r="M932" s="25" t="n"/>
      <c r="N932" s="125" t="n"/>
      <c r="O932" s="125" t="n"/>
      <c r="P932" s="125" t="n"/>
      <c r="Q932" s="125" t="n"/>
      <c r="R932" s="125" t="n"/>
      <c r="S932" s="125" t="n"/>
      <c r="T932" s="125" t="n"/>
      <c r="U932" s="125" t="n"/>
      <c r="V932" s="125" t="n"/>
      <c r="W932" s="125" t="n"/>
      <c r="X932" s="125" t="n"/>
      <c r="Y932" s="125" t="n"/>
      <c r="Z932" s="125" t="n"/>
      <c r="AB932" s="23" t="n"/>
      <c r="AC932" s="24" t="n"/>
      <c r="AD932" s="24" t="n"/>
      <c r="AE932" s="24" t="n"/>
      <c r="AF932" s="25" t="n"/>
      <c r="AG932" s="125" t="n"/>
      <c r="AH932" s="125" t="n"/>
      <c r="AI932" s="125" t="n"/>
      <c r="AJ932" s="125" t="n"/>
      <c r="AK932" s="125" t="n"/>
      <c r="AL932" s="125" t="n"/>
      <c r="AM932" s="125" t="n"/>
      <c r="AN932" s="125" t="n"/>
      <c r="AO932" s="125" t="n"/>
      <c r="AP932" s="125" t="n"/>
      <c r="AQ932" s="125" t="n"/>
      <c r="AR932" s="125" t="n"/>
      <c r="AS932" s="125" t="n"/>
    </row>
    <row r="933" hidden="1" outlineLevel="2">
      <c r="A933" s="8" t="n"/>
      <c r="B933" s="14" t="n"/>
      <c r="C933" s="125" t="n"/>
      <c r="D933" s="125" t="n"/>
      <c r="E933" s="125" t="n"/>
      <c r="F933" s="125" t="n"/>
      <c r="G933" s="125" t="n"/>
      <c r="I933" s="89" t="inlineStr">
        <is>
          <t>Projétil</t>
        </is>
      </c>
      <c r="J933" s="17" t="n"/>
      <c r="K933" s="68">
        <f>DADOS_INVOC!$QC$63</f>
        <v/>
      </c>
      <c r="L933" s="17" t="n"/>
      <c r="M933" s="68">
        <f>DADOS_INVOC!$PY$63</f>
        <v/>
      </c>
      <c r="N933" s="125" t="n"/>
      <c r="O933" s="125" t="n"/>
      <c r="P933" s="125" t="n"/>
      <c r="Q933" s="125" t="n"/>
      <c r="R933" s="125" t="n"/>
      <c r="S933" s="125" t="n"/>
      <c r="T933" s="125" t="n"/>
      <c r="U933" s="125" t="n"/>
      <c r="V933" s="125" t="n"/>
      <c r="W933" s="125" t="n"/>
      <c r="X933" s="125" t="n"/>
      <c r="Y933" s="125" t="n"/>
      <c r="Z933" s="125" t="n"/>
      <c r="AB933" s="89" t="inlineStr">
        <is>
          <t>Projétil</t>
        </is>
      </c>
      <c r="AC933" s="17" t="n"/>
      <c r="AD933" s="68">
        <f>DADOS_INVOC!$QC$141</f>
        <v/>
      </c>
      <c r="AE933" s="17" t="n"/>
      <c r="AF933" s="68">
        <f>DADOS_INVOC!$PY$141</f>
        <v/>
      </c>
      <c r="AG933" s="125" t="n"/>
      <c r="AH933" s="125" t="n"/>
      <c r="AI933" s="125" t="n"/>
      <c r="AJ933" s="125" t="n"/>
      <c r="AK933" s="125" t="n"/>
      <c r="AL933" s="125" t="n"/>
      <c r="AM933" s="125" t="n"/>
      <c r="AN933" s="125" t="n"/>
      <c r="AO933" s="125" t="n"/>
      <c r="AP933" s="125" t="n"/>
      <c r="AQ933" s="125" t="n"/>
      <c r="AR933" s="125" t="n"/>
      <c r="AS933" s="125" t="n"/>
    </row>
    <row r="934" hidden="1" outlineLevel="2">
      <c r="A934" s="8" t="n"/>
      <c r="B934" s="14" t="n"/>
      <c r="C934" s="125" t="n"/>
      <c r="D934" s="125" t="n"/>
      <c r="E934" s="125" t="n"/>
      <c r="F934" s="125" t="n"/>
      <c r="G934" s="125" t="n"/>
      <c r="I934" s="89" t="n"/>
      <c r="J934" s="17" t="n"/>
      <c r="K934" s="89" t="n"/>
      <c r="L934" s="16" t="n"/>
      <c r="M934" s="17" t="n"/>
      <c r="N934" s="125" t="n"/>
      <c r="O934" s="125" t="n"/>
      <c r="P934" s="125" t="n"/>
      <c r="Q934" s="125" t="n"/>
      <c r="R934" s="125" t="n"/>
      <c r="S934" s="125" t="n"/>
      <c r="T934" s="125" t="n"/>
      <c r="U934" s="125" t="n"/>
      <c r="V934" s="125" t="n"/>
      <c r="W934" s="125" t="n"/>
      <c r="X934" s="125" t="n"/>
      <c r="Y934" s="125" t="n"/>
      <c r="Z934" s="125" t="n"/>
      <c r="AB934" s="89" t="n"/>
      <c r="AC934" s="17" t="n"/>
      <c r="AD934" s="89" t="n"/>
      <c r="AE934" s="16" t="n"/>
      <c r="AF934" s="17" t="n"/>
      <c r="AG934" s="125" t="n"/>
      <c r="AH934" s="125" t="n"/>
      <c r="AI934" s="125" t="n"/>
      <c r="AJ934" s="125" t="n"/>
      <c r="AK934" s="125" t="n"/>
      <c r="AL934" s="125" t="n"/>
      <c r="AM934" s="125" t="n"/>
      <c r="AN934" s="125" t="n"/>
      <c r="AO934" s="125" t="n"/>
      <c r="AP934" s="125" t="n"/>
      <c r="AQ934" s="125" t="n"/>
      <c r="AR934" s="125" t="n"/>
      <c r="AS934" s="125" t="n"/>
    </row>
    <row r="935" hidden="1" outlineLevel="2">
      <c r="A935" s="8" t="n"/>
      <c r="B935" s="14" t="n"/>
      <c r="C935" s="125" t="n"/>
      <c r="D935" s="125" t="n"/>
      <c r="E935" s="125" t="n"/>
      <c r="F935" s="125" t="n"/>
      <c r="G935" s="125" t="n"/>
      <c r="I935" s="89">
        <f>DADOS_INVOC!$PZ$63</f>
        <v/>
      </c>
      <c r="J935" s="17" t="n"/>
      <c r="K935" s="89">
        <f>DADOS_INVOC!$QB$63</f>
        <v/>
      </c>
      <c r="L935" s="16" t="n"/>
      <c r="M935" s="17" t="n"/>
      <c r="N935" s="125" t="n"/>
      <c r="O935" s="125" t="n"/>
      <c r="P935" s="125" t="n"/>
      <c r="Q935" s="125" t="n"/>
      <c r="R935" s="125" t="n"/>
      <c r="S935" s="125" t="n"/>
      <c r="T935" s="125" t="n"/>
      <c r="U935" s="125" t="n"/>
      <c r="V935" s="125" t="n"/>
      <c r="W935" s="125" t="n"/>
      <c r="X935" s="125" t="n"/>
      <c r="Y935" s="125" t="n"/>
      <c r="Z935" s="125" t="n"/>
      <c r="AB935" s="89">
        <f>DADOS_INVOC!$PZ$141</f>
        <v/>
      </c>
      <c r="AC935" s="17" t="n"/>
      <c r="AD935" s="89">
        <f>DADOS_INVOC!$QB$141</f>
        <v/>
      </c>
      <c r="AE935" s="16" t="n"/>
      <c r="AF935" s="17" t="n"/>
      <c r="AG935" s="125" t="n"/>
      <c r="AH935" s="125" t="n"/>
      <c r="AI935" s="125" t="n"/>
      <c r="AJ935" s="125" t="n"/>
      <c r="AK935" s="125" t="n"/>
      <c r="AL935" s="125" t="n"/>
      <c r="AM935" s="125" t="n"/>
      <c r="AN935" s="125" t="n"/>
      <c r="AO935" s="125" t="n"/>
      <c r="AP935" s="125" t="n"/>
      <c r="AQ935" s="125" t="n"/>
      <c r="AR935" s="125" t="n"/>
      <c r="AS935" s="125" t="n"/>
    </row>
    <row r="936" hidden="1" outlineLevel="2">
      <c r="A936" s="8" t="n"/>
      <c r="B936" s="14" t="n"/>
      <c r="C936" s="125" t="n"/>
      <c r="D936" s="125" t="n"/>
      <c r="E936" s="125" t="n"/>
      <c r="F936" s="125" t="n"/>
      <c r="G936" s="125" t="n"/>
      <c r="I936" s="133">
        <f>DADOS_INVOC!$QH$63</f>
        <v/>
      </c>
      <c r="J936" s="16" t="n"/>
      <c r="K936" s="16" t="n"/>
      <c r="L936" s="16" t="n"/>
      <c r="M936" s="17" t="n"/>
      <c r="N936" s="125" t="n"/>
      <c r="O936" s="125" t="n"/>
      <c r="P936" s="125" t="n"/>
      <c r="Q936" s="125" t="n"/>
      <c r="R936" s="125" t="n"/>
      <c r="S936" s="125" t="n"/>
      <c r="T936" s="125" t="n"/>
      <c r="U936" s="125" t="n"/>
      <c r="V936" s="125" t="n"/>
      <c r="W936" s="125" t="n"/>
      <c r="X936" s="125" t="n"/>
      <c r="Y936" s="125" t="n"/>
      <c r="Z936" s="125" t="n"/>
      <c r="AB936" s="133">
        <f>DADOS_INVOC!$QH$141</f>
        <v/>
      </c>
      <c r="AC936" s="16" t="n"/>
      <c r="AD936" s="16" t="n"/>
      <c r="AE936" s="16" t="n"/>
      <c r="AF936" s="17" t="n"/>
      <c r="AG936" s="125" t="n"/>
      <c r="AH936" s="125" t="n"/>
      <c r="AI936" s="125" t="n"/>
      <c r="AJ936" s="125" t="n"/>
      <c r="AK936" s="125" t="n"/>
      <c r="AL936" s="125" t="n"/>
      <c r="AM936" s="125" t="n"/>
      <c r="AN936" s="125" t="n"/>
      <c r="AO936" s="125" t="n"/>
      <c r="AP936" s="125" t="n"/>
      <c r="AQ936" s="125" t="n"/>
      <c r="AR936" s="125" t="n"/>
      <c r="AS936" s="125" t="n"/>
    </row>
    <row r="937" hidden="1" outlineLevel="3">
      <c r="A937" s="8" t="n"/>
      <c r="B937" s="14" t="n"/>
      <c r="C937" s="125" t="n"/>
      <c r="D937" s="125" t="n"/>
      <c r="E937" s="125" t="n"/>
      <c r="F937" s="125" t="n"/>
      <c r="G937" s="125" t="n"/>
      <c r="I937" s="55" t="inlineStr">
        <is>
          <t>MELHORIAS</t>
        </is>
      </c>
      <c r="J937" s="134" t="n"/>
      <c r="K937" s="16" t="n"/>
      <c r="L937" s="17" t="n"/>
      <c r="M937" s="133">
        <f>DADOS_INVOC!$QK$63</f>
        <v/>
      </c>
      <c r="N937" s="125" t="n"/>
      <c r="O937" s="125" t="n"/>
      <c r="P937" s="125" t="n"/>
      <c r="Q937" s="125" t="n"/>
      <c r="R937" s="125" t="n"/>
      <c r="S937" s="125" t="n"/>
      <c r="T937" s="125" t="n"/>
      <c r="U937" s="125" t="n"/>
      <c r="V937" s="125" t="n"/>
      <c r="W937" s="125" t="n"/>
      <c r="X937" s="125" t="n"/>
      <c r="Y937" s="125" t="n"/>
      <c r="Z937" s="125" t="n"/>
      <c r="AB937" s="55" t="inlineStr">
        <is>
          <t>MELHORIAS</t>
        </is>
      </c>
      <c r="AC937" s="134" t="n"/>
      <c r="AD937" s="16" t="n"/>
      <c r="AE937" s="17" t="n"/>
      <c r="AF937" s="133">
        <f>DADOS_INVOC!$QK$141</f>
        <v/>
      </c>
      <c r="AG937" s="125" t="n"/>
      <c r="AH937" s="125" t="n"/>
      <c r="AI937" s="125" t="n"/>
      <c r="AJ937" s="125" t="n"/>
      <c r="AK937" s="125" t="n"/>
      <c r="AL937" s="125" t="n"/>
      <c r="AM937" s="125" t="n"/>
      <c r="AN937" s="125" t="n"/>
      <c r="AO937" s="125" t="n"/>
      <c r="AP937" s="125" t="n"/>
      <c r="AQ937" s="125" t="n"/>
      <c r="AR937" s="125" t="n"/>
      <c r="AS937" s="125" t="n"/>
    </row>
    <row r="938" hidden="1" outlineLevel="3">
      <c r="A938" s="8" t="n"/>
      <c r="B938" s="14" t="n"/>
      <c r="C938" s="125" t="n"/>
      <c r="D938" s="125" t="n"/>
      <c r="E938" s="125" t="n"/>
      <c r="F938" s="125" t="n"/>
      <c r="G938" s="125" t="n"/>
      <c r="I938" s="135" t="n"/>
      <c r="J938" s="134" t="n"/>
      <c r="K938" s="16" t="n"/>
      <c r="L938" s="17" t="n"/>
      <c r="M938" s="133">
        <f>DADOS_INVOC!$QL$63</f>
        <v/>
      </c>
      <c r="N938" s="125" t="n"/>
      <c r="O938" s="125" t="n"/>
      <c r="P938" s="125" t="n"/>
      <c r="Q938" s="125" t="n"/>
      <c r="R938" s="125" t="n"/>
      <c r="S938" s="125" t="n"/>
      <c r="T938" s="125" t="n"/>
      <c r="U938" s="125" t="n"/>
      <c r="V938" s="125" t="n"/>
      <c r="W938" s="125" t="n"/>
      <c r="X938" s="125" t="n"/>
      <c r="Y938" s="125" t="n"/>
      <c r="Z938" s="125" t="n"/>
      <c r="AB938" s="135" t="n"/>
      <c r="AC938" s="134" t="n"/>
      <c r="AD938" s="16" t="n"/>
      <c r="AE938" s="17" t="n"/>
      <c r="AF938" s="133">
        <f>DADOS_INVOC!$QL$141</f>
        <v/>
      </c>
      <c r="AG938" s="125" t="n"/>
      <c r="AH938" s="125" t="n"/>
      <c r="AI938" s="125" t="n"/>
      <c r="AJ938" s="125" t="n"/>
      <c r="AK938" s="125" t="n"/>
      <c r="AL938" s="125" t="n"/>
      <c r="AM938" s="125" t="n"/>
      <c r="AN938" s="125" t="n"/>
      <c r="AO938" s="125" t="n"/>
      <c r="AP938" s="125" t="n"/>
      <c r="AQ938" s="125" t="n"/>
      <c r="AR938" s="125" t="n"/>
      <c r="AS938" s="125" t="n"/>
    </row>
    <row r="939" hidden="1" outlineLevel="3">
      <c r="A939" s="8" t="n"/>
      <c r="B939" s="14" t="n"/>
      <c r="C939" s="125" t="n"/>
      <c r="D939" s="125" t="n"/>
      <c r="E939" s="125" t="n"/>
      <c r="F939" s="125" t="n"/>
      <c r="G939" s="125" t="n"/>
      <c r="I939" s="135" t="n"/>
      <c r="J939" s="134" t="n"/>
      <c r="K939" s="16" t="n"/>
      <c r="L939" s="17" t="n"/>
      <c r="M939" s="133">
        <f>DADOS_INVOC!$QM$63</f>
        <v/>
      </c>
      <c r="N939" s="125" t="n"/>
      <c r="O939" s="125" t="n"/>
      <c r="P939" s="125" t="n"/>
      <c r="Q939" s="125" t="n"/>
      <c r="R939" s="125" t="n"/>
      <c r="S939" s="125" t="n"/>
      <c r="T939" s="125" t="n"/>
      <c r="U939" s="125" t="n"/>
      <c r="V939" s="125" t="n"/>
      <c r="W939" s="125" t="n"/>
      <c r="X939" s="125" t="n"/>
      <c r="Y939" s="125" t="n"/>
      <c r="Z939" s="125" t="n"/>
      <c r="AB939" s="135" t="n"/>
      <c r="AC939" s="134" t="n"/>
      <c r="AD939" s="16" t="n"/>
      <c r="AE939" s="17" t="n"/>
      <c r="AF939" s="133">
        <f>DADOS_INVOC!$QM$141</f>
        <v/>
      </c>
      <c r="AG939" s="125" t="n"/>
      <c r="AH939" s="125" t="n"/>
      <c r="AI939" s="125" t="n"/>
      <c r="AJ939" s="125" t="n"/>
      <c r="AK939" s="125" t="n"/>
      <c r="AL939" s="125" t="n"/>
      <c r="AM939" s="125" t="n"/>
      <c r="AN939" s="125" t="n"/>
      <c r="AO939" s="125" t="n"/>
      <c r="AP939" s="125" t="n"/>
      <c r="AQ939" s="125" t="n"/>
      <c r="AR939" s="125" t="n"/>
      <c r="AS939" s="125" t="n"/>
    </row>
    <row r="940" hidden="1" outlineLevel="3">
      <c r="A940" s="8" t="n"/>
      <c r="B940" s="14" t="n"/>
      <c r="C940" s="125" t="n"/>
      <c r="D940" s="125" t="n"/>
      <c r="E940" s="125" t="n"/>
      <c r="F940" s="125" t="n"/>
      <c r="G940" s="125" t="n"/>
      <c r="I940" s="129" t="n"/>
      <c r="J940" s="134" t="n"/>
      <c r="K940" s="16" t="n"/>
      <c r="L940" s="17" t="n"/>
      <c r="M940" s="133">
        <f>DADOS_INVOC!$QN$63</f>
        <v/>
      </c>
      <c r="N940" s="125" t="n"/>
      <c r="O940" s="125" t="n"/>
      <c r="P940" s="125" t="n"/>
      <c r="Q940" s="125" t="n"/>
      <c r="R940" s="125" t="n"/>
      <c r="S940" s="125" t="n"/>
      <c r="T940" s="125" t="n"/>
      <c r="U940" s="125" t="n"/>
      <c r="V940" s="125" t="n"/>
      <c r="W940" s="125" t="n"/>
      <c r="X940" s="125" t="n"/>
      <c r="Y940" s="125" t="n"/>
      <c r="Z940" s="125" t="n"/>
      <c r="AB940" s="129" t="n"/>
      <c r="AC940" s="134" t="n"/>
      <c r="AD940" s="16" t="n"/>
      <c r="AE940" s="17" t="n"/>
      <c r="AF940" s="133">
        <f>DADOS_INVOC!$QN$141</f>
        <v/>
      </c>
      <c r="AG940" s="125" t="n"/>
      <c r="AH940" s="125" t="n"/>
      <c r="AI940" s="125" t="n"/>
      <c r="AJ940" s="125" t="n"/>
      <c r="AK940" s="125" t="n"/>
      <c r="AL940" s="125" t="n"/>
      <c r="AM940" s="125" t="n"/>
      <c r="AN940" s="125" t="n"/>
      <c r="AO940" s="125" t="n"/>
      <c r="AP940" s="125" t="n"/>
      <c r="AQ940" s="125" t="n"/>
      <c r="AR940" s="125" t="n"/>
      <c r="AS940" s="125" t="n"/>
    </row>
    <row r="941" hidden="1" outlineLevel="3">
      <c r="A941" s="8" t="n"/>
      <c r="B941" s="14" t="n"/>
      <c r="C941" s="125" t="n"/>
      <c r="D941" s="125" t="n"/>
      <c r="E941" s="125" t="n"/>
      <c r="F941" s="125" t="n"/>
      <c r="G941" s="125" t="n"/>
      <c r="I941" s="55" t="inlineStr">
        <is>
          <t>RESTRIÇÕES</t>
        </is>
      </c>
      <c r="J941" s="134" t="n"/>
      <c r="K941" s="16" t="n"/>
      <c r="L941" s="17" t="n"/>
      <c r="M941" s="133">
        <f>DADOS_INVOC!$QO$63</f>
        <v/>
      </c>
      <c r="N941" s="125" t="n"/>
      <c r="O941" s="125" t="n"/>
      <c r="P941" s="125" t="n"/>
      <c r="Q941" s="125" t="n"/>
      <c r="R941" s="125" t="n"/>
      <c r="S941" s="125" t="n"/>
      <c r="T941" s="125" t="n"/>
      <c r="U941" s="125" t="n"/>
      <c r="V941" s="125" t="n"/>
      <c r="W941" s="125" t="n"/>
      <c r="X941" s="125" t="n"/>
      <c r="Y941" s="125" t="n"/>
      <c r="Z941" s="125" t="n"/>
      <c r="AB941" s="55" t="inlineStr">
        <is>
          <t>RESTRIÇÕES</t>
        </is>
      </c>
      <c r="AC941" s="134" t="n"/>
      <c r="AD941" s="16" t="n"/>
      <c r="AE941" s="17" t="n"/>
      <c r="AF941" s="133">
        <f>DADOS_INVOC!$QO$141</f>
        <v/>
      </c>
      <c r="AG941" s="125" t="n"/>
      <c r="AH941" s="125" t="n"/>
      <c r="AI941" s="125" t="n"/>
      <c r="AJ941" s="125" t="n"/>
      <c r="AK941" s="125" t="n"/>
      <c r="AL941" s="125" t="n"/>
      <c r="AM941" s="125" t="n"/>
      <c r="AN941" s="125" t="n"/>
      <c r="AO941" s="125" t="n"/>
      <c r="AP941" s="125" t="n"/>
      <c r="AQ941" s="125" t="n"/>
      <c r="AR941" s="125" t="n"/>
      <c r="AS941" s="125" t="n"/>
    </row>
    <row r="942" hidden="1" outlineLevel="3">
      <c r="A942" s="8" t="n"/>
      <c r="B942" s="14" t="n"/>
      <c r="C942" s="125" t="n"/>
      <c r="D942" s="125" t="n"/>
      <c r="E942" s="125" t="n"/>
      <c r="F942" s="125" t="n"/>
      <c r="G942" s="125" t="n"/>
      <c r="I942" s="129" t="n"/>
      <c r="J942" s="134" t="n"/>
      <c r="K942" s="16" t="n"/>
      <c r="L942" s="17" t="n"/>
      <c r="M942" s="133">
        <f>DADOS_INVOC!$QP$63</f>
        <v/>
      </c>
      <c r="N942" s="125" t="n"/>
      <c r="O942" s="125" t="n"/>
      <c r="P942" s="125" t="n"/>
      <c r="Q942" s="125" t="n"/>
      <c r="R942" s="125" t="n"/>
      <c r="S942" s="125" t="n"/>
      <c r="T942" s="125" t="n"/>
      <c r="U942" s="125" t="n"/>
      <c r="V942" s="125" t="n"/>
      <c r="W942" s="125" t="n"/>
      <c r="X942" s="125" t="n"/>
      <c r="Y942" s="125" t="n"/>
      <c r="Z942" s="125" t="n"/>
      <c r="AB942" s="129" t="n"/>
      <c r="AC942" s="134" t="n"/>
      <c r="AD942" s="16" t="n"/>
      <c r="AE942" s="17" t="n"/>
      <c r="AF942" s="133">
        <f>DADOS_INVOC!$QP$141</f>
        <v/>
      </c>
      <c r="AG942" s="125" t="n"/>
      <c r="AH942" s="125" t="n"/>
      <c r="AI942" s="125" t="n"/>
      <c r="AJ942" s="125" t="n"/>
      <c r="AK942" s="125" t="n"/>
      <c r="AL942" s="125" t="n"/>
      <c r="AM942" s="125" t="n"/>
      <c r="AN942" s="125" t="n"/>
      <c r="AO942" s="125" t="n"/>
      <c r="AP942" s="125" t="n"/>
      <c r="AQ942" s="125" t="n"/>
      <c r="AR942" s="125" t="n"/>
      <c r="AS942" s="125" t="n"/>
    </row>
    <row r="943" hidden="1" outlineLevel="3">
      <c r="A943" s="8" t="n"/>
      <c r="B943" s="14" t="n"/>
      <c r="C943" s="125" t="n"/>
      <c r="D943" s="125" t="n"/>
      <c r="E943" s="125" t="n"/>
      <c r="F943" s="125" t="n"/>
      <c r="G943" s="125" t="n"/>
      <c r="I943" s="55" t="inlineStr">
        <is>
          <t>CONTA</t>
        </is>
      </c>
      <c r="J943" s="136">
        <f>DADOS_INVOC!$QI$63</f>
        <v/>
      </c>
      <c r="K943" s="16" t="n"/>
      <c r="L943" s="16" t="n"/>
      <c r="M943" s="17" t="n"/>
      <c r="N943" s="125" t="n"/>
      <c r="O943" s="125" t="n"/>
      <c r="P943" s="125" t="n"/>
      <c r="Q943" s="125" t="n"/>
      <c r="R943" s="125" t="n"/>
      <c r="S943" s="125" t="n"/>
      <c r="T943" s="125" t="n"/>
      <c r="U943" s="125" t="n"/>
      <c r="V943" s="125" t="n"/>
      <c r="W943" s="125" t="n"/>
      <c r="X943" s="125" t="n"/>
      <c r="Y943" s="125" t="n"/>
      <c r="Z943" s="125" t="n"/>
      <c r="AB943" s="55" t="inlineStr">
        <is>
          <t>CONTA</t>
        </is>
      </c>
      <c r="AC943" s="136">
        <f>DADOS_INVOC!$QI$141</f>
        <v/>
      </c>
      <c r="AD943" s="16" t="n"/>
      <c r="AE943" s="16" t="n"/>
      <c r="AF943" s="17" t="n"/>
      <c r="AG943" s="125" t="n"/>
      <c r="AH943" s="125" t="n"/>
      <c r="AI943" s="125" t="n"/>
      <c r="AJ943" s="125" t="n"/>
      <c r="AK943" s="125" t="n"/>
      <c r="AL943" s="125" t="n"/>
      <c r="AM943" s="125" t="n"/>
      <c r="AN943" s="125" t="n"/>
      <c r="AO943" s="125" t="n"/>
      <c r="AP943" s="125" t="n"/>
      <c r="AQ943" s="125" t="n"/>
      <c r="AR943" s="125" t="n"/>
      <c r="AS943" s="125" t="n"/>
    </row>
    <row r="944" hidden="1" outlineLevel="3">
      <c r="A944" s="8" t="n"/>
      <c r="B944" s="14" t="n"/>
      <c r="C944" s="125" t="n"/>
      <c r="D944" s="125" t="n"/>
      <c r="E944" s="125" t="n"/>
      <c r="F944" s="125" t="n"/>
      <c r="G944" s="125" t="n"/>
      <c r="I944" s="55" t="inlineStr">
        <is>
          <t>AMPLIAR</t>
        </is>
      </c>
      <c r="J944" s="136">
        <f>DADOS_INVOC!$QJ$63</f>
        <v/>
      </c>
      <c r="K944" s="19" t="n"/>
      <c r="L944" s="19" t="n"/>
      <c r="M944" s="20" t="n"/>
      <c r="N944" s="125" t="n"/>
      <c r="O944" s="125" t="n"/>
      <c r="P944" s="125" t="n"/>
      <c r="Q944" s="125" t="n"/>
      <c r="R944" s="125" t="n"/>
      <c r="S944" s="125" t="n"/>
      <c r="T944" s="125" t="n"/>
      <c r="U944" s="125" t="n"/>
      <c r="V944" s="125" t="n"/>
      <c r="W944" s="125" t="n"/>
      <c r="X944" s="125" t="n"/>
      <c r="Y944" s="125" t="n"/>
      <c r="Z944" s="125" t="n"/>
      <c r="AB944" s="55" t="inlineStr">
        <is>
          <t>AMPLIAR</t>
        </is>
      </c>
      <c r="AC944" s="136">
        <f>DADOS_INVOC!$QJ$141</f>
        <v/>
      </c>
      <c r="AD944" s="19" t="n"/>
      <c r="AE944" s="19" t="n"/>
      <c r="AF944" s="20" t="n"/>
      <c r="AG944" s="125" t="n"/>
      <c r="AH944" s="125" t="n"/>
      <c r="AI944" s="125" t="n"/>
      <c r="AJ944" s="125" t="n"/>
      <c r="AK944" s="125" t="n"/>
      <c r="AL944" s="125" t="n"/>
      <c r="AM944" s="125" t="n"/>
      <c r="AN944" s="125" t="n"/>
      <c r="AO944" s="125" t="n"/>
      <c r="AP944" s="125" t="n"/>
      <c r="AQ944" s="125" t="n"/>
      <c r="AR944" s="125" t="n"/>
      <c r="AS944" s="125" t="n"/>
    </row>
    <row r="945" hidden="1" outlineLevel="3">
      <c r="A945" s="8" t="n"/>
      <c r="B945" s="14" t="n"/>
      <c r="C945" s="125" t="n"/>
      <c r="D945" s="125" t="n"/>
      <c r="E945" s="125" t="n"/>
      <c r="F945" s="125" t="n"/>
      <c r="G945" s="125" t="n"/>
      <c r="I945" s="129" t="n"/>
      <c r="J945" s="23" t="n"/>
      <c r="K945" s="24" t="n"/>
      <c r="L945" s="24" t="n"/>
      <c r="M945" s="25" t="n"/>
      <c r="N945" s="125" t="n"/>
      <c r="O945" s="125" t="n"/>
      <c r="P945" s="125" t="n"/>
      <c r="Q945" s="125" t="n"/>
      <c r="R945" s="125" t="n"/>
      <c r="S945" s="125" t="n"/>
      <c r="T945" s="125" t="n"/>
      <c r="U945" s="125" t="n"/>
      <c r="V945" s="125" t="n"/>
      <c r="W945" s="125" t="n"/>
      <c r="X945" s="125" t="n"/>
      <c r="Y945" s="125" t="n"/>
      <c r="Z945" s="125" t="n"/>
      <c r="AB945" s="129" t="n"/>
      <c r="AC945" s="23" t="n"/>
      <c r="AD945" s="24" t="n"/>
      <c r="AE945" s="24" t="n"/>
      <c r="AF945" s="25" t="n"/>
      <c r="AG945" s="125" t="n"/>
      <c r="AH945" s="125" t="n"/>
      <c r="AI945" s="125" t="n"/>
      <c r="AJ945" s="125" t="n"/>
      <c r="AK945" s="125" t="n"/>
      <c r="AL945" s="125" t="n"/>
      <c r="AM945" s="125" t="n"/>
      <c r="AN945" s="125" t="n"/>
      <c r="AO945" s="125" t="n"/>
      <c r="AP945" s="125" t="n"/>
      <c r="AQ945" s="125" t="n"/>
      <c r="AR945" s="125" t="n"/>
      <c r="AS945" s="125" t="n"/>
    </row>
    <row r="946" hidden="1" outlineLevel="3">
      <c r="A946" s="8" t="n"/>
      <c r="B946" s="14" t="n"/>
      <c r="C946" s="125" t="n"/>
      <c r="D946" s="125" t="n"/>
      <c r="E946" s="125" t="n"/>
      <c r="F946" s="125" t="n"/>
      <c r="G946" s="125" t="n"/>
      <c r="I946" s="136">
        <f>DADOS_INVOC!$PW$63</f>
        <v/>
      </c>
      <c r="J946" s="19" t="n"/>
      <c r="K946" s="19" t="n"/>
      <c r="L946" s="19" t="n"/>
      <c r="M946" s="20" t="n"/>
      <c r="N946" s="125" t="n"/>
      <c r="O946" s="125" t="n"/>
      <c r="P946" s="125" t="n"/>
      <c r="Q946" s="125" t="n"/>
      <c r="R946" s="125" t="n"/>
      <c r="S946" s="125" t="n"/>
      <c r="T946" s="125" t="n"/>
      <c r="U946" s="125" t="n"/>
      <c r="V946" s="125" t="n"/>
      <c r="W946" s="125" t="n"/>
      <c r="X946" s="125" t="n"/>
      <c r="Y946" s="125" t="n"/>
      <c r="Z946" s="125" t="n"/>
      <c r="AB946" s="136">
        <f>DADOS_INVOC!$PW$141</f>
        <v/>
      </c>
      <c r="AC946" s="19" t="n"/>
      <c r="AD946" s="19" t="n"/>
      <c r="AE946" s="19" t="n"/>
      <c r="AF946" s="20" t="n"/>
      <c r="AG946" s="125" t="n"/>
      <c r="AH946" s="125" t="n"/>
      <c r="AI946" s="125" t="n"/>
      <c r="AJ946" s="125" t="n"/>
      <c r="AK946" s="125" t="n"/>
      <c r="AL946" s="125" t="n"/>
      <c r="AM946" s="125" t="n"/>
      <c r="AN946" s="125" t="n"/>
      <c r="AO946" s="125" t="n"/>
      <c r="AP946" s="125" t="n"/>
      <c r="AQ946" s="125" t="n"/>
      <c r="AR946" s="125" t="n"/>
      <c r="AS946" s="125" t="n"/>
    </row>
    <row r="947" hidden="1" outlineLevel="3">
      <c r="A947" s="8" t="n"/>
      <c r="B947" s="14" t="n"/>
      <c r="C947" s="125" t="n"/>
      <c r="D947" s="125" t="n"/>
      <c r="E947" s="125" t="n"/>
      <c r="F947" s="125" t="n"/>
      <c r="G947" s="125" t="n"/>
      <c r="I947" s="23" t="n"/>
      <c r="J947" s="24" t="n"/>
      <c r="K947" s="24" t="n"/>
      <c r="L947" s="24" t="n"/>
      <c r="M947" s="25" t="n"/>
      <c r="N947" s="125" t="n"/>
      <c r="O947" s="125" t="n"/>
      <c r="P947" s="125" t="n"/>
      <c r="Q947" s="125" t="n"/>
      <c r="R947" s="125" t="n"/>
      <c r="S947" s="125" t="n"/>
      <c r="T947" s="125" t="n"/>
      <c r="U947" s="125" t="n"/>
      <c r="V947" s="125" t="n"/>
      <c r="W947" s="125" t="n"/>
      <c r="X947" s="125" t="n"/>
      <c r="Y947" s="125" t="n"/>
      <c r="Z947" s="125" t="n"/>
      <c r="AB947" s="23" t="n"/>
      <c r="AC947" s="24" t="n"/>
      <c r="AD947" s="24" t="n"/>
      <c r="AE947" s="24" t="n"/>
      <c r="AF947" s="25" t="n"/>
      <c r="AG947" s="125" t="n"/>
      <c r="AH947" s="125" t="n"/>
      <c r="AI947" s="125" t="n"/>
      <c r="AJ947" s="125" t="n"/>
      <c r="AK947" s="125" t="n"/>
      <c r="AL947" s="125" t="n"/>
      <c r="AM947" s="125" t="n"/>
      <c r="AN947" s="125" t="n"/>
      <c r="AO947" s="125" t="n"/>
      <c r="AP947" s="125" t="n"/>
      <c r="AQ947" s="125" t="n"/>
      <c r="AR947" s="125" t="n"/>
      <c r="AS947" s="125" t="n"/>
    </row>
    <row r="948" hidden="1" outlineLevel="1">
      <c r="A948" s="8" t="n"/>
      <c r="B948" s="14" t="n"/>
      <c r="C948" s="125" t="n"/>
      <c r="D948" s="125" t="n"/>
      <c r="E948" s="125" t="n"/>
      <c r="F948" s="125" t="n"/>
      <c r="G948" s="125" t="n"/>
      <c r="I948" s="125" t="n"/>
      <c r="J948" s="125" t="n"/>
      <c r="K948" s="125" t="n"/>
      <c r="L948" s="125" t="n"/>
      <c r="M948" s="125" t="n"/>
      <c r="N948" s="125" t="n"/>
      <c r="O948" s="125" t="n"/>
      <c r="P948" s="125" t="n"/>
      <c r="Q948" s="125" t="n"/>
      <c r="R948" s="125" t="n"/>
      <c r="S948" s="125" t="n"/>
      <c r="T948" s="125" t="n"/>
      <c r="U948" s="125" t="n"/>
      <c r="V948" s="125" t="n"/>
      <c r="W948" s="125" t="n"/>
      <c r="X948" s="125" t="n"/>
      <c r="Y948" s="125" t="n"/>
      <c r="Z948" s="125" t="n"/>
      <c r="AB948" s="125" t="n"/>
      <c r="AC948" s="125" t="n"/>
      <c r="AD948" s="125" t="n"/>
      <c r="AE948" s="125" t="n"/>
      <c r="AF948" s="125" t="n"/>
      <c r="AG948" s="125" t="n"/>
      <c r="AH948" s="125" t="n"/>
      <c r="AI948" s="125" t="n"/>
      <c r="AJ948" s="125" t="n"/>
      <c r="AK948" s="125" t="n"/>
      <c r="AL948" s="125" t="n"/>
      <c r="AM948" s="125" t="n"/>
      <c r="AN948" s="125" t="n"/>
      <c r="AO948" s="125" t="n"/>
      <c r="AP948" s="125" t="n"/>
      <c r="AQ948" s="125" t="n"/>
      <c r="AR948" s="125" t="n"/>
      <c r="AS948" s="125" t="n"/>
    </row>
    <row r="949" hidden="1" outlineLevel="1">
      <c r="A949" s="8" t="n"/>
      <c r="B949" s="14" t="n"/>
      <c r="C949" s="125" t="n"/>
      <c r="D949" s="125" t="n"/>
      <c r="E949" s="125" t="n"/>
      <c r="F949" s="125" t="n"/>
      <c r="G949" s="125" t="n"/>
      <c r="I949" s="137"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5" t="n"/>
      <c r="AB949" s="137"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5" t="n"/>
    </row>
    <row r="950" hidden="1" outlineLevel="2">
      <c r="A950" s="8" t="n"/>
      <c r="B950" s="14" t="n"/>
      <c r="C950" s="125" t="n"/>
      <c r="D950" s="125" t="n"/>
      <c r="E950" s="125" t="n"/>
      <c r="F950" s="125" t="n"/>
      <c r="G950" s="125" t="n"/>
      <c r="I950" s="125" t="n"/>
      <c r="J950" s="125" t="n"/>
      <c r="K950" s="125" t="n"/>
      <c r="L950" s="125" t="n"/>
      <c r="M950" s="125" t="n"/>
      <c r="N950" s="125" t="n"/>
      <c r="O950" s="125" t="n"/>
      <c r="P950" s="125" t="n"/>
      <c r="Q950" s="125" t="n"/>
      <c r="R950" s="125" t="n"/>
      <c r="S950" s="125" t="n"/>
      <c r="T950" s="125" t="n"/>
      <c r="U950" s="125" t="n"/>
      <c r="V950" s="125" t="n"/>
      <c r="W950" s="125" t="n"/>
      <c r="X950" s="125" t="n"/>
      <c r="Y950" s="125" t="n"/>
      <c r="Z950" s="125" t="n"/>
      <c r="AB950" s="125" t="n"/>
      <c r="AC950" s="125" t="n"/>
      <c r="AD950" s="125" t="n"/>
      <c r="AE950" s="125" t="n"/>
      <c r="AF950" s="125" t="n"/>
      <c r="AG950" s="125" t="n"/>
      <c r="AH950" s="125" t="n"/>
      <c r="AI950" s="125" t="n"/>
      <c r="AJ950" s="125" t="n"/>
      <c r="AK950" s="125" t="n"/>
      <c r="AL950" s="125" t="n"/>
      <c r="AM950" s="125" t="n"/>
      <c r="AN950" s="125" t="n"/>
      <c r="AO950" s="125" t="n"/>
      <c r="AP950" s="125" t="n"/>
      <c r="AQ950" s="125" t="n"/>
      <c r="AR950" s="125" t="n"/>
      <c r="AS950" s="125" t="n"/>
    </row>
    <row r="951" hidden="1" outlineLevel="2">
      <c r="A951" s="8" t="n"/>
      <c r="B951" s="14" t="n"/>
      <c r="C951" s="125" t="n"/>
      <c r="D951" s="125" t="n"/>
      <c r="E951" s="125" t="n"/>
      <c r="F951" s="125" t="n"/>
      <c r="G951" s="125" t="n"/>
      <c r="I951" s="55">
        <f>DADOS_INVOC!$PX$64</f>
        <v/>
      </c>
      <c r="J951" s="16" t="n"/>
      <c r="K951" s="16" t="n"/>
      <c r="L951" s="16" t="n"/>
      <c r="M951" s="17" t="n"/>
      <c r="N951" s="125" t="n"/>
      <c r="O951" s="55">
        <f>DADOS_INVOC!$PX$65</f>
        <v/>
      </c>
      <c r="P951" s="16" t="n"/>
      <c r="Q951" s="16" t="n"/>
      <c r="R951" s="16" t="n"/>
      <c r="S951" s="17" t="n"/>
      <c r="T951" s="125" t="n"/>
      <c r="U951" s="55">
        <f>DADOS_INVOC!$PX$66</f>
        <v/>
      </c>
      <c r="V951" s="16" t="n"/>
      <c r="W951" s="16" t="n"/>
      <c r="X951" s="16" t="n"/>
      <c r="Y951" s="17" t="n"/>
      <c r="Z951" s="125" t="n"/>
      <c r="AB951" s="55">
        <f>DADOS_INVOC!$PX$142</f>
        <v/>
      </c>
      <c r="AC951" s="16" t="n"/>
      <c r="AD951" s="16" t="n"/>
      <c r="AE951" s="16" t="n"/>
      <c r="AF951" s="17" t="n"/>
      <c r="AG951" s="125" t="n"/>
      <c r="AH951" s="55">
        <f>DADOS_INVOC!$PX$143</f>
        <v/>
      </c>
      <c r="AI951" s="16" t="n"/>
      <c r="AJ951" s="16" t="n"/>
      <c r="AK951" s="16" t="n"/>
      <c r="AL951" s="17" t="n"/>
      <c r="AM951" s="125" t="n"/>
      <c r="AN951" s="55">
        <f>DADOS_INVOC!$PX$144</f>
        <v/>
      </c>
      <c r="AO951" s="16" t="n"/>
      <c r="AP951" s="16" t="n"/>
      <c r="AQ951" s="16" t="n"/>
      <c r="AR951" s="17" t="n"/>
      <c r="AS951" s="125" t="n"/>
    </row>
    <row r="952" hidden="1" outlineLevel="2">
      <c r="A952" s="8" t="n"/>
      <c r="B952" s="14" t="n"/>
      <c r="C952" s="125" t="n"/>
      <c r="D952" s="125" t="n"/>
      <c r="E952" s="125" t="n"/>
      <c r="F952" s="125" t="n"/>
      <c r="G952" s="125" t="n"/>
      <c r="I952" s="131" t="n">
        <v>1</v>
      </c>
      <c r="J952" s="120" t="n"/>
      <c r="K952" s="16" t="n"/>
      <c r="L952" s="17" t="n"/>
      <c r="M952" s="132">
        <f>DADOS_INVOC!$PV$64</f>
        <v/>
      </c>
      <c r="N952" s="125" t="n"/>
      <c r="O952" s="131" t="n">
        <v>1</v>
      </c>
      <c r="P952" s="120" t="n"/>
      <c r="Q952" s="16" t="n"/>
      <c r="R952" s="17" t="n"/>
      <c r="S952" s="132">
        <f>DADOS_INVOC!$PV$65</f>
        <v/>
      </c>
      <c r="T952" s="125" t="n"/>
      <c r="U952" s="131" t="n">
        <v>1</v>
      </c>
      <c r="V952" s="120" t="n"/>
      <c r="W952" s="16" t="n"/>
      <c r="X952" s="17" t="n"/>
      <c r="Y952" s="132">
        <f>DADOS_INVOC!$PV$66</f>
        <v/>
      </c>
      <c r="Z952" s="125" t="n"/>
      <c r="AB952" s="131" t="n">
        <v>1</v>
      </c>
      <c r="AC952" s="120" t="n"/>
      <c r="AD952" s="16" t="n"/>
      <c r="AE952" s="17" t="n"/>
      <c r="AF952" s="132">
        <f>DADOS_INVOC!$PV$142</f>
        <v/>
      </c>
      <c r="AG952" s="125" t="n"/>
      <c r="AH952" s="131" t="n">
        <v>1</v>
      </c>
      <c r="AI952" s="120" t="n"/>
      <c r="AJ952" s="16" t="n"/>
      <c r="AK952" s="17" t="n"/>
      <c r="AL952" s="132">
        <f>DADOS_INVOC!$PV$143</f>
        <v/>
      </c>
      <c r="AM952" s="125" t="n"/>
      <c r="AN952" s="131" t="n">
        <v>1</v>
      </c>
      <c r="AO952" s="120" t="n"/>
      <c r="AP952" s="16" t="n"/>
      <c r="AQ952" s="17" t="n"/>
      <c r="AR952" s="132">
        <f>DADOS_INVOC!$PV$144</f>
        <v/>
      </c>
      <c r="AS952" s="125" t="n"/>
    </row>
    <row r="953" hidden="1" outlineLevel="3">
      <c r="A953" s="8" t="n"/>
      <c r="B953" s="14" t="n"/>
      <c r="C953" s="125" t="n"/>
      <c r="D953" s="125" t="n"/>
      <c r="E953" s="125" t="n"/>
      <c r="F953" s="125" t="n"/>
      <c r="G953" s="125" t="n"/>
      <c r="I953" s="55" t="inlineStr">
        <is>
          <t>COMO É</t>
        </is>
      </c>
      <c r="J953" s="16" t="n"/>
      <c r="K953" s="16" t="n"/>
      <c r="L953" s="16" t="n"/>
      <c r="M953" s="17" t="n"/>
      <c r="N953" s="125" t="n"/>
      <c r="O953" s="55" t="inlineStr">
        <is>
          <t>COMO É</t>
        </is>
      </c>
      <c r="P953" s="16" t="n"/>
      <c r="Q953" s="16" t="n"/>
      <c r="R953" s="16" t="n"/>
      <c r="S953" s="17" t="n"/>
      <c r="T953" s="125" t="n"/>
      <c r="U953" s="55" t="inlineStr">
        <is>
          <t>COMO É</t>
        </is>
      </c>
      <c r="V953" s="16" t="n"/>
      <c r="W953" s="16" t="n"/>
      <c r="X953" s="16" t="n"/>
      <c r="Y953" s="17" t="n"/>
      <c r="Z953" s="125" t="n"/>
      <c r="AB953" s="55" t="inlineStr">
        <is>
          <t>COMO É</t>
        </is>
      </c>
      <c r="AC953" s="16" t="n"/>
      <c r="AD953" s="16" t="n"/>
      <c r="AE953" s="16" t="n"/>
      <c r="AF953" s="17" t="n"/>
      <c r="AG953" s="125" t="n"/>
      <c r="AH953" s="55" t="inlineStr">
        <is>
          <t>COMO É</t>
        </is>
      </c>
      <c r="AI953" s="16" t="n"/>
      <c r="AJ953" s="16" t="n"/>
      <c r="AK953" s="16" t="n"/>
      <c r="AL953" s="17" t="n"/>
      <c r="AM953" s="125" t="n"/>
      <c r="AN953" s="55" t="inlineStr">
        <is>
          <t>COMO É</t>
        </is>
      </c>
      <c r="AO953" s="16" t="n"/>
      <c r="AP953" s="16" t="n"/>
      <c r="AQ953" s="16" t="n"/>
      <c r="AR953" s="17" t="n"/>
      <c r="AS953" s="125" t="n"/>
    </row>
    <row r="954" hidden="1" outlineLevel="3">
      <c r="A954" s="8" t="n"/>
      <c r="B954" s="14" t="n"/>
      <c r="C954" s="125" t="n"/>
      <c r="D954" s="125" t="n"/>
      <c r="E954" s="125" t="n"/>
      <c r="F954" s="125" t="n"/>
      <c r="G954" s="125" t="n"/>
      <c r="I954" s="121" t="n"/>
      <c r="J954" s="19" t="n"/>
      <c r="K954" s="19" t="n"/>
      <c r="L954" s="19" t="n"/>
      <c r="M954" s="20" t="n"/>
      <c r="N954" s="125" t="n"/>
      <c r="O954" s="121" t="n"/>
      <c r="P954" s="19" t="n"/>
      <c r="Q954" s="19" t="n"/>
      <c r="R954" s="19" t="n"/>
      <c r="S954" s="20" t="n"/>
      <c r="T954" s="125" t="n"/>
      <c r="U954" s="121" t="n"/>
      <c r="V954" s="19" t="n"/>
      <c r="W954" s="19" t="n"/>
      <c r="X954" s="19" t="n"/>
      <c r="Y954" s="20" t="n"/>
      <c r="Z954" s="125" t="n"/>
      <c r="AB954" s="121" t="n"/>
      <c r="AC954" s="19" t="n"/>
      <c r="AD954" s="19" t="n"/>
      <c r="AE954" s="19" t="n"/>
      <c r="AF954" s="20" t="n"/>
      <c r="AG954" s="125" t="n"/>
      <c r="AH954" s="121" t="n"/>
      <c r="AI954" s="19" t="n"/>
      <c r="AJ954" s="19" t="n"/>
      <c r="AK954" s="19" t="n"/>
      <c r="AL954" s="20" t="n"/>
      <c r="AM954" s="125" t="n"/>
      <c r="AN954" s="121" t="n"/>
      <c r="AO954" s="19" t="n"/>
      <c r="AP954" s="19" t="n"/>
      <c r="AQ954" s="19" t="n"/>
      <c r="AR954" s="20" t="n"/>
      <c r="AS954" s="125" t="n"/>
    </row>
    <row r="955" hidden="1" outlineLevel="3">
      <c r="A955" s="8" t="n"/>
      <c r="B955" s="14" t="n"/>
      <c r="C955" s="125" t="n"/>
      <c r="D955" s="125" t="n"/>
      <c r="E955" s="125" t="n"/>
      <c r="F955" s="125" t="n"/>
      <c r="G955" s="125" t="n"/>
      <c r="I955" s="21" t="n"/>
      <c r="M955" s="22" t="n"/>
      <c r="N955" s="125" t="n"/>
      <c r="O955" s="21" t="n"/>
      <c r="S955" s="22" t="n"/>
      <c r="T955" s="125" t="n"/>
      <c r="U955" s="21" t="n"/>
      <c r="Y955" s="22" t="n"/>
      <c r="Z955" s="125" t="n"/>
      <c r="AB955" s="21" t="n"/>
      <c r="AF955" s="22" t="n"/>
      <c r="AG955" s="125" t="n"/>
      <c r="AH955" s="21" t="n"/>
      <c r="AL955" s="22" t="n"/>
      <c r="AM955" s="125" t="n"/>
      <c r="AN955" s="21" t="n"/>
      <c r="AR955" s="22" t="n"/>
      <c r="AS955" s="125" t="n"/>
    </row>
    <row r="956" hidden="1" outlineLevel="3">
      <c r="A956" s="8" t="n"/>
      <c r="B956" s="14" t="n"/>
      <c r="C956" s="125" t="n"/>
      <c r="D956" s="125" t="n"/>
      <c r="E956" s="125" t="n"/>
      <c r="F956" s="125" t="n"/>
      <c r="G956" s="125" t="n"/>
      <c r="I956" s="23" t="n"/>
      <c r="J956" s="24" t="n"/>
      <c r="K956" s="24" t="n"/>
      <c r="L956" s="24" t="n"/>
      <c r="M956" s="25" t="n"/>
      <c r="N956" s="125" t="n"/>
      <c r="O956" s="23" t="n"/>
      <c r="P956" s="24" t="n"/>
      <c r="Q956" s="24" t="n"/>
      <c r="R956" s="24" t="n"/>
      <c r="S956" s="25" t="n"/>
      <c r="T956" s="125" t="n"/>
      <c r="U956" s="23" t="n"/>
      <c r="V956" s="24" t="n"/>
      <c r="W956" s="24" t="n"/>
      <c r="X956" s="24" t="n"/>
      <c r="Y956" s="25" t="n"/>
      <c r="Z956" s="125" t="n"/>
      <c r="AB956" s="23" t="n"/>
      <c r="AC956" s="24" t="n"/>
      <c r="AD956" s="24" t="n"/>
      <c r="AE956" s="24" t="n"/>
      <c r="AF956" s="25" t="n"/>
      <c r="AG956" s="125" t="n"/>
      <c r="AH956" s="23" t="n"/>
      <c r="AI956" s="24" t="n"/>
      <c r="AJ956" s="24" t="n"/>
      <c r="AK956" s="24" t="n"/>
      <c r="AL956" s="25" t="n"/>
      <c r="AM956" s="125" t="n"/>
      <c r="AN956" s="23" t="n"/>
      <c r="AO956" s="24" t="n"/>
      <c r="AP956" s="24" t="n"/>
      <c r="AQ956" s="24" t="n"/>
      <c r="AR956" s="25" t="n"/>
      <c r="AS956" s="125" t="n"/>
    </row>
    <row r="957" hidden="1" outlineLevel="2">
      <c r="A957" s="8" t="n"/>
      <c r="B957" s="14" t="n"/>
      <c r="C957" s="125" t="n"/>
      <c r="D957" s="125" t="n"/>
      <c r="E957" s="125" t="n"/>
      <c r="F957" s="125" t="n"/>
      <c r="G957" s="125" t="n"/>
      <c r="I957" s="89" t="inlineStr">
        <is>
          <t>Projétil</t>
        </is>
      </c>
      <c r="J957" s="17" t="n"/>
      <c r="K957" s="68">
        <f>DADOS_INVOC!$QC$64</f>
        <v/>
      </c>
      <c r="L957" s="17" t="n"/>
      <c r="M957" s="68">
        <f>DADOS_INVOC!$PY$64</f>
        <v/>
      </c>
      <c r="N957" s="125" t="n"/>
      <c r="O957" s="89" t="inlineStr">
        <is>
          <t>Projétil</t>
        </is>
      </c>
      <c r="P957" s="17" t="n"/>
      <c r="Q957" s="68">
        <f>DADOS_INVOC!$QC$65</f>
        <v/>
      </c>
      <c r="R957" s="17" t="n"/>
      <c r="S957" s="68">
        <f>DADOS_INVOC!$PY$65</f>
        <v/>
      </c>
      <c r="T957" s="125" t="n"/>
      <c r="U957" s="89" t="inlineStr">
        <is>
          <t>Projétil</t>
        </is>
      </c>
      <c r="V957" s="17" t="n"/>
      <c r="W957" s="68">
        <f>DADOS_INVOC!$QC$66</f>
        <v/>
      </c>
      <c r="X957" s="17" t="n"/>
      <c r="Y957" s="68">
        <f>DADOS_INVOC!$PY$66</f>
        <v/>
      </c>
      <c r="Z957" s="125" t="n"/>
      <c r="AB957" s="89" t="inlineStr">
        <is>
          <t>Projétil</t>
        </is>
      </c>
      <c r="AC957" s="17" t="n"/>
      <c r="AD957" s="68">
        <f>DADOS_INVOC!$QC$142</f>
        <v/>
      </c>
      <c r="AE957" s="17" t="n"/>
      <c r="AF957" s="68">
        <f>DADOS_INVOC!$PY$142</f>
        <v/>
      </c>
      <c r="AG957" s="125" t="n"/>
      <c r="AH957" s="89" t="inlineStr">
        <is>
          <t>Projétil</t>
        </is>
      </c>
      <c r="AI957" s="17" t="n"/>
      <c r="AJ957" s="68">
        <f>DADOS_INVOC!$QC$143</f>
        <v/>
      </c>
      <c r="AK957" s="17" t="n"/>
      <c r="AL957" s="68">
        <f>DADOS_INVOC!$PY$143</f>
        <v/>
      </c>
      <c r="AM957" s="125" t="n"/>
      <c r="AN957" s="89" t="inlineStr">
        <is>
          <t>Projétil</t>
        </is>
      </c>
      <c r="AO957" s="17" t="n"/>
      <c r="AP957" s="68">
        <f>DADOS_INVOC!$QC$144</f>
        <v/>
      </c>
      <c r="AQ957" s="17" t="n"/>
      <c r="AR957" s="68">
        <f>DADOS_INVOC!$PY$144</f>
        <v/>
      </c>
      <c r="AS957" s="125" t="n"/>
    </row>
    <row r="958" hidden="1" outlineLevel="2">
      <c r="A958" s="8" t="n"/>
      <c r="B958" s="14" t="n"/>
      <c r="C958" s="125" t="n"/>
      <c r="D958" s="125" t="n"/>
      <c r="E958" s="125" t="n"/>
      <c r="F958" s="125" t="n"/>
      <c r="G958" s="125" t="n"/>
      <c r="I958" s="89" t="n"/>
      <c r="J958" s="17" t="n"/>
      <c r="K958" s="89" t="n"/>
      <c r="L958" s="16" t="n"/>
      <c r="M958" s="17" t="n"/>
      <c r="N958" s="125" t="n"/>
      <c r="O958" s="89" t="n"/>
      <c r="P958" s="17" t="n"/>
      <c r="Q958" s="89" t="n"/>
      <c r="R958" s="16" t="n"/>
      <c r="S958" s="17" t="n"/>
      <c r="T958" s="125" t="n"/>
      <c r="U958" s="89" t="n"/>
      <c r="V958" s="17" t="n"/>
      <c r="W958" s="89" t="n"/>
      <c r="X958" s="16" t="n"/>
      <c r="Y958" s="17" t="n"/>
      <c r="Z958" s="125" t="n"/>
      <c r="AB958" s="89" t="n"/>
      <c r="AC958" s="17" t="n"/>
      <c r="AD958" s="89" t="n"/>
      <c r="AE958" s="16" t="n"/>
      <c r="AF958" s="17" t="n"/>
      <c r="AG958" s="125" t="n"/>
      <c r="AH958" s="89" t="n"/>
      <c r="AI958" s="17" t="n"/>
      <c r="AJ958" s="89" t="n"/>
      <c r="AK958" s="16" t="n"/>
      <c r="AL958" s="17" t="n"/>
      <c r="AM958" s="125" t="n"/>
      <c r="AN958" s="89" t="n"/>
      <c r="AO958" s="17" t="n"/>
      <c r="AP958" s="89" t="n"/>
      <c r="AQ958" s="16" t="n"/>
      <c r="AR958" s="17" t="n"/>
      <c r="AS958" s="125" t="n"/>
    </row>
    <row r="959" hidden="1" outlineLevel="2">
      <c r="A959" s="8" t="n"/>
      <c r="B959" s="14" t="n"/>
      <c r="C959" s="125" t="n"/>
      <c r="D959" s="125" t="n"/>
      <c r="E959" s="125" t="n"/>
      <c r="F959" s="125" t="n"/>
      <c r="G959" s="125" t="n"/>
      <c r="I959" s="89">
        <f>DADOS_INVOC!$PZ$64</f>
        <v/>
      </c>
      <c r="J959" s="17" t="n"/>
      <c r="K959" s="89">
        <f>DADOS_INVOC!$QB$64</f>
        <v/>
      </c>
      <c r="L959" s="16" t="n"/>
      <c r="M959" s="17" t="n"/>
      <c r="N959" s="125" t="n"/>
      <c r="O959" s="89">
        <f>DADOS_INVOC!$PZ$65</f>
        <v/>
      </c>
      <c r="P959" s="17" t="n"/>
      <c r="Q959" s="89">
        <f>DADOS_INVOC!$QB$65</f>
        <v/>
      </c>
      <c r="R959" s="16" t="n"/>
      <c r="S959" s="17" t="n"/>
      <c r="T959" s="125" t="n"/>
      <c r="U959" s="89">
        <f>DADOS_INVOC!$PZ$66</f>
        <v/>
      </c>
      <c r="V959" s="17" t="n"/>
      <c r="W959" s="89">
        <f>DADOS_INVOC!$QB$66</f>
        <v/>
      </c>
      <c r="X959" s="16" t="n"/>
      <c r="Y959" s="17" t="n"/>
      <c r="Z959" s="125" t="n"/>
      <c r="AB959" s="89">
        <f>DADOS_INVOC!$PZ$142</f>
        <v/>
      </c>
      <c r="AC959" s="17" t="n"/>
      <c r="AD959" s="89">
        <f>DADOS_INVOC!$QB$142</f>
        <v/>
      </c>
      <c r="AE959" s="16" t="n"/>
      <c r="AF959" s="17" t="n"/>
      <c r="AG959" s="125" t="n"/>
      <c r="AH959" s="89">
        <f>DADOS_INVOC!$PZ$143</f>
        <v/>
      </c>
      <c r="AI959" s="17" t="n"/>
      <c r="AJ959" s="89">
        <f>DADOS_INVOC!$QB$143</f>
        <v/>
      </c>
      <c r="AK959" s="16" t="n"/>
      <c r="AL959" s="17" t="n"/>
      <c r="AM959" s="125" t="n"/>
      <c r="AN959" s="89">
        <f>DADOS_INVOC!$PZ$144</f>
        <v/>
      </c>
      <c r="AO959" s="17" t="n"/>
      <c r="AP959" s="89">
        <f>DADOS_INVOC!$QB$144</f>
        <v/>
      </c>
      <c r="AQ959" s="16" t="n"/>
      <c r="AR959" s="17" t="n"/>
      <c r="AS959" s="125" t="n"/>
    </row>
    <row r="960" hidden="1" outlineLevel="2">
      <c r="A960" s="8" t="n"/>
      <c r="B960" s="14" t="n"/>
      <c r="C960" s="125" t="n"/>
      <c r="D960" s="125" t="n"/>
      <c r="E960" s="125" t="n"/>
      <c r="F960" s="125" t="n"/>
      <c r="G960" s="125" t="n"/>
      <c r="I960" s="133">
        <f>DADOS_INVOC!$QH$64</f>
        <v/>
      </c>
      <c r="J960" s="16" t="n"/>
      <c r="K960" s="16" t="n"/>
      <c r="L960" s="16" t="n"/>
      <c r="M960" s="17" t="n"/>
      <c r="N960" s="125" t="n"/>
      <c r="O960" s="133">
        <f>DADOS_INVOC!$QH$65</f>
        <v/>
      </c>
      <c r="P960" s="16" t="n"/>
      <c r="Q960" s="16" t="n"/>
      <c r="R960" s="16" t="n"/>
      <c r="S960" s="17" t="n"/>
      <c r="T960" s="125" t="n"/>
      <c r="U960" s="133">
        <f>DADOS_INVOC!$QH$66</f>
        <v/>
      </c>
      <c r="V960" s="16" t="n"/>
      <c r="W960" s="16" t="n"/>
      <c r="X960" s="16" t="n"/>
      <c r="Y960" s="17" t="n"/>
      <c r="Z960" s="125" t="n"/>
      <c r="AB960" s="133">
        <f>DADOS_INVOC!$QH$142</f>
        <v/>
      </c>
      <c r="AC960" s="16" t="n"/>
      <c r="AD960" s="16" t="n"/>
      <c r="AE960" s="16" t="n"/>
      <c r="AF960" s="17" t="n"/>
      <c r="AG960" s="125" t="n"/>
      <c r="AH960" s="133">
        <f>DADOS_INVOC!$QH$143</f>
        <v/>
      </c>
      <c r="AI960" s="16" t="n"/>
      <c r="AJ960" s="16" t="n"/>
      <c r="AK960" s="16" t="n"/>
      <c r="AL960" s="17" t="n"/>
      <c r="AM960" s="125" t="n"/>
      <c r="AN960" s="133">
        <f>DADOS_INVOC!$QH$144</f>
        <v/>
      </c>
      <c r="AO960" s="16" t="n"/>
      <c r="AP960" s="16" t="n"/>
      <c r="AQ960" s="16" t="n"/>
      <c r="AR960" s="17" t="n"/>
      <c r="AS960" s="125" t="n"/>
    </row>
    <row r="961" hidden="1" outlineLevel="3">
      <c r="A961" s="8" t="n"/>
      <c r="B961" s="14" t="n"/>
      <c r="C961" s="125" t="n"/>
      <c r="D961" s="125" t="n"/>
      <c r="E961" s="125" t="n"/>
      <c r="F961" s="125" t="n"/>
      <c r="G961" s="125" t="n"/>
      <c r="I961" s="55" t="inlineStr">
        <is>
          <t>MELHORIAS</t>
        </is>
      </c>
      <c r="J961" s="134" t="n"/>
      <c r="K961" s="16" t="n"/>
      <c r="L961" s="17" t="n"/>
      <c r="M961" s="133">
        <f>DADOS_INVOC!$QK$64</f>
        <v/>
      </c>
      <c r="N961" s="125" t="n"/>
      <c r="O961" s="55" t="inlineStr">
        <is>
          <t>MELHORIAS</t>
        </is>
      </c>
      <c r="P961" s="134" t="n"/>
      <c r="Q961" s="16" t="n"/>
      <c r="R961" s="17" t="n"/>
      <c r="S961" s="133">
        <f>DADOS_INVOC!$QK$65</f>
        <v/>
      </c>
      <c r="T961" s="125" t="n"/>
      <c r="U961" s="55" t="inlineStr">
        <is>
          <t>MELHORIAS</t>
        </is>
      </c>
      <c r="V961" s="134" t="n"/>
      <c r="W961" s="16" t="n"/>
      <c r="X961" s="17" t="n"/>
      <c r="Y961" s="133">
        <f>DADOS_INVOC!$QK$66</f>
        <v/>
      </c>
      <c r="Z961" s="125" t="n"/>
      <c r="AB961" s="55" t="inlineStr">
        <is>
          <t>MELHORIAS</t>
        </is>
      </c>
      <c r="AC961" s="134" t="n"/>
      <c r="AD961" s="16" t="n"/>
      <c r="AE961" s="17" t="n"/>
      <c r="AF961" s="133">
        <f>DADOS_INVOC!$QK$142</f>
        <v/>
      </c>
      <c r="AG961" s="125" t="n"/>
      <c r="AH961" s="55" t="inlineStr">
        <is>
          <t>MELHORIAS</t>
        </is>
      </c>
      <c r="AI961" s="134" t="n"/>
      <c r="AJ961" s="16" t="n"/>
      <c r="AK961" s="17" t="n"/>
      <c r="AL961" s="133">
        <f>DADOS_INVOC!$QK$143</f>
        <v/>
      </c>
      <c r="AM961" s="125" t="n"/>
      <c r="AN961" s="55" t="inlineStr">
        <is>
          <t>MELHORIAS</t>
        </is>
      </c>
      <c r="AO961" s="134" t="n"/>
      <c r="AP961" s="16" t="n"/>
      <c r="AQ961" s="17" t="n"/>
      <c r="AR961" s="133">
        <f>DADOS_INVOC!$QK$144</f>
        <v/>
      </c>
      <c r="AS961" s="125" t="n"/>
    </row>
    <row r="962" hidden="1" outlineLevel="3">
      <c r="A962" s="8" t="n"/>
      <c r="B962" s="14" t="n"/>
      <c r="C962" s="125" t="n"/>
      <c r="D962" s="125" t="n"/>
      <c r="E962" s="125" t="n"/>
      <c r="F962" s="125" t="n"/>
      <c r="G962" s="125" t="n"/>
      <c r="I962" s="135" t="n"/>
      <c r="J962" s="134" t="n"/>
      <c r="K962" s="16" t="n"/>
      <c r="L962" s="17" t="n"/>
      <c r="M962" s="133">
        <f>DADOS_INVOC!$QL$64</f>
        <v/>
      </c>
      <c r="N962" s="125" t="n"/>
      <c r="O962" s="135" t="n"/>
      <c r="P962" s="134" t="n"/>
      <c r="Q962" s="16" t="n"/>
      <c r="R962" s="17" t="n"/>
      <c r="S962" s="133">
        <f>DADOS_INVOC!$QL$65</f>
        <v/>
      </c>
      <c r="T962" s="125" t="n"/>
      <c r="U962" s="135" t="n"/>
      <c r="V962" s="134" t="n"/>
      <c r="W962" s="16" t="n"/>
      <c r="X962" s="17" t="n"/>
      <c r="Y962" s="133">
        <f>DADOS_INVOC!$QL$66</f>
        <v/>
      </c>
      <c r="Z962" s="125" t="n"/>
      <c r="AB962" s="135" t="n"/>
      <c r="AC962" s="134" t="n"/>
      <c r="AD962" s="16" t="n"/>
      <c r="AE962" s="17" t="n"/>
      <c r="AF962" s="133">
        <f>DADOS_INVOC!$QL$142</f>
        <v/>
      </c>
      <c r="AG962" s="125" t="n"/>
      <c r="AH962" s="135" t="n"/>
      <c r="AI962" s="134" t="n"/>
      <c r="AJ962" s="16" t="n"/>
      <c r="AK962" s="17" t="n"/>
      <c r="AL962" s="133">
        <f>DADOS_INVOC!$QL$143</f>
        <v/>
      </c>
      <c r="AM962" s="125" t="n"/>
      <c r="AN962" s="135" t="n"/>
      <c r="AO962" s="134" t="n"/>
      <c r="AP962" s="16" t="n"/>
      <c r="AQ962" s="17" t="n"/>
      <c r="AR962" s="133">
        <f>DADOS_INVOC!$QL$144</f>
        <v/>
      </c>
      <c r="AS962" s="125" t="n"/>
    </row>
    <row r="963" hidden="1" outlineLevel="3">
      <c r="A963" s="8" t="n"/>
      <c r="B963" s="14" t="n"/>
      <c r="C963" s="125" t="n"/>
      <c r="D963" s="125" t="n"/>
      <c r="E963" s="125" t="n"/>
      <c r="F963" s="125" t="n"/>
      <c r="G963" s="125" t="n"/>
      <c r="I963" s="135" t="n"/>
      <c r="J963" s="134" t="n"/>
      <c r="K963" s="16" t="n"/>
      <c r="L963" s="17" t="n"/>
      <c r="M963" s="133">
        <f>DADOS_INVOC!$QM$64</f>
        <v/>
      </c>
      <c r="N963" s="125" t="n"/>
      <c r="O963" s="135" t="n"/>
      <c r="P963" s="134" t="n"/>
      <c r="Q963" s="16" t="n"/>
      <c r="R963" s="17" t="n"/>
      <c r="S963" s="133">
        <f>DADOS_INVOC!$QM$65</f>
        <v/>
      </c>
      <c r="T963" s="125" t="n"/>
      <c r="U963" s="135" t="n"/>
      <c r="V963" s="134" t="n"/>
      <c r="W963" s="16" t="n"/>
      <c r="X963" s="17" t="n"/>
      <c r="Y963" s="133">
        <f>DADOS_INVOC!$QM$66</f>
        <v/>
      </c>
      <c r="Z963" s="125" t="n"/>
      <c r="AB963" s="135" t="n"/>
      <c r="AC963" s="134" t="n"/>
      <c r="AD963" s="16" t="n"/>
      <c r="AE963" s="17" t="n"/>
      <c r="AF963" s="133">
        <f>DADOS_INVOC!$QM$142</f>
        <v/>
      </c>
      <c r="AG963" s="125" t="n"/>
      <c r="AH963" s="135" t="n"/>
      <c r="AI963" s="134" t="n"/>
      <c r="AJ963" s="16" t="n"/>
      <c r="AK963" s="17" t="n"/>
      <c r="AL963" s="133">
        <f>DADOS_INVOC!$QM$143</f>
        <v/>
      </c>
      <c r="AM963" s="125" t="n"/>
      <c r="AN963" s="135" t="n"/>
      <c r="AO963" s="134" t="n"/>
      <c r="AP963" s="16" t="n"/>
      <c r="AQ963" s="17" t="n"/>
      <c r="AR963" s="133">
        <f>DADOS_INVOC!$QM$144</f>
        <v/>
      </c>
      <c r="AS963" s="125" t="n"/>
    </row>
    <row r="964" hidden="1" outlineLevel="3">
      <c r="A964" s="8" t="n"/>
      <c r="B964" s="14" t="n"/>
      <c r="C964" s="125" t="n"/>
      <c r="D964" s="125" t="n"/>
      <c r="E964" s="125" t="n"/>
      <c r="F964" s="125" t="n"/>
      <c r="G964" s="125" t="n"/>
      <c r="I964" s="129" t="n"/>
      <c r="J964" s="134" t="n"/>
      <c r="K964" s="16" t="n"/>
      <c r="L964" s="17" t="n"/>
      <c r="M964" s="133">
        <f>DADOS_INVOC!$QN$64</f>
        <v/>
      </c>
      <c r="N964" s="125" t="n"/>
      <c r="O964" s="129" t="n"/>
      <c r="P964" s="134" t="n"/>
      <c r="Q964" s="16" t="n"/>
      <c r="R964" s="17" t="n"/>
      <c r="S964" s="133">
        <f>DADOS_INVOC!$QN$65</f>
        <v/>
      </c>
      <c r="T964" s="125" t="n"/>
      <c r="U964" s="129" t="n"/>
      <c r="V964" s="134" t="n"/>
      <c r="W964" s="16" t="n"/>
      <c r="X964" s="17" t="n"/>
      <c r="Y964" s="133">
        <f>DADOS_INVOC!$QN$66</f>
        <v/>
      </c>
      <c r="Z964" s="125" t="n"/>
      <c r="AB964" s="129" t="n"/>
      <c r="AC964" s="134" t="n"/>
      <c r="AD964" s="16" t="n"/>
      <c r="AE964" s="17" t="n"/>
      <c r="AF964" s="133">
        <f>DADOS_INVOC!$QN$142</f>
        <v/>
      </c>
      <c r="AG964" s="125" t="n"/>
      <c r="AH964" s="129" t="n"/>
      <c r="AI964" s="134" t="n"/>
      <c r="AJ964" s="16" t="n"/>
      <c r="AK964" s="17" t="n"/>
      <c r="AL964" s="133">
        <f>DADOS_INVOC!$QN$143</f>
        <v/>
      </c>
      <c r="AM964" s="125" t="n"/>
      <c r="AN964" s="129" t="n"/>
      <c r="AO964" s="134" t="n"/>
      <c r="AP964" s="16" t="n"/>
      <c r="AQ964" s="17" t="n"/>
      <c r="AR964" s="133">
        <f>DADOS_INVOC!$QN$144</f>
        <v/>
      </c>
      <c r="AS964" s="125" t="n"/>
    </row>
    <row r="965" hidden="1" outlineLevel="3">
      <c r="A965" s="8" t="n"/>
      <c r="B965" s="14" t="n"/>
      <c r="C965" s="125" t="n"/>
      <c r="D965" s="125" t="n"/>
      <c r="E965" s="125" t="n"/>
      <c r="F965" s="125" t="n"/>
      <c r="G965" s="125" t="n"/>
      <c r="I965" s="55" t="inlineStr">
        <is>
          <t>RESTRIÇÕES</t>
        </is>
      </c>
      <c r="J965" s="134" t="n"/>
      <c r="K965" s="16" t="n"/>
      <c r="L965" s="17" t="n"/>
      <c r="M965" s="133">
        <f>DADOS_INVOC!$QO$64</f>
        <v/>
      </c>
      <c r="N965" s="125" t="n"/>
      <c r="O965" s="55" t="inlineStr">
        <is>
          <t>RESTRIÇÕES</t>
        </is>
      </c>
      <c r="P965" s="134" t="n"/>
      <c r="Q965" s="16" t="n"/>
      <c r="R965" s="17" t="n"/>
      <c r="S965" s="133">
        <f>DADOS_INVOC!$QO$65</f>
        <v/>
      </c>
      <c r="T965" s="125" t="n"/>
      <c r="U965" s="55" t="inlineStr">
        <is>
          <t>RESTRIÇÕES</t>
        </is>
      </c>
      <c r="V965" s="134" t="n"/>
      <c r="W965" s="16" t="n"/>
      <c r="X965" s="17" t="n"/>
      <c r="Y965" s="133">
        <f>DADOS_INVOC!$QO$66</f>
        <v/>
      </c>
      <c r="Z965" s="125" t="n"/>
      <c r="AB965" s="55" t="inlineStr">
        <is>
          <t>RESTRIÇÕES</t>
        </is>
      </c>
      <c r="AC965" s="134" t="n"/>
      <c r="AD965" s="16" t="n"/>
      <c r="AE965" s="17" t="n"/>
      <c r="AF965" s="133">
        <f>DADOS_INVOC!$QO$142</f>
        <v/>
      </c>
      <c r="AG965" s="125" t="n"/>
      <c r="AH965" s="55" t="inlineStr">
        <is>
          <t>RESTRIÇÕES</t>
        </is>
      </c>
      <c r="AI965" s="134" t="n"/>
      <c r="AJ965" s="16" t="n"/>
      <c r="AK965" s="17" t="n"/>
      <c r="AL965" s="133">
        <f>DADOS_INVOC!$QO$143</f>
        <v/>
      </c>
      <c r="AM965" s="125" t="n"/>
      <c r="AN965" s="55" t="inlineStr">
        <is>
          <t>RESTRIÇÕES</t>
        </is>
      </c>
      <c r="AO965" s="134" t="n"/>
      <c r="AP965" s="16" t="n"/>
      <c r="AQ965" s="17" t="n"/>
      <c r="AR965" s="133">
        <f>DADOS_INVOC!$QO$144</f>
        <v/>
      </c>
      <c r="AS965" s="125" t="n"/>
    </row>
    <row r="966" hidden="1" outlineLevel="3">
      <c r="A966" s="8" t="n"/>
      <c r="B966" s="14" t="n"/>
      <c r="C966" s="125" t="n"/>
      <c r="D966" s="125" t="n"/>
      <c r="E966" s="125" t="n"/>
      <c r="F966" s="125" t="n"/>
      <c r="G966" s="125" t="n"/>
      <c r="I966" s="129" t="n"/>
      <c r="J966" s="134" t="n"/>
      <c r="K966" s="16" t="n"/>
      <c r="L966" s="17" t="n"/>
      <c r="M966" s="133">
        <f>DADOS_INVOC!$QP$64</f>
        <v/>
      </c>
      <c r="N966" s="125" t="n"/>
      <c r="O966" s="129" t="n"/>
      <c r="P966" s="134" t="n"/>
      <c r="Q966" s="16" t="n"/>
      <c r="R966" s="17" t="n"/>
      <c r="S966" s="133">
        <f>DADOS_INVOC!$QP$65</f>
        <v/>
      </c>
      <c r="T966" s="125" t="n"/>
      <c r="U966" s="129" t="n"/>
      <c r="V966" s="134" t="n"/>
      <c r="W966" s="16" t="n"/>
      <c r="X966" s="17" t="n"/>
      <c r="Y966" s="133">
        <f>DADOS_INVOC!$QP$66</f>
        <v/>
      </c>
      <c r="Z966" s="125" t="n"/>
      <c r="AB966" s="129" t="n"/>
      <c r="AC966" s="134" t="n"/>
      <c r="AD966" s="16" t="n"/>
      <c r="AE966" s="17" t="n"/>
      <c r="AF966" s="133">
        <f>DADOS_INVOC!$QP$142</f>
        <v/>
      </c>
      <c r="AG966" s="125" t="n"/>
      <c r="AH966" s="129" t="n"/>
      <c r="AI966" s="134" t="n"/>
      <c r="AJ966" s="16" t="n"/>
      <c r="AK966" s="17" t="n"/>
      <c r="AL966" s="133">
        <f>DADOS_INVOC!$QP$143</f>
        <v/>
      </c>
      <c r="AM966" s="125" t="n"/>
      <c r="AN966" s="129" t="n"/>
      <c r="AO966" s="134" t="n"/>
      <c r="AP966" s="16" t="n"/>
      <c r="AQ966" s="17" t="n"/>
      <c r="AR966" s="133">
        <f>DADOS_INVOC!$QP$144</f>
        <v/>
      </c>
      <c r="AS966" s="125" t="n"/>
    </row>
    <row r="967" hidden="1" outlineLevel="3">
      <c r="A967" s="8" t="n"/>
      <c r="B967" s="14" t="n"/>
      <c r="C967" s="125" t="n"/>
      <c r="D967" s="125" t="n"/>
      <c r="E967" s="125" t="n"/>
      <c r="F967" s="125" t="n"/>
      <c r="G967" s="125" t="n"/>
      <c r="I967" s="55" t="inlineStr">
        <is>
          <t>CONTA</t>
        </is>
      </c>
      <c r="J967" s="136">
        <f>DADOS_INVOC!$QI$64</f>
        <v/>
      </c>
      <c r="K967" s="16" t="n"/>
      <c r="L967" s="16" t="n"/>
      <c r="M967" s="17" t="n"/>
      <c r="N967" s="125" t="n"/>
      <c r="O967" s="55" t="inlineStr">
        <is>
          <t>CONTA</t>
        </is>
      </c>
      <c r="P967" s="136">
        <f>DADOS_INVOC!$QI$65</f>
        <v/>
      </c>
      <c r="Q967" s="16" t="n"/>
      <c r="R967" s="16" t="n"/>
      <c r="S967" s="17" t="n"/>
      <c r="T967" s="125" t="n"/>
      <c r="U967" s="55" t="inlineStr">
        <is>
          <t>CONTA</t>
        </is>
      </c>
      <c r="V967" s="136">
        <f>DADOS_INVOC!$QI$66</f>
        <v/>
      </c>
      <c r="W967" s="16" t="n"/>
      <c r="X967" s="16" t="n"/>
      <c r="Y967" s="17" t="n"/>
      <c r="Z967" s="125" t="n"/>
      <c r="AB967" s="55" t="inlineStr">
        <is>
          <t>CONTA</t>
        </is>
      </c>
      <c r="AC967" s="136">
        <f>DADOS_INVOC!$QI$142</f>
        <v/>
      </c>
      <c r="AD967" s="16" t="n"/>
      <c r="AE967" s="16" t="n"/>
      <c r="AF967" s="17" t="n"/>
      <c r="AG967" s="125" t="n"/>
      <c r="AH967" s="55" t="inlineStr">
        <is>
          <t>CONTA</t>
        </is>
      </c>
      <c r="AI967" s="136">
        <f>DADOS_INVOC!$QI$143</f>
        <v/>
      </c>
      <c r="AJ967" s="16" t="n"/>
      <c r="AK967" s="16" t="n"/>
      <c r="AL967" s="17" t="n"/>
      <c r="AM967" s="125" t="n"/>
      <c r="AN967" s="55" t="inlineStr">
        <is>
          <t>CONTA</t>
        </is>
      </c>
      <c r="AO967" s="136">
        <f>DADOS_INVOC!$QI$144</f>
        <v/>
      </c>
      <c r="AP967" s="16" t="n"/>
      <c r="AQ967" s="16" t="n"/>
      <c r="AR967" s="17" t="n"/>
      <c r="AS967" s="125" t="n"/>
    </row>
    <row r="968" hidden="1" outlineLevel="3">
      <c r="A968" s="8" t="n"/>
      <c r="B968" s="14" t="n"/>
      <c r="C968" s="125" t="n"/>
      <c r="D968" s="125" t="n"/>
      <c r="E968" s="125" t="n"/>
      <c r="F968" s="125" t="n"/>
      <c r="G968" s="125" t="n"/>
      <c r="I968" s="55" t="inlineStr">
        <is>
          <t>AMPLIAR</t>
        </is>
      </c>
      <c r="J968" s="136">
        <f>DADOS_INVOC!$QJ$64</f>
        <v/>
      </c>
      <c r="K968" s="19" t="n"/>
      <c r="L968" s="19" t="n"/>
      <c r="M968" s="20" t="n"/>
      <c r="N968" s="125" t="n"/>
      <c r="O968" s="55" t="inlineStr">
        <is>
          <t>AMPLIAR</t>
        </is>
      </c>
      <c r="P968" s="136">
        <f>DADOS_INVOC!$QJ$65</f>
        <v/>
      </c>
      <c r="Q968" s="19" t="n"/>
      <c r="R968" s="19" t="n"/>
      <c r="S968" s="20" t="n"/>
      <c r="T968" s="125" t="n"/>
      <c r="U968" s="55" t="inlineStr">
        <is>
          <t>AMPLIAR</t>
        </is>
      </c>
      <c r="V968" s="136">
        <f>DADOS_INVOC!$QJ$66</f>
        <v/>
      </c>
      <c r="W968" s="19" t="n"/>
      <c r="X968" s="19" t="n"/>
      <c r="Y968" s="20" t="n"/>
      <c r="Z968" s="125" t="n"/>
      <c r="AB968" s="55" t="inlineStr">
        <is>
          <t>AMPLIAR</t>
        </is>
      </c>
      <c r="AC968" s="136">
        <f>DADOS_INVOC!$QJ$142</f>
        <v/>
      </c>
      <c r="AD968" s="19" t="n"/>
      <c r="AE968" s="19" t="n"/>
      <c r="AF968" s="20" t="n"/>
      <c r="AG968" s="125" t="n"/>
      <c r="AH968" s="55" t="inlineStr">
        <is>
          <t>AMPLIAR</t>
        </is>
      </c>
      <c r="AI968" s="136">
        <f>DADOS_INVOC!$QJ$143</f>
        <v/>
      </c>
      <c r="AJ968" s="19" t="n"/>
      <c r="AK968" s="19" t="n"/>
      <c r="AL968" s="20" t="n"/>
      <c r="AM968" s="125" t="n"/>
      <c r="AN968" s="55" t="inlineStr">
        <is>
          <t>AMPLIAR</t>
        </is>
      </c>
      <c r="AO968" s="136">
        <f>DADOS_INVOC!$QJ$144</f>
        <v/>
      </c>
      <c r="AP968" s="19" t="n"/>
      <c r="AQ968" s="19" t="n"/>
      <c r="AR968" s="20" t="n"/>
      <c r="AS968" s="125" t="n"/>
    </row>
    <row r="969" hidden="1" outlineLevel="3">
      <c r="A969" s="8" t="n"/>
      <c r="B969" s="14" t="n"/>
      <c r="C969" s="125" t="n"/>
      <c r="D969" s="125" t="n"/>
      <c r="E969" s="125" t="n"/>
      <c r="F969" s="125" t="n"/>
      <c r="G969" s="125" t="n"/>
      <c r="I969" s="129" t="n"/>
      <c r="J969" s="23" t="n"/>
      <c r="K969" s="24" t="n"/>
      <c r="L969" s="24" t="n"/>
      <c r="M969" s="25" t="n"/>
      <c r="N969" s="125" t="n"/>
      <c r="O969" s="129" t="n"/>
      <c r="P969" s="23" t="n"/>
      <c r="Q969" s="24" t="n"/>
      <c r="R969" s="24" t="n"/>
      <c r="S969" s="25" t="n"/>
      <c r="T969" s="125" t="n"/>
      <c r="U969" s="129" t="n"/>
      <c r="V969" s="23" t="n"/>
      <c r="W969" s="24" t="n"/>
      <c r="X969" s="24" t="n"/>
      <c r="Y969" s="25" t="n"/>
      <c r="Z969" s="125" t="n"/>
      <c r="AB969" s="129" t="n"/>
      <c r="AC969" s="23" t="n"/>
      <c r="AD969" s="24" t="n"/>
      <c r="AE969" s="24" t="n"/>
      <c r="AF969" s="25" t="n"/>
      <c r="AG969" s="125" t="n"/>
      <c r="AH969" s="129" t="n"/>
      <c r="AI969" s="23" t="n"/>
      <c r="AJ969" s="24" t="n"/>
      <c r="AK969" s="24" t="n"/>
      <c r="AL969" s="25" t="n"/>
      <c r="AM969" s="125" t="n"/>
      <c r="AN969" s="129" t="n"/>
      <c r="AO969" s="23" t="n"/>
      <c r="AP969" s="24" t="n"/>
      <c r="AQ969" s="24" t="n"/>
      <c r="AR969" s="25" t="n"/>
      <c r="AS969" s="125" t="n"/>
    </row>
    <row r="970" hidden="1" outlineLevel="3">
      <c r="A970" s="8" t="n"/>
      <c r="B970" s="14" t="n"/>
      <c r="C970" s="125" t="n"/>
      <c r="D970" s="125" t="n"/>
      <c r="E970" s="125" t="n"/>
      <c r="F970" s="125" t="n"/>
      <c r="G970" s="125" t="n"/>
      <c r="I970" s="136">
        <f>DADOS_INVOC!$PW$64</f>
        <v/>
      </c>
      <c r="J970" s="19" t="n"/>
      <c r="K970" s="19" t="n"/>
      <c r="L970" s="19" t="n"/>
      <c r="M970" s="20" t="n"/>
      <c r="N970" s="125" t="n"/>
      <c r="O970" s="136">
        <f>DADOS_INVOC!$PW$65</f>
        <v/>
      </c>
      <c r="P970" s="19" t="n"/>
      <c r="Q970" s="19" t="n"/>
      <c r="R970" s="19" t="n"/>
      <c r="S970" s="20" t="n"/>
      <c r="T970" s="125" t="n"/>
      <c r="U970" s="136">
        <f>DADOS_INVOC!$PW$66</f>
        <v/>
      </c>
      <c r="V970" s="19" t="n"/>
      <c r="W970" s="19" t="n"/>
      <c r="X970" s="19" t="n"/>
      <c r="Y970" s="20" t="n"/>
      <c r="Z970" s="125" t="n"/>
      <c r="AB970" s="136">
        <f>DADOS_INVOC!$PW$142</f>
        <v/>
      </c>
      <c r="AC970" s="19" t="n"/>
      <c r="AD970" s="19" t="n"/>
      <c r="AE970" s="19" t="n"/>
      <c r="AF970" s="20" t="n"/>
      <c r="AG970" s="125" t="n"/>
      <c r="AH970" s="136">
        <f>DADOS_INVOC!$PW$143</f>
        <v/>
      </c>
      <c r="AI970" s="19" t="n"/>
      <c r="AJ970" s="19" t="n"/>
      <c r="AK970" s="19" t="n"/>
      <c r="AL970" s="20" t="n"/>
      <c r="AM970" s="125" t="n"/>
      <c r="AN970" s="136">
        <f>DADOS_INVOC!$PW$144</f>
        <v/>
      </c>
      <c r="AO970" s="19" t="n"/>
      <c r="AP970" s="19" t="n"/>
      <c r="AQ970" s="19" t="n"/>
      <c r="AR970" s="20" t="n"/>
      <c r="AS970" s="125" t="n"/>
    </row>
    <row r="971" hidden="1" outlineLevel="3">
      <c r="A971" s="8" t="n"/>
      <c r="B971" s="14" t="n"/>
      <c r="C971" s="125" t="n"/>
      <c r="D971" s="125" t="n"/>
      <c r="E971" s="125" t="n"/>
      <c r="F971" s="125" t="n"/>
      <c r="G971" s="125" t="n"/>
      <c r="I971" s="23" t="n"/>
      <c r="J971" s="24" t="n"/>
      <c r="K971" s="24" t="n"/>
      <c r="L971" s="24" t="n"/>
      <c r="M971" s="25" t="n"/>
      <c r="N971" s="125" t="n"/>
      <c r="O971" s="23" t="n"/>
      <c r="P971" s="24" t="n"/>
      <c r="Q971" s="24" t="n"/>
      <c r="R971" s="24" t="n"/>
      <c r="S971" s="25" t="n"/>
      <c r="T971" s="125" t="n"/>
      <c r="U971" s="23" t="n"/>
      <c r="V971" s="24" t="n"/>
      <c r="W971" s="24" t="n"/>
      <c r="X971" s="24" t="n"/>
      <c r="Y971" s="25" t="n"/>
      <c r="Z971" s="125" t="n"/>
      <c r="AB971" s="23" t="n"/>
      <c r="AC971" s="24" t="n"/>
      <c r="AD971" s="24" t="n"/>
      <c r="AE971" s="24" t="n"/>
      <c r="AF971" s="25" t="n"/>
      <c r="AG971" s="125" t="n"/>
      <c r="AH971" s="23" t="n"/>
      <c r="AI971" s="24" t="n"/>
      <c r="AJ971" s="24" t="n"/>
      <c r="AK971" s="24" t="n"/>
      <c r="AL971" s="25" t="n"/>
      <c r="AM971" s="125" t="n"/>
      <c r="AN971" s="23" t="n"/>
      <c r="AO971" s="24" t="n"/>
      <c r="AP971" s="24" t="n"/>
      <c r="AQ971" s="24" t="n"/>
      <c r="AR971" s="25" t="n"/>
      <c r="AS971" s="125" t="n"/>
    </row>
    <row r="972" hidden="1" outlineLevel="2">
      <c r="A972" s="8" t="n"/>
      <c r="B972" s="14" t="n"/>
      <c r="C972" s="125" t="n"/>
      <c r="D972" s="125" t="n"/>
      <c r="E972" s="125" t="n"/>
      <c r="F972" s="125" t="n"/>
      <c r="G972" s="125" t="n"/>
      <c r="I972" s="125" t="n"/>
      <c r="J972" s="125" t="n"/>
      <c r="K972" s="125" t="n"/>
      <c r="L972" s="125" t="n"/>
      <c r="M972" s="125" t="n"/>
      <c r="N972" s="125" t="n"/>
      <c r="O972" s="125" t="n"/>
      <c r="P972" s="125" t="n"/>
      <c r="Q972" s="125" t="n"/>
      <c r="R972" s="125" t="n"/>
      <c r="S972" s="125" t="n"/>
      <c r="T972" s="125" t="n"/>
      <c r="U972" s="125" t="n"/>
      <c r="V972" s="125" t="n"/>
      <c r="W972" s="125" t="n"/>
      <c r="X972" s="125" t="n"/>
      <c r="Y972" s="125" t="n"/>
      <c r="Z972" s="125" t="n"/>
      <c r="AB972" s="125" t="n"/>
      <c r="AC972" s="125" t="n"/>
      <c r="AD972" s="125" t="n"/>
      <c r="AE972" s="125" t="n"/>
      <c r="AF972" s="125" t="n"/>
      <c r="AG972" s="125" t="n"/>
      <c r="AH972" s="125" t="n"/>
      <c r="AI972" s="125" t="n"/>
      <c r="AJ972" s="125" t="n"/>
      <c r="AK972" s="125" t="n"/>
      <c r="AL972" s="125" t="n"/>
      <c r="AM972" s="125" t="n"/>
      <c r="AN972" s="125" t="n"/>
      <c r="AO972" s="125" t="n"/>
      <c r="AP972" s="125" t="n"/>
      <c r="AQ972" s="125" t="n"/>
      <c r="AR972" s="125" t="n"/>
      <c r="AS972" s="125" t="n"/>
    </row>
    <row r="973" hidden="1" outlineLevel="2">
      <c r="A973" s="8" t="n"/>
      <c r="B973" s="14" t="n"/>
      <c r="C973" s="125" t="n"/>
      <c r="D973" s="125" t="n"/>
      <c r="E973" s="125" t="n"/>
      <c r="F973" s="125" t="n"/>
      <c r="G973" s="125"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5"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5" t="n"/>
    </row>
    <row r="974" hidden="1" outlineLevel="2">
      <c r="A974" s="8" t="n"/>
      <c r="B974" s="14" t="n"/>
      <c r="C974" s="125" t="n"/>
      <c r="D974" s="125" t="n"/>
      <c r="E974" s="125" t="n"/>
      <c r="F974" s="125" t="n"/>
      <c r="G974" s="125" t="n"/>
      <c r="I974" s="55" t="inlineStr">
        <is>
          <t>TRILHA · CE 1</t>
        </is>
      </c>
      <c r="J974" s="134" t="n"/>
      <c r="K974" s="16" t="n"/>
      <c r="L974" s="17" t="n"/>
      <c r="M974" s="141">
        <f>DADOS_INVOC!$IU$6</f>
        <v/>
      </c>
      <c r="N974" s="16" t="n"/>
      <c r="O974" s="16" t="n"/>
      <c r="P974" s="16" t="n"/>
      <c r="Q974" s="16" t="n"/>
      <c r="R974" s="16" t="n"/>
      <c r="S974" s="16" t="n"/>
      <c r="T974" s="16" t="n"/>
      <c r="U974" s="16" t="n"/>
      <c r="V974" s="16" t="n"/>
      <c r="W974" s="16" t="n"/>
      <c r="X974" s="16" t="n"/>
      <c r="Y974" s="17" t="n"/>
      <c r="Z974" s="125" t="n"/>
      <c r="AB974" s="55" t="inlineStr">
        <is>
          <t>TRILHA · CE 1</t>
        </is>
      </c>
      <c r="AC974" s="134" t="n"/>
      <c r="AD974" s="16" t="n"/>
      <c r="AE974" s="17" t="n"/>
      <c r="AF974" s="141">
        <f>DADOS_INVOC!$IU$12</f>
        <v/>
      </c>
      <c r="AG974" s="16" t="n"/>
      <c r="AH974" s="16" t="n"/>
      <c r="AI974" s="16" t="n"/>
      <c r="AJ974" s="16" t="n"/>
      <c r="AK974" s="16" t="n"/>
      <c r="AL974" s="16" t="n"/>
      <c r="AM974" s="16" t="n"/>
      <c r="AN974" s="16" t="n"/>
      <c r="AO974" s="16" t="n"/>
      <c r="AP974" s="16" t="n"/>
      <c r="AQ974" s="16" t="n"/>
      <c r="AR974" s="17" t="n"/>
      <c r="AS974" s="125" t="n"/>
    </row>
    <row r="975" hidden="1" outlineLevel="2">
      <c r="A975" s="8" t="n"/>
      <c r="B975" s="14" t="n"/>
      <c r="C975" s="125" t="n"/>
      <c r="D975" s="125" t="n"/>
      <c r="E975" s="125" t="n"/>
      <c r="F975" s="125" t="n"/>
      <c r="G975" s="125" t="n"/>
      <c r="I975" s="55" t="inlineStr">
        <is>
          <t>TRILHA · CE 1</t>
        </is>
      </c>
      <c r="J975" s="134" t="n"/>
      <c r="K975" s="16" t="n"/>
      <c r="L975" s="17" t="n"/>
      <c r="M975" s="141">
        <f>DADOS_INVOC!$IV$6</f>
        <v/>
      </c>
      <c r="N975" s="16" t="n"/>
      <c r="O975" s="16" t="n"/>
      <c r="P975" s="16" t="n"/>
      <c r="Q975" s="16" t="n"/>
      <c r="R975" s="16" t="n"/>
      <c r="S975" s="16" t="n"/>
      <c r="T975" s="16" t="n"/>
      <c r="U975" s="16" t="n"/>
      <c r="V975" s="16" t="n"/>
      <c r="W975" s="16" t="n"/>
      <c r="X975" s="16" t="n"/>
      <c r="Y975" s="17" t="n"/>
      <c r="Z975" s="125" t="n"/>
      <c r="AB975" s="55" t="inlineStr">
        <is>
          <t>TRILHA · CE 1</t>
        </is>
      </c>
      <c r="AC975" s="134" t="n"/>
      <c r="AD975" s="16" t="n"/>
      <c r="AE975" s="17" t="n"/>
      <c r="AF975" s="141">
        <f>DADOS_INVOC!$IV$12</f>
        <v/>
      </c>
      <c r="AG975" s="16" t="n"/>
      <c r="AH975" s="16" t="n"/>
      <c r="AI975" s="16" t="n"/>
      <c r="AJ975" s="16" t="n"/>
      <c r="AK975" s="16" t="n"/>
      <c r="AL975" s="16" t="n"/>
      <c r="AM975" s="16" t="n"/>
      <c r="AN975" s="16" t="n"/>
      <c r="AO975" s="16" t="n"/>
      <c r="AP975" s="16" t="n"/>
      <c r="AQ975" s="16" t="n"/>
      <c r="AR975" s="17" t="n"/>
      <c r="AS975" s="125" t="n"/>
    </row>
    <row r="976" hidden="1" outlineLevel="2">
      <c r="A976" s="8" t="n"/>
      <c r="B976" s="14" t="n"/>
      <c r="C976" s="125" t="n"/>
      <c r="D976" s="125" t="n"/>
      <c r="E976" s="125" t="n"/>
      <c r="F976" s="125" t="n"/>
      <c r="G976" s="125" t="n"/>
      <c r="I976" s="55" t="inlineStr">
        <is>
          <t>TRILHA · CE 1</t>
        </is>
      </c>
      <c r="J976" s="134" t="n"/>
      <c r="K976" s="16" t="n"/>
      <c r="L976" s="17" t="n"/>
      <c r="M976" s="141">
        <f>DADOS_INVOC!$IW$6</f>
        <v/>
      </c>
      <c r="N976" s="16" t="n"/>
      <c r="O976" s="16" t="n"/>
      <c r="P976" s="16" t="n"/>
      <c r="Q976" s="16" t="n"/>
      <c r="R976" s="16" t="n"/>
      <c r="S976" s="16" t="n"/>
      <c r="T976" s="16" t="n"/>
      <c r="U976" s="16" t="n"/>
      <c r="V976" s="16" t="n"/>
      <c r="W976" s="16" t="n"/>
      <c r="X976" s="16" t="n"/>
      <c r="Y976" s="17" t="n"/>
      <c r="Z976" s="125" t="n"/>
      <c r="AB976" s="55" t="inlineStr">
        <is>
          <t>TRILHA · CE 1</t>
        </is>
      </c>
      <c r="AC976" s="134" t="n"/>
      <c r="AD976" s="16" t="n"/>
      <c r="AE976" s="17" t="n"/>
      <c r="AF976" s="141">
        <f>DADOS_INVOC!$IW$12</f>
        <v/>
      </c>
      <c r="AG976" s="16" t="n"/>
      <c r="AH976" s="16" t="n"/>
      <c r="AI976" s="16" t="n"/>
      <c r="AJ976" s="16" t="n"/>
      <c r="AK976" s="16" t="n"/>
      <c r="AL976" s="16" t="n"/>
      <c r="AM976" s="16" t="n"/>
      <c r="AN976" s="16" t="n"/>
      <c r="AO976" s="16" t="n"/>
      <c r="AP976" s="16" t="n"/>
      <c r="AQ976" s="16" t="n"/>
      <c r="AR976" s="17" t="n"/>
      <c r="AS976" s="125" t="n"/>
    </row>
    <row r="977" hidden="1" outlineLevel="1">
      <c r="A977" s="8" t="n"/>
      <c r="B977" s="14" t="n"/>
      <c r="C977" s="125" t="n"/>
      <c r="D977" s="125" t="n"/>
      <c r="E977" s="125" t="n"/>
      <c r="F977" s="125" t="n"/>
      <c r="G977" s="125" t="n"/>
      <c r="I977" s="125" t="n"/>
      <c r="J977" s="125" t="n"/>
      <c r="K977" s="125" t="n"/>
      <c r="L977" s="125" t="n"/>
      <c r="M977" s="125" t="n"/>
      <c r="N977" s="125" t="n"/>
      <c r="O977" s="125" t="n"/>
      <c r="P977" s="125" t="n"/>
      <c r="Q977" s="125" t="n"/>
      <c r="R977" s="125" t="n"/>
      <c r="S977" s="125" t="n"/>
      <c r="T977" s="125" t="n"/>
      <c r="U977" s="125" t="n"/>
      <c r="V977" s="125" t="n"/>
      <c r="W977" s="125" t="n"/>
      <c r="X977" s="125" t="n"/>
      <c r="Y977" s="125" t="n"/>
      <c r="Z977" s="125" t="n"/>
      <c r="AB977" s="125" t="n"/>
      <c r="AC977" s="125" t="n"/>
      <c r="AD977" s="125" t="n"/>
      <c r="AE977" s="125" t="n"/>
      <c r="AF977" s="125" t="n"/>
      <c r="AG977" s="125" t="n"/>
      <c r="AH977" s="125" t="n"/>
      <c r="AI977" s="125" t="n"/>
      <c r="AJ977" s="125" t="n"/>
      <c r="AK977" s="125" t="n"/>
      <c r="AL977" s="125" t="n"/>
      <c r="AM977" s="125" t="n"/>
      <c r="AN977" s="125" t="n"/>
      <c r="AO977" s="125" t="n"/>
      <c r="AP977" s="125" t="n"/>
      <c r="AQ977" s="125" t="n"/>
      <c r="AR977" s="125" t="n"/>
      <c r="AS977" s="125" t="n"/>
    </row>
    <row r="978" hidden="1" outlineLevel="1">
      <c r="A978" s="8" t="n"/>
      <c r="B978" s="14" t="n"/>
      <c r="C978" s="125" t="n"/>
      <c r="D978" s="125" t="n"/>
      <c r="E978" s="125" t="n"/>
      <c r="F978" s="125" t="n"/>
      <c r="G978" s="125" t="n"/>
      <c r="I978" s="137"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5" t="n"/>
      <c r="AB978" s="137"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5" t="n"/>
    </row>
    <row r="979" hidden="1" outlineLevel="2">
      <c r="A979" s="8" t="n"/>
      <c r="B979" s="14" t="n"/>
      <c r="C979" s="125" t="n"/>
      <c r="D979" s="125" t="n"/>
      <c r="E979" s="125" t="n"/>
      <c r="F979" s="125" t="n"/>
      <c r="G979" s="125" t="n"/>
      <c r="I979" s="125" t="n"/>
      <c r="J979" s="125" t="n"/>
      <c r="K979" s="125" t="n"/>
      <c r="L979" s="125" t="n"/>
      <c r="M979" s="125" t="n"/>
      <c r="N979" s="125" t="n"/>
      <c r="O979" s="125" t="n"/>
      <c r="P979" s="125" t="n"/>
      <c r="Q979" s="125" t="n"/>
      <c r="R979" s="125" t="n"/>
      <c r="S979" s="125" t="n"/>
      <c r="T979" s="125" t="n"/>
      <c r="U979" s="125" t="n"/>
      <c r="V979" s="125" t="n"/>
      <c r="W979" s="125" t="n"/>
      <c r="X979" s="125" t="n"/>
      <c r="Y979" s="125" t="n"/>
      <c r="Z979" s="125" t="n"/>
      <c r="AB979" s="125" t="n"/>
      <c r="AC979" s="125" t="n"/>
      <c r="AD979" s="125" t="n"/>
      <c r="AE979" s="125" t="n"/>
      <c r="AF979" s="125" t="n"/>
      <c r="AG979" s="125" t="n"/>
      <c r="AH979" s="125" t="n"/>
      <c r="AI979" s="125" t="n"/>
      <c r="AJ979" s="125" t="n"/>
      <c r="AK979" s="125" t="n"/>
      <c r="AL979" s="125" t="n"/>
      <c r="AM979" s="125" t="n"/>
      <c r="AN979" s="125" t="n"/>
      <c r="AO979" s="125" t="n"/>
      <c r="AP979" s="125" t="n"/>
      <c r="AQ979" s="125" t="n"/>
      <c r="AR979" s="125" t="n"/>
      <c r="AS979" s="125" t="n"/>
    </row>
    <row r="980" hidden="1" outlineLevel="2">
      <c r="A980" s="8" t="n"/>
      <c r="B980" s="14" t="n"/>
      <c r="C980" s="125" t="n"/>
      <c r="D980" s="125" t="n"/>
      <c r="E980" s="125" t="n"/>
      <c r="F980" s="125" t="n"/>
      <c r="G980" s="125" t="n"/>
      <c r="I980" s="55" t="inlineStr">
        <is>
          <t>LIBERAÇÃO MÁXIMA 1</t>
        </is>
      </c>
      <c r="J980" s="16" t="n"/>
      <c r="K980" s="16" t="n"/>
      <c r="L980" s="16" t="n"/>
      <c r="M980" s="17" t="n"/>
      <c r="N980" s="125" t="n"/>
      <c r="O980" s="55" t="inlineStr">
        <is>
          <t>LIBERAÇÃO MÁXIMA 2</t>
        </is>
      </c>
      <c r="P980" s="16" t="n"/>
      <c r="Q980" s="16" t="n"/>
      <c r="R980" s="16" t="n"/>
      <c r="S980" s="17" t="n"/>
      <c r="T980" s="125" t="n"/>
      <c r="U980" s="55" t="inlineStr">
        <is>
          <t>LIBERAÇÃO MÁXIMA 3</t>
        </is>
      </c>
      <c r="V980" s="16" t="n"/>
      <c r="W980" s="16" t="n"/>
      <c r="X980" s="16" t="n"/>
      <c r="Y980" s="17" t="n"/>
      <c r="Z980" s="125" t="n"/>
      <c r="AB980" s="55" t="inlineStr">
        <is>
          <t>LIBERAÇÃO MÁXIMA 1</t>
        </is>
      </c>
      <c r="AC980" s="16" t="n"/>
      <c r="AD980" s="16" t="n"/>
      <c r="AE980" s="16" t="n"/>
      <c r="AF980" s="17" t="n"/>
      <c r="AG980" s="125" t="n"/>
      <c r="AH980" s="55" t="inlineStr">
        <is>
          <t>LIBERAÇÃO MÁXIMA 2</t>
        </is>
      </c>
      <c r="AI980" s="16" t="n"/>
      <c r="AJ980" s="16" t="n"/>
      <c r="AK980" s="16" t="n"/>
      <c r="AL980" s="17" t="n"/>
      <c r="AM980" s="125" t="n"/>
      <c r="AN980" s="55" t="inlineStr">
        <is>
          <t>LIBERAÇÃO MÁXIMA 3</t>
        </is>
      </c>
      <c r="AO980" s="16" t="n"/>
      <c r="AP980" s="16" t="n"/>
      <c r="AQ980" s="16" t="n"/>
      <c r="AR980" s="17" t="n"/>
      <c r="AS980" s="125" t="n"/>
    </row>
    <row r="981" hidden="1" outlineLevel="2">
      <c r="A981" s="8" t="n"/>
      <c r="B981" s="14" t="n"/>
      <c r="C981" s="125" t="n"/>
      <c r="D981" s="125" t="n"/>
      <c r="E981" s="125" t="n"/>
      <c r="F981" s="125" t="n"/>
      <c r="G981" s="125" t="n"/>
      <c r="I981" s="131" t="n">
        <v>3</v>
      </c>
      <c r="J981" s="120" t="n"/>
      <c r="K981" s="16" t="n"/>
      <c r="L981" s="17" t="n"/>
      <c r="M981" s="132">
        <f>DADOS_INVOC!$IX$6</f>
        <v/>
      </c>
      <c r="N981" s="125" t="n"/>
      <c r="O981" s="131" t="n">
        <v>3</v>
      </c>
      <c r="P981" s="120" t="n"/>
      <c r="Q981" s="16" t="n"/>
      <c r="R981" s="17" t="n"/>
      <c r="S981" s="132">
        <f>DADOS_INVOC!$IY$6</f>
        <v/>
      </c>
      <c r="T981" s="125" t="n"/>
      <c r="U981" s="131" t="n">
        <v>3</v>
      </c>
      <c r="V981" s="120" t="n"/>
      <c r="W981" s="16" t="n"/>
      <c r="X981" s="17" t="n"/>
      <c r="Y981" s="132">
        <f>DADOS_INVOC!$IZ$6</f>
        <v/>
      </c>
      <c r="Z981" s="125" t="n"/>
      <c r="AB981" s="131" t="n">
        <v>3</v>
      </c>
      <c r="AC981" s="120" t="n"/>
      <c r="AD981" s="16" t="n"/>
      <c r="AE981" s="17" t="n"/>
      <c r="AF981" s="132">
        <f>DADOS_INVOC!$IX$12</f>
        <v/>
      </c>
      <c r="AG981" s="125" t="n"/>
      <c r="AH981" s="131" t="n">
        <v>3</v>
      </c>
      <c r="AI981" s="120" t="n"/>
      <c r="AJ981" s="16" t="n"/>
      <c r="AK981" s="17" t="n"/>
      <c r="AL981" s="132">
        <f>DADOS_INVOC!$IY$12</f>
        <v/>
      </c>
      <c r="AM981" s="125" t="n"/>
      <c r="AN981" s="131" t="n">
        <v>3</v>
      </c>
      <c r="AO981" s="120" t="n"/>
      <c r="AP981" s="16" t="n"/>
      <c r="AQ981" s="17" t="n"/>
      <c r="AR981" s="132">
        <f>DADOS_INVOC!$IZ$12</f>
        <v/>
      </c>
      <c r="AS981" s="125" t="n"/>
    </row>
    <row r="982" hidden="1" outlineLevel="2">
      <c r="A982" s="8" t="n"/>
      <c r="B982" s="14" t="n"/>
      <c r="C982" s="125" t="n"/>
      <c r="D982" s="125" t="n"/>
      <c r="E982" s="125" t="n"/>
      <c r="F982" s="125" t="n"/>
      <c r="G982" s="125" t="n"/>
      <c r="I982" s="121" t="n"/>
      <c r="J982" s="19" t="n"/>
      <c r="K982" s="19" t="n"/>
      <c r="L982" s="19" t="n"/>
      <c r="M982" s="20" t="n"/>
      <c r="N982" s="125" t="n"/>
      <c r="O982" s="121" t="n"/>
      <c r="P982" s="19" t="n"/>
      <c r="Q982" s="19" t="n"/>
      <c r="R982" s="19" t="n"/>
      <c r="S982" s="20" t="n"/>
      <c r="T982" s="125" t="n"/>
      <c r="U982" s="121" t="n"/>
      <c r="V982" s="19" t="n"/>
      <c r="W982" s="19" t="n"/>
      <c r="X982" s="19" t="n"/>
      <c r="Y982" s="20" t="n"/>
      <c r="Z982" s="125" t="n"/>
      <c r="AB982" s="121" t="n"/>
      <c r="AC982" s="19" t="n"/>
      <c r="AD982" s="19" t="n"/>
      <c r="AE982" s="19" t="n"/>
      <c r="AF982" s="20" t="n"/>
      <c r="AG982" s="125" t="n"/>
      <c r="AH982" s="121" t="n"/>
      <c r="AI982" s="19" t="n"/>
      <c r="AJ982" s="19" t="n"/>
      <c r="AK982" s="19" t="n"/>
      <c r="AL982" s="20" t="n"/>
      <c r="AM982" s="125" t="n"/>
      <c r="AN982" s="121" t="n"/>
      <c r="AO982" s="19" t="n"/>
      <c r="AP982" s="19" t="n"/>
      <c r="AQ982" s="19" t="n"/>
      <c r="AR982" s="20" t="n"/>
      <c r="AS982" s="125" t="n"/>
    </row>
    <row r="983" hidden="1" outlineLevel="2">
      <c r="A983" s="8" t="n"/>
      <c r="B983" s="14" t="n"/>
      <c r="C983" s="125" t="n"/>
      <c r="D983" s="125" t="n"/>
      <c r="E983" s="125" t="n"/>
      <c r="F983" s="125" t="n"/>
      <c r="G983" s="125" t="n"/>
      <c r="I983" s="21" t="n"/>
      <c r="M983" s="22" t="n"/>
      <c r="N983" s="125" t="n"/>
      <c r="O983" s="21" t="n"/>
      <c r="S983" s="22" t="n"/>
      <c r="T983" s="125" t="n"/>
      <c r="U983" s="21" t="n"/>
      <c r="Y983" s="22" t="n"/>
      <c r="Z983" s="125" t="n"/>
      <c r="AB983" s="21" t="n"/>
      <c r="AF983" s="22" t="n"/>
      <c r="AG983" s="125" t="n"/>
      <c r="AH983" s="21" t="n"/>
      <c r="AL983" s="22" t="n"/>
      <c r="AM983" s="125" t="n"/>
      <c r="AN983" s="21" t="n"/>
      <c r="AR983" s="22" t="n"/>
      <c r="AS983" s="125" t="n"/>
    </row>
    <row r="984" hidden="1" outlineLevel="2">
      <c r="A984" s="8" t="n"/>
      <c r="B984" s="14" t="n"/>
      <c r="C984" s="125" t="n"/>
      <c r="D984" s="125" t="n"/>
      <c r="E984" s="125" t="n"/>
      <c r="F984" s="125" t="n"/>
      <c r="G984" s="125" t="n"/>
      <c r="I984" s="21" t="n"/>
      <c r="M984" s="22" t="n"/>
      <c r="N984" s="125" t="n"/>
      <c r="O984" s="21" t="n"/>
      <c r="S984" s="22" t="n"/>
      <c r="T984" s="125" t="n"/>
      <c r="U984" s="21" t="n"/>
      <c r="Y984" s="22" t="n"/>
      <c r="Z984" s="125" t="n"/>
      <c r="AB984" s="21" t="n"/>
      <c r="AF984" s="22" t="n"/>
      <c r="AG984" s="125" t="n"/>
      <c r="AH984" s="21" t="n"/>
      <c r="AL984" s="22" t="n"/>
      <c r="AM984" s="125" t="n"/>
      <c r="AN984" s="21" t="n"/>
      <c r="AR984" s="22" t="n"/>
      <c r="AS984" s="125" t="n"/>
    </row>
    <row r="985" hidden="1" outlineLevel="2">
      <c r="A985" s="8" t="n"/>
      <c r="B985" s="14" t="n"/>
      <c r="C985" s="125" t="n"/>
      <c r="D985" s="125" t="n"/>
      <c r="E985" s="125" t="n"/>
      <c r="F985" s="125" t="n"/>
      <c r="G985" s="125" t="n"/>
      <c r="I985" s="23" t="n"/>
      <c r="J985" s="24" t="n"/>
      <c r="K985" s="24" t="n"/>
      <c r="L985" s="24" t="n"/>
      <c r="M985" s="25" t="n"/>
      <c r="N985" s="125" t="n"/>
      <c r="O985" s="23" t="n"/>
      <c r="P985" s="24" t="n"/>
      <c r="Q985" s="24" t="n"/>
      <c r="R985" s="24" t="n"/>
      <c r="S985" s="25" t="n"/>
      <c r="T985" s="125" t="n"/>
      <c r="U985" s="23" t="n"/>
      <c r="V985" s="24" t="n"/>
      <c r="W985" s="24" t="n"/>
      <c r="X985" s="24" t="n"/>
      <c r="Y985" s="25" t="n"/>
      <c r="Z985" s="125" t="n"/>
      <c r="AB985" s="23" t="n"/>
      <c r="AC985" s="24" t="n"/>
      <c r="AD985" s="24" t="n"/>
      <c r="AE985" s="24" t="n"/>
      <c r="AF985" s="25" t="n"/>
      <c r="AG985" s="125" t="n"/>
      <c r="AH985" s="23" t="n"/>
      <c r="AI985" s="24" t="n"/>
      <c r="AJ985" s="24" t="n"/>
      <c r="AK985" s="24" t="n"/>
      <c r="AL985" s="25" t="n"/>
      <c r="AM985" s="125" t="n"/>
      <c r="AN985" s="23" t="n"/>
      <c r="AO985" s="24" t="n"/>
      <c r="AP985" s="24" t="n"/>
      <c r="AQ985" s="24" t="n"/>
      <c r="AR985" s="25" t="n"/>
      <c r="AS985" s="125" t="n"/>
    </row>
    <row r="986" hidden="1" outlineLevel="2">
      <c r="A986" s="8" t="n"/>
      <c r="B986" s="14" t="n"/>
      <c r="C986" s="125" t="n"/>
      <c r="D986" s="125" t="n"/>
      <c r="E986" s="125" t="n"/>
      <c r="F986" s="125" t="n"/>
      <c r="G986" s="125" t="n"/>
      <c r="I986" s="68">
        <f>DADOS_INVOC!$JA$6</f>
        <v/>
      </c>
      <c r="J986" s="16" t="n"/>
      <c r="K986" s="16" t="n"/>
      <c r="L986" s="16" t="n"/>
      <c r="M986" s="17" t="n"/>
      <c r="N986" s="125" t="n"/>
      <c r="O986" s="68">
        <f>DADOS_INVOC!$JB$6</f>
        <v/>
      </c>
      <c r="P986" s="16" t="n"/>
      <c r="Q986" s="16" t="n"/>
      <c r="R986" s="16" t="n"/>
      <c r="S986" s="17" t="n"/>
      <c r="T986" s="125" t="n"/>
      <c r="U986" s="68">
        <f>DADOS_INVOC!$JC$6</f>
        <v/>
      </c>
      <c r="V986" s="16" t="n"/>
      <c r="W986" s="16" t="n"/>
      <c r="X986" s="16" t="n"/>
      <c r="Y986" s="17" t="n"/>
      <c r="Z986" s="125" t="n"/>
      <c r="AB986" s="68">
        <f>DADOS_INVOC!$JA$12</f>
        <v/>
      </c>
      <c r="AC986" s="16" t="n"/>
      <c r="AD986" s="16" t="n"/>
      <c r="AE986" s="16" t="n"/>
      <c r="AF986" s="17" t="n"/>
      <c r="AG986" s="125" t="n"/>
      <c r="AH986" s="68">
        <f>DADOS_INVOC!$JB$12</f>
        <v/>
      </c>
      <c r="AI986" s="16" t="n"/>
      <c r="AJ986" s="16" t="n"/>
      <c r="AK986" s="16" t="n"/>
      <c r="AL986" s="17" t="n"/>
      <c r="AM986" s="125" t="n"/>
      <c r="AN986" s="68">
        <f>DADOS_INVOC!$JC$12</f>
        <v/>
      </c>
      <c r="AO986" s="16" t="n"/>
      <c r="AP986" s="16" t="n"/>
      <c r="AQ986" s="16" t="n"/>
      <c r="AR986" s="17" t="n"/>
      <c r="AS986" s="125" t="n"/>
    </row>
    <row r="987" hidden="1" outlineLevel="2">
      <c r="A987" s="8" t="n"/>
      <c r="B987" s="14" t="n"/>
      <c r="C987" s="125" t="n"/>
      <c r="D987" s="125" t="n"/>
      <c r="E987" s="125" t="n"/>
      <c r="F987" s="125" t="n"/>
      <c r="G987" s="125" t="n"/>
      <c r="I987" s="89" t="inlineStr">
        <is>
          <t>Sua Ação Completa + a básica dela</t>
        </is>
      </c>
      <c r="J987" s="16" t="n"/>
      <c r="K987" s="16" t="n"/>
      <c r="L987" s="16" t="n"/>
      <c r="M987" s="17" t="n"/>
      <c r="N987" s="125" t="n"/>
      <c r="O987" s="89" t="inlineStr">
        <is>
          <t>Sua Ação Completa + a básica dela</t>
        </is>
      </c>
      <c r="P987" s="16" t="n"/>
      <c r="Q987" s="16" t="n"/>
      <c r="R987" s="16" t="n"/>
      <c r="S987" s="17" t="n"/>
      <c r="T987" s="125" t="n"/>
      <c r="U987" s="89" t="inlineStr">
        <is>
          <t>Sua Ação Completa + a básica dela</t>
        </is>
      </c>
      <c r="V987" s="16" t="n"/>
      <c r="W987" s="16" t="n"/>
      <c r="X987" s="16" t="n"/>
      <c r="Y987" s="17" t="n"/>
      <c r="Z987" s="125" t="n"/>
      <c r="AB987" s="89" t="inlineStr">
        <is>
          <t>Sua Ação Completa + a básica dela</t>
        </is>
      </c>
      <c r="AC987" s="16" t="n"/>
      <c r="AD987" s="16" t="n"/>
      <c r="AE987" s="16" t="n"/>
      <c r="AF987" s="17" t="n"/>
      <c r="AG987" s="125" t="n"/>
      <c r="AH987" s="89" t="inlineStr">
        <is>
          <t>Sua Ação Completa + a básica dela</t>
        </is>
      </c>
      <c r="AI987" s="16" t="n"/>
      <c r="AJ987" s="16" t="n"/>
      <c r="AK987" s="16" t="n"/>
      <c r="AL987" s="17" t="n"/>
      <c r="AM987" s="125" t="n"/>
      <c r="AN987" s="89" t="inlineStr">
        <is>
          <t>Sua Ação Completa + a básica dela</t>
        </is>
      </c>
      <c r="AO987" s="16" t="n"/>
      <c r="AP987" s="16" t="n"/>
      <c r="AQ987" s="16" t="n"/>
      <c r="AR987" s="17" t="n"/>
      <c r="AS987" s="125" t="n"/>
    </row>
    <row r="988" hidden="1" outlineLevel="2">
      <c r="A988" s="8" t="n"/>
      <c r="B988" s="14" t="n"/>
      <c r="C988" s="125" t="n"/>
      <c r="D988" s="125" t="n"/>
      <c r="E988" s="125" t="n"/>
      <c r="F988" s="125" t="n"/>
      <c r="G988" s="125" t="n"/>
      <c r="I988" s="125" t="n"/>
      <c r="J988" s="125" t="n"/>
      <c r="K988" s="125" t="n"/>
      <c r="L988" s="125" t="n"/>
      <c r="M988" s="125" t="n"/>
      <c r="N988" s="125" t="n"/>
      <c r="O988" s="125" t="n"/>
      <c r="P988" s="125" t="n"/>
      <c r="Q988" s="125" t="n"/>
      <c r="R988" s="125" t="n"/>
      <c r="S988" s="125" t="n"/>
      <c r="T988" s="125" t="n"/>
      <c r="U988" s="125" t="n"/>
      <c r="V988" s="125" t="n"/>
      <c r="W988" s="125" t="n"/>
      <c r="X988" s="125" t="n"/>
      <c r="Y988" s="125" t="n"/>
      <c r="Z988" s="125" t="n"/>
      <c r="AB988" s="125" t="n"/>
      <c r="AC988" s="125" t="n"/>
      <c r="AD988" s="125" t="n"/>
      <c r="AE988" s="125" t="n"/>
      <c r="AF988" s="125" t="n"/>
      <c r="AG988" s="125" t="n"/>
      <c r="AH988" s="125" t="n"/>
      <c r="AI988" s="125" t="n"/>
      <c r="AJ988" s="125" t="n"/>
      <c r="AK988" s="125" t="n"/>
      <c r="AL988" s="125" t="n"/>
      <c r="AM988" s="125" t="n"/>
      <c r="AN988" s="125" t="n"/>
      <c r="AO988" s="125" t="n"/>
      <c r="AP988" s="125" t="n"/>
      <c r="AQ988" s="125" t="n"/>
      <c r="AR988" s="125" t="n"/>
      <c r="AS988" s="125" t="n"/>
    </row>
    <row r="989" hidden="1" outlineLevel="2">
      <c r="A989" s="8" t="n"/>
      <c r="B989" s="14" t="n"/>
      <c r="C989" s="125" t="n"/>
      <c r="D989" s="125" t="n"/>
      <c r="E989" s="125" t="n"/>
      <c r="F989" s="125" t="n"/>
      <c r="G989" s="125" t="n"/>
      <c r="I989" s="55" t="inlineStr">
        <is>
          <t>TÉCNICA MÁXIMA</t>
        </is>
      </c>
      <c r="J989" s="16" t="n"/>
      <c r="K989" s="16" t="n"/>
      <c r="L989" s="16" t="n"/>
      <c r="M989" s="17" t="n"/>
      <c r="N989" s="125" t="n"/>
      <c r="O989" s="55" t="inlineStr">
        <is>
          <t>EXPANSÃO DE DOMÍNIO</t>
        </is>
      </c>
      <c r="P989" s="16" t="n"/>
      <c r="Q989" s="16" t="n"/>
      <c r="R989" s="16" t="n"/>
      <c r="S989" s="17" t="n"/>
      <c r="T989" s="125" t="n"/>
      <c r="U989" s="125" t="n"/>
      <c r="V989" s="125" t="n"/>
      <c r="W989" s="125" t="n"/>
      <c r="X989" s="125" t="n"/>
      <c r="Y989" s="125" t="n"/>
      <c r="Z989" s="125" t="n"/>
      <c r="AB989" s="55" t="inlineStr">
        <is>
          <t>TÉCNICA MÁXIMA</t>
        </is>
      </c>
      <c r="AC989" s="16" t="n"/>
      <c r="AD989" s="16" t="n"/>
      <c r="AE989" s="16" t="n"/>
      <c r="AF989" s="17" t="n"/>
      <c r="AG989" s="125" t="n"/>
      <c r="AH989" s="55" t="inlineStr">
        <is>
          <t>EXPANSÃO DE DOMÍNIO</t>
        </is>
      </c>
      <c r="AI989" s="16" t="n"/>
      <c r="AJ989" s="16" t="n"/>
      <c r="AK989" s="16" t="n"/>
      <c r="AL989" s="17" t="n"/>
      <c r="AM989" s="125" t="n"/>
      <c r="AN989" s="125" t="n"/>
      <c r="AO989" s="125" t="n"/>
      <c r="AP989" s="125" t="n"/>
      <c r="AQ989" s="125" t="n"/>
      <c r="AR989" s="125" t="n"/>
      <c r="AS989" s="125" t="n"/>
    </row>
    <row r="990" hidden="1" outlineLevel="2">
      <c r="A990" s="8" t="n"/>
      <c r="B990" s="14" t="n"/>
      <c r="C990" s="125" t="n"/>
      <c r="D990" s="125" t="n"/>
      <c r="E990" s="125" t="n"/>
      <c r="F990" s="125" t="n"/>
      <c r="G990" s="125" t="n"/>
      <c r="I990" s="120" t="n"/>
      <c r="J990" s="16" t="n"/>
      <c r="K990" s="16" t="n"/>
      <c r="L990" s="17" t="n"/>
      <c r="M990" s="132">
        <f>DADOS_INVOC!$JD$6</f>
        <v/>
      </c>
      <c r="N990" s="125" t="n"/>
      <c r="O990" s="120" t="n"/>
      <c r="P990" s="16" t="n"/>
      <c r="Q990" s="16" t="n"/>
      <c r="R990" s="17" t="n"/>
      <c r="S990" s="132">
        <f>DADOS_INVOC!$JF$6</f>
        <v/>
      </c>
      <c r="T990" s="125" t="n"/>
      <c r="U990" s="125" t="n"/>
      <c r="V990" s="125" t="n"/>
      <c r="W990" s="125" t="n"/>
      <c r="X990" s="125" t="n"/>
      <c r="Y990" s="125" t="n"/>
      <c r="Z990" s="125" t="n"/>
      <c r="AB990" s="120" t="n"/>
      <c r="AC990" s="16" t="n"/>
      <c r="AD990" s="16" t="n"/>
      <c r="AE990" s="17" t="n"/>
      <c r="AF990" s="132">
        <f>DADOS_INVOC!$JD$12</f>
        <v/>
      </c>
      <c r="AG990" s="125" t="n"/>
      <c r="AH990" s="120" t="n"/>
      <c r="AI990" s="16" t="n"/>
      <c r="AJ990" s="16" t="n"/>
      <c r="AK990" s="17" t="n"/>
      <c r="AL990" s="132">
        <f>DADOS_INVOC!$JF$12</f>
        <v/>
      </c>
      <c r="AM990" s="125" t="n"/>
      <c r="AN990" s="125" t="n"/>
      <c r="AO990" s="125" t="n"/>
      <c r="AP990" s="125" t="n"/>
      <c r="AQ990" s="125" t="n"/>
      <c r="AR990" s="125" t="n"/>
      <c r="AS990" s="125" t="n"/>
    </row>
    <row r="991" hidden="1" outlineLevel="2">
      <c r="A991" s="8" t="n"/>
      <c r="B991" s="14" t="n"/>
      <c r="C991" s="125" t="n"/>
      <c r="D991" s="125" t="n"/>
      <c r="E991" s="125" t="n"/>
      <c r="F991" s="125" t="n"/>
      <c r="G991" s="125" t="n"/>
      <c r="I991" s="121" t="n"/>
      <c r="J991" s="19" t="n"/>
      <c r="K991" s="19" t="n"/>
      <c r="L991" s="19" t="n"/>
      <c r="M991" s="20" t="n"/>
      <c r="N991" s="125" t="n"/>
      <c r="O991" s="121" t="n"/>
      <c r="P991" s="19" t="n"/>
      <c r="Q991" s="19" t="n"/>
      <c r="R991" s="19" t="n"/>
      <c r="S991" s="20" t="n"/>
      <c r="T991" s="125" t="n"/>
      <c r="U991" s="125" t="n"/>
      <c r="V991" s="125" t="n"/>
      <c r="W991" s="125" t="n"/>
      <c r="X991" s="125" t="n"/>
      <c r="Y991" s="125" t="n"/>
      <c r="Z991" s="125" t="n"/>
      <c r="AB991" s="121" t="n"/>
      <c r="AC991" s="19" t="n"/>
      <c r="AD991" s="19" t="n"/>
      <c r="AE991" s="19" t="n"/>
      <c r="AF991" s="20" t="n"/>
      <c r="AG991" s="125" t="n"/>
      <c r="AH991" s="121" t="n"/>
      <c r="AI991" s="19" t="n"/>
      <c r="AJ991" s="19" t="n"/>
      <c r="AK991" s="19" t="n"/>
      <c r="AL991" s="20" t="n"/>
      <c r="AM991" s="125" t="n"/>
      <c r="AN991" s="125" t="n"/>
      <c r="AO991" s="125" t="n"/>
      <c r="AP991" s="125" t="n"/>
      <c r="AQ991" s="125" t="n"/>
      <c r="AR991" s="125" t="n"/>
      <c r="AS991" s="125" t="n"/>
    </row>
    <row r="992" hidden="1" outlineLevel="2">
      <c r="A992" s="8" t="n"/>
      <c r="B992" s="14" t="n"/>
      <c r="C992" s="125" t="n"/>
      <c r="D992" s="125" t="n"/>
      <c r="E992" s="125" t="n"/>
      <c r="F992" s="125" t="n"/>
      <c r="G992" s="125" t="n"/>
      <c r="I992" s="21" t="n"/>
      <c r="M992" s="22" t="n"/>
      <c r="N992" s="125" t="n"/>
      <c r="O992" s="21" t="n"/>
      <c r="S992" s="22" t="n"/>
      <c r="T992" s="125" t="n"/>
      <c r="U992" s="125" t="n"/>
      <c r="V992" s="125" t="n"/>
      <c r="W992" s="125" t="n"/>
      <c r="X992" s="125" t="n"/>
      <c r="Y992" s="125" t="n"/>
      <c r="Z992" s="125" t="n"/>
      <c r="AB992" s="21" t="n"/>
      <c r="AF992" s="22" t="n"/>
      <c r="AG992" s="125" t="n"/>
      <c r="AH992" s="21" t="n"/>
      <c r="AL992" s="22" t="n"/>
      <c r="AM992" s="125" t="n"/>
      <c r="AN992" s="125" t="n"/>
      <c r="AO992" s="125" t="n"/>
      <c r="AP992" s="125" t="n"/>
      <c r="AQ992" s="125" t="n"/>
      <c r="AR992" s="125" t="n"/>
      <c r="AS992" s="125" t="n"/>
    </row>
    <row r="993" hidden="1" outlineLevel="2">
      <c r="A993" s="8" t="n"/>
      <c r="B993" s="14" t="n"/>
      <c r="C993" s="125" t="n"/>
      <c r="D993" s="125" t="n"/>
      <c r="E993" s="125" t="n"/>
      <c r="F993" s="125" t="n"/>
      <c r="G993" s="125" t="n"/>
      <c r="I993" s="21" t="n"/>
      <c r="M993" s="22" t="n"/>
      <c r="N993" s="125" t="n"/>
      <c r="O993" s="21" t="n"/>
      <c r="S993" s="22" t="n"/>
      <c r="T993" s="125" t="n"/>
      <c r="U993" s="125" t="n"/>
      <c r="V993" s="125" t="n"/>
      <c r="W993" s="125" t="n"/>
      <c r="X993" s="125" t="n"/>
      <c r="Y993" s="125" t="n"/>
      <c r="Z993" s="125" t="n"/>
      <c r="AB993" s="21" t="n"/>
      <c r="AF993" s="22" t="n"/>
      <c r="AG993" s="125" t="n"/>
      <c r="AH993" s="21" t="n"/>
      <c r="AL993" s="22" t="n"/>
      <c r="AM993" s="125" t="n"/>
      <c r="AN993" s="125" t="n"/>
      <c r="AO993" s="125" t="n"/>
      <c r="AP993" s="125" t="n"/>
      <c r="AQ993" s="125" t="n"/>
      <c r="AR993" s="125" t="n"/>
      <c r="AS993" s="125" t="n"/>
    </row>
    <row r="994" hidden="1" outlineLevel="2">
      <c r="A994" s="8" t="n"/>
      <c r="B994" s="14" t="n"/>
      <c r="C994" s="125" t="n"/>
      <c r="D994" s="125" t="n"/>
      <c r="E994" s="125" t="n"/>
      <c r="F994" s="125" t="n"/>
      <c r="G994" s="125" t="n"/>
      <c r="I994" s="23" t="n"/>
      <c r="J994" s="24" t="n"/>
      <c r="K994" s="24" t="n"/>
      <c r="L994" s="24" t="n"/>
      <c r="M994" s="25" t="n"/>
      <c r="N994" s="125" t="n"/>
      <c r="O994" s="23" t="n"/>
      <c r="P994" s="24" t="n"/>
      <c r="Q994" s="24" t="n"/>
      <c r="R994" s="24" t="n"/>
      <c r="S994" s="25" t="n"/>
      <c r="T994" s="125" t="n"/>
      <c r="U994" s="125" t="n"/>
      <c r="V994" s="125" t="n"/>
      <c r="W994" s="125" t="n"/>
      <c r="X994" s="125" t="n"/>
      <c r="Y994" s="125" t="n"/>
      <c r="Z994" s="125" t="n"/>
      <c r="AB994" s="23" t="n"/>
      <c r="AC994" s="24" t="n"/>
      <c r="AD994" s="24" t="n"/>
      <c r="AE994" s="24" t="n"/>
      <c r="AF994" s="25" t="n"/>
      <c r="AG994" s="125" t="n"/>
      <c r="AH994" s="23" t="n"/>
      <c r="AI994" s="24" t="n"/>
      <c r="AJ994" s="24" t="n"/>
      <c r="AK994" s="24" t="n"/>
      <c r="AL994" s="25" t="n"/>
      <c r="AM994" s="125" t="n"/>
      <c r="AN994" s="125" t="n"/>
      <c r="AO994" s="125" t="n"/>
      <c r="AP994" s="125" t="n"/>
      <c r="AQ994" s="125" t="n"/>
      <c r="AR994" s="125" t="n"/>
      <c r="AS994" s="125" t="n"/>
    </row>
    <row r="995" hidden="1" outlineLevel="2">
      <c r="A995" s="8" t="n"/>
      <c r="B995" s="14" t="n"/>
      <c r="C995" s="125" t="n"/>
      <c r="D995" s="125" t="n"/>
      <c r="E995" s="125" t="n"/>
      <c r="F995" s="125" t="n"/>
      <c r="G995" s="125" t="n"/>
      <c r="I995" s="68">
        <f>DADOS_INVOC!$JE$6</f>
        <v/>
      </c>
      <c r="J995" s="16" t="n"/>
      <c r="K995" s="16" t="n"/>
      <c r="L995" s="16" t="n"/>
      <c r="M995" s="17" t="n"/>
      <c r="N995" s="125" t="n"/>
      <c r="O995" s="89" t="n"/>
      <c r="P995" s="17" t="n"/>
      <c r="Q995" s="68">
        <f>DADOS_INVOC!$JG$6</f>
        <v/>
      </c>
      <c r="R995" s="16" t="n"/>
      <c r="S995" s="17" t="n"/>
      <c r="T995" s="125" t="n"/>
      <c r="U995" s="125" t="n"/>
      <c r="V995" s="125" t="n"/>
      <c r="W995" s="125" t="n"/>
      <c r="X995" s="125" t="n"/>
      <c r="Y995" s="125" t="n"/>
      <c r="Z995" s="125" t="n"/>
      <c r="AB995" s="68">
        <f>DADOS_INVOC!$JE$12</f>
        <v/>
      </c>
      <c r="AC995" s="16" t="n"/>
      <c r="AD995" s="16" t="n"/>
      <c r="AE995" s="16" t="n"/>
      <c r="AF995" s="17" t="n"/>
      <c r="AG995" s="125" t="n"/>
      <c r="AH995" s="89" t="n"/>
      <c r="AI995" s="17" t="n"/>
      <c r="AJ995" s="68">
        <f>DADOS_INVOC!$JG$12</f>
        <v/>
      </c>
      <c r="AK995" s="16" t="n"/>
      <c r="AL995" s="17" t="n"/>
      <c r="AM995" s="125" t="n"/>
      <c r="AN995" s="125" t="n"/>
      <c r="AO995" s="125" t="n"/>
      <c r="AP995" s="125" t="n"/>
      <c r="AQ995" s="125" t="n"/>
      <c r="AR995" s="125" t="n"/>
      <c r="AS995" s="125" t="n"/>
    </row>
    <row r="996" hidden="1" outlineLevel="2">
      <c r="A996" s="8" t="n"/>
      <c r="B996" s="14" t="n"/>
      <c r="C996" s="125" t="n"/>
      <c r="D996" s="125" t="n"/>
      <c r="E996" s="125" t="n"/>
      <c r="F996" s="125" t="n"/>
      <c r="G996" s="125" t="n"/>
      <c r="I996" s="89" t="inlineStr">
        <is>
          <t>Sua Ação Completa + a básica dela</t>
        </is>
      </c>
      <c r="J996" s="16" t="n"/>
      <c r="K996" s="16" t="n"/>
      <c r="L996" s="16" t="n"/>
      <c r="M996" s="17" t="n"/>
      <c r="N996" s="125" t="n"/>
      <c r="O996" s="133">
        <f>DADOS_INVOC!$JH$6</f>
        <v/>
      </c>
      <c r="P996" s="16" t="n"/>
      <c r="Q996" s="16" t="n"/>
      <c r="R996" s="16" t="n"/>
      <c r="S996" s="17" t="n"/>
      <c r="T996" s="125" t="n"/>
      <c r="U996" s="125" t="n"/>
      <c r="V996" s="125" t="n"/>
      <c r="W996" s="125" t="n"/>
      <c r="X996" s="125" t="n"/>
      <c r="Y996" s="125" t="n"/>
      <c r="Z996" s="125" t="n"/>
      <c r="AB996" s="89" t="inlineStr">
        <is>
          <t>Sua Ação Completa + a básica dela</t>
        </is>
      </c>
      <c r="AC996" s="16" t="n"/>
      <c r="AD996" s="16" t="n"/>
      <c r="AE996" s="16" t="n"/>
      <c r="AF996" s="17" t="n"/>
      <c r="AG996" s="125" t="n"/>
      <c r="AH996" s="133">
        <f>DADOS_INVOC!$JH$12</f>
        <v/>
      </c>
      <c r="AI996" s="16" t="n"/>
      <c r="AJ996" s="16" t="n"/>
      <c r="AK996" s="16" t="n"/>
      <c r="AL996" s="17" t="n"/>
      <c r="AM996" s="125" t="n"/>
      <c r="AN996" s="125" t="n"/>
      <c r="AO996" s="125" t="n"/>
      <c r="AP996" s="125" t="n"/>
      <c r="AQ996" s="125" t="n"/>
      <c r="AR996" s="125" t="n"/>
      <c r="AS996" s="125" t="n"/>
    </row>
    <row r="997">
      <c r="A997" s="8" t="n"/>
      <c r="B997" s="14" t="n"/>
      <c r="C997" s="125" t="n"/>
      <c r="D997" s="125" t="n"/>
      <c r="E997" s="125" t="n"/>
      <c r="F997" s="125" t="n"/>
      <c r="G997" s="125" t="n"/>
      <c r="H997" s="125" t="n"/>
      <c r="I997" s="125" t="n"/>
      <c r="J997" s="125" t="n"/>
      <c r="K997" s="125" t="n"/>
      <c r="L997" s="125" t="n"/>
      <c r="M997" s="125" t="n"/>
      <c r="N997" s="125" t="n"/>
      <c r="O997" s="125" t="n"/>
      <c r="P997" s="125" t="n"/>
      <c r="Q997" s="125" t="n"/>
      <c r="R997" s="125" t="n"/>
      <c r="S997" s="125" t="n"/>
      <c r="T997" s="125" t="n"/>
      <c r="U997" s="125" t="n"/>
      <c r="V997" s="125" t="n"/>
      <c r="W997" s="125" t="n"/>
      <c r="X997" s="125" t="n"/>
      <c r="Y997" s="125" t="n"/>
      <c r="Z997" s="125" t="n"/>
      <c r="AA997" s="125" t="n"/>
      <c r="AB997" s="125" t="n"/>
      <c r="AC997" s="125" t="n"/>
      <c r="AD997" s="125" t="n"/>
      <c r="AE997" s="125" t="n"/>
      <c r="AF997" s="125" t="n"/>
      <c r="AG997" s="125" t="n"/>
      <c r="AH997" s="125" t="n"/>
      <c r="AI997" s="125" t="n"/>
      <c r="AJ997" s="125" t="n"/>
      <c r="AK997" s="125" t="n"/>
      <c r="AL997" s="125" t="n"/>
      <c r="AM997" s="125" t="n"/>
      <c r="AN997" s="125" t="n"/>
      <c r="AO997" s="125" t="n"/>
      <c r="AP997" s="125" t="n"/>
      <c r="AQ997" s="125" t="n"/>
      <c r="AR997" s="125" t="n"/>
      <c r="AS997" s="125" t="n"/>
    </row>
    <row r="998">
      <c r="A998" s="8" t="n"/>
      <c r="B998" s="14" t="n"/>
      <c r="C998" s="125" t="n"/>
      <c r="D998" s="125" t="n"/>
      <c r="E998" s="125" t="n"/>
      <c r="F998" s="125" t="n"/>
      <c r="G998" s="125" t="n"/>
      <c r="H998" s="125" t="n"/>
      <c r="I998" s="125" t="n"/>
      <c r="J998" s="125" t="n"/>
      <c r="K998" s="125" t="n"/>
      <c r="L998" s="125" t="n"/>
      <c r="M998" s="125" t="n"/>
      <c r="N998" s="125" t="n"/>
      <c r="O998" s="125" t="n"/>
      <c r="P998" s="125" t="n"/>
      <c r="Q998" s="125" t="n"/>
      <c r="R998" s="125" t="n"/>
      <c r="S998" s="125" t="n"/>
      <c r="T998" s="125" t="n"/>
      <c r="U998" s="125" t="n"/>
      <c r="V998" s="125" t="n"/>
      <c r="W998" s="125" t="n"/>
      <c r="X998" s="125" t="n"/>
      <c r="Y998" s="125" t="n"/>
      <c r="Z998" s="125" t="n"/>
      <c r="AA998" s="125" t="n"/>
      <c r="AB998" s="125" t="n"/>
      <c r="AC998" s="125" t="n"/>
      <c r="AD998" s="125" t="n"/>
      <c r="AE998" s="125" t="n"/>
      <c r="AF998" s="125" t="n"/>
      <c r="AG998" s="125" t="n"/>
      <c r="AH998" s="125" t="n"/>
      <c r="AI998" s="125" t="n"/>
      <c r="AJ998" s="125" t="n"/>
      <c r="AK998" s="125" t="n"/>
      <c r="AL998" s="125" t="n"/>
      <c r="AM998" s="125" t="n"/>
      <c r="AN998" s="125" t="n"/>
      <c r="AO998" s="125" t="n"/>
      <c r="AP998" s="125" t="n"/>
      <c r="AQ998" s="125" t="n"/>
      <c r="AR998" s="125" t="n"/>
      <c r="AS998" s="125" t="n"/>
    </row>
    <row r="999">
      <c r="A999" s="8" t="n"/>
      <c r="B999" s="14" t="n"/>
      <c r="C999" s="125" t="n"/>
      <c r="D999" s="125" t="n"/>
      <c r="E999" s="125" t="n"/>
      <c r="F999" s="125" t="n"/>
      <c r="G999" s="125" t="n"/>
      <c r="H999" s="142" t="n">
        <v>6</v>
      </c>
      <c r="I999" s="143" t="n">
        <v>6</v>
      </c>
      <c r="J999" s="128">
        <f>DADOS_INVOC!$HE$7</f>
        <v/>
      </c>
      <c r="K999" s="19" t="n"/>
      <c r="L999" s="19" t="n"/>
      <c r="M999" s="19" t="n"/>
      <c r="N999" s="19" t="n"/>
      <c r="O999" s="19" t="n"/>
      <c r="P999" s="19" t="n"/>
      <c r="Q999" s="19" t="n"/>
      <c r="R999" s="19" t="n"/>
      <c r="S999" s="19" t="n"/>
      <c r="T999" s="19" t="n"/>
      <c r="U999" s="19" t="n"/>
      <c r="V999" s="19" t="n"/>
      <c r="W999" s="19" t="n"/>
      <c r="X999" s="19" t="n"/>
      <c r="Y999" s="20" t="n"/>
      <c r="Z999" s="125" t="n"/>
      <c r="AA999" s="142" t="n">
        <v>12</v>
      </c>
      <c r="AB999" s="143" t="n">
        <v>12</v>
      </c>
      <c r="AC999" s="128">
        <f>DADOS_INVOC!$HE$13</f>
        <v/>
      </c>
      <c r="AD999" s="19" t="n"/>
      <c r="AE999" s="19" t="n"/>
      <c r="AF999" s="19" t="n"/>
      <c r="AG999" s="19" t="n"/>
      <c r="AH999" s="19" t="n"/>
      <c r="AI999" s="19" t="n"/>
      <c r="AJ999" s="19" t="n"/>
      <c r="AK999" s="19" t="n"/>
      <c r="AL999" s="19" t="n"/>
      <c r="AM999" s="19" t="n"/>
      <c r="AN999" s="19" t="n"/>
      <c r="AO999" s="19" t="n"/>
      <c r="AP999" s="19" t="n"/>
      <c r="AQ999" s="19" t="n"/>
      <c r="AR999" s="20" t="n"/>
      <c r="AS999" s="125" t="n"/>
    </row>
    <row r="1000">
      <c r="A1000" s="8" t="n"/>
      <c r="B1000" s="14" t="n"/>
      <c r="C1000" s="125" t="n"/>
      <c r="D1000" s="125" t="n"/>
      <c r="E1000" s="125" t="n"/>
      <c r="F1000" s="125" t="n"/>
      <c r="G1000" s="125" t="n"/>
      <c r="I1000" s="129" t="n"/>
      <c r="J1000" s="23" t="n"/>
      <c r="K1000" s="24" t="n"/>
      <c r="L1000" s="24" t="n"/>
      <c r="M1000" s="24" t="n"/>
      <c r="N1000" s="24" t="n"/>
      <c r="O1000" s="24" t="n"/>
      <c r="P1000" s="24" t="n"/>
      <c r="Q1000" s="24" t="n"/>
      <c r="R1000" s="24" t="n"/>
      <c r="S1000" s="24" t="n"/>
      <c r="T1000" s="24" t="n"/>
      <c r="U1000" s="24" t="n"/>
      <c r="V1000" s="24" t="n"/>
      <c r="W1000" s="24" t="n"/>
      <c r="X1000" s="24" t="n"/>
      <c r="Y1000" s="25" t="n"/>
      <c r="Z1000" s="125" t="n"/>
      <c r="AB1000" s="129"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5" t="n"/>
    </row>
    <row r="1001" hidden="1" outlineLevel="1">
      <c r="A1001" s="8" t="n"/>
      <c r="B1001" s="14" t="n"/>
      <c r="C1001" s="125" t="n"/>
      <c r="D1001" s="125" t="n"/>
      <c r="E1001" s="125" t="n"/>
      <c r="F1001" s="125" t="n"/>
      <c r="G1001" s="125" t="n"/>
      <c r="H1001" s="144">
        <f>DADOS_INVOC!$HF$7</f>
        <v/>
      </c>
      <c r="I1001" s="125" t="n"/>
      <c r="J1001" s="125" t="n"/>
      <c r="K1001" s="125" t="n"/>
      <c r="L1001" s="125" t="n"/>
      <c r="M1001" s="125" t="n"/>
      <c r="N1001" s="125" t="n"/>
      <c r="O1001" s="125" t="n"/>
      <c r="P1001" s="125" t="n"/>
      <c r="Q1001" s="125" t="n"/>
      <c r="R1001" s="125" t="n"/>
      <c r="S1001" s="125" t="n"/>
      <c r="T1001" s="125" t="n"/>
      <c r="U1001" s="125" t="n"/>
      <c r="V1001" s="125" t="n"/>
      <c r="W1001" s="125" t="n"/>
      <c r="X1001" s="125" t="n"/>
      <c r="Y1001" s="125" t="n"/>
      <c r="Z1001" s="125" t="n"/>
      <c r="AA1001" s="144">
        <f>DADOS_INVOC!$HF$13</f>
        <v/>
      </c>
      <c r="AB1001" s="125" t="n"/>
      <c r="AC1001" s="125" t="n"/>
      <c r="AD1001" s="125" t="n"/>
      <c r="AE1001" s="125" t="n"/>
      <c r="AF1001" s="125" t="n"/>
      <c r="AG1001" s="125" t="n"/>
      <c r="AH1001" s="125" t="n"/>
      <c r="AI1001" s="125" t="n"/>
      <c r="AJ1001" s="125" t="n"/>
      <c r="AK1001" s="125" t="n"/>
      <c r="AL1001" s="125" t="n"/>
      <c r="AM1001" s="125" t="n"/>
      <c r="AN1001" s="125" t="n"/>
      <c r="AO1001" s="125" t="n"/>
      <c r="AP1001" s="125" t="n"/>
      <c r="AQ1001" s="125" t="n"/>
      <c r="AR1001" s="125" t="n"/>
      <c r="AS1001" s="125" t="n"/>
    </row>
    <row r="1002" hidden="1" outlineLevel="1">
      <c r="A1002" s="8" t="n"/>
      <c r="B1002" s="14" t="n"/>
      <c r="C1002" s="125" t="n"/>
      <c r="D1002" s="125" t="n"/>
      <c r="E1002" s="125" t="n"/>
      <c r="F1002" s="125" t="n"/>
      <c r="G1002" s="125" t="n"/>
      <c r="I1002" s="55" t="inlineStr">
        <is>
          <t>NOME</t>
        </is>
      </c>
      <c r="J1002" s="16" t="n"/>
      <c r="K1002" s="16" t="n"/>
      <c r="L1002" s="16" t="n"/>
      <c r="M1002" s="17" t="n"/>
      <c r="N1002" s="125" t="n"/>
      <c r="O1002" s="55" t="inlineStr">
        <is>
          <t>NÍVEL</t>
        </is>
      </c>
      <c r="P1002" s="55" t="inlineStr">
        <is>
          <t>CLASSE</t>
        </is>
      </c>
      <c r="Q1002" s="55" t="inlineStr">
        <is>
          <t>MAESTRIA</t>
        </is>
      </c>
      <c r="R1002" s="55" t="inlineStr">
        <is>
          <t>ENTRADA</t>
        </is>
      </c>
      <c r="S1002" s="55" t="inlineStr">
        <is>
          <t>RETORNO</t>
        </is>
      </c>
      <c r="T1002" s="125" t="n"/>
      <c r="U1002" s="55" t="inlineStr">
        <is>
          <t>VIDA ATUAL</t>
        </is>
      </c>
      <c r="V1002" s="55" t="inlineStr">
        <is>
          <t>VIDA MÁXIMA</t>
        </is>
      </c>
      <c r="W1002" s="55" t="inlineStr">
        <is>
          <t>TEMPORÁRIA</t>
        </is>
      </c>
      <c r="X1002" s="55" t="inlineStr">
        <is>
          <t>± PERDA / GANHO</t>
        </is>
      </c>
      <c r="Y1002" s="55">
        <f>DADOS_INVOC!$HZ$7</f>
        <v/>
      </c>
      <c r="Z1002" s="125" t="n"/>
      <c r="AB1002" s="55" t="inlineStr">
        <is>
          <t>NOME</t>
        </is>
      </c>
      <c r="AC1002" s="16" t="n"/>
      <c r="AD1002" s="16" t="n"/>
      <c r="AE1002" s="16" t="n"/>
      <c r="AF1002" s="17" t="n"/>
      <c r="AG1002" s="125" t="n"/>
      <c r="AH1002" s="55" t="inlineStr">
        <is>
          <t>NÍVEL</t>
        </is>
      </c>
      <c r="AI1002" s="55" t="inlineStr">
        <is>
          <t>CLASSE</t>
        </is>
      </c>
      <c r="AJ1002" s="55" t="inlineStr">
        <is>
          <t>MAESTRIA</t>
        </is>
      </c>
      <c r="AK1002" s="55" t="inlineStr">
        <is>
          <t>ENTRADA</t>
        </is>
      </c>
      <c r="AL1002" s="55" t="inlineStr">
        <is>
          <t>RETORNO</t>
        </is>
      </c>
      <c r="AM1002" s="125" t="n"/>
      <c r="AN1002" s="55" t="inlineStr">
        <is>
          <t>VIDA ATUAL</t>
        </is>
      </c>
      <c r="AO1002" s="55" t="inlineStr">
        <is>
          <t>VIDA MÁXIMA</t>
        </is>
      </c>
      <c r="AP1002" s="55" t="inlineStr">
        <is>
          <t>TEMPORÁRIA</t>
        </is>
      </c>
      <c r="AQ1002" s="55" t="inlineStr">
        <is>
          <t>± PERDA / GANHO</t>
        </is>
      </c>
      <c r="AR1002" s="55">
        <f>DADOS_INVOC!$HZ$13</f>
        <v/>
      </c>
      <c r="AS1002" s="125" t="n"/>
    </row>
    <row r="1003" hidden="1" outlineLevel="1">
      <c r="A1003" s="8" t="n"/>
      <c r="B1003" s="14" t="n"/>
      <c r="C1003" s="125" t="n"/>
      <c r="D1003" s="125" t="n"/>
      <c r="E1003" s="125" t="n"/>
      <c r="F1003" s="125" t="n"/>
      <c r="G1003" s="125" t="n"/>
      <c r="I1003" s="84" t="n"/>
      <c r="J1003" s="19" t="n"/>
      <c r="K1003" s="19" t="n"/>
      <c r="L1003" s="19" t="n"/>
      <c r="M1003" s="20" t="n"/>
      <c r="N1003" s="125" t="n"/>
      <c r="O1003" s="98">
        <f>DADOS_INVOC!$FM$7</f>
        <v/>
      </c>
      <c r="P1003" s="98">
        <f>DADOS_INVOC!$FN$7</f>
        <v/>
      </c>
      <c r="Q1003" s="98">
        <f>DADOS_INVOC!$HG$7</f>
        <v/>
      </c>
      <c r="R1003" s="98">
        <f>DADOS_INVOC!$HH$7</f>
        <v/>
      </c>
      <c r="S1003" s="98">
        <f>DADOS_INVOC!$HI$7</f>
        <v/>
      </c>
      <c r="T1003" s="125" t="n"/>
      <c r="U1003" s="98">
        <f>DADOS_INVOC!$GE$7</f>
        <v/>
      </c>
      <c r="V1003" s="98">
        <f>DADOS_INVOC!$GD$7</f>
        <v/>
      </c>
      <c r="W1003" s="98" t="n"/>
      <c r="X1003" s="98" t="n"/>
      <c r="Y1003" s="98" t="n"/>
      <c r="Z1003" s="125" t="n"/>
      <c r="AB1003" s="84" t="n"/>
      <c r="AC1003" s="19" t="n"/>
      <c r="AD1003" s="19" t="n"/>
      <c r="AE1003" s="19" t="n"/>
      <c r="AF1003" s="20" t="n"/>
      <c r="AG1003" s="125" t="n"/>
      <c r="AH1003" s="98">
        <f>DADOS_INVOC!$FM$13</f>
        <v/>
      </c>
      <c r="AI1003" s="98">
        <f>DADOS_INVOC!$FN$13</f>
        <v/>
      </c>
      <c r="AJ1003" s="98">
        <f>DADOS_INVOC!$HG$13</f>
        <v/>
      </c>
      <c r="AK1003" s="98">
        <f>DADOS_INVOC!$HH$13</f>
        <v/>
      </c>
      <c r="AL1003" s="98">
        <f>DADOS_INVOC!$HI$13</f>
        <v/>
      </c>
      <c r="AM1003" s="125" t="n"/>
      <c r="AN1003" s="98">
        <f>DADOS_INVOC!$GE$13</f>
        <v/>
      </c>
      <c r="AO1003" s="98">
        <f>DADOS_INVOC!$GD$13</f>
        <v/>
      </c>
      <c r="AP1003" s="98" t="n"/>
      <c r="AQ1003" s="98" t="n"/>
      <c r="AR1003" s="98" t="n"/>
      <c r="AS1003" s="125" t="n"/>
    </row>
    <row r="1004" hidden="1" outlineLevel="1">
      <c r="A1004" s="8" t="n"/>
      <c r="B1004" s="14" t="n"/>
      <c r="C1004" s="125" t="n"/>
      <c r="D1004" s="125" t="n"/>
      <c r="E1004" s="125" t="n"/>
      <c r="F1004" s="125" t="n"/>
      <c r="G1004" s="125" t="n"/>
      <c r="I1004" s="23" t="n"/>
      <c r="J1004" s="24" t="n"/>
      <c r="K1004" s="24" t="n"/>
      <c r="L1004" s="24" t="n"/>
      <c r="M1004" s="25" t="n"/>
      <c r="N1004" s="125" t="n"/>
      <c r="O1004" s="129" t="n"/>
      <c r="P1004" s="129" t="n"/>
      <c r="Q1004" s="129" t="n"/>
      <c r="R1004" s="129" t="n"/>
      <c r="S1004" s="129" t="n"/>
      <c r="T1004" s="125" t="n"/>
      <c r="U1004" s="129" t="n"/>
      <c r="V1004" s="129" t="n"/>
      <c r="W1004" s="129" t="n"/>
      <c r="X1004" s="129" t="n"/>
      <c r="Y1004" s="129" t="n"/>
      <c r="Z1004" s="125" t="n"/>
      <c r="AB1004" s="23" t="n"/>
      <c r="AC1004" s="24" t="n"/>
      <c r="AD1004" s="24" t="n"/>
      <c r="AE1004" s="24" t="n"/>
      <c r="AF1004" s="25" t="n"/>
      <c r="AG1004" s="125" t="n"/>
      <c r="AH1004" s="129" t="n"/>
      <c r="AI1004" s="129" t="n"/>
      <c r="AJ1004" s="129" t="n"/>
      <c r="AK1004" s="129" t="n"/>
      <c r="AL1004" s="129" t="n"/>
      <c r="AM1004" s="125" t="n"/>
      <c r="AN1004" s="129" t="n"/>
      <c r="AO1004" s="129" t="n"/>
      <c r="AP1004" s="129" t="n"/>
      <c r="AQ1004" s="129" t="n"/>
      <c r="AR1004" s="129" t="n"/>
      <c r="AS1004" s="125" t="n"/>
    </row>
    <row r="1005" hidden="1" outlineLevel="1">
      <c r="A1005" s="8" t="n"/>
      <c r="B1005" s="14" t="n"/>
      <c r="C1005" s="125" t="n"/>
      <c r="D1005" s="125" t="n"/>
      <c r="E1005" s="125" t="n"/>
      <c r="F1005" s="125" t="n"/>
      <c r="G1005" s="125" t="n"/>
      <c r="I1005" s="145" t="inlineStr">
        <is>
          <t>FOTO
式神</t>
        </is>
      </c>
      <c r="J1005" s="19" t="n"/>
      <c r="K1005" s="19" t="n"/>
      <c r="L1005" s="19" t="n"/>
      <c r="M1005" s="20" t="n"/>
      <c r="N1005" s="125" t="n"/>
      <c r="O1005" s="125" t="n"/>
      <c r="P1005" s="125" t="n"/>
      <c r="Q1005" s="125" t="n"/>
      <c r="R1005" s="125" t="n"/>
      <c r="S1005" s="125" t="n"/>
      <c r="T1005" s="125" t="n"/>
      <c r="U1005" s="134">
        <f>IFERROR(SPARKLINE(DADOS_INVOC!$GF$7,{"charttype","bar";"max",MAX(1,DADOS_INVOC!$GD$7);"color1",DADOS_INVOC!$CZ$12}),"")</f>
        <v/>
      </c>
      <c r="V1005" s="16" t="n"/>
      <c r="W1005" s="16" t="n"/>
      <c r="X1005" s="16" t="n"/>
      <c r="Y1005" s="17" t="n"/>
      <c r="Z1005" s="125" t="n"/>
      <c r="AB1005" s="145" t="inlineStr">
        <is>
          <t>FOTO
式神</t>
        </is>
      </c>
      <c r="AC1005" s="19" t="n"/>
      <c r="AD1005" s="19" t="n"/>
      <c r="AE1005" s="19" t="n"/>
      <c r="AF1005" s="20" t="n"/>
      <c r="AG1005" s="125" t="n"/>
      <c r="AH1005" s="125" t="n"/>
      <c r="AI1005" s="125" t="n"/>
      <c r="AJ1005" s="125" t="n"/>
      <c r="AK1005" s="125" t="n"/>
      <c r="AL1005" s="125" t="n"/>
      <c r="AM1005" s="125" t="n"/>
      <c r="AN1005" s="134">
        <f>IFERROR(SPARKLINE(DADOS_INVOC!$GF$13,{"charttype","bar";"max",MAX(1,DADOS_INVOC!$GD$13);"color1",DADOS_INVOC!$CZ$12}),"")</f>
        <v/>
      </c>
      <c r="AO1005" s="16" t="n"/>
      <c r="AP1005" s="16" t="n"/>
      <c r="AQ1005" s="16" t="n"/>
      <c r="AR1005" s="17" t="n"/>
      <c r="AS1005" s="125" t="n"/>
    </row>
    <row r="1006" hidden="1" outlineLevel="1">
      <c r="A1006" s="8" t="n"/>
      <c r="B1006" s="14" t="n"/>
      <c r="C1006" s="125" t="n"/>
      <c r="D1006" s="125" t="n"/>
      <c r="E1006" s="125" t="n"/>
      <c r="F1006" s="125" t="n"/>
      <c r="G1006" s="125" t="n"/>
      <c r="I1006" s="21" t="n"/>
      <c r="M1006" s="22" t="n"/>
      <c r="N1006" s="125" t="n"/>
      <c r="O1006" s="55">
        <f>DADOS_INVOC!$HJ$7</f>
        <v/>
      </c>
      <c r="P1006" s="16" t="n"/>
      <c r="Q1006" s="16" t="n"/>
      <c r="R1006" s="16" t="n"/>
      <c r="S1006" s="17" t="n"/>
      <c r="T1006" s="125" t="n"/>
      <c r="U1006" s="125" t="n"/>
      <c r="V1006" s="125" t="n"/>
      <c r="W1006" s="125" t="n"/>
      <c r="X1006" s="125" t="n"/>
      <c r="Y1006" s="125" t="n"/>
      <c r="Z1006" s="125" t="n"/>
      <c r="AB1006" s="21" t="n"/>
      <c r="AF1006" s="22" t="n"/>
      <c r="AG1006" s="125" t="n"/>
      <c r="AH1006" s="55">
        <f>DADOS_INVOC!$HJ$13</f>
        <v/>
      </c>
      <c r="AI1006" s="16" t="n"/>
      <c r="AJ1006" s="16" t="n"/>
      <c r="AK1006" s="16" t="n"/>
      <c r="AL1006" s="17" t="n"/>
      <c r="AM1006" s="125" t="n"/>
      <c r="AN1006" s="125" t="n"/>
      <c r="AO1006" s="125" t="n"/>
      <c r="AP1006" s="125" t="n"/>
      <c r="AQ1006" s="125" t="n"/>
      <c r="AR1006" s="125" t="n"/>
      <c r="AS1006" s="125" t="n"/>
    </row>
    <row r="1007" hidden="1" outlineLevel="1">
      <c r="A1007" s="8" t="n"/>
      <c r="B1007" s="14" t="n"/>
      <c r="C1007" s="125" t="n"/>
      <c r="D1007" s="125" t="n"/>
      <c r="E1007" s="125" t="n"/>
      <c r="F1007" s="125" t="n"/>
      <c r="G1007" s="125" t="n"/>
      <c r="I1007" s="21" t="n"/>
      <c r="M1007" s="22" t="n"/>
      <c r="N1007" s="125" t="n"/>
      <c r="O1007" s="55" t="inlineStr">
        <is>
          <t>FOR</t>
        </is>
      </c>
      <c r="P1007" s="55" t="inlineStr">
        <is>
          <t>DES</t>
        </is>
      </c>
      <c r="Q1007" s="55" t="inlineStr">
        <is>
          <t>CON</t>
        </is>
      </c>
      <c r="R1007" s="55" t="inlineStr">
        <is>
          <t>INT</t>
        </is>
      </c>
      <c r="S1007" s="55" t="inlineStr">
        <is>
          <t>ESS</t>
        </is>
      </c>
      <c r="T1007" s="125" t="n"/>
      <c r="U1007" s="55" t="inlineStr">
        <is>
          <t>ALMA</t>
        </is>
      </c>
      <c r="V1007" s="55" t="inlineStr">
        <is>
          <t>INTEGRIDADE ATUAL</t>
        </is>
      </c>
      <c r="W1007" s="55" t="inlineStr">
        <is>
          <t>INTEGRIDADE MÁXIMA</t>
        </is>
      </c>
      <c r="X1007" s="55" t="inlineStr">
        <is>
          <t>ESTÁGIO</t>
        </is>
      </c>
      <c r="Y1007" s="17" t="n"/>
      <c r="Z1007" s="125" t="n"/>
      <c r="AB1007" s="21" t="n"/>
      <c r="AF1007" s="22" t="n"/>
      <c r="AG1007" s="125" t="n"/>
      <c r="AH1007" s="55" t="inlineStr">
        <is>
          <t>FOR</t>
        </is>
      </c>
      <c r="AI1007" s="55" t="inlineStr">
        <is>
          <t>DES</t>
        </is>
      </c>
      <c r="AJ1007" s="55" t="inlineStr">
        <is>
          <t>CON</t>
        </is>
      </c>
      <c r="AK1007" s="55" t="inlineStr">
        <is>
          <t>INT</t>
        </is>
      </c>
      <c r="AL1007" s="55" t="inlineStr">
        <is>
          <t>ESS</t>
        </is>
      </c>
      <c r="AM1007" s="125" t="n"/>
      <c r="AN1007" s="55" t="inlineStr">
        <is>
          <t>ALMA</t>
        </is>
      </c>
      <c r="AO1007" s="55" t="inlineStr">
        <is>
          <t>INTEGRIDADE ATUAL</t>
        </is>
      </c>
      <c r="AP1007" s="55" t="inlineStr">
        <is>
          <t>INTEGRIDADE MÁXIMA</t>
        </is>
      </c>
      <c r="AQ1007" s="55" t="inlineStr">
        <is>
          <t>ESTÁGIO</t>
        </is>
      </c>
      <c r="AR1007" s="17" t="n"/>
      <c r="AS1007" s="125" t="n"/>
    </row>
    <row r="1008" hidden="1" outlineLevel="1">
      <c r="A1008" s="8" t="n"/>
      <c r="B1008" s="14" t="n"/>
      <c r="C1008" s="125" t="n"/>
      <c r="D1008" s="125" t="n"/>
      <c r="E1008" s="125" t="n"/>
      <c r="F1008" s="125" t="n"/>
      <c r="G1008" s="125" t="n"/>
      <c r="I1008" s="21" t="n"/>
      <c r="M1008" s="22" t="n"/>
      <c r="N1008" s="125" t="n"/>
      <c r="O1008" s="98">
        <f>DADOS_INVOC!$FP$7</f>
        <v/>
      </c>
      <c r="P1008" s="98">
        <f>DADOS_INVOC!$FQ$7</f>
        <v/>
      </c>
      <c r="Q1008" s="98">
        <f>DADOS_INVOC!$FR$7</f>
        <v/>
      </c>
      <c r="R1008" s="98">
        <f>DADOS_INVOC!$FS$7</f>
        <v/>
      </c>
      <c r="S1008" s="98">
        <f>DADOS_INVOC!$FT$7</f>
        <v/>
      </c>
      <c r="T1008" s="125" t="n"/>
      <c r="U1008" s="89" t="inlineStr">
        <is>
          <t>Com alma</t>
        </is>
      </c>
      <c r="V1008" s="98">
        <f>DADOS_INVOC!$GH$7</f>
        <v/>
      </c>
      <c r="W1008" s="98">
        <f>DADOS_INVOC!$GJ$7</f>
        <v/>
      </c>
      <c r="X1008" s="89">
        <f>DADOS_INVOC!$GK$7</f>
        <v/>
      </c>
      <c r="Y1008" s="20" t="n"/>
      <c r="Z1008" s="125" t="n"/>
      <c r="AB1008" s="21" t="n"/>
      <c r="AF1008" s="22" t="n"/>
      <c r="AG1008" s="125" t="n"/>
      <c r="AH1008" s="98">
        <f>DADOS_INVOC!$FP$13</f>
        <v/>
      </c>
      <c r="AI1008" s="98">
        <f>DADOS_INVOC!$FQ$13</f>
        <v/>
      </c>
      <c r="AJ1008" s="98">
        <f>DADOS_INVOC!$FR$13</f>
        <v/>
      </c>
      <c r="AK1008" s="98">
        <f>DADOS_INVOC!$FS$13</f>
        <v/>
      </c>
      <c r="AL1008" s="98">
        <f>DADOS_INVOC!$FT$13</f>
        <v/>
      </c>
      <c r="AM1008" s="125" t="n"/>
      <c r="AN1008" s="89" t="inlineStr">
        <is>
          <t>Com alma</t>
        </is>
      </c>
      <c r="AO1008" s="98">
        <f>DADOS_INVOC!$GH$13</f>
        <v/>
      </c>
      <c r="AP1008" s="98">
        <f>DADOS_INVOC!$GJ$13</f>
        <v/>
      </c>
      <c r="AQ1008" s="89">
        <f>DADOS_INVOC!$GK$13</f>
        <v/>
      </c>
      <c r="AR1008" s="20" t="n"/>
      <c r="AS1008" s="125" t="n"/>
    </row>
    <row r="1009" hidden="1" outlineLevel="1">
      <c r="A1009" s="8" t="n"/>
      <c r="B1009" s="14" t="n"/>
      <c r="C1009" s="125" t="n"/>
      <c r="D1009" s="125" t="n"/>
      <c r="E1009" s="125" t="n"/>
      <c r="F1009" s="125" t="n"/>
      <c r="G1009" s="125" t="n"/>
      <c r="I1009" s="21" t="n"/>
      <c r="M1009" s="22" t="n"/>
      <c r="N1009" s="125" t="n"/>
      <c r="O1009" s="129" t="n"/>
      <c r="P1009" s="129" t="n"/>
      <c r="Q1009" s="129" t="n"/>
      <c r="R1009" s="129" t="n"/>
      <c r="S1009" s="129" t="n"/>
      <c r="T1009" s="125" t="n"/>
      <c r="U1009" s="129" t="n"/>
      <c r="V1009" s="129" t="n"/>
      <c r="W1009" s="129" t="n"/>
      <c r="X1009" s="23" t="n"/>
      <c r="Y1009" s="25" t="n"/>
      <c r="Z1009" s="125" t="n"/>
      <c r="AB1009" s="21" t="n"/>
      <c r="AF1009" s="22" t="n"/>
      <c r="AG1009" s="125" t="n"/>
      <c r="AH1009" s="129" t="n"/>
      <c r="AI1009" s="129" t="n"/>
      <c r="AJ1009" s="129" t="n"/>
      <c r="AK1009" s="129" t="n"/>
      <c r="AL1009" s="129" t="n"/>
      <c r="AM1009" s="125" t="n"/>
      <c r="AN1009" s="129" t="n"/>
      <c r="AO1009" s="129" t="n"/>
      <c r="AP1009" s="129" t="n"/>
      <c r="AQ1009" s="23" t="n"/>
      <c r="AR1009" s="25" t="n"/>
      <c r="AS1009" s="125" t="n"/>
    </row>
    <row r="1010" hidden="1" outlineLevel="1">
      <c r="A1010" s="8" t="n"/>
      <c r="B1010" s="14" t="n"/>
      <c r="C1010" s="125" t="n"/>
      <c r="D1010" s="125" t="n"/>
      <c r="E1010" s="125" t="n"/>
      <c r="F1010" s="125" t="n"/>
      <c r="G1010" s="125" t="n"/>
      <c r="I1010" s="21" t="n"/>
      <c r="M1010" s="22" t="n"/>
      <c r="N1010" s="125" t="n"/>
      <c r="O1010" s="146" t="n">
        <v>0</v>
      </c>
      <c r="P1010" s="146" t="n">
        <v>0</v>
      </c>
      <c r="Q1010" s="146" t="n">
        <v>0</v>
      </c>
      <c r="R1010" s="146" t="n">
        <v>0</v>
      </c>
      <c r="S1010" s="146" t="n">
        <v>0</v>
      </c>
      <c r="T1010" s="125" t="n"/>
      <c r="U1010" s="125" t="n"/>
      <c r="V1010" s="125" t="n"/>
      <c r="W1010" s="125" t="n"/>
      <c r="X1010" s="125" t="n"/>
      <c r="Y1010" s="125" t="n"/>
      <c r="Z1010" s="125" t="n"/>
      <c r="AB1010" s="21" t="n"/>
      <c r="AF1010" s="22" t="n"/>
      <c r="AG1010" s="125" t="n"/>
      <c r="AH1010" s="146" t="n">
        <v>0</v>
      </c>
      <c r="AI1010" s="146" t="n">
        <v>0</v>
      </c>
      <c r="AJ1010" s="146" t="n">
        <v>0</v>
      </c>
      <c r="AK1010" s="146" t="n">
        <v>0</v>
      </c>
      <c r="AL1010" s="146" t="n">
        <v>0</v>
      </c>
      <c r="AM1010" s="125" t="n"/>
      <c r="AN1010" s="125" t="n"/>
      <c r="AO1010" s="125" t="n"/>
      <c r="AP1010" s="125" t="n"/>
      <c r="AQ1010" s="125" t="n"/>
      <c r="AR1010" s="125" t="n"/>
      <c r="AS1010" s="125" t="n"/>
    </row>
    <row r="1011" hidden="1" outlineLevel="1">
      <c r="A1011" s="8" t="n"/>
      <c r="B1011" s="14" t="n"/>
      <c r="C1011" s="125" t="n"/>
      <c r="D1011" s="125" t="n"/>
      <c r="E1011" s="125" t="n"/>
      <c r="F1011" s="125" t="n"/>
      <c r="G1011" s="125" t="n"/>
      <c r="I1011" s="21" t="n"/>
      <c r="M1011" s="22" t="n"/>
      <c r="N1011" s="125" t="n"/>
      <c r="O1011" s="147" t="n">
        <v>0</v>
      </c>
      <c r="P1011" s="147" t="n">
        <v>0</v>
      </c>
      <c r="Q1011" s="147" t="n">
        <v>0</v>
      </c>
      <c r="R1011" s="147" t="n">
        <v>0</v>
      </c>
      <c r="S1011" s="147" t="n">
        <v>0</v>
      </c>
      <c r="T1011" s="125" t="n"/>
      <c r="U1011" s="55" t="inlineStr">
        <is>
          <t>CONDIÇÕES E USOS GASTOS</t>
        </is>
      </c>
      <c r="V1011" s="16" t="n"/>
      <c r="W1011" s="16" t="n"/>
      <c r="X1011" s="16" t="n"/>
      <c r="Y1011" s="17" t="n"/>
      <c r="Z1011" s="125" t="n"/>
      <c r="AB1011" s="21" t="n"/>
      <c r="AF1011" s="22" t="n"/>
      <c r="AG1011" s="125" t="n"/>
      <c r="AH1011" s="147" t="n">
        <v>0</v>
      </c>
      <c r="AI1011" s="147" t="n">
        <v>0</v>
      </c>
      <c r="AJ1011" s="147" t="n">
        <v>0</v>
      </c>
      <c r="AK1011" s="147" t="n">
        <v>0</v>
      </c>
      <c r="AL1011" s="147" t="n">
        <v>0</v>
      </c>
      <c r="AM1011" s="125" t="n"/>
      <c r="AN1011" s="55" t="inlineStr">
        <is>
          <t>CONDIÇÕES E USOS GASTOS</t>
        </is>
      </c>
      <c r="AO1011" s="16" t="n"/>
      <c r="AP1011" s="16" t="n"/>
      <c r="AQ1011" s="16" t="n"/>
      <c r="AR1011" s="17" t="n"/>
      <c r="AS1011" s="125" t="n"/>
    </row>
    <row r="1012" hidden="1" outlineLevel="1">
      <c r="A1012" s="8" t="n"/>
      <c r="B1012" s="14" t="n"/>
      <c r="C1012" s="125" t="n"/>
      <c r="D1012" s="125" t="n"/>
      <c r="E1012" s="125" t="n"/>
      <c r="F1012" s="125" t="n"/>
      <c r="G1012" s="125" t="n"/>
      <c r="I1012" s="21" t="n"/>
      <c r="M1012" s="22" t="n"/>
      <c r="N1012" s="125" t="n"/>
      <c r="O1012" s="125" t="n"/>
      <c r="P1012" s="125" t="n"/>
      <c r="Q1012" s="125" t="n"/>
      <c r="R1012" s="125" t="n"/>
      <c r="S1012" s="125" t="n"/>
      <c r="T1012" s="125" t="n"/>
      <c r="U1012" s="121" t="n"/>
      <c r="V1012" s="19" t="n"/>
      <c r="W1012" s="19" t="n"/>
      <c r="X1012" s="19" t="n"/>
      <c r="Y1012" s="20" t="n"/>
      <c r="Z1012" s="125" t="n"/>
      <c r="AB1012" s="21" t="n"/>
      <c r="AF1012" s="22" t="n"/>
      <c r="AG1012" s="125" t="n"/>
      <c r="AH1012" s="125" t="n"/>
      <c r="AI1012" s="125" t="n"/>
      <c r="AJ1012" s="125" t="n"/>
      <c r="AK1012" s="125" t="n"/>
      <c r="AL1012" s="125" t="n"/>
      <c r="AM1012" s="125" t="n"/>
      <c r="AN1012" s="121" t="n"/>
      <c r="AO1012" s="19" t="n"/>
      <c r="AP1012" s="19" t="n"/>
      <c r="AQ1012" s="19" t="n"/>
      <c r="AR1012" s="20" t="n"/>
      <c r="AS1012" s="125" t="n"/>
    </row>
    <row r="1013" hidden="1" outlineLevel="1">
      <c r="A1013" s="8" t="n"/>
      <c r="B1013" s="14" t="n"/>
      <c r="C1013" s="125" t="n"/>
      <c r="D1013" s="125" t="n"/>
      <c r="E1013" s="125" t="n"/>
      <c r="F1013" s="125" t="n"/>
      <c r="G1013" s="125" t="n"/>
      <c r="I1013" s="21" t="n"/>
      <c r="M1013" s="22" t="n"/>
      <c r="N1013" s="125" t="n"/>
      <c r="O1013" s="55" t="inlineStr">
        <is>
          <t>ATAQUE</t>
        </is>
      </c>
      <c r="P1013" s="55" t="inlineStr">
        <is>
          <t>CD</t>
        </is>
      </c>
      <c r="Q1013" s="55" t="inlineStr">
        <is>
          <t>DEFESA</t>
        </is>
      </c>
      <c r="R1013" s="55" t="inlineStr">
        <is>
          <t>VIDA MÁXIMA</t>
        </is>
      </c>
      <c r="S1013" s="55" t="inlineStr">
        <is>
          <t>DESLOCAMENTO</t>
        </is>
      </c>
      <c r="T1013" s="125" t="n"/>
      <c r="U1013" s="21" t="n"/>
      <c r="Y1013" s="22" t="n"/>
      <c r="Z1013" s="125" t="n"/>
      <c r="AB1013" s="21" t="n"/>
      <c r="AF1013" s="22" t="n"/>
      <c r="AG1013" s="125" t="n"/>
      <c r="AH1013" s="55" t="inlineStr">
        <is>
          <t>ATAQUE</t>
        </is>
      </c>
      <c r="AI1013" s="55" t="inlineStr">
        <is>
          <t>CD</t>
        </is>
      </c>
      <c r="AJ1013" s="55" t="inlineStr">
        <is>
          <t>DEFESA</t>
        </is>
      </c>
      <c r="AK1013" s="55" t="inlineStr">
        <is>
          <t>VIDA MÁXIMA</t>
        </is>
      </c>
      <c r="AL1013" s="55" t="inlineStr">
        <is>
          <t>DESLOCAMENTO</t>
        </is>
      </c>
      <c r="AM1013" s="125" t="n"/>
      <c r="AN1013" s="21" t="n"/>
      <c r="AR1013" s="22" t="n"/>
      <c r="AS1013" s="125" t="n"/>
    </row>
    <row r="1014" hidden="1" outlineLevel="1">
      <c r="A1014" s="8" t="n"/>
      <c r="B1014" s="14" t="n"/>
      <c r="C1014" s="125" t="n"/>
      <c r="D1014" s="125" t="n"/>
      <c r="E1014" s="125" t="n"/>
      <c r="F1014" s="125" t="n"/>
      <c r="G1014" s="125" t="n"/>
      <c r="I1014" s="21" t="n"/>
      <c r="M1014" s="22" t="n"/>
      <c r="N1014" s="125" t="n"/>
      <c r="O1014" s="98">
        <f>DADOS_INVOC!$HK$7</f>
        <v/>
      </c>
      <c r="P1014" s="98">
        <f>DADOS_INVOC!$HL$7</f>
        <v/>
      </c>
      <c r="Q1014" s="98">
        <f>DADOS_INVOC!$GB$7</f>
        <v/>
      </c>
      <c r="R1014" s="98">
        <f>DADOS_INVOC!$GD$7</f>
        <v/>
      </c>
      <c r="S1014" s="98">
        <f>DADOS_INVOC!$HM$7</f>
        <v/>
      </c>
      <c r="T1014" s="125" t="n"/>
      <c r="U1014" s="23" t="n"/>
      <c r="V1014" s="24" t="n"/>
      <c r="W1014" s="24" t="n"/>
      <c r="X1014" s="24" t="n"/>
      <c r="Y1014" s="25" t="n"/>
      <c r="Z1014" s="125" t="n"/>
      <c r="AB1014" s="21" t="n"/>
      <c r="AF1014" s="22" t="n"/>
      <c r="AG1014" s="125" t="n"/>
      <c r="AH1014" s="98">
        <f>DADOS_INVOC!$HK$13</f>
        <v/>
      </c>
      <c r="AI1014" s="98">
        <f>DADOS_INVOC!$HL$13</f>
        <v/>
      </c>
      <c r="AJ1014" s="98">
        <f>DADOS_INVOC!$GB$13</f>
        <v/>
      </c>
      <c r="AK1014" s="98">
        <f>DADOS_INVOC!$GD$13</f>
        <v/>
      </c>
      <c r="AL1014" s="98">
        <f>DADOS_INVOC!$HM$13</f>
        <v/>
      </c>
      <c r="AM1014" s="125" t="n"/>
      <c r="AN1014" s="23" t="n"/>
      <c r="AO1014" s="24" t="n"/>
      <c r="AP1014" s="24" t="n"/>
      <c r="AQ1014" s="24" t="n"/>
      <c r="AR1014" s="25" t="n"/>
      <c r="AS1014" s="125" t="n"/>
    </row>
    <row r="1015" hidden="1" outlineLevel="1">
      <c r="A1015" s="8" t="n"/>
      <c r="B1015" s="14" t="n"/>
      <c r="C1015" s="125" t="n"/>
      <c r="D1015" s="125" t="n"/>
      <c r="E1015" s="125" t="n"/>
      <c r="F1015" s="125" t="n"/>
      <c r="G1015" s="125" t="n"/>
      <c r="I1015" s="21" t="n"/>
      <c r="M1015" s="22" t="n"/>
      <c r="N1015" s="125" t="n"/>
      <c r="O1015" s="129" t="n"/>
      <c r="P1015" s="129" t="n"/>
      <c r="Q1015" s="129" t="n"/>
      <c r="R1015" s="129" t="n"/>
      <c r="S1015" s="129" t="n"/>
      <c r="T1015" s="125" t="n"/>
      <c r="U1015" s="125" t="n"/>
      <c r="V1015" s="125" t="n"/>
      <c r="W1015" s="125" t="n"/>
      <c r="X1015" s="125" t="n"/>
      <c r="Y1015" s="125" t="n"/>
      <c r="Z1015" s="125" t="n"/>
      <c r="AB1015" s="21" t="n"/>
      <c r="AF1015" s="22" t="n"/>
      <c r="AG1015" s="125" t="n"/>
      <c r="AH1015" s="129" t="n"/>
      <c r="AI1015" s="129" t="n"/>
      <c r="AJ1015" s="129" t="n"/>
      <c r="AK1015" s="129" t="n"/>
      <c r="AL1015" s="129" t="n"/>
      <c r="AM1015" s="125" t="n"/>
      <c r="AN1015" s="125" t="n"/>
      <c r="AO1015" s="125" t="n"/>
      <c r="AP1015" s="125" t="n"/>
      <c r="AQ1015" s="125" t="n"/>
      <c r="AR1015" s="125" t="n"/>
      <c r="AS1015" s="125" t="n"/>
    </row>
    <row r="1016" hidden="1" outlineLevel="1">
      <c r="A1016" s="8" t="n"/>
      <c r="B1016" s="14" t="n"/>
      <c r="C1016" s="125" t="n"/>
      <c r="D1016" s="125" t="n"/>
      <c r="E1016" s="125" t="n"/>
      <c r="F1016" s="125" t="n"/>
      <c r="G1016" s="125" t="n"/>
      <c r="I1016" s="21" t="n"/>
      <c r="M1016" s="22" t="n"/>
      <c r="N1016" s="125" t="n"/>
      <c r="O1016" s="147" t="n">
        <v>0</v>
      </c>
      <c r="P1016" s="147" t="n">
        <v>0</v>
      </c>
      <c r="Q1016" s="147" t="n">
        <v>0</v>
      </c>
      <c r="R1016" s="147" t="n">
        <v>0</v>
      </c>
      <c r="S1016" s="147" t="n">
        <v>0</v>
      </c>
      <c r="T1016" s="125" t="n"/>
      <c r="U1016" s="55" t="inlineStr">
        <is>
          <t>ANOTAÇÕES</t>
        </is>
      </c>
      <c r="V1016" s="16" t="n"/>
      <c r="W1016" s="16" t="n"/>
      <c r="X1016" s="16" t="n"/>
      <c r="Y1016" s="17" t="n"/>
      <c r="Z1016" s="125" t="n"/>
      <c r="AB1016" s="21" t="n"/>
      <c r="AF1016" s="22" t="n"/>
      <c r="AG1016" s="125" t="n"/>
      <c r="AH1016" s="147" t="n">
        <v>0</v>
      </c>
      <c r="AI1016" s="147" t="n">
        <v>0</v>
      </c>
      <c r="AJ1016" s="147" t="n">
        <v>0</v>
      </c>
      <c r="AK1016" s="147" t="n">
        <v>0</v>
      </c>
      <c r="AL1016" s="147" t="n">
        <v>0</v>
      </c>
      <c r="AM1016" s="125" t="n"/>
      <c r="AN1016" s="55" t="inlineStr">
        <is>
          <t>ANOTAÇÕES</t>
        </is>
      </c>
      <c r="AO1016" s="16" t="n"/>
      <c r="AP1016" s="16" t="n"/>
      <c r="AQ1016" s="16" t="n"/>
      <c r="AR1016" s="17" t="n"/>
      <c r="AS1016" s="125" t="n"/>
    </row>
    <row r="1017" hidden="1" outlineLevel="1">
      <c r="A1017" s="8" t="n"/>
      <c r="B1017" s="14" t="n"/>
      <c r="C1017" s="125" t="n"/>
      <c r="D1017" s="125" t="n"/>
      <c r="E1017" s="125" t="n"/>
      <c r="F1017" s="125" t="n"/>
      <c r="G1017" s="125" t="n"/>
      <c r="I1017" s="21" t="n"/>
      <c r="M1017" s="22" t="n"/>
      <c r="N1017" s="125" t="n"/>
      <c r="O1017" s="125" t="n"/>
      <c r="P1017" s="125" t="n"/>
      <c r="Q1017" s="125" t="n"/>
      <c r="R1017" s="125" t="n"/>
      <c r="S1017" s="125" t="n"/>
      <c r="T1017" s="125" t="n"/>
      <c r="U1017" s="121" t="n"/>
      <c r="V1017" s="19" t="n"/>
      <c r="W1017" s="19" t="n"/>
      <c r="X1017" s="19" t="n"/>
      <c r="Y1017" s="20" t="n"/>
      <c r="Z1017" s="125" t="n"/>
      <c r="AB1017" s="21" t="n"/>
      <c r="AF1017" s="22" t="n"/>
      <c r="AG1017" s="125" t="n"/>
      <c r="AH1017" s="125" t="n"/>
      <c r="AI1017" s="125" t="n"/>
      <c r="AJ1017" s="125" t="n"/>
      <c r="AK1017" s="125" t="n"/>
      <c r="AL1017" s="125" t="n"/>
      <c r="AM1017" s="125" t="n"/>
      <c r="AN1017" s="121" t="n"/>
      <c r="AO1017" s="19" t="n"/>
      <c r="AP1017" s="19" t="n"/>
      <c r="AQ1017" s="19" t="n"/>
      <c r="AR1017" s="20" t="n"/>
      <c r="AS1017" s="125" t="n"/>
    </row>
    <row r="1018" hidden="1" outlineLevel="1">
      <c r="A1018" s="8" t="n"/>
      <c r="B1018" s="14" t="n"/>
      <c r="C1018" s="125" t="n"/>
      <c r="D1018" s="125" t="n"/>
      <c r="E1018" s="125" t="n"/>
      <c r="F1018" s="125" t="n"/>
      <c r="G1018" s="125" t="n"/>
      <c r="I1018" s="21" t="n"/>
      <c r="M1018" s="22" t="n"/>
      <c r="N1018" s="125" t="n"/>
      <c r="O1018" s="55" t="inlineStr">
        <is>
          <t>FÍSICO</t>
        </is>
      </c>
      <c r="P1018" s="55" t="inlineStr">
        <is>
          <t>VIGOR</t>
        </is>
      </c>
      <c r="Q1018" s="55" t="inlineStr">
        <is>
          <t>INTELECTO</t>
        </is>
      </c>
      <c r="R1018" s="55" t="inlineStr">
        <is>
          <t>ESPÍRITO</t>
        </is>
      </c>
      <c r="S1018" s="55" t="inlineStr">
        <is>
          <t>TR TREINADO</t>
        </is>
      </c>
      <c r="T1018" s="125" t="n"/>
      <c r="U1018" s="21" t="n"/>
      <c r="Y1018" s="22" t="n"/>
      <c r="Z1018" s="125" t="n"/>
      <c r="AB1018" s="21" t="n"/>
      <c r="AF1018" s="22" t="n"/>
      <c r="AG1018" s="125" t="n"/>
      <c r="AH1018" s="55" t="inlineStr">
        <is>
          <t>FÍSICO</t>
        </is>
      </c>
      <c r="AI1018" s="55" t="inlineStr">
        <is>
          <t>VIGOR</t>
        </is>
      </c>
      <c r="AJ1018" s="55" t="inlineStr">
        <is>
          <t>INTELECTO</t>
        </is>
      </c>
      <c r="AK1018" s="55" t="inlineStr">
        <is>
          <t>ESPÍRITO</t>
        </is>
      </c>
      <c r="AL1018" s="55" t="inlineStr">
        <is>
          <t>TR TREINADO</t>
        </is>
      </c>
      <c r="AM1018" s="125" t="n"/>
      <c r="AN1018" s="21" t="n"/>
      <c r="AR1018" s="22" t="n"/>
      <c r="AS1018" s="125" t="n"/>
    </row>
    <row r="1019" hidden="1" outlineLevel="1">
      <c r="A1019" s="8" t="n"/>
      <c r="B1019" s="14" t="n"/>
      <c r="C1019" s="125" t="n"/>
      <c r="D1019" s="125" t="n"/>
      <c r="E1019" s="125" t="n"/>
      <c r="F1019" s="125" t="n"/>
      <c r="G1019" s="125" t="n"/>
      <c r="I1019" s="21" t="n"/>
      <c r="M1019" s="22" t="n"/>
      <c r="N1019" s="125" t="n"/>
      <c r="O1019" s="98">
        <f>DADOS_INVOC!$HN$7</f>
        <v/>
      </c>
      <c r="P1019" s="98">
        <f>DADOS_INVOC!$HO$7</f>
        <v/>
      </c>
      <c r="Q1019" s="98">
        <f>DADOS_INVOC!$HP$7</f>
        <v/>
      </c>
      <c r="R1019" s="98">
        <f>DADOS_INVOC!$HQ$7</f>
        <v/>
      </c>
      <c r="S1019" s="89" t="n"/>
      <c r="T1019" s="125" t="n"/>
      <c r="U1019" s="21" t="n"/>
      <c r="Y1019" s="22" t="n"/>
      <c r="Z1019" s="125" t="n"/>
      <c r="AB1019" s="21" t="n"/>
      <c r="AF1019" s="22" t="n"/>
      <c r="AG1019" s="125" t="n"/>
      <c r="AH1019" s="98">
        <f>DADOS_INVOC!$HN$13</f>
        <v/>
      </c>
      <c r="AI1019" s="98">
        <f>DADOS_INVOC!$HO$13</f>
        <v/>
      </c>
      <c r="AJ1019" s="98">
        <f>DADOS_INVOC!$HP$13</f>
        <v/>
      </c>
      <c r="AK1019" s="98">
        <f>DADOS_INVOC!$HQ$13</f>
        <v/>
      </c>
      <c r="AL1019" s="89" t="n"/>
      <c r="AM1019" s="125" t="n"/>
      <c r="AN1019" s="21" t="n"/>
      <c r="AR1019" s="22" t="n"/>
      <c r="AS1019" s="125" t="n"/>
    </row>
    <row r="1020" hidden="1" outlineLevel="1">
      <c r="A1020" s="8" t="n"/>
      <c r="B1020" s="14" t="n"/>
      <c r="C1020" s="125" t="n"/>
      <c r="D1020" s="125" t="n"/>
      <c r="E1020" s="125" t="n"/>
      <c r="F1020" s="125" t="n"/>
      <c r="G1020" s="125" t="n"/>
      <c r="I1020" s="21" t="n"/>
      <c r="M1020" s="22" t="n"/>
      <c r="N1020" s="125" t="n"/>
      <c r="O1020" s="129" t="n"/>
      <c r="P1020" s="129" t="n"/>
      <c r="Q1020" s="129" t="n"/>
      <c r="R1020" s="129" t="n"/>
      <c r="S1020" s="129" t="n"/>
      <c r="T1020" s="125" t="n"/>
      <c r="U1020" s="23" t="n"/>
      <c r="V1020" s="24" t="n"/>
      <c r="W1020" s="24" t="n"/>
      <c r="X1020" s="24" t="n"/>
      <c r="Y1020" s="25" t="n"/>
      <c r="Z1020" s="125" t="n"/>
      <c r="AB1020" s="21" t="n"/>
      <c r="AF1020" s="22" t="n"/>
      <c r="AG1020" s="125" t="n"/>
      <c r="AH1020" s="129" t="n"/>
      <c r="AI1020" s="129" t="n"/>
      <c r="AJ1020" s="129" t="n"/>
      <c r="AK1020" s="129" t="n"/>
      <c r="AL1020" s="129" t="n"/>
      <c r="AM1020" s="125" t="n"/>
      <c r="AN1020" s="23" t="n"/>
      <c r="AO1020" s="24" t="n"/>
      <c r="AP1020" s="24" t="n"/>
      <c r="AQ1020" s="24" t="n"/>
      <c r="AR1020" s="25" t="n"/>
      <c r="AS1020" s="125" t="n"/>
    </row>
    <row r="1021" hidden="1" outlineLevel="1">
      <c r="A1021" s="8" t="n"/>
      <c r="B1021" s="14" t="n"/>
      <c r="C1021" s="125" t="n"/>
      <c r="D1021" s="125" t="n"/>
      <c r="E1021" s="125" t="n"/>
      <c r="F1021" s="125" t="n"/>
      <c r="G1021" s="125" t="n"/>
      <c r="I1021" s="21" t="n"/>
      <c r="M1021" s="22" t="n"/>
      <c r="N1021" s="125" t="n"/>
      <c r="O1021" s="147" t="n">
        <v>0</v>
      </c>
      <c r="P1021" s="147" t="n">
        <v>0</v>
      </c>
      <c r="Q1021" s="147" t="n">
        <v>0</v>
      </c>
      <c r="R1021" s="147" t="n">
        <v>0</v>
      </c>
      <c r="S1021" s="125" t="n"/>
      <c r="T1021" s="125" t="n"/>
      <c r="U1021" s="125" t="n"/>
      <c r="V1021" s="125" t="n"/>
      <c r="W1021" s="125" t="n"/>
      <c r="X1021" s="125" t="n"/>
      <c r="Y1021" s="125" t="n"/>
      <c r="Z1021" s="125" t="n"/>
      <c r="AB1021" s="21" t="n"/>
      <c r="AF1021" s="22" t="n"/>
      <c r="AG1021" s="125" t="n"/>
      <c r="AH1021" s="147" t="n">
        <v>0</v>
      </c>
      <c r="AI1021" s="147" t="n">
        <v>0</v>
      </c>
      <c r="AJ1021" s="147" t="n">
        <v>0</v>
      </c>
      <c r="AK1021" s="147" t="n">
        <v>0</v>
      </c>
      <c r="AL1021" s="125" t="n"/>
      <c r="AM1021" s="125" t="n"/>
      <c r="AN1021" s="125" t="n"/>
      <c r="AO1021" s="125" t="n"/>
      <c r="AP1021" s="125" t="n"/>
      <c r="AQ1021" s="125" t="n"/>
      <c r="AR1021" s="125" t="n"/>
      <c r="AS1021" s="125" t="n"/>
    </row>
    <row r="1022" hidden="1" outlineLevel="1">
      <c r="A1022" s="8" t="n"/>
      <c r="B1022" s="14" t="n"/>
      <c r="C1022" s="125" t="n"/>
      <c r="D1022" s="125" t="n"/>
      <c r="E1022" s="125" t="n"/>
      <c r="F1022" s="125" t="n"/>
      <c r="G1022" s="125" t="n"/>
      <c r="I1022" s="21" t="n"/>
      <c r="M1022" s="22" t="n"/>
      <c r="N1022" s="125" t="n"/>
      <c r="O1022" s="125" t="n"/>
      <c r="P1022" s="125" t="n"/>
      <c r="Q1022" s="125" t="n"/>
      <c r="R1022" s="125" t="n"/>
      <c r="S1022" s="125" t="n"/>
      <c r="T1022" s="125" t="n"/>
      <c r="U1022" s="55">
        <f>DADOS_INVOC!$IA$7</f>
        <v/>
      </c>
      <c r="V1022" s="16" t="n"/>
      <c r="W1022" s="16" t="n"/>
      <c r="X1022" s="17" t="n"/>
      <c r="Y1022" s="55" t="inlineStr">
        <is>
          <t>VOL.</t>
        </is>
      </c>
      <c r="Z1022" s="125" t="n"/>
      <c r="AB1022" s="21" t="n"/>
      <c r="AF1022" s="22" t="n"/>
      <c r="AG1022" s="125" t="n"/>
      <c r="AH1022" s="125" t="n"/>
      <c r="AI1022" s="125" t="n"/>
      <c r="AJ1022" s="125" t="n"/>
      <c r="AK1022" s="125" t="n"/>
      <c r="AL1022" s="125" t="n"/>
      <c r="AM1022" s="125" t="n"/>
      <c r="AN1022" s="55">
        <f>DADOS_INVOC!$IA$13</f>
        <v/>
      </c>
      <c r="AO1022" s="16" t="n"/>
      <c r="AP1022" s="16" t="n"/>
      <c r="AQ1022" s="17" t="n"/>
      <c r="AR1022" s="55" t="inlineStr">
        <is>
          <t>VOL.</t>
        </is>
      </c>
      <c r="AS1022" s="125" t="n"/>
    </row>
    <row r="1023" hidden="1" outlineLevel="1">
      <c r="A1023" s="8" t="n"/>
      <c r="B1023" s="14" t="n"/>
      <c r="C1023" s="125" t="n"/>
      <c r="D1023" s="125" t="n"/>
      <c r="E1023" s="125" t="n"/>
      <c r="F1023" s="125" t="n"/>
      <c r="G1023" s="125" t="n"/>
      <c r="I1023" s="21" t="n"/>
      <c r="M1023" s="22" t="n"/>
      <c r="N1023" s="125" t="n"/>
      <c r="O1023" s="55" t="inlineStr">
        <is>
          <t>ATRIBUTO DE ACERTO</t>
        </is>
      </c>
      <c r="P1023" s="16" t="n"/>
      <c r="Q1023" s="17" t="n"/>
      <c r="R1023" s="55" t="inlineStr">
        <is>
          <t>FÍSICO USA</t>
        </is>
      </c>
      <c r="S1023" s="17" t="n"/>
      <c r="T1023" s="125" t="n"/>
      <c r="U1023" s="55" t="inlineStr">
        <is>
          <t>MÃO 1</t>
        </is>
      </c>
      <c r="V1023" s="134" t="n"/>
      <c r="W1023" s="16" t="n"/>
      <c r="X1023" s="17" t="n"/>
      <c r="Y1023" s="89" t="n"/>
      <c r="Z1023" s="125" t="n"/>
      <c r="AB1023" s="21" t="n"/>
      <c r="AF1023" s="22" t="n"/>
      <c r="AG1023" s="125" t="n"/>
      <c r="AH1023" s="55" t="inlineStr">
        <is>
          <t>ATRIBUTO DE ACERTO</t>
        </is>
      </c>
      <c r="AI1023" s="16" t="n"/>
      <c r="AJ1023" s="17" t="n"/>
      <c r="AK1023" s="55" t="inlineStr">
        <is>
          <t>FÍSICO USA</t>
        </is>
      </c>
      <c r="AL1023" s="17" t="n"/>
      <c r="AM1023" s="125" t="n"/>
      <c r="AN1023" s="55" t="inlineStr">
        <is>
          <t>MÃO 1</t>
        </is>
      </c>
      <c r="AO1023" s="134" t="n"/>
      <c r="AP1023" s="16" t="n"/>
      <c r="AQ1023" s="17" t="n"/>
      <c r="AR1023" s="89" t="n"/>
      <c r="AS1023" s="125" t="n"/>
    </row>
    <row r="1024" hidden="1" outlineLevel="1">
      <c r="A1024" s="8" t="n"/>
      <c r="B1024" s="14" t="n"/>
      <c r="C1024" s="125" t="n"/>
      <c r="D1024" s="125" t="n"/>
      <c r="E1024" s="125" t="n"/>
      <c r="F1024" s="125" t="n"/>
      <c r="G1024" s="125" t="n"/>
      <c r="I1024" s="21" t="n"/>
      <c r="M1024" s="22" t="n"/>
      <c r="N1024" s="125" t="n"/>
      <c r="O1024" s="89" t="n"/>
      <c r="P1024" s="19" t="n"/>
      <c r="Q1024" s="20" t="n"/>
      <c r="R1024" s="89" t="inlineStr">
        <is>
          <t>Força</t>
        </is>
      </c>
      <c r="S1024" s="20" t="n"/>
      <c r="T1024" s="125" t="n"/>
      <c r="U1024" s="55" t="inlineStr">
        <is>
          <t>MÃO 2</t>
        </is>
      </c>
      <c r="V1024" s="134" t="n"/>
      <c r="W1024" s="16" t="n"/>
      <c r="X1024" s="17" t="n"/>
      <c r="Y1024" s="89" t="n"/>
      <c r="Z1024" s="125" t="n"/>
      <c r="AB1024" s="21" t="n"/>
      <c r="AF1024" s="22" t="n"/>
      <c r="AG1024" s="125" t="n"/>
      <c r="AH1024" s="89" t="n"/>
      <c r="AI1024" s="19" t="n"/>
      <c r="AJ1024" s="20" t="n"/>
      <c r="AK1024" s="89" t="inlineStr">
        <is>
          <t>Força</t>
        </is>
      </c>
      <c r="AL1024" s="20" t="n"/>
      <c r="AM1024" s="125" t="n"/>
      <c r="AN1024" s="55" t="inlineStr">
        <is>
          <t>MÃO 2</t>
        </is>
      </c>
      <c r="AO1024" s="134" t="n"/>
      <c r="AP1024" s="16" t="n"/>
      <c r="AQ1024" s="17" t="n"/>
      <c r="AR1024" s="89" t="n"/>
      <c r="AS1024" s="125" t="n"/>
    </row>
    <row r="1025" hidden="1" outlineLevel="1">
      <c r="A1025" s="8" t="n"/>
      <c r="B1025" s="14" t="n"/>
      <c r="C1025" s="125" t="n"/>
      <c r="D1025" s="125" t="n"/>
      <c r="E1025" s="125" t="n"/>
      <c r="F1025" s="125" t="n"/>
      <c r="G1025" s="125" t="n"/>
      <c r="I1025" s="21" t="n"/>
      <c r="M1025" s="22" t="n"/>
      <c r="N1025" s="125" t="n"/>
      <c r="O1025" s="23" t="n"/>
      <c r="P1025" s="24" t="n"/>
      <c r="Q1025" s="25" t="n"/>
      <c r="R1025" s="23" t="n"/>
      <c r="S1025" s="25" t="n"/>
      <c r="T1025" s="125" t="n"/>
      <c r="U1025" s="55" t="inlineStr">
        <is>
          <t>VESTE</t>
        </is>
      </c>
      <c r="V1025" s="134" t="n"/>
      <c r="W1025" s="16" t="n"/>
      <c r="X1025" s="17" t="n"/>
      <c r="Y1025" s="89" t="n"/>
      <c r="Z1025" s="125" t="n"/>
      <c r="AB1025" s="21" t="n"/>
      <c r="AF1025" s="22" t="n"/>
      <c r="AG1025" s="125" t="n"/>
      <c r="AH1025" s="23" t="n"/>
      <c r="AI1025" s="24" t="n"/>
      <c r="AJ1025" s="25" t="n"/>
      <c r="AK1025" s="23" t="n"/>
      <c r="AL1025" s="25" t="n"/>
      <c r="AM1025" s="125" t="n"/>
      <c r="AN1025" s="55" t="inlineStr">
        <is>
          <t>VESTE</t>
        </is>
      </c>
      <c r="AO1025" s="134" t="n"/>
      <c r="AP1025" s="16" t="n"/>
      <c r="AQ1025" s="17" t="n"/>
      <c r="AR1025" s="89" t="n"/>
      <c r="AS1025" s="125" t="n"/>
    </row>
    <row r="1026" hidden="1" outlineLevel="1">
      <c r="A1026" s="8" t="n"/>
      <c r="B1026" s="14" t="n"/>
      <c r="C1026" s="125" t="n"/>
      <c r="D1026" s="125" t="n"/>
      <c r="E1026" s="125" t="n"/>
      <c r="F1026" s="125" t="n"/>
      <c r="G1026" s="125" t="n"/>
      <c r="I1026" s="21" t="n"/>
      <c r="M1026" s="22" t="n"/>
      <c r="N1026" s="125" t="n"/>
      <c r="O1026" s="125" t="n"/>
      <c r="P1026" s="125" t="n"/>
      <c r="Q1026" s="125" t="n"/>
      <c r="R1026" s="125" t="n"/>
      <c r="S1026" s="125" t="n"/>
      <c r="T1026" s="125" t="n"/>
      <c r="U1026" s="55" t="inlineStr">
        <is>
          <t>GUARDADO · SÓ COM A CARACTERÍSTICA DE TRANSPORTE</t>
        </is>
      </c>
      <c r="V1026" s="16" t="n"/>
      <c r="W1026" s="16" t="n"/>
      <c r="X1026" s="17" t="n"/>
      <c r="Y1026" s="55" t="inlineStr">
        <is>
          <t>VOL.</t>
        </is>
      </c>
      <c r="Z1026" s="125" t="n"/>
      <c r="AB1026" s="21" t="n"/>
      <c r="AF1026" s="22" t="n"/>
      <c r="AG1026" s="125" t="n"/>
      <c r="AH1026" s="125" t="n"/>
      <c r="AI1026" s="125" t="n"/>
      <c r="AJ1026" s="125" t="n"/>
      <c r="AK1026" s="125" t="n"/>
      <c r="AL1026" s="125" t="n"/>
      <c r="AM1026" s="125" t="n"/>
      <c r="AN1026" s="55" t="inlineStr">
        <is>
          <t>GUARDADO · SÓ COM A CARACTERÍSTICA DE TRANSPORTE</t>
        </is>
      </c>
      <c r="AO1026" s="16" t="n"/>
      <c r="AP1026" s="16" t="n"/>
      <c r="AQ1026" s="17" t="n"/>
      <c r="AR1026" s="55" t="inlineStr">
        <is>
          <t>VOL.</t>
        </is>
      </c>
      <c r="AS1026" s="125" t="n"/>
    </row>
    <row r="1027" hidden="1" outlineLevel="1">
      <c r="A1027" s="8" t="n"/>
      <c r="B1027" s="14" t="n"/>
      <c r="C1027" s="125" t="n"/>
      <c r="D1027" s="125" t="n"/>
      <c r="E1027" s="125" t="n"/>
      <c r="F1027" s="125" t="n"/>
      <c r="G1027" s="125" t="n"/>
      <c r="I1027" s="21" t="n"/>
      <c r="M1027" s="22" t="n"/>
      <c r="N1027" s="125" t="n"/>
      <c r="O1027" s="55">
        <f>DADOS_INVOC!$HR$7</f>
        <v/>
      </c>
      <c r="P1027" s="16" t="n"/>
      <c r="Q1027" s="16" t="n"/>
      <c r="R1027" s="16" t="n"/>
      <c r="S1027" s="17" t="n"/>
      <c r="T1027" s="125" t="n"/>
      <c r="U1027" s="134" t="n"/>
      <c r="V1027" s="16" t="n"/>
      <c r="W1027" s="16" t="n"/>
      <c r="X1027" s="17" t="n"/>
      <c r="Y1027" s="89" t="n"/>
      <c r="Z1027" s="125" t="n"/>
      <c r="AB1027" s="21" t="n"/>
      <c r="AF1027" s="22" t="n"/>
      <c r="AG1027" s="125" t="n"/>
      <c r="AH1027" s="55">
        <f>DADOS_INVOC!$HR$13</f>
        <v/>
      </c>
      <c r="AI1027" s="16" t="n"/>
      <c r="AJ1027" s="16" t="n"/>
      <c r="AK1027" s="16" t="n"/>
      <c r="AL1027" s="17" t="n"/>
      <c r="AM1027" s="125" t="n"/>
      <c r="AN1027" s="134" t="n"/>
      <c r="AO1027" s="16" t="n"/>
      <c r="AP1027" s="16" t="n"/>
      <c r="AQ1027" s="17" t="n"/>
      <c r="AR1027" s="89" t="n"/>
      <c r="AS1027" s="125" t="n"/>
    </row>
    <row r="1028" hidden="1" outlineLevel="1">
      <c r="A1028" s="8" t="n"/>
      <c r="B1028" s="14" t="n"/>
      <c r="C1028" s="125" t="n"/>
      <c r="D1028" s="125" t="n"/>
      <c r="E1028" s="125" t="n"/>
      <c r="F1028" s="125" t="n"/>
      <c r="G1028" s="125" t="n"/>
      <c r="I1028" s="21" t="n"/>
      <c r="M1028" s="22" t="n"/>
      <c r="N1028" s="125" t="n"/>
      <c r="O1028" s="134" t="n"/>
      <c r="P1028" s="16" t="n"/>
      <c r="Q1028" s="17" t="n"/>
      <c r="R1028" s="89">
        <f>DADOS_INVOC!$HS$7</f>
        <v/>
      </c>
      <c r="S1028" s="17" t="n"/>
      <c r="T1028" s="125" t="n"/>
      <c r="U1028" s="134" t="n"/>
      <c r="V1028" s="16" t="n"/>
      <c r="W1028" s="16" t="n"/>
      <c r="X1028" s="17" t="n"/>
      <c r="Y1028" s="89" t="n"/>
      <c r="Z1028" s="125" t="n"/>
      <c r="AB1028" s="21" t="n"/>
      <c r="AF1028" s="22" t="n"/>
      <c r="AG1028" s="125" t="n"/>
      <c r="AH1028" s="134" t="n"/>
      <c r="AI1028" s="16" t="n"/>
      <c r="AJ1028" s="17" t="n"/>
      <c r="AK1028" s="89">
        <f>DADOS_INVOC!$HS$13</f>
        <v/>
      </c>
      <c r="AL1028" s="17" t="n"/>
      <c r="AM1028" s="125" t="n"/>
      <c r="AN1028" s="134" t="n"/>
      <c r="AO1028" s="16" t="n"/>
      <c r="AP1028" s="16" t="n"/>
      <c r="AQ1028" s="17" t="n"/>
      <c r="AR1028" s="89" t="n"/>
      <c r="AS1028" s="125" t="n"/>
    </row>
    <row r="1029" hidden="1" outlineLevel="1">
      <c r="A1029" s="8" t="n"/>
      <c r="B1029" s="14" t="n"/>
      <c r="C1029" s="125" t="n"/>
      <c r="D1029" s="125" t="n"/>
      <c r="E1029" s="125" t="n"/>
      <c r="F1029" s="125" t="n"/>
      <c r="G1029" s="125" t="n"/>
      <c r="I1029" s="21" t="n"/>
      <c r="M1029" s="22" t="n"/>
      <c r="N1029" s="125" t="n"/>
      <c r="O1029" s="134" t="n"/>
      <c r="P1029" s="16" t="n"/>
      <c r="Q1029" s="17" t="n"/>
      <c r="R1029" s="89">
        <f>DADOS_INVOC!$HT$7</f>
        <v/>
      </c>
      <c r="S1029" s="17" t="n"/>
      <c r="T1029" s="125" t="n"/>
      <c r="U1029" s="134" t="n"/>
      <c r="V1029" s="16" t="n"/>
      <c r="W1029" s="16" t="n"/>
      <c r="X1029" s="17" t="n"/>
      <c r="Y1029" s="89" t="n"/>
      <c r="Z1029" s="125" t="n"/>
      <c r="AB1029" s="21" t="n"/>
      <c r="AF1029" s="22" t="n"/>
      <c r="AG1029" s="125" t="n"/>
      <c r="AH1029" s="134" t="n"/>
      <c r="AI1029" s="16" t="n"/>
      <c r="AJ1029" s="17" t="n"/>
      <c r="AK1029" s="89">
        <f>DADOS_INVOC!$HT$13</f>
        <v/>
      </c>
      <c r="AL1029" s="17" t="n"/>
      <c r="AM1029" s="125" t="n"/>
      <c r="AN1029" s="134" t="n"/>
      <c r="AO1029" s="16" t="n"/>
      <c r="AP1029" s="16" t="n"/>
      <c r="AQ1029" s="17" t="n"/>
      <c r="AR1029" s="89" t="n"/>
      <c r="AS1029" s="125" t="n"/>
    </row>
    <row r="1030" hidden="1" outlineLevel="1">
      <c r="A1030" s="8" t="n"/>
      <c r="B1030" s="14" t="n"/>
      <c r="C1030" s="125" t="n"/>
      <c r="D1030" s="125" t="n"/>
      <c r="E1030" s="125" t="n"/>
      <c r="F1030" s="125" t="n"/>
      <c r="G1030" s="125" t="n"/>
      <c r="I1030" s="23" t="n"/>
      <c r="J1030" s="24" t="n"/>
      <c r="K1030" s="24" t="n"/>
      <c r="L1030" s="24" t="n"/>
      <c r="M1030" s="25" t="n"/>
      <c r="N1030" s="125" t="n"/>
      <c r="O1030" s="134" t="n"/>
      <c r="P1030" s="16" t="n"/>
      <c r="Q1030" s="17" t="n"/>
      <c r="R1030" s="89">
        <f>DADOS_INVOC!$HU$7</f>
        <v/>
      </c>
      <c r="S1030" s="17" t="n"/>
      <c r="T1030" s="125" t="n"/>
      <c r="U1030" s="134" t="n"/>
      <c r="V1030" s="16" t="n"/>
      <c r="W1030" s="16" t="n"/>
      <c r="X1030" s="17" t="n"/>
      <c r="Y1030" s="89" t="n"/>
      <c r="Z1030" s="125" t="n"/>
      <c r="AB1030" s="23" t="n"/>
      <c r="AC1030" s="24" t="n"/>
      <c r="AD1030" s="24" t="n"/>
      <c r="AE1030" s="24" t="n"/>
      <c r="AF1030" s="25" t="n"/>
      <c r="AG1030" s="125" t="n"/>
      <c r="AH1030" s="134" t="n"/>
      <c r="AI1030" s="16" t="n"/>
      <c r="AJ1030" s="17" t="n"/>
      <c r="AK1030" s="89">
        <f>DADOS_INVOC!$HU$13</f>
        <v/>
      </c>
      <c r="AL1030" s="17" t="n"/>
      <c r="AM1030" s="125" t="n"/>
      <c r="AN1030" s="134" t="n"/>
      <c r="AO1030" s="16" t="n"/>
      <c r="AP1030" s="16" t="n"/>
      <c r="AQ1030" s="17" t="n"/>
      <c r="AR1030" s="89" t="n"/>
      <c r="AS1030" s="125" t="n"/>
    </row>
    <row r="1031" hidden="1" outlineLevel="1">
      <c r="A1031" s="8" t="n"/>
      <c r="B1031" s="14" t="n"/>
      <c r="C1031" s="125" t="n"/>
      <c r="D1031" s="125" t="n"/>
      <c r="E1031" s="125" t="n"/>
      <c r="F1031" s="125" t="n"/>
      <c r="G1031" s="125" t="n"/>
      <c r="I1031" s="125" t="n"/>
      <c r="J1031" s="125" t="n"/>
      <c r="K1031" s="125" t="n"/>
      <c r="L1031" s="125" t="n"/>
      <c r="M1031" s="125" t="n"/>
      <c r="N1031" s="125" t="n"/>
      <c r="O1031" s="134" t="n"/>
      <c r="P1031" s="16" t="n"/>
      <c r="Q1031" s="17" t="n"/>
      <c r="R1031" s="89">
        <f>DADOS_INVOC!$HV$7</f>
        <v/>
      </c>
      <c r="S1031" s="17" t="n"/>
      <c r="T1031" s="125" t="n"/>
      <c r="U1031" s="134" t="n"/>
      <c r="V1031" s="16" t="n"/>
      <c r="W1031" s="16" t="n"/>
      <c r="X1031" s="17" t="n"/>
      <c r="Y1031" s="89" t="n"/>
      <c r="Z1031" s="125" t="n"/>
      <c r="AB1031" s="125" t="n"/>
      <c r="AC1031" s="125" t="n"/>
      <c r="AD1031" s="125" t="n"/>
      <c r="AE1031" s="125" t="n"/>
      <c r="AF1031" s="125" t="n"/>
      <c r="AG1031" s="125" t="n"/>
      <c r="AH1031" s="134" t="n"/>
      <c r="AI1031" s="16" t="n"/>
      <c r="AJ1031" s="17" t="n"/>
      <c r="AK1031" s="89">
        <f>DADOS_INVOC!$HV$13</f>
        <v/>
      </c>
      <c r="AL1031" s="17" t="n"/>
      <c r="AM1031" s="125" t="n"/>
      <c r="AN1031" s="134" t="n"/>
      <c r="AO1031" s="16" t="n"/>
      <c r="AP1031" s="16" t="n"/>
      <c r="AQ1031" s="17" t="n"/>
      <c r="AR1031" s="89" t="n"/>
      <c r="AS1031" s="125" t="n"/>
    </row>
    <row r="1032" hidden="1" outlineLevel="1">
      <c r="A1032" s="8" t="n"/>
      <c r="B1032" s="14" t="n"/>
      <c r="C1032" s="125" t="n"/>
      <c r="D1032" s="125" t="n"/>
      <c r="E1032" s="125" t="n"/>
      <c r="F1032" s="125" t="n"/>
      <c r="G1032" s="125" t="n"/>
      <c r="I1032" s="55" t="inlineStr">
        <is>
          <t>TIPO</t>
        </is>
      </c>
      <c r="J1032" s="16" t="n"/>
      <c r="K1032" s="16" t="n"/>
      <c r="L1032" s="16" t="n"/>
      <c r="M1032" s="17" t="n"/>
      <c r="N1032" s="125" t="n"/>
      <c r="O1032" s="134" t="n"/>
      <c r="P1032" s="16" t="n"/>
      <c r="Q1032" s="17" t="n"/>
      <c r="R1032" s="89">
        <f>DADOS_INVOC!$HW$7</f>
        <v/>
      </c>
      <c r="S1032" s="17" t="n"/>
      <c r="T1032" s="125" t="n"/>
      <c r="U1032" s="134" t="n"/>
      <c r="V1032" s="16" t="n"/>
      <c r="W1032" s="16" t="n"/>
      <c r="X1032" s="17" t="n"/>
      <c r="Y1032" s="89" t="n"/>
      <c r="Z1032" s="125" t="n"/>
      <c r="AB1032" s="55" t="inlineStr">
        <is>
          <t>TIPO</t>
        </is>
      </c>
      <c r="AC1032" s="16" t="n"/>
      <c r="AD1032" s="16" t="n"/>
      <c r="AE1032" s="16" t="n"/>
      <c r="AF1032" s="17" t="n"/>
      <c r="AG1032" s="125" t="n"/>
      <c r="AH1032" s="134" t="n"/>
      <c r="AI1032" s="16" t="n"/>
      <c r="AJ1032" s="17" t="n"/>
      <c r="AK1032" s="89">
        <f>DADOS_INVOC!$HW$13</f>
        <v/>
      </c>
      <c r="AL1032" s="17" t="n"/>
      <c r="AM1032" s="125" t="n"/>
      <c r="AN1032" s="134" t="n"/>
      <c r="AO1032" s="16" t="n"/>
      <c r="AP1032" s="16" t="n"/>
      <c r="AQ1032" s="17" t="n"/>
      <c r="AR1032" s="89" t="n"/>
      <c r="AS1032" s="125" t="n"/>
    </row>
    <row r="1033" hidden="1" outlineLevel="1">
      <c r="A1033" s="8" t="n"/>
      <c r="B1033" s="14" t="n"/>
      <c r="C1033" s="125" t="n"/>
      <c r="D1033" s="125" t="n"/>
      <c r="E1033" s="125" t="n"/>
      <c r="F1033" s="125" t="n"/>
      <c r="G1033" s="125" t="n"/>
      <c r="I1033" s="89" t="inlineStr">
        <is>
          <t>Shikigami de técnica</t>
        </is>
      </c>
      <c r="J1033" s="19" t="n"/>
      <c r="K1033" s="19" t="n"/>
      <c r="L1033" s="19" t="n"/>
      <c r="M1033" s="20" t="n"/>
      <c r="N1033" s="125" t="n"/>
      <c r="O1033" s="134" t="n"/>
      <c r="P1033" s="16" t="n"/>
      <c r="Q1033" s="17" t="n"/>
      <c r="R1033" s="89">
        <f>DADOS_INVOC!$HX$7</f>
        <v/>
      </c>
      <c r="S1033" s="17" t="n"/>
      <c r="T1033" s="125" t="n"/>
      <c r="U1033" s="125" t="n"/>
      <c r="V1033" s="125" t="n"/>
      <c r="W1033" s="125" t="n"/>
      <c r="X1033" s="125" t="n"/>
      <c r="Y1033" s="125" t="n"/>
      <c r="Z1033" s="125" t="n"/>
      <c r="AB1033" s="89" t="inlineStr">
        <is>
          <t>Shikigami de técnica</t>
        </is>
      </c>
      <c r="AC1033" s="19" t="n"/>
      <c r="AD1033" s="19" t="n"/>
      <c r="AE1033" s="19" t="n"/>
      <c r="AF1033" s="20" t="n"/>
      <c r="AG1033" s="125" t="n"/>
      <c r="AH1033" s="134" t="n"/>
      <c r="AI1033" s="16" t="n"/>
      <c r="AJ1033" s="17" t="n"/>
      <c r="AK1033" s="89">
        <f>DADOS_INVOC!$HX$13</f>
        <v/>
      </c>
      <c r="AL1033" s="17" t="n"/>
      <c r="AM1033" s="125" t="n"/>
      <c r="AN1033" s="125" t="n"/>
      <c r="AO1033" s="125" t="n"/>
      <c r="AP1033" s="125" t="n"/>
      <c r="AQ1033" s="125" t="n"/>
      <c r="AR1033" s="125" t="n"/>
      <c r="AS1033" s="125" t="n"/>
    </row>
    <row r="1034" hidden="1" outlineLevel="1">
      <c r="A1034" s="8" t="n"/>
      <c r="B1034" s="14" t="n"/>
      <c r="C1034" s="125" t="n"/>
      <c r="D1034" s="125" t="n"/>
      <c r="E1034" s="125" t="n"/>
      <c r="F1034" s="125" t="n"/>
      <c r="G1034" s="125" t="n"/>
      <c r="I1034" s="23" t="n"/>
      <c r="J1034" s="24" t="n"/>
      <c r="K1034" s="24" t="n"/>
      <c r="L1034" s="24" t="n"/>
      <c r="M1034" s="25" t="n"/>
      <c r="N1034" s="125" t="n"/>
      <c r="O1034" s="134" t="n"/>
      <c r="P1034" s="16" t="n"/>
      <c r="Q1034" s="17" t="n"/>
      <c r="R1034" s="89">
        <f>DADOS_INVOC!$HY$7</f>
        <v/>
      </c>
      <c r="S1034" s="17" t="n"/>
      <c r="T1034" s="125" t="n"/>
      <c r="U1034" s="55" t="inlineStr">
        <is>
          <t>CORPO, SENTIDOS E COMUNICAÇÃO</t>
        </is>
      </c>
      <c r="V1034" s="16" t="n"/>
      <c r="W1034" s="16" t="n"/>
      <c r="X1034" s="16" t="n"/>
      <c r="Y1034" s="17" t="n"/>
      <c r="Z1034" s="125" t="n"/>
      <c r="AB1034" s="23" t="n"/>
      <c r="AC1034" s="24" t="n"/>
      <c r="AD1034" s="24" t="n"/>
      <c r="AE1034" s="24" t="n"/>
      <c r="AF1034" s="25" t="n"/>
      <c r="AG1034" s="125" t="n"/>
      <c r="AH1034" s="134" t="n"/>
      <c r="AI1034" s="16" t="n"/>
      <c r="AJ1034" s="17" t="n"/>
      <c r="AK1034" s="89">
        <f>DADOS_INVOC!$HY$13</f>
        <v/>
      </c>
      <c r="AL1034" s="17" t="n"/>
      <c r="AM1034" s="125" t="n"/>
      <c r="AN1034" s="55" t="inlineStr">
        <is>
          <t>CORPO, SENTIDOS E COMUNICAÇÃO</t>
        </is>
      </c>
      <c r="AO1034" s="16" t="n"/>
      <c r="AP1034" s="16" t="n"/>
      <c r="AQ1034" s="16" t="n"/>
      <c r="AR1034" s="17" t="n"/>
      <c r="AS1034" s="125" t="n"/>
    </row>
    <row r="1035" hidden="1" outlineLevel="1">
      <c r="A1035" s="8" t="n"/>
      <c r="B1035" s="14" t="n"/>
      <c r="C1035" s="125" t="n"/>
      <c r="D1035" s="125" t="n"/>
      <c r="E1035" s="125" t="n"/>
      <c r="F1035" s="125" t="n"/>
      <c r="G1035" s="125" t="n"/>
      <c r="I1035" s="125" t="n"/>
      <c r="J1035" s="125" t="n"/>
      <c r="K1035" s="125" t="n"/>
      <c r="L1035" s="125" t="n"/>
      <c r="M1035" s="125" t="n"/>
      <c r="N1035" s="125" t="n"/>
      <c r="O1035" s="125" t="n"/>
      <c r="P1035" s="125" t="n"/>
      <c r="Q1035" s="125" t="n"/>
      <c r="R1035" s="125" t="n"/>
      <c r="S1035" s="125" t="n"/>
      <c r="T1035" s="125" t="n"/>
      <c r="U1035" s="121" t="n"/>
      <c r="V1035" s="19" t="n"/>
      <c r="W1035" s="19" t="n"/>
      <c r="X1035" s="19" t="n"/>
      <c r="Y1035" s="20" t="n"/>
      <c r="Z1035" s="125" t="n"/>
      <c r="AB1035" s="125" t="n"/>
      <c r="AC1035" s="125" t="n"/>
      <c r="AD1035" s="125" t="n"/>
      <c r="AE1035" s="125" t="n"/>
      <c r="AF1035" s="125" t="n"/>
      <c r="AG1035" s="125" t="n"/>
      <c r="AH1035" s="125" t="n"/>
      <c r="AI1035" s="125" t="n"/>
      <c r="AJ1035" s="125" t="n"/>
      <c r="AK1035" s="125" t="n"/>
      <c r="AL1035" s="125" t="n"/>
      <c r="AM1035" s="125" t="n"/>
      <c r="AN1035" s="121" t="n"/>
      <c r="AO1035" s="19" t="n"/>
      <c r="AP1035" s="19" t="n"/>
      <c r="AQ1035" s="19" t="n"/>
      <c r="AR1035" s="20" t="n"/>
      <c r="AS1035" s="125" t="n"/>
    </row>
    <row r="1036" hidden="1" outlineLevel="1">
      <c r="A1036" s="8" t="n"/>
      <c r="B1036" s="14" t="n"/>
      <c r="C1036" s="125" t="n"/>
      <c r="D1036" s="125" t="n"/>
      <c r="E1036" s="125" t="n"/>
      <c r="F1036" s="125" t="n"/>
      <c r="G1036" s="125" t="n"/>
      <c r="I1036" s="55" t="inlineStr">
        <is>
          <t>AQUISIÇÃO</t>
        </is>
      </c>
      <c r="J1036" s="17" t="n"/>
      <c r="K1036" s="55" t="inlineStr">
        <is>
          <t>OBTIDA NO NÍVEL</t>
        </is>
      </c>
      <c r="L1036" s="55" t="inlineStr">
        <is>
          <t>TALISMÃ</t>
        </is>
      </c>
      <c r="M1036" s="17" t="n"/>
      <c r="N1036" s="125" t="n"/>
      <c r="O1036" s="55">
        <f>DADOS_INVOC!$IB$7</f>
        <v/>
      </c>
      <c r="P1036" s="16" t="n"/>
      <c r="Q1036" s="16" t="n"/>
      <c r="R1036" s="16" t="n"/>
      <c r="S1036" s="17" t="n"/>
      <c r="T1036" s="125" t="n"/>
      <c r="U1036" s="21" t="n"/>
      <c r="Y1036" s="22" t="n"/>
      <c r="Z1036" s="125" t="n"/>
      <c r="AB1036" s="55" t="inlineStr">
        <is>
          <t>AQUISIÇÃO</t>
        </is>
      </c>
      <c r="AC1036" s="17" t="n"/>
      <c r="AD1036" s="55" t="inlineStr">
        <is>
          <t>OBTIDA NO NÍVEL</t>
        </is>
      </c>
      <c r="AE1036" s="55" t="inlineStr">
        <is>
          <t>TALISMÃ</t>
        </is>
      </c>
      <c r="AF1036" s="17" t="n"/>
      <c r="AG1036" s="125" t="n"/>
      <c r="AH1036" s="55">
        <f>DADOS_INVOC!$IB$13</f>
        <v/>
      </c>
      <c r="AI1036" s="16" t="n"/>
      <c r="AJ1036" s="16" t="n"/>
      <c r="AK1036" s="16" t="n"/>
      <c r="AL1036" s="17" t="n"/>
      <c r="AM1036" s="125" t="n"/>
      <c r="AN1036" s="21" t="n"/>
      <c r="AR1036" s="22" t="n"/>
      <c r="AS1036" s="125" t="n"/>
    </row>
    <row r="1037" hidden="1" outlineLevel="1">
      <c r="A1037" s="8" t="n"/>
      <c r="B1037" s="14" t="n"/>
      <c r="C1037" s="125" t="n"/>
      <c r="D1037" s="125" t="n"/>
      <c r="E1037" s="125" t="n"/>
      <c r="F1037" s="125" t="n"/>
      <c r="G1037" s="125" t="n"/>
      <c r="I1037" s="89" t="inlineStr">
        <is>
          <t>Espaço conhecido</t>
        </is>
      </c>
      <c r="J1037" s="20" t="n"/>
      <c r="K1037" s="89" t="n"/>
      <c r="L1037" s="89" t="inlineStr">
        <is>
          <t>Sem carga</t>
        </is>
      </c>
      <c r="M1037" s="20" t="n"/>
      <c r="N1037" s="125" t="n"/>
      <c r="O1037" s="55" t="inlineStr">
        <is>
          <t>LIVRE</t>
        </is>
      </c>
      <c r="P1037" s="55" t="inlineStr">
        <is>
          <t>LIVRE · TRILHA</t>
        </is>
      </c>
      <c r="Q1037" s="55" t="inlineStr">
        <is>
          <t>ABERTA</t>
        </is>
      </c>
      <c r="R1037" s="55" t="inlineStr">
        <is>
          <t>ABERTA</t>
        </is>
      </c>
      <c r="S1037" s="55" t="inlineStr">
        <is>
          <t>ABERTA · TRILHA</t>
        </is>
      </c>
      <c r="T1037" s="125" t="n"/>
      <c r="U1037" s="21" t="n"/>
      <c r="Y1037" s="22" t="n"/>
      <c r="Z1037" s="125" t="n"/>
      <c r="AB1037" s="89" t="inlineStr">
        <is>
          <t>Espaço conhecido</t>
        </is>
      </c>
      <c r="AC1037" s="20" t="n"/>
      <c r="AD1037" s="89" t="n"/>
      <c r="AE1037" s="89" t="inlineStr">
        <is>
          <t>Sem carga</t>
        </is>
      </c>
      <c r="AF1037" s="20" t="n"/>
      <c r="AG1037" s="125" t="n"/>
      <c r="AH1037" s="55" t="inlineStr">
        <is>
          <t>LIVRE</t>
        </is>
      </c>
      <c r="AI1037" s="55" t="inlineStr">
        <is>
          <t>LIVRE · TRILHA</t>
        </is>
      </c>
      <c r="AJ1037" s="55" t="inlineStr">
        <is>
          <t>ABERTA</t>
        </is>
      </c>
      <c r="AK1037" s="55" t="inlineStr">
        <is>
          <t>ABERTA</t>
        </is>
      </c>
      <c r="AL1037" s="55" t="inlineStr">
        <is>
          <t>ABERTA · TRILHA</t>
        </is>
      </c>
      <c r="AM1037" s="125" t="n"/>
      <c r="AN1037" s="21" t="n"/>
      <c r="AR1037" s="22" t="n"/>
      <c r="AS1037" s="125" t="n"/>
    </row>
    <row r="1038" hidden="1" outlineLevel="1">
      <c r="A1038" s="8" t="n"/>
      <c r="B1038" s="14" t="n"/>
      <c r="C1038" s="125" t="n"/>
      <c r="D1038" s="125" t="n"/>
      <c r="E1038" s="125" t="n"/>
      <c r="F1038" s="125" t="n"/>
      <c r="G1038" s="125" t="n"/>
      <c r="I1038" s="23" t="n"/>
      <c r="J1038" s="25" t="n"/>
      <c r="K1038" s="129" t="n"/>
      <c r="L1038" s="23" t="n"/>
      <c r="M1038" s="25" t="n"/>
      <c r="N1038" s="125" t="n"/>
      <c r="O1038" s="89" t="n"/>
      <c r="P1038" s="89" t="n"/>
      <c r="Q1038" s="89" t="n"/>
      <c r="R1038" s="89" t="n"/>
      <c r="S1038" s="89" t="n"/>
      <c r="T1038" s="125" t="n"/>
      <c r="U1038" s="21" t="n"/>
      <c r="Y1038" s="22" t="n"/>
      <c r="Z1038" s="125" t="n"/>
      <c r="AB1038" s="23" t="n"/>
      <c r="AC1038" s="25" t="n"/>
      <c r="AD1038" s="129" t="n"/>
      <c r="AE1038" s="23" t="n"/>
      <c r="AF1038" s="25" t="n"/>
      <c r="AG1038" s="125" t="n"/>
      <c r="AH1038" s="89" t="n"/>
      <c r="AI1038" s="89" t="n"/>
      <c r="AJ1038" s="89" t="n"/>
      <c r="AK1038" s="89" t="n"/>
      <c r="AL1038" s="89" t="n"/>
      <c r="AM1038" s="125" t="n"/>
      <c r="AN1038" s="21" t="n"/>
      <c r="AR1038" s="22" t="n"/>
      <c r="AS1038" s="125" t="n"/>
    </row>
    <row r="1039" hidden="1" outlineLevel="1">
      <c r="A1039" s="8" t="n"/>
      <c r="B1039" s="14" t="n"/>
      <c r="C1039" s="125" t="n"/>
      <c r="D1039" s="125" t="n"/>
      <c r="E1039" s="125" t="n"/>
      <c r="F1039" s="125" t="n"/>
      <c r="G1039" s="125" t="n"/>
      <c r="I1039" s="125" t="n"/>
      <c r="J1039" s="125" t="n"/>
      <c r="K1039" s="125" t="n"/>
      <c r="L1039" s="125" t="n"/>
      <c r="M1039" s="125" t="n"/>
      <c r="N1039" s="125" t="n"/>
      <c r="O1039" s="129" t="n"/>
      <c r="P1039" s="129" t="n"/>
      <c r="Q1039" s="129" t="n"/>
      <c r="R1039" s="129" t="n"/>
      <c r="S1039" s="129" t="n"/>
      <c r="T1039" s="125" t="n"/>
      <c r="U1039" s="23" t="n"/>
      <c r="V1039" s="24" t="n"/>
      <c r="W1039" s="24" t="n"/>
      <c r="X1039" s="24" t="n"/>
      <c r="Y1039" s="25" t="n"/>
      <c r="Z1039" s="125" t="n"/>
      <c r="AB1039" s="125" t="n"/>
      <c r="AC1039" s="125" t="n"/>
      <c r="AD1039" s="125" t="n"/>
      <c r="AE1039" s="125" t="n"/>
      <c r="AF1039" s="125" t="n"/>
      <c r="AG1039" s="125" t="n"/>
      <c r="AH1039" s="129" t="n"/>
      <c r="AI1039" s="129" t="n"/>
      <c r="AJ1039" s="129" t="n"/>
      <c r="AK1039" s="129" t="n"/>
      <c r="AL1039" s="129" t="n"/>
      <c r="AM1039" s="125" t="n"/>
      <c r="AN1039" s="23" t="n"/>
      <c r="AO1039" s="24" t="n"/>
      <c r="AP1039" s="24" t="n"/>
      <c r="AQ1039" s="24" t="n"/>
      <c r="AR1039" s="25" t="n"/>
      <c r="AS1039" s="125" t="n"/>
    </row>
    <row r="1040" hidden="1" outlineLevel="1">
      <c r="A1040" s="8" t="n"/>
      <c r="B1040" s="14" t="n"/>
      <c r="C1040" s="125" t="n"/>
      <c r="D1040" s="125" t="n"/>
      <c r="E1040" s="125" t="n"/>
      <c r="F1040" s="125" t="n"/>
      <c r="G1040" s="125" t="n"/>
      <c r="I1040" s="125" t="n"/>
      <c r="J1040" s="125" t="n"/>
      <c r="K1040" s="125" t="n"/>
      <c r="L1040" s="125" t="n"/>
      <c r="M1040" s="125" t="n"/>
      <c r="N1040" s="125" t="n"/>
      <c r="O1040" s="125" t="n"/>
      <c r="P1040" s="125" t="n"/>
      <c r="Q1040" s="125" t="n"/>
      <c r="R1040" s="125" t="n"/>
      <c r="S1040" s="125" t="n"/>
      <c r="T1040" s="125" t="n"/>
      <c r="U1040" s="125" t="n"/>
      <c r="V1040" s="125" t="n"/>
      <c r="W1040" s="125" t="n"/>
      <c r="X1040" s="125" t="n"/>
      <c r="Y1040" s="125" t="n"/>
      <c r="Z1040" s="125" t="n"/>
      <c r="AB1040" s="125" t="n"/>
      <c r="AC1040" s="125" t="n"/>
      <c r="AD1040" s="125" t="n"/>
      <c r="AE1040" s="125" t="n"/>
      <c r="AF1040" s="125" t="n"/>
      <c r="AG1040" s="125" t="n"/>
      <c r="AH1040" s="125" t="n"/>
      <c r="AI1040" s="125" t="n"/>
      <c r="AJ1040" s="125" t="n"/>
      <c r="AK1040" s="125" t="n"/>
      <c r="AL1040" s="125" t="n"/>
      <c r="AM1040" s="125" t="n"/>
      <c r="AN1040" s="125" t="n"/>
      <c r="AO1040" s="125" t="n"/>
      <c r="AP1040" s="125" t="n"/>
      <c r="AQ1040" s="125" t="n"/>
      <c r="AR1040" s="125" t="n"/>
      <c r="AS1040" s="125" t="n"/>
    </row>
    <row r="1041" hidden="1" outlineLevel="1">
      <c r="A1041" s="8" t="n"/>
      <c r="B1041" s="14" t="n"/>
      <c r="C1041" s="125" t="n"/>
      <c r="D1041" s="125" t="n"/>
      <c r="E1041" s="125" t="n"/>
      <c r="F1041" s="125" t="n"/>
      <c r="G1041" s="125"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5"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5" t="n"/>
    </row>
    <row r="1042" hidden="1" outlineLevel="1">
      <c r="A1042" s="8" t="n"/>
      <c r="B1042" s="14" t="n"/>
      <c r="C1042" s="125" t="n"/>
      <c r="D1042" s="125" t="n"/>
      <c r="E1042" s="125" t="n"/>
      <c r="F1042" s="125" t="n"/>
      <c r="G1042" s="125" t="n"/>
      <c r="I1042" s="121" t="n"/>
      <c r="J1042" s="19" t="n"/>
      <c r="K1042" s="19" t="n"/>
      <c r="L1042" s="19" t="n"/>
      <c r="M1042" s="19" t="n"/>
      <c r="N1042" s="19" t="n"/>
      <c r="O1042" s="19" t="n"/>
      <c r="P1042" s="19" t="n"/>
      <c r="Q1042" s="19" t="n"/>
      <c r="R1042" s="19" t="n"/>
      <c r="S1042" s="19" t="n"/>
      <c r="T1042" s="19" t="n"/>
      <c r="U1042" s="19" t="n"/>
      <c r="V1042" s="19" t="n"/>
      <c r="W1042" s="19" t="n"/>
      <c r="X1042" s="19" t="n"/>
      <c r="Y1042" s="20" t="n"/>
      <c r="Z1042" s="125" t="n"/>
      <c r="AB1042" s="12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5" t="n"/>
    </row>
    <row r="1043" hidden="1" outlineLevel="1">
      <c r="A1043" s="8" t="n"/>
      <c r="B1043" s="14" t="n"/>
      <c r="C1043" s="125" t="n"/>
      <c r="D1043" s="125" t="n"/>
      <c r="E1043" s="125" t="n"/>
      <c r="F1043" s="125" t="n"/>
      <c r="G1043" s="125"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5"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5" t="n"/>
    </row>
    <row r="1044" hidden="1" outlineLevel="1">
      <c r="A1044" s="8" t="n"/>
      <c r="B1044" s="14" t="n"/>
      <c r="C1044" s="125" t="n"/>
      <c r="D1044" s="125" t="n"/>
      <c r="E1044" s="125" t="n"/>
      <c r="F1044" s="125" t="n"/>
      <c r="G1044" s="125" t="n"/>
      <c r="I1044" s="125" t="n"/>
      <c r="J1044" s="125" t="n"/>
      <c r="K1044" s="125" t="n"/>
      <c r="L1044" s="125" t="n"/>
      <c r="M1044" s="125" t="n"/>
      <c r="N1044" s="125" t="n"/>
      <c r="O1044" s="125" t="n"/>
      <c r="P1044" s="125" t="n"/>
      <c r="Q1044" s="125" t="n"/>
      <c r="R1044" s="125" t="n"/>
      <c r="S1044" s="125" t="n"/>
      <c r="T1044" s="125" t="n"/>
      <c r="U1044" s="125" t="n"/>
      <c r="V1044" s="125" t="n"/>
      <c r="W1044" s="125" t="n"/>
      <c r="X1044" s="125" t="n"/>
      <c r="Y1044" s="125" t="n"/>
      <c r="Z1044" s="125" t="n"/>
      <c r="AB1044" s="125" t="n"/>
      <c r="AC1044" s="125" t="n"/>
      <c r="AD1044" s="125" t="n"/>
      <c r="AE1044" s="125" t="n"/>
      <c r="AF1044" s="125" t="n"/>
      <c r="AG1044" s="125" t="n"/>
      <c r="AH1044" s="125" t="n"/>
      <c r="AI1044" s="125" t="n"/>
      <c r="AJ1044" s="125" t="n"/>
      <c r="AK1044" s="125" t="n"/>
      <c r="AL1044" s="125" t="n"/>
      <c r="AM1044" s="125" t="n"/>
      <c r="AN1044" s="125" t="n"/>
      <c r="AO1044" s="125" t="n"/>
      <c r="AP1044" s="125" t="n"/>
      <c r="AQ1044" s="125" t="n"/>
      <c r="AR1044" s="125" t="n"/>
      <c r="AS1044" s="125" t="n"/>
    </row>
    <row r="1045" hidden="1" outlineLevel="1">
      <c r="A1045" s="8" t="n"/>
      <c r="B1045" s="14" t="n"/>
      <c r="C1045" s="125" t="n"/>
      <c r="D1045" s="125" t="n"/>
      <c r="E1045" s="125" t="n"/>
      <c r="F1045" s="125" t="n"/>
      <c r="G1045" s="125" t="n"/>
      <c r="I1045" s="137">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5" t="n"/>
      <c r="AB1045" s="137">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5" t="n"/>
    </row>
    <row r="1046" hidden="1" outlineLevel="1">
      <c r="A1046" s="8" t="n"/>
      <c r="B1046" s="14" t="n"/>
      <c r="C1046" s="125" t="n"/>
      <c r="D1046" s="125" t="n"/>
      <c r="E1046" s="125" t="n"/>
      <c r="F1046" s="125" t="n"/>
      <c r="G1046" s="125" t="n"/>
      <c r="I1046" s="125" t="n"/>
      <c r="J1046" s="125" t="n"/>
      <c r="K1046" s="125" t="n"/>
      <c r="L1046" s="125" t="n"/>
      <c r="M1046" s="125" t="n"/>
      <c r="N1046" s="125" t="n"/>
      <c r="O1046" s="125" t="n"/>
      <c r="P1046" s="125" t="n"/>
      <c r="Q1046" s="125" t="n"/>
      <c r="R1046" s="125" t="n"/>
      <c r="S1046" s="125" t="n"/>
      <c r="T1046" s="125" t="n"/>
      <c r="U1046" s="125" t="n"/>
      <c r="V1046" s="125" t="n"/>
      <c r="W1046" s="125" t="n"/>
      <c r="X1046" s="125" t="n"/>
      <c r="Y1046" s="125" t="n"/>
      <c r="Z1046" s="125" t="n"/>
      <c r="AB1046" s="125" t="n"/>
      <c r="AC1046" s="125" t="n"/>
      <c r="AD1046" s="125" t="n"/>
      <c r="AE1046" s="125" t="n"/>
      <c r="AF1046" s="125" t="n"/>
      <c r="AG1046" s="125" t="n"/>
      <c r="AH1046" s="125" t="n"/>
      <c r="AI1046" s="125" t="n"/>
      <c r="AJ1046" s="125" t="n"/>
      <c r="AK1046" s="125" t="n"/>
      <c r="AL1046" s="125" t="n"/>
      <c r="AM1046" s="125" t="n"/>
      <c r="AN1046" s="125" t="n"/>
      <c r="AO1046" s="125" t="n"/>
      <c r="AP1046" s="125" t="n"/>
      <c r="AQ1046" s="125" t="n"/>
      <c r="AR1046" s="125" t="n"/>
      <c r="AS1046" s="125" t="n"/>
    </row>
    <row r="1047" hidden="1" outlineLevel="1">
      <c r="A1047" s="8" t="n"/>
      <c r="B1047" s="14" t="n"/>
      <c r="C1047" s="125" t="n"/>
      <c r="D1047" s="125" t="n"/>
      <c r="E1047" s="125" t="n"/>
      <c r="F1047" s="125" t="n"/>
      <c r="G1047" s="125" t="n"/>
      <c r="I1047" s="55">
        <f>DADOS_INVOC!$PX$67</f>
        <v/>
      </c>
      <c r="J1047" s="16" t="n"/>
      <c r="K1047" s="16" t="n"/>
      <c r="L1047" s="16" t="n"/>
      <c r="M1047" s="17" t="n"/>
      <c r="N1047" s="125" t="n"/>
      <c r="O1047" s="55">
        <f>DADOS_INVOC!$PX$68</f>
        <v/>
      </c>
      <c r="P1047" s="16" t="n"/>
      <c r="Q1047" s="16" t="n"/>
      <c r="R1047" s="16" t="n"/>
      <c r="S1047" s="17" t="n"/>
      <c r="T1047" s="125" t="n"/>
      <c r="U1047" s="55">
        <f>DADOS_INVOC!$PX$69</f>
        <v/>
      </c>
      <c r="V1047" s="16" t="n"/>
      <c r="W1047" s="16" t="n"/>
      <c r="X1047" s="16" t="n"/>
      <c r="Y1047" s="17" t="n"/>
      <c r="Z1047" s="125" t="n"/>
      <c r="AB1047" s="55">
        <f>DADOS_INVOC!$PX$145</f>
        <v/>
      </c>
      <c r="AC1047" s="16" t="n"/>
      <c r="AD1047" s="16" t="n"/>
      <c r="AE1047" s="16" t="n"/>
      <c r="AF1047" s="17" t="n"/>
      <c r="AG1047" s="125" t="n"/>
      <c r="AH1047" s="55">
        <f>DADOS_INVOC!$PX$146</f>
        <v/>
      </c>
      <c r="AI1047" s="16" t="n"/>
      <c r="AJ1047" s="16" t="n"/>
      <c r="AK1047" s="16" t="n"/>
      <c r="AL1047" s="17" t="n"/>
      <c r="AM1047" s="125" t="n"/>
      <c r="AN1047" s="55">
        <f>DADOS_INVOC!$PX$147</f>
        <v/>
      </c>
      <c r="AO1047" s="16" t="n"/>
      <c r="AP1047" s="16" t="n"/>
      <c r="AQ1047" s="16" t="n"/>
      <c r="AR1047" s="17" t="n"/>
      <c r="AS1047" s="125" t="n"/>
    </row>
    <row r="1048" hidden="1" outlineLevel="1">
      <c r="A1048" s="8" t="n"/>
      <c r="B1048" s="14" t="n"/>
      <c r="C1048" s="125" t="n"/>
      <c r="D1048" s="125" t="n"/>
      <c r="E1048" s="125" t="n"/>
      <c r="F1048" s="125" t="n"/>
      <c r="G1048" s="125" t="n"/>
      <c r="I1048" s="131" t="n">
        <v>0</v>
      </c>
      <c r="J1048" s="120" t="n"/>
      <c r="K1048" s="16" t="n"/>
      <c r="L1048" s="17" t="n"/>
      <c r="M1048" s="132">
        <f>DADOS_INVOC!$PV$67</f>
        <v/>
      </c>
      <c r="N1048" s="125" t="n"/>
      <c r="O1048" s="131" t="n">
        <v>1</v>
      </c>
      <c r="P1048" s="120" t="n"/>
      <c r="Q1048" s="16" t="n"/>
      <c r="R1048" s="17" t="n"/>
      <c r="S1048" s="132">
        <f>DADOS_INVOC!$PV$68</f>
        <v/>
      </c>
      <c r="T1048" s="125" t="n"/>
      <c r="U1048" s="131" t="n">
        <v>1</v>
      </c>
      <c r="V1048" s="120" t="n"/>
      <c r="W1048" s="16" t="n"/>
      <c r="X1048" s="17" t="n"/>
      <c r="Y1048" s="132">
        <f>DADOS_INVOC!$PV$69</f>
        <v/>
      </c>
      <c r="Z1048" s="125" t="n"/>
      <c r="AB1048" s="131" t="n">
        <v>0</v>
      </c>
      <c r="AC1048" s="120" t="n"/>
      <c r="AD1048" s="16" t="n"/>
      <c r="AE1048" s="17" t="n"/>
      <c r="AF1048" s="132">
        <f>DADOS_INVOC!$PV$145</f>
        <v/>
      </c>
      <c r="AG1048" s="125" t="n"/>
      <c r="AH1048" s="131" t="n">
        <v>1</v>
      </c>
      <c r="AI1048" s="120" t="n"/>
      <c r="AJ1048" s="16" t="n"/>
      <c r="AK1048" s="17" t="n"/>
      <c r="AL1048" s="132">
        <f>DADOS_INVOC!$PV$146</f>
        <v/>
      </c>
      <c r="AM1048" s="125" t="n"/>
      <c r="AN1048" s="131" t="n">
        <v>1</v>
      </c>
      <c r="AO1048" s="120" t="n"/>
      <c r="AP1048" s="16" t="n"/>
      <c r="AQ1048" s="17" t="n"/>
      <c r="AR1048" s="132">
        <f>DADOS_INVOC!$PV$147</f>
        <v/>
      </c>
      <c r="AS1048" s="125" t="n"/>
    </row>
    <row r="1049" hidden="1" outlineLevel="2">
      <c r="A1049" s="8" t="n"/>
      <c r="B1049" s="14" t="n"/>
      <c r="C1049" s="125" t="n"/>
      <c r="D1049" s="125" t="n"/>
      <c r="E1049" s="125" t="n"/>
      <c r="F1049" s="125" t="n"/>
      <c r="G1049" s="125" t="n"/>
      <c r="I1049" s="55" t="inlineStr">
        <is>
          <t>COMO É</t>
        </is>
      </c>
      <c r="J1049" s="16" t="n"/>
      <c r="K1049" s="16" t="n"/>
      <c r="L1049" s="16" t="n"/>
      <c r="M1049" s="17" t="n"/>
      <c r="N1049" s="125" t="n"/>
      <c r="O1049" s="55" t="inlineStr">
        <is>
          <t>COMO É</t>
        </is>
      </c>
      <c r="P1049" s="16" t="n"/>
      <c r="Q1049" s="16" t="n"/>
      <c r="R1049" s="16" t="n"/>
      <c r="S1049" s="17" t="n"/>
      <c r="T1049" s="125" t="n"/>
      <c r="U1049" s="55" t="inlineStr">
        <is>
          <t>COMO É</t>
        </is>
      </c>
      <c r="V1049" s="16" t="n"/>
      <c r="W1049" s="16" t="n"/>
      <c r="X1049" s="16" t="n"/>
      <c r="Y1049" s="17" t="n"/>
      <c r="Z1049" s="125" t="n"/>
      <c r="AB1049" s="55" t="inlineStr">
        <is>
          <t>COMO É</t>
        </is>
      </c>
      <c r="AC1049" s="16" t="n"/>
      <c r="AD1049" s="16" t="n"/>
      <c r="AE1049" s="16" t="n"/>
      <c r="AF1049" s="17" t="n"/>
      <c r="AG1049" s="125" t="n"/>
      <c r="AH1049" s="55" t="inlineStr">
        <is>
          <t>COMO É</t>
        </is>
      </c>
      <c r="AI1049" s="16" t="n"/>
      <c r="AJ1049" s="16" t="n"/>
      <c r="AK1049" s="16" t="n"/>
      <c r="AL1049" s="17" t="n"/>
      <c r="AM1049" s="125" t="n"/>
      <c r="AN1049" s="55" t="inlineStr">
        <is>
          <t>COMO É</t>
        </is>
      </c>
      <c r="AO1049" s="16" t="n"/>
      <c r="AP1049" s="16" t="n"/>
      <c r="AQ1049" s="16" t="n"/>
      <c r="AR1049" s="17" t="n"/>
      <c r="AS1049" s="125" t="n"/>
    </row>
    <row r="1050" hidden="1" outlineLevel="2">
      <c r="A1050" s="8" t="n"/>
      <c r="B1050" s="14" t="n"/>
      <c r="C1050" s="125" t="n"/>
      <c r="D1050" s="125" t="n"/>
      <c r="E1050" s="125" t="n"/>
      <c r="F1050" s="125" t="n"/>
      <c r="G1050" s="125" t="n"/>
      <c r="I1050" s="121" t="n"/>
      <c r="J1050" s="19" t="n"/>
      <c r="K1050" s="19" t="n"/>
      <c r="L1050" s="19" t="n"/>
      <c r="M1050" s="20" t="n"/>
      <c r="N1050" s="125" t="n"/>
      <c r="O1050" s="121" t="n"/>
      <c r="P1050" s="19" t="n"/>
      <c r="Q1050" s="19" t="n"/>
      <c r="R1050" s="19" t="n"/>
      <c r="S1050" s="20" t="n"/>
      <c r="T1050" s="125" t="n"/>
      <c r="U1050" s="121" t="n"/>
      <c r="V1050" s="19" t="n"/>
      <c r="W1050" s="19" t="n"/>
      <c r="X1050" s="19" t="n"/>
      <c r="Y1050" s="20" t="n"/>
      <c r="Z1050" s="125" t="n"/>
      <c r="AB1050" s="121" t="n"/>
      <c r="AC1050" s="19" t="n"/>
      <c r="AD1050" s="19" t="n"/>
      <c r="AE1050" s="19" t="n"/>
      <c r="AF1050" s="20" t="n"/>
      <c r="AG1050" s="125" t="n"/>
      <c r="AH1050" s="121" t="n"/>
      <c r="AI1050" s="19" t="n"/>
      <c r="AJ1050" s="19" t="n"/>
      <c r="AK1050" s="19" t="n"/>
      <c r="AL1050" s="20" t="n"/>
      <c r="AM1050" s="125" t="n"/>
      <c r="AN1050" s="121" t="n"/>
      <c r="AO1050" s="19" t="n"/>
      <c r="AP1050" s="19" t="n"/>
      <c r="AQ1050" s="19" t="n"/>
      <c r="AR1050" s="20" t="n"/>
      <c r="AS1050" s="125" t="n"/>
    </row>
    <row r="1051" hidden="1" outlineLevel="2">
      <c r="A1051" s="8" t="n"/>
      <c r="B1051" s="14" t="n"/>
      <c r="C1051" s="125" t="n"/>
      <c r="D1051" s="125" t="n"/>
      <c r="E1051" s="125" t="n"/>
      <c r="F1051" s="125" t="n"/>
      <c r="G1051" s="125" t="n"/>
      <c r="I1051" s="21" t="n"/>
      <c r="M1051" s="22" t="n"/>
      <c r="N1051" s="125" t="n"/>
      <c r="O1051" s="21" t="n"/>
      <c r="S1051" s="22" t="n"/>
      <c r="T1051" s="125" t="n"/>
      <c r="U1051" s="21" t="n"/>
      <c r="Y1051" s="22" t="n"/>
      <c r="Z1051" s="125" t="n"/>
      <c r="AB1051" s="21" t="n"/>
      <c r="AF1051" s="22" t="n"/>
      <c r="AG1051" s="125" t="n"/>
      <c r="AH1051" s="21" t="n"/>
      <c r="AL1051" s="22" t="n"/>
      <c r="AM1051" s="125" t="n"/>
      <c r="AN1051" s="21" t="n"/>
      <c r="AR1051" s="22" t="n"/>
      <c r="AS1051" s="125" t="n"/>
    </row>
    <row r="1052" hidden="1" outlineLevel="2">
      <c r="A1052" s="8" t="n"/>
      <c r="B1052" s="14" t="n"/>
      <c r="C1052" s="125" t="n"/>
      <c r="D1052" s="125" t="n"/>
      <c r="E1052" s="125" t="n"/>
      <c r="F1052" s="125" t="n"/>
      <c r="G1052" s="125" t="n"/>
      <c r="I1052" s="23" t="n"/>
      <c r="J1052" s="24" t="n"/>
      <c r="K1052" s="24" t="n"/>
      <c r="L1052" s="24" t="n"/>
      <c r="M1052" s="25" t="n"/>
      <c r="N1052" s="125" t="n"/>
      <c r="O1052" s="23" t="n"/>
      <c r="P1052" s="24" t="n"/>
      <c r="Q1052" s="24" t="n"/>
      <c r="R1052" s="24" t="n"/>
      <c r="S1052" s="25" t="n"/>
      <c r="T1052" s="125" t="n"/>
      <c r="U1052" s="23" t="n"/>
      <c r="V1052" s="24" t="n"/>
      <c r="W1052" s="24" t="n"/>
      <c r="X1052" s="24" t="n"/>
      <c r="Y1052" s="25" t="n"/>
      <c r="Z1052" s="125" t="n"/>
      <c r="AB1052" s="23" t="n"/>
      <c r="AC1052" s="24" t="n"/>
      <c r="AD1052" s="24" t="n"/>
      <c r="AE1052" s="24" t="n"/>
      <c r="AF1052" s="25" t="n"/>
      <c r="AG1052" s="125" t="n"/>
      <c r="AH1052" s="23" t="n"/>
      <c r="AI1052" s="24" t="n"/>
      <c r="AJ1052" s="24" t="n"/>
      <c r="AK1052" s="24" t="n"/>
      <c r="AL1052" s="25" t="n"/>
      <c r="AM1052" s="125" t="n"/>
      <c r="AN1052" s="23" t="n"/>
      <c r="AO1052" s="24" t="n"/>
      <c r="AP1052" s="24" t="n"/>
      <c r="AQ1052" s="24" t="n"/>
      <c r="AR1052" s="25" t="n"/>
      <c r="AS1052" s="125" t="n"/>
    </row>
    <row r="1053" hidden="1" outlineLevel="1">
      <c r="A1053" s="8" t="n"/>
      <c r="B1053" s="14" t="n"/>
      <c r="C1053" s="125" t="n"/>
      <c r="D1053" s="125" t="n"/>
      <c r="E1053" s="125" t="n"/>
      <c r="F1053" s="125" t="n"/>
      <c r="G1053" s="125" t="n"/>
      <c r="I1053" s="89" t="inlineStr">
        <is>
          <t>Projétil</t>
        </is>
      </c>
      <c r="J1053" s="17" t="n"/>
      <c r="K1053" s="68">
        <f>DADOS_INVOC!$QC$67</f>
        <v/>
      </c>
      <c r="L1053" s="17" t="n"/>
      <c r="M1053" s="68">
        <f>DADOS_INVOC!$PY$67</f>
        <v/>
      </c>
      <c r="N1053" s="125" t="n"/>
      <c r="O1053" s="89" t="inlineStr">
        <is>
          <t>Projétil</t>
        </is>
      </c>
      <c r="P1053" s="17" t="n"/>
      <c r="Q1053" s="68">
        <f>DADOS_INVOC!$QC$68</f>
        <v/>
      </c>
      <c r="R1053" s="17" t="n"/>
      <c r="S1053" s="68">
        <f>DADOS_INVOC!$PY$68</f>
        <v/>
      </c>
      <c r="T1053" s="125" t="n"/>
      <c r="U1053" s="89" t="inlineStr">
        <is>
          <t>Projétil</t>
        </is>
      </c>
      <c r="V1053" s="17" t="n"/>
      <c r="W1053" s="68">
        <f>DADOS_INVOC!$QC$69</f>
        <v/>
      </c>
      <c r="X1053" s="17" t="n"/>
      <c r="Y1053" s="68">
        <f>DADOS_INVOC!$PY$69</f>
        <v/>
      </c>
      <c r="Z1053" s="125" t="n"/>
      <c r="AB1053" s="89" t="inlineStr">
        <is>
          <t>Projétil</t>
        </is>
      </c>
      <c r="AC1053" s="17" t="n"/>
      <c r="AD1053" s="68">
        <f>DADOS_INVOC!$QC$145</f>
        <v/>
      </c>
      <c r="AE1053" s="17" t="n"/>
      <c r="AF1053" s="68">
        <f>DADOS_INVOC!$PY$145</f>
        <v/>
      </c>
      <c r="AG1053" s="125" t="n"/>
      <c r="AH1053" s="89" t="inlineStr">
        <is>
          <t>Projétil</t>
        </is>
      </c>
      <c r="AI1053" s="17" t="n"/>
      <c r="AJ1053" s="68">
        <f>DADOS_INVOC!$QC$146</f>
        <v/>
      </c>
      <c r="AK1053" s="17" t="n"/>
      <c r="AL1053" s="68">
        <f>DADOS_INVOC!$PY$146</f>
        <v/>
      </c>
      <c r="AM1053" s="125" t="n"/>
      <c r="AN1053" s="89" t="inlineStr">
        <is>
          <t>Projétil</t>
        </is>
      </c>
      <c r="AO1053" s="17" t="n"/>
      <c r="AP1053" s="68">
        <f>DADOS_INVOC!$QC$147</f>
        <v/>
      </c>
      <c r="AQ1053" s="17" t="n"/>
      <c r="AR1053" s="68">
        <f>DADOS_INVOC!$PY$147</f>
        <v/>
      </c>
      <c r="AS1053" s="125" t="n"/>
    </row>
    <row r="1054" hidden="1" outlineLevel="1">
      <c r="A1054" s="8" t="n"/>
      <c r="B1054" s="14" t="n"/>
      <c r="C1054" s="125" t="n"/>
      <c r="D1054" s="125" t="n"/>
      <c r="E1054" s="125" t="n"/>
      <c r="F1054" s="125" t="n"/>
      <c r="G1054" s="125" t="n"/>
      <c r="I1054" s="89" t="n"/>
      <c r="J1054" s="17" t="n"/>
      <c r="K1054" s="89" t="n"/>
      <c r="L1054" s="16" t="n"/>
      <c r="M1054" s="17" t="n"/>
      <c r="N1054" s="125" t="n"/>
      <c r="O1054" s="89" t="n"/>
      <c r="P1054" s="17" t="n"/>
      <c r="Q1054" s="89" t="n"/>
      <c r="R1054" s="16" t="n"/>
      <c r="S1054" s="17" t="n"/>
      <c r="T1054" s="125" t="n"/>
      <c r="U1054" s="89" t="n"/>
      <c r="V1054" s="17" t="n"/>
      <c r="W1054" s="89" t="n"/>
      <c r="X1054" s="16" t="n"/>
      <c r="Y1054" s="17" t="n"/>
      <c r="Z1054" s="125" t="n"/>
      <c r="AB1054" s="89" t="n"/>
      <c r="AC1054" s="17" t="n"/>
      <c r="AD1054" s="89" t="n"/>
      <c r="AE1054" s="16" t="n"/>
      <c r="AF1054" s="17" t="n"/>
      <c r="AG1054" s="125" t="n"/>
      <c r="AH1054" s="89" t="n"/>
      <c r="AI1054" s="17" t="n"/>
      <c r="AJ1054" s="89" t="n"/>
      <c r="AK1054" s="16" t="n"/>
      <c r="AL1054" s="17" t="n"/>
      <c r="AM1054" s="125" t="n"/>
      <c r="AN1054" s="89" t="n"/>
      <c r="AO1054" s="17" t="n"/>
      <c r="AP1054" s="89" t="n"/>
      <c r="AQ1054" s="16" t="n"/>
      <c r="AR1054" s="17" t="n"/>
      <c r="AS1054" s="125" t="n"/>
    </row>
    <row r="1055" hidden="1" outlineLevel="1">
      <c r="A1055" s="8" t="n"/>
      <c r="B1055" s="14" t="n"/>
      <c r="C1055" s="125" t="n"/>
      <c r="D1055" s="125" t="n"/>
      <c r="E1055" s="125" t="n"/>
      <c r="F1055" s="125" t="n"/>
      <c r="G1055" s="125" t="n"/>
      <c r="I1055" s="89">
        <f>DADOS_INVOC!$PZ$67</f>
        <v/>
      </c>
      <c r="J1055" s="17" t="n"/>
      <c r="K1055" s="89">
        <f>DADOS_INVOC!$QB$67</f>
        <v/>
      </c>
      <c r="L1055" s="16" t="n"/>
      <c r="M1055" s="17" t="n"/>
      <c r="N1055" s="125" t="n"/>
      <c r="O1055" s="89">
        <f>DADOS_INVOC!$PZ$68</f>
        <v/>
      </c>
      <c r="P1055" s="17" t="n"/>
      <c r="Q1055" s="89">
        <f>DADOS_INVOC!$QB$68</f>
        <v/>
      </c>
      <c r="R1055" s="16" t="n"/>
      <c r="S1055" s="17" t="n"/>
      <c r="T1055" s="125" t="n"/>
      <c r="U1055" s="89">
        <f>DADOS_INVOC!$PZ$69</f>
        <v/>
      </c>
      <c r="V1055" s="17" t="n"/>
      <c r="W1055" s="89">
        <f>DADOS_INVOC!$QB$69</f>
        <v/>
      </c>
      <c r="X1055" s="16" t="n"/>
      <c r="Y1055" s="17" t="n"/>
      <c r="Z1055" s="125" t="n"/>
      <c r="AB1055" s="89">
        <f>DADOS_INVOC!$PZ$145</f>
        <v/>
      </c>
      <c r="AC1055" s="17" t="n"/>
      <c r="AD1055" s="89">
        <f>DADOS_INVOC!$QB$145</f>
        <v/>
      </c>
      <c r="AE1055" s="16" t="n"/>
      <c r="AF1055" s="17" t="n"/>
      <c r="AG1055" s="125" t="n"/>
      <c r="AH1055" s="89">
        <f>DADOS_INVOC!$PZ$146</f>
        <v/>
      </c>
      <c r="AI1055" s="17" t="n"/>
      <c r="AJ1055" s="89">
        <f>DADOS_INVOC!$QB$146</f>
        <v/>
      </c>
      <c r="AK1055" s="16" t="n"/>
      <c r="AL1055" s="17" t="n"/>
      <c r="AM1055" s="125" t="n"/>
      <c r="AN1055" s="89">
        <f>DADOS_INVOC!$PZ$147</f>
        <v/>
      </c>
      <c r="AO1055" s="17" t="n"/>
      <c r="AP1055" s="89">
        <f>DADOS_INVOC!$QB$147</f>
        <v/>
      </c>
      <c r="AQ1055" s="16" t="n"/>
      <c r="AR1055" s="17" t="n"/>
      <c r="AS1055" s="125" t="n"/>
    </row>
    <row r="1056" hidden="1" outlineLevel="1">
      <c r="A1056" s="8" t="n"/>
      <c r="B1056" s="14" t="n"/>
      <c r="C1056" s="125" t="n"/>
      <c r="D1056" s="125" t="n"/>
      <c r="E1056" s="125" t="n"/>
      <c r="F1056" s="125" t="n"/>
      <c r="G1056" s="125" t="n"/>
      <c r="I1056" s="133">
        <f>DADOS_INVOC!$QH$67</f>
        <v/>
      </c>
      <c r="J1056" s="16" t="n"/>
      <c r="K1056" s="16" t="n"/>
      <c r="L1056" s="16" t="n"/>
      <c r="M1056" s="17" t="n"/>
      <c r="N1056" s="125" t="n"/>
      <c r="O1056" s="133">
        <f>DADOS_INVOC!$QH$68</f>
        <v/>
      </c>
      <c r="P1056" s="16" t="n"/>
      <c r="Q1056" s="16" t="n"/>
      <c r="R1056" s="16" t="n"/>
      <c r="S1056" s="17" t="n"/>
      <c r="T1056" s="125" t="n"/>
      <c r="U1056" s="133">
        <f>DADOS_INVOC!$QH$69</f>
        <v/>
      </c>
      <c r="V1056" s="16" t="n"/>
      <c r="W1056" s="16" t="n"/>
      <c r="X1056" s="16" t="n"/>
      <c r="Y1056" s="17" t="n"/>
      <c r="Z1056" s="125" t="n"/>
      <c r="AB1056" s="133">
        <f>DADOS_INVOC!$QH$145</f>
        <v/>
      </c>
      <c r="AC1056" s="16" t="n"/>
      <c r="AD1056" s="16" t="n"/>
      <c r="AE1056" s="16" t="n"/>
      <c r="AF1056" s="17" t="n"/>
      <c r="AG1056" s="125" t="n"/>
      <c r="AH1056" s="133">
        <f>DADOS_INVOC!$QH$146</f>
        <v/>
      </c>
      <c r="AI1056" s="16" t="n"/>
      <c r="AJ1056" s="16" t="n"/>
      <c r="AK1056" s="16" t="n"/>
      <c r="AL1056" s="17" t="n"/>
      <c r="AM1056" s="125" t="n"/>
      <c r="AN1056" s="133">
        <f>DADOS_INVOC!$QH$147</f>
        <v/>
      </c>
      <c r="AO1056" s="16" t="n"/>
      <c r="AP1056" s="16" t="n"/>
      <c r="AQ1056" s="16" t="n"/>
      <c r="AR1056" s="17" t="n"/>
      <c r="AS1056" s="125" t="n"/>
    </row>
    <row r="1057" hidden="1" outlineLevel="2">
      <c r="A1057" s="8" t="n"/>
      <c r="B1057" s="14" t="n"/>
      <c r="C1057" s="125" t="n"/>
      <c r="D1057" s="125" t="n"/>
      <c r="E1057" s="125" t="n"/>
      <c r="F1057" s="125" t="n"/>
      <c r="G1057" s="125" t="n"/>
      <c r="I1057" s="55" t="inlineStr">
        <is>
          <t>MELHORIAS</t>
        </is>
      </c>
      <c r="J1057" s="134" t="n"/>
      <c r="K1057" s="16" t="n"/>
      <c r="L1057" s="17" t="n"/>
      <c r="M1057" s="133">
        <f>DADOS_INVOC!$QK$67</f>
        <v/>
      </c>
      <c r="N1057" s="125" t="n"/>
      <c r="O1057" s="55" t="inlineStr">
        <is>
          <t>MELHORIAS</t>
        </is>
      </c>
      <c r="P1057" s="134" t="n"/>
      <c r="Q1057" s="16" t="n"/>
      <c r="R1057" s="17" t="n"/>
      <c r="S1057" s="133">
        <f>DADOS_INVOC!$QK$68</f>
        <v/>
      </c>
      <c r="T1057" s="125" t="n"/>
      <c r="U1057" s="55" t="inlineStr">
        <is>
          <t>MELHORIAS</t>
        </is>
      </c>
      <c r="V1057" s="134" t="n"/>
      <c r="W1057" s="16" t="n"/>
      <c r="X1057" s="17" t="n"/>
      <c r="Y1057" s="133">
        <f>DADOS_INVOC!$QK$69</f>
        <v/>
      </c>
      <c r="Z1057" s="125" t="n"/>
      <c r="AB1057" s="55" t="inlineStr">
        <is>
          <t>MELHORIAS</t>
        </is>
      </c>
      <c r="AC1057" s="134" t="n"/>
      <c r="AD1057" s="16" t="n"/>
      <c r="AE1057" s="17" t="n"/>
      <c r="AF1057" s="133">
        <f>DADOS_INVOC!$QK$145</f>
        <v/>
      </c>
      <c r="AG1057" s="125" t="n"/>
      <c r="AH1057" s="55" t="inlineStr">
        <is>
          <t>MELHORIAS</t>
        </is>
      </c>
      <c r="AI1057" s="134" t="n"/>
      <c r="AJ1057" s="16" t="n"/>
      <c r="AK1057" s="17" t="n"/>
      <c r="AL1057" s="133">
        <f>DADOS_INVOC!$QK$146</f>
        <v/>
      </c>
      <c r="AM1057" s="125" t="n"/>
      <c r="AN1057" s="55" t="inlineStr">
        <is>
          <t>MELHORIAS</t>
        </is>
      </c>
      <c r="AO1057" s="134" t="n"/>
      <c r="AP1057" s="16" t="n"/>
      <c r="AQ1057" s="17" t="n"/>
      <c r="AR1057" s="133">
        <f>DADOS_INVOC!$QK$147</f>
        <v/>
      </c>
      <c r="AS1057" s="125" t="n"/>
    </row>
    <row r="1058" hidden="1" outlineLevel="2">
      <c r="A1058" s="8" t="n"/>
      <c r="B1058" s="14" t="n"/>
      <c r="C1058" s="125" t="n"/>
      <c r="D1058" s="125" t="n"/>
      <c r="E1058" s="125" t="n"/>
      <c r="F1058" s="125" t="n"/>
      <c r="G1058" s="125" t="n"/>
      <c r="I1058" s="135" t="n"/>
      <c r="J1058" s="134" t="n"/>
      <c r="K1058" s="16" t="n"/>
      <c r="L1058" s="17" t="n"/>
      <c r="M1058" s="133">
        <f>DADOS_INVOC!$QL$67</f>
        <v/>
      </c>
      <c r="N1058" s="125" t="n"/>
      <c r="O1058" s="135" t="n"/>
      <c r="P1058" s="134" t="n"/>
      <c r="Q1058" s="16" t="n"/>
      <c r="R1058" s="17" t="n"/>
      <c r="S1058" s="133">
        <f>DADOS_INVOC!$QL$68</f>
        <v/>
      </c>
      <c r="T1058" s="125" t="n"/>
      <c r="U1058" s="135" t="n"/>
      <c r="V1058" s="134" t="n"/>
      <c r="W1058" s="16" t="n"/>
      <c r="X1058" s="17" t="n"/>
      <c r="Y1058" s="133">
        <f>DADOS_INVOC!$QL$69</f>
        <v/>
      </c>
      <c r="Z1058" s="125" t="n"/>
      <c r="AB1058" s="135" t="n"/>
      <c r="AC1058" s="134" t="n"/>
      <c r="AD1058" s="16" t="n"/>
      <c r="AE1058" s="17" t="n"/>
      <c r="AF1058" s="133">
        <f>DADOS_INVOC!$QL$145</f>
        <v/>
      </c>
      <c r="AG1058" s="125" t="n"/>
      <c r="AH1058" s="135" t="n"/>
      <c r="AI1058" s="134" t="n"/>
      <c r="AJ1058" s="16" t="n"/>
      <c r="AK1058" s="17" t="n"/>
      <c r="AL1058" s="133">
        <f>DADOS_INVOC!$QL$146</f>
        <v/>
      </c>
      <c r="AM1058" s="125" t="n"/>
      <c r="AN1058" s="135" t="n"/>
      <c r="AO1058" s="134" t="n"/>
      <c r="AP1058" s="16" t="n"/>
      <c r="AQ1058" s="17" t="n"/>
      <c r="AR1058" s="133">
        <f>DADOS_INVOC!$QL$147</f>
        <v/>
      </c>
      <c r="AS1058" s="125" t="n"/>
    </row>
    <row r="1059" hidden="1" outlineLevel="2">
      <c r="A1059" s="8" t="n"/>
      <c r="B1059" s="14" t="n"/>
      <c r="C1059" s="125" t="n"/>
      <c r="D1059" s="125" t="n"/>
      <c r="E1059" s="125" t="n"/>
      <c r="F1059" s="125" t="n"/>
      <c r="G1059" s="125" t="n"/>
      <c r="I1059" s="135" t="n"/>
      <c r="J1059" s="134" t="n"/>
      <c r="K1059" s="16" t="n"/>
      <c r="L1059" s="17" t="n"/>
      <c r="M1059" s="133">
        <f>DADOS_INVOC!$QM$67</f>
        <v/>
      </c>
      <c r="N1059" s="125" t="n"/>
      <c r="O1059" s="135" t="n"/>
      <c r="P1059" s="134" t="n"/>
      <c r="Q1059" s="16" t="n"/>
      <c r="R1059" s="17" t="n"/>
      <c r="S1059" s="133">
        <f>DADOS_INVOC!$QM$68</f>
        <v/>
      </c>
      <c r="T1059" s="125" t="n"/>
      <c r="U1059" s="135" t="n"/>
      <c r="V1059" s="134" t="n"/>
      <c r="W1059" s="16" t="n"/>
      <c r="X1059" s="17" t="n"/>
      <c r="Y1059" s="133">
        <f>DADOS_INVOC!$QM$69</f>
        <v/>
      </c>
      <c r="Z1059" s="125" t="n"/>
      <c r="AB1059" s="135" t="n"/>
      <c r="AC1059" s="134" t="n"/>
      <c r="AD1059" s="16" t="n"/>
      <c r="AE1059" s="17" t="n"/>
      <c r="AF1059" s="133">
        <f>DADOS_INVOC!$QM$145</f>
        <v/>
      </c>
      <c r="AG1059" s="125" t="n"/>
      <c r="AH1059" s="135" t="n"/>
      <c r="AI1059" s="134" t="n"/>
      <c r="AJ1059" s="16" t="n"/>
      <c r="AK1059" s="17" t="n"/>
      <c r="AL1059" s="133">
        <f>DADOS_INVOC!$QM$146</f>
        <v/>
      </c>
      <c r="AM1059" s="125" t="n"/>
      <c r="AN1059" s="135" t="n"/>
      <c r="AO1059" s="134" t="n"/>
      <c r="AP1059" s="16" t="n"/>
      <c r="AQ1059" s="17" t="n"/>
      <c r="AR1059" s="133">
        <f>DADOS_INVOC!$QM$147</f>
        <v/>
      </c>
      <c r="AS1059" s="125" t="n"/>
    </row>
    <row r="1060" hidden="1" outlineLevel="2">
      <c r="A1060" s="8" t="n"/>
      <c r="B1060" s="14" t="n"/>
      <c r="C1060" s="125" t="n"/>
      <c r="D1060" s="125" t="n"/>
      <c r="E1060" s="125" t="n"/>
      <c r="F1060" s="125" t="n"/>
      <c r="G1060" s="125" t="n"/>
      <c r="I1060" s="129" t="n"/>
      <c r="J1060" s="134" t="n"/>
      <c r="K1060" s="16" t="n"/>
      <c r="L1060" s="17" t="n"/>
      <c r="M1060" s="133">
        <f>DADOS_INVOC!$QN$67</f>
        <v/>
      </c>
      <c r="N1060" s="125" t="n"/>
      <c r="O1060" s="129" t="n"/>
      <c r="P1060" s="134" t="n"/>
      <c r="Q1060" s="16" t="n"/>
      <c r="R1060" s="17" t="n"/>
      <c r="S1060" s="133">
        <f>DADOS_INVOC!$QN$68</f>
        <v/>
      </c>
      <c r="T1060" s="125" t="n"/>
      <c r="U1060" s="129" t="n"/>
      <c r="V1060" s="134" t="n"/>
      <c r="W1060" s="16" t="n"/>
      <c r="X1060" s="17" t="n"/>
      <c r="Y1060" s="133">
        <f>DADOS_INVOC!$QN$69</f>
        <v/>
      </c>
      <c r="Z1060" s="125" t="n"/>
      <c r="AB1060" s="129" t="n"/>
      <c r="AC1060" s="134" t="n"/>
      <c r="AD1060" s="16" t="n"/>
      <c r="AE1060" s="17" t="n"/>
      <c r="AF1060" s="133">
        <f>DADOS_INVOC!$QN$145</f>
        <v/>
      </c>
      <c r="AG1060" s="125" t="n"/>
      <c r="AH1060" s="129" t="n"/>
      <c r="AI1060" s="134" t="n"/>
      <c r="AJ1060" s="16" t="n"/>
      <c r="AK1060" s="17" t="n"/>
      <c r="AL1060" s="133">
        <f>DADOS_INVOC!$QN$146</f>
        <v/>
      </c>
      <c r="AM1060" s="125" t="n"/>
      <c r="AN1060" s="129" t="n"/>
      <c r="AO1060" s="134" t="n"/>
      <c r="AP1060" s="16" t="n"/>
      <c r="AQ1060" s="17" t="n"/>
      <c r="AR1060" s="133">
        <f>DADOS_INVOC!$QN$147</f>
        <v/>
      </c>
      <c r="AS1060" s="125" t="n"/>
    </row>
    <row r="1061" hidden="1" outlineLevel="2">
      <c r="A1061" s="8" t="n"/>
      <c r="B1061" s="14" t="n"/>
      <c r="C1061" s="125" t="n"/>
      <c r="D1061" s="125" t="n"/>
      <c r="E1061" s="125" t="n"/>
      <c r="F1061" s="125" t="n"/>
      <c r="G1061" s="125" t="n"/>
      <c r="I1061" s="55" t="inlineStr">
        <is>
          <t>RESTRIÇÕES</t>
        </is>
      </c>
      <c r="J1061" s="134" t="n"/>
      <c r="K1061" s="16" t="n"/>
      <c r="L1061" s="17" t="n"/>
      <c r="M1061" s="133">
        <f>DADOS_INVOC!$QO$67</f>
        <v/>
      </c>
      <c r="N1061" s="125" t="n"/>
      <c r="O1061" s="55" t="inlineStr">
        <is>
          <t>RESTRIÇÕES</t>
        </is>
      </c>
      <c r="P1061" s="134" t="n"/>
      <c r="Q1061" s="16" t="n"/>
      <c r="R1061" s="17" t="n"/>
      <c r="S1061" s="133">
        <f>DADOS_INVOC!$QO$68</f>
        <v/>
      </c>
      <c r="T1061" s="125" t="n"/>
      <c r="U1061" s="55" t="inlineStr">
        <is>
          <t>RESTRIÇÕES</t>
        </is>
      </c>
      <c r="V1061" s="134" t="n"/>
      <c r="W1061" s="16" t="n"/>
      <c r="X1061" s="17" t="n"/>
      <c r="Y1061" s="133">
        <f>DADOS_INVOC!$QO$69</f>
        <v/>
      </c>
      <c r="Z1061" s="125" t="n"/>
      <c r="AB1061" s="55" t="inlineStr">
        <is>
          <t>RESTRIÇÕES</t>
        </is>
      </c>
      <c r="AC1061" s="134" t="n"/>
      <c r="AD1061" s="16" t="n"/>
      <c r="AE1061" s="17" t="n"/>
      <c r="AF1061" s="133">
        <f>DADOS_INVOC!$QO$145</f>
        <v/>
      </c>
      <c r="AG1061" s="125" t="n"/>
      <c r="AH1061" s="55" t="inlineStr">
        <is>
          <t>RESTRIÇÕES</t>
        </is>
      </c>
      <c r="AI1061" s="134" t="n"/>
      <c r="AJ1061" s="16" t="n"/>
      <c r="AK1061" s="17" t="n"/>
      <c r="AL1061" s="133">
        <f>DADOS_INVOC!$QO$146</f>
        <v/>
      </c>
      <c r="AM1061" s="125" t="n"/>
      <c r="AN1061" s="55" t="inlineStr">
        <is>
          <t>RESTRIÇÕES</t>
        </is>
      </c>
      <c r="AO1061" s="134" t="n"/>
      <c r="AP1061" s="16" t="n"/>
      <c r="AQ1061" s="17" t="n"/>
      <c r="AR1061" s="133">
        <f>DADOS_INVOC!$QO$147</f>
        <v/>
      </c>
      <c r="AS1061" s="125" t="n"/>
    </row>
    <row r="1062" hidden="1" outlineLevel="2">
      <c r="A1062" s="8" t="n"/>
      <c r="B1062" s="14" t="n"/>
      <c r="C1062" s="125" t="n"/>
      <c r="D1062" s="125" t="n"/>
      <c r="E1062" s="125" t="n"/>
      <c r="F1062" s="125" t="n"/>
      <c r="G1062" s="125" t="n"/>
      <c r="I1062" s="129" t="n"/>
      <c r="J1062" s="134" t="n"/>
      <c r="K1062" s="16" t="n"/>
      <c r="L1062" s="17" t="n"/>
      <c r="M1062" s="133">
        <f>DADOS_INVOC!$QP$67</f>
        <v/>
      </c>
      <c r="N1062" s="125" t="n"/>
      <c r="O1062" s="129" t="n"/>
      <c r="P1062" s="134" t="n"/>
      <c r="Q1062" s="16" t="n"/>
      <c r="R1062" s="17" t="n"/>
      <c r="S1062" s="133">
        <f>DADOS_INVOC!$QP$68</f>
        <v/>
      </c>
      <c r="T1062" s="125" t="n"/>
      <c r="U1062" s="129" t="n"/>
      <c r="V1062" s="134" t="n"/>
      <c r="W1062" s="16" t="n"/>
      <c r="X1062" s="17" t="n"/>
      <c r="Y1062" s="133">
        <f>DADOS_INVOC!$QP$69</f>
        <v/>
      </c>
      <c r="Z1062" s="125" t="n"/>
      <c r="AB1062" s="129" t="n"/>
      <c r="AC1062" s="134" t="n"/>
      <c r="AD1062" s="16" t="n"/>
      <c r="AE1062" s="17" t="n"/>
      <c r="AF1062" s="133">
        <f>DADOS_INVOC!$QP$145</f>
        <v/>
      </c>
      <c r="AG1062" s="125" t="n"/>
      <c r="AH1062" s="129" t="n"/>
      <c r="AI1062" s="134" t="n"/>
      <c r="AJ1062" s="16" t="n"/>
      <c r="AK1062" s="17" t="n"/>
      <c r="AL1062" s="133">
        <f>DADOS_INVOC!$QP$146</f>
        <v/>
      </c>
      <c r="AM1062" s="125" t="n"/>
      <c r="AN1062" s="129" t="n"/>
      <c r="AO1062" s="134" t="n"/>
      <c r="AP1062" s="16" t="n"/>
      <c r="AQ1062" s="17" t="n"/>
      <c r="AR1062" s="133">
        <f>DADOS_INVOC!$QP$147</f>
        <v/>
      </c>
      <c r="AS1062" s="125" t="n"/>
    </row>
    <row r="1063" hidden="1" outlineLevel="2">
      <c r="A1063" s="8" t="n"/>
      <c r="B1063" s="14" t="n"/>
      <c r="C1063" s="125" t="n"/>
      <c r="D1063" s="125" t="n"/>
      <c r="E1063" s="125" t="n"/>
      <c r="F1063" s="125" t="n"/>
      <c r="G1063" s="125" t="n"/>
      <c r="I1063" s="55" t="inlineStr">
        <is>
          <t>CONTA</t>
        </is>
      </c>
      <c r="J1063" s="136">
        <f>DADOS_INVOC!$QI$67</f>
        <v/>
      </c>
      <c r="K1063" s="16" t="n"/>
      <c r="L1063" s="16" t="n"/>
      <c r="M1063" s="17" t="n"/>
      <c r="N1063" s="125" t="n"/>
      <c r="O1063" s="55" t="inlineStr">
        <is>
          <t>CONTA</t>
        </is>
      </c>
      <c r="P1063" s="136">
        <f>DADOS_INVOC!$QI$68</f>
        <v/>
      </c>
      <c r="Q1063" s="16" t="n"/>
      <c r="R1063" s="16" t="n"/>
      <c r="S1063" s="17" t="n"/>
      <c r="T1063" s="125" t="n"/>
      <c r="U1063" s="55" t="inlineStr">
        <is>
          <t>CONTA</t>
        </is>
      </c>
      <c r="V1063" s="136">
        <f>DADOS_INVOC!$QI$69</f>
        <v/>
      </c>
      <c r="W1063" s="16" t="n"/>
      <c r="X1063" s="16" t="n"/>
      <c r="Y1063" s="17" t="n"/>
      <c r="Z1063" s="125" t="n"/>
      <c r="AB1063" s="55" t="inlineStr">
        <is>
          <t>CONTA</t>
        </is>
      </c>
      <c r="AC1063" s="136">
        <f>DADOS_INVOC!$QI$145</f>
        <v/>
      </c>
      <c r="AD1063" s="16" t="n"/>
      <c r="AE1063" s="16" t="n"/>
      <c r="AF1063" s="17" t="n"/>
      <c r="AG1063" s="125" t="n"/>
      <c r="AH1063" s="55" t="inlineStr">
        <is>
          <t>CONTA</t>
        </is>
      </c>
      <c r="AI1063" s="136">
        <f>DADOS_INVOC!$QI$146</f>
        <v/>
      </c>
      <c r="AJ1063" s="16" t="n"/>
      <c r="AK1063" s="16" t="n"/>
      <c r="AL1063" s="17" t="n"/>
      <c r="AM1063" s="125" t="n"/>
      <c r="AN1063" s="55" t="inlineStr">
        <is>
          <t>CONTA</t>
        </is>
      </c>
      <c r="AO1063" s="136">
        <f>DADOS_INVOC!$QI$147</f>
        <v/>
      </c>
      <c r="AP1063" s="16" t="n"/>
      <c r="AQ1063" s="16" t="n"/>
      <c r="AR1063" s="17" t="n"/>
      <c r="AS1063" s="125" t="n"/>
    </row>
    <row r="1064" hidden="1" outlineLevel="2">
      <c r="A1064" s="8" t="n"/>
      <c r="B1064" s="14" t="n"/>
      <c r="C1064" s="125" t="n"/>
      <c r="D1064" s="125" t="n"/>
      <c r="E1064" s="125" t="n"/>
      <c r="F1064" s="125" t="n"/>
      <c r="G1064" s="125" t="n"/>
      <c r="I1064" s="55" t="inlineStr">
        <is>
          <t>AMPLIAR</t>
        </is>
      </c>
      <c r="J1064" s="136">
        <f>DADOS_INVOC!$QJ$67</f>
        <v/>
      </c>
      <c r="K1064" s="19" t="n"/>
      <c r="L1064" s="19" t="n"/>
      <c r="M1064" s="20" t="n"/>
      <c r="N1064" s="125" t="n"/>
      <c r="O1064" s="55" t="inlineStr">
        <is>
          <t>AMPLIAR</t>
        </is>
      </c>
      <c r="P1064" s="136">
        <f>DADOS_INVOC!$QJ$68</f>
        <v/>
      </c>
      <c r="Q1064" s="19" t="n"/>
      <c r="R1064" s="19" t="n"/>
      <c r="S1064" s="20" t="n"/>
      <c r="T1064" s="125" t="n"/>
      <c r="U1064" s="55" t="inlineStr">
        <is>
          <t>AMPLIAR</t>
        </is>
      </c>
      <c r="V1064" s="136">
        <f>DADOS_INVOC!$QJ$69</f>
        <v/>
      </c>
      <c r="W1064" s="19" t="n"/>
      <c r="X1064" s="19" t="n"/>
      <c r="Y1064" s="20" t="n"/>
      <c r="Z1064" s="125" t="n"/>
      <c r="AB1064" s="55" t="inlineStr">
        <is>
          <t>AMPLIAR</t>
        </is>
      </c>
      <c r="AC1064" s="136">
        <f>DADOS_INVOC!$QJ$145</f>
        <v/>
      </c>
      <c r="AD1064" s="19" t="n"/>
      <c r="AE1064" s="19" t="n"/>
      <c r="AF1064" s="20" t="n"/>
      <c r="AG1064" s="125" t="n"/>
      <c r="AH1064" s="55" t="inlineStr">
        <is>
          <t>AMPLIAR</t>
        </is>
      </c>
      <c r="AI1064" s="136">
        <f>DADOS_INVOC!$QJ$146</f>
        <v/>
      </c>
      <c r="AJ1064" s="19" t="n"/>
      <c r="AK1064" s="19" t="n"/>
      <c r="AL1064" s="20" t="n"/>
      <c r="AM1064" s="125" t="n"/>
      <c r="AN1064" s="55" t="inlineStr">
        <is>
          <t>AMPLIAR</t>
        </is>
      </c>
      <c r="AO1064" s="136">
        <f>DADOS_INVOC!$QJ$147</f>
        <v/>
      </c>
      <c r="AP1064" s="19" t="n"/>
      <c r="AQ1064" s="19" t="n"/>
      <c r="AR1064" s="20" t="n"/>
      <c r="AS1064" s="125" t="n"/>
    </row>
    <row r="1065" hidden="1" outlineLevel="2">
      <c r="A1065" s="8" t="n"/>
      <c r="B1065" s="14" t="n"/>
      <c r="C1065" s="125" t="n"/>
      <c r="D1065" s="125" t="n"/>
      <c r="E1065" s="125" t="n"/>
      <c r="F1065" s="125" t="n"/>
      <c r="G1065" s="125" t="n"/>
      <c r="I1065" s="129" t="n"/>
      <c r="J1065" s="23" t="n"/>
      <c r="K1065" s="24" t="n"/>
      <c r="L1065" s="24" t="n"/>
      <c r="M1065" s="25" t="n"/>
      <c r="N1065" s="125" t="n"/>
      <c r="O1065" s="129" t="n"/>
      <c r="P1065" s="23" t="n"/>
      <c r="Q1065" s="24" t="n"/>
      <c r="R1065" s="24" t="n"/>
      <c r="S1065" s="25" t="n"/>
      <c r="T1065" s="125" t="n"/>
      <c r="U1065" s="129" t="n"/>
      <c r="V1065" s="23" t="n"/>
      <c r="W1065" s="24" t="n"/>
      <c r="X1065" s="24" t="n"/>
      <c r="Y1065" s="25" t="n"/>
      <c r="Z1065" s="125" t="n"/>
      <c r="AB1065" s="129" t="n"/>
      <c r="AC1065" s="23" t="n"/>
      <c r="AD1065" s="24" t="n"/>
      <c r="AE1065" s="24" t="n"/>
      <c r="AF1065" s="25" t="n"/>
      <c r="AG1065" s="125" t="n"/>
      <c r="AH1065" s="129" t="n"/>
      <c r="AI1065" s="23" t="n"/>
      <c r="AJ1065" s="24" t="n"/>
      <c r="AK1065" s="24" t="n"/>
      <c r="AL1065" s="25" t="n"/>
      <c r="AM1065" s="125" t="n"/>
      <c r="AN1065" s="129" t="n"/>
      <c r="AO1065" s="23" t="n"/>
      <c r="AP1065" s="24" t="n"/>
      <c r="AQ1065" s="24" t="n"/>
      <c r="AR1065" s="25" t="n"/>
      <c r="AS1065" s="125" t="n"/>
    </row>
    <row r="1066" hidden="1" outlineLevel="2">
      <c r="A1066" s="8" t="n"/>
      <c r="B1066" s="14" t="n"/>
      <c r="C1066" s="125" t="n"/>
      <c r="D1066" s="125" t="n"/>
      <c r="E1066" s="125" t="n"/>
      <c r="F1066" s="125" t="n"/>
      <c r="G1066" s="125" t="n"/>
      <c r="I1066" s="136">
        <f>DADOS_INVOC!$PW$67</f>
        <v/>
      </c>
      <c r="J1066" s="19" t="n"/>
      <c r="K1066" s="19" t="n"/>
      <c r="L1066" s="19" t="n"/>
      <c r="M1066" s="20" t="n"/>
      <c r="N1066" s="125" t="n"/>
      <c r="O1066" s="136">
        <f>DADOS_INVOC!$PW$68</f>
        <v/>
      </c>
      <c r="P1066" s="19" t="n"/>
      <c r="Q1066" s="19" t="n"/>
      <c r="R1066" s="19" t="n"/>
      <c r="S1066" s="20" t="n"/>
      <c r="T1066" s="125" t="n"/>
      <c r="U1066" s="136">
        <f>DADOS_INVOC!$PW$69</f>
        <v/>
      </c>
      <c r="V1066" s="19" t="n"/>
      <c r="W1066" s="19" t="n"/>
      <c r="X1066" s="19" t="n"/>
      <c r="Y1066" s="20" t="n"/>
      <c r="Z1066" s="125" t="n"/>
      <c r="AB1066" s="136">
        <f>DADOS_INVOC!$PW$145</f>
        <v/>
      </c>
      <c r="AC1066" s="19" t="n"/>
      <c r="AD1066" s="19" t="n"/>
      <c r="AE1066" s="19" t="n"/>
      <c r="AF1066" s="20" t="n"/>
      <c r="AG1066" s="125" t="n"/>
      <c r="AH1066" s="136">
        <f>DADOS_INVOC!$PW$146</f>
        <v/>
      </c>
      <c r="AI1066" s="19" t="n"/>
      <c r="AJ1066" s="19" t="n"/>
      <c r="AK1066" s="19" t="n"/>
      <c r="AL1066" s="20" t="n"/>
      <c r="AM1066" s="125" t="n"/>
      <c r="AN1066" s="136">
        <f>DADOS_INVOC!$PW$147</f>
        <v/>
      </c>
      <c r="AO1066" s="19" t="n"/>
      <c r="AP1066" s="19" t="n"/>
      <c r="AQ1066" s="19" t="n"/>
      <c r="AR1066" s="20" t="n"/>
      <c r="AS1066" s="125" t="n"/>
    </row>
    <row r="1067" hidden="1" outlineLevel="2">
      <c r="A1067" s="8" t="n"/>
      <c r="B1067" s="14" t="n"/>
      <c r="C1067" s="125" t="n"/>
      <c r="D1067" s="125" t="n"/>
      <c r="E1067" s="125" t="n"/>
      <c r="F1067" s="125" t="n"/>
      <c r="G1067" s="125" t="n"/>
      <c r="I1067" s="23" t="n"/>
      <c r="J1067" s="24" t="n"/>
      <c r="K1067" s="24" t="n"/>
      <c r="L1067" s="24" t="n"/>
      <c r="M1067" s="25" t="n"/>
      <c r="N1067" s="125" t="n"/>
      <c r="O1067" s="23" t="n"/>
      <c r="P1067" s="24" t="n"/>
      <c r="Q1067" s="24" t="n"/>
      <c r="R1067" s="24" t="n"/>
      <c r="S1067" s="25" t="n"/>
      <c r="T1067" s="125" t="n"/>
      <c r="U1067" s="23" t="n"/>
      <c r="V1067" s="24" t="n"/>
      <c r="W1067" s="24" t="n"/>
      <c r="X1067" s="24" t="n"/>
      <c r="Y1067" s="25" t="n"/>
      <c r="Z1067" s="125" t="n"/>
      <c r="AB1067" s="23" t="n"/>
      <c r="AC1067" s="24" t="n"/>
      <c r="AD1067" s="24" t="n"/>
      <c r="AE1067" s="24" t="n"/>
      <c r="AF1067" s="25" t="n"/>
      <c r="AG1067" s="125" t="n"/>
      <c r="AH1067" s="23" t="n"/>
      <c r="AI1067" s="24" t="n"/>
      <c r="AJ1067" s="24" t="n"/>
      <c r="AK1067" s="24" t="n"/>
      <c r="AL1067" s="25" t="n"/>
      <c r="AM1067" s="125" t="n"/>
      <c r="AN1067" s="23" t="n"/>
      <c r="AO1067" s="24" t="n"/>
      <c r="AP1067" s="24" t="n"/>
      <c r="AQ1067" s="24" t="n"/>
      <c r="AR1067" s="25" t="n"/>
      <c r="AS1067" s="125" t="n"/>
    </row>
    <row r="1068" hidden="1" outlineLevel="1">
      <c r="A1068" s="8" t="n"/>
      <c r="B1068" s="14" t="n"/>
      <c r="C1068" s="125" t="n"/>
      <c r="D1068" s="125" t="n"/>
      <c r="E1068" s="125" t="n"/>
      <c r="F1068" s="125" t="n"/>
      <c r="G1068" s="125" t="n"/>
      <c r="I1068" s="125" t="n"/>
      <c r="J1068" s="125" t="n"/>
      <c r="K1068" s="125" t="n"/>
      <c r="L1068" s="125" t="n"/>
      <c r="M1068" s="125" t="n"/>
      <c r="N1068" s="125" t="n"/>
      <c r="O1068" s="125" t="n"/>
      <c r="P1068" s="125" t="n"/>
      <c r="Q1068" s="125" t="n"/>
      <c r="R1068" s="125" t="n"/>
      <c r="S1068" s="125" t="n"/>
      <c r="T1068" s="125" t="n"/>
      <c r="U1068" s="125" t="n"/>
      <c r="V1068" s="125" t="n"/>
      <c r="W1068" s="125" t="n"/>
      <c r="X1068" s="125" t="n"/>
      <c r="Y1068" s="125" t="n"/>
      <c r="Z1068" s="125" t="n"/>
      <c r="AB1068" s="125" t="n"/>
      <c r="AC1068" s="125" t="n"/>
      <c r="AD1068" s="125" t="n"/>
      <c r="AE1068" s="125" t="n"/>
      <c r="AF1068" s="125" t="n"/>
      <c r="AG1068" s="125" t="n"/>
      <c r="AH1068" s="125" t="n"/>
      <c r="AI1068" s="125" t="n"/>
      <c r="AJ1068" s="125" t="n"/>
      <c r="AK1068" s="125" t="n"/>
      <c r="AL1068" s="125" t="n"/>
      <c r="AM1068" s="125" t="n"/>
      <c r="AN1068" s="125" t="n"/>
      <c r="AO1068" s="125" t="n"/>
      <c r="AP1068" s="125" t="n"/>
      <c r="AQ1068" s="125" t="n"/>
      <c r="AR1068" s="125" t="n"/>
      <c r="AS1068" s="125" t="n"/>
    </row>
    <row r="1069" hidden="1" outlineLevel="1">
      <c r="A1069" s="8" t="n"/>
      <c r="B1069" s="14" t="n"/>
      <c r="C1069" s="125" t="n"/>
      <c r="D1069" s="125" t="n"/>
      <c r="E1069" s="125" t="n"/>
      <c r="F1069" s="125" t="n"/>
      <c r="G1069" s="125"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5"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5" t="n"/>
    </row>
    <row r="1070" hidden="1" outlineLevel="1">
      <c r="A1070" s="8" t="n"/>
      <c r="B1070" s="14" t="n"/>
      <c r="C1070" s="125" t="n"/>
      <c r="D1070" s="125" t="n"/>
      <c r="E1070" s="125" t="n"/>
      <c r="F1070" s="125" t="n"/>
      <c r="G1070" s="125" t="n"/>
      <c r="I1070" s="55" t="inlineStr">
        <is>
          <t>NV 1 · CE 1</t>
        </is>
      </c>
      <c r="J1070" s="134" t="n"/>
      <c r="K1070" s="16" t="n"/>
      <c r="L1070" s="17" t="n"/>
      <c r="M1070" s="141">
        <f>DADOS_INVOC!$IM$7</f>
        <v/>
      </c>
      <c r="N1070" s="16" t="n"/>
      <c r="O1070" s="16" t="n"/>
      <c r="P1070" s="16" t="n"/>
      <c r="Q1070" s="16" t="n"/>
      <c r="R1070" s="16" t="n"/>
      <c r="S1070" s="16" t="n"/>
      <c r="T1070" s="16" t="n"/>
      <c r="U1070" s="16" t="n"/>
      <c r="V1070" s="16" t="n"/>
      <c r="W1070" s="16" t="n"/>
      <c r="X1070" s="16" t="n"/>
      <c r="Y1070" s="17" t="n"/>
      <c r="Z1070" s="125" t="n"/>
      <c r="AB1070" s="55" t="inlineStr">
        <is>
          <t>NV 1 · CE 1</t>
        </is>
      </c>
      <c r="AC1070" s="134" t="n"/>
      <c r="AD1070" s="16" t="n"/>
      <c r="AE1070" s="17" t="n"/>
      <c r="AF1070" s="141">
        <f>DADOS_INVOC!$IM$13</f>
        <v/>
      </c>
      <c r="AG1070" s="16" t="n"/>
      <c r="AH1070" s="16" t="n"/>
      <c r="AI1070" s="16" t="n"/>
      <c r="AJ1070" s="16" t="n"/>
      <c r="AK1070" s="16" t="n"/>
      <c r="AL1070" s="16" t="n"/>
      <c r="AM1070" s="16" t="n"/>
      <c r="AN1070" s="16" t="n"/>
      <c r="AO1070" s="16" t="n"/>
      <c r="AP1070" s="16" t="n"/>
      <c r="AQ1070" s="16" t="n"/>
      <c r="AR1070" s="17" t="n"/>
      <c r="AS1070" s="125" t="n"/>
    </row>
    <row r="1071" hidden="1" outlineLevel="1">
      <c r="A1071" s="8" t="n"/>
      <c r="B1071" s="14" t="n"/>
      <c r="C1071" s="125" t="n"/>
      <c r="D1071" s="125" t="n"/>
      <c r="E1071" s="125" t="n"/>
      <c r="F1071" s="125" t="n"/>
      <c r="G1071" s="125" t="n"/>
      <c r="I1071" s="55" t="inlineStr">
        <is>
          <t>NV 6 · CE 1</t>
        </is>
      </c>
      <c r="J1071" s="134" t="n"/>
      <c r="K1071" s="16" t="n"/>
      <c r="L1071" s="17" t="n"/>
      <c r="M1071" s="141">
        <f>DADOS_INVOC!$IN$7</f>
        <v/>
      </c>
      <c r="N1071" s="16" t="n"/>
      <c r="O1071" s="16" t="n"/>
      <c r="P1071" s="16" t="n"/>
      <c r="Q1071" s="16" t="n"/>
      <c r="R1071" s="16" t="n"/>
      <c r="S1071" s="16" t="n"/>
      <c r="T1071" s="16" t="n"/>
      <c r="U1071" s="16" t="n"/>
      <c r="V1071" s="16" t="n"/>
      <c r="W1071" s="16" t="n"/>
      <c r="X1071" s="16" t="n"/>
      <c r="Y1071" s="17" t="n"/>
      <c r="Z1071" s="125" t="n"/>
      <c r="AB1071" s="55" t="inlineStr">
        <is>
          <t>NV 6 · CE 1</t>
        </is>
      </c>
      <c r="AC1071" s="134" t="n"/>
      <c r="AD1071" s="16" t="n"/>
      <c r="AE1071" s="17" t="n"/>
      <c r="AF1071" s="141">
        <f>DADOS_INVOC!$IN$13</f>
        <v/>
      </c>
      <c r="AG1071" s="16" t="n"/>
      <c r="AH1071" s="16" t="n"/>
      <c r="AI1071" s="16" t="n"/>
      <c r="AJ1071" s="16" t="n"/>
      <c r="AK1071" s="16" t="n"/>
      <c r="AL1071" s="16" t="n"/>
      <c r="AM1071" s="16" t="n"/>
      <c r="AN1071" s="16" t="n"/>
      <c r="AO1071" s="16" t="n"/>
      <c r="AP1071" s="16" t="n"/>
      <c r="AQ1071" s="16" t="n"/>
      <c r="AR1071" s="17" t="n"/>
      <c r="AS1071" s="125" t="n"/>
    </row>
    <row r="1072" hidden="1" outlineLevel="1">
      <c r="A1072" s="8" t="n"/>
      <c r="B1072" s="14" t="n"/>
      <c r="C1072" s="125" t="n"/>
      <c r="D1072" s="125" t="n"/>
      <c r="E1072" s="125" t="n"/>
      <c r="F1072" s="125" t="n"/>
      <c r="G1072" s="125" t="n"/>
      <c r="I1072" s="55" t="inlineStr">
        <is>
          <t>NV 10 · CE 2</t>
        </is>
      </c>
      <c r="J1072" s="134" t="n"/>
      <c r="K1072" s="16" t="n"/>
      <c r="L1072" s="17" t="n"/>
      <c r="M1072" s="141">
        <f>DADOS_INVOC!$IO$7</f>
        <v/>
      </c>
      <c r="N1072" s="16" t="n"/>
      <c r="O1072" s="16" t="n"/>
      <c r="P1072" s="16" t="n"/>
      <c r="Q1072" s="16" t="n"/>
      <c r="R1072" s="16" t="n"/>
      <c r="S1072" s="16" t="n"/>
      <c r="T1072" s="16" t="n"/>
      <c r="U1072" s="16" t="n"/>
      <c r="V1072" s="16" t="n"/>
      <c r="W1072" s="16" t="n"/>
      <c r="X1072" s="16" t="n"/>
      <c r="Y1072" s="17" t="n"/>
      <c r="Z1072" s="125" t="n"/>
      <c r="AB1072" s="55" t="inlineStr">
        <is>
          <t>NV 10 · CE 2</t>
        </is>
      </c>
      <c r="AC1072" s="134" t="n"/>
      <c r="AD1072" s="16" t="n"/>
      <c r="AE1072" s="17" t="n"/>
      <c r="AF1072" s="141">
        <f>DADOS_INVOC!$IO$13</f>
        <v/>
      </c>
      <c r="AG1072" s="16" t="n"/>
      <c r="AH1072" s="16" t="n"/>
      <c r="AI1072" s="16" t="n"/>
      <c r="AJ1072" s="16" t="n"/>
      <c r="AK1072" s="16" t="n"/>
      <c r="AL1072" s="16" t="n"/>
      <c r="AM1072" s="16" t="n"/>
      <c r="AN1072" s="16" t="n"/>
      <c r="AO1072" s="16" t="n"/>
      <c r="AP1072" s="16" t="n"/>
      <c r="AQ1072" s="16" t="n"/>
      <c r="AR1072" s="17" t="n"/>
      <c r="AS1072" s="125" t="n"/>
    </row>
    <row r="1073" hidden="1" outlineLevel="1">
      <c r="A1073" s="8" t="n"/>
      <c r="B1073" s="14" t="n"/>
      <c r="C1073" s="125" t="n"/>
      <c r="D1073" s="125" t="n"/>
      <c r="E1073" s="125" t="n"/>
      <c r="F1073" s="125" t="n"/>
      <c r="G1073" s="125" t="n"/>
      <c r="I1073" s="55" t="inlineStr">
        <is>
          <t>NV 14 · CE 3</t>
        </is>
      </c>
      <c r="J1073" s="134" t="n"/>
      <c r="K1073" s="16" t="n"/>
      <c r="L1073" s="17" t="n"/>
      <c r="M1073" s="141">
        <f>DADOS_INVOC!$IP$7</f>
        <v/>
      </c>
      <c r="N1073" s="16" t="n"/>
      <c r="O1073" s="16" t="n"/>
      <c r="P1073" s="16" t="n"/>
      <c r="Q1073" s="16" t="n"/>
      <c r="R1073" s="16" t="n"/>
      <c r="S1073" s="16" t="n"/>
      <c r="T1073" s="16" t="n"/>
      <c r="U1073" s="16" t="n"/>
      <c r="V1073" s="16" t="n"/>
      <c r="W1073" s="16" t="n"/>
      <c r="X1073" s="16" t="n"/>
      <c r="Y1073" s="17" t="n"/>
      <c r="Z1073" s="125" t="n"/>
      <c r="AB1073" s="55" t="inlineStr">
        <is>
          <t>NV 14 · CE 3</t>
        </is>
      </c>
      <c r="AC1073" s="134" t="n"/>
      <c r="AD1073" s="16" t="n"/>
      <c r="AE1073" s="17" t="n"/>
      <c r="AF1073" s="141">
        <f>DADOS_INVOC!$IP$13</f>
        <v/>
      </c>
      <c r="AG1073" s="16" t="n"/>
      <c r="AH1073" s="16" t="n"/>
      <c r="AI1073" s="16" t="n"/>
      <c r="AJ1073" s="16" t="n"/>
      <c r="AK1073" s="16" t="n"/>
      <c r="AL1073" s="16" t="n"/>
      <c r="AM1073" s="16" t="n"/>
      <c r="AN1073" s="16" t="n"/>
      <c r="AO1073" s="16" t="n"/>
      <c r="AP1073" s="16" t="n"/>
      <c r="AQ1073" s="16" t="n"/>
      <c r="AR1073" s="17" t="n"/>
      <c r="AS1073" s="125" t="n"/>
    </row>
    <row r="1074" hidden="1" outlineLevel="1">
      <c r="A1074" s="8" t="n"/>
      <c r="B1074" s="14" t="n"/>
      <c r="C1074" s="125" t="n"/>
      <c r="D1074" s="125" t="n"/>
      <c r="E1074" s="125" t="n"/>
      <c r="F1074" s="125" t="n"/>
      <c r="G1074" s="125" t="n"/>
      <c r="I1074" s="55" t="inlineStr">
        <is>
          <t>NV 18 · CE 3</t>
        </is>
      </c>
      <c r="J1074" s="134" t="n"/>
      <c r="K1074" s="16" t="n"/>
      <c r="L1074" s="17" t="n"/>
      <c r="M1074" s="141">
        <f>DADOS_INVOC!$IQ$7</f>
        <v/>
      </c>
      <c r="N1074" s="16" t="n"/>
      <c r="O1074" s="16" t="n"/>
      <c r="P1074" s="16" t="n"/>
      <c r="Q1074" s="16" t="n"/>
      <c r="R1074" s="16" t="n"/>
      <c r="S1074" s="16" t="n"/>
      <c r="T1074" s="16" t="n"/>
      <c r="U1074" s="16" t="n"/>
      <c r="V1074" s="16" t="n"/>
      <c r="W1074" s="16" t="n"/>
      <c r="X1074" s="16" t="n"/>
      <c r="Y1074" s="17" t="n"/>
      <c r="Z1074" s="125" t="n"/>
      <c r="AB1074" s="55" t="inlineStr">
        <is>
          <t>NV 18 · CE 3</t>
        </is>
      </c>
      <c r="AC1074" s="134" t="n"/>
      <c r="AD1074" s="16" t="n"/>
      <c r="AE1074" s="17" t="n"/>
      <c r="AF1074" s="141">
        <f>DADOS_INVOC!$IQ$13</f>
        <v/>
      </c>
      <c r="AG1074" s="16" t="n"/>
      <c r="AH1074" s="16" t="n"/>
      <c r="AI1074" s="16" t="n"/>
      <c r="AJ1074" s="16" t="n"/>
      <c r="AK1074" s="16" t="n"/>
      <c r="AL1074" s="16" t="n"/>
      <c r="AM1074" s="16" t="n"/>
      <c r="AN1074" s="16" t="n"/>
      <c r="AO1074" s="16" t="n"/>
      <c r="AP1074" s="16" t="n"/>
      <c r="AQ1074" s="16" t="n"/>
      <c r="AR1074" s="17" t="n"/>
      <c r="AS1074" s="125" t="n"/>
    </row>
    <row r="1075" hidden="1" outlineLevel="1">
      <c r="A1075" s="8" t="n"/>
      <c r="B1075" s="14" t="n"/>
      <c r="C1075" s="125" t="n"/>
      <c r="D1075" s="125" t="n"/>
      <c r="E1075" s="125" t="n"/>
      <c r="F1075" s="125" t="n"/>
      <c r="G1075" s="125" t="n"/>
      <c r="I1075" s="55" t="inlineStr">
        <is>
          <t>NV 22 · CE 3</t>
        </is>
      </c>
      <c r="J1075" s="134" t="n"/>
      <c r="K1075" s="16" t="n"/>
      <c r="L1075" s="17" t="n"/>
      <c r="M1075" s="141">
        <f>DADOS_INVOC!$IR$7</f>
        <v/>
      </c>
      <c r="N1075" s="16" t="n"/>
      <c r="O1075" s="16" t="n"/>
      <c r="P1075" s="16" t="n"/>
      <c r="Q1075" s="16" t="n"/>
      <c r="R1075" s="16" t="n"/>
      <c r="S1075" s="16" t="n"/>
      <c r="T1075" s="16" t="n"/>
      <c r="U1075" s="16" t="n"/>
      <c r="V1075" s="16" t="n"/>
      <c r="W1075" s="16" t="n"/>
      <c r="X1075" s="16" t="n"/>
      <c r="Y1075" s="17" t="n"/>
      <c r="Z1075" s="125" t="n"/>
      <c r="AB1075" s="55" t="inlineStr">
        <is>
          <t>NV 22 · CE 3</t>
        </is>
      </c>
      <c r="AC1075" s="134" t="n"/>
      <c r="AD1075" s="16" t="n"/>
      <c r="AE1075" s="17" t="n"/>
      <c r="AF1075" s="141">
        <f>DADOS_INVOC!$IR$13</f>
        <v/>
      </c>
      <c r="AG1075" s="16" t="n"/>
      <c r="AH1075" s="16" t="n"/>
      <c r="AI1075" s="16" t="n"/>
      <c r="AJ1075" s="16" t="n"/>
      <c r="AK1075" s="16" t="n"/>
      <c r="AL1075" s="16" t="n"/>
      <c r="AM1075" s="16" t="n"/>
      <c r="AN1075" s="16" t="n"/>
      <c r="AO1075" s="16" t="n"/>
      <c r="AP1075" s="16" t="n"/>
      <c r="AQ1075" s="16" t="n"/>
      <c r="AR1075" s="17" t="n"/>
      <c r="AS1075" s="125" t="n"/>
    </row>
    <row r="1076" hidden="1" outlineLevel="1">
      <c r="A1076" s="8" t="n"/>
      <c r="B1076" s="14" t="n"/>
      <c r="C1076" s="125" t="n"/>
      <c r="D1076" s="125" t="n"/>
      <c r="E1076" s="125" t="n"/>
      <c r="F1076" s="125" t="n"/>
      <c r="G1076" s="125" t="n"/>
      <c r="I1076" s="55" t="inlineStr">
        <is>
          <t>NV 26 · CE 3</t>
        </is>
      </c>
      <c r="J1076" s="134" t="n"/>
      <c r="K1076" s="16" t="n"/>
      <c r="L1076" s="17" t="n"/>
      <c r="M1076" s="141">
        <f>DADOS_INVOC!$IS$7</f>
        <v/>
      </c>
      <c r="N1076" s="16" t="n"/>
      <c r="O1076" s="16" t="n"/>
      <c r="P1076" s="16" t="n"/>
      <c r="Q1076" s="16" t="n"/>
      <c r="R1076" s="16" t="n"/>
      <c r="S1076" s="16" t="n"/>
      <c r="T1076" s="16" t="n"/>
      <c r="U1076" s="16" t="n"/>
      <c r="V1076" s="16" t="n"/>
      <c r="W1076" s="16" t="n"/>
      <c r="X1076" s="16" t="n"/>
      <c r="Y1076" s="17" t="n"/>
      <c r="Z1076" s="125" t="n"/>
      <c r="AB1076" s="55" t="inlineStr">
        <is>
          <t>NV 26 · CE 3</t>
        </is>
      </c>
      <c r="AC1076" s="134" t="n"/>
      <c r="AD1076" s="16" t="n"/>
      <c r="AE1076" s="17" t="n"/>
      <c r="AF1076" s="141">
        <f>DADOS_INVOC!$IS$13</f>
        <v/>
      </c>
      <c r="AG1076" s="16" t="n"/>
      <c r="AH1076" s="16" t="n"/>
      <c r="AI1076" s="16" t="n"/>
      <c r="AJ1076" s="16" t="n"/>
      <c r="AK1076" s="16" t="n"/>
      <c r="AL1076" s="16" t="n"/>
      <c r="AM1076" s="16" t="n"/>
      <c r="AN1076" s="16" t="n"/>
      <c r="AO1076" s="16" t="n"/>
      <c r="AP1076" s="16" t="n"/>
      <c r="AQ1076" s="16" t="n"/>
      <c r="AR1076" s="17" t="n"/>
      <c r="AS1076" s="125" t="n"/>
    </row>
    <row r="1077" hidden="1" outlineLevel="1">
      <c r="A1077" s="8" t="n"/>
      <c r="B1077" s="14" t="n"/>
      <c r="C1077" s="125" t="n"/>
      <c r="D1077" s="125" t="n"/>
      <c r="E1077" s="125" t="n"/>
      <c r="F1077" s="125" t="n"/>
      <c r="G1077" s="125" t="n"/>
      <c r="I1077" s="55" t="inlineStr">
        <is>
          <t>NV 30 · CE 3</t>
        </is>
      </c>
      <c r="J1077" s="134" t="n"/>
      <c r="K1077" s="16" t="n"/>
      <c r="L1077" s="17" t="n"/>
      <c r="M1077" s="141">
        <f>DADOS_INVOC!$IT$7</f>
        <v/>
      </c>
      <c r="N1077" s="16" t="n"/>
      <c r="O1077" s="16" t="n"/>
      <c r="P1077" s="16" t="n"/>
      <c r="Q1077" s="16" t="n"/>
      <c r="R1077" s="16" t="n"/>
      <c r="S1077" s="16" t="n"/>
      <c r="T1077" s="16" t="n"/>
      <c r="U1077" s="16" t="n"/>
      <c r="V1077" s="16" t="n"/>
      <c r="W1077" s="16" t="n"/>
      <c r="X1077" s="16" t="n"/>
      <c r="Y1077" s="17" t="n"/>
      <c r="Z1077" s="125" t="n"/>
      <c r="AB1077" s="55" t="inlineStr">
        <is>
          <t>NV 30 · CE 3</t>
        </is>
      </c>
      <c r="AC1077" s="134" t="n"/>
      <c r="AD1077" s="16" t="n"/>
      <c r="AE1077" s="17" t="n"/>
      <c r="AF1077" s="141">
        <f>DADOS_INVOC!$IT$13</f>
        <v/>
      </c>
      <c r="AG1077" s="16" t="n"/>
      <c r="AH1077" s="16" t="n"/>
      <c r="AI1077" s="16" t="n"/>
      <c r="AJ1077" s="16" t="n"/>
      <c r="AK1077" s="16" t="n"/>
      <c r="AL1077" s="16" t="n"/>
      <c r="AM1077" s="16" t="n"/>
      <c r="AN1077" s="16" t="n"/>
      <c r="AO1077" s="16" t="n"/>
      <c r="AP1077" s="16" t="n"/>
      <c r="AQ1077" s="16" t="n"/>
      <c r="AR1077" s="17" t="n"/>
      <c r="AS1077" s="125" t="n"/>
    </row>
    <row r="1078" hidden="1" outlineLevel="1">
      <c r="A1078" s="8" t="n"/>
      <c r="B1078" s="14" t="n"/>
      <c r="C1078" s="125" t="n"/>
      <c r="D1078" s="125" t="n"/>
      <c r="E1078" s="125" t="n"/>
      <c r="F1078" s="125" t="n"/>
      <c r="G1078" s="125" t="n"/>
      <c r="I1078" s="125" t="n"/>
      <c r="J1078" s="125" t="n"/>
      <c r="K1078" s="125" t="n"/>
      <c r="L1078" s="125" t="n"/>
      <c r="M1078" s="125" t="n"/>
      <c r="N1078" s="125" t="n"/>
      <c r="O1078" s="125" t="n"/>
      <c r="P1078" s="125" t="n"/>
      <c r="Q1078" s="125" t="n"/>
      <c r="R1078" s="125" t="n"/>
      <c r="S1078" s="125" t="n"/>
      <c r="T1078" s="125" t="n"/>
      <c r="U1078" s="125" t="n"/>
      <c r="V1078" s="125" t="n"/>
      <c r="W1078" s="125" t="n"/>
      <c r="X1078" s="125" t="n"/>
      <c r="Y1078" s="125" t="n"/>
      <c r="Z1078" s="125" t="n"/>
      <c r="AB1078" s="125" t="n"/>
      <c r="AC1078" s="125" t="n"/>
      <c r="AD1078" s="125" t="n"/>
      <c r="AE1078" s="125" t="n"/>
      <c r="AF1078" s="125" t="n"/>
      <c r="AG1078" s="125" t="n"/>
      <c r="AH1078" s="125" t="n"/>
      <c r="AI1078" s="125" t="n"/>
      <c r="AJ1078" s="125" t="n"/>
      <c r="AK1078" s="125" t="n"/>
      <c r="AL1078" s="125" t="n"/>
      <c r="AM1078" s="125" t="n"/>
      <c r="AN1078" s="125" t="n"/>
      <c r="AO1078" s="125" t="n"/>
      <c r="AP1078" s="125" t="n"/>
      <c r="AQ1078" s="125" t="n"/>
      <c r="AR1078" s="125" t="n"/>
      <c r="AS1078" s="125" t="n"/>
    </row>
    <row r="1079" hidden="1" outlineLevel="1">
      <c r="A1079" s="8" t="n"/>
      <c r="B1079" s="14" t="n"/>
      <c r="C1079" s="125" t="n"/>
      <c r="D1079" s="125" t="n"/>
      <c r="E1079" s="125" t="n"/>
      <c r="F1079" s="125" t="n"/>
      <c r="G1079" s="125" t="n"/>
      <c r="I1079" s="137"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5" t="n"/>
      <c r="AB1079" s="137"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5" t="n"/>
    </row>
    <row r="1080" hidden="1" outlineLevel="2">
      <c r="A1080" s="8" t="n"/>
      <c r="B1080" s="14" t="n"/>
      <c r="C1080" s="125" t="n"/>
      <c r="D1080" s="125" t="n"/>
      <c r="E1080" s="125" t="n"/>
      <c r="F1080" s="125" t="n"/>
      <c r="G1080" s="125" t="n"/>
      <c r="I1080" s="125" t="n"/>
      <c r="J1080" s="125" t="n"/>
      <c r="K1080" s="125" t="n"/>
      <c r="L1080" s="125" t="n"/>
      <c r="M1080" s="125" t="n"/>
      <c r="N1080" s="125" t="n"/>
      <c r="O1080" s="125" t="n"/>
      <c r="P1080" s="125" t="n"/>
      <c r="Q1080" s="125" t="n"/>
      <c r="R1080" s="125" t="n"/>
      <c r="S1080" s="125" t="n"/>
      <c r="T1080" s="125" t="n"/>
      <c r="U1080" s="125" t="n"/>
      <c r="V1080" s="125" t="n"/>
      <c r="W1080" s="125" t="n"/>
      <c r="X1080" s="125" t="n"/>
      <c r="Y1080" s="125" t="n"/>
      <c r="Z1080" s="125" t="n"/>
      <c r="AB1080" s="125" t="n"/>
      <c r="AC1080" s="125" t="n"/>
      <c r="AD1080" s="125" t="n"/>
      <c r="AE1080" s="125" t="n"/>
      <c r="AF1080" s="125" t="n"/>
      <c r="AG1080" s="125" t="n"/>
      <c r="AH1080" s="125" t="n"/>
      <c r="AI1080" s="125" t="n"/>
      <c r="AJ1080" s="125" t="n"/>
      <c r="AK1080" s="125" t="n"/>
      <c r="AL1080" s="125" t="n"/>
      <c r="AM1080" s="125" t="n"/>
      <c r="AN1080" s="125" t="n"/>
      <c r="AO1080" s="125" t="n"/>
      <c r="AP1080" s="125" t="n"/>
      <c r="AQ1080" s="125" t="n"/>
      <c r="AR1080" s="125" t="n"/>
      <c r="AS1080" s="125" t="n"/>
    </row>
    <row r="1081" hidden="1" outlineLevel="2">
      <c r="A1081" s="8" t="n"/>
      <c r="B1081" s="14" t="n"/>
      <c r="C1081" s="125" t="n"/>
      <c r="D1081" s="125" t="n"/>
      <c r="E1081" s="125" t="n"/>
      <c r="F1081" s="125" t="n"/>
      <c r="G1081" s="125" t="n"/>
      <c r="I1081" s="55">
        <f>DADOS_INVOC!$PX$70</f>
        <v/>
      </c>
      <c r="J1081" s="16" t="n"/>
      <c r="K1081" s="16" t="n"/>
      <c r="L1081" s="16" t="n"/>
      <c r="M1081" s="17" t="n"/>
      <c r="N1081" s="125" t="n"/>
      <c r="O1081" s="55">
        <f>DADOS_INVOC!$PX$71</f>
        <v/>
      </c>
      <c r="P1081" s="16" t="n"/>
      <c r="Q1081" s="16" t="n"/>
      <c r="R1081" s="16" t="n"/>
      <c r="S1081" s="17" t="n"/>
      <c r="T1081" s="125" t="n"/>
      <c r="U1081" s="55">
        <f>DADOS_INVOC!$PX$72</f>
        <v/>
      </c>
      <c r="V1081" s="16" t="n"/>
      <c r="W1081" s="16" t="n"/>
      <c r="X1081" s="16" t="n"/>
      <c r="Y1081" s="17" t="n"/>
      <c r="Z1081" s="125" t="n"/>
      <c r="AB1081" s="55">
        <f>DADOS_INVOC!$PX$148</f>
        <v/>
      </c>
      <c r="AC1081" s="16" t="n"/>
      <c r="AD1081" s="16" t="n"/>
      <c r="AE1081" s="16" t="n"/>
      <c r="AF1081" s="17" t="n"/>
      <c r="AG1081" s="125" t="n"/>
      <c r="AH1081" s="55">
        <f>DADOS_INVOC!$PX$149</f>
        <v/>
      </c>
      <c r="AI1081" s="16" t="n"/>
      <c r="AJ1081" s="16" t="n"/>
      <c r="AK1081" s="16" t="n"/>
      <c r="AL1081" s="17" t="n"/>
      <c r="AM1081" s="125" t="n"/>
      <c r="AN1081" s="55">
        <f>DADOS_INVOC!$PX$150</f>
        <v/>
      </c>
      <c r="AO1081" s="16" t="n"/>
      <c r="AP1081" s="16" t="n"/>
      <c r="AQ1081" s="16" t="n"/>
      <c r="AR1081" s="17" t="n"/>
      <c r="AS1081" s="125" t="n"/>
    </row>
    <row r="1082" hidden="1" outlineLevel="2">
      <c r="A1082" s="8" t="n"/>
      <c r="B1082" s="14" t="n"/>
      <c r="C1082" s="125" t="n"/>
      <c r="D1082" s="125" t="n"/>
      <c r="E1082" s="125" t="n"/>
      <c r="F1082" s="125" t="n"/>
      <c r="G1082" s="125" t="n"/>
      <c r="I1082" s="131" t="n">
        <v>0</v>
      </c>
      <c r="J1082" s="120" t="n"/>
      <c r="K1082" s="16" t="n"/>
      <c r="L1082" s="17" t="n"/>
      <c r="M1082" s="132">
        <f>DADOS_INVOC!$PV$70</f>
        <v/>
      </c>
      <c r="N1082" s="125" t="n"/>
      <c r="O1082" s="131" t="n">
        <v>1</v>
      </c>
      <c r="P1082" s="120" t="n"/>
      <c r="Q1082" s="16" t="n"/>
      <c r="R1082" s="17" t="n"/>
      <c r="S1082" s="132">
        <f>DADOS_INVOC!$PV$71</f>
        <v/>
      </c>
      <c r="T1082" s="125" t="n"/>
      <c r="U1082" s="131" t="n">
        <v>1</v>
      </c>
      <c r="V1082" s="120" t="n"/>
      <c r="W1082" s="16" t="n"/>
      <c r="X1082" s="17" t="n"/>
      <c r="Y1082" s="132">
        <f>DADOS_INVOC!$PV$72</f>
        <v/>
      </c>
      <c r="Z1082" s="125" t="n"/>
      <c r="AB1082" s="131" t="n">
        <v>0</v>
      </c>
      <c r="AC1082" s="120" t="n"/>
      <c r="AD1082" s="16" t="n"/>
      <c r="AE1082" s="17" t="n"/>
      <c r="AF1082" s="132">
        <f>DADOS_INVOC!$PV$148</f>
        <v/>
      </c>
      <c r="AG1082" s="125" t="n"/>
      <c r="AH1082" s="131" t="n">
        <v>1</v>
      </c>
      <c r="AI1082" s="120" t="n"/>
      <c r="AJ1082" s="16" t="n"/>
      <c r="AK1082" s="17" t="n"/>
      <c r="AL1082" s="132">
        <f>DADOS_INVOC!$PV$149</f>
        <v/>
      </c>
      <c r="AM1082" s="125" t="n"/>
      <c r="AN1082" s="131" t="n">
        <v>1</v>
      </c>
      <c r="AO1082" s="120" t="n"/>
      <c r="AP1082" s="16" t="n"/>
      <c r="AQ1082" s="17" t="n"/>
      <c r="AR1082" s="132">
        <f>DADOS_INVOC!$PV$150</f>
        <v/>
      </c>
      <c r="AS1082" s="125" t="n"/>
    </row>
    <row r="1083" hidden="1" outlineLevel="3">
      <c r="A1083" s="8" t="n"/>
      <c r="B1083" s="14" t="n"/>
      <c r="C1083" s="125" t="n"/>
      <c r="D1083" s="125" t="n"/>
      <c r="E1083" s="125" t="n"/>
      <c r="F1083" s="125" t="n"/>
      <c r="G1083" s="125" t="n"/>
      <c r="I1083" s="55" t="inlineStr">
        <is>
          <t>COMO É</t>
        </is>
      </c>
      <c r="J1083" s="16" t="n"/>
      <c r="K1083" s="16" t="n"/>
      <c r="L1083" s="16" t="n"/>
      <c r="M1083" s="17" t="n"/>
      <c r="N1083" s="125" t="n"/>
      <c r="O1083" s="55" t="inlineStr">
        <is>
          <t>COMO É</t>
        </is>
      </c>
      <c r="P1083" s="16" t="n"/>
      <c r="Q1083" s="16" t="n"/>
      <c r="R1083" s="16" t="n"/>
      <c r="S1083" s="17" t="n"/>
      <c r="T1083" s="125" t="n"/>
      <c r="U1083" s="55" t="inlineStr">
        <is>
          <t>COMO É</t>
        </is>
      </c>
      <c r="V1083" s="16" t="n"/>
      <c r="W1083" s="16" t="n"/>
      <c r="X1083" s="16" t="n"/>
      <c r="Y1083" s="17" t="n"/>
      <c r="Z1083" s="125" t="n"/>
      <c r="AB1083" s="55" t="inlineStr">
        <is>
          <t>COMO É</t>
        </is>
      </c>
      <c r="AC1083" s="16" t="n"/>
      <c r="AD1083" s="16" t="n"/>
      <c r="AE1083" s="16" t="n"/>
      <c r="AF1083" s="17" t="n"/>
      <c r="AG1083" s="125" t="n"/>
      <c r="AH1083" s="55" t="inlineStr">
        <is>
          <t>COMO É</t>
        </is>
      </c>
      <c r="AI1083" s="16" t="n"/>
      <c r="AJ1083" s="16" t="n"/>
      <c r="AK1083" s="16" t="n"/>
      <c r="AL1083" s="17" t="n"/>
      <c r="AM1083" s="125" t="n"/>
      <c r="AN1083" s="55" t="inlineStr">
        <is>
          <t>COMO É</t>
        </is>
      </c>
      <c r="AO1083" s="16" t="n"/>
      <c r="AP1083" s="16" t="n"/>
      <c r="AQ1083" s="16" t="n"/>
      <c r="AR1083" s="17" t="n"/>
      <c r="AS1083" s="125" t="n"/>
    </row>
    <row r="1084" hidden="1" outlineLevel="3">
      <c r="A1084" s="8" t="n"/>
      <c r="B1084" s="14" t="n"/>
      <c r="C1084" s="125" t="n"/>
      <c r="D1084" s="125" t="n"/>
      <c r="E1084" s="125" t="n"/>
      <c r="F1084" s="125" t="n"/>
      <c r="G1084" s="125" t="n"/>
      <c r="I1084" s="121" t="n"/>
      <c r="J1084" s="19" t="n"/>
      <c r="K1084" s="19" t="n"/>
      <c r="L1084" s="19" t="n"/>
      <c r="M1084" s="20" t="n"/>
      <c r="N1084" s="125" t="n"/>
      <c r="O1084" s="121" t="n"/>
      <c r="P1084" s="19" t="n"/>
      <c r="Q1084" s="19" t="n"/>
      <c r="R1084" s="19" t="n"/>
      <c r="S1084" s="20" t="n"/>
      <c r="T1084" s="125" t="n"/>
      <c r="U1084" s="121" t="n"/>
      <c r="V1084" s="19" t="n"/>
      <c r="W1084" s="19" t="n"/>
      <c r="X1084" s="19" t="n"/>
      <c r="Y1084" s="20" t="n"/>
      <c r="Z1084" s="125" t="n"/>
      <c r="AB1084" s="121" t="n"/>
      <c r="AC1084" s="19" t="n"/>
      <c r="AD1084" s="19" t="n"/>
      <c r="AE1084" s="19" t="n"/>
      <c r="AF1084" s="20" t="n"/>
      <c r="AG1084" s="125" t="n"/>
      <c r="AH1084" s="121" t="n"/>
      <c r="AI1084" s="19" t="n"/>
      <c r="AJ1084" s="19" t="n"/>
      <c r="AK1084" s="19" t="n"/>
      <c r="AL1084" s="20" t="n"/>
      <c r="AM1084" s="125" t="n"/>
      <c r="AN1084" s="121" t="n"/>
      <c r="AO1084" s="19" t="n"/>
      <c r="AP1084" s="19" t="n"/>
      <c r="AQ1084" s="19" t="n"/>
      <c r="AR1084" s="20" t="n"/>
      <c r="AS1084" s="125" t="n"/>
    </row>
    <row r="1085" hidden="1" outlineLevel="3">
      <c r="A1085" s="8" t="n"/>
      <c r="B1085" s="14" t="n"/>
      <c r="C1085" s="125" t="n"/>
      <c r="D1085" s="125" t="n"/>
      <c r="E1085" s="125" t="n"/>
      <c r="F1085" s="125" t="n"/>
      <c r="G1085" s="125" t="n"/>
      <c r="I1085" s="21" t="n"/>
      <c r="M1085" s="22" t="n"/>
      <c r="N1085" s="125" t="n"/>
      <c r="O1085" s="21" t="n"/>
      <c r="S1085" s="22" t="n"/>
      <c r="T1085" s="125" t="n"/>
      <c r="U1085" s="21" t="n"/>
      <c r="Y1085" s="22" t="n"/>
      <c r="Z1085" s="125" t="n"/>
      <c r="AB1085" s="21" t="n"/>
      <c r="AF1085" s="22" t="n"/>
      <c r="AG1085" s="125" t="n"/>
      <c r="AH1085" s="21" t="n"/>
      <c r="AL1085" s="22" t="n"/>
      <c r="AM1085" s="125" t="n"/>
      <c r="AN1085" s="21" t="n"/>
      <c r="AR1085" s="22" t="n"/>
      <c r="AS1085" s="125" t="n"/>
    </row>
    <row r="1086" hidden="1" outlineLevel="3">
      <c r="A1086" s="8" t="n"/>
      <c r="B1086" s="14" t="n"/>
      <c r="C1086" s="125" t="n"/>
      <c r="D1086" s="125" t="n"/>
      <c r="E1086" s="125" t="n"/>
      <c r="F1086" s="125" t="n"/>
      <c r="G1086" s="125" t="n"/>
      <c r="I1086" s="23" t="n"/>
      <c r="J1086" s="24" t="n"/>
      <c r="K1086" s="24" t="n"/>
      <c r="L1086" s="24" t="n"/>
      <c r="M1086" s="25" t="n"/>
      <c r="N1086" s="125" t="n"/>
      <c r="O1086" s="23" t="n"/>
      <c r="P1086" s="24" t="n"/>
      <c r="Q1086" s="24" t="n"/>
      <c r="R1086" s="24" t="n"/>
      <c r="S1086" s="25" t="n"/>
      <c r="T1086" s="125" t="n"/>
      <c r="U1086" s="23" t="n"/>
      <c r="V1086" s="24" t="n"/>
      <c r="W1086" s="24" t="n"/>
      <c r="X1086" s="24" t="n"/>
      <c r="Y1086" s="25" t="n"/>
      <c r="Z1086" s="125" t="n"/>
      <c r="AB1086" s="23" t="n"/>
      <c r="AC1086" s="24" t="n"/>
      <c r="AD1086" s="24" t="n"/>
      <c r="AE1086" s="24" t="n"/>
      <c r="AF1086" s="25" t="n"/>
      <c r="AG1086" s="125" t="n"/>
      <c r="AH1086" s="23" t="n"/>
      <c r="AI1086" s="24" t="n"/>
      <c r="AJ1086" s="24" t="n"/>
      <c r="AK1086" s="24" t="n"/>
      <c r="AL1086" s="25" t="n"/>
      <c r="AM1086" s="125" t="n"/>
      <c r="AN1086" s="23" t="n"/>
      <c r="AO1086" s="24" t="n"/>
      <c r="AP1086" s="24" t="n"/>
      <c r="AQ1086" s="24" t="n"/>
      <c r="AR1086" s="25" t="n"/>
      <c r="AS1086" s="125" t="n"/>
    </row>
    <row r="1087" hidden="1" outlineLevel="2">
      <c r="A1087" s="8" t="n"/>
      <c r="B1087" s="14" t="n"/>
      <c r="C1087" s="125" t="n"/>
      <c r="D1087" s="125" t="n"/>
      <c r="E1087" s="125" t="n"/>
      <c r="F1087" s="125" t="n"/>
      <c r="G1087" s="125" t="n"/>
      <c r="I1087" s="89" t="inlineStr">
        <is>
          <t>Projétil</t>
        </is>
      </c>
      <c r="J1087" s="17" t="n"/>
      <c r="K1087" s="68">
        <f>DADOS_INVOC!$QC$70</f>
        <v/>
      </c>
      <c r="L1087" s="17" t="n"/>
      <c r="M1087" s="68">
        <f>DADOS_INVOC!$PY$70</f>
        <v/>
      </c>
      <c r="N1087" s="125" t="n"/>
      <c r="O1087" s="89" t="inlineStr">
        <is>
          <t>Projétil</t>
        </is>
      </c>
      <c r="P1087" s="17" t="n"/>
      <c r="Q1087" s="68">
        <f>DADOS_INVOC!$QC$71</f>
        <v/>
      </c>
      <c r="R1087" s="17" t="n"/>
      <c r="S1087" s="68">
        <f>DADOS_INVOC!$PY$71</f>
        <v/>
      </c>
      <c r="T1087" s="125" t="n"/>
      <c r="U1087" s="89" t="inlineStr">
        <is>
          <t>Projétil</t>
        </is>
      </c>
      <c r="V1087" s="17" t="n"/>
      <c r="W1087" s="68">
        <f>DADOS_INVOC!$QC$72</f>
        <v/>
      </c>
      <c r="X1087" s="17" t="n"/>
      <c r="Y1087" s="68">
        <f>DADOS_INVOC!$PY$72</f>
        <v/>
      </c>
      <c r="Z1087" s="125" t="n"/>
      <c r="AB1087" s="89" t="inlineStr">
        <is>
          <t>Projétil</t>
        </is>
      </c>
      <c r="AC1087" s="17" t="n"/>
      <c r="AD1087" s="68">
        <f>DADOS_INVOC!$QC$148</f>
        <v/>
      </c>
      <c r="AE1087" s="17" t="n"/>
      <c r="AF1087" s="68">
        <f>DADOS_INVOC!$PY$148</f>
        <v/>
      </c>
      <c r="AG1087" s="125" t="n"/>
      <c r="AH1087" s="89" t="inlineStr">
        <is>
          <t>Projétil</t>
        </is>
      </c>
      <c r="AI1087" s="17" t="n"/>
      <c r="AJ1087" s="68">
        <f>DADOS_INVOC!$QC$149</f>
        <v/>
      </c>
      <c r="AK1087" s="17" t="n"/>
      <c r="AL1087" s="68">
        <f>DADOS_INVOC!$PY$149</f>
        <v/>
      </c>
      <c r="AM1087" s="125" t="n"/>
      <c r="AN1087" s="89" t="inlineStr">
        <is>
          <t>Projétil</t>
        </is>
      </c>
      <c r="AO1087" s="17" t="n"/>
      <c r="AP1087" s="68">
        <f>DADOS_INVOC!$QC$150</f>
        <v/>
      </c>
      <c r="AQ1087" s="17" t="n"/>
      <c r="AR1087" s="68">
        <f>DADOS_INVOC!$PY$150</f>
        <v/>
      </c>
      <c r="AS1087" s="125" t="n"/>
    </row>
    <row r="1088" hidden="1" outlineLevel="2">
      <c r="A1088" s="8" t="n"/>
      <c r="B1088" s="14" t="n"/>
      <c r="C1088" s="125" t="n"/>
      <c r="D1088" s="125" t="n"/>
      <c r="E1088" s="125" t="n"/>
      <c r="F1088" s="125" t="n"/>
      <c r="G1088" s="125" t="n"/>
      <c r="I1088" s="89" t="n"/>
      <c r="J1088" s="17" t="n"/>
      <c r="K1088" s="89" t="n"/>
      <c r="L1088" s="16" t="n"/>
      <c r="M1088" s="17" t="n"/>
      <c r="N1088" s="125" t="n"/>
      <c r="O1088" s="89" t="n"/>
      <c r="P1088" s="17" t="n"/>
      <c r="Q1088" s="89" t="n"/>
      <c r="R1088" s="16" t="n"/>
      <c r="S1088" s="17" t="n"/>
      <c r="T1088" s="125" t="n"/>
      <c r="U1088" s="89" t="n"/>
      <c r="V1088" s="17" t="n"/>
      <c r="W1088" s="89" t="n"/>
      <c r="X1088" s="16" t="n"/>
      <c r="Y1088" s="17" t="n"/>
      <c r="Z1088" s="125" t="n"/>
      <c r="AB1088" s="89" t="n"/>
      <c r="AC1088" s="17" t="n"/>
      <c r="AD1088" s="89" t="n"/>
      <c r="AE1088" s="16" t="n"/>
      <c r="AF1088" s="17" t="n"/>
      <c r="AG1088" s="125" t="n"/>
      <c r="AH1088" s="89" t="n"/>
      <c r="AI1088" s="17" t="n"/>
      <c r="AJ1088" s="89" t="n"/>
      <c r="AK1088" s="16" t="n"/>
      <c r="AL1088" s="17" t="n"/>
      <c r="AM1088" s="125" t="n"/>
      <c r="AN1088" s="89" t="n"/>
      <c r="AO1088" s="17" t="n"/>
      <c r="AP1088" s="89" t="n"/>
      <c r="AQ1088" s="16" t="n"/>
      <c r="AR1088" s="17" t="n"/>
      <c r="AS1088" s="125" t="n"/>
    </row>
    <row r="1089" hidden="1" outlineLevel="2">
      <c r="A1089" s="8" t="n"/>
      <c r="B1089" s="14" t="n"/>
      <c r="C1089" s="125" t="n"/>
      <c r="D1089" s="125" t="n"/>
      <c r="E1089" s="125" t="n"/>
      <c r="F1089" s="125" t="n"/>
      <c r="G1089" s="125" t="n"/>
      <c r="I1089" s="89">
        <f>DADOS_INVOC!$PZ$70</f>
        <v/>
      </c>
      <c r="J1089" s="17" t="n"/>
      <c r="K1089" s="89">
        <f>DADOS_INVOC!$QB$70</f>
        <v/>
      </c>
      <c r="L1089" s="16" t="n"/>
      <c r="M1089" s="17" t="n"/>
      <c r="N1089" s="125" t="n"/>
      <c r="O1089" s="89">
        <f>DADOS_INVOC!$PZ$71</f>
        <v/>
      </c>
      <c r="P1089" s="17" t="n"/>
      <c r="Q1089" s="89">
        <f>DADOS_INVOC!$QB$71</f>
        <v/>
      </c>
      <c r="R1089" s="16" t="n"/>
      <c r="S1089" s="17" t="n"/>
      <c r="T1089" s="125" t="n"/>
      <c r="U1089" s="89">
        <f>DADOS_INVOC!$PZ$72</f>
        <v/>
      </c>
      <c r="V1089" s="17" t="n"/>
      <c r="W1089" s="89">
        <f>DADOS_INVOC!$QB$72</f>
        <v/>
      </c>
      <c r="X1089" s="16" t="n"/>
      <c r="Y1089" s="17" t="n"/>
      <c r="Z1089" s="125" t="n"/>
      <c r="AB1089" s="89">
        <f>DADOS_INVOC!$PZ$148</f>
        <v/>
      </c>
      <c r="AC1089" s="17" t="n"/>
      <c r="AD1089" s="89">
        <f>DADOS_INVOC!$QB$148</f>
        <v/>
      </c>
      <c r="AE1089" s="16" t="n"/>
      <c r="AF1089" s="17" t="n"/>
      <c r="AG1089" s="125" t="n"/>
      <c r="AH1089" s="89">
        <f>DADOS_INVOC!$PZ$149</f>
        <v/>
      </c>
      <c r="AI1089" s="17" t="n"/>
      <c r="AJ1089" s="89">
        <f>DADOS_INVOC!$QB$149</f>
        <v/>
      </c>
      <c r="AK1089" s="16" t="n"/>
      <c r="AL1089" s="17" t="n"/>
      <c r="AM1089" s="125" t="n"/>
      <c r="AN1089" s="89">
        <f>DADOS_INVOC!$PZ$150</f>
        <v/>
      </c>
      <c r="AO1089" s="17" t="n"/>
      <c r="AP1089" s="89">
        <f>DADOS_INVOC!$QB$150</f>
        <v/>
      </c>
      <c r="AQ1089" s="16" t="n"/>
      <c r="AR1089" s="17" t="n"/>
      <c r="AS1089" s="125" t="n"/>
    </row>
    <row r="1090" hidden="1" outlineLevel="2">
      <c r="A1090" s="8" t="n"/>
      <c r="B1090" s="14" t="n"/>
      <c r="C1090" s="125" t="n"/>
      <c r="D1090" s="125" t="n"/>
      <c r="E1090" s="125" t="n"/>
      <c r="F1090" s="125" t="n"/>
      <c r="G1090" s="125" t="n"/>
      <c r="I1090" s="133">
        <f>DADOS_INVOC!$QH$70</f>
        <v/>
      </c>
      <c r="J1090" s="16" t="n"/>
      <c r="K1090" s="16" t="n"/>
      <c r="L1090" s="16" t="n"/>
      <c r="M1090" s="17" t="n"/>
      <c r="N1090" s="125" t="n"/>
      <c r="O1090" s="133">
        <f>DADOS_INVOC!$QH$71</f>
        <v/>
      </c>
      <c r="P1090" s="16" t="n"/>
      <c r="Q1090" s="16" t="n"/>
      <c r="R1090" s="16" t="n"/>
      <c r="S1090" s="17" t="n"/>
      <c r="T1090" s="125" t="n"/>
      <c r="U1090" s="133">
        <f>DADOS_INVOC!$QH$72</f>
        <v/>
      </c>
      <c r="V1090" s="16" t="n"/>
      <c r="W1090" s="16" t="n"/>
      <c r="X1090" s="16" t="n"/>
      <c r="Y1090" s="17" t="n"/>
      <c r="Z1090" s="125" t="n"/>
      <c r="AB1090" s="133">
        <f>DADOS_INVOC!$QH$148</f>
        <v/>
      </c>
      <c r="AC1090" s="16" t="n"/>
      <c r="AD1090" s="16" t="n"/>
      <c r="AE1090" s="16" t="n"/>
      <c r="AF1090" s="17" t="n"/>
      <c r="AG1090" s="125" t="n"/>
      <c r="AH1090" s="133">
        <f>DADOS_INVOC!$QH$149</f>
        <v/>
      </c>
      <c r="AI1090" s="16" t="n"/>
      <c r="AJ1090" s="16" t="n"/>
      <c r="AK1090" s="16" t="n"/>
      <c r="AL1090" s="17" t="n"/>
      <c r="AM1090" s="125" t="n"/>
      <c r="AN1090" s="133">
        <f>DADOS_INVOC!$QH$150</f>
        <v/>
      </c>
      <c r="AO1090" s="16" t="n"/>
      <c r="AP1090" s="16" t="n"/>
      <c r="AQ1090" s="16" t="n"/>
      <c r="AR1090" s="17" t="n"/>
      <c r="AS1090" s="125" t="n"/>
    </row>
    <row r="1091" hidden="1" outlineLevel="3">
      <c r="A1091" s="8" t="n"/>
      <c r="B1091" s="14" t="n"/>
      <c r="C1091" s="125" t="n"/>
      <c r="D1091" s="125" t="n"/>
      <c r="E1091" s="125" t="n"/>
      <c r="F1091" s="125" t="n"/>
      <c r="G1091" s="125" t="n"/>
      <c r="I1091" s="55" t="inlineStr">
        <is>
          <t>MELHORIAS</t>
        </is>
      </c>
      <c r="J1091" s="134" t="n"/>
      <c r="K1091" s="16" t="n"/>
      <c r="L1091" s="17" t="n"/>
      <c r="M1091" s="133">
        <f>DADOS_INVOC!$QK$70</f>
        <v/>
      </c>
      <c r="N1091" s="125" t="n"/>
      <c r="O1091" s="55" t="inlineStr">
        <is>
          <t>MELHORIAS</t>
        </is>
      </c>
      <c r="P1091" s="134" t="n"/>
      <c r="Q1091" s="16" t="n"/>
      <c r="R1091" s="17" t="n"/>
      <c r="S1091" s="133">
        <f>DADOS_INVOC!$QK$71</f>
        <v/>
      </c>
      <c r="T1091" s="125" t="n"/>
      <c r="U1091" s="55" t="inlineStr">
        <is>
          <t>MELHORIAS</t>
        </is>
      </c>
      <c r="V1091" s="134" t="n"/>
      <c r="W1091" s="16" t="n"/>
      <c r="X1091" s="17" t="n"/>
      <c r="Y1091" s="133">
        <f>DADOS_INVOC!$QK$72</f>
        <v/>
      </c>
      <c r="Z1091" s="125" t="n"/>
      <c r="AB1091" s="55" t="inlineStr">
        <is>
          <t>MELHORIAS</t>
        </is>
      </c>
      <c r="AC1091" s="134" t="n"/>
      <c r="AD1091" s="16" t="n"/>
      <c r="AE1091" s="17" t="n"/>
      <c r="AF1091" s="133">
        <f>DADOS_INVOC!$QK$148</f>
        <v/>
      </c>
      <c r="AG1091" s="125" t="n"/>
      <c r="AH1091" s="55" t="inlineStr">
        <is>
          <t>MELHORIAS</t>
        </is>
      </c>
      <c r="AI1091" s="134" t="n"/>
      <c r="AJ1091" s="16" t="n"/>
      <c r="AK1091" s="17" t="n"/>
      <c r="AL1091" s="133">
        <f>DADOS_INVOC!$QK$149</f>
        <v/>
      </c>
      <c r="AM1091" s="125" t="n"/>
      <c r="AN1091" s="55" t="inlineStr">
        <is>
          <t>MELHORIAS</t>
        </is>
      </c>
      <c r="AO1091" s="134" t="n"/>
      <c r="AP1091" s="16" t="n"/>
      <c r="AQ1091" s="17" t="n"/>
      <c r="AR1091" s="133">
        <f>DADOS_INVOC!$QK$150</f>
        <v/>
      </c>
      <c r="AS1091" s="125" t="n"/>
    </row>
    <row r="1092" hidden="1" outlineLevel="3">
      <c r="A1092" s="8" t="n"/>
      <c r="B1092" s="14" t="n"/>
      <c r="C1092" s="125" t="n"/>
      <c r="D1092" s="125" t="n"/>
      <c r="E1092" s="125" t="n"/>
      <c r="F1092" s="125" t="n"/>
      <c r="G1092" s="125" t="n"/>
      <c r="I1092" s="135" t="n"/>
      <c r="J1092" s="134" t="n"/>
      <c r="K1092" s="16" t="n"/>
      <c r="L1092" s="17" t="n"/>
      <c r="M1092" s="133">
        <f>DADOS_INVOC!$QL$70</f>
        <v/>
      </c>
      <c r="N1092" s="125" t="n"/>
      <c r="O1092" s="135" t="n"/>
      <c r="P1092" s="134" t="n"/>
      <c r="Q1092" s="16" t="n"/>
      <c r="R1092" s="17" t="n"/>
      <c r="S1092" s="133">
        <f>DADOS_INVOC!$QL$71</f>
        <v/>
      </c>
      <c r="T1092" s="125" t="n"/>
      <c r="U1092" s="135" t="n"/>
      <c r="V1092" s="134" t="n"/>
      <c r="W1092" s="16" t="n"/>
      <c r="X1092" s="17" t="n"/>
      <c r="Y1092" s="133">
        <f>DADOS_INVOC!$QL$72</f>
        <v/>
      </c>
      <c r="Z1092" s="125" t="n"/>
      <c r="AB1092" s="135" t="n"/>
      <c r="AC1092" s="134" t="n"/>
      <c r="AD1092" s="16" t="n"/>
      <c r="AE1092" s="17" t="n"/>
      <c r="AF1092" s="133">
        <f>DADOS_INVOC!$QL$148</f>
        <v/>
      </c>
      <c r="AG1092" s="125" t="n"/>
      <c r="AH1092" s="135" t="n"/>
      <c r="AI1092" s="134" t="n"/>
      <c r="AJ1092" s="16" t="n"/>
      <c r="AK1092" s="17" t="n"/>
      <c r="AL1092" s="133">
        <f>DADOS_INVOC!$QL$149</f>
        <v/>
      </c>
      <c r="AM1092" s="125" t="n"/>
      <c r="AN1092" s="135" t="n"/>
      <c r="AO1092" s="134" t="n"/>
      <c r="AP1092" s="16" t="n"/>
      <c r="AQ1092" s="17" t="n"/>
      <c r="AR1092" s="133">
        <f>DADOS_INVOC!$QL$150</f>
        <v/>
      </c>
      <c r="AS1092" s="125" t="n"/>
    </row>
    <row r="1093" hidden="1" outlineLevel="3">
      <c r="A1093" s="8" t="n"/>
      <c r="B1093" s="14" t="n"/>
      <c r="C1093" s="125" t="n"/>
      <c r="D1093" s="125" t="n"/>
      <c r="E1093" s="125" t="n"/>
      <c r="F1093" s="125" t="n"/>
      <c r="G1093" s="125" t="n"/>
      <c r="I1093" s="135" t="n"/>
      <c r="J1093" s="134" t="n"/>
      <c r="K1093" s="16" t="n"/>
      <c r="L1093" s="17" t="n"/>
      <c r="M1093" s="133">
        <f>DADOS_INVOC!$QM$70</f>
        <v/>
      </c>
      <c r="N1093" s="125" t="n"/>
      <c r="O1093" s="135" t="n"/>
      <c r="P1093" s="134" t="n"/>
      <c r="Q1093" s="16" t="n"/>
      <c r="R1093" s="17" t="n"/>
      <c r="S1093" s="133">
        <f>DADOS_INVOC!$QM$71</f>
        <v/>
      </c>
      <c r="T1093" s="125" t="n"/>
      <c r="U1093" s="135" t="n"/>
      <c r="V1093" s="134" t="n"/>
      <c r="W1093" s="16" t="n"/>
      <c r="X1093" s="17" t="n"/>
      <c r="Y1093" s="133">
        <f>DADOS_INVOC!$QM$72</f>
        <v/>
      </c>
      <c r="Z1093" s="125" t="n"/>
      <c r="AB1093" s="135" t="n"/>
      <c r="AC1093" s="134" t="n"/>
      <c r="AD1093" s="16" t="n"/>
      <c r="AE1093" s="17" t="n"/>
      <c r="AF1093" s="133">
        <f>DADOS_INVOC!$QM$148</f>
        <v/>
      </c>
      <c r="AG1093" s="125" t="n"/>
      <c r="AH1093" s="135" t="n"/>
      <c r="AI1093" s="134" t="n"/>
      <c r="AJ1093" s="16" t="n"/>
      <c r="AK1093" s="17" t="n"/>
      <c r="AL1093" s="133">
        <f>DADOS_INVOC!$QM$149</f>
        <v/>
      </c>
      <c r="AM1093" s="125" t="n"/>
      <c r="AN1093" s="135" t="n"/>
      <c r="AO1093" s="134" t="n"/>
      <c r="AP1093" s="16" t="n"/>
      <c r="AQ1093" s="17" t="n"/>
      <c r="AR1093" s="133">
        <f>DADOS_INVOC!$QM$150</f>
        <v/>
      </c>
      <c r="AS1093" s="125" t="n"/>
    </row>
    <row r="1094" hidden="1" outlineLevel="3">
      <c r="A1094" s="8" t="n"/>
      <c r="B1094" s="14" t="n"/>
      <c r="C1094" s="125" t="n"/>
      <c r="D1094" s="125" t="n"/>
      <c r="E1094" s="125" t="n"/>
      <c r="F1094" s="125" t="n"/>
      <c r="G1094" s="125" t="n"/>
      <c r="I1094" s="129" t="n"/>
      <c r="J1094" s="134" t="n"/>
      <c r="K1094" s="16" t="n"/>
      <c r="L1094" s="17" t="n"/>
      <c r="M1094" s="133">
        <f>DADOS_INVOC!$QN$70</f>
        <v/>
      </c>
      <c r="N1094" s="125" t="n"/>
      <c r="O1094" s="129" t="n"/>
      <c r="P1094" s="134" t="n"/>
      <c r="Q1094" s="16" t="n"/>
      <c r="R1094" s="17" t="n"/>
      <c r="S1094" s="133">
        <f>DADOS_INVOC!$QN$71</f>
        <v/>
      </c>
      <c r="T1094" s="125" t="n"/>
      <c r="U1094" s="129" t="n"/>
      <c r="V1094" s="134" t="n"/>
      <c r="W1094" s="16" t="n"/>
      <c r="X1094" s="17" t="n"/>
      <c r="Y1094" s="133">
        <f>DADOS_INVOC!$QN$72</f>
        <v/>
      </c>
      <c r="Z1094" s="125" t="n"/>
      <c r="AB1094" s="129" t="n"/>
      <c r="AC1094" s="134" t="n"/>
      <c r="AD1094" s="16" t="n"/>
      <c r="AE1094" s="17" t="n"/>
      <c r="AF1094" s="133">
        <f>DADOS_INVOC!$QN$148</f>
        <v/>
      </c>
      <c r="AG1094" s="125" t="n"/>
      <c r="AH1094" s="129" t="n"/>
      <c r="AI1094" s="134" t="n"/>
      <c r="AJ1094" s="16" t="n"/>
      <c r="AK1094" s="17" t="n"/>
      <c r="AL1094" s="133">
        <f>DADOS_INVOC!$QN$149</f>
        <v/>
      </c>
      <c r="AM1094" s="125" t="n"/>
      <c r="AN1094" s="129" t="n"/>
      <c r="AO1094" s="134" t="n"/>
      <c r="AP1094" s="16" t="n"/>
      <c r="AQ1094" s="17" t="n"/>
      <c r="AR1094" s="133">
        <f>DADOS_INVOC!$QN$150</f>
        <v/>
      </c>
      <c r="AS1094" s="125" t="n"/>
    </row>
    <row r="1095" hidden="1" outlineLevel="3">
      <c r="A1095" s="8" t="n"/>
      <c r="B1095" s="14" t="n"/>
      <c r="C1095" s="125" t="n"/>
      <c r="D1095" s="125" t="n"/>
      <c r="E1095" s="125" t="n"/>
      <c r="F1095" s="125" t="n"/>
      <c r="G1095" s="125" t="n"/>
      <c r="I1095" s="55" t="inlineStr">
        <is>
          <t>RESTRIÇÕES</t>
        </is>
      </c>
      <c r="J1095" s="134" t="n"/>
      <c r="K1095" s="16" t="n"/>
      <c r="L1095" s="17" t="n"/>
      <c r="M1095" s="133">
        <f>DADOS_INVOC!$QO$70</f>
        <v/>
      </c>
      <c r="N1095" s="125" t="n"/>
      <c r="O1095" s="55" t="inlineStr">
        <is>
          <t>RESTRIÇÕES</t>
        </is>
      </c>
      <c r="P1095" s="134" t="n"/>
      <c r="Q1095" s="16" t="n"/>
      <c r="R1095" s="17" t="n"/>
      <c r="S1095" s="133">
        <f>DADOS_INVOC!$QO$71</f>
        <v/>
      </c>
      <c r="T1095" s="125" t="n"/>
      <c r="U1095" s="55" t="inlineStr">
        <is>
          <t>RESTRIÇÕES</t>
        </is>
      </c>
      <c r="V1095" s="134" t="n"/>
      <c r="W1095" s="16" t="n"/>
      <c r="X1095" s="17" t="n"/>
      <c r="Y1095" s="133">
        <f>DADOS_INVOC!$QO$72</f>
        <v/>
      </c>
      <c r="Z1095" s="125" t="n"/>
      <c r="AB1095" s="55" t="inlineStr">
        <is>
          <t>RESTRIÇÕES</t>
        </is>
      </c>
      <c r="AC1095" s="134" t="n"/>
      <c r="AD1095" s="16" t="n"/>
      <c r="AE1095" s="17" t="n"/>
      <c r="AF1095" s="133">
        <f>DADOS_INVOC!$QO$148</f>
        <v/>
      </c>
      <c r="AG1095" s="125" t="n"/>
      <c r="AH1095" s="55" t="inlineStr">
        <is>
          <t>RESTRIÇÕES</t>
        </is>
      </c>
      <c r="AI1095" s="134" t="n"/>
      <c r="AJ1095" s="16" t="n"/>
      <c r="AK1095" s="17" t="n"/>
      <c r="AL1095" s="133">
        <f>DADOS_INVOC!$QO$149</f>
        <v/>
      </c>
      <c r="AM1095" s="125" t="n"/>
      <c r="AN1095" s="55" t="inlineStr">
        <is>
          <t>RESTRIÇÕES</t>
        </is>
      </c>
      <c r="AO1095" s="134" t="n"/>
      <c r="AP1095" s="16" t="n"/>
      <c r="AQ1095" s="17" t="n"/>
      <c r="AR1095" s="133">
        <f>DADOS_INVOC!$QO$150</f>
        <v/>
      </c>
      <c r="AS1095" s="125" t="n"/>
    </row>
    <row r="1096" hidden="1" outlineLevel="3">
      <c r="A1096" s="8" t="n"/>
      <c r="B1096" s="14" t="n"/>
      <c r="C1096" s="125" t="n"/>
      <c r="D1096" s="125" t="n"/>
      <c r="E1096" s="125" t="n"/>
      <c r="F1096" s="125" t="n"/>
      <c r="G1096" s="125" t="n"/>
      <c r="I1096" s="129" t="n"/>
      <c r="J1096" s="134" t="n"/>
      <c r="K1096" s="16" t="n"/>
      <c r="L1096" s="17" t="n"/>
      <c r="M1096" s="133">
        <f>DADOS_INVOC!$QP$70</f>
        <v/>
      </c>
      <c r="N1096" s="125" t="n"/>
      <c r="O1096" s="129" t="n"/>
      <c r="P1096" s="134" t="n"/>
      <c r="Q1096" s="16" t="n"/>
      <c r="R1096" s="17" t="n"/>
      <c r="S1096" s="133">
        <f>DADOS_INVOC!$QP$71</f>
        <v/>
      </c>
      <c r="T1096" s="125" t="n"/>
      <c r="U1096" s="129" t="n"/>
      <c r="V1096" s="134" t="n"/>
      <c r="W1096" s="16" t="n"/>
      <c r="X1096" s="17" t="n"/>
      <c r="Y1096" s="133">
        <f>DADOS_INVOC!$QP$72</f>
        <v/>
      </c>
      <c r="Z1096" s="125" t="n"/>
      <c r="AB1096" s="129" t="n"/>
      <c r="AC1096" s="134" t="n"/>
      <c r="AD1096" s="16" t="n"/>
      <c r="AE1096" s="17" t="n"/>
      <c r="AF1096" s="133">
        <f>DADOS_INVOC!$QP$148</f>
        <v/>
      </c>
      <c r="AG1096" s="125" t="n"/>
      <c r="AH1096" s="129" t="n"/>
      <c r="AI1096" s="134" t="n"/>
      <c r="AJ1096" s="16" t="n"/>
      <c r="AK1096" s="17" t="n"/>
      <c r="AL1096" s="133">
        <f>DADOS_INVOC!$QP$149</f>
        <v/>
      </c>
      <c r="AM1096" s="125" t="n"/>
      <c r="AN1096" s="129" t="n"/>
      <c r="AO1096" s="134" t="n"/>
      <c r="AP1096" s="16" t="n"/>
      <c r="AQ1096" s="17" t="n"/>
      <c r="AR1096" s="133">
        <f>DADOS_INVOC!$QP$150</f>
        <v/>
      </c>
      <c r="AS1096" s="125" t="n"/>
    </row>
    <row r="1097" hidden="1" outlineLevel="3">
      <c r="A1097" s="8" t="n"/>
      <c r="B1097" s="14" t="n"/>
      <c r="C1097" s="125" t="n"/>
      <c r="D1097" s="125" t="n"/>
      <c r="E1097" s="125" t="n"/>
      <c r="F1097" s="125" t="n"/>
      <c r="G1097" s="125" t="n"/>
      <c r="I1097" s="55" t="inlineStr">
        <is>
          <t>CONTA</t>
        </is>
      </c>
      <c r="J1097" s="136">
        <f>DADOS_INVOC!$QI$70</f>
        <v/>
      </c>
      <c r="K1097" s="16" t="n"/>
      <c r="L1097" s="16" t="n"/>
      <c r="M1097" s="17" t="n"/>
      <c r="N1097" s="125" t="n"/>
      <c r="O1097" s="55" t="inlineStr">
        <is>
          <t>CONTA</t>
        </is>
      </c>
      <c r="P1097" s="136">
        <f>DADOS_INVOC!$QI$71</f>
        <v/>
      </c>
      <c r="Q1097" s="16" t="n"/>
      <c r="R1097" s="16" t="n"/>
      <c r="S1097" s="17" t="n"/>
      <c r="T1097" s="125" t="n"/>
      <c r="U1097" s="55" t="inlineStr">
        <is>
          <t>CONTA</t>
        </is>
      </c>
      <c r="V1097" s="136">
        <f>DADOS_INVOC!$QI$72</f>
        <v/>
      </c>
      <c r="W1097" s="16" t="n"/>
      <c r="X1097" s="16" t="n"/>
      <c r="Y1097" s="17" t="n"/>
      <c r="Z1097" s="125" t="n"/>
      <c r="AB1097" s="55" t="inlineStr">
        <is>
          <t>CONTA</t>
        </is>
      </c>
      <c r="AC1097" s="136">
        <f>DADOS_INVOC!$QI$148</f>
        <v/>
      </c>
      <c r="AD1097" s="16" t="n"/>
      <c r="AE1097" s="16" t="n"/>
      <c r="AF1097" s="17" t="n"/>
      <c r="AG1097" s="125" t="n"/>
      <c r="AH1097" s="55" t="inlineStr">
        <is>
          <t>CONTA</t>
        </is>
      </c>
      <c r="AI1097" s="136">
        <f>DADOS_INVOC!$QI$149</f>
        <v/>
      </c>
      <c r="AJ1097" s="16" t="n"/>
      <c r="AK1097" s="16" t="n"/>
      <c r="AL1097" s="17" t="n"/>
      <c r="AM1097" s="125" t="n"/>
      <c r="AN1097" s="55" t="inlineStr">
        <is>
          <t>CONTA</t>
        </is>
      </c>
      <c r="AO1097" s="136">
        <f>DADOS_INVOC!$QI$150</f>
        <v/>
      </c>
      <c r="AP1097" s="16" t="n"/>
      <c r="AQ1097" s="16" t="n"/>
      <c r="AR1097" s="17" t="n"/>
      <c r="AS1097" s="125" t="n"/>
    </row>
    <row r="1098" hidden="1" outlineLevel="3">
      <c r="A1098" s="8" t="n"/>
      <c r="B1098" s="14" t="n"/>
      <c r="C1098" s="125" t="n"/>
      <c r="D1098" s="125" t="n"/>
      <c r="E1098" s="125" t="n"/>
      <c r="F1098" s="125" t="n"/>
      <c r="G1098" s="125" t="n"/>
      <c r="I1098" s="55" t="inlineStr">
        <is>
          <t>AMPLIAR</t>
        </is>
      </c>
      <c r="J1098" s="136">
        <f>DADOS_INVOC!$QJ$70</f>
        <v/>
      </c>
      <c r="K1098" s="19" t="n"/>
      <c r="L1098" s="19" t="n"/>
      <c r="M1098" s="20" t="n"/>
      <c r="N1098" s="125" t="n"/>
      <c r="O1098" s="55" t="inlineStr">
        <is>
          <t>AMPLIAR</t>
        </is>
      </c>
      <c r="P1098" s="136">
        <f>DADOS_INVOC!$QJ$71</f>
        <v/>
      </c>
      <c r="Q1098" s="19" t="n"/>
      <c r="R1098" s="19" t="n"/>
      <c r="S1098" s="20" t="n"/>
      <c r="T1098" s="125" t="n"/>
      <c r="U1098" s="55" t="inlineStr">
        <is>
          <t>AMPLIAR</t>
        </is>
      </c>
      <c r="V1098" s="136">
        <f>DADOS_INVOC!$QJ$72</f>
        <v/>
      </c>
      <c r="W1098" s="19" t="n"/>
      <c r="X1098" s="19" t="n"/>
      <c r="Y1098" s="20" t="n"/>
      <c r="Z1098" s="125" t="n"/>
      <c r="AB1098" s="55" t="inlineStr">
        <is>
          <t>AMPLIAR</t>
        </is>
      </c>
      <c r="AC1098" s="136">
        <f>DADOS_INVOC!$QJ$148</f>
        <v/>
      </c>
      <c r="AD1098" s="19" t="n"/>
      <c r="AE1098" s="19" t="n"/>
      <c r="AF1098" s="20" t="n"/>
      <c r="AG1098" s="125" t="n"/>
      <c r="AH1098" s="55" t="inlineStr">
        <is>
          <t>AMPLIAR</t>
        </is>
      </c>
      <c r="AI1098" s="136">
        <f>DADOS_INVOC!$QJ$149</f>
        <v/>
      </c>
      <c r="AJ1098" s="19" t="n"/>
      <c r="AK1098" s="19" t="n"/>
      <c r="AL1098" s="20" t="n"/>
      <c r="AM1098" s="125" t="n"/>
      <c r="AN1098" s="55" t="inlineStr">
        <is>
          <t>AMPLIAR</t>
        </is>
      </c>
      <c r="AO1098" s="136">
        <f>DADOS_INVOC!$QJ$150</f>
        <v/>
      </c>
      <c r="AP1098" s="19" t="n"/>
      <c r="AQ1098" s="19" t="n"/>
      <c r="AR1098" s="20" t="n"/>
      <c r="AS1098" s="125" t="n"/>
    </row>
    <row r="1099" hidden="1" outlineLevel="3">
      <c r="A1099" s="8" t="n"/>
      <c r="B1099" s="14" t="n"/>
      <c r="C1099" s="125" t="n"/>
      <c r="D1099" s="125" t="n"/>
      <c r="E1099" s="125" t="n"/>
      <c r="F1099" s="125" t="n"/>
      <c r="G1099" s="125" t="n"/>
      <c r="I1099" s="129" t="n"/>
      <c r="J1099" s="23" t="n"/>
      <c r="K1099" s="24" t="n"/>
      <c r="L1099" s="24" t="n"/>
      <c r="M1099" s="25" t="n"/>
      <c r="N1099" s="125" t="n"/>
      <c r="O1099" s="129" t="n"/>
      <c r="P1099" s="23" t="n"/>
      <c r="Q1099" s="24" t="n"/>
      <c r="R1099" s="24" t="n"/>
      <c r="S1099" s="25" t="n"/>
      <c r="T1099" s="125" t="n"/>
      <c r="U1099" s="129" t="n"/>
      <c r="V1099" s="23" t="n"/>
      <c r="W1099" s="24" t="n"/>
      <c r="X1099" s="24" t="n"/>
      <c r="Y1099" s="25" t="n"/>
      <c r="Z1099" s="125" t="n"/>
      <c r="AB1099" s="129" t="n"/>
      <c r="AC1099" s="23" t="n"/>
      <c r="AD1099" s="24" t="n"/>
      <c r="AE1099" s="24" t="n"/>
      <c r="AF1099" s="25" t="n"/>
      <c r="AG1099" s="125" t="n"/>
      <c r="AH1099" s="129" t="n"/>
      <c r="AI1099" s="23" t="n"/>
      <c r="AJ1099" s="24" t="n"/>
      <c r="AK1099" s="24" t="n"/>
      <c r="AL1099" s="25" t="n"/>
      <c r="AM1099" s="125" t="n"/>
      <c r="AN1099" s="129" t="n"/>
      <c r="AO1099" s="23" t="n"/>
      <c r="AP1099" s="24" t="n"/>
      <c r="AQ1099" s="24" t="n"/>
      <c r="AR1099" s="25" t="n"/>
      <c r="AS1099" s="125" t="n"/>
    </row>
    <row r="1100" hidden="1" outlineLevel="3">
      <c r="A1100" s="8" t="n"/>
      <c r="B1100" s="14" t="n"/>
      <c r="C1100" s="125" t="n"/>
      <c r="D1100" s="125" t="n"/>
      <c r="E1100" s="125" t="n"/>
      <c r="F1100" s="125" t="n"/>
      <c r="G1100" s="125" t="n"/>
      <c r="I1100" s="136">
        <f>DADOS_INVOC!$PW$70</f>
        <v/>
      </c>
      <c r="J1100" s="19" t="n"/>
      <c r="K1100" s="19" t="n"/>
      <c r="L1100" s="19" t="n"/>
      <c r="M1100" s="20" t="n"/>
      <c r="N1100" s="125" t="n"/>
      <c r="O1100" s="136">
        <f>DADOS_INVOC!$PW$71</f>
        <v/>
      </c>
      <c r="P1100" s="19" t="n"/>
      <c r="Q1100" s="19" t="n"/>
      <c r="R1100" s="19" t="n"/>
      <c r="S1100" s="20" t="n"/>
      <c r="T1100" s="125" t="n"/>
      <c r="U1100" s="136">
        <f>DADOS_INVOC!$PW$72</f>
        <v/>
      </c>
      <c r="V1100" s="19" t="n"/>
      <c r="W1100" s="19" t="n"/>
      <c r="X1100" s="19" t="n"/>
      <c r="Y1100" s="20" t="n"/>
      <c r="Z1100" s="125" t="n"/>
      <c r="AB1100" s="136">
        <f>DADOS_INVOC!$PW$148</f>
        <v/>
      </c>
      <c r="AC1100" s="19" t="n"/>
      <c r="AD1100" s="19" t="n"/>
      <c r="AE1100" s="19" t="n"/>
      <c r="AF1100" s="20" t="n"/>
      <c r="AG1100" s="125" t="n"/>
      <c r="AH1100" s="136">
        <f>DADOS_INVOC!$PW$149</f>
        <v/>
      </c>
      <c r="AI1100" s="19" t="n"/>
      <c r="AJ1100" s="19" t="n"/>
      <c r="AK1100" s="19" t="n"/>
      <c r="AL1100" s="20" t="n"/>
      <c r="AM1100" s="125" t="n"/>
      <c r="AN1100" s="136">
        <f>DADOS_INVOC!$PW$150</f>
        <v/>
      </c>
      <c r="AO1100" s="19" t="n"/>
      <c r="AP1100" s="19" t="n"/>
      <c r="AQ1100" s="19" t="n"/>
      <c r="AR1100" s="20" t="n"/>
      <c r="AS1100" s="125" t="n"/>
    </row>
    <row r="1101" hidden="1" outlineLevel="3">
      <c r="A1101" s="8" t="n"/>
      <c r="B1101" s="14" t="n"/>
      <c r="C1101" s="125" t="n"/>
      <c r="D1101" s="125" t="n"/>
      <c r="E1101" s="125" t="n"/>
      <c r="F1101" s="125" t="n"/>
      <c r="G1101" s="125" t="n"/>
      <c r="I1101" s="23" t="n"/>
      <c r="J1101" s="24" t="n"/>
      <c r="K1101" s="24" t="n"/>
      <c r="L1101" s="24" t="n"/>
      <c r="M1101" s="25" t="n"/>
      <c r="N1101" s="125" t="n"/>
      <c r="O1101" s="23" t="n"/>
      <c r="P1101" s="24" t="n"/>
      <c r="Q1101" s="24" t="n"/>
      <c r="R1101" s="24" t="n"/>
      <c r="S1101" s="25" t="n"/>
      <c r="T1101" s="125" t="n"/>
      <c r="U1101" s="23" t="n"/>
      <c r="V1101" s="24" t="n"/>
      <c r="W1101" s="24" t="n"/>
      <c r="X1101" s="24" t="n"/>
      <c r="Y1101" s="25" t="n"/>
      <c r="Z1101" s="125" t="n"/>
      <c r="AB1101" s="23" t="n"/>
      <c r="AC1101" s="24" t="n"/>
      <c r="AD1101" s="24" t="n"/>
      <c r="AE1101" s="24" t="n"/>
      <c r="AF1101" s="25" t="n"/>
      <c r="AG1101" s="125" t="n"/>
      <c r="AH1101" s="23" t="n"/>
      <c r="AI1101" s="24" t="n"/>
      <c r="AJ1101" s="24" t="n"/>
      <c r="AK1101" s="24" t="n"/>
      <c r="AL1101" s="25" t="n"/>
      <c r="AM1101" s="125" t="n"/>
      <c r="AN1101" s="23" t="n"/>
      <c r="AO1101" s="24" t="n"/>
      <c r="AP1101" s="24" t="n"/>
      <c r="AQ1101" s="24" t="n"/>
      <c r="AR1101" s="25" t="n"/>
      <c r="AS1101" s="125" t="n"/>
    </row>
    <row r="1102" hidden="1" outlineLevel="2">
      <c r="A1102" s="8" t="n"/>
      <c r="B1102" s="14" t="n"/>
      <c r="C1102" s="125" t="n"/>
      <c r="D1102" s="125" t="n"/>
      <c r="E1102" s="125" t="n"/>
      <c r="F1102" s="125" t="n"/>
      <c r="G1102" s="125" t="n"/>
      <c r="I1102" s="125" t="n"/>
      <c r="J1102" s="125" t="n"/>
      <c r="K1102" s="125" t="n"/>
      <c r="L1102" s="125" t="n"/>
      <c r="M1102" s="125" t="n"/>
      <c r="N1102" s="125" t="n"/>
      <c r="O1102" s="125" t="n"/>
      <c r="P1102" s="125" t="n"/>
      <c r="Q1102" s="125" t="n"/>
      <c r="R1102" s="125" t="n"/>
      <c r="S1102" s="125" t="n"/>
      <c r="T1102" s="125" t="n"/>
      <c r="U1102" s="125" t="n"/>
      <c r="V1102" s="125" t="n"/>
      <c r="W1102" s="125" t="n"/>
      <c r="X1102" s="125" t="n"/>
      <c r="Y1102" s="125" t="n"/>
      <c r="Z1102" s="125" t="n"/>
      <c r="AB1102" s="125" t="n"/>
      <c r="AC1102" s="125" t="n"/>
      <c r="AD1102" s="125" t="n"/>
      <c r="AE1102" s="125" t="n"/>
      <c r="AF1102" s="125" t="n"/>
      <c r="AG1102" s="125" t="n"/>
      <c r="AH1102" s="125" t="n"/>
      <c r="AI1102" s="125" t="n"/>
      <c r="AJ1102" s="125" t="n"/>
      <c r="AK1102" s="125" t="n"/>
      <c r="AL1102" s="125" t="n"/>
      <c r="AM1102" s="125" t="n"/>
      <c r="AN1102" s="125" t="n"/>
      <c r="AO1102" s="125" t="n"/>
      <c r="AP1102" s="125" t="n"/>
      <c r="AQ1102" s="125" t="n"/>
      <c r="AR1102" s="125" t="n"/>
      <c r="AS1102" s="125" t="n"/>
    </row>
    <row r="1103" hidden="1" outlineLevel="2">
      <c r="A1103" s="8" t="n"/>
      <c r="B1103" s="14" t="n"/>
      <c r="C1103" s="125" t="n"/>
      <c r="D1103" s="125" t="n"/>
      <c r="E1103" s="125" t="n"/>
      <c r="F1103" s="125" t="n"/>
      <c r="G1103" s="125" t="n"/>
      <c r="I1103" s="55">
        <f>DADOS_INVOC!$PX$73</f>
        <v/>
      </c>
      <c r="J1103" s="16" t="n"/>
      <c r="K1103" s="16" t="n"/>
      <c r="L1103" s="16" t="n"/>
      <c r="M1103" s="17" t="n"/>
      <c r="N1103" s="125" t="n"/>
      <c r="O1103" s="55">
        <f>DADOS_INVOC!$PX$74</f>
        <v/>
      </c>
      <c r="P1103" s="16" t="n"/>
      <c r="Q1103" s="16" t="n"/>
      <c r="R1103" s="16" t="n"/>
      <c r="S1103" s="17" t="n"/>
      <c r="T1103" s="125" t="n"/>
      <c r="U1103" s="55">
        <f>DADOS_INVOC!$PX$75</f>
        <v/>
      </c>
      <c r="V1103" s="16" t="n"/>
      <c r="W1103" s="16" t="n"/>
      <c r="X1103" s="16" t="n"/>
      <c r="Y1103" s="17" t="n"/>
      <c r="Z1103" s="125" t="n"/>
      <c r="AB1103" s="55">
        <f>DADOS_INVOC!$PX$151</f>
        <v/>
      </c>
      <c r="AC1103" s="16" t="n"/>
      <c r="AD1103" s="16" t="n"/>
      <c r="AE1103" s="16" t="n"/>
      <c r="AF1103" s="17" t="n"/>
      <c r="AG1103" s="125" t="n"/>
      <c r="AH1103" s="55">
        <f>DADOS_INVOC!$PX$152</f>
        <v/>
      </c>
      <c r="AI1103" s="16" t="n"/>
      <c r="AJ1103" s="16" t="n"/>
      <c r="AK1103" s="16" t="n"/>
      <c r="AL1103" s="17" t="n"/>
      <c r="AM1103" s="125" t="n"/>
      <c r="AN1103" s="55">
        <f>DADOS_INVOC!$PX$153</f>
        <v/>
      </c>
      <c r="AO1103" s="16" t="n"/>
      <c r="AP1103" s="16" t="n"/>
      <c r="AQ1103" s="16" t="n"/>
      <c r="AR1103" s="17" t="n"/>
      <c r="AS1103" s="125" t="n"/>
    </row>
    <row r="1104" hidden="1" outlineLevel="2">
      <c r="A1104" s="8" t="n"/>
      <c r="B1104" s="14" t="n"/>
      <c r="C1104" s="125" t="n"/>
      <c r="D1104" s="125" t="n"/>
      <c r="E1104" s="125" t="n"/>
      <c r="F1104" s="125" t="n"/>
      <c r="G1104" s="125" t="n"/>
      <c r="I1104" s="131" t="n">
        <v>1</v>
      </c>
      <c r="J1104" s="120" t="n"/>
      <c r="K1104" s="16" t="n"/>
      <c r="L1104" s="17" t="n"/>
      <c r="M1104" s="132">
        <f>DADOS_INVOC!$PV$73</f>
        <v/>
      </c>
      <c r="N1104" s="125" t="n"/>
      <c r="O1104" s="131" t="n">
        <v>1</v>
      </c>
      <c r="P1104" s="120" t="n"/>
      <c r="Q1104" s="16" t="n"/>
      <c r="R1104" s="17" t="n"/>
      <c r="S1104" s="132">
        <f>DADOS_INVOC!$PV$74</f>
        <v/>
      </c>
      <c r="T1104" s="125" t="n"/>
      <c r="U1104" s="131" t="n">
        <v>1</v>
      </c>
      <c r="V1104" s="120" t="n"/>
      <c r="W1104" s="16" t="n"/>
      <c r="X1104" s="17" t="n"/>
      <c r="Y1104" s="132">
        <f>DADOS_INVOC!$PV$75</f>
        <v/>
      </c>
      <c r="Z1104" s="125" t="n"/>
      <c r="AB1104" s="131" t="n">
        <v>1</v>
      </c>
      <c r="AC1104" s="120" t="n"/>
      <c r="AD1104" s="16" t="n"/>
      <c r="AE1104" s="17" t="n"/>
      <c r="AF1104" s="132">
        <f>DADOS_INVOC!$PV$151</f>
        <v/>
      </c>
      <c r="AG1104" s="125" t="n"/>
      <c r="AH1104" s="131" t="n">
        <v>1</v>
      </c>
      <c r="AI1104" s="120" t="n"/>
      <c r="AJ1104" s="16" t="n"/>
      <c r="AK1104" s="17" t="n"/>
      <c r="AL1104" s="132">
        <f>DADOS_INVOC!$PV$152</f>
        <v/>
      </c>
      <c r="AM1104" s="125" t="n"/>
      <c r="AN1104" s="131" t="n">
        <v>1</v>
      </c>
      <c r="AO1104" s="120" t="n"/>
      <c r="AP1104" s="16" t="n"/>
      <c r="AQ1104" s="17" t="n"/>
      <c r="AR1104" s="132">
        <f>DADOS_INVOC!$PV$153</f>
        <v/>
      </c>
      <c r="AS1104" s="125" t="n"/>
    </row>
    <row r="1105" hidden="1" outlineLevel="3">
      <c r="A1105" s="8" t="n"/>
      <c r="B1105" s="14" t="n"/>
      <c r="C1105" s="125" t="n"/>
      <c r="D1105" s="125" t="n"/>
      <c r="E1105" s="125" t="n"/>
      <c r="F1105" s="125" t="n"/>
      <c r="G1105" s="125" t="n"/>
      <c r="I1105" s="55" t="inlineStr">
        <is>
          <t>COMO É</t>
        </is>
      </c>
      <c r="J1105" s="16" t="n"/>
      <c r="K1105" s="16" t="n"/>
      <c r="L1105" s="16" t="n"/>
      <c r="M1105" s="17" t="n"/>
      <c r="N1105" s="125" t="n"/>
      <c r="O1105" s="55" t="inlineStr">
        <is>
          <t>COMO É</t>
        </is>
      </c>
      <c r="P1105" s="16" t="n"/>
      <c r="Q1105" s="16" t="n"/>
      <c r="R1105" s="16" t="n"/>
      <c r="S1105" s="17" t="n"/>
      <c r="T1105" s="125" t="n"/>
      <c r="U1105" s="55" t="inlineStr">
        <is>
          <t>COMO É</t>
        </is>
      </c>
      <c r="V1105" s="16" t="n"/>
      <c r="W1105" s="16" t="n"/>
      <c r="X1105" s="16" t="n"/>
      <c r="Y1105" s="17" t="n"/>
      <c r="Z1105" s="125" t="n"/>
      <c r="AB1105" s="55" t="inlineStr">
        <is>
          <t>COMO É</t>
        </is>
      </c>
      <c r="AC1105" s="16" t="n"/>
      <c r="AD1105" s="16" t="n"/>
      <c r="AE1105" s="16" t="n"/>
      <c r="AF1105" s="17" t="n"/>
      <c r="AG1105" s="125" t="n"/>
      <c r="AH1105" s="55" t="inlineStr">
        <is>
          <t>COMO É</t>
        </is>
      </c>
      <c r="AI1105" s="16" t="n"/>
      <c r="AJ1105" s="16" t="n"/>
      <c r="AK1105" s="16" t="n"/>
      <c r="AL1105" s="17" t="n"/>
      <c r="AM1105" s="125" t="n"/>
      <c r="AN1105" s="55" t="inlineStr">
        <is>
          <t>COMO É</t>
        </is>
      </c>
      <c r="AO1105" s="16" t="n"/>
      <c r="AP1105" s="16" t="n"/>
      <c r="AQ1105" s="16" t="n"/>
      <c r="AR1105" s="17" t="n"/>
      <c r="AS1105" s="125" t="n"/>
    </row>
    <row r="1106" hidden="1" outlineLevel="3">
      <c r="A1106" s="8" t="n"/>
      <c r="B1106" s="14" t="n"/>
      <c r="C1106" s="125" t="n"/>
      <c r="D1106" s="125" t="n"/>
      <c r="E1106" s="125" t="n"/>
      <c r="F1106" s="125" t="n"/>
      <c r="G1106" s="125" t="n"/>
      <c r="I1106" s="121" t="n"/>
      <c r="J1106" s="19" t="n"/>
      <c r="K1106" s="19" t="n"/>
      <c r="L1106" s="19" t="n"/>
      <c r="M1106" s="20" t="n"/>
      <c r="N1106" s="125" t="n"/>
      <c r="O1106" s="121" t="n"/>
      <c r="P1106" s="19" t="n"/>
      <c r="Q1106" s="19" t="n"/>
      <c r="R1106" s="19" t="n"/>
      <c r="S1106" s="20" t="n"/>
      <c r="T1106" s="125" t="n"/>
      <c r="U1106" s="121" t="n"/>
      <c r="V1106" s="19" t="n"/>
      <c r="W1106" s="19" t="n"/>
      <c r="X1106" s="19" t="n"/>
      <c r="Y1106" s="20" t="n"/>
      <c r="Z1106" s="125" t="n"/>
      <c r="AB1106" s="121" t="n"/>
      <c r="AC1106" s="19" t="n"/>
      <c r="AD1106" s="19" t="n"/>
      <c r="AE1106" s="19" t="n"/>
      <c r="AF1106" s="20" t="n"/>
      <c r="AG1106" s="125" t="n"/>
      <c r="AH1106" s="121" t="n"/>
      <c r="AI1106" s="19" t="n"/>
      <c r="AJ1106" s="19" t="n"/>
      <c r="AK1106" s="19" t="n"/>
      <c r="AL1106" s="20" t="n"/>
      <c r="AM1106" s="125" t="n"/>
      <c r="AN1106" s="121" t="n"/>
      <c r="AO1106" s="19" t="n"/>
      <c r="AP1106" s="19" t="n"/>
      <c r="AQ1106" s="19" t="n"/>
      <c r="AR1106" s="20" t="n"/>
      <c r="AS1106" s="125" t="n"/>
    </row>
    <row r="1107" hidden="1" outlineLevel="3">
      <c r="A1107" s="8" t="n"/>
      <c r="B1107" s="14" t="n"/>
      <c r="C1107" s="125" t="n"/>
      <c r="D1107" s="125" t="n"/>
      <c r="E1107" s="125" t="n"/>
      <c r="F1107" s="125" t="n"/>
      <c r="G1107" s="125" t="n"/>
      <c r="I1107" s="21" t="n"/>
      <c r="M1107" s="22" t="n"/>
      <c r="N1107" s="125" t="n"/>
      <c r="O1107" s="21" t="n"/>
      <c r="S1107" s="22" t="n"/>
      <c r="T1107" s="125" t="n"/>
      <c r="U1107" s="21" t="n"/>
      <c r="Y1107" s="22" t="n"/>
      <c r="Z1107" s="125" t="n"/>
      <c r="AB1107" s="21" t="n"/>
      <c r="AF1107" s="22" t="n"/>
      <c r="AG1107" s="125" t="n"/>
      <c r="AH1107" s="21" t="n"/>
      <c r="AL1107" s="22" t="n"/>
      <c r="AM1107" s="125" t="n"/>
      <c r="AN1107" s="21" t="n"/>
      <c r="AR1107" s="22" t="n"/>
      <c r="AS1107" s="125" t="n"/>
    </row>
    <row r="1108" hidden="1" outlineLevel="3">
      <c r="A1108" s="8" t="n"/>
      <c r="B1108" s="14" t="n"/>
      <c r="C1108" s="125" t="n"/>
      <c r="D1108" s="125" t="n"/>
      <c r="E1108" s="125" t="n"/>
      <c r="F1108" s="125" t="n"/>
      <c r="G1108" s="125" t="n"/>
      <c r="I1108" s="23" t="n"/>
      <c r="J1108" s="24" t="n"/>
      <c r="K1108" s="24" t="n"/>
      <c r="L1108" s="24" t="n"/>
      <c r="M1108" s="25" t="n"/>
      <c r="N1108" s="125" t="n"/>
      <c r="O1108" s="23" t="n"/>
      <c r="P1108" s="24" t="n"/>
      <c r="Q1108" s="24" t="n"/>
      <c r="R1108" s="24" t="n"/>
      <c r="S1108" s="25" t="n"/>
      <c r="T1108" s="125" t="n"/>
      <c r="U1108" s="23" t="n"/>
      <c r="V1108" s="24" t="n"/>
      <c r="W1108" s="24" t="n"/>
      <c r="X1108" s="24" t="n"/>
      <c r="Y1108" s="25" t="n"/>
      <c r="Z1108" s="125" t="n"/>
      <c r="AB1108" s="23" t="n"/>
      <c r="AC1108" s="24" t="n"/>
      <c r="AD1108" s="24" t="n"/>
      <c r="AE1108" s="24" t="n"/>
      <c r="AF1108" s="25" t="n"/>
      <c r="AG1108" s="125" t="n"/>
      <c r="AH1108" s="23" t="n"/>
      <c r="AI1108" s="24" t="n"/>
      <c r="AJ1108" s="24" t="n"/>
      <c r="AK1108" s="24" t="n"/>
      <c r="AL1108" s="25" t="n"/>
      <c r="AM1108" s="125" t="n"/>
      <c r="AN1108" s="23" t="n"/>
      <c r="AO1108" s="24" t="n"/>
      <c r="AP1108" s="24" t="n"/>
      <c r="AQ1108" s="24" t="n"/>
      <c r="AR1108" s="25" t="n"/>
      <c r="AS1108" s="125" t="n"/>
    </row>
    <row r="1109" hidden="1" outlineLevel="2">
      <c r="A1109" s="8" t="n"/>
      <c r="B1109" s="14" t="n"/>
      <c r="C1109" s="125" t="n"/>
      <c r="D1109" s="125" t="n"/>
      <c r="E1109" s="125" t="n"/>
      <c r="F1109" s="125" t="n"/>
      <c r="G1109" s="125" t="n"/>
      <c r="I1109" s="89" t="inlineStr">
        <is>
          <t>Projétil</t>
        </is>
      </c>
      <c r="J1109" s="17" t="n"/>
      <c r="K1109" s="68">
        <f>DADOS_INVOC!$QC$73</f>
        <v/>
      </c>
      <c r="L1109" s="17" t="n"/>
      <c r="M1109" s="68">
        <f>DADOS_INVOC!$PY$73</f>
        <v/>
      </c>
      <c r="N1109" s="125" t="n"/>
      <c r="O1109" s="89" t="inlineStr">
        <is>
          <t>Projétil</t>
        </is>
      </c>
      <c r="P1109" s="17" t="n"/>
      <c r="Q1109" s="68">
        <f>DADOS_INVOC!$QC$74</f>
        <v/>
      </c>
      <c r="R1109" s="17" t="n"/>
      <c r="S1109" s="68">
        <f>DADOS_INVOC!$PY$74</f>
        <v/>
      </c>
      <c r="T1109" s="125" t="n"/>
      <c r="U1109" s="89" t="inlineStr">
        <is>
          <t>Projétil</t>
        </is>
      </c>
      <c r="V1109" s="17" t="n"/>
      <c r="W1109" s="68">
        <f>DADOS_INVOC!$QC$75</f>
        <v/>
      </c>
      <c r="X1109" s="17" t="n"/>
      <c r="Y1109" s="68">
        <f>DADOS_INVOC!$PY$75</f>
        <v/>
      </c>
      <c r="Z1109" s="125" t="n"/>
      <c r="AB1109" s="89" t="inlineStr">
        <is>
          <t>Projétil</t>
        </is>
      </c>
      <c r="AC1109" s="17" t="n"/>
      <c r="AD1109" s="68">
        <f>DADOS_INVOC!$QC$151</f>
        <v/>
      </c>
      <c r="AE1109" s="17" t="n"/>
      <c r="AF1109" s="68">
        <f>DADOS_INVOC!$PY$151</f>
        <v/>
      </c>
      <c r="AG1109" s="125" t="n"/>
      <c r="AH1109" s="89" t="inlineStr">
        <is>
          <t>Projétil</t>
        </is>
      </c>
      <c r="AI1109" s="17" t="n"/>
      <c r="AJ1109" s="68">
        <f>DADOS_INVOC!$QC$152</f>
        <v/>
      </c>
      <c r="AK1109" s="17" t="n"/>
      <c r="AL1109" s="68">
        <f>DADOS_INVOC!$PY$152</f>
        <v/>
      </c>
      <c r="AM1109" s="125" t="n"/>
      <c r="AN1109" s="89" t="inlineStr">
        <is>
          <t>Projétil</t>
        </is>
      </c>
      <c r="AO1109" s="17" t="n"/>
      <c r="AP1109" s="68">
        <f>DADOS_INVOC!$QC$153</f>
        <v/>
      </c>
      <c r="AQ1109" s="17" t="n"/>
      <c r="AR1109" s="68">
        <f>DADOS_INVOC!$PY$153</f>
        <v/>
      </c>
      <c r="AS1109" s="125" t="n"/>
    </row>
    <row r="1110" hidden="1" outlineLevel="2">
      <c r="A1110" s="8" t="n"/>
      <c r="B1110" s="14" t="n"/>
      <c r="C1110" s="125" t="n"/>
      <c r="D1110" s="125" t="n"/>
      <c r="E1110" s="125" t="n"/>
      <c r="F1110" s="125" t="n"/>
      <c r="G1110" s="125" t="n"/>
      <c r="I1110" s="89" t="n"/>
      <c r="J1110" s="17" t="n"/>
      <c r="K1110" s="89" t="n"/>
      <c r="L1110" s="16" t="n"/>
      <c r="M1110" s="17" t="n"/>
      <c r="N1110" s="125" t="n"/>
      <c r="O1110" s="89" t="n"/>
      <c r="P1110" s="17" t="n"/>
      <c r="Q1110" s="89" t="n"/>
      <c r="R1110" s="16" t="n"/>
      <c r="S1110" s="17" t="n"/>
      <c r="T1110" s="125" t="n"/>
      <c r="U1110" s="89" t="n"/>
      <c r="V1110" s="17" t="n"/>
      <c r="W1110" s="89" t="n"/>
      <c r="X1110" s="16" t="n"/>
      <c r="Y1110" s="17" t="n"/>
      <c r="Z1110" s="125" t="n"/>
      <c r="AB1110" s="89" t="n"/>
      <c r="AC1110" s="17" t="n"/>
      <c r="AD1110" s="89" t="n"/>
      <c r="AE1110" s="16" t="n"/>
      <c r="AF1110" s="17" t="n"/>
      <c r="AG1110" s="125" t="n"/>
      <c r="AH1110" s="89" t="n"/>
      <c r="AI1110" s="17" t="n"/>
      <c r="AJ1110" s="89" t="n"/>
      <c r="AK1110" s="16" t="n"/>
      <c r="AL1110" s="17" t="n"/>
      <c r="AM1110" s="125" t="n"/>
      <c r="AN1110" s="89" t="n"/>
      <c r="AO1110" s="17" t="n"/>
      <c r="AP1110" s="89" t="n"/>
      <c r="AQ1110" s="16" t="n"/>
      <c r="AR1110" s="17" t="n"/>
      <c r="AS1110" s="125" t="n"/>
    </row>
    <row r="1111" hidden="1" outlineLevel="2">
      <c r="A1111" s="8" t="n"/>
      <c r="B1111" s="14" t="n"/>
      <c r="C1111" s="125" t="n"/>
      <c r="D1111" s="125" t="n"/>
      <c r="E1111" s="125" t="n"/>
      <c r="F1111" s="125" t="n"/>
      <c r="G1111" s="125" t="n"/>
      <c r="I1111" s="89">
        <f>DADOS_INVOC!$PZ$73</f>
        <v/>
      </c>
      <c r="J1111" s="17" t="n"/>
      <c r="K1111" s="89">
        <f>DADOS_INVOC!$QB$73</f>
        <v/>
      </c>
      <c r="L1111" s="16" t="n"/>
      <c r="M1111" s="17" t="n"/>
      <c r="N1111" s="125" t="n"/>
      <c r="O1111" s="89">
        <f>DADOS_INVOC!$PZ$74</f>
        <v/>
      </c>
      <c r="P1111" s="17" t="n"/>
      <c r="Q1111" s="89">
        <f>DADOS_INVOC!$QB$74</f>
        <v/>
      </c>
      <c r="R1111" s="16" t="n"/>
      <c r="S1111" s="17" t="n"/>
      <c r="T1111" s="125" t="n"/>
      <c r="U1111" s="89">
        <f>DADOS_INVOC!$PZ$75</f>
        <v/>
      </c>
      <c r="V1111" s="17" t="n"/>
      <c r="W1111" s="89">
        <f>DADOS_INVOC!$QB$75</f>
        <v/>
      </c>
      <c r="X1111" s="16" t="n"/>
      <c r="Y1111" s="17" t="n"/>
      <c r="Z1111" s="125" t="n"/>
      <c r="AB1111" s="89">
        <f>DADOS_INVOC!$PZ$151</f>
        <v/>
      </c>
      <c r="AC1111" s="17" t="n"/>
      <c r="AD1111" s="89">
        <f>DADOS_INVOC!$QB$151</f>
        <v/>
      </c>
      <c r="AE1111" s="16" t="n"/>
      <c r="AF1111" s="17" t="n"/>
      <c r="AG1111" s="125" t="n"/>
      <c r="AH1111" s="89">
        <f>DADOS_INVOC!$PZ$152</f>
        <v/>
      </c>
      <c r="AI1111" s="17" t="n"/>
      <c r="AJ1111" s="89">
        <f>DADOS_INVOC!$QB$152</f>
        <v/>
      </c>
      <c r="AK1111" s="16" t="n"/>
      <c r="AL1111" s="17" t="n"/>
      <c r="AM1111" s="125" t="n"/>
      <c r="AN1111" s="89">
        <f>DADOS_INVOC!$PZ$153</f>
        <v/>
      </c>
      <c r="AO1111" s="17" t="n"/>
      <c r="AP1111" s="89">
        <f>DADOS_INVOC!$QB$153</f>
        <v/>
      </c>
      <c r="AQ1111" s="16" t="n"/>
      <c r="AR1111" s="17" t="n"/>
      <c r="AS1111" s="125" t="n"/>
    </row>
    <row r="1112" hidden="1" outlineLevel="2">
      <c r="A1112" s="8" t="n"/>
      <c r="B1112" s="14" t="n"/>
      <c r="C1112" s="125" t="n"/>
      <c r="D1112" s="125" t="n"/>
      <c r="E1112" s="125" t="n"/>
      <c r="F1112" s="125" t="n"/>
      <c r="G1112" s="125" t="n"/>
      <c r="I1112" s="133">
        <f>DADOS_INVOC!$QH$73</f>
        <v/>
      </c>
      <c r="J1112" s="16" t="n"/>
      <c r="K1112" s="16" t="n"/>
      <c r="L1112" s="16" t="n"/>
      <c r="M1112" s="17" t="n"/>
      <c r="N1112" s="125" t="n"/>
      <c r="O1112" s="133">
        <f>DADOS_INVOC!$QH$74</f>
        <v/>
      </c>
      <c r="P1112" s="16" t="n"/>
      <c r="Q1112" s="16" t="n"/>
      <c r="R1112" s="16" t="n"/>
      <c r="S1112" s="17" t="n"/>
      <c r="T1112" s="125" t="n"/>
      <c r="U1112" s="133">
        <f>DADOS_INVOC!$QH$75</f>
        <v/>
      </c>
      <c r="V1112" s="16" t="n"/>
      <c r="W1112" s="16" t="n"/>
      <c r="X1112" s="16" t="n"/>
      <c r="Y1112" s="17" t="n"/>
      <c r="Z1112" s="125" t="n"/>
      <c r="AB1112" s="133">
        <f>DADOS_INVOC!$QH$151</f>
        <v/>
      </c>
      <c r="AC1112" s="16" t="n"/>
      <c r="AD1112" s="16" t="n"/>
      <c r="AE1112" s="16" t="n"/>
      <c r="AF1112" s="17" t="n"/>
      <c r="AG1112" s="125" t="n"/>
      <c r="AH1112" s="133">
        <f>DADOS_INVOC!$QH$152</f>
        <v/>
      </c>
      <c r="AI1112" s="16" t="n"/>
      <c r="AJ1112" s="16" t="n"/>
      <c r="AK1112" s="16" t="n"/>
      <c r="AL1112" s="17" t="n"/>
      <c r="AM1112" s="125" t="n"/>
      <c r="AN1112" s="133">
        <f>DADOS_INVOC!$QH$153</f>
        <v/>
      </c>
      <c r="AO1112" s="16" t="n"/>
      <c r="AP1112" s="16" t="n"/>
      <c r="AQ1112" s="16" t="n"/>
      <c r="AR1112" s="17" t="n"/>
      <c r="AS1112" s="125" t="n"/>
    </row>
    <row r="1113" hidden="1" outlineLevel="3">
      <c r="A1113" s="8" t="n"/>
      <c r="B1113" s="14" t="n"/>
      <c r="C1113" s="125" t="n"/>
      <c r="D1113" s="125" t="n"/>
      <c r="E1113" s="125" t="n"/>
      <c r="F1113" s="125" t="n"/>
      <c r="G1113" s="125" t="n"/>
      <c r="I1113" s="55" t="inlineStr">
        <is>
          <t>MELHORIAS</t>
        </is>
      </c>
      <c r="J1113" s="134" t="n"/>
      <c r="K1113" s="16" t="n"/>
      <c r="L1113" s="17" t="n"/>
      <c r="M1113" s="133">
        <f>DADOS_INVOC!$QK$73</f>
        <v/>
      </c>
      <c r="N1113" s="125" t="n"/>
      <c r="O1113" s="55" t="inlineStr">
        <is>
          <t>MELHORIAS</t>
        </is>
      </c>
      <c r="P1113" s="134" t="n"/>
      <c r="Q1113" s="16" t="n"/>
      <c r="R1113" s="17" t="n"/>
      <c r="S1113" s="133">
        <f>DADOS_INVOC!$QK$74</f>
        <v/>
      </c>
      <c r="T1113" s="125" t="n"/>
      <c r="U1113" s="55" t="inlineStr">
        <is>
          <t>MELHORIAS</t>
        </is>
      </c>
      <c r="V1113" s="134" t="n"/>
      <c r="W1113" s="16" t="n"/>
      <c r="X1113" s="17" t="n"/>
      <c r="Y1113" s="133">
        <f>DADOS_INVOC!$QK$75</f>
        <v/>
      </c>
      <c r="Z1113" s="125" t="n"/>
      <c r="AB1113" s="55" t="inlineStr">
        <is>
          <t>MELHORIAS</t>
        </is>
      </c>
      <c r="AC1113" s="134" t="n"/>
      <c r="AD1113" s="16" t="n"/>
      <c r="AE1113" s="17" t="n"/>
      <c r="AF1113" s="133">
        <f>DADOS_INVOC!$QK$151</f>
        <v/>
      </c>
      <c r="AG1113" s="125" t="n"/>
      <c r="AH1113" s="55" t="inlineStr">
        <is>
          <t>MELHORIAS</t>
        </is>
      </c>
      <c r="AI1113" s="134" t="n"/>
      <c r="AJ1113" s="16" t="n"/>
      <c r="AK1113" s="17" t="n"/>
      <c r="AL1113" s="133">
        <f>DADOS_INVOC!$QK$152</f>
        <v/>
      </c>
      <c r="AM1113" s="125" t="n"/>
      <c r="AN1113" s="55" t="inlineStr">
        <is>
          <t>MELHORIAS</t>
        </is>
      </c>
      <c r="AO1113" s="134" t="n"/>
      <c r="AP1113" s="16" t="n"/>
      <c r="AQ1113" s="17" t="n"/>
      <c r="AR1113" s="133">
        <f>DADOS_INVOC!$QK$153</f>
        <v/>
      </c>
      <c r="AS1113" s="125" t="n"/>
    </row>
    <row r="1114" hidden="1" outlineLevel="3">
      <c r="A1114" s="8" t="n"/>
      <c r="B1114" s="14" t="n"/>
      <c r="C1114" s="125" t="n"/>
      <c r="D1114" s="125" t="n"/>
      <c r="E1114" s="125" t="n"/>
      <c r="F1114" s="125" t="n"/>
      <c r="G1114" s="125" t="n"/>
      <c r="I1114" s="135" t="n"/>
      <c r="J1114" s="134" t="n"/>
      <c r="K1114" s="16" t="n"/>
      <c r="L1114" s="17" t="n"/>
      <c r="M1114" s="133">
        <f>DADOS_INVOC!$QL$73</f>
        <v/>
      </c>
      <c r="N1114" s="125" t="n"/>
      <c r="O1114" s="135" t="n"/>
      <c r="P1114" s="134" t="n"/>
      <c r="Q1114" s="16" t="n"/>
      <c r="R1114" s="17" t="n"/>
      <c r="S1114" s="133">
        <f>DADOS_INVOC!$QL$74</f>
        <v/>
      </c>
      <c r="T1114" s="125" t="n"/>
      <c r="U1114" s="135" t="n"/>
      <c r="V1114" s="134" t="n"/>
      <c r="W1114" s="16" t="n"/>
      <c r="X1114" s="17" t="n"/>
      <c r="Y1114" s="133">
        <f>DADOS_INVOC!$QL$75</f>
        <v/>
      </c>
      <c r="Z1114" s="125" t="n"/>
      <c r="AB1114" s="135" t="n"/>
      <c r="AC1114" s="134" t="n"/>
      <c r="AD1114" s="16" t="n"/>
      <c r="AE1114" s="17" t="n"/>
      <c r="AF1114" s="133">
        <f>DADOS_INVOC!$QL$151</f>
        <v/>
      </c>
      <c r="AG1114" s="125" t="n"/>
      <c r="AH1114" s="135" t="n"/>
      <c r="AI1114" s="134" t="n"/>
      <c r="AJ1114" s="16" t="n"/>
      <c r="AK1114" s="17" t="n"/>
      <c r="AL1114" s="133">
        <f>DADOS_INVOC!$QL$152</f>
        <v/>
      </c>
      <c r="AM1114" s="125" t="n"/>
      <c r="AN1114" s="135" t="n"/>
      <c r="AO1114" s="134" t="n"/>
      <c r="AP1114" s="16" t="n"/>
      <c r="AQ1114" s="17" t="n"/>
      <c r="AR1114" s="133">
        <f>DADOS_INVOC!$QL$153</f>
        <v/>
      </c>
      <c r="AS1114" s="125" t="n"/>
    </row>
    <row r="1115" hidden="1" outlineLevel="3">
      <c r="A1115" s="8" t="n"/>
      <c r="B1115" s="14" t="n"/>
      <c r="C1115" s="125" t="n"/>
      <c r="D1115" s="125" t="n"/>
      <c r="E1115" s="125" t="n"/>
      <c r="F1115" s="125" t="n"/>
      <c r="G1115" s="125" t="n"/>
      <c r="I1115" s="135" t="n"/>
      <c r="J1115" s="134" t="n"/>
      <c r="K1115" s="16" t="n"/>
      <c r="L1115" s="17" t="n"/>
      <c r="M1115" s="133">
        <f>DADOS_INVOC!$QM$73</f>
        <v/>
      </c>
      <c r="N1115" s="125" t="n"/>
      <c r="O1115" s="135" t="n"/>
      <c r="P1115" s="134" t="n"/>
      <c r="Q1115" s="16" t="n"/>
      <c r="R1115" s="17" t="n"/>
      <c r="S1115" s="133">
        <f>DADOS_INVOC!$QM$74</f>
        <v/>
      </c>
      <c r="T1115" s="125" t="n"/>
      <c r="U1115" s="135" t="n"/>
      <c r="V1115" s="134" t="n"/>
      <c r="W1115" s="16" t="n"/>
      <c r="X1115" s="17" t="n"/>
      <c r="Y1115" s="133">
        <f>DADOS_INVOC!$QM$75</f>
        <v/>
      </c>
      <c r="Z1115" s="125" t="n"/>
      <c r="AB1115" s="135" t="n"/>
      <c r="AC1115" s="134" t="n"/>
      <c r="AD1115" s="16" t="n"/>
      <c r="AE1115" s="17" t="n"/>
      <c r="AF1115" s="133">
        <f>DADOS_INVOC!$QM$151</f>
        <v/>
      </c>
      <c r="AG1115" s="125" t="n"/>
      <c r="AH1115" s="135" t="n"/>
      <c r="AI1115" s="134" t="n"/>
      <c r="AJ1115" s="16" t="n"/>
      <c r="AK1115" s="17" t="n"/>
      <c r="AL1115" s="133">
        <f>DADOS_INVOC!$QM$152</f>
        <v/>
      </c>
      <c r="AM1115" s="125" t="n"/>
      <c r="AN1115" s="135" t="n"/>
      <c r="AO1115" s="134" t="n"/>
      <c r="AP1115" s="16" t="n"/>
      <c r="AQ1115" s="17" t="n"/>
      <c r="AR1115" s="133">
        <f>DADOS_INVOC!$QM$153</f>
        <v/>
      </c>
      <c r="AS1115" s="125" t="n"/>
    </row>
    <row r="1116" hidden="1" outlineLevel="3">
      <c r="A1116" s="8" t="n"/>
      <c r="B1116" s="14" t="n"/>
      <c r="C1116" s="125" t="n"/>
      <c r="D1116" s="125" t="n"/>
      <c r="E1116" s="125" t="n"/>
      <c r="F1116" s="125" t="n"/>
      <c r="G1116" s="125" t="n"/>
      <c r="I1116" s="129" t="n"/>
      <c r="J1116" s="134" t="n"/>
      <c r="K1116" s="16" t="n"/>
      <c r="L1116" s="17" t="n"/>
      <c r="M1116" s="133">
        <f>DADOS_INVOC!$QN$73</f>
        <v/>
      </c>
      <c r="N1116" s="125" t="n"/>
      <c r="O1116" s="129" t="n"/>
      <c r="P1116" s="134" t="n"/>
      <c r="Q1116" s="16" t="n"/>
      <c r="R1116" s="17" t="n"/>
      <c r="S1116" s="133">
        <f>DADOS_INVOC!$QN$74</f>
        <v/>
      </c>
      <c r="T1116" s="125" t="n"/>
      <c r="U1116" s="129" t="n"/>
      <c r="V1116" s="134" t="n"/>
      <c r="W1116" s="16" t="n"/>
      <c r="X1116" s="17" t="n"/>
      <c r="Y1116" s="133">
        <f>DADOS_INVOC!$QN$75</f>
        <v/>
      </c>
      <c r="Z1116" s="125" t="n"/>
      <c r="AB1116" s="129" t="n"/>
      <c r="AC1116" s="134" t="n"/>
      <c r="AD1116" s="16" t="n"/>
      <c r="AE1116" s="17" t="n"/>
      <c r="AF1116" s="133">
        <f>DADOS_INVOC!$QN$151</f>
        <v/>
      </c>
      <c r="AG1116" s="125" t="n"/>
      <c r="AH1116" s="129" t="n"/>
      <c r="AI1116" s="134" t="n"/>
      <c r="AJ1116" s="16" t="n"/>
      <c r="AK1116" s="17" t="n"/>
      <c r="AL1116" s="133">
        <f>DADOS_INVOC!$QN$152</f>
        <v/>
      </c>
      <c r="AM1116" s="125" t="n"/>
      <c r="AN1116" s="129" t="n"/>
      <c r="AO1116" s="134" t="n"/>
      <c r="AP1116" s="16" t="n"/>
      <c r="AQ1116" s="17" t="n"/>
      <c r="AR1116" s="133">
        <f>DADOS_INVOC!$QN$153</f>
        <v/>
      </c>
      <c r="AS1116" s="125" t="n"/>
    </row>
    <row r="1117" hidden="1" outlineLevel="3">
      <c r="A1117" s="8" t="n"/>
      <c r="B1117" s="14" t="n"/>
      <c r="C1117" s="125" t="n"/>
      <c r="D1117" s="125" t="n"/>
      <c r="E1117" s="125" t="n"/>
      <c r="F1117" s="125" t="n"/>
      <c r="G1117" s="125" t="n"/>
      <c r="I1117" s="55" t="inlineStr">
        <is>
          <t>RESTRIÇÕES</t>
        </is>
      </c>
      <c r="J1117" s="134" t="n"/>
      <c r="K1117" s="16" t="n"/>
      <c r="L1117" s="17" t="n"/>
      <c r="M1117" s="133">
        <f>DADOS_INVOC!$QO$73</f>
        <v/>
      </c>
      <c r="N1117" s="125" t="n"/>
      <c r="O1117" s="55" t="inlineStr">
        <is>
          <t>RESTRIÇÕES</t>
        </is>
      </c>
      <c r="P1117" s="134" t="n"/>
      <c r="Q1117" s="16" t="n"/>
      <c r="R1117" s="17" t="n"/>
      <c r="S1117" s="133">
        <f>DADOS_INVOC!$QO$74</f>
        <v/>
      </c>
      <c r="T1117" s="125" t="n"/>
      <c r="U1117" s="55" t="inlineStr">
        <is>
          <t>RESTRIÇÕES</t>
        </is>
      </c>
      <c r="V1117" s="134" t="n"/>
      <c r="W1117" s="16" t="n"/>
      <c r="X1117" s="17" t="n"/>
      <c r="Y1117" s="133">
        <f>DADOS_INVOC!$QO$75</f>
        <v/>
      </c>
      <c r="Z1117" s="125" t="n"/>
      <c r="AB1117" s="55" t="inlineStr">
        <is>
          <t>RESTRIÇÕES</t>
        </is>
      </c>
      <c r="AC1117" s="134" t="n"/>
      <c r="AD1117" s="16" t="n"/>
      <c r="AE1117" s="17" t="n"/>
      <c r="AF1117" s="133">
        <f>DADOS_INVOC!$QO$151</f>
        <v/>
      </c>
      <c r="AG1117" s="125" t="n"/>
      <c r="AH1117" s="55" t="inlineStr">
        <is>
          <t>RESTRIÇÕES</t>
        </is>
      </c>
      <c r="AI1117" s="134" t="n"/>
      <c r="AJ1117" s="16" t="n"/>
      <c r="AK1117" s="17" t="n"/>
      <c r="AL1117" s="133">
        <f>DADOS_INVOC!$QO$152</f>
        <v/>
      </c>
      <c r="AM1117" s="125" t="n"/>
      <c r="AN1117" s="55" t="inlineStr">
        <is>
          <t>RESTRIÇÕES</t>
        </is>
      </c>
      <c r="AO1117" s="134" t="n"/>
      <c r="AP1117" s="16" t="n"/>
      <c r="AQ1117" s="17" t="n"/>
      <c r="AR1117" s="133">
        <f>DADOS_INVOC!$QO$153</f>
        <v/>
      </c>
      <c r="AS1117" s="125" t="n"/>
    </row>
    <row r="1118" hidden="1" outlineLevel="3">
      <c r="A1118" s="8" t="n"/>
      <c r="B1118" s="14" t="n"/>
      <c r="C1118" s="125" t="n"/>
      <c r="D1118" s="125" t="n"/>
      <c r="E1118" s="125" t="n"/>
      <c r="F1118" s="125" t="n"/>
      <c r="G1118" s="125" t="n"/>
      <c r="I1118" s="129" t="n"/>
      <c r="J1118" s="134" t="n"/>
      <c r="K1118" s="16" t="n"/>
      <c r="L1118" s="17" t="n"/>
      <c r="M1118" s="133">
        <f>DADOS_INVOC!$QP$73</f>
        <v/>
      </c>
      <c r="N1118" s="125" t="n"/>
      <c r="O1118" s="129" t="n"/>
      <c r="P1118" s="134" t="n"/>
      <c r="Q1118" s="16" t="n"/>
      <c r="R1118" s="17" t="n"/>
      <c r="S1118" s="133">
        <f>DADOS_INVOC!$QP$74</f>
        <v/>
      </c>
      <c r="T1118" s="125" t="n"/>
      <c r="U1118" s="129" t="n"/>
      <c r="V1118" s="134" t="n"/>
      <c r="W1118" s="16" t="n"/>
      <c r="X1118" s="17" t="n"/>
      <c r="Y1118" s="133">
        <f>DADOS_INVOC!$QP$75</f>
        <v/>
      </c>
      <c r="Z1118" s="125" t="n"/>
      <c r="AB1118" s="129" t="n"/>
      <c r="AC1118" s="134" t="n"/>
      <c r="AD1118" s="16" t="n"/>
      <c r="AE1118" s="17" t="n"/>
      <c r="AF1118" s="133">
        <f>DADOS_INVOC!$QP$151</f>
        <v/>
      </c>
      <c r="AG1118" s="125" t="n"/>
      <c r="AH1118" s="129" t="n"/>
      <c r="AI1118" s="134" t="n"/>
      <c r="AJ1118" s="16" t="n"/>
      <c r="AK1118" s="17" t="n"/>
      <c r="AL1118" s="133">
        <f>DADOS_INVOC!$QP$152</f>
        <v/>
      </c>
      <c r="AM1118" s="125" t="n"/>
      <c r="AN1118" s="129" t="n"/>
      <c r="AO1118" s="134" t="n"/>
      <c r="AP1118" s="16" t="n"/>
      <c r="AQ1118" s="17" t="n"/>
      <c r="AR1118" s="133">
        <f>DADOS_INVOC!$QP$153</f>
        <v/>
      </c>
      <c r="AS1118" s="125" t="n"/>
    </row>
    <row r="1119" hidden="1" outlineLevel="3">
      <c r="A1119" s="8" t="n"/>
      <c r="B1119" s="14" t="n"/>
      <c r="C1119" s="125" t="n"/>
      <c r="D1119" s="125" t="n"/>
      <c r="E1119" s="125" t="n"/>
      <c r="F1119" s="125" t="n"/>
      <c r="G1119" s="125" t="n"/>
      <c r="I1119" s="55" t="inlineStr">
        <is>
          <t>CONTA</t>
        </is>
      </c>
      <c r="J1119" s="136">
        <f>DADOS_INVOC!$QI$73</f>
        <v/>
      </c>
      <c r="K1119" s="16" t="n"/>
      <c r="L1119" s="16" t="n"/>
      <c r="M1119" s="17" t="n"/>
      <c r="N1119" s="125" t="n"/>
      <c r="O1119" s="55" t="inlineStr">
        <is>
          <t>CONTA</t>
        </is>
      </c>
      <c r="P1119" s="136">
        <f>DADOS_INVOC!$QI$74</f>
        <v/>
      </c>
      <c r="Q1119" s="16" t="n"/>
      <c r="R1119" s="16" t="n"/>
      <c r="S1119" s="17" t="n"/>
      <c r="T1119" s="125" t="n"/>
      <c r="U1119" s="55" t="inlineStr">
        <is>
          <t>CONTA</t>
        </is>
      </c>
      <c r="V1119" s="136">
        <f>DADOS_INVOC!$QI$75</f>
        <v/>
      </c>
      <c r="W1119" s="16" t="n"/>
      <c r="X1119" s="16" t="n"/>
      <c r="Y1119" s="17" t="n"/>
      <c r="Z1119" s="125" t="n"/>
      <c r="AB1119" s="55" t="inlineStr">
        <is>
          <t>CONTA</t>
        </is>
      </c>
      <c r="AC1119" s="136">
        <f>DADOS_INVOC!$QI$151</f>
        <v/>
      </c>
      <c r="AD1119" s="16" t="n"/>
      <c r="AE1119" s="16" t="n"/>
      <c r="AF1119" s="17" t="n"/>
      <c r="AG1119" s="125" t="n"/>
      <c r="AH1119" s="55" t="inlineStr">
        <is>
          <t>CONTA</t>
        </is>
      </c>
      <c r="AI1119" s="136">
        <f>DADOS_INVOC!$QI$152</f>
        <v/>
      </c>
      <c r="AJ1119" s="16" t="n"/>
      <c r="AK1119" s="16" t="n"/>
      <c r="AL1119" s="17" t="n"/>
      <c r="AM1119" s="125" t="n"/>
      <c r="AN1119" s="55" t="inlineStr">
        <is>
          <t>CONTA</t>
        </is>
      </c>
      <c r="AO1119" s="136">
        <f>DADOS_INVOC!$QI$153</f>
        <v/>
      </c>
      <c r="AP1119" s="16" t="n"/>
      <c r="AQ1119" s="16" t="n"/>
      <c r="AR1119" s="17" t="n"/>
      <c r="AS1119" s="125" t="n"/>
    </row>
    <row r="1120" hidden="1" outlineLevel="3">
      <c r="A1120" s="8" t="n"/>
      <c r="B1120" s="14" t="n"/>
      <c r="C1120" s="125" t="n"/>
      <c r="D1120" s="125" t="n"/>
      <c r="E1120" s="125" t="n"/>
      <c r="F1120" s="125" t="n"/>
      <c r="G1120" s="125" t="n"/>
      <c r="I1120" s="55" t="inlineStr">
        <is>
          <t>AMPLIAR</t>
        </is>
      </c>
      <c r="J1120" s="136">
        <f>DADOS_INVOC!$QJ$73</f>
        <v/>
      </c>
      <c r="K1120" s="19" t="n"/>
      <c r="L1120" s="19" t="n"/>
      <c r="M1120" s="20" t="n"/>
      <c r="N1120" s="125" t="n"/>
      <c r="O1120" s="55" t="inlineStr">
        <is>
          <t>AMPLIAR</t>
        </is>
      </c>
      <c r="P1120" s="136">
        <f>DADOS_INVOC!$QJ$74</f>
        <v/>
      </c>
      <c r="Q1120" s="19" t="n"/>
      <c r="R1120" s="19" t="n"/>
      <c r="S1120" s="20" t="n"/>
      <c r="T1120" s="125" t="n"/>
      <c r="U1120" s="55" t="inlineStr">
        <is>
          <t>AMPLIAR</t>
        </is>
      </c>
      <c r="V1120" s="136">
        <f>DADOS_INVOC!$QJ$75</f>
        <v/>
      </c>
      <c r="W1120" s="19" t="n"/>
      <c r="X1120" s="19" t="n"/>
      <c r="Y1120" s="20" t="n"/>
      <c r="Z1120" s="125" t="n"/>
      <c r="AB1120" s="55" t="inlineStr">
        <is>
          <t>AMPLIAR</t>
        </is>
      </c>
      <c r="AC1120" s="136">
        <f>DADOS_INVOC!$QJ$151</f>
        <v/>
      </c>
      <c r="AD1120" s="19" t="n"/>
      <c r="AE1120" s="19" t="n"/>
      <c r="AF1120" s="20" t="n"/>
      <c r="AG1120" s="125" t="n"/>
      <c r="AH1120" s="55" t="inlineStr">
        <is>
          <t>AMPLIAR</t>
        </is>
      </c>
      <c r="AI1120" s="136">
        <f>DADOS_INVOC!$QJ$152</f>
        <v/>
      </c>
      <c r="AJ1120" s="19" t="n"/>
      <c r="AK1120" s="19" t="n"/>
      <c r="AL1120" s="20" t="n"/>
      <c r="AM1120" s="125" t="n"/>
      <c r="AN1120" s="55" t="inlineStr">
        <is>
          <t>AMPLIAR</t>
        </is>
      </c>
      <c r="AO1120" s="136">
        <f>DADOS_INVOC!$QJ$153</f>
        <v/>
      </c>
      <c r="AP1120" s="19" t="n"/>
      <c r="AQ1120" s="19" t="n"/>
      <c r="AR1120" s="20" t="n"/>
      <c r="AS1120" s="125" t="n"/>
    </row>
    <row r="1121" hidden="1" outlineLevel="3">
      <c r="A1121" s="8" t="n"/>
      <c r="B1121" s="14" t="n"/>
      <c r="C1121" s="125" t="n"/>
      <c r="D1121" s="125" t="n"/>
      <c r="E1121" s="125" t="n"/>
      <c r="F1121" s="125" t="n"/>
      <c r="G1121" s="125" t="n"/>
      <c r="I1121" s="129" t="n"/>
      <c r="J1121" s="23" t="n"/>
      <c r="K1121" s="24" t="n"/>
      <c r="L1121" s="24" t="n"/>
      <c r="M1121" s="25" t="n"/>
      <c r="N1121" s="125" t="n"/>
      <c r="O1121" s="129" t="n"/>
      <c r="P1121" s="23" t="n"/>
      <c r="Q1121" s="24" t="n"/>
      <c r="R1121" s="24" t="n"/>
      <c r="S1121" s="25" t="n"/>
      <c r="T1121" s="125" t="n"/>
      <c r="U1121" s="129" t="n"/>
      <c r="V1121" s="23" t="n"/>
      <c r="W1121" s="24" t="n"/>
      <c r="X1121" s="24" t="n"/>
      <c r="Y1121" s="25" t="n"/>
      <c r="Z1121" s="125" t="n"/>
      <c r="AB1121" s="129" t="n"/>
      <c r="AC1121" s="23" t="n"/>
      <c r="AD1121" s="24" t="n"/>
      <c r="AE1121" s="24" t="n"/>
      <c r="AF1121" s="25" t="n"/>
      <c r="AG1121" s="125" t="n"/>
      <c r="AH1121" s="129" t="n"/>
      <c r="AI1121" s="23" t="n"/>
      <c r="AJ1121" s="24" t="n"/>
      <c r="AK1121" s="24" t="n"/>
      <c r="AL1121" s="25" t="n"/>
      <c r="AM1121" s="125" t="n"/>
      <c r="AN1121" s="129" t="n"/>
      <c r="AO1121" s="23" t="n"/>
      <c r="AP1121" s="24" t="n"/>
      <c r="AQ1121" s="24" t="n"/>
      <c r="AR1121" s="25" t="n"/>
      <c r="AS1121" s="125" t="n"/>
    </row>
    <row r="1122" hidden="1" outlineLevel="3">
      <c r="A1122" s="8" t="n"/>
      <c r="B1122" s="14" t="n"/>
      <c r="C1122" s="125" t="n"/>
      <c r="D1122" s="125" t="n"/>
      <c r="E1122" s="125" t="n"/>
      <c r="F1122" s="125" t="n"/>
      <c r="G1122" s="125" t="n"/>
      <c r="I1122" s="136">
        <f>DADOS_INVOC!$PW$73</f>
        <v/>
      </c>
      <c r="J1122" s="19" t="n"/>
      <c r="K1122" s="19" t="n"/>
      <c r="L1122" s="19" t="n"/>
      <c r="M1122" s="20" t="n"/>
      <c r="N1122" s="125" t="n"/>
      <c r="O1122" s="136">
        <f>DADOS_INVOC!$PW$74</f>
        <v/>
      </c>
      <c r="P1122" s="19" t="n"/>
      <c r="Q1122" s="19" t="n"/>
      <c r="R1122" s="19" t="n"/>
      <c r="S1122" s="20" t="n"/>
      <c r="T1122" s="125" t="n"/>
      <c r="U1122" s="136">
        <f>DADOS_INVOC!$PW$75</f>
        <v/>
      </c>
      <c r="V1122" s="19" t="n"/>
      <c r="W1122" s="19" t="n"/>
      <c r="X1122" s="19" t="n"/>
      <c r="Y1122" s="20" t="n"/>
      <c r="Z1122" s="125" t="n"/>
      <c r="AB1122" s="136">
        <f>DADOS_INVOC!$PW$151</f>
        <v/>
      </c>
      <c r="AC1122" s="19" t="n"/>
      <c r="AD1122" s="19" t="n"/>
      <c r="AE1122" s="19" t="n"/>
      <c r="AF1122" s="20" t="n"/>
      <c r="AG1122" s="125" t="n"/>
      <c r="AH1122" s="136">
        <f>DADOS_INVOC!$PW$152</f>
        <v/>
      </c>
      <c r="AI1122" s="19" t="n"/>
      <c r="AJ1122" s="19" t="n"/>
      <c r="AK1122" s="19" t="n"/>
      <c r="AL1122" s="20" t="n"/>
      <c r="AM1122" s="125" t="n"/>
      <c r="AN1122" s="136">
        <f>DADOS_INVOC!$PW$153</f>
        <v/>
      </c>
      <c r="AO1122" s="19" t="n"/>
      <c r="AP1122" s="19" t="n"/>
      <c r="AQ1122" s="19" t="n"/>
      <c r="AR1122" s="20" t="n"/>
      <c r="AS1122" s="125" t="n"/>
    </row>
    <row r="1123" hidden="1" outlineLevel="3">
      <c r="A1123" s="8" t="n"/>
      <c r="B1123" s="14" t="n"/>
      <c r="C1123" s="125" t="n"/>
      <c r="D1123" s="125" t="n"/>
      <c r="E1123" s="125" t="n"/>
      <c r="F1123" s="125" t="n"/>
      <c r="G1123" s="125" t="n"/>
      <c r="I1123" s="23" t="n"/>
      <c r="J1123" s="24" t="n"/>
      <c r="K1123" s="24" t="n"/>
      <c r="L1123" s="24" t="n"/>
      <c r="M1123" s="25" t="n"/>
      <c r="N1123" s="125" t="n"/>
      <c r="O1123" s="23" t="n"/>
      <c r="P1123" s="24" t="n"/>
      <c r="Q1123" s="24" t="n"/>
      <c r="R1123" s="24" t="n"/>
      <c r="S1123" s="25" t="n"/>
      <c r="T1123" s="125" t="n"/>
      <c r="U1123" s="23" t="n"/>
      <c r="V1123" s="24" t="n"/>
      <c r="W1123" s="24" t="n"/>
      <c r="X1123" s="24" t="n"/>
      <c r="Y1123" s="25" t="n"/>
      <c r="Z1123" s="125" t="n"/>
      <c r="AB1123" s="23" t="n"/>
      <c r="AC1123" s="24" t="n"/>
      <c r="AD1123" s="24" t="n"/>
      <c r="AE1123" s="24" t="n"/>
      <c r="AF1123" s="25" t="n"/>
      <c r="AG1123" s="125" t="n"/>
      <c r="AH1123" s="23" t="n"/>
      <c r="AI1123" s="24" t="n"/>
      <c r="AJ1123" s="24" t="n"/>
      <c r="AK1123" s="24" t="n"/>
      <c r="AL1123" s="25" t="n"/>
      <c r="AM1123" s="125" t="n"/>
      <c r="AN1123" s="23" t="n"/>
      <c r="AO1123" s="24" t="n"/>
      <c r="AP1123" s="24" t="n"/>
      <c r="AQ1123" s="24" t="n"/>
      <c r="AR1123" s="25" t="n"/>
      <c r="AS1123" s="125" t="n"/>
    </row>
    <row r="1124" hidden="1" outlineLevel="2">
      <c r="A1124" s="8" t="n"/>
      <c r="B1124" s="14" t="n"/>
      <c r="C1124" s="125" t="n"/>
      <c r="D1124" s="125" t="n"/>
      <c r="E1124" s="125" t="n"/>
      <c r="F1124" s="125" t="n"/>
      <c r="G1124" s="125" t="n"/>
      <c r="I1124" s="125" t="n"/>
      <c r="J1124" s="125" t="n"/>
      <c r="K1124" s="125" t="n"/>
      <c r="L1124" s="125" t="n"/>
      <c r="M1124" s="125" t="n"/>
      <c r="N1124" s="125" t="n"/>
      <c r="O1124" s="125" t="n"/>
      <c r="P1124" s="125" t="n"/>
      <c r="Q1124" s="125" t="n"/>
      <c r="R1124" s="125" t="n"/>
      <c r="S1124" s="125" t="n"/>
      <c r="T1124" s="125" t="n"/>
      <c r="U1124" s="125" t="n"/>
      <c r="V1124" s="125" t="n"/>
      <c r="W1124" s="125" t="n"/>
      <c r="X1124" s="125" t="n"/>
      <c r="Y1124" s="125" t="n"/>
      <c r="Z1124" s="125" t="n"/>
      <c r="AB1124" s="125" t="n"/>
      <c r="AC1124" s="125" t="n"/>
      <c r="AD1124" s="125" t="n"/>
      <c r="AE1124" s="125" t="n"/>
      <c r="AF1124" s="125" t="n"/>
      <c r="AG1124" s="125" t="n"/>
      <c r="AH1124" s="125" t="n"/>
      <c r="AI1124" s="125" t="n"/>
      <c r="AJ1124" s="125" t="n"/>
      <c r="AK1124" s="125" t="n"/>
      <c r="AL1124" s="125" t="n"/>
      <c r="AM1124" s="125" t="n"/>
      <c r="AN1124" s="125" t="n"/>
      <c r="AO1124" s="125" t="n"/>
      <c r="AP1124" s="125" t="n"/>
      <c r="AQ1124" s="125" t="n"/>
      <c r="AR1124" s="125" t="n"/>
      <c r="AS1124" s="125" t="n"/>
    </row>
    <row r="1125" hidden="1" outlineLevel="2">
      <c r="A1125" s="8" t="n"/>
      <c r="B1125" s="14" t="n"/>
      <c r="C1125" s="125" t="n"/>
      <c r="D1125" s="125" t="n"/>
      <c r="E1125" s="125" t="n"/>
      <c r="F1125" s="125" t="n"/>
      <c r="G1125" s="125" t="n"/>
      <c r="I1125" s="55">
        <f>DADOS_INVOC!$PX$76</f>
        <v/>
      </c>
      <c r="J1125" s="16" t="n"/>
      <c r="K1125" s="16" t="n"/>
      <c r="L1125" s="16" t="n"/>
      <c r="M1125" s="17" t="n"/>
      <c r="N1125" s="125" t="n"/>
      <c r="O1125" s="125" t="n"/>
      <c r="P1125" s="125" t="n"/>
      <c r="Q1125" s="125" t="n"/>
      <c r="R1125" s="125" t="n"/>
      <c r="S1125" s="125" t="n"/>
      <c r="T1125" s="125" t="n"/>
      <c r="U1125" s="125" t="n"/>
      <c r="V1125" s="125" t="n"/>
      <c r="W1125" s="125" t="n"/>
      <c r="X1125" s="125" t="n"/>
      <c r="Y1125" s="125" t="n"/>
      <c r="Z1125" s="125" t="n"/>
      <c r="AB1125" s="55">
        <f>DADOS_INVOC!$PX$154</f>
        <v/>
      </c>
      <c r="AC1125" s="16" t="n"/>
      <c r="AD1125" s="16" t="n"/>
      <c r="AE1125" s="16" t="n"/>
      <c r="AF1125" s="17" t="n"/>
      <c r="AG1125" s="125" t="n"/>
      <c r="AH1125" s="125" t="n"/>
      <c r="AI1125" s="125" t="n"/>
      <c r="AJ1125" s="125" t="n"/>
      <c r="AK1125" s="125" t="n"/>
      <c r="AL1125" s="125" t="n"/>
      <c r="AM1125" s="125" t="n"/>
      <c r="AN1125" s="125" t="n"/>
      <c r="AO1125" s="125" t="n"/>
      <c r="AP1125" s="125" t="n"/>
      <c r="AQ1125" s="125" t="n"/>
      <c r="AR1125" s="125" t="n"/>
      <c r="AS1125" s="125" t="n"/>
    </row>
    <row r="1126" hidden="1" outlineLevel="2">
      <c r="A1126" s="8" t="n"/>
      <c r="B1126" s="14" t="n"/>
      <c r="C1126" s="125" t="n"/>
      <c r="D1126" s="125" t="n"/>
      <c r="E1126" s="125" t="n"/>
      <c r="F1126" s="125" t="n"/>
      <c r="G1126" s="125" t="n"/>
      <c r="I1126" s="131" t="n">
        <v>1</v>
      </c>
      <c r="J1126" s="120" t="n"/>
      <c r="K1126" s="16" t="n"/>
      <c r="L1126" s="17" t="n"/>
      <c r="M1126" s="132">
        <f>DADOS_INVOC!$PV$76</f>
        <v/>
      </c>
      <c r="N1126" s="125" t="n"/>
      <c r="O1126" s="125" t="n"/>
      <c r="P1126" s="125" t="n"/>
      <c r="Q1126" s="125" t="n"/>
      <c r="R1126" s="125" t="n"/>
      <c r="S1126" s="125" t="n"/>
      <c r="T1126" s="125" t="n"/>
      <c r="U1126" s="125" t="n"/>
      <c r="V1126" s="125" t="n"/>
      <c r="W1126" s="125" t="n"/>
      <c r="X1126" s="125" t="n"/>
      <c r="Y1126" s="125" t="n"/>
      <c r="Z1126" s="125" t="n"/>
      <c r="AB1126" s="131" t="n">
        <v>1</v>
      </c>
      <c r="AC1126" s="120" t="n"/>
      <c r="AD1126" s="16" t="n"/>
      <c r="AE1126" s="17" t="n"/>
      <c r="AF1126" s="132">
        <f>DADOS_INVOC!$PV$154</f>
        <v/>
      </c>
      <c r="AG1126" s="125" t="n"/>
      <c r="AH1126" s="125" t="n"/>
      <c r="AI1126" s="125" t="n"/>
      <c r="AJ1126" s="125" t="n"/>
      <c r="AK1126" s="125" t="n"/>
      <c r="AL1126" s="125" t="n"/>
      <c r="AM1126" s="125" t="n"/>
      <c r="AN1126" s="125" t="n"/>
      <c r="AO1126" s="125" t="n"/>
      <c r="AP1126" s="125" t="n"/>
      <c r="AQ1126" s="125" t="n"/>
      <c r="AR1126" s="125" t="n"/>
      <c r="AS1126" s="125" t="n"/>
    </row>
    <row r="1127" hidden="1" outlineLevel="3">
      <c r="A1127" s="8" t="n"/>
      <c r="B1127" s="14" t="n"/>
      <c r="C1127" s="125" t="n"/>
      <c r="D1127" s="125" t="n"/>
      <c r="E1127" s="125" t="n"/>
      <c r="F1127" s="125" t="n"/>
      <c r="G1127" s="125" t="n"/>
      <c r="I1127" s="55" t="inlineStr">
        <is>
          <t>COMO É</t>
        </is>
      </c>
      <c r="J1127" s="16" t="n"/>
      <c r="K1127" s="16" t="n"/>
      <c r="L1127" s="16" t="n"/>
      <c r="M1127" s="17" t="n"/>
      <c r="N1127" s="125" t="n"/>
      <c r="O1127" s="125" t="n"/>
      <c r="P1127" s="125" t="n"/>
      <c r="Q1127" s="125" t="n"/>
      <c r="R1127" s="125" t="n"/>
      <c r="S1127" s="125" t="n"/>
      <c r="T1127" s="125" t="n"/>
      <c r="U1127" s="125" t="n"/>
      <c r="V1127" s="125" t="n"/>
      <c r="W1127" s="125" t="n"/>
      <c r="X1127" s="125" t="n"/>
      <c r="Y1127" s="125" t="n"/>
      <c r="Z1127" s="125" t="n"/>
      <c r="AB1127" s="55" t="inlineStr">
        <is>
          <t>COMO É</t>
        </is>
      </c>
      <c r="AC1127" s="16" t="n"/>
      <c r="AD1127" s="16" t="n"/>
      <c r="AE1127" s="16" t="n"/>
      <c r="AF1127" s="17" t="n"/>
      <c r="AG1127" s="125" t="n"/>
      <c r="AH1127" s="125" t="n"/>
      <c r="AI1127" s="125" t="n"/>
      <c r="AJ1127" s="125" t="n"/>
      <c r="AK1127" s="125" t="n"/>
      <c r="AL1127" s="125" t="n"/>
      <c r="AM1127" s="125" t="n"/>
      <c r="AN1127" s="125" t="n"/>
      <c r="AO1127" s="125" t="n"/>
      <c r="AP1127" s="125" t="n"/>
      <c r="AQ1127" s="125" t="n"/>
      <c r="AR1127" s="125" t="n"/>
      <c r="AS1127" s="125" t="n"/>
    </row>
    <row r="1128" hidden="1" outlineLevel="3">
      <c r="A1128" s="8" t="n"/>
      <c r="B1128" s="14" t="n"/>
      <c r="C1128" s="125" t="n"/>
      <c r="D1128" s="125" t="n"/>
      <c r="E1128" s="125" t="n"/>
      <c r="F1128" s="125" t="n"/>
      <c r="G1128" s="125" t="n"/>
      <c r="I1128" s="121" t="n"/>
      <c r="J1128" s="19" t="n"/>
      <c r="K1128" s="19" t="n"/>
      <c r="L1128" s="19" t="n"/>
      <c r="M1128" s="20" t="n"/>
      <c r="N1128" s="125" t="n"/>
      <c r="O1128" s="125" t="n"/>
      <c r="P1128" s="125" t="n"/>
      <c r="Q1128" s="125" t="n"/>
      <c r="R1128" s="125" t="n"/>
      <c r="S1128" s="125" t="n"/>
      <c r="T1128" s="125" t="n"/>
      <c r="U1128" s="125" t="n"/>
      <c r="V1128" s="125" t="n"/>
      <c r="W1128" s="125" t="n"/>
      <c r="X1128" s="125" t="n"/>
      <c r="Y1128" s="125" t="n"/>
      <c r="Z1128" s="125" t="n"/>
      <c r="AB1128" s="121" t="n"/>
      <c r="AC1128" s="19" t="n"/>
      <c r="AD1128" s="19" t="n"/>
      <c r="AE1128" s="19" t="n"/>
      <c r="AF1128" s="20" t="n"/>
      <c r="AG1128" s="125" t="n"/>
      <c r="AH1128" s="125" t="n"/>
      <c r="AI1128" s="125" t="n"/>
      <c r="AJ1128" s="125" t="n"/>
      <c r="AK1128" s="125" t="n"/>
      <c r="AL1128" s="125" t="n"/>
      <c r="AM1128" s="125" t="n"/>
      <c r="AN1128" s="125" t="n"/>
      <c r="AO1128" s="125" t="n"/>
      <c r="AP1128" s="125" t="n"/>
      <c r="AQ1128" s="125" t="n"/>
      <c r="AR1128" s="125" t="n"/>
      <c r="AS1128" s="125" t="n"/>
    </row>
    <row r="1129" hidden="1" outlineLevel="3">
      <c r="A1129" s="8" t="n"/>
      <c r="B1129" s="14" t="n"/>
      <c r="C1129" s="125" t="n"/>
      <c r="D1129" s="125" t="n"/>
      <c r="E1129" s="125" t="n"/>
      <c r="F1129" s="125" t="n"/>
      <c r="G1129" s="125" t="n"/>
      <c r="I1129" s="21" t="n"/>
      <c r="M1129" s="22" t="n"/>
      <c r="N1129" s="125" t="n"/>
      <c r="O1129" s="125" t="n"/>
      <c r="P1129" s="125" t="n"/>
      <c r="Q1129" s="125" t="n"/>
      <c r="R1129" s="125" t="n"/>
      <c r="S1129" s="125" t="n"/>
      <c r="T1129" s="125" t="n"/>
      <c r="U1129" s="125" t="n"/>
      <c r="V1129" s="125" t="n"/>
      <c r="W1129" s="125" t="n"/>
      <c r="X1129" s="125" t="n"/>
      <c r="Y1129" s="125" t="n"/>
      <c r="Z1129" s="125" t="n"/>
      <c r="AB1129" s="21" t="n"/>
      <c r="AF1129" s="22" t="n"/>
      <c r="AG1129" s="125" t="n"/>
      <c r="AH1129" s="125" t="n"/>
      <c r="AI1129" s="125" t="n"/>
      <c r="AJ1129" s="125" t="n"/>
      <c r="AK1129" s="125" t="n"/>
      <c r="AL1129" s="125" t="n"/>
      <c r="AM1129" s="125" t="n"/>
      <c r="AN1129" s="125" t="n"/>
      <c r="AO1129" s="125" t="n"/>
      <c r="AP1129" s="125" t="n"/>
      <c r="AQ1129" s="125" t="n"/>
      <c r="AR1129" s="125" t="n"/>
      <c r="AS1129" s="125" t="n"/>
    </row>
    <row r="1130" hidden="1" outlineLevel="3">
      <c r="A1130" s="8" t="n"/>
      <c r="B1130" s="14" t="n"/>
      <c r="C1130" s="125" t="n"/>
      <c r="D1130" s="125" t="n"/>
      <c r="E1130" s="125" t="n"/>
      <c r="F1130" s="125" t="n"/>
      <c r="G1130" s="125" t="n"/>
      <c r="I1130" s="23" t="n"/>
      <c r="J1130" s="24" t="n"/>
      <c r="K1130" s="24" t="n"/>
      <c r="L1130" s="24" t="n"/>
      <c r="M1130" s="25" t="n"/>
      <c r="N1130" s="125" t="n"/>
      <c r="O1130" s="125" t="n"/>
      <c r="P1130" s="125" t="n"/>
      <c r="Q1130" s="125" t="n"/>
      <c r="R1130" s="125" t="n"/>
      <c r="S1130" s="125" t="n"/>
      <c r="T1130" s="125" t="n"/>
      <c r="U1130" s="125" t="n"/>
      <c r="V1130" s="125" t="n"/>
      <c r="W1130" s="125" t="n"/>
      <c r="X1130" s="125" t="n"/>
      <c r="Y1130" s="125" t="n"/>
      <c r="Z1130" s="125" t="n"/>
      <c r="AB1130" s="23" t="n"/>
      <c r="AC1130" s="24" t="n"/>
      <c r="AD1130" s="24" t="n"/>
      <c r="AE1130" s="24" t="n"/>
      <c r="AF1130" s="25" t="n"/>
      <c r="AG1130" s="125" t="n"/>
      <c r="AH1130" s="125" t="n"/>
      <c r="AI1130" s="125" t="n"/>
      <c r="AJ1130" s="125" t="n"/>
      <c r="AK1130" s="125" t="n"/>
      <c r="AL1130" s="125" t="n"/>
      <c r="AM1130" s="125" t="n"/>
      <c r="AN1130" s="125" t="n"/>
      <c r="AO1130" s="125" t="n"/>
      <c r="AP1130" s="125" t="n"/>
      <c r="AQ1130" s="125" t="n"/>
      <c r="AR1130" s="125" t="n"/>
      <c r="AS1130" s="125" t="n"/>
    </row>
    <row r="1131" hidden="1" outlineLevel="2">
      <c r="A1131" s="8" t="n"/>
      <c r="B1131" s="14" t="n"/>
      <c r="C1131" s="125" t="n"/>
      <c r="D1131" s="125" t="n"/>
      <c r="E1131" s="125" t="n"/>
      <c r="F1131" s="125" t="n"/>
      <c r="G1131" s="125" t="n"/>
      <c r="I1131" s="89" t="inlineStr">
        <is>
          <t>Projétil</t>
        </is>
      </c>
      <c r="J1131" s="17" t="n"/>
      <c r="K1131" s="68">
        <f>DADOS_INVOC!$QC$76</f>
        <v/>
      </c>
      <c r="L1131" s="17" t="n"/>
      <c r="M1131" s="68">
        <f>DADOS_INVOC!$PY$76</f>
        <v/>
      </c>
      <c r="N1131" s="125" t="n"/>
      <c r="O1131" s="125" t="n"/>
      <c r="P1131" s="125" t="n"/>
      <c r="Q1131" s="125" t="n"/>
      <c r="R1131" s="125" t="n"/>
      <c r="S1131" s="125" t="n"/>
      <c r="T1131" s="125" t="n"/>
      <c r="U1131" s="125" t="n"/>
      <c r="V1131" s="125" t="n"/>
      <c r="W1131" s="125" t="n"/>
      <c r="X1131" s="125" t="n"/>
      <c r="Y1131" s="125" t="n"/>
      <c r="Z1131" s="125" t="n"/>
      <c r="AB1131" s="89" t="inlineStr">
        <is>
          <t>Projétil</t>
        </is>
      </c>
      <c r="AC1131" s="17" t="n"/>
      <c r="AD1131" s="68">
        <f>DADOS_INVOC!$QC$154</f>
        <v/>
      </c>
      <c r="AE1131" s="17" t="n"/>
      <c r="AF1131" s="68">
        <f>DADOS_INVOC!$PY$154</f>
        <v/>
      </c>
      <c r="AG1131" s="125" t="n"/>
      <c r="AH1131" s="125" t="n"/>
      <c r="AI1131" s="125" t="n"/>
      <c r="AJ1131" s="125" t="n"/>
      <c r="AK1131" s="125" t="n"/>
      <c r="AL1131" s="125" t="n"/>
      <c r="AM1131" s="125" t="n"/>
      <c r="AN1131" s="125" t="n"/>
      <c r="AO1131" s="125" t="n"/>
      <c r="AP1131" s="125" t="n"/>
      <c r="AQ1131" s="125" t="n"/>
      <c r="AR1131" s="125" t="n"/>
      <c r="AS1131" s="125" t="n"/>
    </row>
    <row r="1132" hidden="1" outlineLevel="2">
      <c r="A1132" s="8" t="n"/>
      <c r="B1132" s="14" t="n"/>
      <c r="C1132" s="125" t="n"/>
      <c r="D1132" s="125" t="n"/>
      <c r="E1132" s="125" t="n"/>
      <c r="F1132" s="125" t="n"/>
      <c r="G1132" s="125" t="n"/>
      <c r="I1132" s="89" t="n"/>
      <c r="J1132" s="17" t="n"/>
      <c r="K1132" s="89" t="n"/>
      <c r="L1132" s="16" t="n"/>
      <c r="M1132" s="17" t="n"/>
      <c r="N1132" s="125" t="n"/>
      <c r="O1132" s="125" t="n"/>
      <c r="P1132" s="125" t="n"/>
      <c r="Q1132" s="125" t="n"/>
      <c r="R1132" s="125" t="n"/>
      <c r="S1132" s="125" t="n"/>
      <c r="T1132" s="125" t="n"/>
      <c r="U1132" s="125" t="n"/>
      <c r="V1132" s="125" t="n"/>
      <c r="W1132" s="125" t="n"/>
      <c r="X1132" s="125" t="n"/>
      <c r="Y1132" s="125" t="n"/>
      <c r="Z1132" s="125" t="n"/>
      <c r="AB1132" s="89" t="n"/>
      <c r="AC1132" s="17" t="n"/>
      <c r="AD1132" s="89" t="n"/>
      <c r="AE1132" s="16" t="n"/>
      <c r="AF1132" s="17" t="n"/>
      <c r="AG1132" s="125" t="n"/>
      <c r="AH1132" s="125" t="n"/>
      <c r="AI1132" s="125" t="n"/>
      <c r="AJ1132" s="125" t="n"/>
      <c r="AK1132" s="125" t="n"/>
      <c r="AL1132" s="125" t="n"/>
      <c r="AM1132" s="125" t="n"/>
      <c r="AN1132" s="125" t="n"/>
      <c r="AO1132" s="125" t="n"/>
      <c r="AP1132" s="125" t="n"/>
      <c r="AQ1132" s="125" t="n"/>
      <c r="AR1132" s="125" t="n"/>
      <c r="AS1132" s="125" t="n"/>
    </row>
    <row r="1133" hidden="1" outlineLevel="2">
      <c r="A1133" s="8" t="n"/>
      <c r="B1133" s="14" t="n"/>
      <c r="C1133" s="125" t="n"/>
      <c r="D1133" s="125" t="n"/>
      <c r="E1133" s="125" t="n"/>
      <c r="F1133" s="125" t="n"/>
      <c r="G1133" s="125" t="n"/>
      <c r="I1133" s="89">
        <f>DADOS_INVOC!$PZ$76</f>
        <v/>
      </c>
      <c r="J1133" s="17" t="n"/>
      <c r="K1133" s="89">
        <f>DADOS_INVOC!$QB$76</f>
        <v/>
      </c>
      <c r="L1133" s="16" t="n"/>
      <c r="M1133" s="17" t="n"/>
      <c r="N1133" s="125" t="n"/>
      <c r="O1133" s="125" t="n"/>
      <c r="P1133" s="125" t="n"/>
      <c r="Q1133" s="125" t="n"/>
      <c r="R1133" s="125" t="n"/>
      <c r="S1133" s="125" t="n"/>
      <c r="T1133" s="125" t="n"/>
      <c r="U1133" s="125" t="n"/>
      <c r="V1133" s="125" t="n"/>
      <c r="W1133" s="125" t="n"/>
      <c r="X1133" s="125" t="n"/>
      <c r="Y1133" s="125" t="n"/>
      <c r="Z1133" s="125" t="n"/>
      <c r="AB1133" s="89">
        <f>DADOS_INVOC!$PZ$154</f>
        <v/>
      </c>
      <c r="AC1133" s="17" t="n"/>
      <c r="AD1133" s="89">
        <f>DADOS_INVOC!$QB$154</f>
        <v/>
      </c>
      <c r="AE1133" s="16" t="n"/>
      <c r="AF1133" s="17" t="n"/>
      <c r="AG1133" s="125" t="n"/>
      <c r="AH1133" s="125" t="n"/>
      <c r="AI1133" s="125" t="n"/>
      <c r="AJ1133" s="125" t="n"/>
      <c r="AK1133" s="125" t="n"/>
      <c r="AL1133" s="125" t="n"/>
      <c r="AM1133" s="125" t="n"/>
      <c r="AN1133" s="125" t="n"/>
      <c r="AO1133" s="125" t="n"/>
      <c r="AP1133" s="125" t="n"/>
      <c r="AQ1133" s="125" t="n"/>
      <c r="AR1133" s="125" t="n"/>
      <c r="AS1133" s="125" t="n"/>
    </row>
    <row r="1134" hidden="1" outlineLevel="2">
      <c r="A1134" s="8" t="n"/>
      <c r="B1134" s="14" t="n"/>
      <c r="C1134" s="125" t="n"/>
      <c r="D1134" s="125" t="n"/>
      <c r="E1134" s="125" t="n"/>
      <c r="F1134" s="125" t="n"/>
      <c r="G1134" s="125" t="n"/>
      <c r="I1134" s="133">
        <f>DADOS_INVOC!$QH$76</f>
        <v/>
      </c>
      <c r="J1134" s="16" t="n"/>
      <c r="K1134" s="16" t="n"/>
      <c r="L1134" s="16" t="n"/>
      <c r="M1134" s="17" t="n"/>
      <c r="N1134" s="125" t="n"/>
      <c r="O1134" s="125" t="n"/>
      <c r="P1134" s="125" t="n"/>
      <c r="Q1134" s="125" t="n"/>
      <c r="R1134" s="125" t="n"/>
      <c r="S1134" s="125" t="n"/>
      <c r="T1134" s="125" t="n"/>
      <c r="U1134" s="125" t="n"/>
      <c r="V1134" s="125" t="n"/>
      <c r="W1134" s="125" t="n"/>
      <c r="X1134" s="125" t="n"/>
      <c r="Y1134" s="125" t="n"/>
      <c r="Z1134" s="125" t="n"/>
      <c r="AB1134" s="133">
        <f>DADOS_INVOC!$QH$154</f>
        <v/>
      </c>
      <c r="AC1134" s="16" t="n"/>
      <c r="AD1134" s="16" t="n"/>
      <c r="AE1134" s="16" t="n"/>
      <c r="AF1134" s="17" t="n"/>
      <c r="AG1134" s="125" t="n"/>
      <c r="AH1134" s="125" t="n"/>
      <c r="AI1134" s="125" t="n"/>
      <c r="AJ1134" s="125" t="n"/>
      <c r="AK1134" s="125" t="n"/>
      <c r="AL1134" s="125" t="n"/>
      <c r="AM1134" s="125" t="n"/>
      <c r="AN1134" s="125" t="n"/>
      <c r="AO1134" s="125" t="n"/>
      <c r="AP1134" s="125" t="n"/>
      <c r="AQ1134" s="125" t="n"/>
      <c r="AR1134" s="125" t="n"/>
      <c r="AS1134" s="125" t="n"/>
    </row>
    <row r="1135" hidden="1" outlineLevel="3">
      <c r="A1135" s="8" t="n"/>
      <c r="B1135" s="14" t="n"/>
      <c r="C1135" s="125" t="n"/>
      <c r="D1135" s="125" t="n"/>
      <c r="E1135" s="125" t="n"/>
      <c r="F1135" s="125" t="n"/>
      <c r="G1135" s="125" t="n"/>
      <c r="I1135" s="55" t="inlineStr">
        <is>
          <t>MELHORIAS</t>
        </is>
      </c>
      <c r="J1135" s="134" t="n"/>
      <c r="K1135" s="16" t="n"/>
      <c r="L1135" s="17" t="n"/>
      <c r="M1135" s="133">
        <f>DADOS_INVOC!$QK$76</f>
        <v/>
      </c>
      <c r="N1135" s="125" t="n"/>
      <c r="O1135" s="125" t="n"/>
      <c r="P1135" s="125" t="n"/>
      <c r="Q1135" s="125" t="n"/>
      <c r="R1135" s="125" t="n"/>
      <c r="S1135" s="125" t="n"/>
      <c r="T1135" s="125" t="n"/>
      <c r="U1135" s="125" t="n"/>
      <c r="V1135" s="125" t="n"/>
      <c r="W1135" s="125" t="n"/>
      <c r="X1135" s="125" t="n"/>
      <c r="Y1135" s="125" t="n"/>
      <c r="Z1135" s="125" t="n"/>
      <c r="AB1135" s="55" t="inlineStr">
        <is>
          <t>MELHORIAS</t>
        </is>
      </c>
      <c r="AC1135" s="134" t="n"/>
      <c r="AD1135" s="16" t="n"/>
      <c r="AE1135" s="17" t="n"/>
      <c r="AF1135" s="133">
        <f>DADOS_INVOC!$QK$154</f>
        <v/>
      </c>
      <c r="AG1135" s="125" t="n"/>
      <c r="AH1135" s="125" t="n"/>
      <c r="AI1135" s="125" t="n"/>
      <c r="AJ1135" s="125" t="n"/>
      <c r="AK1135" s="125" t="n"/>
      <c r="AL1135" s="125" t="n"/>
      <c r="AM1135" s="125" t="n"/>
      <c r="AN1135" s="125" t="n"/>
      <c r="AO1135" s="125" t="n"/>
      <c r="AP1135" s="125" t="n"/>
      <c r="AQ1135" s="125" t="n"/>
      <c r="AR1135" s="125" t="n"/>
      <c r="AS1135" s="125" t="n"/>
    </row>
    <row r="1136" hidden="1" outlineLevel="3">
      <c r="A1136" s="8" t="n"/>
      <c r="B1136" s="14" t="n"/>
      <c r="C1136" s="125" t="n"/>
      <c r="D1136" s="125" t="n"/>
      <c r="E1136" s="125" t="n"/>
      <c r="F1136" s="125" t="n"/>
      <c r="G1136" s="125" t="n"/>
      <c r="I1136" s="135" t="n"/>
      <c r="J1136" s="134" t="n"/>
      <c r="K1136" s="16" t="n"/>
      <c r="L1136" s="17" t="n"/>
      <c r="M1136" s="133">
        <f>DADOS_INVOC!$QL$76</f>
        <v/>
      </c>
      <c r="N1136" s="125" t="n"/>
      <c r="O1136" s="125" t="n"/>
      <c r="P1136" s="125" t="n"/>
      <c r="Q1136" s="125" t="n"/>
      <c r="R1136" s="125" t="n"/>
      <c r="S1136" s="125" t="n"/>
      <c r="T1136" s="125" t="n"/>
      <c r="U1136" s="125" t="n"/>
      <c r="V1136" s="125" t="n"/>
      <c r="W1136" s="125" t="n"/>
      <c r="X1136" s="125" t="n"/>
      <c r="Y1136" s="125" t="n"/>
      <c r="Z1136" s="125" t="n"/>
      <c r="AB1136" s="135" t="n"/>
      <c r="AC1136" s="134" t="n"/>
      <c r="AD1136" s="16" t="n"/>
      <c r="AE1136" s="17" t="n"/>
      <c r="AF1136" s="133">
        <f>DADOS_INVOC!$QL$154</f>
        <v/>
      </c>
      <c r="AG1136" s="125" t="n"/>
      <c r="AH1136" s="125" t="n"/>
      <c r="AI1136" s="125" t="n"/>
      <c r="AJ1136" s="125" t="n"/>
      <c r="AK1136" s="125" t="n"/>
      <c r="AL1136" s="125" t="n"/>
      <c r="AM1136" s="125" t="n"/>
      <c r="AN1136" s="125" t="n"/>
      <c r="AO1136" s="125" t="n"/>
      <c r="AP1136" s="125" t="n"/>
      <c r="AQ1136" s="125" t="n"/>
      <c r="AR1136" s="125" t="n"/>
      <c r="AS1136" s="125" t="n"/>
    </row>
    <row r="1137" hidden="1" outlineLevel="3">
      <c r="A1137" s="8" t="n"/>
      <c r="B1137" s="14" t="n"/>
      <c r="C1137" s="125" t="n"/>
      <c r="D1137" s="125" t="n"/>
      <c r="E1137" s="125" t="n"/>
      <c r="F1137" s="125" t="n"/>
      <c r="G1137" s="125" t="n"/>
      <c r="I1137" s="135" t="n"/>
      <c r="J1137" s="134" t="n"/>
      <c r="K1137" s="16" t="n"/>
      <c r="L1137" s="17" t="n"/>
      <c r="M1137" s="133">
        <f>DADOS_INVOC!$QM$76</f>
        <v/>
      </c>
      <c r="N1137" s="125" t="n"/>
      <c r="O1137" s="125" t="n"/>
      <c r="P1137" s="125" t="n"/>
      <c r="Q1137" s="125" t="n"/>
      <c r="R1137" s="125" t="n"/>
      <c r="S1137" s="125" t="n"/>
      <c r="T1137" s="125" t="n"/>
      <c r="U1137" s="125" t="n"/>
      <c r="V1137" s="125" t="n"/>
      <c r="W1137" s="125" t="n"/>
      <c r="X1137" s="125" t="n"/>
      <c r="Y1137" s="125" t="n"/>
      <c r="Z1137" s="125" t="n"/>
      <c r="AB1137" s="135" t="n"/>
      <c r="AC1137" s="134" t="n"/>
      <c r="AD1137" s="16" t="n"/>
      <c r="AE1137" s="17" t="n"/>
      <c r="AF1137" s="133">
        <f>DADOS_INVOC!$QM$154</f>
        <v/>
      </c>
      <c r="AG1137" s="125" t="n"/>
      <c r="AH1137" s="125" t="n"/>
      <c r="AI1137" s="125" t="n"/>
      <c r="AJ1137" s="125" t="n"/>
      <c r="AK1137" s="125" t="n"/>
      <c r="AL1137" s="125" t="n"/>
      <c r="AM1137" s="125" t="n"/>
      <c r="AN1137" s="125" t="n"/>
      <c r="AO1137" s="125" t="n"/>
      <c r="AP1137" s="125" t="n"/>
      <c r="AQ1137" s="125" t="n"/>
      <c r="AR1137" s="125" t="n"/>
      <c r="AS1137" s="125" t="n"/>
    </row>
    <row r="1138" hidden="1" outlineLevel="3">
      <c r="A1138" s="8" t="n"/>
      <c r="B1138" s="14" t="n"/>
      <c r="C1138" s="125" t="n"/>
      <c r="D1138" s="125" t="n"/>
      <c r="E1138" s="125" t="n"/>
      <c r="F1138" s="125" t="n"/>
      <c r="G1138" s="125" t="n"/>
      <c r="I1138" s="129" t="n"/>
      <c r="J1138" s="134" t="n"/>
      <c r="K1138" s="16" t="n"/>
      <c r="L1138" s="17" t="n"/>
      <c r="M1138" s="133">
        <f>DADOS_INVOC!$QN$76</f>
        <v/>
      </c>
      <c r="N1138" s="125" t="n"/>
      <c r="O1138" s="125" t="n"/>
      <c r="P1138" s="125" t="n"/>
      <c r="Q1138" s="125" t="n"/>
      <c r="R1138" s="125" t="n"/>
      <c r="S1138" s="125" t="n"/>
      <c r="T1138" s="125" t="n"/>
      <c r="U1138" s="125" t="n"/>
      <c r="V1138" s="125" t="n"/>
      <c r="W1138" s="125" t="n"/>
      <c r="X1138" s="125" t="n"/>
      <c r="Y1138" s="125" t="n"/>
      <c r="Z1138" s="125" t="n"/>
      <c r="AB1138" s="129" t="n"/>
      <c r="AC1138" s="134" t="n"/>
      <c r="AD1138" s="16" t="n"/>
      <c r="AE1138" s="17" t="n"/>
      <c r="AF1138" s="133">
        <f>DADOS_INVOC!$QN$154</f>
        <v/>
      </c>
      <c r="AG1138" s="125" t="n"/>
      <c r="AH1138" s="125" t="n"/>
      <c r="AI1138" s="125" t="n"/>
      <c r="AJ1138" s="125" t="n"/>
      <c r="AK1138" s="125" t="n"/>
      <c r="AL1138" s="125" t="n"/>
      <c r="AM1138" s="125" t="n"/>
      <c r="AN1138" s="125" t="n"/>
      <c r="AO1138" s="125" t="n"/>
      <c r="AP1138" s="125" t="n"/>
      <c r="AQ1138" s="125" t="n"/>
      <c r="AR1138" s="125" t="n"/>
      <c r="AS1138" s="125" t="n"/>
    </row>
    <row r="1139" hidden="1" outlineLevel="3">
      <c r="A1139" s="8" t="n"/>
      <c r="B1139" s="14" t="n"/>
      <c r="C1139" s="125" t="n"/>
      <c r="D1139" s="125" t="n"/>
      <c r="E1139" s="125" t="n"/>
      <c r="F1139" s="125" t="n"/>
      <c r="G1139" s="125" t="n"/>
      <c r="I1139" s="55" t="inlineStr">
        <is>
          <t>RESTRIÇÕES</t>
        </is>
      </c>
      <c r="J1139" s="134" t="n"/>
      <c r="K1139" s="16" t="n"/>
      <c r="L1139" s="17" t="n"/>
      <c r="M1139" s="133">
        <f>DADOS_INVOC!$QO$76</f>
        <v/>
      </c>
      <c r="N1139" s="125" t="n"/>
      <c r="O1139" s="125" t="n"/>
      <c r="P1139" s="125" t="n"/>
      <c r="Q1139" s="125" t="n"/>
      <c r="R1139" s="125" t="n"/>
      <c r="S1139" s="125" t="n"/>
      <c r="T1139" s="125" t="n"/>
      <c r="U1139" s="125" t="n"/>
      <c r="V1139" s="125" t="n"/>
      <c r="W1139" s="125" t="n"/>
      <c r="X1139" s="125" t="n"/>
      <c r="Y1139" s="125" t="n"/>
      <c r="Z1139" s="125" t="n"/>
      <c r="AB1139" s="55" t="inlineStr">
        <is>
          <t>RESTRIÇÕES</t>
        </is>
      </c>
      <c r="AC1139" s="134" t="n"/>
      <c r="AD1139" s="16" t="n"/>
      <c r="AE1139" s="17" t="n"/>
      <c r="AF1139" s="133">
        <f>DADOS_INVOC!$QO$154</f>
        <v/>
      </c>
      <c r="AG1139" s="125" t="n"/>
      <c r="AH1139" s="125" t="n"/>
      <c r="AI1139" s="125" t="n"/>
      <c r="AJ1139" s="125" t="n"/>
      <c r="AK1139" s="125" t="n"/>
      <c r="AL1139" s="125" t="n"/>
      <c r="AM1139" s="125" t="n"/>
      <c r="AN1139" s="125" t="n"/>
      <c r="AO1139" s="125" t="n"/>
      <c r="AP1139" s="125" t="n"/>
      <c r="AQ1139" s="125" t="n"/>
      <c r="AR1139" s="125" t="n"/>
      <c r="AS1139" s="125" t="n"/>
    </row>
    <row r="1140" hidden="1" outlineLevel="3">
      <c r="A1140" s="8" t="n"/>
      <c r="B1140" s="14" t="n"/>
      <c r="C1140" s="125" t="n"/>
      <c r="D1140" s="125" t="n"/>
      <c r="E1140" s="125" t="n"/>
      <c r="F1140" s="125" t="n"/>
      <c r="G1140" s="125" t="n"/>
      <c r="I1140" s="129" t="n"/>
      <c r="J1140" s="134" t="n"/>
      <c r="K1140" s="16" t="n"/>
      <c r="L1140" s="17" t="n"/>
      <c r="M1140" s="133">
        <f>DADOS_INVOC!$QP$76</f>
        <v/>
      </c>
      <c r="N1140" s="125" t="n"/>
      <c r="O1140" s="125" t="n"/>
      <c r="P1140" s="125" t="n"/>
      <c r="Q1140" s="125" t="n"/>
      <c r="R1140" s="125" t="n"/>
      <c r="S1140" s="125" t="n"/>
      <c r="T1140" s="125" t="n"/>
      <c r="U1140" s="125" t="n"/>
      <c r="V1140" s="125" t="n"/>
      <c r="W1140" s="125" t="n"/>
      <c r="X1140" s="125" t="n"/>
      <c r="Y1140" s="125" t="n"/>
      <c r="Z1140" s="125" t="n"/>
      <c r="AB1140" s="129" t="n"/>
      <c r="AC1140" s="134" t="n"/>
      <c r="AD1140" s="16" t="n"/>
      <c r="AE1140" s="17" t="n"/>
      <c r="AF1140" s="133">
        <f>DADOS_INVOC!$QP$154</f>
        <v/>
      </c>
      <c r="AG1140" s="125" t="n"/>
      <c r="AH1140" s="125" t="n"/>
      <c r="AI1140" s="125" t="n"/>
      <c r="AJ1140" s="125" t="n"/>
      <c r="AK1140" s="125" t="n"/>
      <c r="AL1140" s="125" t="n"/>
      <c r="AM1140" s="125" t="n"/>
      <c r="AN1140" s="125" t="n"/>
      <c r="AO1140" s="125" t="n"/>
      <c r="AP1140" s="125" t="n"/>
      <c r="AQ1140" s="125" t="n"/>
      <c r="AR1140" s="125" t="n"/>
      <c r="AS1140" s="125" t="n"/>
    </row>
    <row r="1141" hidden="1" outlineLevel="3">
      <c r="A1141" s="8" t="n"/>
      <c r="B1141" s="14" t="n"/>
      <c r="C1141" s="125" t="n"/>
      <c r="D1141" s="125" t="n"/>
      <c r="E1141" s="125" t="n"/>
      <c r="F1141" s="125" t="n"/>
      <c r="G1141" s="125" t="n"/>
      <c r="I1141" s="55" t="inlineStr">
        <is>
          <t>CONTA</t>
        </is>
      </c>
      <c r="J1141" s="136">
        <f>DADOS_INVOC!$QI$76</f>
        <v/>
      </c>
      <c r="K1141" s="16" t="n"/>
      <c r="L1141" s="16" t="n"/>
      <c r="M1141" s="17" t="n"/>
      <c r="N1141" s="125" t="n"/>
      <c r="O1141" s="125" t="n"/>
      <c r="P1141" s="125" t="n"/>
      <c r="Q1141" s="125" t="n"/>
      <c r="R1141" s="125" t="n"/>
      <c r="S1141" s="125" t="n"/>
      <c r="T1141" s="125" t="n"/>
      <c r="U1141" s="125" t="n"/>
      <c r="V1141" s="125" t="n"/>
      <c r="W1141" s="125" t="n"/>
      <c r="X1141" s="125" t="n"/>
      <c r="Y1141" s="125" t="n"/>
      <c r="Z1141" s="125" t="n"/>
      <c r="AB1141" s="55" t="inlineStr">
        <is>
          <t>CONTA</t>
        </is>
      </c>
      <c r="AC1141" s="136">
        <f>DADOS_INVOC!$QI$154</f>
        <v/>
      </c>
      <c r="AD1141" s="16" t="n"/>
      <c r="AE1141" s="16" t="n"/>
      <c r="AF1141" s="17" t="n"/>
      <c r="AG1141" s="125" t="n"/>
      <c r="AH1141" s="125" t="n"/>
      <c r="AI1141" s="125" t="n"/>
      <c r="AJ1141" s="125" t="n"/>
      <c r="AK1141" s="125" t="n"/>
      <c r="AL1141" s="125" t="n"/>
      <c r="AM1141" s="125" t="n"/>
      <c r="AN1141" s="125" t="n"/>
      <c r="AO1141" s="125" t="n"/>
      <c r="AP1141" s="125" t="n"/>
      <c r="AQ1141" s="125" t="n"/>
      <c r="AR1141" s="125" t="n"/>
      <c r="AS1141" s="125" t="n"/>
    </row>
    <row r="1142" hidden="1" outlineLevel="3">
      <c r="A1142" s="8" t="n"/>
      <c r="B1142" s="14" t="n"/>
      <c r="C1142" s="125" t="n"/>
      <c r="D1142" s="125" t="n"/>
      <c r="E1142" s="125" t="n"/>
      <c r="F1142" s="125" t="n"/>
      <c r="G1142" s="125" t="n"/>
      <c r="I1142" s="55" t="inlineStr">
        <is>
          <t>AMPLIAR</t>
        </is>
      </c>
      <c r="J1142" s="136">
        <f>DADOS_INVOC!$QJ$76</f>
        <v/>
      </c>
      <c r="K1142" s="19" t="n"/>
      <c r="L1142" s="19" t="n"/>
      <c r="M1142" s="20" t="n"/>
      <c r="N1142" s="125" t="n"/>
      <c r="O1142" s="125" t="n"/>
      <c r="P1142" s="125" t="n"/>
      <c r="Q1142" s="125" t="n"/>
      <c r="R1142" s="125" t="n"/>
      <c r="S1142" s="125" t="n"/>
      <c r="T1142" s="125" t="n"/>
      <c r="U1142" s="125" t="n"/>
      <c r="V1142" s="125" t="n"/>
      <c r="W1142" s="125" t="n"/>
      <c r="X1142" s="125" t="n"/>
      <c r="Y1142" s="125" t="n"/>
      <c r="Z1142" s="125" t="n"/>
      <c r="AB1142" s="55" t="inlineStr">
        <is>
          <t>AMPLIAR</t>
        </is>
      </c>
      <c r="AC1142" s="136">
        <f>DADOS_INVOC!$QJ$154</f>
        <v/>
      </c>
      <c r="AD1142" s="19" t="n"/>
      <c r="AE1142" s="19" t="n"/>
      <c r="AF1142" s="20" t="n"/>
      <c r="AG1142" s="125" t="n"/>
      <c r="AH1142" s="125" t="n"/>
      <c r="AI1142" s="125" t="n"/>
      <c r="AJ1142" s="125" t="n"/>
      <c r="AK1142" s="125" t="n"/>
      <c r="AL1142" s="125" t="n"/>
      <c r="AM1142" s="125" t="n"/>
      <c r="AN1142" s="125" t="n"/>
      <c r="AO1142" s="125" t="n"/>
      <c r="AP1142" s="125" t="n"/>
      <c r="AQ1142" s="125" t="n"/>
      <c r="AR1142" s="125" t="n"/>
      <c r="AS1142" s="125" t="n"/>
    </row>
    <row r="1143" hidden="1" outlineLevel="3">
      <c r="A1143" s="8" t="n"/>
      <c r="B1143" s="14" t="n"/>
      <c r="C1143" s="125" t="n"/>
      <c r="D1143" s="125" t="n"/>
      <c r="E1143" s="125" t="n"/>
      <c r="F1143" s="125" t="n"/>
      <c r="G1143" s="125" t="n"/>
      <c r="I1143" s="129" t="n"/>
      <c r="J1143" s="23" t="n"/>
      <c r="K1143" s="24" t="n"/>
      <c r="L1143" s="24" t="n"/>
      <c r="M1143" s="25" t="n"/>
      <c r="N1143" s="125" t="n"/>
      <c r="O1143" s="125" t="n"/>
      <c r="P1143" s="125" t="n"/>
      <c r="Q1143" s="125" t="n"/>
      <c r="R1143" s="125" t="n"/>
      <c r="S1143" s="125" t="n"/>
      <c r="T1143" s="125" t="n"/>
      <c r="U1143" s="125" t="n"/>
      <c r="V1143" s="125" t="n"/>
      <c r="W1143" s="125" t="n"/>
      <c r="X1143" s="125" t="n"/>
      <c r="Y1143" s="125" t="n"/>
      <c r="Z1143" s="125" t="n"/>
      <c r="AB1143" s="129" t="n"/>
      <c r="AC1143" s="23" t="n"/>
      <c r="AD1143" s="24" t="n"/>
      <c r="AE1143" s="24" t="n"/>
      <c r="AF1143" s="25" t="n"/>
      <c r="AG1143" s="125" t="n"/>
      <c r="AH1143" s="125" t="n"/>
      <c r="AI1143" s="125" t="n"/>
      <c r="AJ1143" s="125" t="n"/>
      <c r="AK1143" s="125" t="n"/>
      <c r="AL1143" s="125" t="n"/>
      <c r="AM1143" s="125" t="n"/>
      <c r="AN1143" s="125" t="n"/>
      <c r="AO1143" s="125" t="n"/>
      <c r="AP1143" s="125" t="n"/>
      <c r="AQ1143" s="125" t="n"/>
      <c r="AR1143" s="125" t="n"/>
      <c r="AS1143" s="125" t="n"/>
    </row>
    <row r="1144" hidden="1" outlineLevel="3">
      <c r="A1144" s="8" t="n"/>
      <c r="B1144" s="14" t="n"/>
      <c r="C1144" s="125" t="n"/>
      <c r="D1144" s="125" t="n"/>
      <c r="E1144" s="125" t="n"/>
      <c r="F1144" s="125" t="n"/>
      <c r="G1144" s="125" t="n"/>
      <c r="I1144" s="136">
        <f>DADOS_INVOC!$PW$76</f>
        <v/>
      </c>
      <c r="J1144" s="19" t="n"/>
      <c r="K1144" s="19" t="n"/>
      <c r="L1144" s="19" t="n"/>
      <c r="M1144" s="20" t="n"/>
      <c r="N1144" s="125" t="n"/>
      <c r="O1144" s="125" t="n"/>
      <c r="P1144" s="125" t="n"/>
      <c r="Q1144" s="125" t="n"/>
      <c r="R1144" s="125" t="n"/>
      <c r="S1144" s="125" t="n"/>
      <c r="T1144" s="125" t="n"/>
      <c r="U1144" s="125" t="n"/>
      <c r="V1144" s="125" t="n"/>
      <c r="W1144" s="125" t="n"/>
      <c r="X1144" s="125" t="n"/>
      <c r="Y1144" s="125" t="n"/>
      <c r="Z1144" s="125" t="n"/>
      <c r="AB1144" s="136">
        <f>DADOS_INVOC!$PW$154</f>
        <v/>
      </c>
      <c r="AC1144" s="19" t="n"/>
      <c r="AD1144" s="19" t="n"/>
      <c r="AE1144" s="19" t="n"/>
      <c r="AF1144" s="20" t="n"/>
      <c r="AG1144" s="125" t="n"/>
      <c r="AH1144" s="125" t="n"/>
      <c r="AI1144" s="125" t="n"/>
      <c r="AJ1144" s="125" t="n"/>
      <c r="AK1144" s="125" t="n"/>
      <c r="AL1144" s="125" t="n"/>
      <c r="AM1144" s="125" t="n"/>
      <c r="AN1144" s="125" t="n"/>
      <c r="AO1144" s="125" t="n"/>
      <c r="AP1144" s="125" t="n"/>
      <c r="AQ1144" s="125" t="n"/>
      <c r="AR1144" s="125" t="n"/>
      <c r="AS1144" s="125" t="n"/>
    </row>
    <row r="1145" hidden="1" outlineLevel="3">
      <c r="A1145" s="8" t="n"/>
      <c r="B1145" s="14" t="n"/>
      <c r="C1145" s="125" t="n"/>
      <c r="D1145" s="125" t="n"/>
      <c r="E1145" s="125" t="n"/>
      <c r="F1145" s="125" t="n"/>
      <c r="G1145" s="125" t="n"/>
      <c r="I1145" s="23" t="n"/>
      <c r="J1145" s="24" t="n"/>
      <c r="K1145" s="24" t="n"/>
      <c r="L1145" s="24" t="n"/>
      <c r="M1145" s="25" t="n"/>
      <c r="N1145" s="125" t="n"/>
      <c r="O1145" s="125" t="n"/>
      <c r="P1145" s="125" t="n"/>
      <c r="Q1145" s="125" t="n"/>
      <c r="R1145" s="125" t="n"/>
      <c r="S1145" s="125" t="n"/>
      <c r="T1145" s="125" t="n"/>
      <c r="U1145" s="125" t="n"/>
      <c r="V1145" s="125" t="n"/>
      <c r="W1145" s="125" t="n"/>
      <c r="X1145" s="125" t="n"/>
      <c r="Y1145" s="125" t="n"/>
      <c r="Z1145" s="125" t="n"/>
      <c r="AB1145" s="23" t="n"/>
      <c r="AC1145" s="24" t="n"/>
      <c r="AD1145" s="24" t="n"/>
      <c r="AE1145" s="24" t="n"/>
      <c r="AF1145" s="25" t="n"/>
      <c r="AG1145" s="125" t="n"/>
      <c r="AH1145" s="125" t="n"/>
      <c r="AI1145" s="125" t="n"/>
      <c r="AJ1145" s="125" t="n"/>
      <c r="AK1145" s="125" t="n"/>
      <c r="AL1145" s="125" t="n"/>
      <c r="AM1145" s="125" t="n"/>
      <c r="AN1145" s="125" t="n"/>
      <c r="AO1145" s="125" t="n"/>
      <c r="AP1145" s="125" t="n"/>
      <c r="AQ1145" s="125" t="n"/>
      <c r="AR1145" s="125" t="n"/>
      <c r="AS1145" s="125" t="n"/>
    </row>
    <row r="1146" hidden="1" outlineLevel="1">
      <c r="A1146" s="8" t="n"/>
      <c r="B1146" s="14" t="n"/>
      <c r="C1146" s="125" t="n"/>
      <c r="D1146" s="125" t="n"/>
      <c r="E1146" s="125" t="n"/>
      <c r="F1146" s="125" t="n"/>
      <c r="G1146" s="125" t="n"/>
      <c r="I1146" s="125" t="n"/>
      <c r="J1146" s="125" t="n"/>
      <c r="K1146" s="125" t="n"/>
      <c r="L1146" s="125" t="n"/>
      <c r="M1146" s="125" t="n"/>
      <c r="N1146" s="125" t="n"/>
      <c r="O1146" s="125" t="n"/>
      <c r="P1146" s="125" t="n"/>
      <c r="Q1146" s="125" t="n"/>
      <c r="R1146" s="125" t="n"/>
      <c r="S1146" s="125" t="n"/>
      <c r="T1146" s="125" t="n"/>
      <c r="U1146" s="125" t="n"/>
      <c r="V1146" s="125" t="n"/>
      <c r="W1146" s="125" t="n"/>
      <c r="X1146" s="125" t="n"/>
      <c r="Y1146" s="125" t="n"/>
      <c r="Z1146" s="125" t="n"/>
      <c r="AB1146" s="125" t="n"/>
      <c r="AC1146" s="125" t="n"/>
      <c r="AD1146" s="125" t="n"/>
      <c r="AE1146" s="125" t="n"/>
      <c r="AF1146" s="125" t="n"/>
      <c r="AG1146" s="125" t="n"/>
      <c r="AH1146" s="125" t="n"/>
      <c r="AI1146" s="125" t="n"/>
      <c r="AJ1146" s="125" t="n"/>
      <c r="AK1146" s="125" t="n"/>
      <c r="AL1146" s="125" t="n"/>
      <c r="AM1146" s="125" t="n"/>
      <c r="AN1146" s="125" t="n"/>
      <c r="AO1146" s="125" t="n"/>
      <c r="AP1146" s="125" t="n"/>
      <c r="AQ1146" s="125" t="n"/>
      <c r="AR1146" s="125" t="n"/>
      <c r="AS1146" s="125" t="n"/>
    </row>
    <row r="1147" hidden="1" outlineLevel="1">
      <c r="A1147" s="8" t="n"/>
      <c r="B1147" s="14" t="n"/>
      <c r="C1147" s="125" t="n"/>
      <c r="D1147" s="125" t="n"/>
      <c r="E1147" s="125" t="n"/>
      <c r="F1147" s="125" t="n"/>
      <c r="G1147" s="125" t="n"/>
      <c r="I1147" s="137"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5" t="n"/>
      <c r="AB1147" s="137"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5" t="n"/>
    </row>
    <row r="1148" hidden="1" outlineLevel="2">
      <c r="A1148" s="8" t="n"/>
      <c r="B1148" s="14" t="n"/>
      <c r="C1148" s="125" t="n"/>
      <c r="D1148" s="125" t="n"/>
      <c r="E1148" s="125" t="n"/>
      <c r="F1148" s="125" t="n"/>
      <c r="G1148" s="125" t="n"/>
      <c r="I1148" s="125" t="n"/>
      <c r="J1148" s="125" t="n"/>
      <c r="K1148" s="125" t="n"/>
      <c r="L1148" s="125" t="n"/>
      <c r="M1148" s="125" t="n"/>
      <c r="N1148" s="125" t="n"/>
      <c r="O1148" s="125" t="n"/>
      <c r="P1148" s="125" t="n"/>
      <c r="Q1148" s="125" t="n"/>
      <c r="R1148" s="125" t="n"/>
      <c r="S1148" s="125" t="n"/>
      <c r="T1148" s="125" t="n"/>
      <c r="U1148" s="125" t="n"/>
      <c r="V1148" s="125" t="n"/>
      <c r="W1148" s="125" t="n"/>
      <c r="X1148" s="125" t="n"/>
      <c r="Y1148" s="125" t="n"/>
      <c r="Z1148" s="125" t="n"/>
      <c r="AB1148" s="125" t="n"/>
      <c r="AC1148" s="125" t="n"/>
      <c r="AD1148" s="125" t="n"/>
      <c r="AE1148" s="125" t="n"/>
      <c r="AF1148" s="125" t="n"/>
      <c r="AG1148" s="125" t="n"/>
      <c r="AH1148" s="125" t="n"/>
      <c r="AI1148" s="125" t="n"/>
      <c r="AJ1148" s="125" t="n"/>
      <c r="AK1148" s="125" t="n"/>
      <c r="AL1148" s="125" t="n"/>
      <c r="AM1148" s="125" t="n"/>
      <c r="AN1148" s="125" t="n"/>
      <c r="AO1148" s="125" t="n"/>
      <c r="AP1148" s="125" t="n"/>
      <c r="AQ1148" s="125" t="n"/>
      <c r="AR1148" s="125" t="n"/>
      <c r="AS1148" s="125" t="n"/>
    </row>
    <row r="1149" hidden="1" outlineLevel="2">
      <c r="A1149" s="8" t="n"/>
      <c r="B1149" s="14" t="n"/>
      <c r="C1149" s="125" t="n"/>
      <c r="D1149" s="125" t="n"/>
      <c r="E1149" s="125" t="n"/>
      <c r="F1149" s="125" t="n"/>
      <c r="G1149" s="125" t="n"/>
      <c r="I1149" s="55">
        <f>DADOS_INVOC!$PX$77</f>
        <v/>
      </c>
      <c r="J1149" s="16" t="n"/>
      <c r="K1149" s="16" t="n"/>
      <c r="L1149" s="16" t="n"/>
      <c r="M1149" s="17" t="n"/>
      <c r="N1149" s="125" t="n"/>
      <c r="O1149" s="55">
        <f>DADOS_INVOC!$PX$78</f>
        <v/>
      </c>
      <c r="P1149" s="16" t="n"/>
      <c r="Q1149" s="16" t="n"/>
      <c r="R1149" s="16" t="n"/>
      <c r="S1149" s="17" t="n"/>
      <c r="T1149" s="125" t="n"/>
      <c r="U1149" s="55">
        <f>DADOS_INVOC!$PX$79</f>
        <v/>
      </c>
      <c r="V1149" s="16" t="n"/>
      <c r="W1149" s="16" t="n"/>
      <c r="X1149" s="16" t="n"/>
      <c r="Y1149" s="17" t="n"/>
      <c r="Z1149" s="125" t="n"/>
      <c r="AB1149" s="55">
        <f>DADOS_INVOC!$PX$155</f>
        <v/>
      </c>
      <c r="AC1149" s="16" t="n"/>
      <c r="AD1149" s="16" t="n"/>
      <c r="AE1149" s="16" t="n"/>
      <c r="AF1149" s="17" t="n"/>
      <c r="AG1149" s="125" t="n"/>
      <c r="AH1149" s="55">
        <f>DADOS_INVOC!$PX$156</f>
        <v/>
      </c>
      <c r="AI1149" s="16" t="n"/>
      <c r="AJ1149" s="16" t="n"/>
      <c r="AK1149" s="16" t="n"/>
      <c r="AL1149" s="17" t="n"/>
      <c r="AM1149" s="125" t="n"/>
      <c r="AN1149" s="55">
        <f>DADOS_INVOC!$PX$157</f>
        <v/>
      </c>
      <c r="AO1149" s="16" t="n"/>
      <c r="AP1149" s="16" t="n"/>
      <c r="AQ1149" s="16" t="n"/>
      <c r="AR1149" s="17" t="n"/>
      <c r="AS1149" s="125" t="n"/>
    </row>
    <row r="1150" hidden="1" outlineLevel="2">
      <c r="A1150" s="8" t="n"/>
      <c r="B1150" s="14" t="n"/>
      <c r="C1150" s="125" t="n"/>
      <c r="D1150" s="125" t="n"/>
      <c r="E1150" s="125" t="n"/>
      <c r="F1150" s="125" t="n"/>
      <c r="G1150" s="125" t="n"/>
      <c r="I1150" s="131" t="n">
        <v>1</v>
      </c>
      <c r="J1150" s="120" t="n"/>
      <c r="K1150" s="16" t="n"/>
      <c r="L1150" s="17" t="n"/>
      <c r="M1150" s="132">
        <f>DADOS_INVOC!$PV$77</f>
        <v/>
      </c>
      <c r="N1150" s="125" t="n"/>
      <c r="O1150" s="131" t="n">
        <v>1</v>
      </c>
      <c r="P1150" s="120" t="n"/>
      <c r="Q1150" s="16" t="n"/>
      <c r="R1150" s="17" t="n"/>
      <c r="S1150" s="132">
        <f>DADOS_INVOC!$PV$78</f>
        <v/>
      </c>
      <c r="T1150" s="125" t="n"/>
      <c r="U1150" s="131" t="n">
        <v>1</v>
      </c>
      <c r="V1150" s="120" t="n"/>
      <c r="W1150" s="16" t="n"/>
      <c r="X1150" s="17" t="n"/>
      <c r="Y1150" s="132">
        <f>DADOS_INVOC!$PV$79</f>
        <v/>
      </c>
      <c r="Z1150" s="125" t="n"/>
      <c r="AB1150" s="131" t="n">
        <v>1</v>
      </c>
      <c r="AC1150" s="120" t="n"/>
      <c r="AD1150" s="16" t="n"/>
      <c r="AE1150" s="17" t="n"/>
      <c r="AF1150" s="132">
        <f>DADOS_INVOC!$PV$155</f>
        <v/>
      </c>
      <c r="AG1150" s="125" t="n"/>
      <c r="AH1150" s="131" t="n">
        <v>1</v>
      </c>
      <c r="AI1150" s="120" t="n"/>
      <c r="AJ1150" s="16" t="n"/>
      <c r="AK1150" s="17" t="n"/>
      <c r="AL1150" s="132">
        <f>DADOS_INVOC!$PV$156</f>
        <v/>
      </c>
      <c r="AM1150" s="125" t="n"/>
      <c r="AN1150" s="131" t="n">
        <v>1</v>
      </c>
      <c r="AO1150" s="120" t="n"/>
      <c r="AP1150" s="16" t="n"/>
      <c r="AQ1150" s="17" t="n"/>
      <c r="AR1150" s="132">
        <f>DADOS_INVOC!$PV$157</f>
        <v/>
      </c>
      <c r="AS1150" s="125" t="n"/>
    </row>
    <row r="1151" hidden="1" outlineLevel="3">
      <c r="A1151" s="8" t="n"/>
      <c r="B1151" s="14" t="n"/>
      <c r="C1151" s="125" t="n"/>
      <c r="D1151" s="125" t="n"/>
      <c r="E1151" s="125" t="n"/>
      <c r="F1151" s="125" t="n"/>
      <c r="G1151" s="125" t="n"/>
      <c r="I1151" s="55" t="inlineStr">
        <is>
          <t>COMO É</t>
        </is>
      </c>
      <c r="J1151" s="16" t="n"/>
      <c r="K1151" s="16" t="n"/>
      <c r="L1151" s="16" t="n"/>
      <c r="M1151" s="17" t="n"/>
      <c r="N1151" s="125" t="n"/>
      <c r="O1151" s="55" t="inlineStr">
        <is>
          <t>COMO É</t>
        </is>
      </c>
      <c r="P1151" s="16" t="n"/>
      <c r="Q1151" s="16" t="n"/>
      <c r="R1151" s="16" t="n"/>
      <c r="S1151" s="17" t="n"/>
      <c r="T1151" s="125" t="n"/>
      <c r="U1151" s="55" t="inlineStr">
        <is>
          <t>COMO É</t>
        </is>
      </c>
      <c r="V1151" s="16" t="n"/>
      <c r="W1151" s="16" t="n"/>
      <c r="X1151" s="16" t="n"/>
      <c r="Y1151" s="17" t="n"/>
      <c r="Z1151" s="125" t="n"/>
      <c r="AB1151" s="55" t="inlineStr">
        <is>
          <t>COMO É</t>
        </is>
      </c>
      <c r="AC1151" s="16" t="n"/>
      <c r="AD1151" s="16" t="n"/>
      <c r="AE1151" s="16" t="n"/>
      <c r="AF1151" s="17" t="n"/>
      <c r="AG1151" s="125" t="n"/>
      <c r="AH1151" s="55" t="inlineStr">
        <is>
          <t>COMO É</t>
        </is>
      </c>
      <c r="AI1151" s="16" t="n"/>
      <c r="AJ1151" s="16" t="n"/>
      <c r="AK1151" s="16" t="n"/>
      <c r="AL1151" s="17" t="n"/>
      <c r="AM1151" s="125" t="n"/>
      <c r="AN1151" s="55" t="inlineStr">
        <is>
          <t>COMO É</t>
        </is>
      </c>
      <c r="AO1151" s="16" t="n"/>
      <c r="AP1151" s="16" t="n"/>
      <c r="AQ1151" s="16" t="n"/>
      <c r="AR1151" s="17" t="n"/>
      <c r="AS1151" s="125" t="n"/>
    </row>
    <row r="1152" hidden="1" outlineLevel="3">
      <c r="A1152" s="8" t="n"/>
      <c r="B1152" s="14" t="n"/>
      <c r="C1152" s="125" t="n"/>
      <c r="D1152" s="125" t="n"/>
      <c r="E1152" s="125" t="n"/>
      <c r="F1152" s="125" t="n"/>
      <c r="G1152" s="125" t="n"/>
      <c r="I1152" s="121" t="n"/>
      <c r="J1152" s="19" t="n"/>
      <c r="K1152" s="19" t="n"/>
      <c r="L1152" s="19" t="n"/>
      <c r="M1152" s="20" t="n"/>
      <c r="N1152" s="125" t="n"/>
      <c r="O1152" s="121" t="n"/>
      <c r="P1152" s="19" t="n"/>
      <c r="Q1152" s="19" t="n"/>
      <c r="R1152" s="19" t="n"/>
      <c r="S1152" s="20" t="n"/>
      <c r="T1152" s="125" t="n"/>
      <c r="U1152" s="121" t="n"/>
      <c r="V1152" s="19" t="n"/>
      <c r="W1152" s="19" t="n"/>
      <c r="X1152" s="19" t="n"/>
      <c r="Y1152" s="20" t="n"/>
      <c r="Z1152" s="125" t="n"/>
      <c r="AB1152" s="121" t="n"/>
      <c r="AC1152" s="19" t="n"/>
      <c r="AD1152" s="19" t="n"/>
      <c r="AE1152" s="19" t="n"/>
      <c r="AF1152" s="20" t="n"/>
      <c r="AG1152" s="125" t="n"/>
      <c r="AH1152" s="121" t="n"/>
      <c r="AI1152" s="19" t="n"/>
      <c r="AJ1152" s="19" t="n"/>
      <c r="AK1152" s="19" t="n"/>
      <c r="AL1152" s="20" t="n"/>
      <c r="AM1152" s="125" t="n"/>
      <c r="AN1152" s="121" t="n"/>
      <c r="AO1152" s="19" t="n"/>
      <c r="AP1152" s="19" t="n"/>
      <c r="AQ1152" s="19" t="n"/>
      <c r="AR1152" s="20" t="n"/>
      <c r="AS1152" s="125" t="n"/>
    </row>
    <row r="1153" hidden="1" outlineLevel="3">
      <c r="A1153" s="8" t="n"/>
      <c r="B1153" s="14" t="n"/>
      <c r="C1153" s="125" t="n"/>
      <c r="D1153" s="125" t="n"/>
      <c r="E1153" s="125" t="n"/>
      <c r="F1153" s="125" t="n"/>
      <c r="G1153" s="125" t="n"/>
      <c r="I1153" s="21" t="n"/>
      <c r="M1153" s="22" t="n"/>
      <c r="N1153" s="125" t="n"/>
      <c r="O1153" s="21" t="n"/>
      <c r="S1153" s="22" t="n"/>
      <c r="T1153" s="125" t="n"/>
      <c r="U1153" s="21" t="n"/>
      <c r="Y1153" s="22" t="n"/>
      <c r="Z1153" s="125" t="n"/>
      <c r="AB1153" s="21" t="n"/>
      <c r="AF1153" s="22" t="n"/>
      <c r="AG1153" s="125" t="n"/>
      <c r="AH1153" s="21" t="n"/>
      <c r="AL1153" s="22" t="n"/>
      <c r="AM1153" s="125" t="n"/>
      <c r="AN1153" s="21" t="n"/>
      <c r="AR1153" s="22" t="n"/>
      <c r="AS1153" s="125" t="n"/>
    </row>
    <row r="1154" hidden="1" outlineLevel="3">
      <c r="A1154" s="8" t="n"/>
      <c r="B1154" s="14" t="n"/>
      <c r="C1154" s="125" t="n"/>
      <c r="D1154" s="125" t="n"/>
      <c r="E1154" s="125" t="n"/>
      <c r="F1154" s="125" t="n"/>
      <c r="G1154" s="125" t="n"/>
      <c r="I1154" s="23" t="n"/>
      <c r="J1154" s="24" t="n"/>
      <c r="K1154" s="24" t="n"/>
      <c r="L1154" s="24" t="n"/>
      <c r="M1154" s="25" t="n"/>
      <c r="N1154" s="125" t="n"/>
      <c r="O1154" s="23" t="n"/>
      <c r="P1154" s="24" t="n"/>
      <c r="Q1154" s="24" t="n"/>
      <c r="R1154" s="24" t="n"/>
      <c r="S1154" s="25" t="n"/>
      <c r="T1154" s="125" t="n"/>
      <c r="U1154" s="23" t="n"/>
      <c r="V1154" s="24" t="n"/>
      <c r="W1154" s="24" t="n"/>
      <c r="X1154" s="24" t="n"/>
      <c r="Y1154" s="25" t="n"/>
      <c r="Z1154" s="125" t="n"/>
      <c r="AB1154" s="23" t="n"/>
      <c r="AC1154" s="24" t="n"/>
      <c r="AD1154" s="24" t="n"/>
      <c r="AE1154" s="24" t="n"/>
      <c r="AF1154" s="25" t="n"/>
      <c r="AG1154" s="125" t="n"/>
      <c r="AH1154" s="23" t="n"/>
      <c r="AI1154" s="24" t="n"/>
      <c r="AJ1154" s="24" t="n"/>
      <c r="AK1154" s="24" t="n"/>
      <c r="AL1154" s="25" t="n"/>
      <c r="AM1154" s="125" t="n"/>
      <c r="AN1154" s="23" t="n"/>
      <c r="AO1154" s="24" t="n"/>
      <c r="AP1154" s="24" t="n"/>
      <c r="AQ1154" s="24" t="n"/>
      <c r="AR1154" s="25" t="n"/>
      <c r="AS1154" s="125" t="n"/>
    </row>
    <row r="1155" hidden="1" outlineLevel="2">
      <c r="A1155" s="8" t="n"/>
      <c r="B1155" s="14" t="n"/>
      <c r="C1155" s="125" t="n"/>
      <c r="D1155" s="125" t="n"/>
      <c r="E1155" s="125" t="n"/>
      <c r="F1155" s="125" t="n"/>
      <c r="G1155" s="125" t="n"/>
      <c r="I1155" s="89" t="inlineStr">
        <is>
          <t>Projétil</t>
        </is>
      </c>
      <c r="J1155" s="17" t="n"/>
      <c r="K1155" s="68">
        <f>DADOS_INVOC!$QC$77</f>
        <v/>
      </c>
      <c r="L1155" s="17" t="n"/>
      <c r="M1155" s="68">
        <f>DADOS_INVOC!$PY$77</f>
        <v/>
      </c>
      <c r="N1155" s="125" t="n"/>
      <c r="O1155" s="89" t="inlineStr">
        <is>
          <t>Projétil</t>
        </is>
      </c>
      <c r="P1155" s="17" t="n"/>
      <c r="Q1155" s="68">
        <f>DADOS_INVOC!$QC$78</f>
        <v/>
      </c>
      <c r="R1155" s="17" t="n"/>
      <c r="S1155" s="68">
        <f>DADOS_INVOC!$PY$78</f>
        <v/>
      </c>
      <c r="T1155" s="125" t="n"/>
      <c r="U1155" s="89" t="inlineStr">
        <is>
          <t>Projétil</t>
        </is>
      </c>
      <c r="V1155" s="17" t="n"/>
      <c r="W1155" s="68">
        <f>DADOS_INVOC!$QC$79</f>
        <v/>
      </c>
      <c r="X1155" s="17" t="n"/>
      <c r="Y1155" s="68">
        <f>DADOS_INVOC!$PY$79</f>
        <v/>
      </c>
      <c r="Z1155" s="125" t="n"/>
      <c r="AB1155" s="89" t="inlineStr">
        <is>
          <t>Projétil</t>
        </is>
      </c>
      <c r="AC1155" s="17" t="n"/>
      <c r="AD1155" s="68">
        <f>DADOS_INVOC!$QC$155</f>
        <v/>
      </c>
      <c r="AE1155" s="17" t="n"/>
      <c r="AF1155" s="68">
        <f>DADOS_INVOC!$PY$155</f>
        <v/>
      </c>
      <c r="AG1155" s="125" t="n"/>
      <c r="AH1155" s="89" t="inlineStr">
        <is>
          <t>Projétil</t>
        </is>
      </c>
      <c r="AI1155" s="17" t="n"/>
      <c r="AJ1155" s="68">
        <f>DADOS_INVOC!$QC$156</f>
        <v/>
      </c>
      <c r="AK1155" s="17" t="n"/>
      <c r="AL1155" s="68">
        <f>DADOS_INVOC!$PY$156</f>
        <v/>
      </c>
      <c r="AM1155" s="125" t="n"/>
      <c r="AN1155" s="89" t="inlineStr">
        <is>
          <t>Projétil</t>
        </is>
      </c>
      <c r="AO1155" s="17" t="n"/>
      <c r="AP1155" s="68">
        <f>DADOS_INVOC!$QC$157</f>
        <v/>
      </c>
      <c r="AQ1155" s="17" t="n"/>
      <c r="AR1155" s="68">
        <f>DADOS_INVOC!$PY$157</f>
        <v/>
      </c>
      <c r="AS1155" s="125" t="n"/>
    </row>
    <row r="1156" hidden="1" outlineLevel="2">
      <c r="A1156" s="8" t="n"/>
      <c r="B1156" s="14" t="n"/>
      <c r="C1156" s="125" t="n"/>
      <c r="D1156" s="125" t="n"/>
      <c r="E1156" s="125" t="n"/>
      <c r="F1156" s="125" t="n"/>
      <c r="G1156" s="125" t="n"/>
      <c r="I1156" s="89" t="n"/>
      <c r="J1156" s="17" t="n"/>
      <c r="K1156" s="89" t="n"/>
      <c r="L1156" s="16" t="n"/>
      <c r="M1156" s="17" t="n"/>
      <c r="N1156" s="125" t="n"/>
      <c r="O1156" s="89" t="n"/>
      <c r="P1156" s="17" t="n"/>
      <c r="Q1156" s="89" t="n"/>
      <c r="R1156" s="16" t="n"/>
      <c r="S1156" s="17" t="n"/>
      <c r="T1156" s="125" t="n"/>
      <c r="U1156" s="89" t="n"/>
      <c r="V1156" s="17" t="n"/>
      <c r="W1156" s="89" t="n"/>
      <c r="X1156" s="16" t="n"/>
      <c r="Y1156" s="17" t="n"/>
      <c r="Z1156" s="125" t="n"/>
      <c r="AB1156" s="89" t="n"/>
      <c r="AC1156" s="17" t="n"/>
      <c r="AD1156" s="89" t="n"/>
      <c r="AE1156" s="16" t="n"/>
      <c r="AF1156" s="17" t="n"/>
      <c r="AG1156" s="125" t="n"/>
      <c r="AH1156" s="89" t="n"/>
      <c r="AI1156" s="17" t="n"/>
      <c r="AJ1156" s="89" t="n"/>
      <c r="AK1156" s="16" t="n"/>
      <c r="AL1156" s="17" t="n"/>
      <c r="AM1156" s="125" t="n"/>
      <c r="AN1156" s="89" t="n"/>
      <c r="AO1156" s="17" t="n"/>
      <c r="AP1156" s="89" t="n"/>
      <c r="AQ1156" s="16" t="n"/>
      <c r="AR1156" s="17" t="n"/>
      <c r="AS1156" s="125" t="n"/>
    </row>
    <row r="1157" hidden="1" outlineLevel="2">
      <c r="A1157" s="8" t="n"/>
      <c r="B1157" s="14" t="n"/>
      <c r="C1157" s="125" t="n"/>
      <c r="D1157" s="125" t="n"/>
      <c r="E1157" s="125" t="n"/>
      <c r="F1157" s="125" t="n"/>
      <c r="G1157" s="125" t="n"/>
      <c r="I1157" s="89">
        <f>DADOS_INVOC!$PZ$77</f>
        <v/>
      </c>
      <c r="J1157" s="17" t="n"/>
      <c r="K1157" s="89">
        <f>DADOS_INVOC!$QB$77</f>
        <v/>
      </c>
      <c r="L1157" s="16" t="n"/>
      <c r="M1157" s="17" t="n"/>
      <c r="N1157" s="125" t="n"/>
      <c r="O1157" s="89">
        <f>DADOS_INVOC!$PZ$78</f>
        <v/>
      </c>
      <c r="P1157" s="17" t="n"/>
      <c r="Q1157" s="89">
        <f>DADOS_INVOC!$QB$78</f>
        <v/>
      </c>
      <c r="R1157" s="16" t="n"/>
      <c r="S1157" s="17" t="n"/>
      <c r="T1157" s="125" t="n"/>
      <c r="U1157" s="89">
        <f>DADOS_INVOC!$PZ$79</f>
        <v/>
      </c>
      <c r="V1157" s="17" t="n"/>
      <c r="W1157" s="89">
        <f>DADOS_INVOC!$QB$79</f>
        <v/>
      </c>
      <c r="X1157" s="16" t="n"/>
      <c r="Y1157" s="17" t="n"/>
      <c r="Z1157" s="125" t="n"/>
      <c r="AB1157" s="89">
        <f>DADOS_INVOC!$PZ$155</f>
        <v/>
      </c>
      <c r="AC1157" s="17" t="n"/>
      <c r="AD1157" s="89">
        <f>DADOS_INVOC!$QB$155</f>
        <v/>
      </c>
      <c r="AE1157" s="16" t="n"/>
      <c r="AF1157" s="17" t="n"/>
      <c r="AG1157" s="125" t="n"/>
      <c r="AH1157" s="89">
        <f>DADOS_INVOC!$PZ$156</f>
        <v/>
      </c>
      <c r="AI1157" s="17" t="n"/>
      <c r="AJ1157" s="89">
        <f>DADOS_INVOC!$QB$156</f>
        <v/>
      </c>
      <c r="AK1157" s="16" t="n"/>
      <c r="AL1157" s="17" t="n"/>
      <c r="AM1157" s="125" t="n"/>
      <c r="AN1157" s="89">
        <f>DADOS_INVOC!$PZ$157</f>
        <v/>
      </c>
      <c r="AO1157" s="17" t="n"/>
      <c r="AP1157" s="89">
        <f>DADOS_INVOC!$QB$157</f>
        <v/>
      </c>
      <c r="AQ1157" s="16" t="n"/>
      <c r="AR1157" s="17" t="n"/>
      <c r="AS1157" s="125" t="n"/>
    </row>
    <row r="1158" hidden="1" outlineLevel="2">
      <c r="A1158" s="8" t="n"/>
      <c r="B1158" s="14" t="n"/>
      <c r="C1158" s="125" t="n"/>
      <c r="D1158" s="125" t="n"/>
      <c r="E1158" s="125" t="n"/>
      <c r="F1158" s="125" t="n"/>
      <c r="G1158" s="125" t="n"/>
      <c r="I1158" s="133">
        <f>DADOS_INVOC!$QH$77</f>
        <v/>
      </c>
      <c r="J1158" s="16" t="n"/>
      <c r="K1158" s="16" t="n"/>
      <c r="L1158" s="16" t="n"/>
      <c r="M1158" s="17" t="n"/>
      <c r="N1158" s="125" t="n"/>
      <c r="O1158" s="133">
        <f>DADOS_INVOC!$QH$78</f>
        <v/>
      </c>
      <c r="P1158" s="16" t="n"/>
      <c r="Q1158" s="16" t="n"/>
      <c r="R1158" s="16" t="n"/>
      <c r="S1158" s="17" t="n"/>
      <c r="T1158" s="125" t="n"/>
      <c r="U1158" s="133">
        <f>DADOS_INVOC!$QH$79</f>
        <v/>
      </c>
      <c r="V1158" s="16" t="n"/>
      <c r="W1158" s="16" t="n"/>
      <c r="X1158" s="16" t="n"/>
      <c r="Y1158" s="17" t="n"/>
      <c r="Z1158" s="125" t="n"/>
      <c r="AB1158" s="133">
        <f>DADOS_INVOC!$QH$155</f>
        <v/>
      </c>
      <c r="AC1158" s="16" t="n"/>
      <c r="AD1158" s="16" t="n"/>
      <c r="AE1158" s="16" t="n"/>
      <c r="AF1158" s="17" t="n"/>
      <c r="AG1158" s="125" t="n"/>
      <c r="AH1158" s="133">
        <f>DADOS_INVOC!$QH$156</f>
        <v/>
      </c>
      <c r="AI1158" s="16" t="n"/>
      <c r="AJ1158" s="16" t="n"/>
      <c r="AK1158" s="16" t="n"/>
      <c r="AL1158" s="17" t="n"/>
      <c r="AM1158" s="125" t="n"/>
      <c r="AN1158" s="133">
        <f>DADOS_INVOC!$QH$157</f>
        <v/>
      </c>
      <c r="AO1158" s="16" t="n"/>
      <c r="AP1158" s="16" t="n"/>
      <c r="AQ1158" s="16" t="n"/>
      <c r="AR1158" s="17" t="n"/>
      <c r="AS1158" s="125" t="n"/>
    </row>
    <row r="1159" hidden="1" outlineLevel="3">
      <c r="A1159" s="8" t="n"/>
      <c r="B1159" s="14" t="n"/>
      <c r="C1159" s="125" t="n"/>
      <c r="D1159" s="125" t="n"/>
      <c r="E1159" s="125" t="n"/>
      <c r="F1159" s="125" t="n"/>
      <c r="G1159" s="125" t="n"/>
      <c r="I1159" s="55" t="inlineStr">
        <is>
          <t>MELHORIAS</t>
        </is>
      </c>
      <c r="J1159" s="134" t="n"/>
      <c r="K1159" s="16" t="n"/>
      <c r="L1159" s="17" t="n"/>
      <c r="M1159" s="133">
        <f>DADOS_INVOC!$QK$77</f>
        <v/>
      </c>
      <c r="N1159" s="125" t="n"/>
      <c r="O1159" s="55" t="inlineStr">
        <is>
          <t>MELHORIAS</t>
        </is>
      </c>
      <c r="P1159" s="134" t="n"/>
      <c r="Q1159" s="16" t="n"/>
      <c r="R1159" s="17" t="n"/>
      <c r="S1159" s="133">
        <f>DADOS_INVOC!$QK$78</f>
        <v/>
      </c>
      <c r="T1159" s="125" t="n"/>
      <c r="U1159" s="55" t="inlineStr">
        <is>
          <t>MELHORIAS</t>
        </is>
      </c>
      <c r="V1159" s="134" t="n"/>
      <c r="W1159" s="16" t="n"/>
      <c r="X1159" s="17" t="n"/>
      <c r="Y1159" s="133">
        <f>DADOS_INVOC!$QK$79</f>
        <v/>
      </c>
      <c r="Z1159" s="125" t="n"/>
      <c r="AB1159" s="55" t="inlineStr">
        <is>
          <t>MELHORIAS</t>
        </is>
      </c>
      <c r="AC1159" s="134" t="n"/>
      <c r="AD1159" s="16" t="n"/>
      <c r="AE1159" s="17" t="n"/>
      <c r="AF1159" s="133">
        <f>DADOS_INVOC!$QK$155</f>
        <v/>
      </c>
      <c r="AG1159" s="125" t="n"/>
      <c r="AH1159" s="55" t="inlineStr">
        <is>
          <t>MELHORIAS</t>
        </is>
      </c>
      <c r="AI1159" s="134" t="n"/>
      <c r="AJ1159" s="16" t="n"/>
      <c r="AK1159" s="17" t="n"/>
      <c r="AL1159" s="133">
        <f>DADOS_INVOC!$QK$156</f>
        <v/>
      </c>
      <c r="AM1159" s="125" t="n"/>
      <c r="AN1159" s="55" t="inlineStr">
        <is>
          <t>MELHORIAS</t>
        </is>
      </c>
      <c r="AO1159" s="134" t="n"/>
      <c r="AP1159" s="16" t="n"/>
      <c r="AQ1159" s="17" t="n"/>
      <c r="AR1159" s="133">
        <f>DADOS_INVOC!$QK$157</f>
        <v/>
      </c>
      <c r="AS1159" s="125" t="n"/>
    </row>
    <row r="1160" hidden="1" outlineLevel="3">
      <c r="A1160" s="8" t="n"/>
      <c r="B1160" s="14" t="n"/>
      <c r="C1160" s="125" t="n"/>
      <c r="D1160" s="125" t="n"/>
      <c r="E1160" s="125" t="n"/>
      <c r="F1160" s="125" t="n"/>
      <c r="G1160" s="125" t="n"/>
      <c r="I1160" s="135" t="n"/>
      <c r="J1160" s="134" t="n"/>
      <c r="K1160" s="16" t="n"/>
      <c r="L1160" s="17" t="n"/>
      <c r="M1160" s="133">
        <f>DADOS_INVOC!$QL$77</f>
        <v/>
      </c>
      <c r="N1160" s="125" t="n"/>
      <c r="O1160" s="135" t="n"/>
      <c r="P1160" s="134" t="n"/>
      <c r="Q1160" s="16" t="n"/>
      <c r="R1160" s="17" t="n"/>
      <c r="S1160" s="133">
        <f>DADOS_INVOC!$QL$78</f>
        <v/>
      </c>
      <c r="T1160" s="125" t="n"/>
      <c r="U1160" s="135" t="n"/>
      <c r="V1160" s="134" t="n"/>
      <c r="W1160" s="16" t="n"/>
      <c r="X1160" s="17" t="n"/>
      <c r="Y1160" s="133">
        <f>DADOS_INVOC!$QL$79</f>
        <v/>
      </c>
      <c r="Z1160" s="125" t="n"/>
      <c r="AB1160" s="135" t="n"/>
      <c r="AC1160" s="134" t="n"/>
      <c r="AD1160" s="16" t="n"/>
      <c r="AE1160" s="17" t="n"/>
      <c r="AF1160" s="133">
        <f>DADOS_INVOC!$QL$155</f>
        <v/>
      </c>
      <c r="AG1160" s="125" t="n"/>
      <c r="AH1160" s="135" t="n"/>
      <c r="AI1160" s="134" t="n"/>
      <c r="AJ1160" s="16" t="n"/>
      <c r="AK1160" s="17" t="n"/>
      <c r="AL1160" s="133">
        <f>DADOS_INVOC!$QL$156</f>
        <v/>
      </c>
      <c r="AM1160" s="125" t="n"/>
      <c r="AN1160" s="135" t="n"/>
      <c r="AO1160" s="134" t="n"/>
      <c r="AP1160" s="16" t="n"/>
      <c r="AQ1160" s="17" t="n"/>
      <c r="AR1160" s="133">
        <f>DADOS_INVOC!$QL$157</f>
        <v/>
      </c>
      <c r="AS1160" s="125" t="n"/>
    </row>
    <row r="1161" hidden="1" outlineLevel="3">
      <c r="A1161" s="8" t="n"/>
      <c r="B1161" s="14" t="n"/>
      <c r="C1161" s="125" t="n"/>
      <c r="D1161" s="125" t="n"/>
      <c r="E1161" s="125" t="n"/>
      <c r="F1161" s="125" t="n"/>
      <c r="G1161" s="125" t="n"/>
      <c r="I1161" s="135" t="n"/>
      <c r="J1161" s="134" t="n"/>
      <c r="K1161" s="16" t="n"/>
      <c r="L1161" s="17" t="n"/>
      <c r="M1161" s="133">
        <f>DADOS_INVOC!$QM$77</f>
        <v/>
      </c>
      <c r="N1161" s="125" t="n"/>
      <c r="O1161" s="135" t="n"/>
      <c r="P1161" s="134" t="n"/>
      <c r="Q1161" s="16" t="n"/>
      <c r="R1161" s="17" t="n"/>
      <c r="S1161" s="133">
        <f>DADOS_INVOC!$QM$78</f>
        <v/>
      </c>
      <c r="T1161" s="125" t="n"/>
      <c r="U1161" s="135" t="n"/>
      <c r="V1161" s="134" t="n"/>
      <c r="W1161" s="16" t="n"/>
      <c r="X1161" s="17" t="n"/>
      <c r="Y1161" s="133">
        <f>DADOS_INVOC!$QM$79</f>
        <v/>
      </c>
      <c r="Z1161" s="125" t="n"/>
      <c r="AB1161" s="135" t="n"/>
      <c r="AC1161" s="134" t="n"/>
      <c r="AD1161" s="16" t="n"/>
      <c r="AE1161" s="17" t="n"/>
      <c r="AF1161" s="133">
        <f>DADOS_INVOC!$QM$155</f>
        <v/>
      </c>
      <c r="AG1161" s="125" t="n"/>
      <c r="AH1161" s="135" t="n"/>
      <c r="AI1161" s="134" t="n"/>
      <c r="AJ1161" s="16" t="n"/>
      <c r="AK1161" s="17" t="n"/>
      <c r="AL1161" s="133">
        <f>DADOS_INVOC!$QM$156</f>
        <v/>
      </c>
      <c r="AM1161" s="125" t="n"/>
      <c r="AN1161" s="135" t="n"/>
      <c r="AO1161" s="134" t="n"/>
      <c r="AP1161" s="16" t="n"/>
      <c r="AQ1161" s="17" t="n"/>
      <c r="AR1161" s="133">
        <f>DADOS_INVOC!$QM$157</f>
        <v/>
      </c>
      <c r="AS1161" s="125" t="n"/>
    </row>
    <row r="1162" hidden="1" outlineLevel="3">
      <c r="A1162" s="8" t="n"/>
      <c r="B1162" s="14" t="n"/>
      <c r="C1162" s="125" t="n"/>
      <c r="D1162" s="125" t="n"/>
      <c r="E1162" s="125" t="n"/>
      <c r="F1162" s="125" t="n"/>
      <c r="G1162" s="125" t="n"/>
      <c r="I1162" s="129" t="n"/>
      <c r="J1162" s="134" t="n"/>
      <c r="K1162" s="16" t="n"/>
      <c r="L1162" s="17" t="n"/>
      <c r="M1162" s="133">
        <f>DADOS_INVOC!$QN$77</f>
        <v/>
      </c>
      <c r="N1162" s="125" t="n"/>
      <c r="O1162" s="129" t="n"/>
      <c r="P1162" s="134" t="n"/>
      <c r="Q1162" s="16" t="n"/>
      <c r="R1162" s="17" t="n"/>
      <c r="S1162" s="133">
        <f>DADOS_INVOC!$QN$78</f>
        <v/>
      </c>
      <c r="T1162" s="125" t="n"/>
      <c r="U1162" s="129" t="n"/>
      <c r="V1162" s="134" t="n"/>
      <c r="W1162" s="16" t="n"/>
      <c r="X1162" s="17" t="n"/>
      <c r="Y1162" s="133">
        <f>DADOS_INVOC!$QN$79</f>
        <v/>
      </c>
      <c r="Z1162" s="125" t="n"/>
      <c r="AB1162" s="129" t="n"/>
      <c r="AC1162" s="134" t="n"/>
      <c r="AD1162" s="16" t="n"/>
      <c r="AE1162" s="17" t="n"/>
      <c r="AF1162" s="133">
        <f>DADOS_INVOC!$QN$155</f>
        <v/>
      </c>
      <c r="AG1162" s="125" t="n"/>
      <c r="AH1162" s="129" t="n"/>
      <c r="AI1162" s="134" t="n"/>
      <c r="AJ1162" s="16" t="n"/>
      <c r="AK1162" s="17" t="n"/>
      <c r="AL1162" s="133">
        <f>DADOS_INVOC!$QN$156</f>
        <v/>
      </c>
      <c r="AM1162" s="125" t="n"/>
      <c r="AN1162" s="129" t="n"/>
      <c r="AO1162" s="134" t="n"/>
      <c r="AP1162" s="16" t="n"/>
      <c r="AQ1162" s="17" t="n"/>
      <c r="AR1162" s="133">
        <f>DADOS_INVOC!$QN$157</f>
        <v/>
      </c>
      <c r="AS1162" s="125" t="n"/>
    </row>
    <row r="1163" hidden="1" outlineLevel="3">
      <c r="A1163" s="8" t="n"/>
      <c r="B1163" s="14" t="n"/>
      <c r="C1163" s="125" t="n"/>
      <c r="D1163" s="125" t="n"/>
      <c r="E1163" s="125" t="n"/>
      <c r="F1163" s="125" t="n"/>
      <c r="G1163" s="125" t="n"/>
      <c r="I1163" s="55" t="inlineStr">
        <is>
          <t>RESTRIÇÕES</t>
        </is>
      </c>
      <c r="J1163" s="134" t="n"/>
      <c r="K1163" s="16" t="n"/>
      <c r="L1163" s="17" t="n"/>
      <c r="M1163" s="133">
        <f>DADOS_INVOC!$QO$77</f>
        <v/>
      </c>
      <c r="N1163" s="125" t="n"/>
      <c r="O1163" s="55" t="inlineStr">
        <is>
          <t>RESTRIÇÕES</t>
        </is>
      </c>
      <c r="P1163" s="134" t="n"/>
      <c r="Q1163" s="16" t="n"/>
      <c r="R1163" s="17" t="n"/>
      <c r="S1163" s="133">
        <f>DADOS_INVOC!$QO$78</f>
        <v/>
      </c>
      <c r="T1163" s="125" t="n"/>
      <c r="U1163" s="55" t="inlineStr">
        <is>
          <t>RESTRIÇÕES</t>
        </is>
      </c>
      <c r="V1163" s="134" t="n"/>
      <c r="W1163" s="16" t="n"/>
      <c r="X1163" s="17" t="n"/>
      <c r="Y1163" s="133">
        <f>DADOS_INVOC!$QO$79</f>
        <v/>
      </c>
      <c r="Z1163" s="125" t="n"/>
      <c r="AB1163" s="55" t="inlineStr">
        <is>
          <t>RESTRIÇÕES</t>
        </is>
      </c>
      <c r="AC1163" s="134" t="n"/>
      <c r="AD1163" s="16" t="n"/>
      <c r="AE1163" s="17" t="n"/>
      <c r="AF1163" s="133">
        <f>DADOS_INVOC!$QO$155</f>
        <v/>
      </c>
      <c r="AG1163" s="125" t="n"/>
      <c r="AH1163" s="55" t="inlineStr">
        <is>
          <t>RESTRIÇÕES</t>
        </is>
      </c>
      <c r="AI1163" s="134" t="n"/>
      <c r="AJ1163" s="16" t="n"/>
      <c r="AK1163" s="17" t="n"/>
      <c r="AL1163" s="133">
        <f>DADOS_INVOC!$QO$156</f>
        <v/>
      </c>
      <c r="AM1163" s="125" t="n"/>
      <c r="AN1163" s="55" t="inlineStr">
        <is>
          <t>RESTRIÇÕES</t>
        </is>
      </c>
      <c r="AO1163" s="134" t="n"/>
      <c r="AP1163" s="16" t="n"/>
      <c r="AQ1163" s="17" t="n"/>
      <c r="AR1163" s="133">
        <f>DADOS_INVOC!$QO$157</f>
        <v/>
      </c>
      <c r="AS1163" s="125" t="n"/>
    </row>
    <row r="1164" hidden="1" outlineLevel="3">
      <c r="A1164" s="8" t="n"/>
      <c r="B1164" s="14" t="n"/>
      <c r="C1164" s="125" t="n"/>
      <c r="D1164" s="125" t="n"/>
      <c r="E1164" s="125" t="n"/>
      <c r="F1164" s="125" t="n"/>
      <c r="G1164" s="125" t="n"/>
      <c r="I1164" s="129" t="n"/>
      <c r="J1164" s="134" t="n"/>
      <c r="K1164" s="16" t="n"/>
      <c r="L1164" s="17" t="n"/>
      <c r="M1164" s="133">
        <f>DADOS_INVOC!$QP$77</f>
        <v/>
      </c>
      <c r="N1164" s="125" t="n"/>
      <c r="O1164" s="129" t="n"/>
      <c r="P1164" s="134" t="n"/>
      <c r="Q1164" s="16" t="n"/>
      <c r="R1164" s="17" t="n"/>
      <c r="S1164" s="133">
        <f>DADOS_INVOC!$QP$78</f>
        <v/>
      </c>
      <c r="T1164" s="125" t="n"/>
      <c r="U1164" s="129" t="n"/>
      <c r="V1164" s="134" t="n"/>
      <c r="W1164" s="16" t="n"/>
      <c r="X1164" s="17" t="n"/>
      <c r="Y1164" s="133">
        <f>DADOS_INVOC!$QP$79</f>
        <v/>
      </c>
      <c r="Z1164" s="125" t="n"/>
      <c r="AB1164" s="129" t="n"/>
      <c r="AC1164" s="134" t="n"/>
      <c r="AD1164" s="16" t="n"/>
      <c r="AE1164" s="17" t="n"/>
      <c r="AF1164" s="133">
        <f>DADOS_INVOC!$QP$155</f>
        <v/>
      </c>
      <c r="AG1164" s="125" t="n"/>
      <c r="AH1164" s="129" t="n"/>
      <c r="AI1164" s="134" t="n"/>
      <c r="AJ1164" s="16" t="n"/>
      <c r="AK1164" s="17" t="n"/>
      <c r="AL1164" s="133">
        <f>DADOS_INVOC!$QP$156</f>
        <v/>
      </c>
      <c r="AM1164" s="125" t="n"/>
      <c r="AN1164" s="129" t="n"/>
      <c r="AO1164" s="134" t="n"/>
      <c r="AP1164" s="16" t="n"/>
      <c r="AQ1164" s="17" t="n"/>
      <c r="AR1164" s="133">
        <f>DADOS_INVOC!$QP$157</f>
        <v/>
      </c>
      <c r="AS1164" s="125" t="n"/>
    </row>
    <row r="1165" hidden="1" outlineLevel="3">
      <c r="A1165" s="8" t="n"/>
      <c r="B1165" s="14" t="n"/>
      <c r="C1165" s="125" t="n"/>
      <c r="D1165" s="125" t="n"/>
      <c r="E1165" s="125" t="n"/>
      <c r="F1165" s="125" t="n"/>
      <c r="G1165" s="125" t="n"/>
      <c r="I1165" s="55" t="inlineStr">
        <is>
          <t>CONTA</t>
        </is>
      </c>
      <c r="J1165" s="136">
        <f>DADOS_INVOC!$QI$77</f>
        <v/>
      </c>
      <c r="K1165" s="16" t="n"/>
      <c r="L1165" s="16" t="n"/>
      <c r="M1165" s="17" t="n"/>
      <c r="N1165" s="125" t="n"/>
      <c r="O1165" s="55" t="inlineStr">
        <is>
          <t>CONTA</t>
        </is>
      </c>
      <c r="P1165" s="136">
        <f>DADOS_INVOC!$QI$78</f>
        <v/>
      </c>
      <c r="Q1165" s="16" t="n"/>
      <c r="R1165" s="16" t="n"/>
      <c r="S1165" s="17" t="n"/>
      <c r="T1165" s="125" t="n"/>
      <c r="U1165" s="55" t="inlineStr">
        <is>
          <t>CONTA</t>
        </is>
      </c>
      <c r="V1165" s="136">
        <f>DADOS_INVOC!$QI$79</f>
        <v/>
      </c>
      <c r="W1165" s="16" t="n"/>
      <c r="X1165" s="16" t="n"/>
      <c r="Y1165" s="17" t="n"/>
      <c r="Z1165" s="125" t="n"/>
      <c r="AB1165" s="55" t="inlineStr">
        <is>
          <t>CONTA</t>
        </is>
      </c>
      <c r="AC1165" s="136">
        <f>DADOS_INVOC!$QI$155</f>
        <v/>
      </c>
      <c r="AD1165" s="16" t="n"/>
      <c r="AE1165" s="16" t="n"/>
      <c r="AF1165" s="17" t="n"/>
      <c r="AG1165" s="125" t="n"/>
      <c r="AH1165" s="55" t="inlineStr">
        <is>
          <t>CONTA</t>
        </is>
      </c>
      <c r="AI1165" s="136">
        <f>DADOS_INVOC!$QI$156</f>
        <v/>
      </c>
      <c r="AJ1165" s="16" t="n"/>
      <c r="AK1165" s="16" t="n"/>
      <c r="AL1165" s="17" t="n"/>
      <c r="AM1165" s="125" t="n"/>
      <c r="AN1165" s="55" t="inlineStr">
        <is>
          <t>CONTA</t>
        </is>
      </c>
      <c r="AO1165" s="136">
        <f>DADOS_INVOC!$QI$157</f>
        <v/>
      </c>
      <c r="AP1165" s="16" t="n"/>
      <c r="AQ1165" s="16" t="n"/>
      <c r="AR1165" s="17" t="n"/>
      <c r="AS1165" s="125" t="n"/>
    </row>
    <row r="1166" hidden="1" outlineLevel="3">
      <c r="A1166" s="8" t="n"/>
      <c r="B1166" s="14" t="n"/>
      <c r="C1166" s="125" t="n"/>
      <c r="D1166" s="125" t="n"/>
      <c r="E1166" s="125" t="n"/>
      <c r="F1166" s="125" t="n"/>
      <c r="G1166" s="125" t="n"/>
      <c r="I1166" s="55" t="inlineStr">
        <is>
          <t>AMPLIAR</t>
        </is>
      </c>
      <c r="J1166" s="136">
        <f>DADOS_INVOC!$QJ$77</f>
        <v/>
      </c>
      <c r="K1166" s="19" t="n"/>
      <c r="L1166" s="19" t="n"/>
      <c r="M1166" s="20" t="n"/>
      <c r="N1166" s="125" t="n"/>
      <c r="O1166" s="55" t="inlineStr">
        <is>
          <t>AMPLIAR</t>
        </is>
      </c>
      <c r="P1166" s="136">
        <f>DADOS_INVOC!$QJ$78</f>
        <v/>
      </c>
      <c r="Q1166" s="19" t="n"/>
      <c r="R1166" s="19" t="n"/>
      <c r="S1166" s="20" t="n"/>
      <c r="T1166" s="125" t="n"/>
      <c r="U1166" s="55" t="inlineStr">
        <is>
          <t>AMPLIAR</t>
        </is>
      </c>
      <c r="V1166" s="136">
        <f>DADOS_INVOC!$QJ$79</f>
        <v/>
      </c>
      <c r="W1166" s="19" t="n"/>
      <c r="X1166" s="19" t="n"/>
      <c r="Y1166" s="20" t="n"/>
      <c r="Z1166" s="125" t="n"/>
      <c r="AB1166" s="55" t="inlineStr">
        <is>
          <t>AMPLIAR</t>
        </is>
      </c>
      <c r="AC1166" s="136">
        <f>DADOS_INVOC!$QJ$155</f>
        <v/>
      </c>
      <c r="AD1166" s="19" t="n"/>
      <c r="AE1166" s="19" t="n"/>
      <c r="AF1166" s="20" t="n"/>
      <c r="AG1166" s="125" t="n"/>
      <c r="AH1166" s="55" t="inlineStr">
        <is>
          <t>AMPLIAR</t>
        </is>
      </c>
      <c r="AI1166" s="136">
        <f>DADOS_INVOC!$QJ$156</f>
        <v/>
      </c>
      <c r="AJ1166" s="19" t="n"/>
      <c r="AK1166" s="19" t="n"/>
      <c r="AL1166" s="20" t="n"/>
      <c r="AM1166" s="125" t="n"/>
      <c r="AN1166" s="55" t="inlineStr">
        <is>
          <t>AMPLIAR</t>
        </is>
      </c>
      <c r="AO1166" s="136">
        <f>DADOS_INVOC!$QJ$157</f>
        <v/>
      </c>
      <c r="AP1166" s="19" t="n"/>
      <c r="AQ1166" s="19" t="n"/>
      <c r="AR1166" s="20" t="n"/>
      <c r="AS1166" s="125" t="n"/>
    </row>
    <row r="1167" hidden="1" outlineLevel="3">
      <c r="A1167" s="8" t="n"/>
      <c r="B1167" s="14" t="n"/>
      <c r="C1167" s="125" t="n"/>
      <c r="D1167" s="125" t="n"/>
      <c r="E1167" s="125" t="n"/>
      <c r="F1167" s="125" t="n"/>
      <c r="G1167" s="125" t="n"/>
      <c r="I1167" s="129" t="n"/>
      <c r="J1167" s="23" t="n"/>
      <c r="K1167" s="24" t="n"/>
      <c r="L1167" s="24" t="n"/>
      <c r="M1167" s="25" t="n"/>
      <c r="N1167" s="125" t="n"/>
      <c r="O1167" s="129" t="n"/>
      <c r="P1167" s="23" t="n"/>
      <c r="Q1167" s="24" t="n"/>
      <c r="R1167" s="24" t="n"/>
      <c r="S1167" s="25" t="n"/>
      <c r="T1167" s="125" t="n"/>
      <c r="U1167" s="129" t="n"/>
      <c r="V1167" s="23" t="n"/>
      <c r="W1167" s="24" t="n"/>
      <c r="X1167" s="24" t="n"/>
      <c r="Y1167" s="25" t="n"/>
      <c r="Z1167" s="125" t="n"/>
      <c r="AB1167" s="129" t="n"/>
      <c r="AC1167" s="23" t="n"/>
      <c r="AD1167" s="24" t="n"/>
      <c r="AE1167" s="24" t="n"/>
      <c r="AF1167" s="25" t="n"/>
      <c r="AG1167" s="125" t="n"/>
      <c r="AH1167" s="129" t="n"/>
      <c r="AI1167" s="23" t="n"/>
      <c r="AJ1167" s="24" t="n"/>
      <c r="AK1167" s="24" t="n"/>
      <c r="AL1167" s="25" t="n"/>
      <c r="AM1167" s="125" t="n"/>
      <c r="AN1167" s="129" t="n"/>
      <c r="AO1167" s="23" t="n"/>
      <c r="AP1167" s="24" t="n"/>
      <c r="AQ1167" s="24" t="n"/>
      <c r="AR1167" s="25" t="n"/>
      <c r="AS1167" s="125" t="n"/>
    </row>
    <row r="1168" hidden="1" outlineLevel="3">
      <c r="A1168" s="8" t="n"/>
      <c r="B1168" s="14" t="n"/>
      <c r="C1168" s="125" t="n"/>
      <c r="D1168" s="125" t="n"/>
      <c r="E1168" s="125" t="n"/>
      <c r="F1168" s="125" t="n"/>
      <c r="G1168" s="125" t="n"/>
      <c r="I1168" s="136">
        <f>DADOS_INVOC!$PW$77</f>
        <v/>
      </c>
      <c r="J1168" s="19" t="n"/>
      <c r="K1168" s="19" t="n"/>
      <c r="L1168" s="19" t="n"/>
      <c r="M1168" s="20" t="n"/>
      <c r="N1168" s="125" t="n"/>
      <c r="O1168" s="136">
        <f>DADOS_INVOC!$PW$78</f>
        <v/>
      </c>
      <c r="P1168" s="19" t="n"/>
      <c r="Q1168" s="19" t="n"/>
      <c r="R1168" s="19" t="n"/>
      <c r="S1168" s="20" t="n"/>
      <c r="T1168" s="125" t="n"/>
      <c r="U1168" s="136">
        <f>DADOS_INVOC!$PW$79</f>
        <v/>
      </c>
      <c r="V1168" s="19" t="n"/>
      <c r="W1168" s="19" t="n"/>
      <c r="X1168" s="19" t="n"/>
      <c r="Y1168" s="20" t="n"/>
      <c r="Z1168" s="125" t="n"/>
      <c r="AB1168" s="136">
        <f>DADOS_INVOC!$PW$155</f>
        <v/>
      </c>
      <c r="AC1168" s="19" t="n"/>
      <c r="AD1168" s="19" t="n"/>
      <c r="AE1168" s="19" t="n"/>
      <c r="AF1168" s="20" t="n"/>
      <c r="AG1168" s="125" t="n"/>
      <c r="AH1168" s="136">
        <f>DADOS_INVOC!$PW$156</f>
        <v/>
      </c>
      <c r="AI1168" s="19" t="n"/>
      <c r="AJ1168" s="19" t="n"/>
      <c r="AK1168" s="19" t="n"/>
      <c r="AL1168" s="20" t="n"/>
      <c r="AM1168" s="125" t="n"/>
      <c r="AN1168" s="136">
        <f>DADOS_INVOC!$PW$157</f>
        <v/>
      </c>
      <c r="AO1168" s="19" t="n"/>
      <c r="AP1168" s="19" t="n"/>
      <c r="AQ1168" s="19" t="n"/>
      <c r="AR1168" s="20" t="n"/>
      <c r="AS1168" s="125" t="n"/>
    </row>
    <row r="1169" hidden="1" outlineLevel="3">
      <c r="A1169" s="8" t="n"/>
      <c r="B1169" s="14" t="n"/>
      <c r="C1169" s="125" t="n"/>
      <c r="D1169" s="125" t="n"/>
      <c r="E1169" s="125" t="n"/>
      <c r="F1169" s="125" t="n"/>
      <c r="G1169" s="125" t="n"/>
      <c r="I1169" s="23" t="n"/>
      <c r="J1169" s="24" t="n"/>
      <c r="K1169" s="24" t="n"/>
      <c r="L1169" s="24" t="n"/>
      <c r="M1169" s="25" t="n"/>
      <c r="N1169" s="125" t="n"/>
      <c r="O1169" s="23" t="n"/>
      <c r="P1169" s="24" t="n"/>
      <c r="Q1169" s="24" t="n"/>
      <c r="R1169" s="24" t="n"/>
      <c r="S1169" s="25" t="n"/>
      <c r="T1169" s="125" t="n"/>
      <c r="U1169" s="23" t="n"/>
      <c r="V1169" s="24" t="n"/>
      <c r="W1169" s="24" t="n"/>
      <c r="X1169" s="24" t="n"/>
      <c r="Y1169" s="25" t="n"/>
      <c r="Z1169" s="125" t="n"/>
      <c r="AB1169" s="23" t="n"/>
      <c r="AC1169" s="24" t="n"/>
      <c r="AD1169" s="24" t="n"/>
      <c r="AE1169" s="24" t="n"/>
      <c r="AF1169" s="25" t="n"/>
      <c r="AG1169" s="125" t="n"/>
      <c r="AH1169" s="23" t="n"/>
      <c r="AI1169" s="24" t="n"/>
      <c r="AJ1169" s="24" t="n"/>
      <c r="AK1169" s="24" t="n"/>
      <c r="AL1169" s="25" t="n"/>
      <c r="AM1169" s="125" t="n"/>
      <c r="AN1169" s="23" t="n"/>
      <c r="AO1169" s="24" t="n"/>
      <c r="AP1169" s="24" t="n"/>
      <c r="AQ1169" s="24" t="n"/>
      <c r="AR1169" s="25" t="n"/>
      <c r="AS1169" s="125" t="n"/>
    </row>
    <row r="1170" hidden="1" outlineLevel="2">
      <c r="A1170" s="8" t="n"/>
      <c r="B1170" s="14" t="n"/>
      <c r="C1170" s="125" t="n"/>
      <c r="D1170" s="125" t="n"/>
      <c r="E1170" s="125" t="n"/>
      <c r="F1170" s="125" t="n"/>
      <c r="G1170" s="125" t="n"/>
      <c r="I1170" s="125" t="n"/>
      <c r="J1170" s="125" t="n"/>
      <c r="K1170" s="125" t="n"/>
      <c r="L1170" s="125" t="n"/>
      <c r="M1170" s="125" t="n"/>
      <c r="N1170" s="125" t="n"/>
      <c r="O1170" s="125" t="n"/>
      <c r="P1170" s="125" t="n"/>
      <c r="Q1170" s="125" t="n"/>
      <c r="R1170" s="125" t="n"/>
      <c r="S1170" s="125" t="n"/>
      <c r="T1170" s="125" t="n"/>
      <c r="U1170" s="125" t="n"/>
      <c r="V1170" s="125" t="n"/>
      <c r="W1170" s="125" t="n"/>
      <c r="X1170" s="125" t="n"/>
      <c r="Y1170" s="125" t="n"/>
      <c r="Z1170" s="125" t="n"/>
      <c r="AB1170" s="125" t="n"/>
      <c r="AC1170" s="125" t="n"/>
      <c r="AD1170" s="125" t="n"/>
      <c r="AE1170" s="125" t="n"/>
      <c r="AF1170" s="125" t="n"/>
      <c r="AG1170" s="125" t="n"/>
      <c r="AH1170" s="125" t="n"/>
      <c r="AI1170" s="125" t="n"/>
      <c r="AJ1170" s="125" t="n"/>
      <c r="AK1170" s="125" t="n"/>
      <c r="AL1170" s="125" t="n"/>
      <c r="AM1170" s="125" t="n"/>
      <c r="AN1170" s="125" t="n"/>
      <c r="AO1170" s="125" t="n"/>
      <c r="AP1170" s="125" t="n"/>
      <c r="AQ1170" s="125" t="n"/>
      <c r="AR1170" s="125" t="n"/>
      <c r="AS1170" s="125" t="n"/>
    </row>
    <row r="1171" hidden="1" outlineLevel="2">
      <c r="A1171" s="8" t="n"/>
      <c r="B1171" s="14" t="n"/>
      <c r="C1171" s="125" t="n"/>
      <c r="D1171" s="125" t="n"/>
      <c r="E1171" s="125" t="n"/>
      <c r="F1171" s="125" t="n"/>
      <c r="G1171" s="125"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5"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5" t="n"/>
    </row>
    <row r="1172" hidden="1" outlineLevel="2">
      <c r="A1172" s="8" t="n"/>
      <c r="B1172" s="14" t="n"/>
      <c r="C1172" s="125" t="n"/>
      <c r="D1172" s="125" t="n"/>
      <c r="E1172" s="125" t="n"/>
      <c r="F1172" s="125" t="n"/>
      <c r="G1172" s="125" t="n"/>
      <c r="I1172" s="55" t="inlineStr">
        <is>
          <t>TRILHA · CE 1</t>
        </is>
      </c>
      <c r="J1172" s="134" t="n"/>
      <c r="K1172" s="16" t="n"/>
      <c r="L1172" s="17" t="n"/>
      <c r="M1172" s="141">
        <f>DADOS_INVOC!$IU$7</f>
        <v/>
      </c>
      <c r="N1172" s="16" t="n"/>
      <c r="O1172" s="16" t="n"/>
      <c r="P1172" s="16" t="n"/>
      <c r="Q1172" s="16" t="n"/>
      <c r="R1172" s="16" t="n"/>
      <c r="S1172" s="16" t="n"/>
      <c r="T1172" s="16" t="n"/>
      <c r="U1172" s="16" t="n"/>
      <c r="V1172" s="16" t="n"/>
      <c r="W1172" s="16" t="n"/>
      <c r="X1172" s="16" t="n"/>
      <c r="Y1172" s="17" t="n"/>
      <c r="Z1172" s="125" t="n"/>
      <c r="AB1172" s="55" t="inlineStr">
        <is>
          <t>TRILHA · CE 1</t>
        </is>
      </c>
      <c r="AC1172" s="134" t="n"/>
      <c r="AD1172" s="16" t="n"/>
      <c r="AE1172" s="17" t="n"/>
      <c r="AF1172" s="141">
        <f>DADOS_INVOC!$IU$13</f>
        <v/>
      </c>
      <c r="AG1172" s="16" t="n"/>
      <c r="AH1172" s="16" t="n"/>
      <c r="AI1172" s="16" t="n"/>
      <c r="AJ1172" s="16" t="n"/>
      <c r="AK1172" s="16" t="n"/>
      <c r="AL1172" s="16" t="n"/>
      <c r="AM1172" s="16" t="n"/>
      <c r="AN1172" s="16" t="n"/>
      <c r="AO1172" s="16" t="n"/>
      <c r="AP1172" s="16" t="n"/>
      <c r="AQ1172" s="16" t="n"/>
      <c r="AR1172" s="17" t="n"/>
      <c r="AS1172" s="125" t="n"/>
    </row>
    <row r="1173" hidden="1" outlineLevel="2">
      <c r="A1173" s="8" t="n"/>
      <c r="B1173" s="14" t="n"/>
      <c r="C1173" s="125" t="n"/>
      <c r="D1173" s="125" t="n"/>
      <c r="E1173" s="125" t="n"/>
      <c r="F1173" s="125" t="n"/>
      <c r="G1173" s="125" t="n"/>
      <c r="I1173" s="55" t="inlineStr">
        <is>
          <t>TRILHA · CE 1</t>
        </is>
      </c>
      <c r="J1173" s="134" t="n"/>
      <c r="K1173" s="16" t="n"/>
      <c r="L1173" s="17" t="n"/>
      <c r="M1173" s="141">
        <f>DADOS_INVOC!$IV$7</f>
        <v/>
      </c>
      <c r="N1173" s="16" t="n"/>
      <c r="O1173" s="16" t="n"/>
      <c r="P1173" s="16" t="n"/>
      <c r="Q1173" s="16" t="n"/>
      <c r="R1173" s="16" t="n"/>
      <c r="S1173" s="16" t="n"/>
      <c r="T1173" s="16" t="n"/>
      <c r="U1173" s="16" t="n"/>
      <c r="V1173" s="16" t="n"/>
      <c r="W1173" s="16" t="n"/>
      <c r="X1173" s="16" t="n"/>
      <c r="Y1173" s="17" t="n"/>
      <c r="Z1173" s="125" t="n"/>
      <c r="AB1173" s="55" t="inlineStr">
        <is>
          <t>TRILHA · CE 1</t>
        </is>
      </c>
      <c r="AC1173" s="134" t="n"/>
      <c r="AD1173" s="16" t="n"/>
      <c r="AE1173" s="17" t="n"/>
      <c r="AF1173" s="141">
        <f>DADOS_INVOC!$IV$13</f>
        <v/>
      </c>
      <c r="AG1173" s="16" t="n"/>
      <c r="AH1173" s="16" t="n"/>
      <c r="AI1173" s="16" t="n"/>
      <c r="AJ1173" s="16" t="n"/>
      <c r="AK1173" s="16" t="n"/>
      <c r="AL1173" s="16" t="n"/>
      <c r="AM1173" s="16" t="n"/>
      <c r="AN1173" s="16" t="n"/>
      <c r="AO1173" s="16" t="n"/>
      <c r="AP1173" s="16" t="n"/>
      <c r="AQ1173" s="16" t="n"/>
      <c r="AR1173" s="17" t="n"/>
      <c r="AS1173" s="125" t="n"/>
    </row>
    <row r="1174" hidden="1" outlineLevel="2">
      <c r="A1174" s="8" t="n"/>
      <c r="B1174" s="14" t="n"/>
      <c r="C1174" s="125" t="n"/>
      <c r="D1174" s="125" t="n"/>
      <c r="E1174" s="125" t="n"/>
      <c r="F1174" s="125" t="n"/>
      <c r="G1174" s="125" t="n"/>
      <c r="I1174" s="55" t="inlineStr">
        <is>
          <t>TRILHA · CE 1</t>
        </is>
      </c>
      <c r="J1174" s="134" t="n"/>
      <c r="K1174" s="16" t="n"/>
      <c r="L1174" s="17" t="n"/>
      <c r="M1174" s="141">
        <f>DADOS_INVOC!$IW$7</f>
        <v/>
      </c>
      <c r="N1174" s="16" t="n"/>
      <c r="O1174" s="16" t="n"/>
      <c r="P1174" s="16" t="n"/>
      <c r="Q1174" s="16" t="n"/>
      <c r="R1174" s="16" t="n"/>
      <c r="S1174" s="16" t="n"/>
      <c r="T1174" s="16" t="n"/>
      <c r="U1174" s="16" t="n"/>
      <c r="V1174" s="16" t="n"/>
      <c r="W1174" s="16" t="n"/>
      <c r="X1174" s="16" t="n"/>
      <c r="Y1174" s="17" t="n"/>
      <c r="Z1174" s="125" t="n"/>
      <c r="AB1174" s="55" t="inlineStr">
        <is>
          <t>TRILHA · CE 1</t>
        </is>
      </c>
      <c r="AC1174" s="134" t="n"/>
      <c r="AD1174" s="16" t="n"/>
      <c r="AE1174" s="17" t="n"/>
      <c r="AF1174" s="141">
        <f>DADOS_INVOC!$IW$13</f>
        <v/>
      </c>
      <c r="AG1174" s="16" t="n"/>
      <c r="AH1174" s="16" t="n"/>
      <c r="AI1174" s="16" t="n"/>
      <c r="AJ1174" s="16" t="n"/>
      <c r="AK1174" s="16" t="n"/>
      <c r="AL1174" s="16" t="n"/>
      <c r="AM1174" s="16" t="n"/>
      <c r="AN1174" s="16" t="n"/>
      <c r="AO1174" s="16" t="n"/>
      <c r="AP1174" s="16" t="n"/>
      <c r="AQ1174" s="16" t="n"/>
      <c r="AR1174" s="17" t="n"/>
      <c r="AS1174" s="125" t="n"/>
    </row>
    <row r="1175" hidden="1" outlineLevel="1">
      <c r="A1175" s="8" t="n"/>
      <c r="B1175" s="14" t="n"/>
      <c r="C1175" s="125" t="n"/>
      <c r="D1175" s="125" t="n"/>
      <c r="E1175" s="125" t="n"/>
      <c r="F1175" s="125" t="n"/>
      <c r="G1175" s="125" t="n"/>
      <c r="I1175" s="125" t="n"/>
      <c r="J1175" s="125" t="n"/>
      <c r="K1175" s="125" t="n"/>
      <c r="L1175" s="125" t="n"/>
      <c r="M1175" s="125" t="n"/>
      <c r="N1175" s="125" t="n"/>
      <c r="O1175" s="125" t="n"/>
      <c r="P1175" s="125" t="n"/>
      <c r="Q1175" s="125" t="n"/>
      <c r="R1175" s="125" t="n"/>
      <c r="S1175" s="125" t="n"/>
      <c r="T1175" s="125" t="n"/>
      <c r="U1175" s="125" t="n"/>
      <c r="V1175" s="125" t="n"/>
      <c r="W1175" s="125" t="n"/>
      <c r="X1175" s="125" t="n"/>
      <c r="Y1175" s="125" t="n"/>
      <c r="Z1175" s="125" t="n"/>
      <c r="AB1175" s="125" t="n"/>
      <c r="AC1175" s="125" t="n"/>
      <c r="AD1175" s="125" t="n"/>
      <c r="AE1175" s="125" t="n"/>
      <c r="AF1175" s="125" t="n"/>
      <c r="AG1175" s="125" t="n"/>
      <c r="AH1175" s="125" t="n"/>
      <c r="AI1175" s="125" t="n"/>
      <c r="AJ1175" s="125" t="n"/>
      <c r="AK1175" s="125" t="n"/>
      <c r="AL1175" s="125" t="n"/>
      <c r="AM1175" s="125" t="n"/>
      <c r="AN1175" s="125" t="n"/>
      <c r="AO1175" s="125" t="n"/>
      <c r="AP1175" s="125" t="n"/>
      <c r="AQ1175" s="125" t="n"/>
      <c r="AR1175" s="125" t="n"/>
      <c r="AS1175" s="125" t="n"/>
    </row>
    <row r="1176" hidden="1" outlineLevel="1">
      <c r="A1176" s="8" t="n"/>
      <c r="B1176" s="14" t="n"/>
      <c r="C1176" s="125" t="n"/>
      <c r="D1176" s="125" t="n"/>
      <c r="E1176" s="125" t="n"/>
      <c r="F1176" s="125" t="n"/>
      <c r="G1176" s="125" t="n"/>
      <c r="I1176" s="137"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5" t="n"/>
      <c r="AB1176" s="137"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5" t="n"/>
    </row>
    <row r="1177" hidden="1" outlineLevel="2">
      <c r="A1177" s="8" t="n"/>
      <c r="B1177" s="14" t="n"/>
      <c r="C1177" s="125" t="n"/>
      <c r="D1177" s="125" t="n"/>
      <c r="E1177" s="125" t="n"/>
      <c r="F1177" s="125" t="n"/>
      <c r="G1177" s="125" t="n"/>
      <c r="I1177" s="125" t="n"/>
      <c r="J1177" s="125" t="n"/>
      <c r="K1177" s="125" t="n"/>
      <c r="L1177" s="125" t="n"/>
      <c r="M1177" s="125" t="n"/>
      <c r="N1177" s="125" t="n"/>
      <c r="O1177" s="125" t="n"/>
      <c r="P1177" s="125" t="n"/>
      <c r="Q1177" s="125" t="n"/>
      <c r="R1177" s="125" t="n"/>
      <c r="S1177" s="125" t="n"/>
      <c r="T1177" s="125" t="n"/>
      <c r="U1177" s="125" t="n"/>
      <c r="V1177" s="125" t="n"/>
      <c r="W1177" s="125" t="n"/>
      <c r="X1177" s="125" t="n"/>
      <c r="Y1177" s="125" t="n"/>
      <c r="Z1177" s="125" t="n"/>
      <c r="AB1177" s="125" t="n"/>
      <c r="AC1177" s="125" t="n"/>
      <c r="AD1177" s="125" t="n"/>
      <c r="AE1177" s="125" t="n"/>
      <c r="AF1177" s="125" t="n"/>
      <c r="AG1177" s="125" t="n"/>
      <c r="AH1177" s="125" t="n"/>
      <c r="AI1177" s="125" t="n"/>
      <c r="AJ1177" s="125" t="n"/>
      <c r="AK1177" s="125" t="n"/>
      <c r="AL1177" s="125" t="n"/>
      <c r="AM1177" s="125" t="n"/>
      <c r="AN1177" s="125" t="n"/>
      <c r="AO1177" s="125" t="n"/>
      <c r="AP1177" s="125" t="n"/>
      <c r="AQ1177" s="125" t="n"/>
      <c r="AR1177" s="125" t="n"/>
      <c r="AS1177" s="125" t="n"/>
    </row>
    <row r="1178" hidden="1" outlineLevel="2">
      <c r="A1178" s="8" t="n"/>
      <c r="B1178" s="14" t="n"/>
      <c r="C1178" s="125" t="n"/>
      <c r="D1178" s="125" t="n"/>
      <c r="E1178" s="125" t="n"/>
      <c r="F1178" s="125" t="n"/>
      <c r="G1178" s="125" t="n"/>
      <c r="I1178" s="55" t="inlineStr">
        <is>
          <t>LIBERAÇÃO MÁXIMA 1</t>
        </is>
      </c>
      <c r="J1178" s="16" t="n"/>
      <c r="K1178" s="16" t="n"/>
      <c r="L1178" s="16" t="n"/>
      <c r="M1178" s="17" t="n"/>
      <c r="N1178" s="125" t="n"/>
      <c r="O1178" s="55" t="inlineStr">
        <is>
          <t>LIBERAÇÃO MÁXIMA 2</t>
        </is>
      </c>
      <c r="P1178" s="16" t="n"/>
      <c r="Q1178" s="16" t="n"/>
      <c r="R1178" s="16" t="n"/>
      <c r="S1178" s="17" t="n"/>
      <c r="T1178" s="125" t="n"/>
      <c r="U1178" s="55" t="inlineStr">
        <is>
          <t>LIBERAÇÃO MÁXIMA 3</t>
        </is>
      </c>
      <c r="V1178" s="16" t="n"/>
      <c r="W1178" s="16" t="n"/>
      <c r="X1178" s="16" t="n"/>
      <c r="Y1178" s="17" t="n"/>
      <c r="Z1178" s="125" t="n"/>
      <c r="AB1178" s="55" t="inlineStr">
        <is>
          <t>LIBERAÇÃO MÁXIMA 1</t>
        </is>
      </c>
      <c r="AC1178" s="16" t="n"/>
      <c r="AD1178" s="16" t="n"/>
      <c r="AE1178" s="16" t="n"/>
      <c r="AF1178" s="17" t="n"/>
      <c r="AG1178" s="125" t="n"/>
      <c r="AH1178" s="55" t="inlineStr">
        <is>
          <t>LIBERAÇÃO MÁXIMA 2</t>
        </is>
      </c>
      <c r="AI1178" s="16" t="n"/>
      <c r="AJ1178" s="16" t="n"/>
      <c r="AK1178" s="16" t="n"/>
      <c r="AL1178" s="17" t="n"/>
      <c r="AM1178" s="125" t="n"/>
      <c r="AN1178" s="55" t="inlineStr">
        <is>
          <t>LIBERAÇÃO MÁXIMA 3</t>
        </is>
      </c>
      <c r="AO1178" s="16" t="n"/>
      <c r="AP1178" s="16" t="n"/>
      <c r="AQ1178" s="16" t="n"/>
      <c r="AR1178" s="17" t="n"/>
      <c r="AS1178" s="125" t="n"/>
    </row>
    <row r="1179" hidden="1" outlineLevel="2">
      <c r="A1179" s="8" t="n"/>
      <c r="B1179" s="14" t="n"/>
      <c r="C1179" s="125" t="n"/>
      <c r="D1179" s="125" t="n"/>
      <c r="E1179" s="125" t="n"/>
      <c r="F1179" s="125" t="n"/>
      <c r="G1179" s="125" t="n"/>
      <c r="I1179" s="131" t="n">
        <v>3</v>
      </c>
      <c r="J1179" s="120" t="n"/>
      <c r="K1179" s="16" t="n"/>
      <c r="L1179" s="17" t="n"/>
      <c r="M1179" s="132">
        <f>DADOS_INVOC!$IX$7</f>
        <v/>
      </c>
      <c r="N1179" s="125" t="n"/>
      <c r="O1179" s="131" t="n">
        <v>3</v>
      </c>
      <c r="P1179" s="120" t="n"/>
      <c r="Q1179" s="16" t="n"/>
      <c r="R1179" s="17" t="n"/>
      <c r="S1179" s="132">
        <f>DADOS_INVOC!$IY$7</f>
        <v/>
      </c>
      <c r="T1179" s="125" t="n"/>
      <c r="U1179" s="131" t="n">
        <v>3</v>
      </c>
      <c r="V1179" s="120" t="n"/>
      <c r="W1179" s="16" t="n"/>
      <c r="X1179" s="17" t="n"/>
      <c r="Y1179" s="132">
        <f>DADOS_INVOC!$IZ$7</f>
        <v/>
      </c>
      <c r="Z1179" s="125" t="n"/>
      <c r="AB1179" s="131" t="n">
        <v>3</v>
      </c>
      <c r="AC1179" s="120" t="n"/>
      <c r="AD1179" s="16" t="n"/>
      <c r="AE1179" s="17" t="n"/>
      <c r="AF1179" s="132">
        <f>DADOS_INVOC!$IX$13</f>
        <v/>
      </c>
      <c r="AG1179" s="125" t="n"/>
      <c r="AH1179" s="131" t="n">
        <v>3</v>
      </c>
      <c r="AI1179" s="120" t="n"/>
      <c r="AJ1179" s="16" t="n"/>
      <c r="AK1179" s="17" t="n"/>
      <c r="AL1179" s="132">
        <f>DADOS_INVOC!$IY$13</f>
        <v/>
      </c>
      <c r="AM1179" s="125" t="n"/>
      <c r="AN1179" s="131" t="n">
        <v>3</v>
      </c>
      <c r="AO1179" s="120" t="n"/>
      <c r="AP1179" s="16" t="n"/>
      <c r="AQ1179" s="17" t="n"/>
      <c r="AR1179" s="132">
        <f>DADOS_INVOC!$IZ$13</f>
        <v/>
      </c>
      <c r="AS1179" s="125" t="n"/>
    </row>
    <row r="1180" hidden="1" outlineLevel="2">
      <c r="A1180" s="8" t="n"/>
      <c r="B1180" s="14" t="n"/>
      <c r="C1180" s="125" t="n"/>
      <c r="D1180" s="125" t="n"/>
      <c r="E1180" s="125" t="n"/>
      <c r="F1180" s="125" t="n"/>
      <c r="G1180" s="125" t="n"/>
      <c r="I1180" s="121" t="n"/>
      <c r="J1180" s="19" t="n"/>
      <c r="K1180" s="19" t="n"/>
      <c r="L1180" s="19" t="n"/>
      <c r="M1180" s="20" t="n"/>
      <c r="N1180" s="125" t="n"/>
      <c r="O1180" s="121" t="n"/>
      <c r="P1180" s="19" t="n"/>
      <c r="Q1180" s="19" t="n"/>
      <c r="R1180" s="19" t="n"/>
      <c r="S1180" s="20" t="n"/>
      <c r="T1180" s="125" t="n"/>
      <c r="U1180" s="121" t="n"/>
      <c r="V1180" s="19" t="n"/>
      <c r="W1180" s="19" t="n"/>
      <c r="X1180" s="19" t="n"/>
      <c r="Y1180" s="20" t="n"/>
      <c r="Z1180" s="125" t="n"/>
      <c r="AB1180" s="121" t="n"/>
      <c r="AC1180" s="19" t="n"/>
      <c r="AD1180" s="19" t="n"/>
      <c r="AE1180" s="19" t="n"/>
      <c r="AF1180" s="20" t="n"/>
      <c r="AG1180" s="125" t="n"/>
      <c r="AH1180" s="121" t="n"/>
      <c r="AI1180" s="19" t="n"/>
      <c r="AJ1180" s="19" t="n"/>
      <c r="AK1180" s="19" t="n"/>
      <c r="AL1180" s="20" t="n"/>
      <c r="AM1180" s="125" t="n"/>
      <c r="AN1180" s="121" t="n"/>
      <c r="AO1180" s="19" t="n"/>
      <c r="AP1180" s="19" t="n"/>
      <c r="AQ1180" s="19" t="n"/>
      <c r="AR1180" s="20" t="n"/>
      <c r="AS1180" s="125" t="n"/>
    </row>
    <row r="1181" hidden="1" outlineLevel="2">
      <c r="A1181" s="8" t="n"/>
      <c r="B1181" s="14" t="n"/>
      <c r="C1181" s="125" t="n"/>
      <c r="D1181" s="125" t="n"/>
      <c r="E1181" s="125" t="n"/>
      <c r="F1181" s="125" t="n"/>
      <c r="G1181" s="125" t="n"/>
      <c r="I1181" s="21" t="n"/>
      <c r="M1181" s="22" t="n"/>
      <c r="N1181" s="125" t="n"/>
      <c r="O1181" s="21" t="n"/>
      <c r="S1181" s="22" t="n"/>
      <c r="T1181" s="125" t="n"/>
      <c r="U1181" s="21" t="n"/>
      <c r="Y1181" s="22" t="n"/>
      <c r="Z1181" s="125" t="n"/>
      <c r="AB1181" s="21" t="n"/>
      <c r="AF1181" s="22" t="n"/>
      <c r="AG1181" s="125" t="n"/>
      <c r="AH1181" s="21" t="n"/>
      <c r="AL1181" s="22" t="n"/>
      <c r="AM1181" s="125" t="n"/>
      <c r="AN1181" s="21" t="n"/>
      <c r="AR1181" s="22" t="n"/>
      <c r="AS1181" s="125" t="n"/>
    </row>
    <row r="1182" hidden="1" outlineLevel="2">
      <c r="A1182" s="8" t="n"/>
      <c r="B1182" s="14" t="n"/>
      <c r="C1182" s="125" t="n"/>
      <c r="D1182" s="125" t="n"/>
      <c r="E1182" s="125" t="n"/>
      <c r="F1182" s="125" t="n"/>
      <c r="G1182" s="125" t="n"/>
      <c r="I1182" s="21" t="n"/>
      <c r="M1182" s="22" t="n"/>
      <c r="N1182" s="125" t="n"/>
      <c r="O1182" s="21" t="n"/>
      <c r="S1182" s="22" t="n"/>
      <c r="T1182" s="125" t="n"/>
      <c r="U1182" s="21" t="n"/>
      <c r="Y1182" s="22" t="n"/>
      <c r="Z1182" s="125" t="n"/>
      <c r="AB1182" s="21" t="n"/>
      <c r="AF1182" s="22" t="n"/>
      <c r="AG1182" s="125" t="n"/>
      <c r="AH1182" s="21" t="n"/>
      <c r="AL1182" s="22" t="n"/>
      <c r="AM1182" s="125" t="n"/>
      <c r="AN1182" s="21" t="n"/>
      <c r="AR1182" s="22" t="n"/>
      <c r="AS1182" s="125" t="n"/>
    </row>
    <row r="1183" hidden="1" outlineLevel="2">
      <c r="A1183" s="8" t="n"/>
      <c r="B1183" s="14" t="n"/>
      <c r="C1183" s="125" t="n"/>
      <c r="D1183" s="125" t="n"/>
      <c r="E1183" s="125" t="n"/>
      <c r="F1183" s="125" t="n"/>
      <c r="G1183" s="125" t="n"/>
      <c r="I1183" s="23" t="n"/>
      <c r="J1183" s="24" t="n"/>
      <c r="K1183" s="24" t="n"/>
      <c r="L1183" s="24" t="n"/>
      <c r="M1183" s="25" t="n"/>
      <c r="N1183" s="125" t="n"/>
      <c r="O1183" s="23" t="n"/>
      <c r="P1183" s="24" t="n"/>
      <c r="Q1183" s="24" t="n"/>
      <c r="R1183" s="24" t="n"/>
      <c r="S1183" s="25" t="n"/>
      <c r="T1183" s="125" t="n"/>
      <c r="U1183" s="23" t="n"/>
      <c r="V1183" s="24" t="n"/>
      <c r="W1183" s="24" t="n"/>
      <c r="X1183" s="24" t="n"/>
      <c r="Y1183" s="25" t="n"/>
      <c r="Z1183" s="125" t="n"/>
      <c r="AB1183" s="23" t="n"/>
      <c r="AC1183" s="24" t="n"/>
      <c r="AD1183" s="24" t="n"/>
      <c r="AE1183" s="24" t="n"/>
      <c r="AF1183" s="25" t="n"/>
      <c r="AG1183" s="125" t="n"/>
      <c r="AH1183" s="23" t="n"/>
      <c r="AI1183" s="24" t="n"/>
      <c r="AJ1183" s="24" t="n"/>
      <c r="AK1183" s="24" t="n"/>
      <c r="AL1183" s="25" t="n"/>
      <c r="AM1183" s="125" t="n"/>
      <c r="AN1183" s="23" t="n"/>
      <c r="AO1183" s="24" t="n"/>
      <c r="AP1183" s="24" t="n"/>
      <c r="AQ1183" s="24" t="n"/>
      <c r="AR1183" s="25" t="n"/>
      <c r="AS1183" s="125" t="n"/>
    </row>
    <row r="1184" hidden="1" outlineLevel="2">
      <c r="A1184" s="8" t="n"/>
      <c r="B1184" s="14" t="n"/>
      <c r="C1184" s="125" t="n"/>
      <c r="D1184" s="125" t="n"/>
      <c r="E1184" s="125" t="n"/>
      <c r="F1184" s="125" t="n"/>
      <c r="G1184" s="125" t="n"/>
      <c r="I1184" s="68">
        <f>DADOS_INVOC!$JA$7</f>
        <v/>
      </c>
      <c r="J1184" s="16" t="n"/>
      <c r="K1184" s="16" t="n"/>
      <c r="L1184" s="16" t="n"/>
      <c r="M1184" s="17" t="n"/>
      <c r="N1184" s="125" t="n"/>
      <c r="O1184" s="68">
        <f>DADOS_INVOC!$JB$7</f>
        <v/>
      </c>
      <c r="P1184" s="16" t="n"/>
      <c r="Q1184" s="16" t="n"/>
      <c r="R1184" s="16" t="n"/>
      <c r="S1184" s="17" t="n"/>
      <c r="T1184" s="125" t="n"/>
      <c r="U1184" s="68">
        <f>DADOS_INVOC!$JC$7</f>
        <v/>
      </c>
      <c r="V1184" s="16" t="n"/>
      <c r="W1184" s="16" t="n"/>
      <c r="X1184" s="16" t="n"/>
      <c r="Y1184" s="17" t="n"/>
      <c r="Z1184" s="125" t="n"/>
      <c r="AB1184" s="68">
        <f>DADOS_INVOC!$JA$13</f>
        <v/>
      </c>
      <c r="AC1184" s="16" t="n"/>
      <c r="AD1184" s="16" t="n"/>
      <c r="AE1184" s="16" t="n"/>
      <c r="AF1184" s="17" t="n"/>
      <c r="AG1184" s="125" t="n"/>
      <c r="AH1184" s="68">
        <f>DADOS_INVOC!$JB$13</f>
        <v/>
      </c>
      <c r="AI1184" s="16" t="n"/>
      <c r="AJ1184" s="16" t="n"/>
      <c r="AK1184" s="16" t="n"/>
      <c r="AL1184" s="17" t="n"/>
      <c r="AM1184" s="125" t="n"/>
      <c r="AN1184" s="68">
        <f>DADOS_INVOC!$JC$13</f>
        <v/>
      </c>
      <c r="AO1184" s="16" t="n"/>
      <c r="AP1184" s="16" t="n"/>
      <c r="AQ1184" s="16" t="n"/>
      <c r="AR1184" s="17" t="n"/>
      <c r="AS1184" s="125" t="n"/>
    </row>
    <row r="1185" hidden="1" outlineLevel="2">
      <c r="A1185" s="8" t="n"/>
      <c r="B1185" s="14" t="n"/>
      <c r="C1185" s="125" t="n"/>
      <c r="D1185" s="125" t="n"/>
      <c r="E1185" s="125" t="n"/>
      <c r="F1185" s="125" t="n"/>
      <c r="G1185" s="125" t="n"/>
      <c r="I1185" s="89" t="inlineStr">
        <is>
          <t>Sua Ação Completa + a básica dela</t>
        </is>
      </c>
      <c r="J1185" s="16" t="n"/>
      <c r="K1185" s="16" t="n"/>
      <c r="L1185" s="16" t="n"/>
      <c r="M1185" s="17" t="n"/>
      <c r="N1185" s="125" t="n"/>
      <c r="O1185" s="89" t="inlineStr">
        <is>
          <t>Sua Ação Completa + a básica dela</t>
        </is>
      </c>
      <c r="P1185" s="16" t="n"/>
      <c r="Q1185" s="16" t="n"/>
      <c r="R1185" s="16" t="n"/>
      <c r="S1185" s="17" t="n"/>
      <c r="T1185" s="125" t="n"/>
      <c r="U1185" s="89" t="inlineStr">
        <is>
          <t>Sua Ação Completa + a básica dela</t>
        </is>
      </c>
      <c r="V1185" s="16" t="n"/>
      <c r="W1185" s="16" t="n"/>
      <c r="X1185" s="16" t="n"/>
      <c r="Y1185" s="17" t="n"/>
      <c r="Z1185" s="125" t="n"/>
      <c r="AB1185" s="89" t="inlineStr">
        <is>
          <t>Sua Ação Completa + a básica dela</t>
        </is>
      </c>
      <c r="AC1185" s="16" t="n"/>
      <c r="AD1185" s="16" t="n"/>
      <c r="AE1185" s="16" t="n"/>
      <c r="AF1185" s="17" t="n"/>
      <c r="AG1185" s="125" t="n"/>
      <c r="AH1185" s="89" t="inlineStr">
        <is>
          <t>Sua Ação Completa + a básica dela</t>
        </is>
      </c>
      <c r="AI1185" s="16" t="n"/>
      <c r="AJ1185" s="16" t="n"/>
      <c r="AK1185" s="16" t="n"/>
      <c r="AL1185" s="17" t="n"/>
      <c r="AM1185" s="125" t="n"/>
      <c r="AN1185" s="89" t="inlineStr">
        <is>
          <t>Sua Ação Completa + a básica dela</t>
        </is>
      </c>
      <c r="AO1185" s="16" t="n"/>
      <c r="AP1185" s="16" t="n"/>
      <c r="AQ1185" s="16" t="n"/>
      <c r="AR1185" s="17" t="n"/>
      <c r="AS1185" s="125" t="n"/>
    </row>
    <row r="1186" hidden="1" outlineLevel="2">
      <c r="A1186" s="8" t="n"/>
      <c r="B1186" s="14" t="n"/>
      <c r="C1186" s="125" t="n"/>
      <c r="D1186" s="125" t="n"/>
      <c r="E1186" s="125" t="n"/>
      <c r="F1186" s="125" t="n"/>
      <c r="G1186" s="125" t="n"/>
      <c r="I1186" s="125" t="n"/>
      <c r="J1186" s="125" t="n"/>
      <c r="K1186" s="125" t="n"/>
      <c r="L1186" s="125" t="n"/>
      <c r="M1186" s="125" t="n"/>
      <c r="N1186" s="125" t="n"/>
      <c r="O1186" s="125" t="n"/>
      <c r="P1186" s="125" t="n"/>
      <c r="Q1186" s="125" t="n"/>
      <c r="R1186" s="125" t="n"/>
      <c r="S1186" s="125" t="n"/>
      <c r="T1186" s="125" t="n"/>
      <c r="U1186" s="125" t="n"/>
      <c r="V1186" s="125" t="n"/>
      <c r="W1186" s="125" t="n"/>
      <c r="X1186" s="125" t="n"/>
      <c r="Y1186" s="125" t="n"/>
      <c r="Z1186" s="125" t="n"/>
      <c r="AB1186" s="125" t="n"/>
      <c r="AC1186" s="125" t="n"/>
      <c r="AD1186" s="125" t="n"/>
      <c r="AE1186" s="125" t="n"/>
      <c r="AF1186" s="125" t="n"/>
      <c r="AG1186" s="125" t="n"/>
      <c r="AH1186" s="125" t="n"/>
      <c r="AI1186" s="125" t="n"/>
      <c r="AJ1186" s="125" t="n"/>
      <c r="AK1186" s="125" t="n"/>
      <c r="AL1186" s="125" t="n"/>
      <c r="AM1186" s="125" t="n"/>
      <c r="AN1186" s="125" t="n"/>
      <c r="AO1186" s="125" t="n"/>
      <c r="AP1186" s="125" t="n"/>
      <c r="AQ1186" s="125" t="n"/>
      <c r="AR1186" s="125" t="n"/>
      <c r="AS1186" s="125" t="n"/>
    </row>
    <row r="1187" hidden="1" outlineLevel="2">
      <c r="A1187" s="8" t="n"/>
      <c r="B1187" s="14" t="n"/>
      <c r="C1187" s="125" t="n"/>
      <c r="D1187" s="125" t="n"/>
      <c r="E1187" s="125" t="n"/>
      <c r="F1187" s="125" t="n"/>
      <c r="G1187" s="125" t="n"/>
      <c r="I1187" s="55" t="inlineStr">
        <is>
          <t>TÉCNICA MÁXIMA</t>
        </is>
      </c>
      <c r="J1187" s="16" t="n"/>
      <c r="K1187" s="16" t="n"/>
      <c r="L1187" s="16" t="n"/>
      <c r="M1187" s="17" t="n"/>
      <c r="N1187" s="125" t="n"/>
      <c r="O1187" s="55" t="inlineStr">
        <is>
          <t>EXPANSÃO DE DOMÍNIO</t>
        </is>
      </c>
      <c r="P1187" s="16" t="n"/>
      <c r="Q1187" s="16" t="n"/>
      <c r="R1187" s="16" t="n"/>
      <c r="S1187" s="17" t="n"/>
      <c r="T1187" s="125" t="n"/>
      <c r="U1187" s="125" t="n"/>
      <c r="V1187" s="125" t="n"/>
      <c r="W1187" s="125" t="n"/>
      <c r="X1187" s="125" t="n"/>
      <c r="Y1187" s="125" t="n"/>
      <c r="Z1187" s="125" t="n"/>
      <c r="AB1187" s="55" t="inlineStr">
        <is>
          <t>TÉCNICA MÁXIMA</t>
        </is>
      </c>
      <c r="AC1187" s="16" t="n"/>
      <c r="AD1187" s="16" t="n"/>
      <c r="AE1187" s="16" t="n"/>
      <c r="AF1187" s="17" t="n"/>
      <c r="AG1187" s="125" t="n"/>
      <c r="AH1187" s="55" t="inlineStr">
        <is>
          <t>EXPANSÃO DE DOMÍNIO</t>
        </is>
      </c>
      <c r="AI1187" s="16" t="n"/>
      <c r="AJ1187" s="16" t="n"/>
      <c r="AK1187" s="16" t="n"/>
      <c r="AL1187" s="17" t="n"/>
      <c r="AM1187" s="125" t="n"/>
      <c r="AN1187" s="125" t="n"/>
      <c r="AO1187" s="125" t="n"/>
      <c r="AP1187" s="125" t="n"/>
      <c r="AQ1187" s="125" t="n"/>
      <c r="AR1187" s="125" t="n"/>
      <c r="AS1187" s="125" t="n"/>
    </row>
    <row r="1188" hidden="1" outlineLevel="2">
      <c r="A1188" s="8" t="n"/>
      <c r="B1188" s="14" t="n"/>
      <c r="C1188" s="125" t="n"/>
      <c r="D1188" s="125" t="n"/>
      <c r="E1188" s="125" t="n"/>
      <c r="F1188" s="125" t="n"/>
      <c r="G1188" s="125" t="n"/>
      <c r="I1188" s="120" t="n"/>
      <c r="J1188" s="16" t="n"/>
      <c r="K1188" s="16" t="n"/>
      <c r="L1188" s="17" t="n"/>
      <c r="M1188" s="132">
        <f>DADOS_INVOC!$JD$7</f>
        <v/>
      </c>
      <c r="N1188" s="125" t="n"/>
      <c r="O1188" s="120" t="n"/>
      <c r="P1188" s="16" t="n"/>
      <c r="Q1188" s="16" t="n"/>
      <c r="R1188" s="17" t="n"/>
      <c r="S1188" s="132">
        <f>DADOS_INVOC!$JF$7</f>
        <v/>
      </c>
      <c r="T1188" s="125" t="n"/>
      <c r="U1188" s="125" t="n"/>
      <c r="V1188" s="125" t="n"/>
      <c r="W1188" s="125" t="n"/>
      <c r="X1188" s="125" t="n"/>
      <c r="Y1188" s="125" t="n"/>
      <c r="Z1188" s="125" t="n"/>
      <c r="AB1188" s="120" t="n"/>
      <c r="AC1188" s="16" t="n"/>
      <c r="AD1188" s="16" t="n"/>
      <c r="AE1188" s="17" t="n"/>
      <c r="AF1188" s="132">
        <f>DADOS_INVOC!$JD$13</f>
        <v/>
      </c>
      <c r="AG1188" s="125" t="n"/>
      <c r="AH1188" s="120" t="n"/>
      <c r="AI1188" s="16" t="n"/>
      <c r="AJ1188" s="16" t="n"/>
      <c r="AK1188" s="17" t="n"/>
      <c r="AL1188" s="132">
        <f>DADOS_INVOC!$JF$13</f>
        <v/>
      </c>
      <c r="AM1188" s="125" t="n"/>
      <c r="AN1188" s="125" t="n"/>
      <c r="AO1188" s="125" t="n"/>
      <c r="AP1188" s="125" t="n"/>
      <c r="AQ1188" s="125" t="n"/>
      <c r="AR1188" s="125" t="n"/>
      <c r="AS1188" s="125" t="n"/>
    </row>
    <row r="1189" hidden="1" outlineLevel="2">
      <c r="A1189" s="8" t="n"/>
      <c r="B1189" s="14" t="n"/>
      <c r="C1189" s="125" t="n"/>
      <c r="D1189" s="125" t="n"/>
      <c r="E1189" s="125" t="n"/>
      <c r="F1189" s="125" t="n"/>
      <c r="G1189" s="125" t="n"/>
      <c r="I1189" s="121" t="n"/>
      <c r="J1189" s="19" t="n"/>
      <c r="K1189" s="19" t="n"/>
      <c r="L1189" s="19" t="n"/>
      <c r="M1189" s="20" t="n"/>
      <c r="N1189" s="125" t="n"/>
      <c r="O1189" s="121" t="n"/>
      <c r="P1189" s="19" t="n"/>
      <c r="Q1189" s="19" t="n"/>
      <c r="R1189" s="19" t="n"/>
      <c r="S1189" s="20" t="n"/>
      <c r="T1189" s="125" t="n"/>
      <c r="U1189" s="125" t="n"/>
      <c r="V1189" s="125" t="n"/>
      <c r="W1189" s="125" t="n"/>
      <c r="X1189" s="125" t="n"/>
      <c r="Y1189" s="125" t="n"/>
      <c r="Z1189" s="125" t="n"/>
      <c r="AB1189" s="121" t="n"/>
      <c r="AC1189" s="19" t="n"/>
      <c r="AD1189" s="19" t="n"/>
      <c r="AE1189" s="19" t="n"/>
      <c r="AF1189" s="20" t="n"/>
      <c r="AG1189" s="125" t="n"/>
      <c r="AH1189" s="121" t="n"/>
      <c r="AI1189" s="19" t="n"/>
      <c r="AJ1189" s="19" t="n"/>
      <c r="AK1189" s="19" t="n"/>
      <c r="AL1189" s="20" t="n"/>
      <c r="AM1189" s="125" t="n"/>
      <c r="AN1189" s="125" t="n"/>
      <c r="AO1189" s="125" t="n"/>
      <c r="AP1189" s="125" t="n"/>
      <c r="AQ1189" s="125" t="n"/>
      <c r="AR1189" s="125" t="n"/>
      <c r="AS1189" s="125" t="n"/>
    </row>
    <row r="1190" hidden="1" outlineLevel="2">
      <c r="A1190" s="8" t="n"/>
      <c r="B1190" s="14" t="n"/>
      <c r="C1190" s="125" t="n"/>
      <c r="D1190" s="125" t="n"/>
      <c r="E1190" s="125" t="n"/>
      <c r="F1190" s="125" t="n"/>
      <c r="G1190" s="125" t="n"/>
      <c r="I1190" s="21" t="n"/>
      <c r="M1190" s="22" t="n"/>
      <c r="N1190" s="125" t="n"/>
      <c r="O1190" s="21" t="n"/>
      <c r="S1190" s="22" t="n"/>
      <c r="T1190" s="125" t="n"/>
      <c r="U1190" s="125" t="n"/>
      <c r="V1190" s="125" t="n"/>
      <c r="W1190" s="125" t="n"/>
      <c r="X1190" s="125" t="n"/>
      <c r="Y1190" s="125" t="n"/>
      <c r="Z1190" s="125" t="n"/>
      <c r="AB1190" s="21" t="n"/>
      <c r="AF1190" s="22" t="n"/>
      <c r="AG1190" s="125" t="n"/>
      <c r="AH1190" s="21" t="n"/>
      <c r="AL1190" s="22" t="n"/>
      <c r="AM1190" s="125" t="n"/>
      <c r="AN1190" s="125" t="n"/>
      <c r="AO1190" s="125" t="n"/>
      <c r="AP1190" s="125" t="n"/>
      <c r="AQ1190" s="125" t="n"/>
      <c r="AR1190" s="125" t="n"/>
      <c r="AS1190" s="125" t="n"/>
    </row>
    <row r="1191" hidden="1" outlineLevel="2">
      <c r="A1191" s="8" t="n"/>
      <c r="B1191" s="14" t="n"/>
      <c r="C1191" s="125" t="n"/>
      <c r="D1191" s="125" t="n"/>
      <c r="E1191" s="125" t="n"/>
      <c r="F1191" s="125" t="n"/>
      <c r="G1191" s="125" t="n"/>
      <c r="I1191" s="21" t="n"/>
      <c r="M1191" s="22" t="n"/>
      <c r="N1191" s="125" t="n"/>
      <c r="O1191" s="21" t="n"/>
      <c r="S1191" s="22" t="n"/>
      <c r="T1191" s="125" t="n"/>
      <c r="U1191" s="125" t="n"/>
      <c r="V1191" s="125" t="n"/>
      <c r="W1191" s="125" t="n"/>
      <c r="X1191" s="125" t="n"/>
      <c r="Y1191" s="125" t="n"/>
      <c r="Z1191" s="125" t="n"/>
      <c r="AB1191" s="21" t="n"/>
      <c r="AF1191" s="22" t="n"/>
      <c r="AG1191" s="125" t="n"/>
      <c r="AH1191" s="21" t="n"/>
      <c r="AL1191" s="22" t="n"/>
      <c r="AM1191" s="125" t="n"/>
      <c r="AN1191" s="125" t="n"/>
      <c r="AO1191" s="125" t="n"/>
      <c r="AP1191" s="125" t="n"/>
      <c r="AQ1191" s="125" t="n"/>
      <c r="AR1191" s="125" t="n"/>
      <c r="AS1191" s="125" t="n"/>
    </row>
    <row r="1192" hidden="1" outlineLevel="2">
      <c r="A1192" s="8" t="n"/>
      <c r="B1192" s="14" t="n"/>
      <c r="C1192" s="125" t="n"/>
      <c r="D1192" s="125" t="n"/>
      <c r="E1192" s="125" t="n"/>
      <c r="F1192" s="125" t="n"/>
      <c r="G1192" s="125" t="n"/>
      <c r="I1192" s="23" t="n"/>
      <c r="J1192" s="24" t="n"/>
      <c r="K1192" s="24" t="n"/>
      <c r="L1192" s="24" t="n"/>
      <c r="M1192" s="25" t="n"/>
      <c r="N1192" s="125" t="n"/>
      <c r="O1192" s="23" t="n"/>
      <c r="P1192" s="24" t="n"/>
      <c r="Q1192" s="24" t="n"/>
      <c r="R1192" s="24" t="n"/>
      <c r="S1192" s="25" t="n"/>
      <c r="T1192" s="125" t="n"/>
      <c r="U1192" s="125" t="n"/>
      <c r="V1192" s="125" t="n"/>
      <c r="W1192" s="125" t="n"/>
      <c r="X1192" s="125" t="n"/>
      <c r="Y1192" s="125" t="n"/>
      <c r="Z1192" s="125" t="n"/>
      <c r="AB1192" s="23" t="n"/>
      <c r="AC1192" s="24" t="n"/>
      <c r="AD1192" s="24" t="n"/>
      <c r="AE1192" s="24" t="n"/>
      <c r="AF1192" s="25" t="n"/>
      <c r="AG1192" s="125" t="n"/>
      <c r="AH1192" s="23" t="n"/>
      <c r="AI1192" s="24" t="n"/>
      <c r="AJ1192" s="24" t="n"/>
      <c r="AK1192" s="24" t="n"/>
      <c r="AL1192" s="25" t="n"/>
      <c r="AM1192" s="125" t="n"/>
      <c r="AN1192" s="125" t="n"/>
      <c r="AO1192" s="125" t="n"/>
      <c r="AP1192" s="125" t="n"/>
      <c r="AQ1192" s="125" t="n"/>
      <c r="AR1192" s="125" t="n"/>
      <c r="AS1192" s="125" t="n"/>
    </row>
    <row r="1193" hidden="1" outlineLevel="2">
      <c r="A1193" s="8" t="n"/>
      <c r="B1193" s="14" t="n"/>
      <c r="C1193" s="125" t="n"/>
      <c r="D1193" s="125" t="n"/>
      <c r="E1193" s="125" t="n"/>
      <c r="F1193" s="125" t="n"/>
      <c r="G1193" s="125" t="n"/>
      <c r="I1193" s="68">
        <f>DADOS_INVOC!$JE$7</f>
        <v/>
      </c>
      <c r="J1193" s="16" t="n"/>
      <c r="K1193" s="16" t="n"/>
      <c r="L1193" s="16" t="n"/>
      <c r="M1193" s="17" t="n"/>
      <c r="N1193" s="125" t="n"/>
      <c r="O1193" s="89" t="n"/>
      <c r="P1193" s="17" t="n"/>
      <c r="Q1193" s="68">
        <f>DADOS_INVOC!$JG$7</f>
        <v/>
      </c>
      <c r="R1193" s="16" t="n"/>
      <c r="S1193" s="17" t="n"/>
      <c r="T1193" s="125" t="n"/>
      <c r="U1193" s="125" t="n"/>
      <c r="V1193" s="125" t="n"/>
      <c r="W1193" s="125" t="n"/>
      <c r="X1193" s="125" t="n"/>
      <c r="Y1193" s="125" t="n"/>
      <c r="Z1193" s="125" t="n"/>
      <c r="AB1193" s="68">
        <f>DADOS_INVOC!$JE$13</f>
        <v/>
      </c>
      <c r="AC1193" s="16" t="n"/>
      <c r="AD1193" s="16" t="n"/>
      <c r="AE1193" s="16" t="n"/>
      <c r="AF1193" s="17" t="n"/>
      <c r="AG1193" s="125" t="n"/>
      <c r="AH1193" s="89" t="n"/>
      <c r="AI1193" s="17" t="n"/>
      <c r="AJ1193" s="68">
        <f>DADOS_INVOC!$JG$13</f>
        <v/>
      </c>
      <c r="AK1193" s="16" t="n"/>
      <c r="AL1193" s="17" t="n"/>
      <c r="AM1193" s="125" t="n"/>
      <c r="AN1193" s="125" t="n"/>
      <c r="AO1193" s="125" t="n"/>
      <c r="AP1193" s="125" t="n"/>
      <c r="AQ1193" s="125" t="n"/>
      <c r="AR1193" s="125" t="n"/>
      <c r="AS1193" s="125" t="n"/>
    </row>
    <row r="1194" hidden="1" outlineLevel="2">
      <c r="A1194" s="8" t="n"/>
      <c r="B1194" s="14" t="n"/>
      <c r="C1194" s="125" t="n"/>
      <c r="D1194" s="125" t="n"/>
      <c r="E1194" s="125" t="n"/>
      <c r="F1194" s="125" t="n"/>
      <c r="G1194" s="125" t="n"/>
      <c r="I1194" s="89" t="inlineStr">
        <is>
          <t>Sua Ação Completa + a básica dela</t>
        </is>
      </c>
      <c r="J1194" s="16" t="n"/>
      <c r="K1194" s="16" t="n"/>
      <c r="L1194" s="16" t="n"/>
      <c r="M1194" s="17" t="n"/>
      <c r="N1194" s="125" t="n"/>
      <c r="O1194" s="133">
        <f>DADOS_INVOC!$JH$7</f>
        <v/>
      </c>
      <c r="P1194" s="16" t="n"/>
      <c r="Q1194" s="16" t="n"/>
      <c r="R1194" s="16" t="n"/>
      <c r="S1194" s="17" t="n"/>
      <c r="T1194" s="125" t="n"/>
      <c r="U1194" s="125" t="n"/>
      <c r="V1194" s="125" t="n"/>
      <c r="W1194" s="125" t="n"/>
      <c r="X1194" s="125" t="n"/>
      <c r="Y1194" s="125" t="n"/>
      <c r="Z1194" s="125" t="n"/>
      <c r="AB1194" s="89" t="inlineStr">
        <is>
          <t>Sua Ação Completa + a básica dela</t>
        </is>
      </c>
      <c r="AC1194" s="16" t="n"/>
      <c r="AD1194" s="16" t="n"/>
      <c r="AE1194" s="16" t="n"/>
      <c r="AF1194" s="17" t="n"/>
      <c r="AG1194" s="125" t="n"/>
      <c r="AH1194" s="133">
        <f>DADOS_INVOC!$JH$13</f>
        <v/>
      </c>
      <c r="AI1194" s="16" t="n"/>
      <c r="AJ1194" s="16" t="n"/>
      <c r="AK1194" s="16" t="n"/>
      <c r="AL1194" s="17" t="n"/>
      <c r="AM1194" s="125" t="n"/>
      <c r="AN1194" s="125" t="n"/>
      <c r="AO1194" s="125" t="n"/>
      <c r="AP1194" s="125" t="n"/>
      <c r="AQ1194" s="125" t="n"/>
      <c r="AR1194" s="125" t="n"/>
      <c r="AS1194" s="125" t="n"/>
    </row>
    <row r="1195">
      <c r="A1195" s="8" t="n"/>
      <c r="B1195" s="14" t="n"/>
      <c r="C1195" s="125" t="n"/>
      <c r="D1195" s="125" t="n"/>
      <c r="E1195" s="125" t="n"/>
      <c r="F1195" s="125" t="n"/>
      <c r="G1195" s="125" t="n"/>
      <c r="H1195" s="125" t="n"/>
      <c r="I1195" s="125" t="n"/>
      <c r="J1195" s="125" t="n"/>
      <c r="K1195" s="125" t="n"/>
      <c r="L1195" s="125" t="n"/>
      <c r="M1195" s="125" t="n"/>
      <c r="N1195" s="125" t="n"/>
      <c r="O1195" s="125" t="n"/>
      <c r="P1195" s="125" t="n"/>
      <c r="Q1195" s="125" t="n"/>
      <c r="R1195" s="125" t="n"/>
      <c r="S1195" s="125" t="n"/>
      <c r="T1195" s="125" t="n"/>
      <c r="U1195" s="125" t="n"/>
      <c r="V1195" s="125" t="n"/>
      <c r="W1195" s="125" t="n"/>
      <c r="X1195" s="125" t="n"/>
      <c r="Y1195" s="125" t="n"/>
      <c r="Z1195" s="125" t="n"/>
      <c r="AA1195" s="125" t="n"/>
      <c r="AB1195" s="125" t="n"/>
      <c r="AC1195" s="125" t="n"/>
      <c r="AD1195" s="125" t="n"/>
      <c r="AE1195" s="125" t="n"/>
      <c r="AF1195" s="125" t="n"/>
      <c r="AG1195" s="125" t="n"/>
      <c r="AH1195" s="125" t="n"/>
      <c r="AI1195" s="125" t="n"/>
      <c r="AJ1195" s="125" t="n"/>
      <c r="AK1195" s="125" t="n"/>
      <c r="AL1195" s="125" t="n"/>
      <c r="AM1195" s="125" t="n"/>
      <c r="AN1195" s="125" t="n"/>
      <c r="AO1195" s="125" t="n"/>
      <c r="AP1195" s="125" t="n"/>
      <c r="AQ1195" s="125" t="n"/>
      <c r="AR1195" s="125" t="n"/>
      <c r="AS1195" s="125" t="n"/>
    </row>
    <row r="1196">
      <c r="A1196" s="8" t="n"/>
      <c r="B1196" s="14" t="n"/>
      <c r="C1196" s="125" t="n"/>
      <c r="D1196" s="125" t="n"/>
      <c r="E1196" s="125" t="n"/>
      <c r="F1196" s="125" t="n"/>
      <c r="G1196" s="125" t="n"/>
      <c r="H1196" s="125" t="n"/>
      <c r="I1196" s="125" t="n"/>
      <c r="J1196" s="125" t="n"/>
      <c r="K1196" s="125" t="n"/>
      <c r="L1196" s="125" t="n"/>
      <c r="M1196" s="125" t="n"/>
      <c r="N1196" s="125" t="n"/>
      <c r="O1196" s="125" t="n"/>
      <c r="P1196" s="125" t="n"/>
      <c r="Q1196" s="125" t="n"/>
      <c r="R1196" s="125" t="n"/>
      <c r="S1196" s="125" t="n"/>
      <c r="T1196" s="125" t="n"/>
      <c r="U1196" s="125" t="n"/>
      <c r="V1196" s="125" t="n"/>
      <c r="W1196" s="125" t="n"/>
      <c r="X1196" s="125" t="n"/>
      <c r="Y1196" s="125" t="n"/>
      <c r="Z1196" s="125" t="n"/>
      <c r="AA1196" s="125" t="n"/>
      <c r="AB1196" s="125" t="n"/>
      <c r="AC1196" s="125" t="n"/>
      <c r="AD1196" s="125" t="n"/>
      <c r="AE1196" s="125" t="n"/>
      <c r="AF1196" s="125" t="n"/>
      <c r="AG1196" s="125" t="n"/>
      <c r="AH1196" s="125" t="n"/>
      <c r="AI1196" s="125" t="n"/>
      <c r="AJ1196" s="125" t="n"/>
      <c r="AK1196" s="125" t="n"/>
      <c r="AL1196" s="125" t="n"/>
      <c r="AM1196" s="125" t="n"/>
      <c r="AN1196" s="125" t="n"/>
      <c r="AO1196" s="125" t="n"/>
      <c r="AP1196" s="125" t="n"/>
      <c r="AQ1196" s="125" t="n"/>
      <c r="AR1196" s="125" t="n"/>
      <c r="AS1196" s="125"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33:B62"/>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DADOS_INVOC!$JY$2:$JY$83</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DADOS_INVOC!$JX$2:$JX$83</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DADOS_INVOC!$KE$2:$KE$83</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DADOS_INVOC!$KD$2:$KD$83</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DADOS_INVOC!$KK$2:$KK$83</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DADOS_INVOC!$KJ$2:$KJ$83</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DADOS_INVOC!$KQ$2:$KQ$83</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DADOS_INVOC!$KP$2:$KP$83</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DADOS_INVOC!$KW$2:$KW$83</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DADOS_INVOC!$KV$2:$KV$83</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DADOS_INVOC!$LC$2:$LC$83</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DADOS_INVOC!$LB$2:$LB$83</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DADOS_INVOC!$LI$2:$LI$83</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DADOS_INVOC!$LH$2:$LH$83</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DADOS_INVOC!$LO$2:$LO$83</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DADOS_INVOC!$LN$2:$LN$83</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DADOS_INVOC!$LU$2:$LU$83</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DADOS_INVOC!$LT$2:$LT$83</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DADOS_INVOC!$MA$2:$MA$83</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DADOS_INVOC!$LZ$2:$LZ$83</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DADOS_INVOC!$MG$2:$MG$83</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5" t="n"/>
      <c r="AV7" s="125" t="n"/>
      <c r="AW7" s="125" t="n"/>
      <c r="AX7" s="125" t="n"/>
      <c r="AY7" s="125" t="n"/>
      <c r="AZ7" s="125" t="n"/>
      <c r="BA7" s="125" t="n"/>
      <c r="BB7" s="125" t="n"/>
      <c r="BC7" s="125" t="n"/>
      <c r="BD7" s="125" t="n"/>
      <c r="BE7" s="125" t="n"/>
      <c r="BF7" s="125" t="n"/>
      <c r="BG7" s="125" t="n"/>
      <c r="BH7" s="125" t="n"/>
      <c r="BI7" s="125" t="n"/>
      <c r="BJ7" s="125" t="n"/>
      <c r="BK7" s="125" t="n"/>
      <c r="BL7" s="125" t="n"/>
      <c r="BM7" s="125" t="n"/>
      <c r="BN7" s="125" t="n"/>
      <c r="BO7" s="125" t="n"/>
      <c r="BP7" s="125" t="n"/>
      <c r="BQ7" s="125" t="n"/>
      <c r="BR7" s="125" t="n"/>
      <c r="BS7" s="125" t="n"/>
      <c r="BT7" s="125" t="n"/>
    </row>
    <row r="8">
      <c r="A8" s="48" t="inlineStr">
        <is>
          <t>CICLO MALDITO</t>
        </is>
      </c>
      <c r="B8" s="22" t="n"/>
      <c r="C8" s="125" t="n"/>
      <c r="D8" s="128"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5" t="n"/>
      <c r="AV8" s="125" t="n"/>
      <c r="AW8" s="128" t="inlineStr">
        <is>
          <t>MISSÕES E XP</t>
        </is>
      </c>
      <c r="AX8" s="19" t="n"/>
      <c r="AY8" s="19" t="n"/>
      <c r="AZ8" s="19" t="n"/>
      <c r="BA8" s="19" t="n"/>
      <c r="BB8" s="19" t="n"/>
      <c r="BC8" s="19" t="n"/>
      <c r="BD8" s="19" t="n"/>
      <c r="BE8" s="19" t="n"/>
      <c r="BF8" s="19" t="n"/>
      <c r="BG8" s="20" t="n"/>
      <c r="BH8" s="125" t="n"/>
      <c r="BI8" s="128" t="inlineStr">
        <is>
          <t>MAIS MISSÕES</t>
        </is>
      </c>
      <c r="BJ8" s="19" t="n"/>
      <c r="BK8" s="19" t="n"/>
      <c r="BL8" s="19" t="n"/>
      <c r="BM8" s="19" t="n"/>
      <c r="BN8" s="19" t="n"/>
      <c r="BO8" s="19" t="n"/>
      <c r="BP8" s="19" t="n"/>
      <c r="BQ8" s="19" t="n"/>
      <c r="BR8" s="19" t="n"/>
      <c r="BS8" s="20" t="n"/>
      <c r="BT8" s="125" t="n"/>
    </row>
    <row r="9">
      <c r="B9" s="22" t="n"/>
      <c r="C9" s="125"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5" t="n"/>
      <c r="AV9" s="125" t="n"/>
      <c r="AW9" s="23" t="n"/>
      <c r="AX9" s="24" t="n"/>
      <c r="AY9" s="24" t="n"/>
      <c r="AZ9" s="24" t="n"/>
      <c r="BA9" s="24" t="n"/>
      <c r="BB9" s="24" t="n"/>
      <c r="BC9" s="24" t="n"/>
      <c r="BD9" s="24" t="n"/>
      <c r="BE9" s="24" t="n"/>
      <c r="BF9" s="24" t="n"/>
      <c r="BG9" s="25" t="n"/>
      <c r="BH9" s="125" t="n"/>
      <c r="BI9" s="23" t="n"/>
      <c r="BJ9" s="24" t="n"/>
      <c r="BK9" s="24" t="n"/>
      <c r="BL9" s="24" t="n"/>
      <c r="BM9" s="24" t="n"/>
      <c r="BN9" s="24" t="n"/>
      <c r="BO9" s="24" t="n"/>
      <c r="BP9" s="24" t="n"/>
      <c r="BQ9" s="24" t="n"/>
      <c r="BR9" s="24" t="n"/>
      <c r="BS9" s="25" t="n"/>
      <c r="BT9" s="125" t="n"/>
    </row>
    <row r="10">
      <c r="B10" s="22" t="n"/>
      <c r="C10" s="125" t="n"/>
      <c r="D10" s="148">
        <f>CARTEIRA!$C$8</f>
        <v/>
      </c>
      <c r="E10" s="19" t="n"/>
      <c r="F10" s="19" t="n"/>
      <c r="G10" s="19" t="n"/>
      <c r="H10" s="19" t="n"/>
      <c r="I10" s="19" t="n"/>
      <c r="J10" s="19" t="n"/>
      <c r="K10" s="19" t="n"/>
      <c r="L10" s="19" t="n"/>
      <c r="M10" s="19" t="n"/>
      <c r="N10" s="19" t="n"/>
      <c r="O10" s="20" t="n"/>
      <c r="P10" s="125" t="n"/>
      <c r="Q10" s="55" t="inlineStr">
        <is>
          <t>NOME</t>
        </is>
      </c>
      <c r="R10" s="16" t="n"/>
      <c r="S10" s="16" t="n"/>
      <c r="T10" s="16" t="n"/>
      <c r="U10" s="16" t="n"/>
      <c r="V10" s="16" t="n"/>
      <c r="W10" s="16" t="n"/>
      <c r="X10" s="16" t="n"/>
      <c r="Y10" s="16" t="n"/>
      <c r="Z10" s="17" t="n"/>
      <c r="AA10" s="125" t="n"/>
      <c r="AB10" s="55" t="inlineStr">
        <is>
          <t>GRAU</t>
        </is>
      </c>
      <c r="AC10" s="16" t="n"/>
      <c r="AD10" s="16" t="n"/>
      <c r="AE10" s="16" t="n"/>
      <c r="AF10" s="16" t="n"/>
      <c r="AG10" s="17" t="n"/>
      <c r="AH10" s="125" t="n"/>
      <c r="AI10" s="55" t="inlineStr">
        <is>
          <t>IDADE</t>
        </is>
      </c>
      <c r="AJ10" s="16" t="n"/>
      <c r="AK10" s="16" t="n"/>
      <c r="AL10" s="16" t="n"/>
      <c r="AM10" s="17" t="n"/>
      <c r="AN10" s="125" t="n"/>
      <c r="AO10" s="55" t="inlineStr">
        <is>
          <t>ALTURA</t>
        </is>
      </c>
      <c r="AP10" s="16" t="n"/>
      <c r="AQ10" s="16" t="n"/>
      <c r="AR10" s="16" t="n"/>
      <c r="AS10" s="16" t="n"/>
      <c r="AT10" s="17" t="n"/>
      <c r="AU10" s="125" t="n"/>
      <c r="AV10" s="125" t="n"/>
      <c r="AW10" s="55" t="inlineStr">
        <is>
          <t>XP TOTAL</t>
        </is>
      </c>
      <c r="AX10" s="16" t="n"/>
      <c r="AY10" s="16" t="n"/>
      <c r="AZ10" s="16" t="n"/>
      <c r="BA10" s="17" t="n"/>
      <c r="BB10" s="125" t="n"/>
      <c r="BC10" s="55">
        <f>IF(DADOS!$CZ$48&gt;=30,"NÍVEL MÁXIMO","FALTA PARA O NÍVEL "&amp;(DADOS!$CZ$48+1))</f>
        <v/>
      </c>
      <c r="BD10" s="16" t="n"/>
      <c r="BE10" s="16" t="n"/>
      <c r="BF10" s="16" t="n"/>
      <c r="BG10" s="17" t="n"/>
      <c r="BH10" s="125" t="n"/>
      <c r="BI10" s="125" t="n"/>
      <c r="BJ10" s="125" t="n"/>
      <c r="BK10" s="125" t="n"/>
      <c r="BL10" s="125" t="n"/>
      <c r="BM10" s="125" t="n"/>
      <c r="BN10" s="125" t="n"/>
      <c r="BO10" s="125" t="n"/>
      <c r="BP10" s="125" t="n"/>
      <c r="BQ10" s="125" t="n"/>
      <c r="BR10" s="125" t="n"/>
      <c r="BS10" s="125" t="n"/>
      <c r="BT10" s="125" t="n"/>
    </row>
    <row r="11">
      <c r="B11" s="22" t="n"/>
      <c r="C11" s="125" t="n"/>
      <c r="D11" s="21" t="n"/>
      <c r="O11" s="22" t="n"/>
      <c r="P11" s="125" t="n"/>
      <c r="Q11" s="84">
        <f>FICHA!AB2</f>
        <v/>
      </c>
      <c r="R11" s="19" t="n"/>
      <c r="S11" s="19" t="n"/>
      <c r="T11" s="19" t="n"/>
      <c r="U11" s="19" t="n"/>
      <c r="V11" s="19" t="n"/>
      <c r="W11" s="19" t="n"/>
      <c r="X11" s="19" t="n"/>
      <c r="Y11" s="19" t="n"/>
      <c r="Z11" s="20" t="n"/>
      <c r="AA11" s="125" t="n"/>
      <c r="AB11" s="84" t="inlineStr">
        <is>
          <t>Grau 4</t>
        </is>
      </c>
      <c r="AC11" s="19" t="n"/>
      <c r="AD11" s="19" t="n"/>
      <c r="AE11" s="19" t="n"/>
      <c r="AF11" s="19" t="n"/>
      <c r="AG11" s="20" t="n"/>
      <c r="AH11" s="125" t="n"/>
      <c r="AI11" s="84" t="n"/>
      <c r="AJ11" s="19" t="n"/>
      <c r="AK11" s="19" t="n"/>
      <c r="AL11" s="19" t="n"/>
      <c r="AM11" s="20" t="n"/>
      <c r="AN11" s="125" t="n"/>
      <c r="AO11" s="84" t="n"/>
      <c r="AP11" s="19" t="n"/>
      <c r="AQ11" s="19" t="n"/>
      <c r="AR11" s="19" t="n"/>
      <c r="AS11" s="19" t="n"/>
      <c r="AT11" s="20" t="n"/>
      <c r="AU11" s="125" t="n"/>
      <c r="AV11" s="125" t="n"/>
      <c r="AW11" s="98">
        <f>DADOS!$CZ$47</f>
        <v/>
      </c>
      <c r="AX11" s="19" t="n"/>
      <c r="AY11" s="19" t="n"/>
      <c r="AZ11" s="19" t="n"/>
      <c r="BA11" s="20" t="n"/>
      <c r="BB11" s="125" t="n"/>
      <c r="BC11" s="98">
        <f>IF(DADOS!$CZ$49&amp;""="","—",MAX(0,DADOS!$CZ$49-DADOS!$CZ$47))</f>
        <v/>
      </c>
      <c r="BD11" s="20" t="n"/>
      <c r="BE11" s="134">
        <f>IFERROR(SPARKLINE(MAX(0,DADOS!$CZ$47-DADOS!$CZ$50),{"charttype","bar";"max",MAX(1,N(DADOS!$CZ$49)-DADOS!$CZ$50);"color1",DADOS!$CZ$51}),"")</f>
        <v/>
      </c>
      <c r="BF11" s="19" t="n"/>
      <c r="BG11" s="20" t="n"/>
      <c r="BH11" s="125" t="n"/>
      <c r="BI11" s="125" t="n"/>
      <c r="BJ11" s="125" t="n"/>
      <c r="BK11" s="125" t="n"/>
      <c r="BL11" s="125" t="n"/>
      <c r="BM11" s="125" t="n"/>
      <c r="BN11" s="125" t="n"/>
      <c r="BO11" s="125" t="n"/>
      <c r="BP11" s="125" t="n"/>
      <c r="BQ11" s="125" t="n"/>
      <c r="BR11" s="125" t="n"/>
      <c r="BS11" s="125" t="n"/>
      <c r="BT11" s="125" t="n"/>
    </row>
    <row r="12">
      <c r="B12" s="22" t="n"/>
      <c r="C12" s="125" t="n"/>
      <c r="D12" s="21" t="n"/>
      <c r="O12" s="22" t="n"/>
      <c r="P12" s="125" t="n"/>
      <c r="Q12" s="23" t="n"/>
      <c r="R12" s="24" t="n"/>
      <c r="S12" s="24" t="n"/>
      <c r="T12" s="24" t="n"/>
      <c r="U12" s="24" t="n"/>
      <c r="V12" s="24" t="n"/>
      <c r="W12" s="24" t="n"/>
      <c r="X12" s="24" t="n"/>
      <c r="Y12" s="24" t="n"/>
      <c r="Z12" s="25" t="n"/>
      <c r="AA12" s="125" t="n"/>
      <c r="AB12" s="23" t="n"/>
      <c r="AC12" s="24" t="n"/>
      <c r="AD12" s="24" t="n"/>
      <c r="AE12" s="24" t="n"/>
      <c r="AF12" s="24" t="n"/>
      <c r="AG12" s="25" t="n"/>
      <c r="AH12" s="125" t="n"/>
      <c r="AI12" s="23" t="n"/>
      <c r="AJ12" s="24" t="n"/>
      <c r="AK12" s="24" t="n"/>
      <c r="AL12" s="24" t="n"/>
      <c r="AM12" s="25" t="n"/>
      <c r="AN12" s="125" t="n"/>
      <c r="AO12" s="23" t="n"/>
      <c r="AP12" s="24" t="n"/>
      <c r="AQ12" s="24" t="n"/>
      <c r="AR12" s="24" t="n"/>
      <c r="AS12" s="24" t="n"/>
      <c r="AT12" s="25" t="n"/>
      <c r="AU12" s="125" t="n"/>
      <c r="AV12" s="125" t="n"/>
      <c r="AW12" s="23" t="n"/>
      <c r="AX12" s="24" t="n"/>
      <c r="AY12" s="24" t="n"/>
      <c r="AZ12" s="24" t="n"/>
      <c r="BA12" s="25" t="n"/>
      <c r="BB12" s="125" t="n"/>
      <c r="BC12" s="23" t="n"/>
      <c r="BD12" s="25" t="n"/>
      <c r="BE12" s="23" t="n"/>
      <c r="BF12" s="24" t="n"/>
      <c r="BG12" s="25" t="n"/>
      <c r="BH12" s="125" t="n"/>
      <c r="BI12" s="125" t="n"/>
      <c r="BJ12" s="125" t="n"/>
      <c r="BK12" s="125" t="n"/>
      <c r="BL12" s="125" t="n"/>
      <c r="BM12" s="125" t="n"/>
      <c r="BN12" s="125" t="n"/>
      <c r="BO12" s="125" t="n"/>
      <c r="BP12" s="125" t="n"/>
      <c r="BQ12" s="125" t="n"/>
      <c r="BR12" s="125" t="n"/>
      <c r="BS12" s="125" t="n"/>
      <c r="BT12" s="125" t="n"/>
    </row>
    <row r="13">
      <c r="B13" s="22" t="n"/>
      <c r="C13" s="125" t="n"/>
      <c r="D13" s="21" t="n"/>
      <c r="O13" s="22" t="n"/>
      <c r="P13" s="125" t="n"/>
      <c r="Q13" s="125" t="n"/>
      <c r="R13" s="125" t="n"/>
      <c r="S13" s="125" t="n"/>
      <c r="T13" s="125" t="n"/>
      <c r="U13" s="125" t="n"/>
      <c r="V13" s="125" t="n"/>
      <c r="W13" s="125" t="n"/>
      <c r="X13" s="125" t="n"/>
      <c r="Y13" s="125" t="n"/>
      <c r="Z13" s="125" t="n"/>
      <c r="AA13" s="125" t="n"/>
      <c r="AB13" s="125" t="n"/>
      <c r="AC13" s="125" t="n"/>
      <c r="AD13" s="125" t="n"/>
      <c r="AE13" s="125" t="n"/>
      <c r="AF13" s="125" t="n"/>
      <c r="AG13" s="125" t="n"/>
      <c r="AH13" s="125" t="n"/>
      <c r="AI13" s="125" t="n"/>
      <c r="AJ13" s="125" t="n"/>
      <c r="AK13" s="125" t="n"/>
      <c r="AL13" s="125" t="n"/>
      <c r="AM13" s="125" t="n"/>
      <c r="AN13" s="125" t="n"/>
      <c r="AO13" s="125" t="n"/>
      <c r="AP13" s="125" t="n"/>
      <c r="AQ13" s="125" t="n"/>
      <c r="AR13" s="125" t="n"/>
      <c r="AS13" s="125" t="n"/>
      <c r="AT13" s="125" t="n"/>
      <c r="AU13" s="125" t="n"/>
      <c r="AV13" s="125" t="n"/>
      <c r="AW13" s="125" t="n"/>
      <c r="AX13" s="125" t="n"/>
      <c r="AY13" s="125" t="n"/>
      <c r="AZ13" s="125" t="n"/>
      <c r="BA13" s="125" t="n"/>
      <c r="BB13" s="125" t="n"/>
      <c r="BC13" s="125" t="n"/>
      <c r="BD13" s="125" t="n"/>
      <c r="BE13" s="125" t="n"/>
      <c r="BF13" s="125" t="n"/>
      <c r="BG13" s="125" t="n"/>
      <c r="BH13" s="125" t="n"/>
      <c r="BI13" s="125" t="n"/>
      <c r="BJ13" s="125" t="n"/>
      <c r="BK13" s="125" t="n"/>
      <c r="BL13" s="125" t="n"/>
      <c r="BM13" s="125" t="n"/>
      <c r="BN13" s="125" t="n"/>
      <c r="BO13" s="125" t="n"/>
      <c r="BP13" s="125" t="n"/>
      <c r="BQ13" s="125" t="n"/>
      <c r="BR13" s="125" t="n"/>
      <c r="BS13" s="125" t="n"/>
      <c r="BT13" s="125" t="n"/>
    </row>
    <row r="14">
      <c r="B14" s="22" t="n"/>
      <c r="C14" s="125" t="n"/>
      <c r="D14" s="21" t="n"/>
      <c r="O14" s="22" t="n"/>
      <c r="P14" s="125" t="n"/>
      <c r="Q14" s="55" t="inlineStr">
        <is>
          <t>OLHOS</t>
        </is>
      </c>
      <c r="R14" s="16" t="n"/>
      <c r="S14" s="16" t="n"/>
      <c r="T14" s="16" t="n"/>
      <c r="U14" s="16" t="n"/>
      <c r="V14" s="16" t="n"/>
      <c r="W14" s="17" t="n"/>
      <c r="X14" s="125" t="n"/>
      <c r="Y14" s="55" t="inlineStr">
        <is>
          <t>CABELO</t>
        </is>
      </c>
      <c r="Z14" s="16" t="n"/>
      <c r="AA14" s="16" t="n"/>
      <c r="AB14" s="16" t="n"/>
      <c r="AC14" s="16" t="n"/>
      <c r="AD14" s="16" t="n"/>
      <c r="AE14" s="17" t="n"/>
      <c r="AF14" s="125" t="n"/>
      <c r="AG14" s="55" t="inlineStr">
        <is>
          <t>PELE</t>
        </is>
      </c>
      <c r="AH14" s="16" t="n"/>
      <c r="AI14" s="16" t="n"/>
      <c r="AJ14" s="16" t="n"/>
      <c r="AK14" s="16" t="n"/>
      <c r="AL14" s="16" t="n"/>
      <c r="AM14" s="17" t="n"/>
      <c r="AN14" s="125" t="n"/>
      <c r="AO14" s="55" t="inlineStr">
        <is>
          <t>GÊNERO</t>
        </is>
      </c>
      <c r="AP14" s="16" t="n"/>
      <c r="AQ14" s="16" t="n"/>
      <c r="AR14" s="16" t="n"/>
      <c r="AS14" s="16" t="n"/>
      <c r="AT14" s="17" t="n"/>
      <c r="AU14" s="125" t="n"/>
      <c r="AV14" s="125" t="n"/>
      <c r="AW14" s="55" t="inlineStr">
        <is>
          <t>MISSÃO</t>
        </is>
      </c>
      <c r="AX14" s="55" t="inlineStr">
        <is>
          <t>XP</t>
        </is>
      </c>
      <c r="AY14" s="55" t="inlineStr">
        <is>
          <t>ADICIONAL</t>
        </is>
      </c>
      <c r="AZ14" s="55" t="inlineStr">
        <is>
          <t>DESCONTO</t>
        </is>
      </c>
      <c r="BA14" s="55" t="inlineStr">
        <is>
          <t>TOTAL</t>
        </is>
      </c>
      <c r="BB14" s="125" t="n"/>
      <c r="BC14" s="55" t="inlineStr">
        <is>
          <t>MISSÃO</t>
        </is>
      </c>
      <c r="BD14" s="55" t="inlineStr">
        <is>
          <t>XP</t>
        </is>
      </c>
      <c r="BE14" s="55" t="inlineStr">
        <is>
          <t>ADICIONAL</t>
        </is>
      </c>
      <c r="BF14" s="55" t="inlineStr">
        <is>
          <t>DESCONTO</t>
        </is>
      </c>
      <c r="BG14" s="55" t="inlineStr">
        <is>
          <t>TOTAL</t>
        </is>
      </c>
      <c r="BH14" s="125" t="n"/>
      <c r="BI14" s="55" t="inlineStr">
        <is>
          <t>MISSÃO</t>
        </is>
      </c>
      <c r="BJ14" s="55" t="inlineStr">
        <is>
          <t>XP</t>
        </is>
      </c>
      <c r="BK14" s="55" t="inlineStr">
        <is>
          <t>ADICIONAL</t>
        </is>
      </c>
      <c r="BL14" s="55" t="inlineStr">
        <is>
          <t>DESCONTO</t>
        </is>
      </c>
      <c r="BM14" s="55" t="inlineStr">
        <is>
          <t>TOTAL</t>
        </is>
      </c>
      <c r="BN14" s="125" t="n"/>
      <c r="BO14" s="55" t="inlineStr">
        <is>
          <t>MISSÃO</t>
        </is>
      </c>
      <c r="BP14" s="55" t="inlineStr">
        <is>
          <t>XP</t>
        </is>
      </c>
      <c r="BQ14" s="55" t="inlineStr">
        <is>
          <t>ADICIONAL</t>
        </is>
      </c>
      <c r="BR14" s="55" t="inlineStr">
        <is>
          <t>DESCONTO</t>
        </is>
      </c>
      <c r="BS14" s="55" t="inlineStr">
        <is>
          <t>TOTAL</t>
        </is>
      </c>
      <c r="BT14" s="125" t="n"/>
    </row>
    <row r="15">
      <c r="B15" s="22" t="n"/>
      <c r="C15" s="125" t="n"/>
      <c r="D15" s="21" t="n"/>
      <c r="O15" s="22" t="n"/>
      <c r="P15" s="125" t="n"/>
      <c r="Q15" s="84" t="n"/>
      <c r="R15" s="19" t="n"/>
      <c r="S15" s="19" t="n"/>
      <c r="T15" s="19" t="n"/>
      <c r="U15" s="19" t="n"/>
      <c r="V15" s="19" t="n"/>
      <c r="W15" s="20" t="n"/>
      <c r="X15" s="125" t="n"/>
      <c r="Y15" s="84" t="n"/>
      <c r="Z15" s="19" t="n"/>
      <c r="AA15" s="19" t="n"/>
      <c r="AB15" s="19" t="n"/>
      <c r="AC15" s="19" t="n"/>
      <c r="AD15" s="19" t="n"/>
      <c r="AE15" s="20" t="n"/>
      <c r="AF15" s="125" t="n"/>
      <c r="AG15" s="84" t="n"/>
      <c r="AH15" s="19" t="n"/>
      <c r="AI15" s="19" t="n"/>
      <c r="AJ15" s="19" t="n"/>
      <c r="AK15" s="19" t="n"/>
      <c r="AL15" s="19" t="n"/>
      <c r="AM15" s="20" t="n"/>
      <c r="AN15" s="125" t="n"/>
      <c r="AO15" s="84" t="n"/>
      <c r="AP15" s="19" t="n"/>
      <c r="AQ15" s="19" t="n"/>
      <c r="AR15" s="19" t="n"/>
      <c r="AS15" s="19" t="n"/>
      <c r="AT15" s="20" t="n"/>
      <c r="AU15" s="125" t="n"/>
      <c r="AV15" s="125" t="n"/>
      <c r="AW15" s="134" t="n"/>
      <c r="AX15" s="134" t="n"/>
      <c r="AY15" s="89" t="n"/>
      <c r="AZ15" s="89" t="n"/>
      <c r="BA15" s="89">
        <f>IF($AX15="","",IFERROR(IF(ROUND(VLOOKUP($AX15,DADOS!$CL$5:$CM$10,2,FALSE)*IF($AY15="",1,VLOOKUP($AY15,DADOS!$CO$5:$CP$7,2,FALSE))*IF($AZ15="",1,VLOOKUP($AZ15,DADOS!$CR$5:$CS$15,2,FALSE)),4)&gt;0,MAX(1,FLOOR(ROUND(VLOOKUP($AX15,DADOS!$CL$5:$CM$10,2,FALSE)*IF($AY15="",1,VLOOKUP($AY15,DADOS!$CO$5:$CP$7,2,FALSE))*IF($AZ15="",1,VLOOKUP($AZ15,DADOS!$CR$5:$CS$15,2,FALSE)),4),1)),0),""))</f>
        <v/>
      </c>
      <c r="BB15" s="125" t="n"/>
      <c r="BC15" s="134" t="n"/>
      <c r="BD15" s="134" t="n"/>
      <c r="BE15" s="89" t="n"/>
      <c r="BF15" s="89" t="n"/>
      <c r="BG15" s="89">
        <f>IF($BD15="","",IFERROR(IF(ROUND(VLOOKUP($BD15,DADOS!$CL$5:$CM$10,2,FALSE)*IF($BE15="",1,VLOOKUP($BE15,DADOS!$CO$5:$CP$7,2,FALSE))*IF($BF15="",1,VLOOKUP($BF15,DADOS!$CR$5:$CS$15,2,FALSE)),4)&gt;0,MAX(1,FLOOR(ROUND(VLOOKUP($BD15,DADOS!$CL$5:$CM$10,2,FALSE)*IF($BE15="",1,VLOOKUP($BE15,DADOS!$CO$5:$CP$7,2,FALSE))*IF($BF15="",1,VLOOKUP($BF15,DADOS!$CR$5:$CS$15,2,FALSE)),4),1)),0),""))</f>
        <v/>
      </c>
      <c r="BH15" s="125" t="n"/>
      <c r="BI15" s="134" t="n"/>
      <c r="BJ15" s="134" t="n"/>
      <c r="BK15" s="89" t="n"/>
      <c r="BL15" s="89" t="n"/>
      <c r="BM15" s="89">
        <f>IF($BJ15="","",IFERROR(IF(ROUND(VLOOKUP($BJ15,DADOS!$CL$5:$CM$10,2,FALSE)*IF($BK15="",1,VLOOKUP($BK15,DADOS!$CO$5:$CP$7,2,FALSE))*IF($BL15="",1,VLOOKUP($BL15,DADOS!$CR$5:$CS$15,2,FALSE)),4)&gt;0,MAX(1,FLOOR(ROUND(VLOOKUP($BJ15,DADOS!$CL$5:$CM$10,2,FALSE)*IF($BK15="",1,VLOOKUP($BK15,DADOS!$CO$5:$CP$7,2,FALSE))*IF($BL15="",1,VLOOKUP($BL15,DADOS!$CR$5:$CS$15,2,FALSE)),4),1)),0),""))</f>
        <v/>
      </c>
      <c r="BN15" s="125" t="n"/>
      <c r="BO15" s="134" t="n"/>
      <c r="BP15" s="134" t="n"/>
      <c r="BQ15" s="89" t="n"/>
      <c r="BR15" s="89" t="n"/>
      <c r="BS15" s="89">
        <f>IF($BP15="","",IFERROR(IF(ROUND(VLOOKUP($BP15,DADOS!$CL$5:$CM$10,2,FALSE)*IF($BQ15="",1,VLOOKUP($BQ15,DADOS!$CO$5:$CP$7,2,FALSE))*IF($BR15="",1,VLOOKUP($BR15,DADOS!$CR$5:$CS$15,2,FALSE)),4)&gt;0,MAX(1,FLOOR(ROUND(VLOOKUP($BP15,DADOS!$CL$5:$CM$10,2,FALSE)*IF($BQ15="",1,VLOOKUP($BQ15,DADOS!$CO$5:$CP$7,2,FALSE))*IF($BR15="",1,VLOOKUP($BR15,DADOS!$CR$5:$CS$15,2,FALSE)),4),1)),0),""))</f>
        <v/>
      </c>
      <c r="BT15" s="125" t="n"/>
    </row>
    <row r="16">
      <c r="B16" s="22" t="n"/>
      <c r="C16" s="125" t="n"/>
      <c r="D16" s="21" t="n"/>
      <c r="O16" s="22" t="n"/>
      <c r="P16" s="125" t="n"/>
      <c r="Q16" s="23" t="n"/>
      <c r="R16" s="24" t="n"/>
      <c r="S16" s="24" t="n"/>
      <c r="T16" s="24" t="n"/>
      <c r="U16" s="24" t="n"/>
      <c r="V16" s="24" t="n"/>
      <c r="W16" s="25" t="n"/>
      <c r="X16" s="125" t="n"/>
      <c r="Y16" s="23" t="n"/>
      <c r="Z16" s="24" t="n"/>
      <c r="AA16" s="24" t="n"/>
      <c r="AB16" s="24" t="n"/>
      <c r="AC16" s="24" t="n"/>
      <c r="AD16" s="24" t="n"/>
      <c r="AE16" s="25" t="n"/>
      <c r="AF16" s="125" t="n"/>
      <c r="AG16" s="23" t="n"/>
      <c r="AH16" s="24" t="n"/>
      <c r="AI16" s="24" t="n"/>
      <c r="AJ16" s="24" t="n"/>
      <c r="AK16" s="24" t="n"/>
      <c r="AL16" s="24" t="n"/>
      <c r="AM16" s="25" t="n"/>
      <c r="AN16" s="125" t="n"/>
      <c r="AO16" s="23" t="n"/>
      <c r="AP16" s="24" t="n"/>
      <c r="AQ16" s="24" t="n"/>
      <c r="AR16" s="24" t="n"/>
      <c r="AS16" s="24" t="n"/>
      <c r="AT16" s="25" t="n"/>
      <c r="AU16" s="125" t="n"/>
      <c r="AV16" s="125" t="n"/>
      <c r="AW16" s="134" t="n"/>
      <c r="AX16" s="134" t="n"/>
      <c r="AY16" s="89" t="n"/>
      <c r="AZ16" s="89" t="n"/>
      <c r="BA16" s="89">
        <f>IF($AX16="","",IFERROR(IF(ROUND(VLOOKUP($AX16,DADOS!$CL$5:$CM$10,2,FALSE)*IF($AY16="",1,VLOOKUP($AY16,DADOS!$CO$5:$CP$7,2,FALSE))*IF($AZ16="",1,VLOOKUP($AZ16,DADOS!$CR$5:$CS$15,2,FALSE)),4)&gt;0,MAX(1,FLOOR(ROUND(VLOOKUP($AX16,DADOS!$CL$5:$CM$10,2,FALSE)*IF($AY16="",1,VLOOKUP($AY16,DADOS!$CO$5:$CP$7,2,FALSE))*IF($AZ16="",1,VLOOKUP($AZ16,DADOS!$CR$5:$CS$15,2,FALSE)),4),1)),0),""))</f>
        <v/>
      </c>
      <c r="BB16" s="125" t="n"/>
      <c r="BC16" s="134" t="n"/>
      <c r="BD16" s="134" t="n"/>
      <c r="BE16" s="89" t="n"/>
      <c r="BF16" s="89" t="n"/>
      <c r="BG16" s="89">
        <f>IF($BD16="","",IFERROR(IF(ROUND(VLOOKUP($BD16,DADOS!$CL$5:$CM$10,2,FALSE)*IF($BE16="",1,VLOOKUP($BE16,DADOS!$CO$5:$CP$7,2,FALSE))*IF($BF16="",1,VLOOKUP($BF16,DADOS!$CR$5:$CS$15,2,FALSE)),4)&gt;0,MAX(1,FLOOR(ROUND(VLOOKUP($BD16,DADOS!$CL$5:$CM$10,2,FALSE)*IF($BE16="",1,VLOOKUP($BE16,DADOS!$CO$5:$CP$7,2,FALSE))*IF($BF16="",1,VLOOKUP($BF16,DADOS!$CR$5:$CS$15,2,FALSE)),4),1)),0),""))</f>
        <v/>
      </c>
      <c r="BH16" s="125" t="n"/>
      <c r="BI16" s="134" t="n"/>
      <c r="BJ16" s="134" t="n"/>
      <c r="BK16" s="89" t="n"/>
      <c r="BL16" s="89" t="n"/>
      <c r="BM16" s="89">
        <f>IF($BJ16="","",IFERROR(IF(ROUND(VLOOKUP($BJ16,DADOS!$CL$5:$CM$10,2,FALSE)*IF($BK16="",1,VLOOKUP($BK16,DADOS!$CO$5:$CP$7,2,FALSE))*IF($BL16="",1,VLOOKUP($BL16,DADOS!$CR$5:$CS$15,2,FALSE)),4)&gt;0,MAX(1,FLOOR(ROUND(VLOOKUP($BJ16,DADOS!$CL$5:$CM$10,2,FALSE)*IF($BK16="",1,VLOOKUP($BK16,DADOS!$CO$5:$CP$7,2,FALSE))*IF($BL16="",1,VLOOKUP($BL16,DADOS!$CR$5:$CS$15,2,FALSE)),4),1)),0),""))</f>
        <v/>
      </c>
      <c r="BN16" s="125" t="n"/>
      <c r="BO16" s="134" t="n"/>
      <c r="BP16" s="134" t="n"/>
      <c r="BQ16" s="89" t="n"/>
      <c r="BR16" s="89" t="n"/>
      <c r="BS16" s="89">
        <f>IF($BP16="","",IFERROR(IF(ROUND(VLOOKUP($BP16,DADOS!$CL$5:$CM$10,2,FALSE)*IF($BQ16="",1,VLOOKUP($BQ16,DADOS!$CO$5:$CP$7,2,FALSE))*IF($BR16="",1,VLOOKUP($BR16,DADOS!$CR$5:$CS$15,2,FALSE)),4)&gt;0,MAX(1,FLOOR(ROUND(VLOOKUP($BP16,DADOS!$CL$5:$CM$10,2,FALSE)*IF($BQ16="",1,VLOOKUP($BQ16,DADOS!$CO$5:$CP$7,2,FALSE))*IF($BR16="",1,VLOOKUP($BR16,DADOS!$CR$5:$CS$15,2,FALSE)),4),1)),0),""))</f>
        <v/>
      </c>
      <c r="BT16" s="125" t="n"/>
    </row>
    <row r="17">
      <c r="B17" s="22" t="n"/>
      <c r="C17" s="125" t="n"/>
      <c r="D17" s="21" t="n"/>
      <c r="O17" s="22"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34" t="n"/>
      <c r="AX17" s="134" t="n"/>
      <c r="AY17" s="89" t="n"/>
      <c r="AZ17" s="89" t="n"/>
      <c r="BA17" s="89">
        <f>IF($AX17="","",IFERROR(IF(ROUND(VLOOKUP($AX17,DADOS!$CL$5:$CM$10,2,FALSE)*IF($AY17="",1,VLOOKUP($AY17,DADOS!$CO$5:$CP$7,2,FALSE))*IF($AZ17="",1,VLOOKUP($AZ17,DADOS!$CR$5:$CS$15,2,FALSE)),4)&gt;0,MAX(1,FLOOR(ROUND(VLOOKUP($AX17,DADOS!$CL$5:$CM$10,2,FALSE)*IF($AY17="",1,VLOOKUP($AY17,DADOS!$CO$5:$CP$7,2,FALSE))*IF($AZ17="",1,VLOOKUP($AZ17,DADOS!$CR$5:$CS$15,2,FALSE)),4),1)),0),""))</f>
        <v/>
      </c>
      <c r="BB17" s="125" t="n"/>
      <c r="BC17" s="134" t="n"/>
      <c r="BD17" s="134" t="n"/>
      <c r="BE17" s="89" t="n"/>
      <c r="BF17" s="89" t="n"/>
      <c r="BG17" s="89">
        <f>IF($BD17="","",IFERROR(IF(ROUND(VLOOKUP($BD17,DADOS!$CL$5:$CM$10,2,FALSE)*IF($BE17="",1,VLOOKUP($BE17,DADOS!$CO$5:$CP$7,2,FALSE))*IF($BF17="",1,VLOOKUP($BF17,DADOS!$CR$5:$CS$15,2,FALSE)),4)&gt;0,MAX(1,FLOOR(ROUND(VLOOKUP($BD17,DADOS!$CL$5:$CM$10,2,FALSE)*IF($BE17="",1,VLOOKUP($BE17,DADOS!$CO$5:$CP$7,2,FALSE))*IF($BF17="",1,VLOOKUP($BF17,DADOS!$CR$5:$CS$15,2,FALSE)),4),1)),0),""))</f>
        <v/>
      </c>
      <c r="BH17" s="125" t="n"/>
      <c r="BI17" s="134" t="n"/>
      <c r="BJ17" s="134" t="n"/>
      <c r="BK17" s="89" t="n"/>
      <c r="BL17" s="89" t="n"/>
      <c r="BM17" s="89">
        <f>IF($BJ17="","",IFERROR(IF(ROUND(VLOOKUP($BJ17,DADOS!$CL$5:$CM$10,2,FALSE)*IF($BK17="",1,VLOOKUP($BK17,DADOS!$CO$5:$CP$7,2,FALSE))*IF($BL17="",1,VLOOKUP($BL17,DADOS!$CR$5:$CS$15,2,FALSE)),4)&gt;0,MAX(1,FLOOR(ROUND(VLOOKUP($BJ17,DADOS!$CL$5:$CM$10,2,FALSE)*IF($BK17="",1,VLOOKUP($BK17,DADOS!$CO$5:$CP$7,2,FALSE))*IF($BL17="",1,VLOOKUP($BL17,DADOS!$CR$5:$CS$15,2,FALSE)),4),1)),0),""))</f>
        <v/>
      </c>
      <c r="BN17" s="125" t="n"/>
      <c r="BO17" s="134" t="n"/>
      <c r="BP17" s="134" t="n"/>
      <c r="BQ17" s="89" t="n"/>
      <c r="BR17" s="89" t="n"/>
      <c r="BS17" s="89">
        <f>IF($BP17="","",IFERROR(IF(ROUND(VLOOKUP($BP17,DADOS!$CL$5:$CM$10,2,FALSE)*IF($BQ17="",1,VLOOKUP($BQ17,DADOS!$CO$5:$CP$7,2,FALSE))*IF($BR17="",1,VLOOKUP($BR17,DADOS!$CR$5:$CS$15,2,FALSE)),4)&gt;0,MAX(1,FLOOR(ROUND(VLOOKUP($BP17,DADOS!$CL$5:$CM$10,2,FALSE)*IF($BQ17="",1,VLOOKUP($BQ17,DADOS!$CO$5:$CP$7,2,FALSE))*IF($BR17="",1,VLOOKUP($BR17,DADOS!$CR$5:$CS$15,2,FALSE)),4),1)),0),""))</f>
        <v/>
      </c>
      <c r="BT17" s="125" t="n"/>
    </row>
    <row r="18">
      <c r="B18" s="22" t="n"/>
      <c r="C18" s="125" t="n"/>
      <c r="D18" s="21" t="n"/>
      <c r="O18" s="22" t="n"/>
      <c r="P18" s="125"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5" t="n"/>
      <c r="AI18" s="55" t="inlineStr">
        <is>
          <t>CICATRIZES</t>
        </is>
      </c>
      <c r="AJ18" s="16" t="n"/>
      <c r="AK18" s="16" t="n"/>
      <c r="AL18" s="16" t="n"/>
      <c r="AM18" s="16" t="n"/>
      <c r="AN18" s="16" t="n"/>
      <c r="AO18" s="16" t="n"/>
      <c r="AP18" s="16" t="n"/>
      <c r="AQ18" s="16" t="n"/>
      <c r="AR18" s="16" t="n"/>
      <c r="AS18" s="16" t="n"/>
      <c r="AT18" s="17" t="n"/>
      <c r="AU18" s="125" t="n"/>
      <c r="AV18" s="125" t="n"/>
      <c r="AW18" s="134" t="n"/>
      <c r="AX18" s="134" t="n"/>
      <c r="AY18" s="89" t="n"/>
      <c r="AZ18" s="89" t="n"/>
      <c r="BA18" s="89">
        <f>IF($AX18="","",IFERROR(IF(ROUND(VLOOKUP($AX18,DADOS!$CL$5:$CM$10,2,FALSE)*IF($AY18="",1,VLOOKUP($AY18,DADOS!$CO$5:$CP$7,2,FALSE))*IF($AZ18="",1,VLOOKUP($AZ18,DADOS!$CR$5:$CS$15,2,FALSE)),4)&gt;0,MAX(1,FLOOR(ROUND(VLOOKUP($AX18,DADOS!$CL$5:$CM$10,2,FALSE)*IF($AY18="",1,VLOOKUP($AY18,DADOS!$CO$5:$CP$7,2,FALSE))*IF($AZ18="",1,VLOOKUP($AZ18,DADOS!$CR$5:$CS$15,2,FALSE)),4),1)),0),""))</f>
        <v/>
      </c>
      <c r="BB18" s="125" t="n"/>
      <c r="BC18" s="134" t="n"/>
      <c r="BD18" s="134" t="n"/>
      <c r="BE18" s="89" t="n"/>
      <c r="BF18" s="89" t="n"/>
      <c r="BG18" s="89">
        <f>IF($BD18="","",IFERROR(IF(ROUND(VLOOKUP($BD18,DADOS!$CL$5:$CM$10,2,FALSE)*IF($BE18="",1,VLOOKUP($BE18,DADOS!$CO$5:$CP$7,2,FALSE))*IF($BF18="",1,VLOOKUP($BF18,DADOS!$CR$5:$CS$15,2,FALSE)),4)&gt;0,MAX(1,FLOOR(ROUND(VLOOKUP($BD18,DADOS!$CL$5:$CM$10,2,FALSE)*IF($BE18="",1,VLOOKUP($BE18,DADOS!$CO$5:$CP$7,2,FALSE))*IF($BF18="",1,VLOOKUP($BF18,DADOS!$CR$5:$CS$15,2,FALSE)),4),1)),0),""))</f>
        <v/>
      </c>
      <c r="BH18" s="125" t="n"/>
      <c r="BI18" s="134" t="n"/>
      <c r="BJ18" s="134" t="n"/>
      <c r="BK18" s="89" t="n"/>
      <c r="BL18" s="89" t="n"/>
      <c r="BM18" s="89">
        <f>IF($BJ18="","",IFERROR(IF(ROUND(VLOOKUP($BJ18,DADOS!$CL$5:$CM$10,2,FALSE)*IF($BK18="",1,VLOOKUP($BK18,DADOS!$CO$5:$CP$7,2,FALSE))*IF($BL18="",1,VLOOKUP($BL18,DADOS!$CR$5:$CS$15,2,FALSE)),4)&gt;0,MAX(1,FLOOR(ROUND(VLOOKUP($BJ18,DADOS!$CL$5:$CM$10,2,FALSE)*IF($BK18="",1,VLOOKUP($BK18,DADOS!$CO$5:$CP$7,2,FALSE))*IF($BL18="",1,VLOOKUP($BL18,DADOS!$CR$5:$CS$15,2,FALSE)),4),1)),0),""))</f>
        <v/>
      </c>
      <c r="BN18" s="125" t="n"/>
      <c r="BO18" s="134" t="n"/>
      <c r="BP18" s="134" t="n"/>
      <c r="BQ18" s="89" t="n"/>
      <c r="BR18" s="89" t="n"/>
      <c r="BS18" s="89">
        <f>IF($BP18="","",IFERROR(IF(ROUND(VLOOKUP($BP18,DADOS!$CL$5:$CM$10,2,FALSE)*IF($BQ18="",1,VLOOKUP($BQ18,DADOS!$CO$5:$CP$7,2,FALSE))*IF($BR18="",1,VLOOKUP($BR18,DADOS!$CR$5:$CS$15,2,FALSE)),4)&gt;0,MAX(1,FLOOR(ROUND(VLOOKUP($BP18,DADOS!$CL$5:$CM$10,2,FALSE)*IF($BQ18="",1,VLOOKUP($BQ18,DADOS!$CO$5:$CP$7,2,FALSE))*IF($BR18="",1,VLOOKUP($BR18,DADOS!$CR$5:$CS$15,2,FALSE)),4),1)),0),""))</f>
        <v/>
      </c>
      <c r="BT18" s="125" t="n"/>
    </row>
    <row r="19">
      <c r="B19" s="22" t="n"/>
      <c r="C19" s="125" t="n"/>
      <c r="D19" s="21" t="n"/>
      <c r="O19" s="22" t="n"/>
      <c r="P19" s="125" t="n"/>
      <c r="Q19" s="121" t="n"/>
      <c r="R19" s="19" t="n"/>
      <c r="S19" s="19" t="n"/>
      <c r="T19" s="19" t="n"/>
      <c r="U19" s="19" t="n"/>
      <c r="V19" s="19" t="n"/>
      <c r="W19" s="19" t="n"/>
      <c r="X19" s="19" t="n"/>
      <c r="Y19" s="19" t="n"/>
      <c r="Z19" s="19" t="n"/>
      <c r="AA19" s="19" t="n"/>
      <c r="AB19" s="19" t="n"/>
      <c r="AC19" s="19" t="n"/>
      <c r="AD19" s="19" t="n"/>
      <c r="AE19" s="19" t="n"/>
      <c r="AF19" s="19" t="n"/>
      <c r="AG19" s="20" t="n"/>
      <c r="AH19" s="125" t="n"/>
      <c r="AI19" s="121" t="n"/>
      <c r="AJ19" s="19" t="n"/>
      <c r="AK19" s="19" t="n"/>
      <c r="AL19" s="19" t="n"/>
      <c r="AM19" s="19" t="n"/>
      <c r="AN19" s="19" t="n"/>
      <c r="AO19" s="19" t="n"/>
      <c r="AP19" s="19" t="n"/>
      <c r="AQ19" s="19" t="n"/>
      <c r="AR19" s="19" t="n"/>
      <c r="AS19" s="19" t="n"/>
      <c r="AT19" s="20" t="n"/>
      <c r="AU19" s="125" t="n"/>
      <c r="AV19" s="125" t="n"/>
      <c r="AW19" s="134" t="n"/>
      <c r="AX19" s="134" t="n"/>
      <c r="AY19" s="89" t="n"/>
      <c r="AZ19" s="89" t="n"/>
      <c r="BA19" s="89">
        <f>IF($AX19="","",IFERROR(IF(ROUND(VLOOKUP($AX19,DADOS!$CL$5:$CM$10,2,FALSE)*IF($AY19="",1,VLOOKUP($AY19,DADOS!$CO$5:$CP$7,2,FALSE))*IF($AZ19="",1,VLOOKUP($AZ19,DADOS!$CR$5:$CS$15,2,FALSE)),4)&gt;0,MAX(1,FLOOR(ROUND(VLOOKUP($AX19,DADOS!$CL$5:$CM$10,2,FALSE)*IF($AY19="",1,VLOOKUP($AY19,DADOS!$CO$5:$CP$7,2,FALSE))*IF($AZ19="",1,VLOOKUP($AZ19,DADOS!$CR$5:$CS$15,2,FALSE)),4),1)),0),""))</f>
        <v/>
      </c>
      <c r="BB19" s="125" t="n"/>
      <c r="BC19" s="134" t="n"/>
      <c r="BD19" s="134" t="n"/>
      <c r="BE19" s="89" t="n"/>
      <c r="BF19" s="89" t="n"/>
      <c r="BG19" s="89">
        <f>IF($BD19="","",IFERROR(IF(ROUND(VLOOKUP($BD19,DADOS!$CL$5:$CM$10,2,FALSE)*IF($BE19="",1,VLOOKUP($BE19,DADOS!$CO$5:$CP$7,2,FALSE))*IF($BF19="",1,VLOOKUP($BF19,DADOS!$CR$5:$CS$15,2,FALSE)),4)&gt;0,MAX(1,FLOOR(ROUND(VLOOKUP($BD19,DADOS!$CL$5:$CM$10,2,FALSE)*IF($BE19="",1,VLOOKUP($BE19,DADOS!$CO$5:$CP$7,2,FALSE))*IF($BF19="",1,VLOOKUP($BF19,DADOS!$CR$5:$CS$15,2,FALSE)),4),1)),0),""))</f>
        <v/>
      </c>
      <c r="BH19" s="125" t="n"/>
      <c r="BI19" s="134" t="n"/>
      <c r="BJ19" s="134" t="n"/>
      <c r="BK19" s="89" t="n"/>
      <c r="BL19" s="89" t="n"/>
      <c r="BM19" s="89">
        <f>IF($BJ19="","",IFERROR(IF(ROUND(VLOOKUP($BJ19,DADOS!$CL$5:$CM$10,2,FALSE)*IF($BK19="",1,VLOOKUP($BK19,DADOS!$CO$5:$CP$7,2,FALSE))*IF($BL19="",1,VLOOKUP($BL19,DADOS!$CR$5:$CS$15,2,FALSE)),4)&gt;0,MAX(1,FLOOR(ROUND(VLOOKUP($BJ19,DADOS!$CL$5:$CM$10,2,FALSE)*IF($BK19="",1,VLOOKUP($BK19,DADOS!$CO$5:$CP$7,2,FALSE))*IF($BL19="",1,VLOOKUP($BL19,DADOS!$CR$5:$CS$15,2,FALSE)),4),1)),0),""))</f>
        <v/>
      </c>
      <c r="BN19" s="125" t="n"/>
      <c r="BO19" s="134" t="n"/>
      <c r="BP19" s="134" t="n"/>
      <c r="BQ19" s="89" t="n"/>
      <c r="BR19" s="89" t="n"/>
      <c r="BS19" s="89">
        <f>IF($BP19="","",IFERROR(IF(ROUND(VLOOKUP($BP19,DADOS!$CL$5:$CM$10,2,FALSE)*IF($BQ19="",1,VLOOKUP($BQ19,DADOS!$CO$5:$CP$7,2,FALSE))*IF($BR19="",1,VLOOKUP($BR19,DADOS!$CR$5:$CS$15,2,FALSE)),4)&gt;0,MAX(1,FLOOR(ROUND(VLOOKUP($BP19,DADOS!$CL$5:$CM$10,2,FALSE)*IF($BQ19="",1,VLOOKUP($BQ19,DADOS!$CO$5:$CP$7,2,FALSE))*IF($BR19="",1,VLOOKUP($BR19,DADOS!$CR$5:$CS$15,2,FALSE)),4),1)),0),""))</f>
        <v/>
      </c>
      <c r="BT19" s="125" t="n"/>
    </row>
    <row r="20">
      <c r="B20" s="22" t="n"/>
      <c r="C20" s="125" t="n"/>
      <c r="D20" s="21" t="n"/>
      <c r="O20" s="22" t="n"/>
      <c r="P20" s="125" t="n"/>
      <c r="Q20" s="23" t="n"/>
      <c r="R20" s="24" t="n"/>
      <c r="S20" s="24" t="n"/>
      <c r="T20" s="24" t="n"/>
      <c r="U20" s="24" t="n"/>
      <c r="V20" s="24" t="n"/>
      <c r="W20" s="24" t="n"/>
      <c r="X20" s="24" t="n"/>
      <c r="Y20" s="24" t="n"/>
      <c r="Z20" s="24" t="n"/>
      <c r="AA20" s="24" t="n"/>
      <c r="AB20" s="24" t="n"/>
      <c r="AC20" s="24" t="n"/>
      <c r="AD20" s="24" t="n"/>
      <c r="AE20" s="24" t="n"/>
      <c r="AF20" s="24" t="n"/>
      <c r="AG20" s="25" t="n"/>
      <c r="AH20" s="125" t="n"/>
      <c r="AI20" s="23" t="n"/>
      <c r="AJ20" s="24" t="n"/>
      <c r="AK20" s="24" t="n"/>
      <c r="AL20" s="24" t="n"/>
      <c r="AM20" s="24" t="n"/>
      <c r="AN20" s="24" t="n"/>
      <c r="AO20" s="24" t="n"/>
      <c r="AP20" s="24" t="n"/>
      <c r="AQ20" s="24" t="n"/>
      <c r="AR20" s="24" t="n"/>
      <c r="AS20" s="24" t="n"/>
      <c r="AT20" s="25" t="n"/>
      <c r="AU20" s="125" t="n"/>
      <c r="AV20" s="125" t="n"/>
      <c r="AW20" s="134" t="n"/>
      <c r="AX20" s="134" t="n"/>
      <c r="AY20" s="89" t="n"/>
      <c r="AZ20" s="89" t="n"/>
      <c r="BA20" s="89">
        <f>IF($AX20="","",IFERROR(IF(ROUND(VLOOKUP($AX20,DADOS!$CL$5:$CM$10,2,FALSE)*IF($AY20="",1,VLOOKUP($AY20,DADOS!$CO$5:$CP$7,2,FALSE))*IF($AZ20="",1,VLOOKUP($AZ20,DADOS!$CR$5:$CS$15,2,FALSE)),4)&gt;0,MAX(1,FLOOR(ROUND(VLOOKUP($AX20,DADOS!$CL$5:$CM$10,2,FALSE)*IF($AY20="",1,VLOOKUP($AY20,DADOS!$CO$5:$CP$7,2,FALSE))*IF($AZ20="",1,VLOOKUP($AZ20,DADOS!$CR$5:$CS$15,2,FALSE)),4),1)),0),""))</f>
        <v/>
      </c>
      <c r="BB20" s="125" t="n"/>
      <c r="BC20" s="134" t="n"/>
      <c r="BD20" s="134" t="n"/>
      <c r="BE20" s="89" t="n"/>
      <c r="BF20" s="89" t="n"/>
      <c r="BG20" s="89">
        <f>IF($BD20="","",IFERROR(IF(ROUND(VLOOKUP($BD20,DADOS!$CL$5:$CM$10,2,FALSE)*IF($BE20="",1,VLOOKUP($BE20,DADOS!$CO$5:$CP$7,2,FALSE))*IF($BF20="",1,VLOOKUP($BF20,DADOS!$CR$5:$CS$15,2,FALSE)),4)&gt;0,MAX(1,FLOOR(ROUND(VLOOKUP($BD20,DADOS!$CL$5:$CM$10,2,FALSE)*IF($BE20="",1,VLOOKUP($BE20,DADOS!$CO$5:$CP$7,2,FALSE))*IF($BF20="",1,VLOOKUP($BF20,DADOS!$CR$5:$CS$15,2,FALSE)),4),1)),0),""))</f>
        <v/>
      </c>
      <c r="BH20" s="125" t="n"/>
      <c r="BI20" s="134" t="n"/>
      <c r="BJ20" s="134" t="n"/>
      <c r="BK20" s="89" t="n"/>
      <c r="BL20" s="89" t="n"/>
      <c r="BM20" s="89">
        <f>IF($BJ20="","",IFERROR(IF(ROUND(VLOOKUP($BJ20,DADOS!$CL$5:$CM$10,2,FALSE)*IF($BK20="",1,VLOOKUP($BK20,DADOS!$CO$5:$CP$7,2,FALSE))*IF($BL20="",1,VLOOKUP($BL20,DADOS!$CR$5:$CS$15,2,FALSE)),4)&gt;0,MAX(1,FLOOR(ROUND(VLOOKUP($BJ20,DADOS!$CL$5:$CM$10,2,FALSE)*IF($BK20="",1,VLOOKUP($BK20,DADOS!$CO$5:$CP$7,2,FALSE))*IF($BL20="",1,VLOOKUP($BL20,DADOS!$CR$5:$CS$15,2,FALSE)),4),1)),0),""))</f>
        <v/>
      </c>
      <c r="BN20" s="125" t="n"/>
      <c r="BO20" s="134" t="n"/>
      <c r="BP20" s="134" t="n"/>
      <c r="BQ20" s="89" t="n"/>
      <c r="BR20" s="89" t="n"/>
      <c r="BS20" s="89">
        <f>IF($BP20="","",IFERROR(IF(ROUND(VLOOKUP($BP20,DADOS!$CL$5:$CM$10,2,FALSE)*IF($BQ20="",1,VLOOKUP($BQ20,DADOS!$CO$5:$CP$7,2,FALSE))*IF($BR20="",1,VLOOKUP($BR20,DADOS!$CR$5:$CS$15,2,FALSE)),4)&gt;0,MAX(1,FLOOR(ROUND(VLOOKUP($BP20,DADOS!$CL$5:$CM$10,2,FALSE)*IF($BQ20="",1,VLOOKUP($BQ20,DADOS!$CO$5:$CP$7,2,FALSE))*IF($BR20="",1,VLOOKUP($BR20,DADOS!$CR$5:$CS$15,2,FALSE)),4),1)),0),""))</f>
        <v/>
      </c>
      <c r="BT20" s="125" t="n"/>
    </row>
    <row r="21">
      <c r="B21" s="22" t="n"/>
      <c r="C21" s="125" t="n"/>
      <c r="D21" s="21" t="n"/>
      <c r="O21" s="22" t="n"/>
      <c r="P21" s="125" t="n"/>
      <c r="Q21" s="125" t="n"/>
      <c r="R21" s="125" t="n"/>
      <c r="S21" s="125" t="n"/>
      <c r="T21" s="125" t="n"/>
      <c r="U21" s="125" t="n"/>
      <c r="V21" s="125" t="n"/>
      <c r="W21" s="125" t="n"/>
      <c r="X21" s="125" t="n"/>
      <c r="Y21" s="125" t="n"/>
      <c r="Z21" s="125" t="n"/>
      <c r="AA21" s="125" t="n"/>
      <c r="AB21" s="125" t="n"/>
      <c r="AC21" s="125" t="n"/>
      <c r="AD21" s="125" t="n"/>
      <c r="AE21" s="125" t="n"/>
      <c r="AF21" s="125" t="n"/>
      <c r="AG21" s="125" t="n"/>
      <c r="AH21" s="125" t="n"/>
      <c r="AI21" s="125" t="n"/>
      <c r="AJ21" s="125" t="n"/>
      <c r="AK21" s="125" t="n"/>
      <c r="AL21" s="125" t="n"/>
      <c r="AM21" s="125" t="n"/>
      <c r="AN21" s="125" t="n"/>
      <c r="AO21" s="125" t="n"/>
      <c r="AP21" s="125" t="n"/>
      <c r="AQ21" s="125" t="n"/>
      <c r="AR21" s="125" t="n"/>
      <c r="AS21" s="125" t="n"/>
      <c r="AT21" s="125" t="n"/>
      <c r="AU21" s="125" t="n"/>
      <c r="AV21" s="125" t="n"/>
      <c r="AW21" s="134" t="n"/>
      <c r="AX21" s="134" t="n"/>
      <c r="AY21" s="89" t="n"/>
      <c r="AZ21" s="89" t="n"/>
      <c r="BA21" s="89">
        <f>IF($AX21="","",IFERROR(IF(ROUND(VLOOKUP($AX21,DADOS!$CL$5:$CM$10,2,FALSE)*IF($AY21="",1,VLOOKUP($AY21,DADOS!$CO$5:$CP$7,2,FALSE))*IF($AZ21="",1,VLOOKUP($AZ21,DADOS!$CR$5:$CS$15,2,FALSE)),4)&gt;0,MAX(1,FLOOR(ROUND(VLOOKUP($AX21,DADOS!$CL$5:$CM$10,2,FALSE)*IF($AY21="",1,VLOOKUP($AY21,DADOS!$CO$5:$CP$7,2,FALSE))*IF($AZ21="",1,VLOOKUP($AZ21,DADOS!$CR$5:$CS$15,2,FALSE)),4),1)),0),""))</f>
        <v/>
      </c>
      <c r="BB21" s="125" t="n"/>
      <c r="BC21" s="134" t="n"/>
      <c r="BD21" s="134" t="n"/>
      <c r="BE21" s="89" t="n"/>
      <c r="BF21" s="89" t="n"/>
      <c r="BG21" s="89">
        <f>IF($BD21="","",IFERROR(IF(ROUND(VLOOKUP($BD21,DADOS!$CL$5:$CM$10,2,FALSE)*IF($BE21="",1,VLOOKUP($BE21,DADOS!$CO$5:$CP$7,2,FALSE))*IF($BF21="",1,VLOOKUP($BF21,DADOS!$CR$5:$CS$15,2,FALSE)),4)&gt;0,MAX(1,FLOOR(ROUND(VLOOKUP($BD21,DADOS!$CL$5:$CM$10,2,FALSE)*IF($BE21="",1,VLOOKUP($BE21,DADOS!$CO$5:$CP$7,2,FALSE))*IF($BF21="",1,VLOOKUP($BF21,DADOS!$CR$5:$CS$15,2,FALSE)),4),1)),0),""))</f>
        <v/>
      </c>
      <c r="BH21" s="125" t="n"/>
      <c r="BI21" s="134" t="n"/>
      <c r="BJ21" s="134" t="n"/>
      <c r="BK21" s="89" t="n"/>
      <c r="BL21" s="89" t="n"/>
      <c r="BM21" s="89">
        <f>IF($BJ21="","",IFERROR(IF(ROUND(VLOOKUP($BJ21,DADOS!$CL$5:$CM$10,2,FALSE)*IF($BK21="",1,VLOOKUP($BK21,DADOS!$CO$5:$CP$7,2,FALSE))*IF($BL21="",1,VLOOKUP($BL21,DADOS!$CR$5:$CS$15,2,FALSE)),4)&gt;0,MAX(1,FLOOR(ROUND(VLOOKUP($BJ21,DADOS!$CL$5:$CM$10,2,FALSE)*IF($BK21="",1,VLOOKUP($BK21,DADOS!$CO$5:$CP$7,2,FALSE))*IF($BL21="",1,VLOOKUP($BL21,DADOS!$CR$5:$CS$15,2,FALSE)),4),1)),0),""))</f>
        <v/>
      </c>
      <c r="BN21" s="125" t="n"/>
      <c r="BO21" s="134" t="n"/>
      <c r="BP21" s="134" t="n"/>
      <c r="BQ21" s="89" t="n"/>
      <c r="BR21" s="89" t="n"/>
      <c r="BS21" s="89">
        <f>IF($BP21="","",IFERROR(IF(ROUND(VLOOKUP($BP21,DADOS!$CL$5:$CM$10,2,FALSE)*IF($BQ21="",1,VLOOKUP($BQ21,DADOS!$CO$5:$CP$7,2,FALSE))*IF($BR21="",1,VLOOKUP($BR21,DADOS!$CR$5:$CS$15,2,FALSE)),4)&gt;0,MAX(1,FLOOR(ROUND(VLOOKUP($BP21,DADOS!$CL$5:$CM$10,2,FALSE)*IF($BQ21="",1,VLOOKUP($BQ21,DADOS!$CO$5:$CP$7,2,FALSE))*IF($BR21="",1,VLOOKUP($BR21,DADOS!$CR$5:$CS$15,2,FALSE)),4),1)),0),""))</f>
        <v/>
      </c>
      <c r="BT21" s="125" t="n"/>
    </row>
    <row r="22">
      <c r="B22" s="22" t="n"/>
      <c r="C22" s="125" t="n"/>
      <c r="D22" s="21" t="n"/>
      <c r="O22" s="22" t="n"/>
      <c r="P22" s="125"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5" t="n"/>
      <c r="AV22" s="125" t="n"/>
      <c r="AW22" s="134" t="n"/>
      <c r="AX22" s="134" t="n"/>
      <c r="AY22" s="89" t="n"/>
      <c r="AZ22" s="89" t="n"/>
      <c r="BA22" s="89">
        <f>IF($AX22="","",IFERROR(IF(ROUND(VLOOKUP($AX22,DADOS!$CL$5:$CM$10,2,FALSE)*IF($AY22="",1,VLOOKUP($AY22,DADOS!$CO$5:$CP$7,2,FALSE))*IF($AZ22="",1,VLOOKUP($AZ22,DADOS!$CR$5:$CS$15,2,FALSE)),4)&gt;0,MAX(1,FLOOR(ROUND(VLOOKUP($AX22,DADOS!$CL$5:$CM$10,2,FALSE)*IF($AY22="",1,VLOOKUP($AY22,DADOS!$CO$5:$CP$7,2,FALSE))*IF($AZ22="",1,VLOOKUP($AZ22,DADOS!$CR$5:$CS$15,2,FALSE)),4),1)),0),""))</f>
        <v/>
      </c>
      <c r="BB22" s="125" t="n"/>
      <c r="BC22" s="134" t="n"/>
      <c r="BD22" s="134" t="n"/>
      <c r="BE22" s="89" t="n"/>
      <c r="BF22" s="89" t="n"/>
      <c r="BG22" s="89">
        <f>IF($BD22="","",IFERROR(IF(ROUND(VLOOKUP($BD22,DADOS!$CL$5:$CM$10,2,FALSE)*IF($BE22="",1,VLOOKUP($BE22,DADOS!$CO$5:$CP$7,2,FALSE))*IF($BF22="",1,VLOOKUP($BF22,DADOS!$CR$5:$CS$15,2,FALSE)),4)&gt;0,MAX(1,FLOOR(ROUND(VLOOKUP($BD22,DADOS!$CL$5:$CM$10,2,FALSE)*IF($BE22="",1,VLOOKUP($BE22,DADOS!$CO$5:$CP$7,2,FALSE))*IF($BF22="",1,VLOOKUP($BF22,DADOS!$CR$5:$CS$15,2,FALSE)),4),1)),0),""))</f>
        <v/>
      </c>
      <c r="BH22" s="125" t="n"/>
      <c r="BI22" s="134" t="n"/>
      <c r="BJ22" s="134" t="n"/>
      <c r="BK22" s="89" t="n"/>
      <c r="BL22" s="89" t="n"/>
      <c r="BM22" s="89">
        <f>IF($BJ22="","",IFERROR(IF(ROUND(VLOOKUP($BJ22,DADOS!$CL$5:$CM$10,2,FALSE)*IF($BK22="",1,VLOOKUP($BK22,DADOS!$CO$5:$CP$7,2,FALSE))*IF($BL22="",1,VLOOKUP($BL22,DADOS!$CR$5:$CS$15,2,FALSE)),4)&gt;0,MAX(1,FLOOR(ROUND(VLOOKUP($BJ22,DADOS!$CL$5:$CM$10,2,FALSE)*IF($BK22="",1,VLOOKUP($BK22,DADOS!$CO$5:$CP$7,2,FALSE))*IF($BL22="",1,VLOOKUP($BL22,DADOS!$CR$5:$CS$15,2,FALSE)),4),1)),0),""))</f>
        <v/>
      </c>
      <c r="BN22" s="125" t="n"/>
      <c r="BO22" s="134" t="n"/>
      <c r="BP22" s="134" t="n"/>
      <c r="BQ22" s="89" t="n"/>
      <c r="BR22" s="89" t="n"/>
      <c r="BS22" s="89">
        <f>IF($BP22="","",IFERROR(IF(ROUND(VLOOKUP($BP22,DADOS!$CL$5:$CM$10,2,FALSE)*IF($BQ22="",1,VLOOKUP($BQ22,DADOS!$CO$5:$CP$7,2,FALSE))*IF($BR22="",1,VLOOKUP($BR22,DADOS!$CR$5:$CS$15,2,FALSE)),4)&gt;0,MAX(1,FLOOR(ROUND(VLOOKUP($BP22,DADOS!$CL$5:$CM$10,2,FALSE)*IF($BQ22="",1,VLOOKUP($BQ22,DADOS!$CO$5:$CP$7,2,FALSE))*IF($BR22="",1,VLOOKUP($BR22,DADOS!$CR$5:$CS$15,2,FALSE)),4),1)),0),""))</f>
        <v/>
      </c>
      <c r="BT22" s="125" t="n"/>
    </row>
    <row r="23">
      <c r="B23" s="22" t="n"/>
      <c r="C23" s="125" t="n"/>
      <c r="D23" s="21" t="n"/>
      <c r="O23" s="22" t="n"/>
      <c r="P23" s="125" t="n"/>
      <c r="Q23" s="12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5" t="n"/>
      <c r="AV23" s="125" t="n"/>
      <c r="AW23" s="134" t="n"/>
      <c r="AX23" s="134" t="n"/>
      <c r="AY23" s="89" t="n"/>
      <c r="AZ23" s="89" t="n"/>
      <c r="BA23" s="89">
        <f>IF($AX23="","",IFERROR(IF(ROUND(VLOOKUP($AX23,DADOS!$CL$5:$CM$10,2,FALSE)*IF($AY23="",1,VLOOKUP($AY23,DADOS!$CO$5:$CP$7,2,FALSE))*IF($AZ23="",1,VLOOKUP($AZ23,DADOS!$CR$5:$CS$15,2,FALSE)),4)&gt;0,MAX(1,FLOOR(ROUND(VLOOKUP($AX23,DADOS!$CL$5:$CM$10,2,FALSE)*IF($AY23="",1,VLOOKUP($AY23,DADOS!$CO$5:$CP$7,2,FALSE))*IF($AZ23="",1,VLOOKUP($AZ23,DADOS!$CR$5:$CS$15,2,FALSE)),4),1)),0),""))</f>
        <v/>
      </c>
      <c r="BB23" s="125" t="n"/>
      <c r="BC23" s="134" t="n"/>
      <c r="BD23" s="134" t="n"/>
      <c r="BE23" s="89" t="n"/>
      <c r="BF23" s="89" t="n"/>
      <c r="BG23" s="89">
        <f>IF($BD23="","",IFERROR(IF(ROUND(VLOOKUP($BD23,DADOS!$CL$5:$CM$10,2,FALSE)*IF($BE23="",1,VLOOKUP($BE23,DADOS!$CO$5:$CP$7,2,FALSE))*IF($BF23="",1,VLOOKUP($BF23,DADOS!$CR$5:$CS$15,2,FALSE)),4)&gt;0,MAX(1,FLOOR(ROUND(VLOOKUP($BD23,DADOS!$CL$5:$CM$10,2,FALSE)*IF($BE23="",1,VLOOKUP($BE23,DADOS!$CO$5:$CP$7,2,FALSE))*IF($BF23="",1,VLOOKUP($BF23,DADOS!$CR$5:$CS$15,2,FALSE)),4),1)),0),""))</f>
        <v/>
      </c>
      <c r="BH23" s="125" t="n"/>
      <c r="BI23" s="134" t="n"/>
      <c r="BJ23" s="134" t="n"/>
      <c r="BK23" s="89" t="n"/>
      <c r="BL23" s="89" t="n"/>
      <c r="BM23" s="89">
        <f>IF($BJ23="","",IFERROR(IF(ROUND(VLOOKUP($BJ23,DADOS!$CL$5:$CM$10,2,FALSE)*IF($BK23="",1,VLOOKUP($BK23,DADOS!$CO$5:$CP$7,2,FALSE))*IF($BL23="",1,VLOOKUP($BL23,DADOS!$CR$5:$CS$15,2,FALSE)),4)&gt;0,MAX(1,FLOOR(ROUND(VLOOKUP($BJ23,DADOS!$CL$5:$CM$10,2,FALSE)*IF($BK23="",1,VLOOKUP($BK23,DADOS!$CO$5:$CP$7,2,FALSE))*IF($BL23="",1,VLOOKUP($BL23,DADOS!$CR$5:$CS$15,2,FALSE)),4),1)),0),""))</f>
        <v/>
      </c>
      <c r="BN23" s="125" t="n"/>
      <c r="BO23" s="134" t="n"/>
      <c r="BP23" s="134" t="n"/>
      <c r="BQ23" s="89" t="n"/>
      <c r="BR23" s="89" t="n"/>
      <c r="BS23" s="89">
        <f>IF($BP23="","",IFERROR(IF(ROUND(VLOOKUP($BP23,DADOS!$CL$5:$CM$10,2,FALSE)*IF($BQ23="",1,VLOOKUP($BQ23,DADOS!$CO$5:$CP$7,2,FALSE))*IF($BR23="",1,VLOOKUP($BR23,DADOS!$CR$5:$CS$15,2,FALSE)),4)&gt;0,MAX(1,FLOOR(ROUND(VLOOKUP($BP23,DADOS!$CL$5:$CM$10,2,FALSE)*IF($BQ23="",1,VLOOKUP($BQ23,DADOS!$CO$5:$CP$7,2,FALSE))*IF($BR23="",1,VLOOKUP($BR23,DADOS!$CR$5:$CS$15,2,FALSE)),4),1)),0),""))</f>
        <v/>
      </c>
      <c r="BT23" s="125" t="n"/>
    </row>
    <row r="24">
      <c r="B24" s="22" t="n"/>
      <c r="C24" s="125" t="n"/>
      <c r="D24" s="21" t="n"/>
      <c r="O24" s="22" t="n"/>
      <c r="P24" s="125"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5" t="n"/>
      <c r="AV24" s="125" t="n"/>
      <c r="AW24" s="134" t="n"/>
      <c r="AX24" s="134" t="n"/>
      <c r="AY24" s="89" t="n"/>
      <c r="AZ24" s="89" t="n"/>
      <c r="BA24" s="89">
        <f>IF($AX24="","",IFERROR(IF(ROUND(VLOOKUP($AX24,DADOS!$CL$5:$CM$10,2,FALSE)*IF($AY24="",1,VLOOKUP($AY24,DADOS!$CO$5:$CP$7,2,FALSE))*IF($AZ24="",1,VLOOKUP($AZ24,DADOS!$CR$5:$CS$15,2,FALSE)),4)&gt;0,MAX(1,FLOOR(ROUND(VLOOKUP($AX24,DADOS!$CL$5:$CM$10,2,FALSE)*IF($AY24="",1,VLOOKUP($AY24,DADOS!$CO$5:$CP$7,2,FALSE))*IF($AZ24="",1,VLOOKUP($AZ24,DADOS!$CR$5:$CS$15,2,FALSE)),4),1)),0),""))</f>
        <v/>
      </c>
      <c r="BB24" s="125" t="n"/>
      <c r="BC24" s="134" t="n"/>
      <c r="BD24" s="134" t="n"/>
      <c r="BE24" s="89" t="n"/>
      <c r="BF24" s="89" t="n"/>
      <c r="BG24" s="89">
        <f>IF($BD24="","",IFERROR(IF(ROUND(VLOOKUP($BD24,DADOS!$CL$5:$CM$10,2,FALSE)*IF($BE24="",1,VLOOKUP($BE24,DADOS!$CO$5:$CP$7,2,FALSE))*IF($BF24="",1,VLOOKUP($BF24,DADOS!$CR$5:$CS$15,2,FALSE)),4)&gt;0,MAX(1,FLOOR(ROUND(VLOOKUP($BD24,DADOS!$CL$5:$CM$10,2,FALSE)*IF($BE24="",1,VLOOKUP($BE24,DADOS!$CO$5:$CP$7,2,FALSE))*IF($BF24="",1,VLOOKUP($BF24,DADOS!$CR$5:$CS$15,2,FALSE)),4),1)),0),""))</f>
        <v/>
      </c>
      <c r="BH24" s="125" t="n"/>
      <c r="BI24" s="134" t="n"/>
      <c r="BJ24" s="134" t="n"/>
      <c r="BK24" s="89" t="n"/>
      <c r="BL24" s="89" t="n"/>
      <c r="BM24" s="89">
        <f>IF($BJ24="","",IFERROR(IF(ROUND(VLOOKUP($BJ24,DADOS!$CL$5:$CM$10,2,FALSE)*IF($BK24="",1,VLOOKUP($BK24,DADOS!$CO$5:$CP$7,2,FALSE))*IF($BL24="",1,VLOOKUP($BL24,DADOS!$CR$5:$CS$15,2,FALSE)),4)&gt;0,MAX(1,FLOOR(ROUND(VLOOKUP($BJ24,DADOS!$CL$5:$CM$10,2,FALSE)*IF($BK24="",1,VLOOKUP($BK24,DADOS!$CO$5:$CP$7,2,FALSE))*IF($BL24="",1,VLOOKUP($BL24,DADOS!$CR$5:$CS$15,2,FALSE)),4),1)),0),""))</f>
        <v/>
      </c>
      <c r="BN24" s="125" t="n"/>
      <c r="BO24" s="134" t="n"/>
      <c r="BP24" s="134" t="n"/>
      <c r="BQ24" s="89" t="n"/>
      <c r="BR24" s="89" t="n"/>
      <c r="BS24" s="89">
        <f>IF($BP24="","",IFERROR(IF(ROUND(VLOOKUP($BP24,DADOS!$CL$5:$CM$10,2,FALSE)*IF($BQ24="",1,VLOOKUP($BQ24,DADOS!$CO$5:$CP$7,2,FALSE))*IF($BR24="",1,VLOOKUP($BR24,DADOS!$CR$5:$CS$15,2,FALSE)),4)&gt;0,MAX(1,FLOOR(ROUND(VLOOKUP($BP24,DADOS!$CL$5:$CM$10,2,FALSE)*IF($BQ24="",1,VLOOKUP($BQ24,DADOS!$CO$5:$CP$7,2,FALSE))*IF($BR24="",1,VLOOKUP($BR24,DADOS!$CR$5:$CS$15,2,FALSE)),4),1)),0),""))</f>
        <v/>
      </c>
      <c r="BT24" s="125" t="n"/>
    </row>
    <row r="25">
      <c r="B25" s="22" t="n"/>
      <c r="C25" s="125" t="n"/>
      <c r="D25" s="21" t="n"/>
      <c r="O25" s="22" t="n"/>
      <c r="P25" s="125" t="n"/>
      <c r="Q25" s="125" t="n"/>
      <c r="R25" s="125" t="n"/>
      <c r="S25" s="125" t="n"/>
      <c r="T25" s="125" t="n"/>
      <c r="U25" s="125" t="n"/>
      <c r="V25" s="125" t="n"/>
      <c r="W25" s="125" t="n"/>
      <c r="X25" s="125" t="n"/>
      <c r="Y25" s="125" t="n"/>
      <c r="Z25" s="125" t="n"/>
      <c r="AA25" s="125" t="n"/>
      <c r="AB25" s="125" t="n"/>
      <c r="AC25" s="125" t="n"/>
      <c r="AD25" s="125" t="n"/>
      <c r="AE25" s="125" t="n"/>
      <c r="AF25" s="125" t="n"/>
      <c r="AG25" s="125" t="n"/>
      <c r="AH25" s="125" t="n"/>
      <c r="AI25" s="125" t="n"/>
      <c r="AJ25" s="125" t="n"/>
      <c r="AK25" s="125" t="n"/>
      <c r="AL25" s="125" t="n"/>
      <c r="AM25" s="125" t="n"/>
      <c r="AN25" s="125" t="n"/>
      <c r="AO25" s="125" t="n"/>
      <c r="AP25" s="125" t="n"/>
      <c r="AQ25" s="125" t="n"/>
      <c r="AR25" s="125" t="n"/>
      <c r="AS25" s="125" t="n"/>
      <c r="AT25" s="125" t="n"/>
      <c r="AU25" s="125" t="n"/>
      <c r="AV25" s="125" t="n"/>
      <c r="AW25" s="134" t="n"/>
      <c r="AX25" s="134" t="n"/>
      <c r="AY25" s="89" t="n"/>
      <c r="AZ25" s="89" t="n"/>
      <c r="BA25" s="89">
        <f>IF($AX25="","",IFERROR(IF(ROUND(VLOOKUP($AX25,DADOS!$CL$5:$CM$10,2,FALSE)*IF($AY25="",1,VLOOKUP($AY25,DADOS!$CO$5:$CP$7,2,FALSE))*IF($AZ25="",1,VLOOKUP($AZ25,DADOS!$CR$5:$CS$15,2,FALSE)),4)&gt;0,MAX(1,FLOOR(ROUND(VLOOKUP($AX25,DADOS!$CL$5:$CM$10,2,FALSE)*IF($AY25="",1,VLOOKUP($AY25,DADOS!$CO$5:$CP$7,2,FALSE))*IF($AZ25="",1,VLOOKUP($AZ25,DADOS!$CR$5:$CS$15,2,FALSE)),4),1)),0),""))</f>
        <v/>
      </c>
      <c r="BB25" s="125" t="n"/>
      <c r="BC25" s="134" t="n"/>
      <c r="BD25" s="134" t="n"/>
      <c r="BE25" s="89" t="n"/>
      <c r="BF25" s="89" t="n"/>
      <c r="BG25" s="89">
        <f>IF($BD25="","",IFERROR(IF(ROUND(VLOOKUP($BD25,DADOS!$CL$5:$CM$10,2,FALSE)*IF($BE25="",1,VLOOKUP($BE25,DADOS!$CO$5:$CP$7,2,FALSE))*IF($BF25="",1,VLOOKUP($BF25,DADOS!$CR$5:$CS$15,2,FALSE)),4)&gt;0,MAX(1,FLOOR(ROUND(VLOOKUP($BD25,DADOS!$CL$5:$CM$10,2,FALSE)*IF($BE25="",1,VLOOKUP($BE25,DADOS!$CO$5:$CP$7,2,FALSE))*IF($BF25="",1,VLOOKUP($BF25,DADOS!$CR$5:$CS$15,2,FALSE)),4),1)),0),""))</f>
        <v/>
      </c>
      <c r="BH25" s="125" t="n"/>
      <c r="BI25" s="134" t="n"/>
      <c r="BJ25" s="134" t="n"/>
      <c r="BK25" s="89" t="n"/>
      <c r="BL25" s="89" t="n"/>
      <c r="BM25" s="89">
        <f>IF($BJ25="","",IFERROR(IF(ROUND(VLOOKUP($BJ25,DADOS!$CL$5:$CM$10,2,FALSE)*IF($BK25="",1,VLOOKUP($BK25,DADOS!$CO$5:$CP$7,2,FALSE))*IF($BL25="",1,VLOOKUP($BL25,DADOS!$CR$5:$CS$15,2,FALSE)),4)&gt;0,MAX(1,FLOOR(ROUND(VLOOKUP($BJ25,DADOS!$CL$5:$CM$10,2,FALSE)*IF($BK25="",1,VLOOKUP($BK25,DADOS!$CO$5:$CP$7,2,FALSE))*IF($BL25="",1,VLOOKUP($BL25,DADOS!$CR$5:$CS$15,2,FALSE)),4),1)),0),""))</f>
        <v/>
      </c>
      <c r="BN25" s="125" t="n"/>
      <c r="BO25" s="134" t="n"/>
      <c r="BP25" s="134" t="n"/>
      <c r="BQ25" s="89" t="n"/>
      <c r="BR25" s="89" t="n"/>
      <c r="BS25" s="89">
        <f>IF($BP25="","",IFERROR(IF(ROUND(VLOOKUP($BP25,DADOS!$CL$5:$CM$10,2,FALSE)*IF($BQ25="",1,VLOOKUP($BQ25,DADOS!$CO$5:$CP$7,2,FALSE))*IF($BR25="",1,VLOOKUP($BR25,DADOS!$CR$5:$CS$15,2,FALSE)),4)&gt;0,MAX(1,FLOOR(ROUND(VLOOKUP($BP25,DADOS!$CL$5:$CM$10,2,FALSE)*IF($BQ25="",1,VLOOKUP($BQ25,DADOS!$CO$5:$CP$7,2,FALSE))*IF($BR25="",1,VLOOKUP($BR25,DADOS!$CR$5:$CS$15,2,FALSE)),4),1)),0),""))</f>
        <v/>
      </c>
      <c r="BT25" s="125" t="n"/>
    </row>
    <row r="26">
      <c r="B26" s="22" t="n"/>
      <c r="C26" s="125" t="n"/>
      <c r="D26" s="21" t="n"/>
      <c r="O26" s="22" t="n"/>
      <c r="P26" s="125"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5" t="n"/>
      <c r="AV26" s="125" t="n"/>
      <c r="AW26" s="134" t="n"/>
      <c r="AX26" s="134" t="n"/>
      <c r="AY26" s="89" t="n"/>
      <c r="AZ26" s="89" t="n"/>
      <c r="BA26" s="89">
        <f>IF($AX26="","",IFERROR(IF(ROUND(VLOOKUP($AX26,DADOS!$CL$5:$CM$10,2,FALSE)*IF($AY26="",1,VLOOKUP($AY26,DADOS!$CO$5:$CP$7,2,FALSE))*IF($AZ26="",1,VLOOKUP($AZ26,DADOS!$CR$5:$CS$15,2,FALSE)),4)&gt;0,MAX(1,FLOOR(ROUND(VLOOKUP($AX26,DADOS!$CL$5:$CM$10,2,FALSE)*IF($AY26="",1,VLOOKUP($AY26,DADOS!$CO$5:$CP$7,2,FALSE))*IF($AZ26="",1,VLOOKUP($AZ26,DADOS!$CR$5:$CS$15,2,FALSE)),4),1)),0),""))</f>
        <v/>
      </c>
      <c r="BB26" s="125" t="n"/>
      <c r="BC26" s="134" t="n"/>
      <c r="BD26" s="134" t="n"/>
      <c r="BE26" s="89" t="n"/>
      <c r="BF26" s="89" t="n"/>
      <c r="BG26" s="89">
        <f>IF($BD26="","",IFERROR(IF(ROUND(VLOOKUP($BD26,DADOS!$CL$5:$CM$10,2,FALSE)*IF($BE26="",1,VLOOKUP($BE26,DADOS!$CO$5:$CP$7,2,FALSE))*IF($BF26="",1,VLOOKUP($BF26,DADOS!$CR$5:$CS$15,2,FALSE)),4)&gt;0,MAX(1,FLOOR(ROUND(VLOOKUP($BD26,DADOS!$CL$5:$CM$10,2,FALSE)*IF($BE26="",1,VLOOKUP($BE26,DADOS!$CO$5:$CP$7,2,FALSE))*IF($BF26="",1,VLOOKUP($BF26,DADOS!$CR$5:$CS$15,2,FALSE)),4),1)),0),""))</f>
        <v/>
      </c>
      <c r="BH26" s="125" t="n"/>
      <c r="BI26" s="134" t="n"/>
      <c r="BJ26" s="134" t="n"/>
      <c r="BK26" s="89" t="n"/>
      <c r="BL26" s="89" t="n"/>
      <c r="BM26" s="89">
        <f>IF($BJ26="","",IFERROR(IF(ROUND(VLOOKUP($BJ26,DADOS!$CL$5:$CM$10,2,FALSE)*IF($BK26="",1,VLOOKUP($BK26,DADOS!$CO$5:$CP$7,2,FALSE))*IF($BL26="",1,VLOOKUP($BL26,DADOS!$CR$5:$CS$15,2,FALSE)),4)&gt;0,MAX(1,FLOOR(ROUND(VLOOKUP($BJ26,DADOS!$CL$5:$CM$10,2,FALSE)*IF($BK26="",1,VLOOKUP($BK26,DADOS!$CO$5:$CP$7,2,FALSE))*IF($BL26="",1,VLOOKUP($BL26,DADOS!$CR$5:$CS$15,2,FALSE)),4),1)),0),""))</f>
        <v/>
      </c>
      <c r="BN26" s="125" t="n"/>
      <c r="BO26" s="134" t="n"/>
      <c r="BP26" s="134" t="n"/>
      <c r="BQ26" s="89" t="n"/>
      <c r="BR26" s="89" t="n"/>
      <c r="BS26" s="89">
        <f>IF($BP26="","",IFERROR(IF(ROUND(VLOOKUP($BP26,DADOS!$CL$5:$CM$10,2,FALSE)*IF($BQ26="",1,VLOOKUP($BQ26,DADOS!$CO$5:$CP$7,2,FALSE))*IF($BR26="",1,VLOOKUP($BR26,DADOS!$CR$5:$CS$15,2,FALSE)),4)&gt;0,MAX(1,FLOOR(ROUND(VLOOKUP($BP26,DADOS!$CL$5:$CM$10,2,FALSE)*IF($BQ26="",1,VLOOKUP($BQ26,DADOS!$CO$5:$CP$7,2,FALSE))*IF($BR26="",1,VLOOKUP($BR26,DADOS!$CR$5:$CS$15,2,FALSE)),4),1)),0),""))</f>
        <v/>
      </c>
      <c r="BT26" s="125" t="n"/>
    </row>
    <row r="27">
      <c r="B27" s="22" t="n"/>
      <c r="C27" s="125" t="n"/>
      <c r="D27" s="21" t="n"/>
      <c r="O27" s="22" t="n"/>
      <c r="P27" s="125" t="n"/>
      <c r="Q27" s="12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5" t="n"/>
      <c r="AV27" s="125" t="n"/>
      <c r="AW27" s="134" t="n"/>
      <c r="AX27" s="134" t="n"/>
      <c r="AY27" s="89" t="n"/>
      <c r="AZ27" s="89" t="n"/>
      <c r="BA27" s="89">
        <f>IF($AX27="","",IFERROR(IF(ROUND(VLOOKUP($AX27,DADOS!$CL$5:$CM$10,2,FALSE)*IF($AY27="",1,VLOOKUP($AY27,DADOS!$CO$5:$CP$7,2,FALSE))*IF($AZ27="",1,VLOOKUP($AZ27,DADOS!$CR$5:$CS$15,2,FALSE)),4)&gt;0,MAX(1,FLOOR(ROUND(VLOOKUP($AX27,DADOS!$CL$5:$CM$10,2,FALSE)*IF($AY27="",1,VLOOKUP($AY27,DADOS!$CO$5:$CP$7,2,FALSE))*IF($AZ27="",1,VLOOKUP($AZ27,DADOS!$CR$5:$CS$15,2,FALSE)),4),1)),0),""))</f>
        <v/>
      </c>
      <c r="BB27" s="125" t="n"/>
      <c r="BC27" s="134" t="n"/>
      <c r="BD27" s="134" t="n"/>
      <c r="BE27" s="89" t="n"/>
      <c r="BF27" s="89" t="n"/>
      <c r="BG27" s="89">
        <f>IF($BD27="","",IFERROR(IF(ROUND(VLOOKUP($BD27,DADOS!$CL$5:$CM$10,2,FALSE)*IF($BE27="",1,VLOOKUP($BE27,DADOS!$CO$5:$CP$7,2,FALSE))*IF($BF27="",1,VLOOKUP($BF27,DADOS!$CR$5:$CS$15,2,FALSE)),4)&gt;0,MAX(1,FLOOR(ROUND(VLOOKUP($BD27,DADOS!$CL$5:$CM$10,2,FALSE)*IF($BE27="",1,VLOOKUP($BE27,DADOS!$CO$5:$CP$7,2,FALSE))*IF($BF27="",1,VLOOKUP($BF27,DADOS!$CR$5:$CS$15,2,FALSE)),4),1)),0),""))</f>
        <v/>
      </c>
      <c r="BH27" s="125" t="n"/>
      <c r="BI27" s="134" t="n"/>
      <c r="BJ27" s="134" t="n"/>
      <c r="BK27" s="89" t="n"/>
      <c r="BL27" s="89" t="n"/>
      <c r="BM27" s="89">
        <f>IF($BJ27="","",IFERROR(IF(ROUND(VLOOKUP($BJ27,DADOS!$CL$5:$CM$10,2,FALSE)*IF($BK27="",1,VLOOKUP($BK27,DADOS!$CO$5:$CP$7,2,FALSE))*IF($BL27="",1,VLOOKUP($BL27,DADOS!$CR$5:$CS$15,2,FALSE)),4)&gt;0,MAX(1,FLOOR(ROUND(VLOOKUP($BJ27,DADOS!$CL$5:$CM$10,2,FALSE)*IF($BK27="",1,VLOOKUP($BK27,DADOS!$CO$5:$CP$7,2,FALSE))*IF($BL27="",1,VLOOKUP($BL27,DADOS!$CR$5:$CS$15,2,FALSE)),4),1)),0),""))</f>
        <v/>
      </c>
      <c r="BN27" s="125" t="n"/>
      <c r="BO27" s="134" t="n"/>
      <c r="BP27" s="134" t="n"/>
      <c r="BQ27" s="89" t="n"/>
      <c r="BR27" s="89" t="n"/>
      <c r="BS27" s="89">
        <f>IF($BP27="","",IFERROR(IF(ROUND(VLOOKUP($BP27,DADOS!$CL$5:$CM$10,2,FALSE)*IF($BQ27="",1,VLOOKUP($BQ27,DADOS!$CO$5:$CP$7,2,FALSE))*IF($BR27="",1,VLOOKUP($BR27,DADOS!$CR$5:$CS$15,2,FALSE)),4)&gt;0,MAX(1,FLOOR(ROUND(VLOOKUP($BP27,DADOS!$CL$5:$CM$10,2,FALSE)*IF($BQ27="",1,VLOOKUP($BQ27,DADOS!$CO$5:$CP$7,2,FALSE))*IF($BR27="",1,VLOOKUP($BR27,DADOS!$CR$5:$CS$15,2,FALSE)),4),1)),0),""))</f>
        <v/>
      </c>
      <c r="BT27" s="125" t="n"/>
    </row>
    <row r="28">
      <c r="B28" s="22" t="n"/>
      <c r="C28" s="125" t="n"/>
      <c r="D28" s="23" t="n"/>
      <c r="E28" s="24" t="n"/>
      <c r="F28" s="24" t="n"/>
      <c r="G28" s="24" t="n"/>
      <c r="H28" s="24" t="n"/>
      <c r="I28" s="24" t="n"/>
      <c r="J28" s="24" t="n"/>
      <c r="K28" s="24" t="n"/>
      <c r="L28" s="24" t="n"/>
      <c r="M28" s="24" t="n"/>
      <c r="N28" s="24" t="n"/>
      <c r="O28" s="25" t="n"/>
      <c r="P28" s="125" t="n"/>
      <c r="Q28" s="21" t="n"/>
      <c r="AT28" s="22" t="n"/>
      <c r="AU28" s="125" t="n"/>
      <c r="AV28" s="125" t="n"/>
      <c r="AW28" s="134" t="n"/>
      <c r="AX28" s="134" t="n"/>
      <c r="AY28" s="89" t="n"/>
      <c r="AZ28" s="89" t="n"/>
      <c r="BA28" s="89">
        <f>IF($AX28="","",IFERROR(IF(ROUND(VLOOKUP($AX28,DADOS!$CL$5:$CM$10,2,FALSE)*IF($AY28="",1,VLOOKUP($AY28,DADOS!$CO$5:$CP$7,2,FALSE))*IF($AZ28="",1,VLOOKUP($AZ28,DADOS!$CR$5:$CS$15,2,FALSE)),4)&gt;0,MAX(1,FLOOR(ROUND(VLOOKUP($AX28,DADOS!$CL$5:$CM$10,2,FALSE)*IF($AY28="",1,VLOOKUP($AY28,DADOS!$CO$5:$CP$7,2,FALSE))*IF($AZ28="",1,VLOOKUP($AZ28,DADOS!$CR$5:$CS$15,2,FALSE)),4),1)),0),""))</f>
        <v/>
      </c>
      <c r="BB28" s="125" t="n"/>
      <c r="BC28" s="134" t="n"/>
      <c r="BD28" s="134" t="n"/>
      <c r="BE28" s="89" t="n"/>
      <c r="BF28" s="89" t="n"/>
      <c r="BG28" s="89">
        <f>IF($BD28="","",IFERROR(IF(ROUND(VLOOKUP($BD28,DADOS!$CL$5:$CM$10,2,FALSE)*IF($BE28="",1,VLOOKUP($BE28,DADOS!$CO$5:$CP$7,2,FALSE))*IF($BF28="",1,VLOOKUP($BF28,DADOS!$CR$5:$CS$15,2,FALSE)),4)&gt;0,MAX(1,FLOOR(ROUND(VLOOKUP($BD28,DADOS!$CL$5:$CM$10,2,FALSE)*IF($BE28="",1,VLOOKUP($BE28,DADOS!$CO$5:$CP$7,2,FALSE))*IF($BF28="",1,VLOOKUP($BF28,DADOS!$CR$5:$CS$15,2,FALSE)),4),1)),0),""))</f>
        <v/>
      </c>
      <c r="BH28" s="125" t="n"/>
      <c r="BI28" s="134" t="n"/>
      <c r="BJ28" s="134" t="n"/>
      <c r="BK28" s="89" t="n"/>
      <c r="BL28" s="89" t="n"/>
      <c r="BM28" s="89">
        <f>IF($BJ28="","",IFERROR(IF(ROUND(VLOOKUP($BJ28,DADOS!$CL$5:$CM$10,2,FALSE)*IF($BK28="",1,VLOOKUP($BK28,DADOS!$CO$5:$CP$7,2,FALSE))*IF($BL28="",1,VLOOKUP($BL28,DADOS!$CR$5:$CS$15,2,FALSE)),4)&gt;0,MAX(1,FLOOR(ROUND(VLOOKUP($BJ28,DADOS!$CL$5:$CM$10,2,FALSE)*IF($BK28="",1,VLOOKUP($BK28,DADOS!$CO$5:$CP$7,2,FALSE))*IF($BL28="",1,VLOOKUP($BL28,DADOS!$CR$5:$CS$15,2,FALSE)),4),1)),0),""))</f>
        <v/>
      </c>
      <c r="BN28" s="125" t="n"/>
      <c r="BO28" s="134" t="n"/>
      <c r="BP28" s="134" t="n"/>
      <c r="BQ28" s="89" t="n"/>
      <c r="BR28" s="89" t="n"/>
      <c r="BS28" s="89">
        <f>IF($BP28="","",IFERROR(IF(ROUND(VLOOKUP($BP28,DADOS!$CL$5:$CM$10,2,FALSE)*IF($BQ28="",1,VLOOKUP($BQ28,DADOS!$CO$5:$CP$7,2,FALSE))*IF($BR28="",1,VLOOKUP($BR28,DADOS!$CR$5:$CS$15,2,FALSE)),4)&gt;0,MAX(1,FLOOR(ROUND(VLOOKUP($BP28,DADOS!$CL$5:$CM$10,2,FALSE)*IF($BQ28="",1,VLOOKUP($BQ28,DADOS!$CO$5:$CP$7,2,FALSE))*IF($BR28="",1,VLOOKUP($BR28,DADOS!$CR$5:$CS$15,2,FALSE)),4),1)),0),""))</f>
        <v/>
      </c>
      <c r="BT28" s="125" t="n"/>
    </row>
    <row r="29">
      <c r="B29" s="22" t="n"/>
      <c r="C29" s="125" t="n"/>
      <c r="D29" s="125" t="n"/>
      <c r="E29" s="125" t="n"/>
      <c r="F29" s="125" t="n"/>
      <c r="G29" s="125" t="n"/>
      <c r="H29" s="125" t="n"/>
      <c r="I29" s="125" t="n"/>
      <c r="J29" s="125" t="n"/>
      <c r="K29" s="125" t="n"/>
      <c r="L29" s="125" t="n"/>
      <c r="M29" s="125" t="n"/>
      <c r="N29" s="125" t="n"/>
      <c r="O29" s="125" t="n"/>
      <c r="P29" s="125" t="n"/>
      <c r="Q29" s="21" t="n"/>
      <c r="AT29" s="22" t="n"/>
      <c r="AU29" s="125" t="n"/>
      <c r="AV29" s="125" t="n"/>
      <c r="AW29" s="134" t="n"/>
      <c r="AX29" s="134" t="n"/>
      <c r="AY29" s="89" t="n"/>
      <c r="AZ29" s="89" t="n"/>
      <c r="BA29" s="89">
        <f>IF($AX29="","",IFERROR(IF(ROUND(VLOOKUP($AX29,DADOS!$CL$5:$CM$10,2,FALSE)*IF($AY29="",1,VLOOKUP($AY29,DADOS!$CO$5:$CP$7,2,FALSE))*IF($AZ29="",1,VLOOKUP($AZ29,DADOS!$CR$5:$CS$15,2,FALSE)),4)&gt;0,MAX(1,FLOOR(ROUND(VLOOKUP($AX29,DADOS!$CL$5:$CM$10,2,FALSE)*IF($AY29="",1,VLOOKUP($AY29,DADOS!$CO$5:$CP$7,2,FALSE))*IF($AZ29="",1,VLOOKUP($AZ29,DADOS!$CR$5:$CS$15,2,FALSE)),4),1)),0),""))</f>
        <v/>
      </c>
      <c r="BB29" s="125" t="n"/>
      <c r="BC29" s="134" t="n"/>
      <c r="BD29" s="134" t="n"/>
      <c r="BE29" s="89" t="n"/>
      <c r="BF29" s="89" t="n"/>
      <c r="BG29" s="89">
        <f>IF($BD29="","",IFERROR(IF(ROUND(VLOOKUP($BD29,DADOS!$CL$5:$CM$10,2,FALSE)*IF($BE29="",1,VLOOKUP($BE29,DADOS!$CO$5:$CP$7,2,FALSE))*IF($BF29="",1,VLOOKUP($BF29,DADOS!$CR$5:$CS$15,2,FALSE)),4)&gt;0,MAX(1,FLOOR(ROUND(VLOOKUP($BD29,DADOS!$CL$5:$CM$10,2,FALSE)*IF($BE29="",1,VLOOKUP($BE29,DADOS!$CO$5:$CP$7,2,FALSE))*IF($BF29="",1,VLOOKUP($BF29,DADOS!$CR$5:$CS$15,2,FALSE)),4),1)),0),""))</f>
        <v/>
      </c>
      <c r="BH29" s="125" t="n"/>
      <c r="BI29" s="134" t="n"/>
      <c r="BJ29" s="134" t="n"/>
      <c r="BK29" s="89" t="n"/>
      <c r="BL29" s="89" t="n"/>
      <c r="BM29" s="89">
        <f>IF($BJ29="","",IFERROR(IF(ROUND(VLOOKUP($BJ29,DADOS!$CL$5:$CM$10,2,FALSE)*IF($BK29="",1,VLOOKUP($BK29,DADOS!$CO$5:$CP$7,2,FALSE))*IF($BL29="",1,VLOOKUP($BL29,DADOS!$CR$5:$CS$15,2,FALSE)),4)&gt;0,MAX(1,FLOOR(ROUND(VLOOKUP($BJ29,DADOS!$CL$5:$CM$10,2,FALSE)*IF($BK29="",1,VLOOKUP($BK29,DADOS!$CO$5:$CP$7,2,FALSE))*IF($BL29="",1,VLOOKUP($BL29,DADOS!$CR$5:$CS$15,2,FALSE)),4),1)),0),""))</f>
        <v/>
      </c>
      <c r="BN29" s="125" t="n"/>
      <c r="BO29" s="134" t="n"/>
      <c r="BP29" s="134" t="n"/>
      <c r="BQ29" s="89" t="n"/>
      <c r="BR29" s="89" t="n"/>
      <c r="BS29" s="89">
        <f>IF($BP29="","",IFERROR(IF(ROUND(VLOOKUP($BP29,DADOS!$CL$5:$CM$10,2,FALSE)*IF($BQ29="",1,VLOOKUP($BQ29,DADOS!$CO$5:$CP$7,2,FALSE))*IF($BR29="",1,VLOOKUP($BR29,DADOS!$CR$5:$CS$15,2,FALSE)),4)&gt;0,MAX(1,FLOOR(ROUND(VLOOKUP($BP29,DADOS!$CL$5:$CM$10,2,FALSE)*IF($BQ29="",1,VLOOKUP($BQ29,DADOS!$CO$5:$CP$7,2,FALSE))*IF($BR29="",1,VLOOKUP($BR29,DADOS!$CR$5:$CS$15,2,FALSE)),4),1)),0),""))</f>
        <v/>
      </c>
      <c r="BT29" s="125" t="n"/>
    </row>
    <row r="30">
      <c r="A30" s="8" t="n"/>
      <c r="B30" s="14" t="n"/>
      <c r="C30" s="125" t="n"/>
      <c r="D30" s="55" t="inlineStr">
        <is>
          <t>PERSONALIDADE</t>
        </is>
      </c>
      <c r="E30" s="16" t="n"/>
      <c r="F30" s="16" t="n"/>
      <c r="G30" s="16" t="n"/>
      <c r="H30" s="16" t="n"/>
      <c r="I30" s="16" t="n"/>
      <c r="J30" s="16" t="n"/>
      <c r="K30" s="16" t="n"/>
      <c r="L30" s="16" t="n"/>
      <c r="M30" s="16" t="n"/>
      <c r="N30" s="16" t="n"/>
      <c r="O30" s="17" t="n"/>
      <c r="P30" s="125" t="n"/>
      <c r="Q30" s="21" t="n"/>
      <c r="AT30" s="22" t="n"/>
      <c r="AU30" s="125" t="n"/>
      <c r="AV30" s="125" t="n"/>
      <c r="AW30" s="134" t="n"/>
      <c r="AX30" s="134" t="n"/>
      <c r="AY30" s="89" t="n"/>
      <c r="AZ30" s="89" t="n"/>
      <c r="BA30" s="89">
        <f>IF($AX30="","",IFERROR(IF(ROUND(VLOOKUP($AX30,DADOS!$CL$5:$CM$10,2,FALSE)*IF($AY30="",1,VLOOKUP($AY30,DADOS!$CO$5:$CP$7,2,FALSE))*IF($AZ30="",1,VLOOKUP($AZ30,DADOS!$CR$5:$CS$15,2,FALSE)),4)&gt;0,MAX(1,FLOOR(ROUND(VLOOKUP($AX30,DADOS!$CL$5:$CM$10,2,FALSE)*IF($AY30="",1,VLOOKUP($AY30,DADOS!$CO$5:$CP$7,2,FALSE))*IF($AZ30="",1,VLOOKUP($AZ30,DADOS!$CR$5:$CS$15,2,FALSE)),4),1)),0),""))</f>
        <v/>
      </c>
      <c r="BB30" s="125" t="n"/>
      <c r="BC30" s="134" t="n"/>
      <c r="BD30" s="134" t="n"/>
      <c r="BE30" s="89" t="n"/>
      <c r="BF30" s="89" t="n"/>
      <c r="BG30" s="89">
        <f>IF($BD30="","",IFERROR(IF(ROUND(VLOOKUP($BD30,DADOS!$CL$5:$CM$10,2,FALSE)*IF($BE30="",1,VLOOKUP($BE30,DADOS!$CO$5:$CP$7,2,FALSE))*IF($BF30="",1,VLOOKUP($BF30,DADOS!$CR$5:$CS$15,2,FALSE)),4)&gt;0,MAX(1,FLOOR(ROUND(VLOOKUP($BD30,DADOS!$CL$5:$CM$10,2,FALSE)*IF($BE30="",1,VLOOKUP($BE30,DADOS!$CO$5:$CP$7,2,FALSE))*IF($BF30="",1,VLOOKUP($BF30,DADOS!$CR$5:$CS$15,2,FALSE)),4),1)),0),""))</f>
        <v/>
      </c>
      <c r="BH30" s="125" t="n"/>
      <c r="BI30" s="134" t="n"/>
      <c r="BJ30" s="134" t="n"/>
      <c r="BK30" s="89" t="n"/>
      <c r="BL30" s="89" t="n"/>
      <c r="BM30" s="89">
        <f>IF($BJ30="","",IFERROR(IF(ROUND(VLOOKUP($BJ30,DADOS!$CL$5:$CM$10,2,FALSE)*IF($BK30="",1,VLOOKUP($BK30,DADOS!$CO$5:$CP$7,2,FALSE))*IF($BL30="",1,VLOOKUP($BL30,DADOS!$CR$5:$CS$15,2,FALSE)),4)&gt;0,MAX(1,FLOOR(ROUND(VLOOKUP($BJ30,DADOS!$CL$5:$CM$10,2,FALSE)*IF($BK30="",1,VLOOKUP($BK30,DADOS!$CO$5:$CP$7,2,FALSE))*IF($BL30="",1,VLOOKUP($BL30,DADOS!$CR$5:$CS$15,2,FALSE)),4),1)),0),""))</f>
        <v/>
      </c>
      <c r="BN30" s="125" t="n"/>
      <c r="BO30" s="134" t="n"/>
      <c r="BP30" s="134" t="n"/>
      <c r="BQ30" s="89" t="n"/>
      <c r="BR30" s="89" t="n"/>
      <c r="BS30" s="89">
        <f>IF($BP30="","",IFERROR(IF(ROUND(VLOOKUP($BP30,DADOS!$CL$5:$CM$10,2,FALSE)*IF($BQ30="",1,VLOOKUP($BQ30,DADOS!$CO$5:$CP$7,2,FALSE))*IF($BR30="",1,VLOOKUP($BR30,DADOS!$CR$5:$CS$15,2,FALSE)),4)&gt;0,MAX(1,FLOOR(ROUND(VLOOKUP($BP30,DADOS!$CL$5:$CM$10,2,FALSE)*IF($BQ30="",1,VLOOKUP($BQ30,DADOS!$CO$5:$CP$7,2,FALSE))*IF($BR30="",1,VLOOKUP($BR30,DADOS!$CR$5:$CS$15,2,FALSE)),4),1)),0),""))</f>
        <v/>
      </c>
      <c r="BT30" s="125" t="n"/>
    </row>
    <row r="31">
      <c r="A31" s="8" t="n"/>
      <c r="B31" s="14" t="n"/>
      <c r="C31" s="125" t="n"/>
      <c r="D31" s="121" t="n"/>
      <c r="E31" s="19" t="n"/>
      <c r="F31" s="19" t="n"/>
      <c r="G31" s="19" t="n"/>
      <c r="H31" s="19" t="n"/>
      <c r="I31" s="19" t="n"/>
      <c r="J31" s="19" t="n"/>
      <c r="K31" s="19" t="n"/>
      <c r="L31" s="19" t="n"/>
      <c r="M31" s="19" t="n"/>
      <c r="N31" s="19" t="n"/>
      <c r="O31" s="20" t="n"/>
      <c r="P31" s="125" t="n"/>
      <c r="Q31" s="21" t="n"/>
      <c r="AT31" s="22" t="n"/>
      <c r="AU31" s="125" t="n"/>
      <c r="AV31" s="125" t="n"/>
      <c r="AW31" s="134" t="n"/>
      <c r="AX31" s="134" t="n"/>
      <c r="AY31" s="89" t="n"/>
      <c r="AZ31" s="89" t="n"/>
      <c r="BA31" s="89">
        <f>IF($AX31="","",IFERROR(IF(ROUND(VLOOKUP($AX31,DADOS!$CL$5:$CM$10,2,FALSE)*IF($AY31="",1,VLOOKUP($AY31,DADOS!$CO$5:$CP$7,2,FALSE))*IF($AZ31="",1,VLOOKUP($AZ31,DADOS!$CR$5:$CS$15,2,FALSE)),4)&gt;0,MAX(1,FLOOR(ROUND(VLOOKUP($AX31,DADOS!$CL$5:$CM$10,2,FALSE)*IF($AY31="",1,VLOOKUP($AY31,DADOS!$CO$5:$CP$7,2,FALSE))*IF($AZ31="",1,VLOOKUP($AZ31,DADOS!$CR$5:$CS$15,2,FALSE)),4),1)),0),""))</f>
        <v/>
      </c>
      <c r="BB31" s="125" t="n"/>
      <c r="BC31" s="134" t="n"/>
      <c r="BD31" s="134" t="n"/>
      <c r="BE31" s="89" t="n"/>
      <c r="BF31" s="89" t="n"/>
      <c r="BG31" s="89">
        <f>IF($BD31="","",IFERROR(IF(ROUND(VLOOKUP($BD31,DADOS!$CL$5:$CM$10,2,FALSE)*IF($BE31="",1,VLOOKUP($BE31,DADOS!$CO$5:$CP$7,2,FALSE))*IF($BF31="",1,VLOOKUP($BF31,DADOS!$CR$5:$CS$15,2,FALSE)),4)&gt;0,MAX(1,FLOOR(ROUND(VLOOKUP($BD31,DADOS!$CL$5:$CM$10,2,FALSE)*IF($BE31="",1,VLOOKUP($BE31,DADOS!$CO$5:$CP$7,2,FALSE))*IF($BF31="",1,VLOOKUP($BF31,DADOS!$CR$5:$CS$15,2,FALSE)),4),1)),0),""))</f>
        <v/>
      </c>
      <c r="BH31" s="125" t="n"/>
      <c r="BI31" s="134" t="n"/>
      <c r="BJ31" s="134" t="n"/>
      <c r="BK31" s="89" t="n"/>
      <c r="BL31" s="89" t="n"/>
      <c r="BM31" s="89">
        <f>IF($BJ31="","",IFERROR(IF(ROUND(VLOOKUP($BJ31,DADOS!$CL$5:$CM$10,2,FALSE)*IF($BK31="",1,VLOOKUP($BK31,DADOS!$CO$5:$CP$7,2,FALSE))*IF($BL31="",1,VLOOKUP($BL31,DADOS!$CR$5:$CS$15,2,FALSE)),4)&gt;0,MAX(1,FLOOR(ROUND(VLOOKUP($BJ31,DADOS!$CL$5:$CM$10,2,FALSE)*IF($BK31="",1,VLOOKUP($BK31,DADOS!$CO$5:$CP$7,2,FALSE))*IF($BL31="",1,VLOOKUP($BL31,DADOS!$CR$5:$CS$15,2,FALSE)),4),1)),0),""))</f>
        <v/>
      </c>
      <c r="BN31" s="125" t="n"/>
      <c r="BO31" s="134" t="n"/>
      <c r="BP31" s="134" t="n"/>
      <c r="BQ31" s="89" t="n"/>
      <c r="BR31" s="89" t="n"/>
      <c r="BS31" s="89">
        <f>IF($BP31="","",IFERROR(IF(ROUND(VLOOKUP($BP31,DADOS!$CL$5:$CM$10,2,FALSE)*IF($BQ31="",1,VLOOKUP($BQ31,DADOS!$CO$5:$CP$7,2,FALSE))*IF($BR31="",1,VLOOKUP($BR31,DADOS!$CR$5:$CS$15,2,FALSE)),4)&gt;0,MAX(1,FLOOR(ROUND(VLOOKUP($BP31,DADOS!$CL$5:$CM$10,2,FALSE)*IF($BQ31="",1,VLOOKUP($BQ31,DADOS!$CO$5:$CP$7,2,FALSE))*IF($BR31="",1,VLOOKUP($BR31,DADOS!$CR$5:$CS$15,2,FALSE)),4),1)),0),""))</f>
        <v/>
      </c>
      <c r="BT31" s="125" t="n"/>
    </row>
    <row r="32">
      <c r="A32" s="8" t="n"/>
      <c r="B32" s="14" t="n"/>
      <c r="C32" s="125" t="n"/>
      <c r="D32" s="21" t="n"/>
      <c r="O32" s="22" t="n"/>
      <c r="P32" s="125"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5" t="n"/>
      <c r="AV32" s="125" t="n"/>
      <c r="AW32" s="134" t="n"/>
      <c r="AX32" s="134" t="n"/>
      <c r="AY32" s="89" t="n"/>
      <c r="AZ32" s="89" t="n"/>
      <c r="BA32" s="89">
        <f>IF($AX32="","",IFERROR(IF(ROUND(VLOOKUP($AX32,DADOS!$CL$5:$CM$10,2,FALSE)*IF($AY32="",1,VLOOKUP($AY32,DADOS!$CO$5:$CP$7,2,FALSE))*IF($AZ32="",1,VLOOKUP($AZ32,DADOS!$CR$5:$CS$15,2,FALSE)),4)&gt;0,MAX(1,FLOOR(ROUND(VLOOKUP($AX32,DADOS!$CL$5:$CM$10,2,FALSE)*IF($AY32="",1,VLOOKUP($AY32,DADOS!$CO$5:$CP$7,2,FALSE))*IF($AZ32="",1,VLOOKUP($AZ32,DADOS!$CR$5:$CS$15,2,FALSE)),4),1)),0),""))</f>
        <v/>
      </c>
      <c r="BB32" s="125" t="n"/>
      <c r="BC32" s="134" t="n"/>
      <c r="BD32" s="134" t="n"/>
      <c r="BE32" s="89" t="n"/>
      <c r="BF32" s="89" t="n"/>
      <c r="BG32" s="89">
        <f>IF($BD32="","",IFERROR(IF(ROUND(VLOOKUP($BD32,DADOS!$CL$5:$CM$10,2,FALSE)*IF($BE32="",1,VLOOKUP($BE32,DADOS!$CO$5:$CP$7,2,FALSE))*IF($BF32="",1,VLOOKUP($BF32,DADOS!$CR$5:$CS$15,2,FALSE)),4)&gt;0,MAX(1,FLOOR(ROUND(VLOOKUP($BD32,DADOS!$CL$5:$CM$10,2,FALSE)*IF($BE32="",1,VLOOKUP($BE32,DADOS!$CO$5:$CP$7,2,FALSE))*IF($BF32="",1,VLOOKUP($BF32,DADOS!$CR$5:$CS$15,2,FALSE)),4),1)),0),""))</f>
        <v/>
      </c>
      <c r="BH32" s="125" t="n"/>
      <c r="BI32" s="134" t="n"/>
      <c r="BJ32" s="134" t="n"/>
      <c r="BK32" s="89" t="n"/>
      <c r="BL32" s="89" t="n"/>
      <c r="BM32" s="89">
        <f>IF($BJ32="","",IFERROR(IF(ROUND(VLOOKUP($BJ32,DADOS!$CL$5:$CM$10,2,FALSE)*IF($BK32="",1,VLOOKUP($BK32,DADOS!$CO$5:$CP$7,2,FALSE))*IF($BL32="",1,VLOOKUP($BL32,DADOS!$CR$5:$CS$15,2,FALSE)),4)&gt;0,MAX(1,FLOOR(ROUND(VLOOKUP($BJ32,DADOS!$CL$5:$CM$10,2,FALSE)*IF($BK32="",1,VLOOKUP($BK32,DADOS!$CO$5:$CP$7,2,FALSE))*IF($BL32="",1,VLOOKUP($BL32,DADOS!$CR$5:$CS$15,2,FALSE)),4),1)),0),""))</f>
        <v/>
      </c>
      <c r="BN32" s="125" t="n"/>
      <c r="BO32" s="134" t="n"/>
      <c r="BP32" s="134" t="n"/>
      <c r="BQ32" s="89" t="n"/>
      <c r="BR32" s="89" t="n"/>
      <c r="BS32" s="89">
        <f>IF($BP32="","",IFERROR(IF(ROUND(VLOOKUP($BP32,DADOS!$CL$5:$CM$10,2,FALSE)*IF($BQ32="",1,VLOOKUP($BQ32,DADOS!$CO$5:$CP$7,2,FALSE))*IF($BR32="",1,VLOOKUP($BR32,DADOS!$CR$5:$CS$15,2,FALSE)),4)&gt;0,MAX(1,FLOOR(ROUND(VLOOKUP($BP32,DADOS!$CL$5:$CM$10,2,FALSE)*IF($BQ32="",1,VLOOKUP($BQ32,DADOS!$CO$5:$CP$7,2,FALSE))*IF($BR32="",1,VLOOKUP($BR32,DADOS!$CR$5:$CS$15,2,FALSE)),4),1)),0),""))</f>
        <v/>
      </c>
      <c r="BT32" s="125" t="n"/>
    </row>
    <row r="33">
      <c r="A33" s="48" t="inlineStr">
        <is>
          <t>FICHA PESSOAL</t>
        </is>
      </c>
      <c r="B33" s="22" t="n"/>
      <c r="C33" s="125" t="n"/>
      <c r="D33" s="21" t="n"/>
      <c r="O33" s="22"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34" t="n"/>
      <c r="AX33" s="134" t="n"/>
      <c r="AY33" s="89" t="n"/>
      <c r="AZ33" s="89" t="n"/>
      <c r="BA33" s="89">
        <f>IF($AX33="","",IFERROR(IF(ROUND(VLOOKUP($AX33,DADOS!$CL$5:$CM$10,2,FALSE)*IF($AY33="",1,VLOOKUP($AY33,DADOS!$CO$5:$CP$7,2,FALSE))*IF($AZ33="",1,VLOOKUP($AZ33,DADOS!$CR$5:$CS$15,2,FALSE)),4)&gt;0,MAX(1,FLOOR(ROUND(VLOOKUP($AX33,DADOS!$CL$5:$CM$10,2,FALSE)*IF($AY33="",1,VLOOKUP($AY33,DADOS!$CO$5:$CP$7,2,FALSE))*IF($AZ33="",1,VLOOKUP($AZ33,DADOS!$CR$5:$CS$15,2,FALSE)),4),1)),0),""))</f>
        <v/>
      </c>
      <c r="BB33" s="125" t="n"/>
      <c r="BC33" s="134" t="n"/>
      <c r="BD33" s="134" t="n"/>
      <c r="BE33" s="89" t="n"/>
      <c r="BF33" s="89" t="n"/>
      <c r="BG33" s="89">
        <f>IF($BD33="","",IFERROR(IF(ROUND(VLOOKUP($BD33,DADOS!$CL$5:$CM$10,2,FALSE)*IF($BE33="",1,VLOOKUP($BE33,DADOS!$CO$5:$CP$7,2,FALSE))*IF($BF33="",1,VLOOKUP($BF33,DADOS!$CR$5:$CS$15,2,FALSE)),4)&gt;0,MAX(1,FLOOR(ROUND(VLOOKUP($BD33,DADOS!$CL$5:$CM$10,2,FALSE)*IF($BE33="",1,VLOOKUP($BE33,DADOS!$CO$5:$CP$7,2,FALSE))*IF($BF33="",1,VLOOKUP($BF33,DADOS!$CR$5:$CS$15,2,FALSE)),4),1)),0),""))</f>
        <v/>
      </c>
      <c r="BH33" s="125" t="n"/>
      <c r="BI33" s="134" t="n"/>
      <c r="BJ33" s="134" t="n"/>
      <c r="BK33" s="89" t="n"/>
      <c r="BL33" s="89" t="n"/>
      <c r="BM33" s="89">
        <f>IF($BJ33="","",IFERROR(IF(ROUND(VLOOKUP($BJ33,DADOS!$CL$5:$CM$10,2,FALSE)*IF($BK33="",1,VLOOKUP($BK33,DADOS!$CO$5:$CP$7,2,FALSE))*IF($BL33="",1,VLOOKUP($BL33,DADOS!$CR$5:$CS$15,2,FALSE)),4)&gt;0,MAX(1,FLOOR(ROUND(VLOOKUP($BJ33,DADOS!$CL$5:$CM$10,2,FALSE)*IF($BK33="",1,VLOOKUP($BK33,DADOS!$CO$5:$CP$7,2,FALSE))*IF($BL33="",1,VLOOKUP($BL33,DADOS!$CR$5:$CS$15,2,FALSE)),4),1)),0),""))</f>
        <v/>
      </c>
      <c r="BN33" s="125" t="n"/>
      <c r="BO33" s="134" t="n"/>
      <c r="BP33" s="134" t="n"/>
      <c r="BQ33" s="89" t="n"/>
      <c r="BR33" s="89" t="n"/>
      <c r="BS33" s="89">
        <f>IF($BP33="","",IFERROR(IF(ROUND(VLOOKUP($BP33,DADOS!$CL$5:$CM$10,2,FALSE)*IF($BQ33="",1,VLOOKUP($BQ33,DADOS!$CO$5:$CP$7,2,FALSE))*IF($BR33="",1,VLOOKUP($BR33,DADOS!$CR$5:$CS$15,2,FALSE)),4)&gt;0,MAX(1,FLOOR(ROUND(VLOOKUP($BP33,DADOS!$CL$5:$CM$10,2,FALSE)*IF($BQ33="",1,VLOOKUP($BQ33,DADOS!$CO$5:$CP$7,2,FALSE))*IF($BR33="",1,VLOOKUP($BR33,DADOS!$CR$5:$CS$15,2,FALSE)),4),1)),0),""))</f>
        <v/>
      </c>
      <c r="BT33" s="125" t="n"/>
    </row>
    <row r="34">
      <c r="B34" s="22" t="n"/>
      <c r="C34" s="125" t="n"/>
      <c r="D34" s="21" t="n"/>
      <c r="O34" s="22" t="n"/>
      <c r="P34" s="125"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5" t="n"/>
      <c r="AV34" s="125" t="n"/>
      <c r="AW34" s="134" t="n"/>
      <c r="AX34" s="134" t="n"/>
      <c r="AY34" s="89" t="n"/>
      <c r="AZ34" s="89" t="n"/>
      <c r="BA34" s="89">
        <f>IF($AX34="","",IFERROR(IF(ROUND(VLOOKUP($AX34,DADOS!$CL$5:$CM$10,2,FALSE)*IF($AY34="",1,VLOOKUP($AY34,DADOS!$CO$5:$CP$7,2,FALSE))*IF($AZ34="",1,VLOOKUP($AZ34,DADOS!$CR$5:$CS$15,2,FALSE)),4)&gt;0,MAX(1,FLOOR(ROUND(VLOOKUP($AX34,DADOS!$CL$5:$CM$10,2,FALSE)*IF($AY34="",1,VLOOKUP($AY34,DADOS!$CO$5:$CP$7,2,FALSE))*IF($AZ34="",1,VLOOKUP($AZ34,DADOS!$CR$5:$CS$15,2,FALSE)),4),1)),0),""))</f>
        <v/>
      </c>
      <c r="BB34" s="125" t="n"/>
      <c r="BC34" s="134" t="n"/>
      <c r="BD34" s="134" t="n"/>
      <c r="BE34" s="89" t="n"/>
      <c r="BF34" s="89" t="n"/>
      <c r="BG34" s="89">
        <f>IF($BD34="","",IFERROR(IF(ROUND(VLOOKUP($BD34,DADOS!$CL$5:$CM$10,2,FALSE)*IF($BE34="",1,VLOOKUP($BE34,DADOS!$CO$5:$CP$7,2,FALSE))*IF($BF34="",1,VLOOKUP($BF34,DADOS!$CR$5:$CS$15,2,FALSE)),4)&gt;0,MAX(1,FLOOR(ROUND(VLOOKUP($BD34,DADOS!$CL$5:$CM$10,2,FALSE)*IF($BE34="",1,VLOOKUP($BE34,DADOS!$CO$5:$CP$7,2,FALSE))*IF($BF34="",1,VLOOKUP($BF34,DADOS!$CR$5:$CS$15,2,FALSE)),4),1)),0),""))</f>
        <v/>
      </c>
      <c r="BH34" s="125" t="n"/>
      <c r="BI34" s="134" t="n"/>
      <c r="BJ34" s="134" t="n"/>
      <c r="BK34" s="89" t="n"/>
      <c r="BL34" s="89" t="n"/>
      <c r="BM34" s="89">
        <f>IF($BJ34="","",IFERROR(IF(ROUND(VLOOKUP($BJ34,DADOS!$CL$5:$CM$10,2,FALSE)*IF($BK34="",1,VLOOKUP($BK34,DADOS!$CO$5:$CP$7,2,FALSE))*IF($BL34="",1,VLOOKUP($BL34,DADOS!$CR$5:$CS$15,2,FALSE)),4)&gt;0,MAX(1,FLOOR(ROUND(VLOOKUP($BJ34,DADOS!$CL$5:$CM$10,2,FALSE)*IF($BK34="",1,VLOOKUP($BK34,DADOS!$CO$5:$CP$7,2,FALSE))*IF($BL34="",1,VLOOKUP($BL34,DADOS!$CR$5:$CS$15,2,FALSE)),4),1)),0),""))</f>
        <v/>
      </c>
      <c r="BN34" s="125" t="n"/>
      <c r="BO34" s="134" t="n"/>
      <c r="BP34" s="134" t="n"/>
      <c r="BQ34" s="89" t="n"/>
      <c r="BR34" s="89" t="n"/>
      <c r="BS34" s="89">
        <f>IF($BP34="","",IFERROR(IF(ROUND(VLOOKUP($BP34,DADOS!$CL$5:$CM$10,2,FALSE)*IF($BQ34="",1,VLOOKUP($BQ34,DADOS!$CO$5:$CP$7,2,FALSE))*IF($BR34="",1,VLOOKUP($BR34,DADOS!$CR$5:$CS$15,2,FALSE)),4)&gt;0,MAX(1,FLOOR(ROUND(VLOOKUP($BP34,DADOS!$CL$5:$CM$10,2,FALSE)*IF($BQ34="",1,VLOOKUP($BQ34,DADOS!$CO$5:$CP$7,2,FALSE))*IF($BR34="",1,VLOOKUP($BR34,DADOS!$CR$5:$CS$15,2,FALSE)),4),1)),0),""))</f>
        <v/>
      </c>
      <c r="BT34" s="125" t="n"/>
    </row>
    <row r="35">
      <c r="B35" s="22" t="n"/>
      <c r="C35" s="125" t="n"/>
      <c r="D35" s="21" t="n"/>
      <c r="O35" s="22" t="n"/>
      <c r="P35" s="125" t="n"/>
      <c r="Q35" s="12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5" t="n"/>
      <c r="AV35" s="125" t="n"/>
      <c r="AW35" s="134" t="n"/>
      <c r="AX35" s="134" t="n"/>
      <c r="AY35" s="89" t="n"/>
      <c r="AZ35" s="89" t="n"/>
      <c r="BA35" s="89">
        <f>IF($AX35="","",IFERROR(IF(ROUND(VLOOKUP($AX35,DADOS!$CL$5:$CM$10,2,FALSE)*IF($AY35="",1,VLOOKUP($AY35,DADOS!$CO$5:$CP$7,2,FALSE))*IF($AZ35="",1,VLOOKUP($AZ35,DADOS!$CR$5:$CS$15,2,FALSE)),4)&gt;0,MAX(1,FLOOR(ROUND(VLOOKUP($AX35,DADOS!$CL$5:$CM$10,2,FALSE)*IF($AY35="",1,VLOOKUP($AY35,DADOS!$CO$5:$CP$7,2,FALSE))*IF($AZ35="",1,VLOOKUP($AZ35,DADOS!$CR$5:$CS$15,2,FALSE)),4),1)),0),""))</f>
        <v/>
      </c>
      <c r="BB35" s="125" t="n"/>
      <c r="BC35" s="134" t="n"/>
      <c r="BD35" s="134" t="n"/>
      <c r="BE35" s="89" t="n"/>
      <c r="BF35" s="89" t="n"/>
      <c r="BG35" s="89">
        <f>IF($BD35="","",IFERROR(IF(ROUND(VLOOKUP($BD35,DADOS!$CL$5:$CM$10,2,FALSE)*IF($BE35="",1,VLOOKUP($BE35,DADOS!$CO$5:$CP$7,2,FALSE))*IF($BF35="",1,VLOOKUP($BF35,DADOS!$CR$5:$CS$15,2,FALSE)),4)&gt;0,MAX(1,FLOOR(ROUND(VLOOKUP($BD35,DADOS!$CL$5:$CM$10,2,FALSE)*IF($BE35="",1,VLOOKUP($BE35,DADOS!$CO$5:$CP$7,2,FALSE))*IF($BF35="",1,VLOOKUP($BF35,DADOS!$CR$5:$CS$15,2,FALSE)),4),1)),0),""))</f>
        <v/>
      </c>
      <c r="BH35" s="125" t="n"/>
      <c r="BI35" s="134" t="n"/>
      <c r="BJ35" s="134" t="n"/>
      <c r="BK35" s="89" t="n"/>
      <c r="BL35" s="89" t="n"/>
      <c r="BM35" s="89">
        <f>IF($BJ35="","",IFERROR(IF(ROUND(VLOOKUP($BJ35,DADOS!$CL$5:$CM$10,2,FALSE)*IF($BK35="",1,VLOOKUP($BK35,DADOS!$CO$5:$CP$7,2,FALSE))*IF($BL35="",1,VLOOKUP($BL35,DADOS!$CR$5:$CS$15,2,FALSE)),4)&gt;0,MAX(1,FLOOR(ROUND(VLOOKUP($BJ35,DADOS!$CL$5:$CM$10,2,FALSE)*IF($BK35="",1,VLOOKUP($BK35,DADOS!$CO$5:$CP$7,2,FALSE))*IF($BL35="",1,VLOOKUP($BL35,DADOS!$CR$5:$CS$15,2,FALSE)),4),1)),0),""))</f>
        <v/>
      </c>
      <c r="BN35" s="125" t="n"/>
      <c r="BO35" s="134" t="n"/>
      <c r="BP35" s="134" t="n"/>
      <c r="BQ35" s="89" t="n"/>
      <c r="BR35" s="89" t="n"/>
      <c r="BS35" s="89">
        <f>IF($BP35="","",IFERROR(IF(ROUND(VLOOKUP($BP35,DADOS!$CL$5:$CM$10,2,FALSE)*IF($BQ35="",1,VLOOKUP($BQ35,DADOS!$CO$5:$CP$7,2,FALSE))*IF($BR35="",1,VLOOKUP($BR35,DADOS!$CR$5:$CS$15,2,FALSE)),4)&gt;0,MAX(1,FLOOR(ROUND(VLOOKUP($BP35,DADOS!$CL$5:$CM$10,2,FALSE)*IF($BQ35="",1,VLOOKUP($BQ35,DADOS!$CO$5:$CP$7,2,FALSE))*IF($BR35="",1,VLOOKUP($BR35,DADOS!$CR$5:$CS$15,2,FALSE)),4),1)),0),""))</f>
        <v/>
      </c>
      <c r="BT35" s="125" t="n"/>
    </row>
    <row r="36">
      <c r="B36" s="22" t="n"/>
      <c r="C36" s="125" t="n"/>
      <c r="D36" s="21" t="n"/>
      <c r="O36" s="22" t="n"/>
      <c r="P36" s="125" t="n"/>
      <c r="Q36" s="21" t="n"/>
      <c r="AT36" s="22" t="n"/>
      <c r="AU36" s="125" t="n"/>
      <c r="AV36" s="125" t="n"/>
      <c r="AW36" s="134" t="n"/>
      <c r="AX36" s="134" t="n"/>
      <c r="AY36" s="89" t="n"/>
      <c r="AZ36" s="89" t="n"/>
      <c r="BA36" s="89">
        <f>IF($AX36="","",IFERROR(IF(ROUND(VLOOKUP($AX36,DADOS!$CL$5:$CM$10,2,FALSE)*IF($AY36="",1,VLOOKUP($AY36,DADOS!$CO$5:$CP$7,2,FALSE))*IF($AZ36="",1,VLOOKUP($AZ36,DADOS!$CR$5:$CS$15,2,FALSE)),4)&gt;0,MAX(1,FLOOR(ROUND(VLOOKUP($AX36,DADOS!$CL$5:$CM$10,2,FALSE)*IF($AY36="",1,VLOOKUP($AY36,DADOS!$CO$5:$CP$7,2,FALSE))*IF($AZ36="",1,VLOOKUP($AZ36,DADOS!$CR$5:$CS$15,2,FALSE)),4),1)),0),""))</f>
        <v/>
      </c>
      <c r="BB36" s="125" t="n"/>
      <c r="BC36" s="134" t="n"/>
      <c r="BD36" s="134" t="n"/>
      <c r="BE36" s="89" t="n"/>
      <c r="BF36" s="89" t="n"/>
      <c r="BG36" s="89">
        <f>IF($BD36="","",IFERROR(IF(ROUND(VLOOKUP($BD36,DADOS!$CL$5:$CM$10,2,FALSE)*IF($BE36="",1,VLOOKUP($BE36,DADOS!$CO$5:$CP$7,2,FALSE))*IF($BF36="",1,VLOOKUP($BF36,DADOS!$CR$5:$CS$15,2,FALSE)),4)&gt;0,MAX(1,FLOOR(ROUND(VLOOKUP($BD36,DADOS!$CL$5:$CM$10,2,FALSE)*IF($BE36="",1,VLOOKUP($BE36,DADOS!$CO$5:$CP$7,2,FALSE))*IF($BF36="",1,VLOOKUP($BF36,DADOS!$CR$5:$CS$15,2,FALSE)),4),1)),0),""))</f>
        <v/>
      </c>
      <c r="BH36" s="125" t="n"/>
      <c r="BI36" s="134" t="n"/>
      <c r="BJ36" s="134" t="n"/>
      <c r="BK36" s="89" t="n"/>
      <c r="BL36" s="89" t="n"/>
      <c r="BM36" s="89">
        <f>IF($BJ36="","",IFERROR(IF(ROUND(VLOOKUP($BJ36,DADOS!$CL$5:$CM$10,2,FALSE)*IF($BK36="",1,VLOOKUP($BK36,DADOS!$CO$5:$CP$7,2,FALSE))*IF($BL36="",1,VLOOKUP($BL36,DADOS!$CR$5:$CS$15,2,FALSE)),4)&gt;0,MAX(1,FLOOR(ROUND(VLOOKUP($BJ36,DADOS!$CL$5:$CM$10,2,FALSE)*IF($BK36="",1,VLOOKUP($BK36,DADOS!$CO$5:$CP$7,2,FALSE))*IF($BL36="",1,VLOOKUP($BL36,DADOS!$CR$5:$CS$15,2,FALSE)),4),1)),0),""))</f>
        <v/>
      </c>
      <c r="BN36" s="125" t="n"/>
      <c r="BO36" s="134" t="n"/>
      <c r="BP36" s="134" t="n"/>
      <c r="BQ36" s="89" t="n"/>
      <c r="BR36" s="89" t="n"/>
      <c r="BS36" s="89">
        <f>IF($BP36="","",IFERROR(IF(ROUND(VLOOKUP($BP36,DADOS!$CL$5:$CM$10,2,FALSE)*IF($BQ36="",1,VLOOKUP($BQ36,DADOS!$CO$5:$CP$7,2,FALSE))*IF($BR36="",1,VLOOKUP($BR36,DADOS!$CR$5:$CS$15,2,FALSE)),4)&gt;0,MAX(1,FLOOR(ROUND(VLOOKUP($BP36,DADOS!$CL$5:$CM$10,2,FALSE)*IF($BQ36="",1,VLOOKUP($BQ36,DADOS!$CO$5:$CP$7,2,FALSE))*IF($BR36="",1,VLOOKUP($BR36,DADOS!$CR$5:$CS$15,2,FALSE)),4),1)),0),""))</f>
        <v/>
      </c>
      <c r="BT36" s="125" t="n"/>
    </row>
    <row r="37">
      <c r="B37" s="22" t="n"/>
      <c r="C37" s="125" t="n"/>
      <c r="D37" s="21" t="n"/>
      <c r="O37" s="22" t="n"/>
      <c r="P37" s="125" t="n"/>
      <c r="Q37" s="21" t="n"/>
      <c r="AT37" s="22" t="n"/>
      <c r="AU37" s="125" t="n"/>
      <c r="AV37" s="125" t="n"/>
      <c r="AW37" s="134" t="n"/>
      <c r="AX37" s="134" t="n"/>
      <c r="AY37" s="89" t="n"/>
      <c r="AZ37" s="89" t="n"/>
      <c r="BA37" s="89">
        <f>IF($AX37="","",IFERROR(IF(ROUND(VLOOKUP($AX37,DADOS!$CL$5:$CM$10,2,FALSE)*IF($AY37="",1,VLOOKUP($AY37,DADOS!$CO$5:$CP$7,2,FALSE))*IF($AZ37="",1,VLOOKUP($AZ37,DADOS!$CR$5:$CS$15,2,FALSE)),4)&gt;0,MAX(1,FLOOR(ROUND(VLOOKUP($AX37,DADOS!$CL$5:$CM$10,2,FALSE)*IF($AY37="",1,VLOOKUP($AY37,DADOS!$CO$5:$CP$7,2,FALSE))*IF($AZ37="",1,VLOOKUP($AZ37,DADOS!$CR$5:$CS$15,2,FALSE)),4),1)),0),""))</f>
        <v/>
      </c>
      <c r="BB37" s="125" t="n"/>
      <c r="BC37" s="134" t="n"/>
      <c r="BD37" s="134" t="n"/>
      <c r="BE37" s="89" t="n"/>
      <c r="BF37" s="89" t="n"/>
      <c r="BG37" s="89">
        <f>IF($BD37="","",IFERROR(IF(ROUND(VLOOKUP($BD37,DADOS!$CL$5:$CM$10,2,FALSE)*IF($BE37="",1,VLOOKUP($BE37,DADOS!$CO$5:$CP$7,2,FALSE))*IF($BF37="",1,VLOOKUP($BF37,DADOS!$CR$5:$CS$15,2,FALSE)),4)&gt;0,MAX(1,FLOOR(ROUND(VLOOKUP($BD37,DADOS!$CL$5:$CM$10,2,FALSE)*IF($BE37="",1,VLOOKUP($BE37,DADOS!$CO$5:$CP$7,2,FALSE))*IF($BF37="",1,VLOOKUP($BF37,DADOS!$CR$5:$CS$15,2,FALSE)),4),1)),0),""))</f>
        <v/>
      </c>
      <c r="BH37" s="125" t="n"/>
      <c r="BI37" s="134" t="n"/>
      <c r="BJ37" s="134" t="n"/>
      <c r="BK37" s="89" t="n"/>
      <c r="BL37" s="89" t="n"/>
      <c r="BM37" s="89">
        <f>IF($BJ37="","",IFERROR(IF(ROUND(VLOOKUP($BJ37,DADOS!$CL$5:$CM$10,2,FALSE)*IF($BK37="",1,VLOOKUP($BK37,DADOS!$CO$5:$CP$7,2,FALSE))*IF($BL37="",1,VLOOKUP($BL37,DADOS!$CR$5:$CS$15,2,FALSE)),4)&gt;0,MAX(1,FLOOR(ROUND(VLOOKUP($BJ37,DADOS!$CL$5:$CM$10,2,FALSE)*IF($BK37="",1,VLOOKUP($BK37,DADOS!$CO$5:$CP$7,2,FALSE))*IF($BL37="",1,VLOOKUP($BL37,DADOS!$CR$5:$CS$15,2,FALSE)),4),1)),0),""))</f>
        <v/>
      </c>
      <c r="BN37" s="125" t="n"/>
      <c r="BO37" s="134" t="n"/>
      <c r="BP37" s="134" t="n"/>
      <c r="BQ37" s="89" t="n"/>
      <c r="BR37" s="89" t="n"/>
      <c r="BS37" s="89">
        <f>IF($BP37="","",IFERROR(IF(ROUND(VLOOKUP($BP37,DADOS!$CL$5:$CM$10,2,FALSE)*IF($BQ37="",1,VLOOKUP($BQ37,DADOS!$CO$5:$CP$7,2,FALSE))*IF($BR37="",1,VLOOKUP($BR37,DADOS!$CR$5:$CS$15,2,FALSE)),4)&gt;0,MAX(1,FLOOR(ROUND(VLOOKUP($BP37,DADOS!$CL$5:$CM$10,2,FALSE)*IF($BQ37="",1,VLOOKUP($BQ37,DADOS!$CO$5:$CP$7,2,FALSE))*IF($BR37="",1,VLOOKUP($BR37,DADOS!$CR$5:$CS$15,2,FALSE)),4),1)),0),""))</f>
        <v/>
      </c>
      <c r="BT37" s="125" t="n"/>
    </row>
    <row r="38">
      <c r="B38" s="22" t="n"/>
      <c r="C38" s="125" t="n"/>
      <c r="D38" s="23" t="n"/>
      <c r="E38" s="24" t="n"/>
      <c r="F38" s="24" t="n"/>
      <c r="G38" s="24" t="n"/>
      <c r="H38" s="24" t="n"/>
      <c r="I38" s="24" t="n"/>
      <c r="J38" s="24" t="n"/>
      <c r="K38" s="24" t="n"/>
      <c r="L38" s="24" t="n"/>
      <c r="M38" s="24" t="n"/>
      <c r="N38" s="24" t="n"/>
      <c r="O38" s="25" t="n"/>
      <c r="P38" s="125"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5" t="n"/>
      <c r="AV38" s="125" t="n"/>
      <c r="AW38" s="134" t="n"/>
      <c r="AX38" s="134" t="n"/>
      <c r="AY38" s="89" t="n"/>
      <c r="AZ38" s="89" t="n"/>
      <c r="BA38" s="89">
        <f>IF($AX38="","",IFERROR(IF(ROUND(VLOOKUP($AX38,DADOS!$CL$5:$CM$10,2,FALSE)*IF($AY38="",1,VLOOKUP($AY38,DADOS!$CO$5:$CP$7,2,FALSE))*IF($AZ38="",1,VLOOKUP($AZ38,DADOS!$CR$5:$CS$15,2,FALSE)),4)&gt;0,MAX(1,FLOOR(ROUND(VLOOKUP($AX38,DADOS!$CL$5:$CM$10,2,FALSE)*IF($AY38="",1,VLOOKUP($AY38,DADOS!$CO$5:$CP$7,2,FALSE))*IF($AZ38="",1,VLOOKUP($AZ38,DADOS!$CR$5:$CS$15,2,FALSE)),4),1)),0),""))</f>
        <v/>
      </c>
      <c r="BB38" s="125" t="n"/>
      <c r="BC38" s="134" t="n"/>
      <c r="BD38" s="134" t="n"/>
      <c r="BE38" s="89" t="n"/>
      <c r="BF38" s="89" t="n"/>
      <c r="BG38" s="89">
        <f>IF($BD38="","",IFERROR(IF(ROUND(VLOOKUP($BD38,DADOS!$CL$5:$CM$10,2,FALSE)*IF($BE38="",1,VLOOKUP($BE38,DADOS!$CO$5:$CP$7,2,FALSE))*IF($BF38="",1,VLOOKUP($BF38,DADOS!$CR$5:$CS$15,2,FALSE)),4)&gt;0,MAX(1,FLOOR(ROUND(VLOOKUP($BD38,DADOS!$CL$5:$CM$10,2,FALSE)*IF($BE38="",1,VLOOKUP($BE38,DADOS!$CO$5:$CP$7,2,FALSE))*IF($BF38="",1,VLOOKUP($BF38,DADOS!$CR$5:$CS$15,2,FALSE)),4),1)),0),""))</f>
        <v/>
      </c>
      <c r="BH38" s="125" t="n"/>
      <c r="BI38" s="134" t="n"/>
      <c r="BJ38" s="134" t="n"/>
      <c r="BK38" s="89" t="n"/>
      <c r="BL38" s="89" t="n"/>
      <c r="BM38" s="89">
        <f>IF($BJ38="","",IFERROR(IF(ROUND(VLOOKUP($BJ38,DADOS!$CL$5:$CM$10,2,FALSE)*IF($BK38="",1,VLOOKUP($BK38,DADOS!$CO$5:$CP$7,2,FALSE))*IF($BL38="",1,VLOOKUP($BL38,DADOS!$CR$5:$CS$15,2,FALSE)),4)&gt;0,MAX(1,FLOOR(ROUND(VLOOKUP($BJ38,DADOS!$CL$5:$CM$10,2,FALSE)*IF($BK38="",1,VLOOKUP($BK38,DADOS!$CO$5:$CP$7,2,FALSE))*IF($BL38="",1,VLOOKUP($BL38,DADOS!$CR$5:$CS$15,2,FALSE)),4),1)),0),""))</f>
        <v/>
      </c>
      <c r="BN38" s="125" t="n"/>
      <c r="BO38" s="134" t="n"/>
      <c r="BP38" s="134" t="n"/>
      <c r="BQ38" s="89" t="n"/>
      <c r="BR38" s="89" t="n"/>
      <c r="BS38" s="89">
        <f>IF($BP38="","",IFERROR(IF(ROUND(VLOOKUP($BP38,DADOS!$CL$5:$CM$10,2,FALSE)*IF($BQ38="",1,VLOOKUP($BQ38,DADOS!$CO$5:$CP$7,2,FALSE))*IF($BR38="",1,VLOOKUP($BR38,DADOS!$CR$5:$CS$15,2,FALSE)),4)&gt;0,MAX(1,FLOOR(ROUND(VLOOKUP($BP38,DADOS!$CL$5:$CM$10,2,FALSE)*IF($BQ38="",1,VLOOKUP($BQ38,DADOS!$CO$5:$CP$7,2,FALSE))*IF($BR38="",1,VLOOKUP($BR38,DADOS!$CR$5:$CS$15,2,FALSE)),4),1)),0),""))</f>
        <v/>
      </c>
      <c r="BT38" s="125" t="n"/>
    </row>
    <row r="39">
      <c r="B39" s="22" t="n"/>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34" t="n"/>
      <c r="AX39" s="134" t="n"/>
      <c r="AY39" s="89" t="n"/>
      <c r="AZ39" s="89" t="n"/>
      <c r="BA39" s="89">
        <f>IF($AX39="","",IFERROR(IF(ROUND(VLOOKUP($AX39,DADOS!$CL$5:$CM$10,2,FALSE)*IF($AY39="",1,VLOOKUP($AY39,DADOS!$CO$5:$CP$7,2,FALSE))*IF($AZ39="",1,VLOOKUP($AZ39,DADOS!$CR$5:$CS$15,2,FALSE)),4)&gt;0,MAX(1,FLOOR(ROUND(VLOOKUP($AX39,DADOS!$CL$5:$CM$10,2,FALSE)*IF($AY39="",1,VLOOKUP($AY39,DADOS!$CO$5:$CP$7,2,FALSE))*IF($AZ39="",1,VLOOKUP($AZ39,DADOS!$CR$5:$CS$15,2,FALSE)),4),1)),0),""))</f>
        <v/>
      </c>
      <c r="BB39" s="125" t="n"/>
      <c r="BC39" s="134" t="n"/>
      <c r="BD39" s="134" t="n"/>
      <c r="BE39" s="89" t="n"/>
      <c r="BF39" s="89" t="n"/>
      <c r="BG39" s="89">
        <f>IF($BD39="","",IFERROR(IF(ROUND(VLOOKUP($BD39,DADOS!$CL$5:$CM$10,2,FALSE)*IF($BE39="",1,VLOOKUP($BE39,DADOS!$CO$5:$CP$7,2,FALSE))*IF($BF39="",1,VLOOKUP($BF39,DADOS!$CR$5:$CS$15,2,FALSE)),4)&gt;0,MAX(1,FLOOR(ROUND(VLOOKUP($BD39,DADOS!$CL$5:$CM$10,2,FALSE)*IF($BE39="",1,VLOOKUP($BE39,DADOS!$CO$5:$CP$7,2,FALSE))*IF($BF39="",1,VLOOKUP($BF39,DADOS!$CR$5:$CS$15,2,FALSE)),4),1)),0),""))</f>
        <v/>
      </c>
      <c r="BH39" s="125" t="n"/>
      <c r="BI39" s="134" t="n"/>
      <c r="BJ39" s="134" t="n"/>
      <c r="BK39" s="89" t="n"/>
      <c r="BL39" s="89" t="n"/>
      <c r="BM39" s="89">
        <f>IF($BJ39="","",IFERROR(IF(ROUND(VLOOKUP($BJ39,DADOS!$CL$5:$CM$10,2,FALSE)*IF($BK39="",1,VLOOKUP($BK39,DADOS!$CO$5:$CP$7,2,FALSE))*IF($BL39="",1,VLOOKUP($BL39,DADOS!$CR$5:$CS$15,2,FALSE)),4)&gt;0,MAX(1,FLOOR(ROUND(VLOOKUP($BJ39,DADOS!$CL$5:$CM$10,2,FALSE)*IF($BK39="",1,VLOOKUP($BK39,DADOS!$CO$5:$CP$7,2,FALSE))*IF($BL39="",1,VLOOKUP($BL39,DADOS!$CR$5:$CS$15,2,FALSE)),4),1)),0),""))</f>
        <v/>
      </c>
      <c r="BN39" s="125" t="n"/>
      <c r="BO39" s="134" t="n"/>
      <c r="BP39" s="134" t="n"/>
      <c r="BQ39" s="89" t="n"/>
      <c r="BR39" s="89" t="n"/>
      <c r="BS39" s="89">
        <f>IF($BP39="","",IFERROR(IF(ROUND(VLOOKUP($BP39,DADOS!$CL$5:$CM$10,2,FALSE)*IF($BQ39="",1,VLOOKUP($BQ39,DADOS!$CO$5:$CP$7,2,FALSE))*IF($BR39="",1,VLOOKUP($BR39,DADOS!$CR$5:$CS$15,2,FALSE)),4)&gt;0,MAX(1,FLOOR(ROUND(VLOOKUP($BP39,DADOS!$CL$5:$CM$10,2,FALSE)*IF($BQ39="",1,VLOOKUP($BQ39,DADOS!$CO$5:$CP$7,2,FALSE))*IF($BR39="",1,VLOOKUP($BR39,DADOS!$CR$5:$CS$15,2,FALSE)),4),1)),0),""))</f>
        <v/>
      </c>
      <c r="BT39" s="125" t="n"/>
    </row>
    <row r="40">
      <c r="B40" s="22" t="n"/>
      <c r="C40" s="125"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5"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5" t="n"/>
      <c r="AV40" s="125" t="n"/>
      <c r="AW40" s="134" t="n"/>
      <c r="AX40" s="134" t="n"/>
      <c r="AY40" s="89" t="n"/>
      <c r="AZ40" s="89" t="n"/>
      <c r="BA40" s="89">
        <f>IF($AX40="","",IFERROR(IF(ROUND(VLOOKUP($AX40,DADOS!$CL$5:$CM$10,2,FALSE)*IF($AY40="",1,VLOOKUP($AY40,DADOS!$CO$5:$CP$7,2,FALSE))*IF($AZ40="",1,VLOOKUP($AZ40,DADOS!$CR$5:$CS$15,2,FALSE)),4)&gt;0,MAX(1,FLOOR(ROUND(VLOOKUP($AX40,DADOS!$CL$5:$CM$10,2,FALSE)*IF($AY40="",1,VLOOKUP($AY40,DADOS!$CO$5:$CP$7,2,FALSE))*IF($AZ40="",1,VLOOKUP($AZ40,DADOS!$CR$5:$CS$15,2,FALSE)),4),1)),0),""))</f>
        <v/>
      </c>
      <c r="BB40" s="125" t="n"/>
      <c r="BC40" s="134" t="n"/>
      <c r="BD40" s="134" t="n"/>
      <c r="BE40" s="89" t="n"/>
      <c r="BF40" s="89" t="n"/>
      <c r="BG40" s="89">
        <f>IF($BD40="","",IFERROR(IF(ROUND(VLOOKUP($BD40,DADOS!$CL$5:$CM$10,2,FALSE)*IF($BE40="",1,VLOOKUP($BE40,DADOS!$CO$5:$CP$7,2,FALSE))*IF($BF40="",1,VLOOKUP($BF40,DADOS!$CR$5:$CS$15,2,FALSE)),4)&gt;0,MAX(1,FLOOR(ROUND(VLOOKUP($BD40,DADOS!$CL$5:$CM$10,2,FALSE)*IF($BE40="",1,VLOOKUP($BE40,DADOS!$CO$5:$CP$7,2,FALSE))*IF($BF40="",1,VLOOKUP($BF40,DADOS!$CR$5:$CS$15,2,FALSE)),4),1)),0),""))</f>
        <v/>
      </c>
      <c r="BH40" s="125" t="n"/>
      <c r="BI40" s="134" t="n"/>
      <c r="BJ40" s="134" t="n"/>
      <c r="BK40" s="89" t="n"/>
      <c r="BL40" s="89" t="n"/>
      <c r="BM40" s="89">
        <f>IF($BJ40="","",IFERROR(IF(ROUND(VLOOKUP($BJ40,DADOS!$CL$5:$CM$10,2,FALSE)*IF($BK40="",1,VLOOKUP($BK40,DADOS!$CO$5:$CP$7,2,FALSE))*IF($BL40="",1,VLOOKUP($BL40,DADOS!$CR$5:$CS$15,2,FALSE)),4)&gt;0,MAX(1,FLOOR(ROUND(VLOOKUP($BJ40,DADOS!$CL$5:$CM$10,2,FALSE)*IF($BK40="",1,VLOOKUP($BK40,DADOS!$CO$5:$CP$7,2,FALSE))*IF($BL40="",1,VLOOKUP($BL40,DADOS!$CR$5:$CS$15,2,FALSE)),4),1)),0),""))</f>
        <v/>
      </c>
      <c r="BN40" s="125" t="n"/>
      <c r="BO40" s="134" t="n"/>
      <c r="BP40" s="134" t="n"/>
      <c r="BQ40" s="89" t="n"/>
      <c r="BR40" s="89" t="n"/>
      <c r="BS40" s="89">
        <f>IF($BP40="","",IFERROR(IF(ROUND(VLOOKUP($BP40,DADOS!$CL$5:$CM$10,2,FALSE)*IF($BQ40="",1,VLOOKUP($BQ40,DADOS!$CO$5:$CP$7,2,FALSE))*IF($BR40="",1,VLOOKUP($BR40,DADOS!$CR$5:$CS$15,2,FALSE)),4)&gt;0,MAX(1,FLOOR(ROUND(VLOOKUP($BP40,DADOS!$CL$5:$CM$10,2,FALSE)*IF($BQ40="",1,VLOOKUP($BQ40,DADOS!$CO$5:$CP$7,2,FALSE))*IF($BR40="",1,VLOOKUP($BR40,DADOS!$CR$5:$CS$15,2,FALSE)),4),1)),0),""))</f>
        <v/>
      </c>
      <c r="BT40" s="125" t="n"/>
    </row>
    <row r="41">
      <c r="B41" s="22" t="n"/>
      <c r="C41" s="125" t="n"/>
      <c r="D41" s="134" t="n"/>
      <c r="E41" s="16" t="n"/>
      <c r="F41" s="16" t="n"/>
      <c r="G41" s="16" t="n"/>
      <c r="H41" s="16" t="n"/>
      <c r="I41" s="16" t="n"/>
      <c r="J41" s="16" t="n"/>
      <c r="K41" s="16" t="n"/>
      <c r="L41" s="16" t="n"/>
      <c r="M41" s="16" t="n"/>
      <c r="N41" s="16" t="n"/>
      <c r="O41" s="16" t="n"/>
      <c r="P41" s="17" t="n"/>
      <c r="Q41" s="89" t="n"/>
      <c r="R41" s="16" t="n"/>
      <c r="S41" s="16" t="n"/>
      <c r="T41" s="16" t="n"/>
      <c r="U41" s="16" t="n"/>
      <c r="V41" s="16" t="n"/>
      <c r="W41" s="17" t="n"/>
      <c r="X41" s="125" t="n"/>
      <c r="Y41" s="134" t="n"/>
      <c r="Z41" s="16" t="n"/>
      <c r="AA41" s="16" t="n"/>
      <c r="AB41" s="16" t="n"/>
      <c r="AC41" s="16" t="n"/>
      <c r="AD41" s="16" t="n"/>
      <c r="AE41" s="16" t="n"/>
      <c r="AF41" s="16" t="n"/>
      <c r="AG41" s="16" t="n"/>
      <c r="AH41" s="16" t="n"/>
      <c r="AI41" s="16" t="n"/>
      <c r="AJ41" s="16" t="n"/>
      <c r="AK41" s="16" t="n"/>
      <c r="AL41" s="17" t="n"/>
      <c r="AM41" s="89" t="n"/>
      <c r="AN41" s="16" t="n"/>
      <c r="AO41" s="16" t="n"/>
      <c r="AP41" s="16" t="n"/>
      <c r="AQ41" s="16" t="n"/>
      <c r="AR41" s="16" t="n"/>
      <c r="AS41" s="16" t="n"/>
      <c r="AT41" s="17" t="n"/>
      <c r="AU41" s="125" t="n"/>
      <c r="AV41" s="125" t="n"/>
      <c r="AW41" s="134" t="n"/>
      <c r="AX41" s="134" t="n"/>
      <c r="AY41" s="89" t="n"/>
      <c r="AZ41" s="89" t="n"/>
      <c r="BA41" s="89">
        <f>IF($AX41="","",IFERROR(IF(ROUND(VLOOKUP($AX41,DADOS!$CL$5:$CM$10,2,FALSE)*IF($AY41="",1,VLOOKUP($AY41,DADOS!$CO$5:$CP$7,2,FALSE))*IF($AZ41="",1,VLOOKUP($AZ41,DADOS!$CR$5:$CS$15,2,FALSE)),4)&gt;0,MAX(1,FLOOR(ROUND(VLOOKUP($AX41,DADOS!$CL$5:$CM$10,2,FALSE)*IF($AY41="",1,VLOOKUP($AY41,DADOS!$CO$5:$CP$7,2,FALSE))*IF($AZ41="",1,VLOOKUP($AZ41,DADOS!$CR$5:$CS$15,2,FALSE)),4),1)),0),""))</f>
        <v/>
      </c>
      <c r="BB41" s="125" t="n"/>
      <c r="BC41" s="134" t="n"/>
      <c r="BD41" s="134" t="n"/>
      <c r="BE41" s="89" t="n"/>
      <c r="BF41" s="89" t="n"/>
      <c r="BG41" s="89">
        <f>IF($BD41="","",IFERROR(IF(ROUND(VLOOKUP($BD41,DADOS!$CL$5:$CM$10,2,FALSE)*IF($BE41="",1,VLOOKUP($BE41,DADOS!$CO$5:$CP$7,2,FALSE))*IF($BF41="",1,VLOOKUP($BF41,DADOS!$CR$5:$CS$15,2,FALSE)),4)&gt;0,MAX(1,FLOOR(ROUND(VLOOKUP($BD41,DADOS!$CL$5:$CM$10,2,FALSE)*IF($BE41="",1,VLOOKUP($BE41,DADOS!$CO$5:$CP$7,2,FALSE))*IF($BF41="",1,VLOOKUP($BF41,DADOS!$CR$5:$CS$15,2,FALSE)),4),1)),0),""))</f>
        <v/>
      </c>
      <c r="BH41" s="125" t="n"/>
      <c r="BI41" s="134" t="n"/>
      <c r="BJ41" s="134" t="n"/>
      <c r="BK41" s="89" t="n"/>
      <c r="BL41" s="89" t="n"/>
      <c r="BM41" s="89">
        <f>IF($BJ41="","",IFERROR(IF(ROUND(VLOOKUP($BJ41,DADOS!$CL$5:$CM$10,2,FALSE)*IF($BK41="",1,VLOOKUP($BK41,DADOS!$CO$5:$CP$7,2,FALSE))*IF($BL41="",1,VLOOKUP($BL41,DADOS!$CR$5:$CS$15,2,FALSE)),4)&gt;0,MAX(1,FLOOR(ROUND(VLOOKUP($BJ41,DADOS!$CL$5:$CM$10,2,FALSE)*IF($BK41="",1,VLOOKUP($BK41,DADOS!$CO$5:$CP$7,2,FALSE))*IF($BL41="",1,VLOOKUP($BL41,DADOS!$CR$5:$CS$15,2,FALSE)),4),1)),0),""))</f>
        <v/>
      </c>
      <c r="BN41" s="125" t="n"/>
      <c r="BO41" s="134" t="n"/>
      <c r="BP41" s="134" t="n"/>
      <c r="BQ41" s="89" t="n"/>
      <c r="BR41" s="89" t="n"/>
      <c r="BS41" s="89">
        <f>IF($BP41="","",IFERROR(IF(ROUND(VLOOKUP($BP41,DADOS!$CL$5:$CM$10,2,FALSE)*IF($BQ41="",1,VLOOKUP($BQ41,DADOS!$CO$5:$CP$7,2,FALSE))*IF($BR41="",1,VLOOKUP($BR41,DADOS!$CR$5:$CS$15,2,FALSE)),4)&gt;0,MAX(1,FLOOR(ROUND(VLOOKUP($BP41,DADOS!$CL$5:$CM$10,2,FALSE)*IF($BQ41="",1,VLOOKUP($BQ41,DADOS!$CO$5:$CP$7,2,FALSE))*IF($BR41="",1,VLOOKUP($BR41,DADOS!$CR$5:$CS$15,2,FALSE)),4),1)),0),""))</f>
        <v/>
      </c>
      <c r="BT41" s="125" t="n"/>
    </row>
    <row r="42">
      <c r="B42" s="22" t="n"/>
      <c r="C42" s="125" t="n"/>
      <c r="D42" s="121"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5" t="n"/>
      <c r="Y42" s="121"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5" t="n"/>
      <c r="AV42" s="125" t="n"/>
      <c r="AW42" s="134" t="n"/>
      <c r="AX42" s="134" t="n"/>
      <c r="AY42" s="89" t="n"/>
      <c r="AZ42" s="89" t="n"/>
      <c r="BA42" s="89">
        <f>IF($AX42="","",IFERROR(IF(ROUND(VLOOKUP($AX42,DADOS!$CL$5:$CM$10,2,FALSE)*IF($AY42="",1,VLOOKUP($AY42,DADOS!$CO$5:$CP$7,2,FALSE))*IF($AZ42="",1,VLOOKUP($AZ42,DADOS!$CR$5:$CS$15,2,FALSE)),4)&gt;0,MAX(1,FLOOR(ROUND(VLOOKUP($AX42,DADOS!$CL$5:$CM$10,2,FALSE)*IF($AY42="",1,VLOOKUP($AY42,DADOS!$CO$5:$CP$7,2,FALSE))*IF($AZ42="",1,VLOOKUP($AZ42,DADOS!$CR$5:$CS$15,2,FALSE)),4),1)),0),""))</f>
        <v/>
      </c>
      <c r="BB42" s="125" t="n"/>
      <c r="BC42" s="134" t="n"/>
      <c r="BD42" s="134" t="n"/>
      <c r="BE42" s="89" t="n"/>
      <c r="BF42" s="89" t="n"/>
      <c r="BG42" s="89">
        <f>IF($BD42="","",IFERROR(IF(ROUND(VLOOKUP($BD42,DADOS!$CL$5:$CM$10,2,FALSE)*IF($BE42="",1,VLOOKUP($BE42,DADOS!$CO$5:$CP$7,2,FALSE))*IF($BF42="",1,VLOOKUP($BF42,DADOS!$CR$5:$CS$15,2,FALSE)),4)&gt;0,MAX(1,FLOOR(ROUND(VLOOKUP($BD42,DADOS!$CL$5:$CM$10,2,FALSE)*IF($BE42="",1,VLOOKUP($BE42,DADOS!$CO$5:$CP$7,2,FALSE))*IF($BF42="",1,VLOOKUP($BF42,DADOS!$CR$5:$CS$15,2,FALSE)),4),1)),0),""))</f>
        <v/>
      </c>
      <c r="BH42" s="125" t="n"/>
      <c r="BI42" s="134" t="n"/>
      <c r="BJ42" s="134" t="n"/>
      <c r="BK42" s="89" t="n"/>
      <c r="BL42" s="89" t="n"/>
      <c r="BM42" s="89">
        <f>IF($BJ42="","",IFERROR(IF(ROUND(VLOOKUP($BJ42,DADOS!$CL$5:$CM$10,2,FALSE)*IF($BK42="",1,VLOOKUP($BK42,DADOS!$CO$5:$CP$7,2,FALSE))*IF($BL42="",1,VLOOKUP($BL42,DADOS!$CR$5:$CS$15,2,FALSE)),4)&gt;0,MAX(1,FLOOR(ROUND(VLOOKUP($BJ42,DADOS!$CL$5:$CM$10,2,FALSE)*IF($BK42="",1,VLOOKUP($BK42,DADOS!$CO$5:$CP$7,2,FALSE))*IF($BL42="",1,VLOOKUP($BL42,DADOS!$CR$5:$CS$15,2,FALSE)),4),1)),0),""))</f>
        <v/>
      </c>
      <c r="BN42" s="125" t="n"/>
      <c r="BO42" s="134" t="n"/>
      <c r="BP42" s="134" t="n"/>
      <c r="BQ42" s="89" t="n"/>
      <c r="BR42" s="89" t="n"/>
      <c r="BS42" s="89">
        <f>IF($BP42="","",IFERROR(IF(ROUND(VLOOKUP($BP42,DADOS!$CL$5:$CM$10,2,FALSE)*IF($BQ42="",1,VLOOKUP($BQ42,DADOS!$CO$5:$CP$7,2,FALSE))*IF($BR42="",1,VLOOKUP($BR42,DADOS!$CR$5:$CS$15,2,FALSE)),4)&gt;0,MAX(1,FLOOR(ROUND(VLOOKUP($BP42,DADOS!$CL$5:$CM$10,2,FALSE)*IF($BQ42="",1,VLOOKUP($BQ42,DADOS!$CO$5:$CP$7,2,FALSE))*IF($BR42="",1,VLOOKUP($BR42,DADOS!$CR$5:$CS$15,2,FALSE)),4),1)),0),""))</f>
        <v/>
      </c>
      <c r="BT42" s="125" t="n"/>
    </row>
    <row r="43">
      <c r="B43" s="22" t="n"/>
      <c r="C43" s="125" t="n"/>
      <c r="D43" s="21" t="n"/>
      <c r="W43" s="22" t="n"/>
      <c r="X43" s="125" t="n"/>
      <c r="Y43" s="21" t="n"/>
      <c r="AT43" s="22" t="n"/>
      <c r="AU43" s="125" t="n"/>
      <c r="AV43" s="125" t="n"/>
      <c r="AW43" s="134" t="n"/>
      <c r="AX43" s="134" t="n"/>
      <c r="AY43" s="89" t="n"/>
      <c r="AZ43" s="89" t="n"/>
      <c r="BA43" s="89">
        <f>IF($AX43="","",IFERROR(IF(ROUND(VLOOKUP($AX43,DADOS!$CL$5:$CM$10,2,FALSE)*IF($AY43="",1,VLOOKUP($AY43,DADOS!$CO$5:$CP$7,2,FALSE))*IF($AZ43="",1,VLOOKUP($AZ43,DADOS!$CR$5:$CS$15,2,FALSE)),4)&gt;0,MAX(1,FLOOR(ROUND(VLOOKUP($AX43,DADOS!$CL$5:$CM$10,2,FALSE)*IF($AY43="",1,VLOOKUP($AY43,DADOS!$CO$5:$CP$7,2,FALSE))*IF($AZ43="",1,VLOOKUP($AZ43,DADOS!$CR$5:$CS$15,2,FALSE)),4),1)),0),""))</f>
        <v/>
      </c>
      <c r="BB43" s="125" t="n"/>
      <c r="BC43" s="134" t="n"/>
      <c r="BD43" s="134" t="n"/>
      <c r="BE43" s="89" t="n"/>
      <c r="BF43" s="89" t="n"/>
      <c r="BG43" s="89">
        <f>IF($BD43="","",IFERROR(IF(ROUND(VLOOKUP($BD43,DADOS!$CL$5:$CM$10,2,FALSE)*IF($BE43="",1,VLOOKUP($BE43,DADOS!$CO$5:$CP$7,2,FALSE))*IF($BF43="",1,VLOOKUP($BF43,DADOS!$CR$5:$CS$15,2,FALSE)),4)&gt;0,MAX(1,FLOOR(ROUND(VLOOKUP($BD43,DADOS!$CL$5:$CM$10,2,FALSE)*IF($BE43="",1,VLOOKUP($BE43,DADOS!$CO$5:$CP$7,2,FALSE))*IF($BF43="",1,VLOOKUP($BF43,DADOS!$CR$5:$CS$15,2,FALSE)),4),1)),0),""))</f>
        <v/>
      </c>
      <c r="BH43" s="125" t="n"/>
      <c r="BI43" s="134" t="n"/>
      <c r="BJ43" s="134" t="n"/>
      <c r="BK43" s="89" t="n"/>
      <c r="BL43" s="89" t="n"/>
      <c r="BM43" s="89">
        <f>IF($BJ43="","",IFERROR(IF(ROUND(VLOOKUP($BJ43,DADOS!$CL$5:$CM$10,2,FALSE)*IF($BK43="",1,VLOOKUP($BK43,DADOS!$CO$5:$CP$7,2,FALSE))*IF($BL43="",1,VLOOKUP($BL43,DADOS!$CR$5:$CS$15,2,FALSE)),4)&gt;0,MAX(1,FLOOR(ROUND(VLOOKUP($BJ43,DADOS!$CL$5:$CM$10,2,FALSE)*IF($BK43="",1,VLOOKUP($BK43,DADOS!$CO$5:$CP$7,2,FALSE))*IF($BL43="",1,VLOOKUP($BL43,DADOS!$CR$5:$CS$15,2,FALSE)),4),1)),0),""))</f>
        <v/>
      </c>
      <c r="BN43" s="125" t="n"/>
      <c r="BO43" s="134" t="n"/>
      <c r="BP43" s="134" t="n"/>
      <c r="BQ43" s="89" t="n"/>
      <c r="BR43" s="89" t="n"/>
      <c r="BS43" s="89">
        <f>IF($BP43="","",IFERROR(IF(ROUND(VLOOKUP($BP43,DADOS!$CL$5:$CM$10,2,FALSE)*IF($BQ43="",1,VLOOKUP($BQ43,DADOS!$CO$5:$CP$7,2,FALSE))*IF($BR43="",1,VLOOKUP($BR43,DADOS!$CR$5:$CS$15,2,FALSE)),4)&gt;0,MAX(1,FLOOR(ROUND(VLOOKUP($BP43,DADOS!$CL$5:$CM$10,2,FALSE)*IF($BQ43="",1,VLOOKUP($BQ43,DADOS!$CO$5:$CP$7,2,FALSE))*IF($BR43="",1,VLOOKUP($BR43,DADOS!$CR$5:$CS$15,2,FALSE)),4),1)),0),""))</f>
        <v/>
      </c>
      <c r="BT43" s="125" t="n"/>
    </row>
    <row r="44">
      <c r="B44" s="22" t="n"/>
      <c r="C44" s="125"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5"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5" t="n"/>
      <c r="AV44" s="125" t="n"/>
      <c r="AW44" s="134" t="n"/>
      <c r="AX44" s="134" t="n"/>
      <c r="AY44" s="89" t="n"/>
      <c r="AZ44" s="89" t="n"/>
      <c r="BA44" s="89">
        <f>IF($AX44="","",IFERROR(IF(ROUND(VLOOKUP($AX44,DADOS!$CL$5:$CM$10,2,FALSE)*IF($AY44="",1,VLOOKUP($AY44,DADOS!$CO$5:$CP$7,2,FALSE))*IF($AZ44="",1,VLOOKUP($AZ44,DADOS!$CR$5:$CS$15,2,FALSE)),4)&gt;0,MAX(1,FLOOR(ROUND(VLOOKUP($AX44,DADOS!$CL$5:$CM$10,2,FALSE)*IF($AY44="",1,VLOOKUP($AY44,DADOS!$CO$5:$CP$7,2,FALSE))*IF($AZ44="",1,VLOOKUP($AZ44,DADOS!$CR$5:$CS$15,2,FALSE)),4),1)),0),""))</f>
        <v/>
      </c>
      <c r="BB44" s="125" t="n"/>
      <c r="BC44" s="134" t="n"/>
      <c r="BD44" s="134" t="n"/>
      <c r="BE44" s="89" t="n"/>
      <c r="BF44" s="89" t="n"/>
      <c r="BG44" s="89">
        <f>IF($BD44="","",IFERROR(IF(ROUND(VLOOKUP($BD44,DADOS!$CL$5:$CM$10,2,FALSE)*IF($BE44="",1,VLOOKUP($BE44,DADOS!$CO$5:$CP$7,2,FALSE))*IF($BF44="",1,VLOOKUP($BF44,DADOS!$CR$5:$CS$15,2,FALSE)),4)&gt;0,MAX(1,FLOOR(ROUND(VLOOKUP($BD44,DADOS!$CL$5:$CM$10,2,FALSE)*IF($BE44="",1,VLOOKUP($BE44,DADOS!$CO$5:$CP$7,2,FALSE))*IF($BF44="",1,VLOOKUP($BF44,DADOS!$CR$5:$CS$15,2,FALSE)),4),1)),0),""))</f>
        <v/>
      </c>
      <c r="BH44" s="125" t="n"/>
      <c r="BI44" s="134" t="n"/>
      <c r="BJ44" s="134" t="n"/>
      <c r="BK44" s="89" t="n"/>
      <c r="BL44" s="89" t="n"/>
      <c r="BM44" s="89">
        <f>IF($BJ44="","",IFERROR(IF(ROUND(VLOOKUP($BJ44,DADOS!$CL$5:$CM$10,2,FALSE)*IF($BK44="",1,VLOOKUP($BK44,DADOS!$CO$5:$CP$7,2,FALSE))*IF($BL44="",1,VLOOKUP($BL44,DADOS!$CR$5:$CS$15,2,FALSE)),4)&gt;0,MAX(1,FLOOR(ROUND(VLOOKUP($BJ44,DADOS!$CL$5:$CM$10,2,FALSE)*IF($BK44="",1,VLOOKUP($BK44,DADOS!$CO$5:$CP$7,2,FALSE))*IF($BL44="",1,VLOOKUP($BL44,DADOS!$CR$5:$CS$15,2,FALSE)),4),1)),0),""))</f>
        <v/>
      </c>
      <c r="BN44" s="125" t="n"/>
      <c r="BO44" s="134" t="n"/>
      <c r="BP44" s="134" t="n"/>
      <c r="BQ44" s="89" t="n"/>
      <c r="BR44" s="89" t="n"/>
      <c r="BS44" s="89">
        <f>IF($BP44="","",IFERROR(IF(ROUND(VLOOKUP($BP44,DADOS!$CL$5:$CM$10,2,FALSE)*IF($BQ44="",1,VLOOKUP($BQ44,DADOS!$CO$5:$CP$7,2,FALSE))*IF($BR44="",1,VLOOKUP($BR44,DADOS!$CR$5:$CS$15,2,FALSE)),4)&gt;0,MAX(1,FLOOR(ROUND(VLOOKUP($BP44,DADOS!$CL$5:$CM$10,2,FALSE)*IF($BQ44="",1,VLOOKUP($BQ44,DADOS!$CO$5:$CP$7,2,FALSE))*IF($BR44="",1,VLOOKUP($BR44,DADOS!$CR$5:$CS$15,2,FALSE)),4),1)),0),""))</f>
        <v/>
      </c>
      <c r="BT44" s="125" t="n"/>
    </row>
    <row r="45">
      <c r="B45" s="22" t="n"/>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34" t="n"/>
      <c r="AX45" s="134" t="n"/>
      <c r="AY45" s="89" t="n"/>
      <c r="AZ45" s="89" t="n"/>
      <c r="BA45" s="89">
        <f>IF($AX45="","",IFERROR(IF(ROUND(VLOOKUP($AX45,DADOS!$CL$5:$CM$10,2,FALSE)*IF($AY45="",1,VLOOKUP($AY45,DADOS!$CO$5:$CP$7,2,FALSE))*IF($AZ45="",1,VLOOKUP($AZ45,DADOS!$CR$5:$CS$15,2,FALSE)),4)&gt;0,MAX(1,FLOOR(ROUND(VLOOKUP($AX45,DADOS!$CL$5:$CM$10,2,FALSE)*IF($AY45="",1,VLOOKUP($AY45,DADOS!$CO$5:$CP$7,2,FALSE))*IF($AZ45="",1,VLOOKUP($AZ45,DADOS!$CR$5:$CS$15,2,FALSE)),4),1)),0),""))</f>
        <v/>
      </c>
      <c r="BB45" s="125" t="n"/>
      <c r="BC45" s="134" t="n"/>
      <c r="BD45" s="134" t="n"/>
      <c r="BE45" s="89" t="n"/>
      <c r="BF45" s="89" t="n"/>
      <c r="BG45" s="89">
        <f>IF($BD45="","",IFERROR(IF(ROUND(VLOOKUP($BD45,DADOS!$CL$5:$CM$10,2,FALSE)*IF($BE45="",1,VLOOKUP($BE45,DADOS!$CO$5:$CP$7,2,FALSE))*IF($BF45="",1,VLOOKUP($BF45,DADOS!$CR$5:$CS$15,2,FALSE)),4)&gt;0,MAX(1,FLOOR(ROUND(VLOOKUP($BD45,DADOS!$CL$5:$CM$10,2,FALSE)*IF($BE45="",1,VLOOKUP($BE45,DADOS!$CO$5:$CP$7,2,FALSE))*IF($BF45="",1,VLOOKUP($BF45,DADOS!$CR$5:$CS$15,2,FALSE)),4),1)),0),""))</f>
        <v/>
      </c>
      <c r="BH45" s="125" t="n"/>
      <c r="BI45" s="134" t="n"/>
      <c r="BJ45" s="134" t="n"/>
      <c r="BK45" s="89" t="n"/>
      <c r="BL45" s="89" t="n"/>
      <c r="BM45" s="89">
        <f>IF($BJ45="","",IFERROR(IF(ROUND(VLOOKUP($BJ45,DADOS!$CL$5:$CM$10,2,FALSE)*IF($BK45="",1,VLOOKUP($BK45,DADOS!$CO$5:$CP$7,2,FALSE))*IF($BL45="",1,VLOOKUP($BL45,DADOS!$CR$5:$CS$15,2,FALSE)),4)&gt;0,MAX(1,FLOOR(ROUND(VLOOKUP($BJ45,DADOS!$CL$5:$CM$10,2,FALSE)*IF($BK45="",1,VLOOKUP($BK45,DADOS!$CO$5:$CP$7,2,FALSE))*IF($BL45="",1,VLOOKUP($BL45,DADOS!$CR$5:$CS$15,2,FALSE)),4),1)),0),""))</f>
        <v/>
      </c>
      <c r="BN45" s="125" t="n"/>
      <c r="BO45" s="134" t="n"/>
      <c r="BP45" s="134" t="n"/>
      <c r="BQ45" s="89" t="n"/>
      <c r="BR45" s="89" t="n"/>
      <c r="BS45" s="89">
        <f>IF($BP45="","",IFERROR(IF(ROUND(VLOOKUP($BP45,DADOS!$CL$5:$CM$10,2,FALSE)*IF($BQ45="",1,VLOOKUP($BQ45,DADOS!$CO$5:$CP$7,2,FALSE))*IF($BR45="",1,VLOOKUP($BR45,DADOS!$CR$5:$CS$15,2,FALSE)),4)&gt;0,MAX(1,FLOOR(ROUND(VLOOKUP($BP45,DADOS!$CL$5:$CM$10,2,FALSE)*IF($BQ45="",1,VLOOKUP($BQ45,DADOS!$CO$5:$CP$7,2,FALSE))*IF($BR45="",1,VLOOKUP($BR45,DADOS!$CR$5:$CS$15,2,FALSE)),4),1)),0),""))</f>
        <v/>
      </c>
      <c r="BT45" s="125" t="n"/>
    </row>
    <row r="46">
      <c r="B46" s="22" t="n"/>
      <c r="C46" s="125" t="n"/>
      <c r="D46" s="128"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5" t="n"/>
      <c r="AV46" s="125" t="n"/>
      <c r="AW46" s="134" t="n"/>
      <c r="AX46" s="134" t="n"/>
      <c r="AY46" s="89" t="n"/>
      <c r="AZ46" s="89" t="n"/>
      <c r="BA46" s="89">
        <f>IF($AX46="","",IFERROR(IF(ROUND(VLOOKUP($AX46,DADOS!$CL$5:$CM$10,2,FALSE)*IF($AY46="",1,VLOOKUP($AY46,DADOS!$CO$5:$CP$7,2,FALSE))*IF($AZ46="",1,VLOOKUP($AZ46,DADOS!$CR$5:$CS$15,2,FALSE)),4)&gt;0,MAX(1,FLOOR(ROUND(VLOOKUP($AX46,DADOS!$CL$5:$CM$10,2,FALSE)*IF($AY46="",1,VLOOKUP($AY46,DADOS!$CO$5:$CP$7,2,FALSE))*IF($AZ46="",1,VLOOKUP($AZ46,DADOS!$CR$5:$CS$15,2,FALSE)),4),1)),0),""))</f>
        <v/>
      </c>
      <c r="BB46" s="125" t="n"/>
      <c r="BC46" s="134" t="n"/>
      <c r="BD46" s="134" t="n"/>
      <c r="BE46" s="89" t="n"/>
      <c r="BF46" s="89" t="n"/>
      <c r="BG46" s="89">
        <f>IF($BD46="","",IFERROR(IF(ROUND(VLOOKUP($BD46,DADOS!$CL$5:$CM$10,2,FALSE)*IF($BE46="",1,VLOOKUP($BE46,DADOS!$CO$5:$CP$7,2,FALSE))*IF($BF46="",1,VLOOKUP($BF46,DADOS!$CR$5:$CS$15,2,FALSE)),4)&gt;0,MAX(1,FLOOR(ROUND(VLOOKUP($BD46,DADOS!$CL$5:$CM$10,2,FALSE)*IF($BE46="",1,VLOOKUP($BE46,DADOS!$CO$5:$CP$7,2,FALSE))*IF($BF46="",1,VLOOKUP($BF46,DADOS!$CR$5:$CS$15,2,FALSE)),4),1)),0),""))</f>
        <v/>
      </c>
      <c r="BH46" s="125" t="n"/>
      <c r="BI46" s="134" t="n"/>
      <c r="BJ46" s="134" t="n"/>
      <c r="BK46" s="89" t="n"/>
      <c r="BL46" s="89" t="n"/>
      <c r="BM46" s="89">
        <f>IF($BJ46="","",IFERROR(IF(ROUND(VLOOKUP($BJ46,DADOS!$CL$5:$CM$10,2,FALSE)*IF($BK46="",1,VLOOKUP($BK46,DADOS!$CO$5:$CP$7,2,FALSE))*IF($BL46="",1,VLOOKUP($BL46,DADOS!$CR$5:$CS$15,2,FALSE)),4)&gt;0,MAX(1,FLOOR(ROUND(VLOOKUP($BJ46,DADOS!$CL$5:$CM$10,2,FALSE)*IF($BK46="",1,VLOOKUP($BK46,DADOS!$CO$5:$CP$7,2,FALSE))*IF($BL46="",1,VLOOKUP($BL46,DADOS!$CR$5:$CS$15,2,FALSE)),4),1)),0),""))</f>
        <v/>
      </c>
      <c r="BN46" s="125" t="n"/>
      <c r="BO46" s="134" t="n"/>
      <c r="BP46" s="134" t="n"/>
      <c r="BQ46" s="89" t="n"/>
      <c r="BR46" s="89" t="n"/>
      <c r="BS46" s="89">
        <f>IF($BP46="","",IFERROR(IF(ROUND(VLOOKUP($BP46,DADOS!$CL$5:$CM$10,2,FALSE)*IF($BQ46="",1,VLOOKUP($BQ46,DADOS!$CO$5:$CP$7,2,FALSE))*IF($BR46="",1,VLOOKUP($BR46,DADOS!$CR$5:$CS$15,2,FALSE)),4)&gt;0,MAX(1,FLOOR(ROUND(VLOOKUP($BP46,DADOS!$CL$5:$CM$10,2,FALSE)*IF($BQ46="",1,VLOOKUP($BQ46,DADOS!$CO$5:$CP$7,2,FALSE))*IF($BR46="",1,VLOOKUP($BR46,DADOS!$CR$5:$CS$15,2,FALSE)),4),1)),0),""))</f>
        <v/>
      </c>
      <c r="BT46" s="125" t="n"/>
    </row>
    <row r="47">
      <c r="B47" s="22" t="n"/>
      <c r="C47" s="125"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5" t="n"/>
      <c r="AV47" s="125" t="n"/>
      <c r="AW47" s="134" t="n"/>
      <c r="AX47" s="134" t="n"/>
      <c r="AY47" s="89" t="n"/>
      <c r="AZ47" s="89" t="n"/>
      <c r="BA47" s="89">
        <f>IF($AX47="","",IFERROR(IF(ROUND(VLOOKUP($AX47,DADOS!$CL$5:$CM$10,2,FALSE)*IF($AY47="",1,VLOOKUP($AY47,DADOS!$CO$5:$CP$7,2,FALSE))*IF($AZ47="",1,VLOOKUP($AZ47,DADOS!$CR$5:$CS$15,2,FALSE)),4)&gt;0,MAX(1,FLOOR(ROUND(VLOOKUP($AX47,DADOS!$CL$5:$CM$10,2,FALSE)*IF($AY47="",1,VLOOKUP($AY47,DADOS!$CO$5:$CP$7,2,FALSE))*IF($AZ47="",1,VLOOKUP($AZ47,DADOS!$CR$5:$CS$15,2,FALSE)),4),1)),0),""))</f>
        <v/>
      </c>
      <c r="BB47" s="125" t="n"/>
      <c r="BC47" s="134" t="n"/>
      <c r="BD47" s="134" t="n"/>
      <c r="BE47" s="89" t="n"/>
      <c r="BF47" s="89" t="n"/>
      <c r="BG47" s="89">
        <f>IF($BD47="","",IFERROR(IF(ROUND(VLOOKUP($BD47,DADOS!$CL$5:$CM$10,2,FALSE)*IF($BE47="",1,VLOOKUP($BE47,DADOS!$CO$5:$CP$7,2,FALSE))*IF($BF47="",1,VLOOKUP($BF47,DADOS!$CR$5:$CS$15,2,FALSE)),4)&gt;0,MAX(1,FLOOR(ROUND(VLOOKUP($BD47,DADOS!$CL$5:$CM$10,2,FALSE)*IF($BE47="",1,VLOOKUP($BE47,DADOS!$CO$5:$CP$7,2,FALSE))*IF($BF47="",1,VLOOKUP($BF47,DADOS!$CR$5:$CS$15,2,FALSE)),4),1)),0),""))</f>
        <v/>
      </c>
      <c r="BH47" s="125" t="n"/>
      <c r="BI47" s="134" t="n"/>
      <c r="BJ47" s="134" t="n"/>
      <c r="BK47" s="89" t="n"/>
      <c r="BL47" s="89" t="n"/>
      <c r="BM47" s="89">
        <f>IF($BJ47="","",IFERROR(IF(ROUND(VLOOKUP($BJ47,DADOS!$CL$5:$CM$10,2,FALSE)*IF($BK47="",1,VLOOKUP($BK47,DADOS!$CO$5:$CP$7,2,FALSE))*IF($BL47="",1,VLOOKUP($BL47,DADOS!$CR$5:$CS$15,2,FALSE)),4)&gt;0,MAX(1,FLOOR(ROUND(VLOOKUP($BJ47,DADOS!$CL$5:$CM$10,2,FALSE)*IF($BK47="",1,VLOOKUP($BK47,DADOS!$CO$5:$CP$7,2,FALSE))*IF($BL47="",1,VLOOKUP($BL47,DADOS!$CR$5:$CS$15,2,FALSE)),4),1)),0),""))</f>
        <v/>
      </c>
      <c r="BN47" s="125" t="n"/>
      <c r="BO47" s="134" t="n"/>
      <c r="BP47" s="134" t="n"/>
      <c r="BQ47" s="89" t="n"/>
      <c r="BR47" s="89" t="n"/>
      <c r="BS47" s="89">
        <f>IF($BP47="","",IFERROR(IF(ROUND(VLOOKUP($BP47,DADOS!$CL$5:$CM$10,2,FALSE)*IF($BQ47="",1,VLOOKUP($BQ47,DADOS!$CO$5:$CP$7,2,FALSE))*IF($BR47="",1,VLOOKUP($BR47,DADOS!$CR$5:$CS$15,2,FALSE)),4)&gt;0,MAX(1,FLOOR(ROUND(VLOOKUP($BP47,DADOS!$CL$5:$CM$10,2,FALSE)*IF($BQ47="",1,VLOOKUP($BQ47,DADOS!$CO$5:$CP$7,2,FALSE))*IF($BR47="",1,VLOOKUP($BR47,DADOS!$CR$5:$CS$15,2,FALSE)),4),1)),0),""))</f>
        <v/>
      </c>
      <c r="BT47" s="125" t="n"/>
    </row>
    <row r="48">
      <c r="B48" s="22" t="n"/>
      <c r="C48" s="125" t="n"/>
      <c r="D48" s="55" t="inlineStr">
        <is>
          <t>MÃO PRINCIPAL</t>
        </is>
      </c>
      <c r="E48" s="16" t="n"/>
      <c r="F48" s="16" t="n"/>
      <c r="G48" s="16" t="n"/>
      <c r="H48" s="16" t="n"/>
      <c r="I48" s="16" t="n"/>
      <c r="J48" s="16" t="n"/>
      <c r="K48" s="16" t="n"/>
      <c r="L48" s="16" t="n"/>
      <c r="M48" s="16" t="n"/>
      <c r="N48" s="16" t="n"/>
      <c r="O48" s="16" t="n"/>
      <c r="P48" s="16" t="n"/>
      <c r="Q48" s="17" t="n"/>
      <c r="R48" s="125" t="n"/>
      <c r="S48" s="55" t="inlineStr">
        <is>
          <t>MÃO SECUNDÁRIA</t>
        </is>
      </c>
      <c r="T48" s="16" t="n"/>
      <c r="U48" s="16" t="n"/>
      <c r="V48" s="16" t="n"/>
      <c r="W48" s="16" t="n"/>
      <c r="X48" s="16" t="n"/>
      <c r="Y48" s="16" t="n"/>
      <c r="Z48" s="16" t="n"/>
      <c r="AA48" s="16" t="n"/>
      <c r="AB48" s="16" t="n"/>
      <c r="AC48" s="16" t="n"/>
      <c r="AD48" s="16" t="n"/>
      <c r="AE48" s="16" t="n"/>
      <c r="AF48" s="17" t="n"/>
      <c r="AG48" s="125" t="n"/>
      <c r="AH48" s="55" t="inlineStr">
        <is>
          <t>VESTINDO</t>
        </is>
      </c>
      <c r="AI48" s="16" t="n"/>
      <c r="AJ48" s="16" t="n"/>
      <c r="AK48" s="16" t="n"/>
      <c r="AL48" s="16" t="n"/>
      <c r="AM48" s="16" t="n"/>
      <c r="AN48" s="16" t="n"/>
      <c r="AO48" s="16" t="n"/>
      <c r="AP48" s="16" t="n"/>
      <c r="AQ48" s="16" t="n"/>
      <c r="AR48" s="16" t="n"/>
      <c r="AS48" s="16" t="n"/>
      <c r="AT48" s="17" t="n"/>
      <c r="AU48" s="125" t="n"/>
      <c r="AV48" s="125" t="n"/>
      <c r="AW48" s="134" t="n"/>
      <c r="AX48" s="134" t="n"/>
      <c r="AY48" s="89" t="n"/>
      <c r="AZ48" s="89" t="n"/>
      <c r="BA48" s="89">
        <f>IF($AX48="","",IFERROR(IF(ROUND(VLOOKUP($AX48,DADOS!$CL$5:$CM$10,2,FALSE)*IF($AY48="",1,VLOOKUP($AY48,DADOS!$CO$5:$CP$7,2,FALSE))*IF($AZ48="",1,VLOOKUP($AZ48,DADOS!$CR$5:$CS$15,2,FALSE)),4)&gt;0,MAX(1,FLOOR(ROUND(VLOOKUP($AX48,DADOS!$CL$5:$CM$10,2,FALSE)*IF($AY48="",1,VLOOKUP($AY48,DADOS!$CO$5:$CP$7,2,FALSE))*IF($AZ48="",1,VLOOKUP($AZ48,DADOS!$CR$5:$CS$15,2,FALSE)),4),1)),0),""))</f>
        <v/>
      </c>
      <c r="BB48" s="125" t="n"/>
      <c r="BC48" s="134" t="n"/>
      <c r="BD48" s="134" t="n"/>
      <c r="BE48" s="89" t="n"/>
      <c r="BF48" s="89" t="n"/>
      <c r="BG48" s="89">
        <f>IF($BD48="","",IFERROR(IF(ROUND(VLOOKUP($BD48,DADOS!$CL$5:$CM$10,2,FALSE)*IF($BE48="",1,VLOOKUP($BE48,DADOS!$CO$5:$CP$7,2,FALSE))*IF($BF48="",1,VLOOKUP($BF48,DADOS!$CR$5:$CS$15,2,FALSE)),4)&gt;0,MAX(1,FLOOR(ROUND(VLOOKUP($BD48,DADOS!$CL$5:$CM$10,2,FALSE)*IF($BE48="",1,VLOOKUP($BE48,DADOS!$CO$5:$CP$7,2,FALSE))*IF($BF48="",1,VLOOKUP($BF48,DADOS!$CR$5:$CS$15,2,FALSE)),4),1)),0),""))</f>
        <v/>
      </c>
      <c r="BH48" s="125" t="n"/>
      <c r="BI48" s="134" t="n"/>
      <c r="BJ48" s="134" t="n"/>
      <c r="BK48" s="89" t="n"/>
      <c r="BL48" s="89" t="n"/>
      <c r="BM48" s="89">
        <f>IF($BJ48="","",IFERROR(IF(ROUND(VLOOKUP($BJ48,DADOS!$CL$5:$CM$10,2,FALSE)*IF($BK48="",1,VLOOKUP($BK48,DADOS!$CO$5:$CP$7,2,FALSE))*IF($BL48="",1,VLOOKUP($BL48,DADOS!$CR$5:$CS$15,2,FALSE)),4)&gt;0,MAX(1,FLOOR(ROUND(VLOOKUP($BJ48,DADOS!$CL$5:$CM$10,2,FALSE)*IF($BK48="",1,VLOOKUP($BK48,DADOS!$CO$5:$CP$7,2,FALSE))*IF($BL48="",1,VLOOKUP($BL48,DADOS!$CR$5:$CS$15,2,FALSE)),4),1)),0),""))</f>
        <v/>
      </c>
      <c r="BN48" s="125" t="n"/>
      <c r="BO48" s="134" t="n"/>
      <c r="BP48" s="134" t="n"/>
      <c r="BQ48" s="89" t="n"/>
      <c r="BR48" s="89" t="n"/>
      <c r="BS48" s="89">
        <f>IF($BP48="","",IFERROR(IF(ROUND(VLOOKUP($BP48,DADOS!$CL$5:$CM$10,2,FALSE)*IF($BQ48="",1,VLOOKUP($BQ48,DADOS!$CO$5:$CP$7,2,FALSE))*IF($BR48="",1,VLOOKUP($BR48,DADOS!$CR$5:$CS$15,2,FALSE)),4)&gt;0,MAX(1,FLOOR(ROUND(VLOOKUP($BP48,DADOS!$CL$5:$CM$10,2,FALSE)*IF($BQ48="",1,VLOOKUP($BQ48,DADOS!$CO$5:$CP$7,2,FALSE))*IF($BR48="",1,VLOOKUP($BR48,DADOS!$CR$5:$CS$15,2,FALSE)),4),1)),0),""))</f>
        <v/>
      </c>
      <c r="BT48" s="125" t="n"/>
    </row>
    <row r="49">
      <c r="B49" s="22" t="n"/>
      <c r="C49" s="125" t="n"/>
      <c r="D49" s="84" t="inlineStr">
        <is>
          <t>Soco</t>
        </is>
      </c>
      <c r="E49" s="19" t="n"/>
      <c r="F49" s="19" t="n"/>
      <c r="G49" s="19" t="n"/>
      <c r="H49" s="19" t="n"/>
      <c r="I49" s="19" t="n"/>
      <c r="J49" s="19" t="n"/>
      <c r="K49" s="19" t="n"/>
      <c r="L49" s="19" t="n"/>
      <c r="M49" s="19" t="n"/>
      <c r="N49" s="19" t="n"/>
      <c r="O49" s="19" t="n"/>
      <c r="P49" s="19" t="n"/>
      <c r="Q49" s="20" t="n"/>
      <c r="R49" s="125" t="n"/>
      <c r="S49" s="84" t="inlineStr">
        <is>
          <t>—</t>
        </is>
      </c>
      <c r="T49" s="19" t="n"/>
      <c r="U49" s="19" t="n"/>
      <c r="V49" s="19" t="n"/>
      <c r="W49" s="19" t="n"/>
      <c r="X49" s="19" t="n"/>
      <c r="Y49" s="19" t="n"/>
      <c r="Z49" s="19" t="n"/>
      <c r="AA49" s="19" t="n"/>
      <c r="AB49" s="19" t="n"/>
      <c r="AC49" s="19" t="n"/>
      <c r="AD49" s="19" t="n"/>
      <c r="AE49" s="19" t="n"/>
      <c r="AF49" s="20" t="n"/>
      <c r="AG49" s="125" t="n"/>
      <c r="AH49" s="84" t="inlineStr">
        <is>
          <t>Traje 1</t>
        </is>
      </c>
      <c r="AI49" s="19" t="n"/>
      <c r="AJ49" s="19" t="n"/>
      <c r="AK49" s="19" t="n"/>
      <c r="AL49" s="19" t="n"/>
      <c r="AM49" s="19" t="n"/>
      <c r="AN49" s="19" t="n"/>
      <c r="AO49" s="19" t="n"/>
      <c r="AP49" s="19" t="n"/>
      <c r="AQ49" s="19" t="n"/>
      <c r="AR49" s="19" t="n"/>
      <c r="AS49" s="19" t="n"/>
      <c r="AT49" s="20" t="n"/>
      <c r="AU49" s="125" t="n"/>
      <c r="AV49" s="125" t="n"/>
      <c r="AW49" s="134" t="n"/>
      <c r="AX49" s="134" t="n"/>
      <c r="AY49" s="89" t="n"/>
      <c r="AZ49" s="89" t="n"/>
      <c r="BA49" s="89">
        <f>IF($AX49="","",IFERROR(IF(ROUND(VLOOKUP($AX49,DADOS!$CL$5:$CM$10,2,FALSE)*IF($AY49="",1,VLOOKUP($AY49,DADOS!$CO$5:$CP$7,2,FALSE))*IF($AZ49="",1,VLOOKUP($AZ49,DADOS!$CR$5:$CS$15,2,FALSE)),4)&gt;0,MAX(1,FLOOR(ROUND(VLOOKUP($AX49,DADOS!$CL$5:$CM$10,2,FALSE)*IF($AY49="",1,VLOOKUP($AY49,DADOS!$CO$5:$CP$7,2,FALSE))*IF($AZ49="",1,VLOOKUP($AZ49,DADOS!$CR$5:$CS$15,2,FALSE)),4),1)),0),""))</f>
        <v/>
      </c>
      <c r="BB49" s="125" t="n"/>
      <c r="BC49" s="134" t="n"/>
      <c r="BD49" s="134" t="n"/>
      <c r="BE49" s="89" t="n"/>
      <c r="BF49" s="89" t="n"/>
      <c r="BG49" s="89">
        <f>IF($BD49="","",IFERROR(IF(ROUND(VLOOKUP($BD49,DADOS!$CL$5:$CM$10,2,FALSE)*IF($BE49="",1,VLOOKUP($BE49,DADOS!$CO$5:$CP$7,2,FALSE))*IF($BF49="",1,VLOOKUP($BF49,DADOS!$CR$5:$CS$15,2,FALSE)),4)&gt;0,MAX(1,FLOOR(ROUND(VLOOKUP($BD49,DADOS!$CL$5:$CM$10,2,FALSE)*IF($BE49="",1,VLOOKUP($BE49,DADOS!$CO$5:$CP$7,2,FALSE))*IF($BF49="",1,VLOOKUP($BF49,DADOS!$CR$5:$CS$15,2,FALSE)),4),1)),0),""))</f>
        <v/>
      </c>
      <c r="BH49" s="125" t="n"/>
      <c r="BI49" s="134" t="n"/>
      <c r="BJ49" s="134" t="n"/>
      <c r="BK49" s="89" t="n"/>
      <c r="BL49" s="89" t="n"/>
      <c r="BM49" s="89">
        <f>IF($BJ49="","",IFERROR(IF(ROUND(VLOOKUP($BJ49,DADOS!$CL$5:$CM$10,2,FALSE)*IF($BK49="",1,VLOOKUP($BK49,DADOS!$CO$5:$CP$7,2,FALSE))*IF($BL49="",1,VLOOKUP($BL49,DADOS!$CR$5:$CS$15,2,FALSE)),4)&gt;0,MAX(1,FLOOR(ROUND(VLOOKUP($BJ49,DADOS!$CL$5:$CM$10,2,FALSE)*IF($BK49="",1,VLOOKUP($BK49,DADOS!$CO$5:$CP$7,2,FALSE))*IF($BL49="",1,VLOOKUP($BL49,DADOS!$CR$5:$CS$15,2,FALSE)),4),1)),0),""))</f>
        <v/>
      </c>
      <c r="BN49" s="125" t="n"/>
      <c r="BO49" s="134" t="n"/>
      <c r="BP49" s="134" t="n"/>
      <c r="BQ49" s="89" t="n"/>
      <c r="BR49" s="89" t="n"/>
      <c r="BS49" s="89">
        <f>IF($BP49="","",IFERROR(IF(ROUND(VLOOKUP($BP49,DADOS!$CL$5:$CM$10,2,FALSE)*IF($BQ49="",1,VLOOKUP($BQ49,DADOS!$CO$5:$CP$7,2,FALSE))*IF($BR49="",1,VLOOKUP($BR49,DADOS!$CR$5:$CS$15,2,FALSE)),4)&gt;0,MAX(1,FLOOR(ROUND(VLOOKUP($BP49,DADOS!$CL$5:$CM$10,2,FALSE)*IF($BQ49="",1,VLOOKUP($BQ49,DADOS!$CO$5:$CP$7,2,FALSE))*IF($BR49="",1,VLOOKUP($BR49,DADOS!$CR$5:$CS$15,2,FALSE)),4),1)),0),""))</f>
        <v/>
      </c>
      <c r="BT49" s="125" t="n"/>
    </row>
    <row r="50">
      <c r="B50" s="22" t="n"/>
      <c r="C50" s="125" t="n"/>
      <c r="D50" s="23" t="n"/>
      <c r="E50" s="24" t="n"/>
      <c r="F50" s="24" t="n"/>
      <c r="G50" s="24" t="n"/>
      <c r="H50" s="24" t="n"/>
      <c r="I50" s="24" t="n"/>
      <c r="J50" s="24" t="n"/>
      <c r="K50" s="24" t="n"/>
      <c r="L50" s="24" t="n"/>
      <c r="M50" s="24" t="n"/>
      <c r="N50" s="24" t="n"/>
      <c r="O50" s="24" t="n"/>
      <c r="P50" s="24" t="n"/>
      <c r="Q50" s="25" t="n"/>
      <c r="R50" s="125" t="n"/>
      <c r="S50" s="23" t="n"/>
      <c r="T50" s="24" t="n"/>
      <c r="U50" s="24" t="n"/>
      <c r="V50" s="24" t="n"/>
      <c r="W50" s="24" t="n"/>
      <c r="X50" s="24" t="n"/>
      <c r="Y50" s="24" t="n"/>
      <c r="Z50" s="24" t="n"/>
      <c r="AA50" s="24" t="n"/>
      <c r="AB50" s="24" t="n"/>
      <c r="AC50" s="24" t="n"/>
      <c r="AD50" s="24" t="n"/>
      <c r="AE50" s="24" t="n"/>
      <c r="AF50" s="25" t="n"/>
      <c r="AG50" s="125" t="n"/>
      <c r="AH50" s="23" t="n"/>
      <c r="AI50" s="24" t="n"/>
      <c r="AJ50" s="24" t="n"/>
      <c r="AK50" s="24" t="n"/>
      <c r="AL50" s="24" t="n"/>
      <c r="AM50" s="24" t="n"/>
      <c r="AN50" s="24" t="n"/>
      <c r="AO50" s="24" t="n"/>
      <c r="AP50" s="24" t="n"/>
      <c r="AQ50" s="24" t="n"/>
      <c r="AR50" s="24" t="n"/>
      <c r="AS50" s="24" t="n"/>
      <c r="AT50" s="25" t="n"/>
      <c r="AU50" s="125" t="n"/>
      <c r="AV50" s="125" t="n"/>
      <c r="AW50" s="134" t="n"/>
      <c r="AX50" s="134" t="n"/>
      <c r="AY50" s="89" t="n"/>
      <c r="AZ50" s="89" t="n"/>
      <c r="BA50" s="89">
        <f>IF($AX50="","",IFERROR(IF(ROUND(VLOOKUP($AX50,DADOS!$CL$5:$CM$10,2,FALSE)*IF($AY50="",1,VLOOKUP($AY50,DADOS!$CO$5:$CP$7,2,FALSE))*IF($AZ50="",1,VLOOKUP($AZ50,DADOS!$CR$5:$CS$15,2,FALSE)),4)&gt;0,MAX(1,FLOOR(ROUND(VLOOKUP($AX50,DADOS!$CL$5:$CM$10,2,FALSE)*IF($AY50="",1,VLOOKUP($AY50,DADOS!$CO$5:$CP$7,2,FALSE))*IF($AZ50="",1,VLOOKUP($AZ50,DADOS!$CR$5:$CS$15,2,FALSE)),4),1)),0),""))</f>
        <v/>
      </c>
      <c r="BB50" s="125" t="n"/>
      <c r="BC50" s="134" t="n"/>
      <c r="BD50" s="134" t="n"/>
      <c r="BE50" s="89" t="n"/>
      <c r="BF50" s="89" t="n"/>
      <c r="BG50" s="89">
        <f>IF($BD50="","",IFERROR(IF(ROUND(VLOOKUP($BD50,DADOS!$CL$5:$CM$10,2,FALSE)*IF($BE50="",1,VLOOKUP($BE50,DADOS!$CO$5:$CP$7,2,FALSE))*IF($BF50="",1,VLOOKUP($BF50,DADOS!$CR$5:$CS$15,2,FALSE)),4)&gt;0,MAX(1,FLOOR(ROUND(VLOOKUP($BD50,DADOS!$CL$5:$CM$10,2,FALSE)*IF($BE50="",1,VLOOKUP($BE50,DADOS!$CO$5:$CP$7,2,FALSE))*IF($BF50="",1,VLOOKUP($BF50,DADOS!$CR$5:$CS$15,2,FALSE)),4),1)),0),""))</f>
        <v/>
      </c>
      <c r="BH50" s="125" t="n"/>
      <c r="BI50" s="134" t="n"/>
      <c r="BJ50" s="134" t="n"/>
      <c r="BK50" s="89" t="n"/>
      <c r="BL50" s="89" t="n"/>
      <c r="BM50" s="89">
        <f>IF($BJ50="","",IFERROR(IF(ROUND(VLOOKUP($BJ50,DADOS!$CL$5:$CM$10,2,FALSE)*IF($BK50="",1,VLOOKUP($BK50,DADOS!$CO$5:$CP$7,2,FALSE))*IF($BL50="",1,VLOOKUP($BL50,DADOS!$CR$5:$CS$15,2,FALSE)),4)&gt;0,MAX(1,FLOOR(ROUND(VLOOKUP($BJ50,DADOS!$CL$5:$CM$10,2,FALSE)*IF($BK50="",1,VLOOKUP($BK50,DADOS!$CO$5:$CP$7,2,FALSE))*IF($BL50="",1,VLOOKUP($BL50,DADOS!$CR$5:$CS$15,2,FALSE)),4),1)),0),""))</f>
        <v/>
      </c>
      <c r="BN50" s="125" t="n"/>
      <c r="BO50" s="134" t="n"/>
      <c r="BP50" s="134" t="n"/>
      <c r="BQ50" s="89" t="n"/>
      <c r="BR50" s="89" t="n"/>
      <c r="BS50" s="89">
        <f>IF($BP50="","",IFERROR(IF(ROUND(VLOOKUP($BP50,DADOS!$CL$5:$CM$10,2,FALSE)*IF($BQ50="",1,VLOOKUP($BQ50,DADOS!$CO$5:$CP$7,2,FALSE))*IF($BR50="",1,VLOOKUP($BR50,DADOS!$CR$5:$CS$15,2,FALSE)),4)&gt;0,MAX(1,FLOOR(ROUND(VLOOKUP($BP50,DADOS!$CL$5:$CM$10,2,FALSE)*IF($BQ50="",1,VLOOKUP($BQ50,DADOS!$CO$5:$CP$7,2,FALSE))*IF($BR50="",1,VLOOKUP($BR50,DADOS!$CR$5:$CS$15,2,FALSE)),4),1)),0),""))</f>
        <v/>
      </c>
      <c r="BT50" s="125" t="n"/>
    </row>
    <row r="51">
      <c r="B51" s="22" t="n"/>
      <c r="C51" s="125" t="n"/>
      <c r="D51" s="133">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5" t="n"/>
      <c r="S51" s="133">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5" t="n"/>
      <c r="AH51" s="133">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5" t="n"/>
      <c r="AV51" s="125" t="n"/>
      <c r="AW51" s="134" t="n"/>
      <c r="AX51" s="134" t="n"/>
      <c r="AY51" s="89" t="n"/>
      <c r="AZ51" s="89" t="n"/>
      <c r="BA51" s="89">
        <f>IF($AX51="","",IFERROR(IF(ROUND(VLOOKUP($AX51,DADOS!$CL$5:$CM$10,2,FALSE)*IF($AY51="",1,VLOOKUP($AY51,DADOS!$CO$5:$CP$7,2,FALSE))*IF($AZ51="",1,VLOOKUP($AZ51,DADOS!$CR$5:$CS$15,2,FALSE)),4)&gt;0,MAX(1,FLOOR(ROUND(VLOOKUP($AX51,DADOS!$CL$5:$CM$10,2,FALSE)*IF($AY51="",1,VLOOKUP($AY51,DADOS!$CO$5:$CP$7,2,FALSE))*IF($AZ51="",1,VLOOKUP($AZ51,DADOS!$CR$5:$CS$15,2,FALSE)),4),1)),0),""))</f>
        <v/>
      </c>
      <c r="BB51" s="125" t="n"/>
      <c r="BC51" s="134" t="n"/>
      <c r="BD51" s="134" t="n"/>
      <c r="BE51" s="89" t="n"/>
      <c r="BF51" s="89" t="n"/>
      <c r="BG51" s="89">
        <f>IF($BD51="","",IFERROR(IF(ROUND(VLOOKUP($BD51,DADOS!$CL$5:$CM$10,2,FALSE)*IF($BE51="",1,VLOOKUP($BE51,DADOS!$CO$5:$CP$7,2,FALSE))*IF($BF51="",1,VLOOKUP($BF51,DADOS!$CR$5:$CS$15,2,FALSE)),4)&gt;0,MAX(1,FLOOR(ROUND(VLOOKUP($BD51,DADOS!$CL$5:$CM$10,2,FALSE)*IF($BE51="",1,VLOOKUP($BE51,DADOS!$CO$5:$CP$7,2,FALSE))*IF($BF51="",1,VLOOKUP($BF51,DADOS!$CR$5:$CS$15,2,FALSE)),4),1)),0),""))</f>
        <v/>
      </c>
      <c r="BH51" s="125" t="n"/>
      <c r="BI51" s="134" t="n"/>
      <c r="BJ51" s="134" t="n"/>
      <c r="BK51" s="89" t="n"/>
      <c r="BL51" s="89" t="n"/>
      <c r="BM51" s="89">
        <f>IF($BJ51="","",IFERROR(IF(ROUND(VLOOKUP($BJ51,DADOS!$CL$5:$CM$10,2,FALSE)*IF($BK51="",1,VLOOKUP($BK51,DADOS!$CO$5:$CP$7,2,FALSE))*IF($BL51="",1,VLOOKUP($BL51,DADOS!$CR$5:$CS$15,2,FALSE)),4)&gt;0,MAX(1,FLOOR(ROUND(VLOOKUP($BJ51,DADOS!$CL$5:$CM$10,2,FALSE)*IF($BK51="",1,VLOOKUP($BK51,DADOS!$CO$5:$CP$7,2,FALSE))*IF($BL51="",1,VLOOKUP($BL51,DADOS!$CR$5:$CS$15,2,FALSE)),4),1)),0),""))</f>
        <v/>
      </c>
      <c r="BN51" s="125" t="n"/>
      <c r="BO51" s="134" t="n"/>
      <c r="BP51" s="134" t="n"/>
      <c r="BQ51" s="89" t="n"/>
      <c r="BR51" s="89" t="n"/>
      <c r="BS51" s="89">
        <f>IF($BP51="","",IFERROR(IF(ROUND(VLOOKUP($BP51,DADOS!$CL$5:$CM$10,2,FALSE)*IF($BQ51="",1,VLOOKUP($BQ51,DADOS!$CO$5:$CP$7,2,FALSE))*IF($BR51="",1,VLOOKUP($BR51,DADOS!$CR$5:$CS$15,2,FALSE)),4)&gt;0,MAX(1,FLOOR(ROUND(VLOOKUP($BP51,DADOS!$CL$5:$CM$10,2,FALSE)*IF($BQ51="",1,VLOOKUP($BQ51,DADOS!$CO$5:$CP$7,2,FALSE))*IF($BR51="",1,VLOOKUP($BR51,DADOS!$CR$5:$CS$15,2,FALSE)),4),1)),0),""))</f>
        <v/>
      </c>
      <c r="BT51" s="125" t="n"/>
    </row>
    <row r="52">
      <c r="B52" s="22" t="n"/>
      <c r="C52" s="125"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5"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5"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5" t="n"/>
      <c r="AV52" s="125" t="n"/>
      <c r="AW52" s="134" t="n"/>
      <c r="AX52" s="134" t="n"/>
      <c r="AY52" s="89" t="n"/>
      <c r="AZ52" s="89" t="n"/>
      <c r="BA52" s="89">
        <f>IF($AX52="","",IFERROR(IF(ROUND(VLOOKUP($AX52,DADOS!$CL$5:$CM$10,2,FALSE)*IF($AY52="",1,VLOOKUP($AY52,DADOS!$CO$5:$CP$7,2,FALSE))*IF($AZ52="",1,VLOOKUP($AZ52,DADOS!$CR$5:$CS$15,2,FALSE)),4)&gt;0,MAX(1,FLOOR(ROUND(VLOOKUP($AX52,DADOS!$CL$5:$CM$10,2,FALSE)*IF($AY52="",1,VLOOKUP($AY52,DADOS!$CO$5:$CP$7,2,FALSE))*IF($AZ52="",1,VLOOKUP($AZ52,DADOS!$CR$5:$CS$15,2,FALSE)),4),1)),0),""))</f>
        <v/>
      </c>
      <c r="BB52" s="125" t="n"/>
      <c r="BC52" s="134" t="n"/>
      <c r="BD52" s="134" t="n"/>
      <c r="BE52" s="89" t="n"/>
      <c r="BF52" s="89" t="n"/>
      <c r="BG52" s="89">
        <f>IF($BD52="","",IFERROR(IF(ROUND(VLOOKUP($BD52,DADOS!$CL$5:$CM$10,2,FALSE)*IF($BE52="",1,VLOOKUP($BE52,DADOS!$CO$5:$CP$7,2,FALSE))*IF($BF52="",1,VLOOKUP($BF52,DADOS!$CR$5:$CS$15,2,FALSE)),4)&gt;0,MAX(1,FLOOR(ROUND(VLOOKUP($BD52,DADOS!$CL$5:$CM$10,2,FALSE)*IF($BE52="",1,VLOOKUP($BE52,DADOS!$CO$5:$CP$7,2,FALSE))*IF($BF52="",1,VLOOKUP($BF52,DADOS!$CR$5:$CS$15,2,FALSE)),4),1)),0),""))</f>
        <v/>
      </c>
      <c r="BH52" s="125" t="n"/>
      <c r="BI52" s="134" t="n"/>
      <c r="BJ52" s="134" t="n"/>
      <c r="BK52" s="89" t="n"/>
      <c r="BL52" s="89" t="n"/>
      <c r="BM52" s="89">
        <f>IF($BJ52="","",IFERROR(IF(ROUND(VLOOKUP($BJ52,DADOS!$CL$5:$CM$10,2,FALSE)*IF($BK52="",1,VLOOKUP($BK52,DADOS!$CO$5:$CP$7,2,FALSE))*IF($BL52="",1,VLOOKUP($BL52,DADOS!$CR$5:$CS$15,2,FALSE)),4)&gt;0,MAX(1,FLOOR(ROUND(VLOOKUP($BJ52,DADOS!$CL$5:$CM$10,2,FALSE)*IF($BK52="",1,VLOOKUP($BK52,DADOS!$CO$5:$CP$7,2,FALSE))*IF($BL52="",1,VLOOKUP($BL52,DADOS!$CR$5:$CS$15,2,FALSE)),4),1)),0),""))</f>
        <v/>
      </c>
      <c r="BN52" s="125" t="n"/>
      <c r="BO52" s="134" t="n"/>
      <c r="BP52" s="134" t="n"/>
      <c r="BQ52" s="89" t="n"/>
      <c r="BR52" s="89" t="n"/>
      <c r="BS52" s="89">
        <f>IF($BP52="","",IFERROR(IF(ROUND(VLOOKUP($BP52,DADOS!$CL$5:$CM$10,2,FALSE)*IF($BQ52="",1,VLOOKUP($BQ52,DADOS!$CO$5:$CP$7,2,FALSE))*IF($BR52="",1,VLOOKUP($BR52,DADOS!$CR$5:$CS$15,2,FALSE)),4)&gt;0,MAX(1,FLOOR(ROUND(VLOOKUP($BP52,DADOS!$CL$5:$CM$10,2,FALSE)*IF($BQ52="",1,VLOOKUP($BQ52,DADOS!$CO$5:$CP$7,2,FALSE))*IF($BR52="",1,VLOOKUP($BR52,DADOS!$CR$5:$CS$15,2,FALSE)),4),1)),0),""))</f>
        <v/>
      </c>
      <c r="BT52" s="125" t="n"/>
    </row>
    <row r="53">
      <c r="B53" s="22" t="n"/>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34" t="n"/>
      <c r="AX53" s="134" t="n"/>
      <c r="AY53" s="89" t="n"/>
      <c r="AZ53" s="89" t="n"/>
      <c r="BA53" s="89">
        <f>IF($AX53="","",IFERROR(IF(ROUND(VLOOKUP($AX53,DADOS!$CL$5:$CM$10,2,FALSE)*IF($AY53="",1,VLOOKUP($AY53,DADOS!$CO$5:$CP$7,2,FALSE))*IF($AZ53="",1,VLOOKUP($AZ53,DADOS!$CR$5:$CS$15,2,FALSE)),4)&gt;0,MAX(1,FLOOR(ROUND(VLOOKUP($AX53,DADOS!$CL$5:$CM$10,2,FALSE)*IF($AY53="",1,VLOOKUP($AY53,DADOS!$CO$5:$CP$7,2,FALSE))*IF($AZ53="",1,VLOOKUP($AZ53,DADOS!$CR$5:$CS$15,2,FALSE)),4),1)),0),""))</f>
        <v/>
      </c>
      <c r="BB53" s="125" t="n"/>
      <c r="BC53" s="134" t="n"/>
      <c r="BD53" s="134" t="n"/>
      <c r="BE53" s="89" t="n"/>
      <c r="BF53" s="89" t="n"/>
      <c r="BG53" s="89">
        <f>IF($BD53="","",IFERROR(IF(ROUND(VLOOKUP($BD53,DADOS!$CL$5:$CM$10,2,FALSE)*IF($BE53="",1,VLOOKUP($BE53,DADOS!$CO$5:$CP$7,2,FALSE))*IF($BF53="",1,VLOOKUP($BF53,DADOS!$CR$5:$CS$15,2,FALSE)),4)&gt;0,MAX(1,FLOOR(ROUND(VLOOKUP($BD53,DADOS!$CL$5:$CM$10,2,FALSE)*IF($BE53="",1,VLOOKUP($BE53,DADOS!$CO$5:$CP$7,2,FALSE))*IF($BF53="",1,VLOOKUP($BF53,DADOS!$CR$5:$CS$15,2,FALSE)),4),1)),0),""))</f>
        <v/>
      </c>
      <c r="BH53" s="125" t="n"/>
      <c r="BI53" s="134" t="n"/>
      <c r="BJ53" s="134" t="n"/>
      <c r="BK53" s="89" t="n"/>
      <c r="BL53" s="89" t="n"/>
      <c r="BM53" s="89">
        <f>IF($BJ53="","",IFERROR(IF(ROUND(VLOOKUP($BJ53,DADOS!$CL$5:$CM$10,2,FALSE)*IF($BK53="",1,VLOOKUP($BK53,DADOS!$CO$5:$CP$7,2,FALSE))*IF($BL53="",1,VLOOKUP($BL53,DADOS!$CR$5:$CS$15,2,FALSE)),4)&gt;0,MAX(1,FLOOR(ROUND(VLOOKUP($BJ53,DADOS!$CL$5:$CM$10,2,FALSE)*IF($BK53="",1,VLOOKUP($BK53,DADOS!$CO$5:$CP$7,2,FALSE))*IF($BL53="",1,VLOOKUP($BL53,DADOS!$CR$5:$CS$15,2,FALSE)),4),1)),0),""))</f>
        <v/>
      </c>
      <c r="BN53" s="125" t="n"/>
      <c r="BO53" s="134" t="n"/>
      <c r="BP53" s="134" t="n"/>
      <c r="BQ53" s="89" t="n"/>
      <c r="BR53" s="89" t="n"/>
      <c r="BS53" s="89">
        <f>IF($BP53="","",IFERROR(IF(ROUND(VLOOKUP($BP53,DADOS!$CL$5:$CM$10,2,FALSE)*IF($BQ53="",1,VLOOKUP($BQ53,DADOS!$CO$5:$CP$7,2,FALSE))*IF($BR53="",1,VLOOKUP($BR53,DADOS!$CR$5:$CS$15,2,FALSE)),4)&gt;0,MAX(1,FLOOR(ROUND(VLOOKUP($BP53,DADOS!$CL$5:$CM$10,2,FALSE)*IF($BQ53="",1,VLOOKUP($BQ53,DADOS!$CO$5:$CP$7,2,FALSE))*IF($BR53="",1,VLOOKUP($BR53,DADOS!$CR$5:$CS$15,2,FALSE)),4),1)),0),""))</f>
        <v/>
      </c>
      <c r="BT53" s="125" t="n"/>
    </row>
    <row r="54">
      <c r="B54" s="22" t="n"/>
      <c r="C54" s="125" t="n"/>
      <c r="D54" s="128"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5" t="n"/>
      <c r="AV54" s="125" t="n"/>
      <c r="AW54" s="134" t="n"/>
      <c r="AX54" s="134" t="n"/>
      <c r="AY54" s="89" t="n"/>
      <c r="AZ54" s="89" t="n"/>
      <c r="BA54" s="89">
        <f>IF($AX54="","",IFERROR(IF(ROUND(VLOOKUP($AX54,DADOS!$CL$5:$CM$10,2,FALSE)*IF($AY54="",1,VLOOKUP($AY54,DADOS!$CO$5:$CP$7,2,FALSE))*IF($AZ54="",1,VLOOKUP($AZ54,DADOS!$CR$5:$CS$15,2,FALSE)),4)&gt;0,MAX(1,FLOOR(ROUND(VLOOKUP($AX54,DADOS!$CL$5:$CM$10,2,FALSE)*IF($AY54="",1,VLOOKUP($AY54,DADOS!$CO$5:$CP$7,2,FALSE))*IF($AZ54="",1,VLOOKUP($AZ54,DADOS!$CR$5:$CS$15,2,FALSE)),4),1)),0),""))</f>
        <v/>
      </c>
      <c r="BB54" s="125" t="n"/>
      <c r="BC54" s="134" t="n"/>
      <c r="BD54" s="134" t="n"/>
      <c r="BE54" s="89" t="n"/>
      <c r="BF54" s="89" t="n"/>
      <c r="BG54" s="89">
        <f>IF($BD54="","",IFERROR(IF(ROUND(VLOOKUP($BD54,DADOS!$CL$5:$CM$10,2,FALSE)*IF($BE54="",1,VLOOKUP($BE54,DADOS!$CO$5:$CP$7,2,FALSE))*IF($BF54="",1,VLOOKUP($BF54,DADOS!$CR$5:$CS$15,2,FALSE)),4)&gt;0,MAX(1,FLOOR(ROUND(VLOOKUP($BD54,DADOS!$CL$5:$CM$10,2,FALSE)*IF($BE54="",1,VLOOKUP($BE54,DADOS!$CO$5:$CP$7,2,FALSE))*IF($BF54="",1,VLOOKUP($BF54,DADOS!$CR$5:$CS$15,2,FALSE)),4),1)),0),""))</f>
        <v/>
      </c>
      <c r="BH54" s="125" t="n"/>
      <c r="BI54" s="134" t="n"/>
      <c r="BJ54" s="134" t="n"/>
      <c r="BK54" s="89" t="n"/>
      <c r="BL54" s="89" t="n"/>
      <c r="BM54" s="89">
        <f>IF($BJ54="","",IFERROR(IF(ROUND(VLOOKUP($BJ54,DADOS!$CL$5:$CM$10,2,FALSE)*IF($BK54="",1,VLOOKUP($BK54,DADOS!$CO$5:$CP$7,2,FALSE))*IF($BL54="",1,VLOOKUP($BL54,DADOS!$CR$5:$CS$15,2,FALSE)),4)&gt;0,MAX(1,FLOOR(ROUND(VLOOKUP($BJ54,DADOS!$CL$5:$CM$10,2,FALSE)*IF($BK54="",1,VLOOKUP($BK54,DADOS!$CO$5:$CP$7,2,FALSE))*IF($BL54="",1,VLOOKUP($BL54,DADOS!$CR$5:$CS$15,2,FALSE)),4),1)),0),""))</f>
        <v/>
      </c>
      <c r="BN54" s="125" t="n"/>
      <c r="BO54" s="134" t="n"/>
      <c r="BP54" s="134" t="n"/>
      <c r="BQ54" s="89" t="n"/>
      <c r="BR54" s="89" t="n"/>
      <c r="BS54" s="89">
        <f>IF($BP54="","",IFERROR(IF(ROUND(VLOOKUP($BP54,DADOS!$CL$5:$CM$10,2,FALSE)*IF($BQ54="",1,VLOOKUP($BQ54,DADOS!$CO$5:$CP$7,2,FALSE))*IF($BR54="",1,VLOOKUP($BR54,DADOS!$CR$5:$CS$15,2,FALSE)),4)&gt;0,MAX(1,FLOOR(ROUND(VLOOKUP($BP54,DADOS!$CL$5:$CM$10,2,FALSE)*IF($BQ54="",1,VLOOKUP($BQ54,DADOS!$CO$5:$CP$7,2,FALSE))*IF($BR54="",1,VLOOKUP($BR54,DADOS!$CR$5:$CS$15,2,FALSE)),4),1)),0),""))</f>
        <v/>
      </c>
      <c r="BT54" s="125" t="n"/>
    </row>
    <row r="55">
      <c r="B55" s="22" t="n"/>
      <c r="C55" s="125"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5" t="n"/>
      <c r="AV55" s="125" t="n"/>
      <c r="AW55" s="134" t="n"/>
      <c r="AX55" s="134" t="n"/>
      <c r="AY55" s="89" t="n"/>
      <c r="AZ55" s="89" t="n"/>
      <c r="BA55" s="89">
        <f>IF($AX55="","",IFERROR(IF(ROUND(VLOOKUP($AX55,DADOS!$CL$5:$CM$10,2,FALSE)*IF($AY55="",1,VLOOKUP($AY55,DADOS!$CO$5:$CP$7,2,FALSE))*IF($AZ55="",1,VLOOKUP($AZ55,DADOS!$CR$5:$CS$15,2,FALSE)),4)&gt;0,MAX(1,FLOOR(ROUND(VLOOKUP($AX55,DADOS!$CL$5:$CM$10,2,FALSE)*IF($AY55="",1,VLOOKUP($AY55,DADOS!$CO$5:$CP$7,2,FALSE))*IF($AZ55="",1,VLOOKUP($AZ55,DADOS!$CR$5:$CS$15,2,FALSE)),4),1)),0),""))</f>
        <v/>
      </c>
      <c r="BB55" s="125" t="n"/>
      <c r="BC55" s="134" t="n"/>
      <c r="BD55" s="134" t="n"/>
      <c r="BE55" s="89" t="n"/>
      <c r="BF55" s="89" t="n"/>
      <c r="BG55" s="89">
        <f>IF($BD55="","",IFERROR(IF(ROUND(VLOOKUP($BD55,DADOS!$CL$5:$CM$10,2,FALSE)*IF($BE55="",1,VLOOKUP($BE55,DADOS!$CO$5:$CP$7,2,FALSE))*IF($BF55="",1,VLOOKUP($BF55,DADOS!$CR$5:$CS$15,2,FALSE)),4)&gt;0,MAX(1,FLOOR(ROUND(VLOOKUP($BD55,DADOS!$CL$5:$CM$10,2,FALSE)*IF($BE55="",1,VLOOKUP($BE55,DADOS!$CO$5:$CP$7,2,FALSE))*IF($BF55="",1,VLOOKUP($BF55,DADOS!$CR$5:$CS$15,2,FALSE)),4),1)),0),""))</f>
        <v/>
      </c>
      <c r="BH55" s="125" t="n"/>
      <c r="BI55" s="134" t="n"/>
      <c r="BJ55" s="134" t="n"/>
      <c r="BK55" s="89" t="n"/>
      <c r="BL55" s="89" t="n"/>
      <c r="BM55" s="89">
        <f>IF($BJ55="","",IFERROR(IF(ROUND(VLOOKUP($BJ55,DADOS!$CL$5:$CM$10,2,FALSE)*IF($BK55="",1,VLOOKUP($BK55,DADOS!$CO$5:$CP$7,2,FALSE))*IF($BL55="",1,VLOOKUP($BL55,DADOS!$CR$5:$CS$15,2,FALSE)),4)&gt;0,MAX(1,FLOOR(ROUND(VLOOKUP($BJ55,DADOS!$CL$5:$CM$10,2,FALSE)*IF($BK55="",1,VLOOKUP($BK55,DADOS!$CO$5:$CP$7,2,FALSE))*IF($BL55="",1,VLOOKUP($BL55,DADOS!$CR$5:$CS$15,2,FALSE)),4),1)),0),""))</f>
        <v/>
      </c>
      <c r="BN55" s="125" t="n"/>
      <c r="BO55" s="134" t="n"/>
      <c r="BP55" s="134" t="n"/>
      <c r="BQ55" s="89" t="n"/>
      <c r="BR55" s="89" t="n"/>
      <c r="BS55" s="89">
        <f>IF($BP55="","",IFERROR(IF(ROUND(VLOOKUP($BP55,DADOS!$CL$5:$CM$10,2,FALSE)*IF($BQ55="",1,VLOOKUP($BQ55,DADOS!$CO$5:$CP$7,2,FALSE))*IF($BR55="",1,VLOOKUP($BR55,DADOS!$CR$5:$CS$15,2,FALSE)),4)&gt;0,MAX(1,FLOOR(ROUND(VLOOKUP($BP55,DADOS!$CL$5:$CM$10,2,FALSE)*IF($BQ55="",1,VLOOKUP($BQ55,DADOS!$CO$5:$CP$7,2,FALSE))*IF($BR55="",1,VLOOKUP($BR55,DADOS!$CR$5:$CS$15,2,FALSE)),4),1)),0),""))</f>
        <v/>
      </c>
      <c r="BT55" s="125" t="n"/>
    </row>
    <row r="56" outlineLevel="1">
      <c r="B56" s="22" t="n"/>
      <c r="C56" s="125"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5" t="n"/>
      <c r="AV56" s="125" t="n"/>
      <c r="AW56" s="134" t="n"/>
      <c r="AX56" s="134" t="n"/>
      <c r="AY56" s="89" t="n"/>
      <c r="AZ56" s="89" t="n"/>
      <c r="BA56" s="89">
        <f>IF($AX56="","",IFERROR(IF(ROUND(VLOOKUP($AX56,DADOS!$CL$5:$CM$10,2,FALSE)*IF($AY56="",1,VLOOKUP($AY56,DADOS!$CO$5:$CP$7,2,FALSE))*IF($AZ56="",1,VLOOKUP($AZ56,DADOS!$CR$5:$CS$15,2,FALSE)),4)&gt;0,MAX(1,FLOOR(ROUND(VLOOKUP($AX56,DADOS!$CL$5:$CM$10,2,FALSE)*IF($AY56="",1,VLOOKUP($AY56,DADOS!$CO$5:$CP$7,2,FALSE))*IF($AZ56="",1,VLOOKUP($AZ56,DADOS!$CR$5:$CS$15,2,FALSE)),4),1)),0),""))</f>
        <v/>
      </c>
      <c r="BB56" s="125" t="n"/>
      <c r="BC56" s="134" t="n"/>
      <c r="BD56" s="134" t="n"/>
      <c r="BE56" s="89" t="n"/>
      <c r="BF56" s="89" t="n"/>
      <c r="BG56" s="89">
        <f>IF($BD56="","",IFERROR(IF(ROUND(VLOOKUP($BD56,DADOS!$CL$5:$CM$10,2,FALSE)*IF($BE56="",1,VLOOKUP($BE56,DADOS!$CO$5:$CP$7,2,FALSE))*IF($BF56="",1,VLOOKUP($BF56,DADOS!$CR$5:$CS$15,2,FALSE)),4)&gt;0,MAX(1,FLOOR(ROUND(VLOOKUP($BD56,DADOS!$CL$5:$CM$10,2,FALSE)*IF($BE56="",1,VLOOKUP($BE56,DADOS!$CO$5:$CP$7,2,FALSE))*IF($BF56="",1,VLOOKUP($BF56,DADOS!$CR$5:$CS$15,2,FALSE)),4),1)),0),""))</f>
        <v/>
      </c>
      <c r="BH56" s="125" t="n"/>
      <c r="BI56" s="134" t="n"/>
      <c r="BJ56" s="134" t="n"/>
      <c r="BK56" s="89" t="n"/>
      <c r="BL56" s="89" t="n"/>
      <c r="BM56" s="89">
        <f>IF($BJ56="","",IFERROR(IF(ROUND(VLOOKUP($BJ56,DADOS!$CL$5:$CM$10,2,FALSE)*IF($BK56="",1,VLOOKUP($BK56,DADOS!$CO$5:$CP$7,2,FALSE))*IF($BL56="",1,VLOOKUP($BL56,DADOS!$CR$5:$CS$15,2,FALSE)),4)&gt;0,MAX(1,FLOOR(ROUND(VLOOKUP($BJ56,DADOS!$CL$5:$CM$10,2,FALSE)*IF($BK56="",1,VLOOKUP($BK56,DADOS!$CO$5:$CP$7,2,FALSE))*IF($BL56="",1,VLOOKUP($BL56,DADOS!$CR$5:$CS$15,2,FALSE)),4),1)),0),""))</f>
        <v/>
      </c>
      <c r="BN56" s="125" t="n"/>
      <c r="BO56" s="134" t="n"/>
      <c r="BP56" s="134" t="n"/>
      <c r="BQ56" s="89" t="n"/>
      <c r="BR56" s="89" t="n"/>
      <c r="BS56" s="89">
        <f>IF($BP56="","",IFERROR(IF(ROUND(VLOOKUP($BP56,DADOS!$CL$5:$CM$10,2,FALSE)*IF($BQ56="",1,VLOOKUP($BQ56,DADOS!$CO$5:$CP$7,2,FALSE))*IF($BR56="",1,VLOOKUP($BR56,DADOS!$CR$5:$CS$15,2,FALSE)),4)&gt;0,MAX(1,FLOOR(ROUND(VLOOKUP($BP56,DADOS!$CL$5:$CM$10,2,FALSE)*IF($BQ56="",1,VLOOKUP($BQ56,DADOS!$CO$5:$CP$7,2,FALSE))*IF($BR56="",1,VLOOKUP($BR56,DADOS!$CR$5:$CS$15,2,FALSE)),4),1)),0),""))</f>
        <v/>
      </c>
      <c r="BT56" s="125" t="n"/>
    </row>
    <row r="57" outlineLevel="1">
      <c r="B57" s="22" t="n"/>
      <c r="C57" s="125" t="n"/>
      <c r="D57" s="89" t="b">
        <v>0</v>
      </c>
      <c r="E57" s="134" t="inlineStr">
        <is>
          <t>Espada Longa</t>
        </is>
      </c>
      <c r="F57" s="16" t="n"/>
      <c r="G57" s="16" t="n"/>
      <c r="H57" s="16" t="n"/>
      <c r="I57" s="16" t="n"/>
      <c r="J57" s="16" t="n"/>
      <c r="K57" s="16" t="n"/>
      <c r="L57" s="17" t="n"/>
      <c r="M57" s="89" t="b">
        <v>0</v>
      </c>
      <c r="N57" s="134" t="inlineStr">
        <is>
          <t>Espingarda</t>
        </is>
      </c>
      <c r="O57" s="16" t="n"/>
      <c r="P57" s="16" t="n"/>
      <c r="Q57" s="16" t="n"/>
      <c r="R57" s="16" t="n"/>
      <c r="S57" s="16" t="n"/>
      <c r="T57" s="16" t="n"/>
      <c r="U57" s="17" t="n"/>
      <c r="V57" s="89" t="b">
        <v>0</v>
      </c>
      <c r="W57" s="134" t="inlineStr">
        <is>
          <t>Bastão</t>
        </is>
      </c>
      <c r="X57" s="16" t="n"/>
      <c r="Y57" s="16" t="n"/>
      <c r="Z57" s="16" t="n"/>
      <c r="AA57" s="16" t="n"/>
      <c r="AB57" s="16" t="n"/>
      <c r="AC57" s="16" t="n"/>
      <c r="AD57" s="17" t="n"/>
      <c r="AE57" s="89" t="b">
        <v>0</v>
      </c>
      <c r="AF57" s="134" t="inlineStr">
        <is>
          <t>Canivete</t>
        </is>
      </c>
      <c r="AG57" s="16" t="n"/>
      <c r="AH57" s="16" t="n"/>
      <c r="AI57" s="16" t="n"/>
      <c r="AJ57" s="16" t="n"/>
      <c r="AK57" s="16" t="n"/>
      <c r="AL57" s="17" t="n"/>
      <c r="AM57" s="89" t="b">
        <v>0</v>
      </c>
      <c r="AN57" s="134" t="inlineStr">
        <is>
          <t>Kanabō</t>
        </is>
      </c>
      <c r="AO57" s="16" t="n"/>
      <c r="AP57" s="16" t="n"/>
      <c r="AQ57" s="16" t="n"/>
      <c r="AR57" s="16" t="n"/>
      <c r="AS57" s="16" t="n"/>
      <c r="AT57" s="17" t="n"/>
      <c r="AU57" s="125" t="n"/>
      <c r="AV57" s="125" t="n"/>
      <c r="AW57" s="134" t="n"/>
      <c r="AX57" s="134" t="n"/>
      <c r="AY57" s="89" t="n"/>
      <c r="AZ57" s="89" t="n"/>
      <c r="BA57" s="89">
        <f>IF($AX57="","",IFERROR(IF(ROUND(VLOOKUP($AX57,DADOS!$CL$5:$CM$10,2,FALSE)*IF($AY57="",1,VLOOKUP($AY57,DADOS!$CO$5:$CP$7,2,FALSE))*IF($AZ57="",1,VLOOKUP($AZ57,DADOS!$CR$5:$CS$15,2,FALSE)),4)&gt;0,MAX(1,FLOOR(ROUND(VLOOKUP($AX57,DADOS!$CL$5:$CM$10,2,FALSE)*IF($AY57="",1,VLOOKUP($AY57,DADOS!$CO$5:$CP$7,2,FALSE))*IF($AZ57="",1,VLOOKUP($AZ57,DADOS!$CR$5:$CS$15,2,FALSE)),4),1)),0),""))</f>
        <v/>
      </c>
      <c r="BB57" s="125" t="n"/>
      <c r="BC57" s="134" t="n"/>
      <c r="BD57" s="134" t="n"/>
      <c r="BE57" s="89" t="n"/>
      <c r="BF57" s="89" t="n"/>
      <c r="BG57" s="89">
        <f>IF($BD57="","",IFERROR(IF(ROUND(VLOOKUP($BD57,DADOS!$CL$5:$CM$10,2,FALSE)*IF($BE57="",1,VLOOKUP($BE57,DADOS!$CO$5:$CP$7,2,FALSE))*IF($BF57="",1,VLOOKUP($BF57,DADOS!$CR$5:$CS$15,2,FALSE)),4)&gt;0,MAX(1,FLOOR(ROUND(VLOOKUP($BD57,DADOS!$CL$5:$CM$10,2,FALSE)*IF($BE57="",1,VLOOKUP($BE57,DADOS!$CO$5:$CP$7,2,FALSE))*IF($BF57="",1,VLOOKUP($BF57,DADOS!$CR$5:$CS$15,2,FALSE)),4),1)),0),""))</f>
        <v/>
      </c>
      <c r="BH57" s="125" t="n"/>
      <c r="BI57" s="134" t="n"/>
      <c r="BJ57" s="134" t="n"/>
      <c r="BK57" s="89" t="n"/>
      <c r="BL57" s="89" t="n"/>
      <c r="BM57" s="89">
        <f>IF($BJ57="","",IFERROR(IF(ROUND(VLOOKUP($BJ57,DADOS!$CL$5:$CM$10,2,FALSE)*IF($BK57="",1,VLOOKUP($BK57,DADOS!$CO$5:$CP$7,2,FALSE))*IF($BL57="",1,VLOOKUP($BL57,DADOS!$CR$5:$CS$15,2,FALSE)),4)&gt;0,MAX(1,FLOOR(ROUND(VLOOKUP($BJ57,DADOS!$CL$5:$CM$10,2,FALSE)*IF($BK57="",1,VLOOKUP($BK57,DADOS!$CO$5:$CP$7,2,FALSE))*IF($BL57="",1,VLOOKUP($BL57,DADOS!$CR$5:$CS$15,2,FALSE)),4),1)),0),""))</f>
        <v/>
      </c>
      <c r="BN57" s="125" t="n"/>
      <c r="BO57" s="134" t="n"/>
      <c r="BP57" s="134" t="n"/>
      <c r="BQ57" s="89" t="n"/>
      <c r="BR57" s="89" t="n"/>
      <c r="BS57" s="89">
        <f>IF($BP57="","",IFERROR(IF(ROUND(VLOOKUP($BP57,DADOS!$CL$5:$CM$10,2,FALSE)*IF($BQ57="",1,VLOOKUP($BQ57,DADOS!$CO$5:$CP$7,2,FALSE))*IF($BR57="",1,VLOOKUP($BR57,DADOS!$CR$5:$CS$15,2,FALSE)),4)&gt;0,MAX(1,FLOOR(ROUND(VLOOKUP($BP57,DADOS!$CL$5:$CM$10,2,FALSE)*IF($BQ57="",1,VLOOKUP($BQ57,DADOS!$CO$5:$CP$7,2,FALSE))*IF($BR57="",1,VLOOKUP($BR57,DADOS!$CR$5:$CS$15,2,FALSE)),4),1)),0),""))</f>
        <v/>
      </c>
      <c r="BT57" s="125" t="n"/>
    </row>
    <row r="58" outlineLevel="1">
      <c r="B58" s="22" t="n"/>
      <c r="C58" s="125" t="n"/>
      <c r="D58" s="89" t="b">
        <v>0</v>
      </c>
      <c r="E58" s="134" t="inlineStr">
        <is>
          <t>Espadão</t>
        </is>
      </c>
      <c r="F58" s="16" t="n"/>
      <c r="G58" s="16" t="n"/>
      <c r="H58" s="16" t="n"/>
      <c r="I58" s="16" t="n"/>
      <c r="J58" s="16" t="n"/>
      <c r="K58" s="16" t="n"/>
      <c r="L58" s="17" t="n"/>
      <c r="M58" s="89" t="b">
        <v>0</v>
      </c>
      <c r="N58" s="134" t="inlineStr">
        <is>
          <t>Metralhadora Pesada</t>
        </is>
      </c>
      <c r="O58" s="16" t="n"/>
      <c r="P58" s="16" t="n"/>
      <c r="Q58" s="16" t="n"/>
      <c r="R58" s="16" t="n"/>
      <c r="S58" s="16" t="n"/>
      <c r="T58" s="16" t="n"/>
      <c r="U58" s="17" t="n"/>
      <c r="V58" s="89" t="b">
        <v>0</v>
      </c>
      <c r="W58" s="134" t="inlineStr">
        <is>
          <t>Bō</t>
        </is>
      </c>
      <c r="X58" s="16" t="n"/>
      <c r="Y58" s="16" t="n"/>
      <c r="Z58" s="16" t="n"/>
      <c r="AA58" s="16" t="n"/>
      <c r="AB58" s="16" t="n"/>
      <c r="AC58" s="16" t="n"/>
      <c r="AD58" s="17" t="n"/>
      <c r="AE58" s="89" t="b">
        <v>0</v>
      </c>
      <c r="AF58" s="134" t="inlineStr">
        <is>
          <t>Faca</t>
        </is>
      </c>
      <c r="AG58" s="16" t="n"/>
      <c r="AH58" s="16" t="n"/>
      <c r="AI58" s="16" t="n"/>
      <c r="AJ58" s="16" t="n"/>
      <c r="AK58" s="16" t="n"/>
      <c r="AL58" s="17" t="n"/>
      <c r="AM58" s="89" t="b">
        <v>0</v>
      </c>
      <c r="AN58" s="134" t="inlineStr">
        <is>
          <t>Marreta</t>
        </is>
      </c>
      <c r="AO58" s="16" t="n"/>
      <c r="AP58" s="16" t="n"/>
      <c r="AQ58" s="16" t="n"/>
      <c r="AR58" s="16" t="n"/>
      <c r="AS58" s="16" t="n"/>
      <c r="AT58" s="17" t="n"/>
      <c r="AU58" s="125" t="n"/>
      <c r="AV58" s="125" t="n"/>
      <c r="AW58" s="134" t="n"/>
      <c r="AX58" s="134" t="n"/>
      <c r="AY58" s="89" t="n"/>
      <c r="AZ58" s="89" t="n"/>
      <c r="BA58" s="89">
        <f>IF($AX58="","",IFERROR(IF(ROUND(VLOOKUP($AX58,DADOS!$CL$5:$CM$10,2,FALSE)*IF($AY58="",1,VLOOKUP($AY58,DADOS!$CO$5:$CP$7,2,FALSE))*IF($AZ58="",1,VLOOKUP($AZ58,DADOS!$CR$5:$CS$15,2,FALSE)),4)&gt;0,MAX(1,FLOOR(ROUND(VLOOKUP($AX58,DADOS!$CL$5:$CM$10,2,FALSE)*IF($AY58="",1,VLOOKUP($AY58,DADOS!$CO$5:$CP$7,2,FALSE))*IF($AZ58="",1,VLOOKUP($AZ58,DADOS!$CR$5:$CS$15,2,FALSE)),4),1)),0),""))</f>
        <v/>
      </c>
      <c r="BB58" s="125" t="n"/>
      <c r="BC58" s="134" t="n"/>
      <c r="BD58" s="134" t="n"/>
      <c r="BE58" s="89" t="n"/>
      <c r="BF58" s="89" t="n"/>
      <c r="BG58" s="89">
        <f>IF($BD58="","",IFERROR(IF(ROUND(VLOOKUP($BD58,DADOS!$CL$5:$CM$10,2,FALSE)*IF($BE58="",1,VLOOKUP($BE58,DADOS!$CO$5:$CP$7,2,FALSE))*IF($BF58="",1,VLOOKUP($BF58,DADOS!$CR$5:$CS$15,2,FALSE)),4)&gt;0,MAX(1,FLOOR(ROUND(VLOOKUP($BD58,DADOS!$CL$5:$CM$10,2,FALSE)*IF($BE58="",1,VLOOKUP($BE58,DADOS!$CO$5:$CP$7,2,FALSE))*IF($BF58="",1,VLOOKUP($BF58,DADOS!$CR$5:$CS$15,2,FALSE)),4),1)),0),""))</f>
        <v/>
      </c>
      <c r="BH58" s="125" t="n"/>
      <c r="BI58" s="134" t="n"/>
      <c r="BJ58" s="134" t="n"/>
      <c r="BK58" s="89" t="n"/>
      <c r="BL58" s="89" t="n"/>
      <c r="BM58" s="89">
        <f>IF($BJ58="","",IFERROR(IF(ROUND(VLOOKUP($BJ58,DADOS!$CL$5:$CM$10,2,FALSE)*IF($BK58="",1,VLOOKUP($BK58,DADOS!$CO$5:$CP$7,2,FALSE))*IF($BL58="",1,VLOOKUP($BL58,DADOS!$CR$5:$CS$15,2,FALSE)),4)&gt;0,MAX(1,FLOOR(ROUND(VLOOKUP($BJ58,DADOS!$CL$5:$CM$10,2,FALSE)*IF($BK58="",1,VLOOKUP($BK58,DADOS!$CO$5:$CP$7,2,FALSE))*IF($BL58="",1,VLOOKUP($BL58,DADOS!$CR$5:$CS$15,2,FALSE)),4),1)),0),""))</f>
        <v/>
      </c>
      <c r="BN58" s="125" t="n"/>
      <c r="BO58" s="134" t="n"/>
      <c r="BP58" s="134" t="n"/>
      <c r="BQ58" s="89" t="n"/>
      <c r="BR58" s="89" t="n"/>
      <c r="BS58" s="89">
        <f>IF($BP58="","",IFERROR(IF(ROUND(VLOOKUP($BP58,DADOS!$CL$5:$CM$10,2,FALSE)*IF($BQ58="",1,VLOOKUP($BQ58,DADOS!$CO$5:$CP$7,2,FALSE))*IF($BR58="",1,VLOOKUP($BR58,DADOS!$CR$5:$CS$15,2,FALSE)),4)&gt;0,MAX(1,FLOOR(ROUND(VLOOKUP($BP58,DADOS!$CL$5:$CM$10,2,FALSE)*IF($BQ58="",1,VLOOKUP($BQ58,DADOS!$CO$5:$CP$7,2,FALSE))*IF($BR58="",1,VLOOKUP($BR58,DADOS!$CR$5:$CS$15,2,FALSE)),4),1)),0),""))</f>
        <v/>
      </c>
      <c r="BT58" s="125" t="n"/>
    </row>
    <row r="59" outlineLevel="1">
      <c r="B59" s="22" t="n"/>
      <c r="C59" s="125" t="n"/>
      <c r="D59" s="89" t="b">
        <v>0</v>
      </c>
      <c r="E59" s="134" t="inlineStr">
        <is>
          <t>Katana</t>
        </is>
      </c>
      <c r="F59" s="16" t="n"/>
      <c r="G59" s="16" t="n"/>
      <c r="H59" s="16" t="n"/>
      <c r="I59" s="16" t="n"/>
      <c r="J59" s="16" t="n"/>
      <c r="K59" s="16" t="n"/>
      <c r="L59" s="17" t="n"/>
      <c r="M59" s="89" t="b">
        <v>0</v>
      </c>
      <c r="N59" s="134" t="inlineStr">
        <is>
          <t>Pistola</t>
        </is>
      </c>
      <c r="O59" s="16" t="n"/>
      <c r="P59" s="16" t="n"/>
      <c r="Q59" s="16" t="n"/>
      <c r="R59" s="16" t="n"/>
      <c r="S59" s="16" t="n"/>
      <c r="T59" s="16" t="n"/>
      <c r="U59" s="17" t="n"/>
      <c r="V59" s="89" t="b">
        <v>0</v>
      </c>
      <c r="W59" s="134" t="inlineStr">
        <is>
          <t>Cassetete</t>
        </is>
      </c>
      <c r="X59" s="16" t="n"/>
      <c r="Y59" s="16" t="n"/>
      <c r="Z59" s="16" t="n"/>
      <c r="AA59" s="16" t="n"/>
      <c r="AB59" s="16" t="n"/>
      <c r="AC59" s="16" t="n"/>
      <c r="AD59" s="17" t="n"/>
      <c r="AE59" s="89" t="b">
        <v>0</v>
      </c>
      <c r="AF59" s="134" t="inlineStr">
        <is>
          <t>Punhal</t>
        </is>
      </c>
      <c r="AG59" s="16" t="n"/>
      <c r="AH59" s="16" t="n"/>
      <c r="AI59" s="16" t="n"/>
      <c r="AJ59" s="16" t="n"/>
      <c r="AK59" s="16" t="n"/>
      <c r="AL59" s="17" t="n"/>
      <c r="AM59" s="89" t="b">
        <v>0</v>
      </c>
      <c r="AN59" s="134" t="inlineStr">
        <is>
          <t>Maul</t>
        </is>
      </c>
      <c r="AO59" s="16" t="n"/>
      <c r="AP59" s="16" t="n"/>
      <c r="AQ59" s="16" t="n"/>
      <c r="AR59" s="16" t="n"/>
      <c r="AS59" s="16" t="n"/>
      <c r="AT59" s="17" t="n"/>
      <c r="AU59" s="125" t="n"/>
      <c r="AV59" s="125" t="n"/>
      <c r="AW59" s="134" t="n"/>
      <c r="AX59" s="134" t="n"/>
      <c r="AY59" s="89" t="n"/>
      <c r="AZ59" s="89" t="n"/>
      <c r="BA59" s="89">
        <f>IF($AX59="","",IFERROR(IF(ROUND(VLOOKUP($AX59,DADOS!$CL$5:$CM$10,2,FALSE)*IF($AY59="",1,VLOOKUP($AY59,DADOS!$CO$5:$CP$7,2,FALSE))*IF($AZ59="",1,VLOOKUP($AZ59,DADOS!$CR$5:$CS$15,2,FALSE)),4)&gt;0,MAX(1,FLOOR(ROUND(VLOOKUP($AX59,DADOS!$CL$5:$CM$10,2,FALSE)*IF($AY59="",1,VLOOKUP($AY59,DADOS!$CO$5:$CP$7,2,FALSE))*IF($AZ59="",1,VLOOKUP($AZ59,DADOS!$CR$5:$CS$15,2,FALSE)),4),1)),0),""))</f>
        <v/>
      </c>
      <c r="BB59" s="125" t="n"/>
      <c r="BC59" s="134" t="n"/>
      <c r="BD59" s="134" t="n"/>
      <c r="BE59" s="89" t="n"/>
      <c r="BF59" s="89" t="n"/>
      <c r="BG59" s="89">
        <f>IF($BD59="","",IFERROR(IF(ROUND(VLOOKUP($BD59,DADOS!$CL$5:$CM$10,2,FALSE)*IF($BE59="",1,VLOOKUP($BE59,DADOS!$CO$5:$CP$7,2,FALSE))*IF($BF59="",1,VLOOKUP($BF59,DADOS!$CR$5:$CS$15,2,FALSE)),4)&gt;0,MAX(1,FLOOR(ROUND(VLOOKUP($BD59,DADOS!$CL$5:$CM$10,2,FALSE)*IF($BE59="",1,VLOOKUP($BE59,DADOS!$CO$5:$CP$7,2,FALSE))*IF($BF59="",1,VLOOKUP($BF59,DADOS!$CR$5:$CS$15,2,FALSE)),4),1)),0),""))</f>
        <v/>
      </c>
      <c r="BH59" s="125" t="n"/>
      <c r="BI59" s="134" t="n"/>
      <c r="BJ59" s="134" t="n"/>
      <c r="BK59" s="89" t="n"/>
      <c r="BL59" s="89" t="n"/>
      <c r="BM59" s="89">
        <f>IF($BJ59="","",IFERROR(IF(ROUND(VLOOKUP($BJ59,DADOS!$CL$5:$CM$10,2,FALSE)*IF($BK59="",1,VLOOKUP($BK59,DADOS!$CO$5:$CP$7,2,FALSE))*IF($BL59="",1,VLOOKUP($BL59,DADOS!$CR$5:$CS$15,2,FALSE)),4)&gt;0,MAX(1,FLOOR(ROUND(VLOOKUP($BJ59,DADOS!$CL$5:$CM$10,2,FALSE)*IF($BK59="",1,VLOOKUP($BK59,DADOS!$CO$5:$CP$7,2,FALSE))*IF($BL59="",1,VLOOKUP($BL59,DADOS!$CR$5:$CS$15,2,FALSE)),4),1)),0),""))</f>
        <v/>
      </c>
      <c r="BN59" s="125" t="n"/>
      <c r="BO59" s="134" t="n"/>
      <c r="BP59" s="134" t="n"/>
      <c r="BQ59" s="89" t="n"/>
      <c r="BR59" s="89" t="n"/>
      <c r="BS59" s="89">
        <f>IF($BP59="","",IFERROR(IF(ROUND(VLOOKUP($BP59,DADOS!$CL$5:$CM$10,2,FALSE)*IF($BQ59="",1,VLOOKUP($BQ59,DADOS!$CO$5:$CP$7,2,FALSE))*IF($BR59="",1,VLOOKUP($BR59,DADOS!$CR$5:$CS$15,2,FALSE)),4)&gt;0,MAX(1,FLOOR(ROUND(VLOOKUP($BP59,DADOS!$CL$5:$CM$10,2,FALSE)*IF($BQ59="",1,VLOOKUP($BQ59,DADOS!$CO$5:$CP$7,2,FALSE))*IF($BR59="",1,VLOOKUP($BR59,DADOS!$CR$5:$CS$15,2,FALSE)),4),1)),0),""))</f>
        <v/>
      </c>
      <c r="BT59" s="125" t="n"/>
    </row>
    <row r="60" outlineLevel="1">
      <c r="B60" s="22" t="n"/>
      <c r="C60" s="125" t="n"/>
      <c r="D60" s="89" t="b">
        <v>0</v>
      </c>
      <c r="E60" s="134" t="inlineStr">
        <is>
          <t>Machete</t>
        </is>
      </c>
      <c r="F60" s="16" t="n"/>
      <c r="G60" s="16" t="n"/>
      <c r="H60" s="16" t="n"/>
      <c r="I60" s="16" t="n"/>
      <c r="J60" s="16" t="n"/>
      <c r="K60" s="16" t="n"/>
      <c r="L60" s="17" t="n"/>
      <c r="M60" s="89" t="b">
        <v>0</v>
      </c>
      <c r="N60" s="134" t="inlineStr">
        <is>
          <t>Revólver</t>
        </is>
      </c>
      <c r="O60" s="16" t="n"/>
      <c r="P60" s="16" t="n"/>
      <c r="Q60" s="16" t="n"/>
      <c r="R60" s="16" t="n"/>
      <c r="S60" s="16" t="n"/>
      <c r="T60" s="16" t="n"/>
      <c r="U60" s="17" t="n"/>
      <c r="V60" s="89" t="b">
        <v>0</v>
      </c>
      <c r="W60" s="134" t="inlineStr">
        <is>
          <t>Nunchaku</t>
        </is>
      </c>
      <c r="X60" s="16" t="n"/>
      <c r="Y60" s="16" t="n"/>
      <c r="Z60" s="16" t="n"/>
      <c r="AA60" s="16" t="n"/>
      <c r="AB60" s="16" t="n"/>
      <c r="AC60" s="16" t="n"/>
      <c r="AD60" s="17" t="n"/>
      <c r="AE60" s="89" t="b">
        <v>0</v>
      </c>
      <c r="AF60" s="134" t="inlineStr">
        <is>
          <t>Sai</t>
        </is>
      </c>
      <c r="AG60" s="16" t="n"/>
      <c r="AH60" s="16" t="n"/>
      <c r="AI60" s="16" t="n"/>
      <c r="AJ60" s="16" t="n"/>
      <c r="AK60" s="16" t="n"/>
      <c r="AL60" s="17" t="n"/>
      <c r="AM60" s="89" t="b">
        <v>0</v>
      </c>
      <c r="AN60" s="134" t="inlineStr">
        <is>
          <t>Maça</t>
        </is>
      </c>
      <c r="AO60" s="16" t="n"/>
      <c r="AP60" s="16" t="n"/>
      <c r="AQ60" s="16" t="n"/>
      <c r="AR60" s="16" t="n"/>
      <c r="AS60" s="16" t="n"/>
      <c r="AT60" s="17" t="n"/>
      <c r="AU60" s="125" t="n"/>
      <c r="AV60" s="125" t="n"/>
      <c r="AW60" s="134" t="n"/>
      <c r="AX60" s="134" t="n"/>
      <c r="AY60" s="89" t="n"/>
      <c r="AZ60" s="89" t="n"/>
      <c r="BA60" s="89">
        <f>IF($AX60="","",IFERROR(IF(ROUND(VLOOKUP($AX60,DADOS!$CL$5:$CM$10,2,FALSE)*IF($AY60="",1,VLOOKUP($AY60,DADOS!$CO$5:$CP$7,2,FALSE))*IF($AZ60="",1,VLOOKUP($AZ60,DADOS!$CR$5:$CS$15,2,FALSE)),4)&gt;0,MAX(1,FLOOR(ROUND(VLOOKUP($AX60,DADOS!$CL$5:$CM$10,2,FALSE)*IF($AY60="",1,VLOOKUP($AY60,DADOS!$CO$5:$CP$7,2,FALSE))*IF($AZ60="",1,VLOOKUP($AZ60,DADOS!$CR$5:$CS$15,2,FALSE)),4),1)),0),""))</f>
        <v/>
      </c>
      <c r="BB60" s="125" t="n"/>
      <c r="BC60" s="134" t="n"/>
      <c r="BD60" s="134" t="n"/>
      <c r="BE60" s="89" t="n"/>
      <c r="BF60" s="89" t="n"/>
      <c r="BG60" s="89">
        <f>IF($BD60="","",IFERROR(IF(ROUND(VLOOKUP($BD60,DADOS!$CL$5:$CM$10,2,FALSE)*IF($BE60="",1,VLOOKUP($BE60,DADOS!$CO$5:$CP$7,2,FALSE))*IF($BF60="",1,VLOOKUP($BF60,DADOS!$CR$5:$CS$15,2,FALSE)),4)&gt;0,MAX(1,FLOOR(ROUND(VLOOKUP($BD60,DADOS!$CL$5:$CM$10,2,FALSE)*IF($BE60="",1,VLOOKUP($BE60,DADOS!$CO$5:$CP$7,2,FALSE))*IF($BF60="",1,VLOOKUP($BF60,DADOS!$CR$5:$CS$15,2,FALSE)),4),1)),0),""))</f>
        <v/>
      </c>
      <c r="BH60" s="125" t="n"/>
      <c r="BI60" s="134" t="n"/>
      <c r="BJ60" s="134" t="n"/>
      <c r="BK60" s="89" t="n"/>
      <c r="BL60" s="89" t="n"/>
      <c r="BM60" s="89">
        <f>IF($BJ60="","",IFERROR(IF(ROUND(VLOOKUP($BJ60,DADOS!$CL$5:$CM$10,2,FALSE)*IF($BK60="",1,VLOOKUP($BK60,DADOS!$CO$5:$CP$7,2,FALSE))*IF($BL60="",1,VLOOKUP($BL60,DADOS!$CR$5:$CS$15,2,FALSE)),4)&gt;0,MAX(1,FLOOR(ROUND(VLOOKUP($BJ60,DADOS!$CL$5:$CM$10,2,FALSE)*IF($BK60="",1,VLOOKUP($BK60,DADOS!$CO$5:$CP$7,2,FALSE))*IF($BL60="",1,VLOOKUP($BL60,DADOS!$CR$5:$CS$15,2,FALSE)),4),1)),0),""))</f>
        <v/>
      </c>
      <c r="BN60" s="125" t="n"/>
      <c r="BO60" s="134" t="n"/>
      <c r="BP60" s="134" t="n"/>
      <c r="BQ60" s="89" t="n"/>
      <c r="BR60" s="89" t="n"/>
      <c r="BS60" s="89">
        <f>IF($BP60="","",IFERROR(IF(ROUND(VLOOKUP($BP60,DADOS!$CL$5:$CM$10,2,FALSE)*IF($BQ60="",1,VLOOKUP($BQ60,DADOS!$CO$5:$CP$7,2,FALSE))*IF($BR60="",1,VLOOKUP($BR60,DADOS!$CR$5:$CS$15,2,FALSE)),4)&gt;0,MAX(1,FLOOR(ROUND(VLOOKUP($BP60,DADOS!$CL$5:$CM$10,2,FALSE)*IF($BQ60="",1,VLOOKUP($BQ60,DADOS!$CO$5:$CP$7,2,FALSE))*IF($BR60="",1,VLOOKUP($BR60,DADOS!$CR$5:$CS$15,2,FALSE)),4),1)),0),""))</f>
        <v/>
      </c>
      <c r="BT60" s="125" t="n"/>
    </row>
    <row r="61" outlineLevel="1">
      <c r="B61" s="22" t="n"/>
      <c r="C61" s="125" t="n"/>
      <c r="D61" s="89" t="b">
        <v>0</v>
      </c>
      <c r="E61" s="134" t="inlineStr">
        <is>
          <t>Nodachi</t>
        </is>
      </c>
      <c r="F61" s="16" t="n"/>
      <c r="G61" s="16" t="n"/>
      <c r="H61" s="16" t="n"/>
      <c r="I61" s="16" t="n"/>
      <c r="J61" s="16" t="n"/>
      <c r="K61" s="16" t="n"/>
      <c r="L61" s="17" t="n"/>
      <c r="M61" s="89" t="b">
        <v>0</v>
      </c>
      <c r="N61" s="134" t="inlineStr">
        <is>
          <t>Rifle</t>
        </is>
      </c>
      <c r="O61" s="16" t="n"/>
      <c r="P61" s="16" t="n"/>
      <c r="Q61" s="16" t="n"/>
      <c r="R61" s="16" t="n"/>
      <c r="S61" s="16" t="n"/>
      <c r="T61" s="16" t="n"/>
      <c r="U61" s="17" t="n"/>
      <c r="V61" s="89" t="b">
        <v>0</v>
      </c>
      <c r="W61" s="134" t="inlineStr">
        <is>
          <t>Tonfa</t>
        </is>
      </c>
      <c r="X61" s="16" t="n"/>
      <c r="Y61" s="16" t="n"/>
      <c r="Z61" s="16" t="n"/>
      <c r="AA61" s="16" t="n"/>
      <c r="AB61" s="16" t="n"/>
      <c r="AC61" s="16" t="n"/>
      <c r="AD61" s="17" t="n"/>
      <c r="AE61" s="89" t="b">
        <v>0</v>
      </c>
      <c r="AF61" s="134" t="inlineStr">
        <is>
          <t>Tanto</t>
        </is>
      </c>
      <c r="AG61" s="16" t="n"/>
      <c r="AH61" s="16" t="n"/>
      <c r="AI61" s="16" t="n"/>
      <c r="AJ61" s="16" t="n"/>
      <c r="AK61" s="16" t="n"/>
      <c r="AL61" s="17" t="n"/>
      <c r="AM61" s="89" t="b">
        <v>0</v>
      </c>
      <c r="AN61" s="134" t="inlineStr">
        <is>
          <t>Taco</t>
        </is>
      </c>
      <c r="AO61" s="16" t="n"/>
      <c r="AP61" s="16" t="n"/>
      <c r="AQ61" s="16" t="n"/>
      <c r="AR61" s="16" t="n"/>
      <c r="AS61" s="16" t="n"/>
      <c r="AT61" s="17" t="n"/>
      <c r="AU61" s="125" t="n"/>
      <c r="AV61" s="125" t="n"/>
      <c r="AW61" s="134" t="n"/>
      <c r="AX61" s="134" t="n"/>
      <c r="AY61" s="89" t="n"/>
      <c r="AZ61" s="89" t="n"/>
      <c r="BA61" s="89">
        <f>IF($AX61="","",IFERROR(IF(ROUND(VLOOKUP($AX61,DADOS!$CL$5:$CM$10,2,FALSE)*IF($AY61="",1,VLOOKUP($AY61,DADOS!$CO$5:$CP$7,2,FALSE))*IF($AZ61="",1,VLOOKUP($AZ61,DADOS!$CR$5:$CS$15,2,FALSE)),4)&gt;0,MAX(1,FLOOR(ROUND(VLOOKUP($AX61,DADOS!$CL$5:$CM$10,2,FALSE)*IF($AY61="",1,VLOOKUP($AY61,DADOS!$CO$5:$CP$7,2,FALSE))*IF($AZ61="",1,VLOOKUP($AZ61,DADOS!$CR$5:$CS$15,2,FALSE)),4),1)),0),""))</f>
        <v/>
      </c>
      <c r="BB61" s="125" t="n"/>
      <c r="BC61" s="134" t="n"/>
      <c r="BD61" s="134" t="n"/>
      <c r="BE61" s="89" t="n"/>
      <c r="BF61" s="89" t="n"/>
      <c r="BG61" s="89">
        <f>IF($BD61="","",IFERROR(IF(ROUND(VLOOKUP($BD61,DADOS!$CL$5:$CM$10,2,FALSE)*IF($BE61="",1,VLOOKUP($BE61,DADOS!$CO$5:$CP$7,2,FALSE))*IF($BF61="",1,VLOOKUP($BF61,DADOS!$CR$5:$CS$15,2,FALSE)),4)&gt;0,MAX(1,FLOOR(ROUND(VLOOKUP($BD61,DADOS!$CL$5:$CM$10,2,FALSE)*IF($BE61="",1,VLOOKUP($BE61,DADOS!$CO$5:$CP$7,2,FALSE))*IF($BF61="",1,VLOOKUP($BF61,DADOS!$CR$5:$CS$15,2,FALSE)),4),1)),0),""))</f>
        <v/>
      </c>
      <c r="BH61" s="125" t="n"/>
      <c r="BI61" s="134" t="n"/>
      <c r="BJ61" s="134" t="n"/>
      <c r="BK61" s="89" t="n"/>
      <c r="BL61" s="89" t="n"/>
      <c r="BM61" s="89">
        <f>IF($BJ61="","",IFERROR(IF(ROUND(VLOOKUP($BJ61,DADOS!$CL$5:$CM$10,2,FALSE)*IF($BK61="",1,VLOOKUP($BK61,DADOS!$CO$5:$CP$7,2,FALSE))*IF($BL61="",1,VLOOKUP($BL61,DADOS!$CR$5:$CS$15,2,FALSE)),4)&gt;0,MAX(1,FLOOR(ROUND(VLOOKUP($BJ61,DADOS!$CL$5:$CM$10,2,FALSE)*IF($BK61="",1,VLOOKUP($BK61,DADOS!$CO$5:$CP$7,2,FALSE))*IF($BL61="",1,VLOOKUP($BL61,DADOS!$CR$5:$CS$15,2,FALSE)),4),1)),0),""))</f>
        <v/>
      </c>
      <c r="BN61" s="125" t="n"/>
      <c r="BO61" s="134" t="n"/>
      <c r="BP61" s="134" t="n"/>
      <c r="BQ61" s="89" t="n"/>
      <c r="BR61" s="89" t="n"/>
      <c r="BS61" s="89">
        <f>IF($BP61="","",IFERROR(IF(ROUND(VLOOKUP($BP61,DADOS!$CL$5:$CM$10,2,FALSE)*IF($BQ61="",1,VLOOKUP($BQ61,DADOS!$CO$5:$CP$7,2,FALSE))*IF($BR61="",1,VLOOKUP($BR61,DADOS!$CR$5:$CS$15,2,FALSE)),4)&gt;0,MAX(1,FLOOR(ROUND(VLOOKUP($BP61,DADOS!$CL$5:$CM$10,2,FALSE)*IF($BQ61="",1,VLOOKUP($BQ61,DADOS!$CO$5:$CP$7,2,FALSE))*IF($BR61="",1,VLOOKUP($BR61,DADOS!$CR$5:$CS$15,2,FALSE)),4),1)),0),""))</f>
        <v/>
      </c>
      <c r="BT61" s="125" t="n"/>
    </row>
    <row r="62" outlineLevel="1">
      <c r="B62" s="22" t="n"/>
      <c r="C62" s="125" t="n"/>
      <c r="D62" s="89" t="b">
        <v>0</v>
      </c>
      <c r="E62" s="134" t="inlineStr">
        <is>
          <t>Odachi</t>
        </is>
      </c>
      <c r="F62" s="16" t="n"/>
      <c r="G62" s="16" t="n"/>
      <c r="H62" s="16" t="n"/>
      <c r="I62" s="16" t="n"/>
      <c r="J62" s="16" t="n"/>
      <c r="K62" s="16" t="n"/>
      <c r="L62" s="17" t="n"/>
      <c r="M62" s="89" t="b">
        <v>0</v>
      </c>
      <c r="N62" s="134"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5" t="n"/>
      <c r="AV62" s="125" t="n"/>
      <c r="AW62" s="134" t="n"/>
      <c r="AX62" s="134" t="n"/>
      <c r="AY62" s="89" t="n"/>
      <c r="AZ62" s="89" t="n"/>
      <c r="BA62" s="89">
        <f>IF($AX62="","",IFERROR(IF(ROUND(VLOOKUP($AX62,DADOS!$CL$5:$CM$10,2,FALSE)*IF($AY62="",1,VLOOKUP($AY62,DADOS!$CO$5:$CP$7,2,FALSE))*IF($AZ62="",1,VLOOKUP($AZ62,DADOS!$CR$5:$CS$15,2,FALSE)),4)&gt;0,MAX(1,FLOOR(ROUND(VLOOKUP($AX62,DADOS!$CL$5:$CM$10,2,FALSE)*IF($AY62="",1,VLOOKUP($AY62,DADOS!$CO$5:$CP$7,2,FALSE))*IF($AZ62="",1,VLOOKUP($AZ62,DADOS!$CR$5:$CS$15,2,FALSE)),4),1)),0),""))</f>
        <v/>
      </c>
      <c r="BB62" s="125" t="n"/>
      <c r="BC62" s="134" t="n"/>
      <c r="BD62" s="134" t="n"/>
      <c r="BE62" s="89" t="n"/>
      <c r="BF62" s="89" t="n"/>
      <c r="BG62" s="89">
        <f>IF($BD62="","",IFERROR(IF(ROUND(VLOOKUP($BD62,DADOS!$CL$5:$CM$10,2,FALSE)*IF($BE62="",1,VLOOKUP($BE62,DADOS!$CO$5:$CP$7,2,FALSE))*IF($BF62="",1,VLOOKUP($BF62,DADOS!$CR$5:$CS$15,2,FALSE)),4)&gt;0,MAX(1,FLOOR(ROUND(VLOOKUP($BD62,DADOS!$CL$5:$CM$10,2,FALSE)*IF($BE62="",1,VLOOKUP($BE62,DADOS!$CO$5:$CP$7,2,FALSE))*IF($BF62="",1,VLOOKUP($BF62,DADOS!$CR$5:$CS$15,2,FALSE)),4),1)),0),""))</f>
        <v/>
      </c>
      <c r="BH62" s="125" t="n"/>
      <c r="BI62" s="134" t="n"/>
      <c r="BJ62" s="134" t="n"/>
      <c r="BK62" s="89" t="n"/>
      <c r="BL62" s="89" t="n"/>
      <c r="BM62" s="89">
        <f>IF($BJ62="","",IFERROR(IF(ROUND(VLOOKUP($BJ62,DADOS!$CL$5:$CM$10,2,FALSE)*IF($BK62="",1,VLOOKUP($BK62,DADOS!$CO$5:$CP$7,2,FALSE))*IF($BL62="",1,VLOOKUP($BL62,DADOS!$CR$5:$CS$15,2,FALSE)),4)&gt;0,MAX(1,FLOOR(ROUND(VLOOKUP($BJ62,DADOS!$CL$5:$CM$10,2,FALSE)*IF($BK62="",1,VLOOKUP($BK62,DADOS!$CO$5:$CP$7,2,FALSE))*IF($BL62="",1,VLOOKUP($BL62,DADOS!$CR$5:$CS$15,2,FALSE)),4),1)),0),""))</f>
        <v/>
      </c>
      <c r="BN62" s="125" t="n"/>
      <c r="BO62" s="134" t="n"/>
      <c r="BP62" s="134" t="n"/>
      <c r="BQ62" s="89" t="n"/>
      <c r="BR62" s="89" t="n"/>
      <c r="BS62" s="89">
        <f>IF($BP62="","",IFERROR(IF(ROUND(VLOOKUP($BP62,DADOS!$CL$5:$CM$10,2,FALSE)*IF($BQ62="",1,VLOOKUP($BQ62,DADOS!$CO$5:$CP$7,2,FALSE))*IF($BR62="",1,VLOOKUP($BR62,DADOS!$CR$5:$CS$15,2,FALSE)),4)&gt;0,MAX(1,FLOOR(ROUND(VLOOKUP($BP62,DADOS!$CL$5:$CM$10,2,FALSE)*IF($BQ62="",1,VLOOKUP($BQ62,DADOS!$CO$5:$CP$7,2,FALSE))*IF($BR62="",1,VLOOKUP($BR62,DADOS!$CR$5:$CS$15,2,FALSE)),4),1)),0),""))</f>
        <v/>
      </c>
      <c r="BT62" s="125" t="n"/>
    </row>
    <row r="63" outlineLevel="1">
      <c r="A63" s="8" t="n"/>
      <c r="B63" s="14" t="n"/>
      <c r="C63" s="125" t="n"/>
      <c r="D63" s="89" t="b">
        <v>0</v>
      </c>
      <c r="E63" s="134" t="inlineStr">
        <is>
          <t>Rapieira</t>
        </is>
      </c>
      <c r="F63" s="16" t="n"/>
      <c r="G63" s="16" t="n"/>
      <c r="H63" s="16" t="n"/>
      <c r="I63" s="16" t="n"/>
      <c r="J63" s="16" t="n"/>
      <c r="K63" s="16" t="n"/>
      <c r="L63" s="17" t="n"/>
      <c r="M63" s="89" t="b">
        <v>0</v>
      </c>
      <c r="N63" s="134" t="inlineStr">
        <is>
          <t>Submetralhadora</t>
        </is>
      </c>
      <c r="O63" s="16" t="n"/>
      <c r="P63" s="16" t="n"/>
      <c r="Q63" s="16" t="n"/>
      <c r="R63" s="16" t="n"/>
      <c r="S63" s="16" t="n"/>
      <c r="T63" s="16" t="n"/>
      <c r="U63" s="17" t="n"/>
      <c r="V63" s="89" t="b">
        <v>0</v>
      </c>
      <c r="W63" s="134" t="inlineStr">
        <is>
          <t>Foice</t>
        </is>
      </c>
      <c r="X63" s="16" t="n"/>
      <c r="Y63" s="16" t="n"/>
      <c r="Z63" s="16" t="n"/>
      <c r="AA63" s="16" t="n"/>
      <c r="AB63" s="16" t="n"/>
      <c r="AC63" s="16" t="n"/>
      <c r="AD63" s="17" t="n"/>
      <c r="AE63" s="89" t="b">
        <v>0</v>
      </c>
      <c r="AF63" s="134" t="inlineStr">
        <is>
          <t>Chicote</t>
        </is>
      </c>
      <c r="AG63" s="16" t="n"/>
      <c r="AH63" s="16" t="n"/>
      <c r="AI63" s="16" t="n"/>
      <c r="AJ63" s="16" t="n"/>
      <c r="AK63" s="16" t="n"/>
      <c r="AL63" s="17" t="n"/>
      <c r="AM63" s="89" t="b">
        <v>0</v>
      </c>
      <c r="AN63" s="134" t="inlineStr">
        <is>
          <t>Lança</t>
        </is>
      </c>
      <c r="AO63" s="16" t="n"/>
      <c r="AP63" s="16" t="n"/>
      <c r="AQ63" s="16" t="n"/>
      <c r="AR63" s="16" t="n"/>
      <c r="AS63" s="16" t="n"/>
      <c r="AT63" s="17" t="n"/>
      <c r="AU63" s="125" t="n"/>
      <c r="AV63" s="125" t="n"/>
      <c r="AW63" s="134" t="n"/>
      <c r="AX63" s="134" t="n"/>
      <c r="AY63" s="89" t="n"/>
      <c r="AZ63" s="89" t="n"/>
      <c r="BA63" s="89">
        <f>IF($AX63="","",IFERROR(IF(ROUND(VLOOKUP($AX63,DADOS!$CL$5:$CM$10,2,FALSE)*IF($AY63="",1,VLOOKUP($AY63,DADOS!$CO$5:$CP$7,2,FALSE))*IF($AZ63="",1,VLOOKUP($AZ63,DADOS!$CR$5:$CS$15,2,FALSE)),4)&gt;0,MAX(1,FLOOR(ROUND(VLOOKUP($AX63,DADOS!$CL$5:$CM$10,2,FALSE)*IF($AY63="",1,VLOOKUP($AY63,DADOS!$CO$5:$CP$7,2,FALSE))*IF($AZ63="",1,VLOOKUP($AZ63,DADOS!$CR$5:$CS$15,2,FALSE)),4),1)),0),""))</f>
        <v/>
      </c>
      <c r="BB63" s="125" t="n"/>
      <c r="BC63" s="134" t="n"/>
      <c r="BD63" s="134" t="n"/>
      <c r="BE63" s="89" t="n"/>
      <c r="BF63" s="89" t="n"/>
      <c r="BG63" s="89">
        <f>IF($BD63="","",IFERROR(IF(ROUND(VLOOKUP($BD63,DADOS!$CL$5:$CM$10,2,FALSE)*IF($BE63="",1,VLOOKUP($BE63,DADOS!$CO$5:$CP$7,2,FALSE))*IF($BF63="",1,VLOOKUP($BF63,DADOS!$CR$5:$CS$15,2,FALSE)),4)&gt;0,MAX(1,FLOOR(ROUND(VLOOKUP($BD63,DADOS!$CL$5:$CM$10,2,FALSE)*IF($BE63="",1,VLOOKUP($BE63,DADOS!$CO$5:$CP$7,2,FALSE))*IF($BF63="",1,VLOOKUP($BF63,DADOS!$CR$5:$CS$15,2,FALSE)),4),1)),0),""))</f>
        <v/>
      </c>
      <c r="BH63" s="125" t="n"/>
      <c r="BI63" s="134" t="n"/>
      <c r="BJ63" s="134" t="n"/>
      <c r="BK63" s="89" t="n"/>
      <c r="BL63" s="89" t="n"/>
      <c r="BM63" s="89">
        <f>IF($BJ63="","",IFERROR(IF(ROUND(VLOOKUP($BJ63,DADOS!$CL$5:$CM$10,2,FALSE)*IF($BK63="",1,VLOOKUP($BK63,DADOS!$CO$5:$CP$7,2,FALSE))*IF($BL63="",1,VLOOKUP($BL63,DADOS!$CR$5:$CS$15,2,FALSE)),4)&gt;0,MAX(1,FLOOR(ROUND(VLOOKUP($BJ63,DADOS!$CL$5:$CM$10,2,FALSE)*IF($BK63="",1,VLOOKUP($BK63,DADOS!$CO$5:$CP$7,2,FALSE))*IF($BL63="",1,VLOOKUP($BL63,DADOS!$CR$5:$CS$15,2,FALSE)),4),1)),0),""))</f>
        <v/>
      </c>
      <c r="BN63" s="125" t="n"/>
      <c r="BO63" s="134" t="n"/>
      <c r="BP63" s="134" t="n"/>
      <c r="BQ63" s="89" t="n"/>
      <c r="BR63" s="89" t="n"/>
      <c r="BS63" s="89">
        <f>IF($BP63="","",IFERROR(IF(ROUND(VLOOKUP($BP63,DADOS!$CL$5:$CM$10,2,FALSE)*IF($BQ63="",1,VLOOKUP($BQ63,DADOS!$CO$5:$CP$7,2,FALSE))*IF($BR63="",1,VLOOKUP($BR63,DADOS!$CR$5:$CS$15,2,FALSE)),4)&gt;0,MAX(1,FLOOR(ROUND(VLOOKUP($BP63,DADOS!$CL$5:$CM$10,2,FALSE)*IF($BQ63="",1,VLOOKUP($BQ63,DADOS!$CO$5:$CP$7,2,FALSE))*IF($BR63="",1,VLOOKUP($BR63,DADOS!$CR$5:$CS$15,2,FALSE)),4),1)),0),""))</f>
        <v/>
      </c>
      <c r="BT63" s="125" t="n"/>
    </row>
    <row r="64" outlineLevel="1">
      <c r="A64" s="8" t="n"/>
      <c r="B64" s="14" t="n"/>
      <c r="C64" s="125" t="n"/>
      <c r="D64" s="89" t="b">
        <v>0</v>
      </c>
      <c r="E64" s="134"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89" t="b">
        <v>0</v>
      </c>
      <c r="W64" s="134" t="inlineStr">
        <is>
          <t>Kama</t>
        </is>
      </c>
      <c r="X64" s="16" t="n"/>
      <c r="Y64" s="16" t="n"/>
      <c r="Z64" s="16" t="n"/>
      <c r="AA64" s="16" t="n"/>
      <c r="AB64" s="16" t="n"/>
      <c r="AC64" s="16" t="n"/>
      <c r="AD64" s="17" t="n"/>
      <c r="AE64" s="89" t="b">
        <v>0</v>
      </c>
      <c r="AF64" s="134" t="inlineStr">
        <is>
          <t>Corrente</t>
        </is>
      </c>
      <c r="AG64" s="16" t="n"/>
      <c r="AH64" s="16" t="n"/>
      <c r="AI64" s="16" t="n"/>
      <c r="AJ64" s="16" t="n"/>
      <c r="AK64" s="16" t="n"/>
      <c r="AL64" s="17" t="n"/>
      <c r="AM64" s="89" t="b">
        <v>0</v>
      </c>
      <c r="AN64" s="134" t="inlineStr">
        <is>
          <t>Naginata</t>
        </is>
      </c>
      <c r="AO64" s="16" t="n"/>
      <c r="AP64" s="16" t="n"/>
      <c r="AQ64" s="16" t="n"/>
      <c r="AR64" s="16" t="n"/>
      <c r="AS64" s="16" t="n"/>
      <c r="AT64" s="17" t="n"/>
      <c r="AU64" s="125" t="n"/>
      <c r="AV64" s="125" t="n"/>
      <c r="AW64" s="134" t="n"/>
      <c r="AX64" s="134" t="n"/>
      <c r="AY64" s="89" t="n"/>
      <c r="AZ64" s="89" t="n"/>
      <c r="BA64" s="89">
        <f>IF($AX64="","",IFERROR(IF(ROUND(VLOOKUP($AX64,DADOS!$CL$5:$CM$10,2,FALSE)*IF($AY64="",1,VLOOKUP($AY64,DADOS!$CO$5:$CP$7,2,FALSE))*IF($AZ64="",1,VLOOKUP($AZ64,DADOS!$CR$5:$CS$15,2,FALSE)),4)&gt;0,MAX(1,FLOOR(ROUND(VLOOKUP($AX64,DADOS!$CL$5:$CM$10,2,FALSE)*IF($AY64="",1,VLOOKUP($AY64,DADOS!$CO$5:$CP$7,2,FALSE))*IF($AZ64="",1,VLOOKUP($AZ64,DADOS!$CR$5:$CS$15,2,FALSE)),4),1)),0),""))</f>
        <v/>
      </c>
      <c r="BB64" s="125" t="n"/>
      <c r="BC64" s="134" t="n"/>
      <c r="BD64" s="134" t="n"/>
      <c r="BE64" s="89" t="n"/>
      <c r="BF64" s="89" t="n"/>
      <c r="BG64" s="89">
        <f>IF($BD64="","",IFERROR(IF(ROUND(VLOOKUP($BD64,DADOS!$CL$5:$CM$10,2,FALSE)*IF($BE64="",1,VLOOKUP($BE64,DADOS!$CO$5:$CP$7,2,FALSE))*IF($BF64="",1,VLOOKUP($BF64,DADOS!$CR$5:$CS$15,2,FALSE)),4)&gt;0,MAX(1,FLOOR(ROUND(VLOOKUP($BD64,DADOS!$CL$5:$CM$10,2,FALSE)*IF($BE64="",1,VLOOKUP($BE64,DADOS!$CO$5:$CP$7,2,FALSE))*IF($BF64="",1,VLOOKUP($BF64,DADOS!$CR$5:$CS$15,2,FALSE)),4),1)),0),""))</f>
        <v/>
      </c>
      <c r="BH64" s="125" t="n"/>
      <c r="BI64" s="134" t="n"/>
      <c r="BJ64" s="134" t="n"/>
      <c r="BK64" s="89" t="n"/>
      <c r="BL64" s="89" t="n"/>
      <c r="BM64" s="89">
        <f>IF($BJ64="","",IFERROR(IF(ROUND(VLOOKUP($BJ64,DADOS!$CL$5:$CM$10,2,FALSE)*IF($BK64="",1,VLOOKUP($BK64,DADOS!$CO$5:$CP$7,2,FALSE))*IF($BL64="",1,VLOOKUP($BL64,DADOS!$CR$5:$CS$15,2,FALSE)),4)&gt;0,MAX(1,FLOOR(ROUND(VLOOKUP($BJ64,DADOS!$CL$5:$CM$10,2,FALSE)*IF($BK64="",1,VLOOKUP($BK64,DADOS!$CO$5:$CP$7,2,FALSE))*IF($BL64="",1,VLOOKUP($BL64,DADOS!$CR$5:$CS$15,2,FALSE)),4),1)),0),""))</f>
        <v/>
      </c>
      <c r="BN64" s="125" t="n"/>
      <c r="BO64" s="134" t="n"/>
      <c r="BP64" s="134" t="n"/>
      <c r="BQ64" s="89" t="n"/>
      <c r="BR64" s="89" t="n"/>
      <c r="BS64" s="89">
        <f>IF($BP64="","",IFERROR(IF(ROUND(VLOOKUP($BP64,DADOS!$CL$5:$CM$10,2,FALSE)*IF($BQ64="",1,VLOOKUP($BQ64,DADOS!$CO$5:$CP$7,2,FALSE))*IF($BR64="",1,VLOOKUP($BR64,DADOS!$CR$5:$CS$15,2,FALSE)),4)&gt;0,MAX(1,FLOOR(ROUND(VLOOKUP($BP64,DADOS!$CL$5:$CM$10,2,FALSE)*IF($BQ64="",1,VLOOKUP($BQ64,DADOS!$CO$5:$CP$7,2,FALSE))*IF($BR64="",1,VLOOKUP($BR64,DADOS!$CR$5:$CS$15,2,FALSE)),4),1)),0),""))</f>
        <v/>
      </c>
      <c r="BT64" s="125" t="n"/>
    </row>
    <row r="65" outlineLevel="1">
      <c r="A65" s="8" t="n"/>
      <c r="B65" s="14" t="n"/>
      <c r="C65" s="125" t="n"/>
      <c r="D65" s="55" t="b">
        <v>0</v>
      </c>
      <c r="E65" s="55" t="inlineStr">
        <is>
          <t>MACHADO</t>
        </is>
      </c>
      <c r="F65" s="16" t="n"/>
      <c r="G65" s="16" t="n"/>
      <c r="H65" s="16" t="n"/>
      <c r="I65" s="16" t="n"/>
      <c r="J65" s="16" t="n"/>
      <c r="K65" s="16" t="n"/>
      <c r="L65" s="17" t="n"/>
      <c r="M65" s="89" t="b">
        <v>0</v>
      </c>
      <c r="N65" s="134" t="inlineStr">
        <is>
          <t>Chakram</t>
        </is>
      </c>
      <c r="O65" s="16" t="n"/>
      <c r="P65" s="16" t="n"/>
      <c r="Q65" s="16" t="n"/>
      <c r="R65" s="16" t="n"/>
      <c r="S65" s="16" t="n"/>
      <c r="T65" s="16" t="n"/>
      <c r="U65" s="17" t="n"/>
      <c r="V65" s="89" t="b">
        <v>0</v>
      </c>
      <c r="W65" s="134" t="inlineStr">
        <is>
          <t>Kusarigama</t>
        </is>
      </c>
      <c r="X65" s="16" t="n"/>
      <c r="Y65" s="16" t="n"/>
      <c r="Z65" s="16" t="n"/>
      <c r="AA65" s="16" t="n"/>
      <c r="AB65" s="16" t="n"/>
      <c r="AC65" s="16" t="n"/>
      <c r="AD65" s="17" t="n"/>
      <c r="AE65" s="89" t="b">
        <v>0</v>
      </c>
      <c r="AF65" s="134" t="inlineStr">
        <is>
          <t>Manriki</t>
        </is>
      </c>
      <c r="AG65" s="16" t="n"/>
      <c r="AH65" s="16" t="n"/>
      <c r="AI65" s="16" t="n"/>
      <c r="AJ65" s="16" t="n"/>
      <c r="AK65" s="16" t="n"/>
      <c r="AL65" s="17" t="n"/>
      <c r="AM65" s="89" t="b">
        <v>0</v>
      </c>
      <c r="AN65" s="134" t="inlineStr">
        <is>
          <t>Yari</t>
        </is>
      </c>
      <c r="AO65" s="16" t="n"/>
      <c r="AP65" s="16" t="n"/>
      <c r="AQ65" s="16" t="n"/>
      <c r="AR65" s="16" t="n"/>
      <c r="AS65" s="16" t="n"/>
      <c r="AT65" s="17" t="n"/>
      <c r="AU65" s="125" t="n"/>
      <c r="AV65" s="125" t="n"/>
      <c r="AW65" s="134" t="n"/>
      <c r="AX65" s="134" t="n"/>
      <c r="AY65" s="89" t="n"/>
      <c r="AZ65" s="89" t="n"/>
      <c r="BA65" s="89">
        <f>IF($AX65="","",IFERROR(IF(ROUND(VLOOKUP($AX65,DADOS!$CL$5:$CM$10,2,FALSE)*IF($AY65="",1,VLOOKUP($AY65,DADOS!$CO$5:$CP$7,2,FALSE))*IF($AZ65="",1,VLOOKUP($AZ65,DADOS!$CR$5:$CS$15,2,FALSE)),4)&gt;0,MAX(1,FLOOR(ROUND(VLOOKUP($AX65,DADOS!$CL$5:$CM$10,2,FALSE)*IF($AY65="",1,VLOOKUP($AY65,DADOS!$CO$5:$CP$7,2,FALSE))*IF($AZ65="",1,VLOOKUP($AZ65,DADOS!$CR$5:$CS$15,2,FALSE)),4),1)),0),""))</f>
        <v/>
      </c>
      <c r="BB65" s="125" t="n"/>
      <c r="BC65" s="134" t="n"/>
      <c r="BD65" s="134" t="n"/>
      <c r="BE65" s="89" t="n"/>
      <c r="BF65" s="89" t="n"/>
      <c r="BG65" s="89">
        <f>IF($BD65="","",IFERROR(IF(ROUND(VLOOKUP($BD65,DADOS!$CL$5:$CM$10,2,FALSE)*IF($BE65="",1,VLOOKUP($BE65,DADOS!$CO$5:$CP$7,2,FALSE))*IF($BF65="",1,VLOOKUP($BF65,DADOS!$CR$5:$CS$15,2,FALSE)),4)&gt;0,MAX(1,FLOOR(ROUND(VLOOKUP($BD65,DADOS!$CL$5:$CM$10,2,FALSE)*IF($BE65="",1,VLOOKUP($BE65,DADOS!$CO$5:$CP$7,2,FALSE))*IF($BF65="",1,VLOOKUP($BF65,DADOS!$CR$5:$CS$15,2,FALSE)),4),1)),0),""))</f>
        <v/>
      </c>
      <c r="BH65" s="125" t="n"/>
      <c r="BI65" s="134" t="n"/>
      <c r="BJ65" s="134" t="n"/>
      <c r="BK65" s="89" t="n"/>
      <c r="BL65" s="89" t="n"/>
      <c r="BM65" s="89">
        <f>IF($BJ65="","",IFERROR(IF(ROUND(VLOOKUP($BJ65,DADOS!$CL$5:$CM$10,2,FALSE)*IF($BK65="",1,VLOOKUP($BK65,DADOS!$CO$5:$CP$7,2,FALSE))*IF($BL65="",1,VLOOKUP($BL65,DADOS!$CR$5:$CS$15,2,FALSE)),4)&gt;0,MAX(1,FLOOR(ROUND(VLOOKUP($BJ65,DADOS!$CL$5:$CM$10,2,FALSE)*IF($BK65="",1,VLOOKUP($BK65,DADOS!$CO$5:$CP$7,2,FALSE))*IF($BL65="",1,VLOOKUP($BL65,DADOS!$CR$5:$CS$15,2,FALSE)),4),1)),0),""))</f>
        <v/>
      </c>
      <c r="BN65" s="125" t="n"/>
      <c r="BO65" s="134" t="n"/>
      <c r="BP65" s="134" t="n"/>
      <c r="BQ65" s="89" t="n"/>
      <c r="BR65" s="89" t="n"/>
      <c r="BS65" s="89">
        <f>IF($BP65="","",IFERROR(IF(ROUND(VLOOKUP($BP65,DADOS!$CL$5:$CM$10,2,FALSE)*IF($BQ65="",1,VLOOKUP($BQ65,DADOS!$CO$5:$CP$7,2,FALSE))*IF($BR65="",1,VLOOKUP($BR65,DADOS!$CR$5:$CS$15,2,FALSE)),4)&gt;0,MAX(1,FLOOR(ROUND(VLOOKUP($BP65,DADOS!$CL$5:$CM$10,2,FALSE)*IF($BQ65="",1,VLOOKUP($BQ65,DADOS!$CO$5:$CP$7,2,FALSE))*IF($BR65="",1,VLOOKUP($BR65,DADOS!$CR$5:$CS$15,2,FALSE)),4),1)),0),""))</f>
        <v/>
      </c>
      <c r="BT65" s="125" t="n"/>
    </row>
    <row r="66" outlineLevel="1">
      <c r="A66" s="8" t="n"/>
      <c r="B66" s="14" t="n"/>
      <c r="C66" s="125" t="n"/>
      <c r="D66" s="89" t="b">
        <v>0</v>
      </c>
      <c r="E66" s="134" t="inlineStr">
        <is>
          <t>Machadinha</t>
        </is>
      </c>
      <c r="F66" s="16" t="n"/>
      <c r="G66" s="16" t="n"/>
      <c r="H66" s="16" t="n"/>
      <c r="I66" s="16" t="n"/>
      <c r="J66" s="16" t="n"/>
      <c r="K66" s="16" t="n"/>
      <c r="L66" s="17" t="n"/>
      <c r="M66" s="89" t="b">
        <v>0</v>
      </c>
      <c r="N66" s="134"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5" t="n"/>
      <c r="AV66" s="125" t="n"/>
      <c r="AW66" s="134" t="n"/>
      <c r="AX66" s="134" t="n"/>
      <c r="AY66" s="89" t="n"/>
      <c r="AZ66" s="89" t="n"/>
      <c r="BA66" s="89">
        <f>IF($AX66="","",IFERROR(IF(ROUND(VLOOKUP($AX66,DADOS!$CL$5:$CM$10,2,FALSE)*IF($AY66="",1,VLOOKUP($AY66,DADOS!$CO$5:$CP$7,2,FALSE))*IF($AZ66="",1,VLOOKUP($AZ66,DADOS!$CR$5:$CS$15,2,FALSE)),4)&gt;0,MAX(1,FLOOR(ROUND(VLOOKUP($AX66,DADOS!$CL$5:$CM$10,2,FALSE)*IF($AY66="",1,VLOOKUP($AY66,DADOS!$CO$5:$CP$7,2,FALSE))*IF($AZ66="",1,VLOOKUP($AZ66,DADOS!$CR$5:$CS$15,2,FALSE)),4),1)),0),""))</f>
        <v/>
      </c>
      <c r="BB66" s="125" t="n"/>
      <c r="BC66" s="134" t="n"/>
      <c r="BD66" s="134" t="n"/>
      <c r="BE66" s="89" t="n"/>
      <c r="BF66" s="89" t="n"/>
      <c r="BG66" s="89">
        <f>IF($BD66="","",IFERROR(IF(ROUND(VLOOKUP($BD66,DADOS!$CL$5:$CM$10,2,FALSE)*IF($BE66="",1,VLOOKUP($BE66,DADOS!$CO$5:$CP$7,2,FALSE))*IF($BF66="",1,VLOOKUP($BF66,DADOS!$CR$5:$CS$15,2,FALSE)),4)&gt;0,MAX(1,FLOOR(ROUND(VLOOKUP($BD66,DADOS!$CL$5:$CM$10,2,FALSE)*IF($BE66="",1,VLOOKUP($BE66,DADOS!$CO$5:$CP$7,2,FALSE))*IF($BF66="",1,VLOOKUP($BF66,DADOS!$CR$5:$CS$15,2,FALSE)),4),1)),0),""))</f>
        <v/>
      </c>
      <c r="BH66" s="125" t="n"/>
      <c r="BI66" s="134" t="n"/>
      <c r="BJ66" s="134" t="n"/>
      <c r="BK66" s="89" t="n"/>
      <c r="BL66" s="89" t="n"/>
      <c r="BM66" s="89">
        <f>IF($BJ66="","",IFERROR(IF(ROUND(VLOOKUP($BJ66,DADOS!$CL$5:$CM$10,2,FALSE)*IF($BK66="",1,VLOOKUP($BK66,DADOS!$CO$5:$CP$7,2,FALSE))*IF($BL66="",1,VLOOKUP($BL66,DADOS!$CR$5:$CS$15,2,FALSE)),4)&gt;0,MAX(1,FLOOR(ROUND(VLOOKUP($BJ66,DADOS!$CL$5:$CM$10,2,FALSE)*IF($BK66="",1,VLOOKUP($BK66,DADOS!$CO$5:$CP$7,2,FALSE))*IF($BL66="",1,VLOOKUP($BL66,DADOS!$CR$5:$CS$15,2,FALSE)),4),1)),0),""))</f>
        <v/>
      </c>
      <c r="BN66" s="125" t="n"/>
      <c r="BO66" s="134" t="n"/>
      <c r="BP66" s="134" t="n"/>
      <c r="BQ66" s="89" t="n"/>
      <c r="BR66" s="89" t="n"/>
      <c r="BS66" s="89">
        <f>IF($BP66="","",IFERROR(IF(ROUND(VLOOKUP($BP66,DADOS!$CL$5:$CM$10,2,FALSE)*IF($BQ66="",1,VLOOKUP($BQ66,DADOS!$CO$5:$CP$7,2,FALSE))*IF($BR66="",1,VLOOKUP($BR66,DADOS!$CR$5:$CS$15,2,FALSE)),4)&gt;0,MAX(1,FLOOR(ROUND(VLOOKUP($BP66,DADOS!$CL$5:$CM$10,2,FALSE)*IF($BQ66="",1,VLOOKUP($BQ66,DADOS!$CO$5:$CP$7,2,FALSE))*IF($BR66="",1,VLOOKUP($BR66,DADOS!$CR$5:$CS$15,2,FALSE)),4),1)),0),""))</f>
        <v/>
      </c>
      <c r="BT66" s="125" t="n"/>
    </row>
    <row r="67" outlineLevel="1">
      <c r="A67" s="8" t="n"/>
      <c r="B67" s="14" t="n"/>
      <c r="C67" s="125" t="n"/>
      <c r="D67" s="89" t="b">
        <v>0</v>
      </c>
      <c r="E67" s="134" t="inlineStr">
        <is>
          <t>Machado</t>
        </is>
      </c>
      <c r="F67" s="16" t="n"/>
      <c r="G67" s="16" t="n"/>
      <c r="H67" s="16" t="n"/>
      <c r="I67" s="16" t="n"/>
      <c r="J67" s="16" t="n"/>
      <c r="K67" s="16" t="n"/>
      <c r="L67" s="17" t="n"/>
      <c r="M67" s="89" t="b">
        <v>0</v>
      </c>
      <c r="N67" s="134" t="inlineStr">
        <is>
          <t>Shuriken</t>
        </is>
      </c>
      <c r="O67" s="16" t="n"/>
      <c r="P67" s="16" t="n"/>
      <c r="Q67" s="16" t="n"/>
      <c r="R67" s="16" t="n"/>
      <c r="S67" s="16" t="n"/>
      <c r="T67" s="16" t="n"/>
      <c r="U67" s="17" t="n"/>
      <c r="V67" s="89" t="b">
        <v>0</v>
      </c>
      <c r="W67" s="134" t="inlineStr">
        <is>
          <t>Besta</t>
        </is>
      </c>
      <c r="X67" s="16" t="n"/>
      <c r="Y67" s="16" t="n"/>
      <c r="Z67" s="16" t="n"/>
      <c r="AA67" s="16" t="n"/>
      <c r="AB67" s="16" t="n"/>
      <c r="AC67" s="16" t="n"/>
      <c r="AD67" s="17" t="n"/>
      <c r="AE67" s="89" t="b">
        <v>0</v>
      </c>
      <c r="AF67" s="134" t="inlineStr">
        <is>
          <t>Soqueira</t>
        </is>
      </c>
      <c r="AG67" s="16" t="n"/>
      <c r="AH67" s="16" t="n"/>
      <c r="AI67" s="16" t="n"/>
      <c r="AJ67" s="16" t="n"/>
      <c r="AK67" s="16" t="n"/>
      <c r="AL67" s="17" t="n"/>
      <c r="AM67" s="89" t="b">
        <v>0</v>
      </c>
      <c r="AN67" s="134" t="inlineStr">
        <is>
          <t>Daikyū</t>
        </is>
      </c>
      <c r="AO67" s="16" t="n"/>
      <c r="AP67" s="16" t="n"/>
      <c r="AQ67" s="16" t="n"/>
      <c r="AR67" s="16" t="n"/>
      <c r="AS67" s="16" t="n"/>
      <c r="AT67" s="17" t="n"/>
      <c r="AU67" s="125" t="n"/>
      <c r="AV67" s="125" t="n"/>
      <c r="AW67" s="134" t="n"/>
      <c r="AX67" s="134" t="n"/>
      <c r="AY67" s="89" t="n"/>
      <c r="AZ67" s="89" t="n"/>
      <c r="BA67" s="89">
        <f>IF($AX67="","",IFERROR(IF(ROUND(VLOOKUP($AX67,DADOS!$CL$5:$CM$10,2,FALSE)*IF($AY67="",1,VLOOKUP($AY67,DADOS!$CO$5:$CP$7,2,FALSE))*IF($AZ67="",1,VLOOKUP($AZ67,DADOS!$CR$5:$CS$15,2,FALSE)),4)&gt;0,MAX(1,FLOOR(ROUND(VLOOKUP($AX67,DADOS!$CL$5:$CM$10,2,FALSE)*IF($AY67="",1,VLOOKUP($AY67,DADOS!$CO$5:$CP$7,2,FALSE))*IF($AZ67="",1,VLOOKUP($AZ67,DADOS!$CR$5:$CS$15,2,FALSE)),4),1)),0),""))</f>
        <v/>
      </c>
      <c r="BB67" s="125" t="n"/>
      <c r="BC67" s="134" t="n"/>
      <c r="BD67" s="134" t="n"/>
      <c r="BE67" s="89" t="n"/>
      <c r="BF67" s="89" t="n"/>
      <c r="BG67" s="89">
        <f>IF($BD67="","",IFERROR(IF(ROUND(VLOOKUP($BD67,DADOS!$CL$5:$CM$10,2,FALSE)*IF($BE67="",1,VLOOKUP($BE67,DADOS!$CO$5:$CP$7,2,FALSE))*IF($BF67="",1,VLOOKUP($BF67,DADOS!$CR$5:$CS$15,2,FALSE)),4)&gt;0,MAX(1,FLOOR(ROUND(VLOOKUP($BD67,DADOS!$CL$5:$CM$10,2,FALSE)*IF($BE67="",1,VLOOKUP($BE67,DADOS!$CO$5:$CP$7,2,FALSE))*IF($BF67="",1,VLOOKUP($BF67,DADOS!$CR$5:$CS$15,2,FALSE)),4),1)),0),""))</f>
        <v/>
      </c>
      <c r="BH67" s="125" t="n"/>
      <c r="BI67" s="134" t="n"/>
      <c r="BJ67" s="134" t="n"/>
      <c r="BK67" s="89" t="n"/>
      <c r="BL67" s="89" t="n"/>
      <c r="BM67" s="89">
        <f>IF($BJ67="","",IFERROR(IF(ROUND(VLOOKUP($BJ67,DADOS!$CL$5:$CM$10,2,FALSE)*IF($BK67="",1,VLOOKUP($BK67,DADOS!$CO$5:$CP$7,2,FALSE))*IF($BL67="",1,VLOOKUP($BL67,DADOS!$CR$5:$CS$15,2,FALSE)),4)&gt;0,MAX(1,FLOOR(ROUND(VLOOKUP($BJ67,DADOS!$CL$5:$CM$10,2,FALSE)*IF($BK67="",1,VLOOKUP($BK67,DADOS!$CO$5:$CP$7,2,FALSE))*IF($BL67="",1,VLOOKUP($BL67,DADOS!$CR$5:$CS$15,2,FALSE)),4),1)),0),""))</f>
        <v/>
      </c>
      <c r="BN67" s="125" t="n"/>
      <c r="BO67" s="134" t="n"/>
      <c r="BP67" s="134" t="n"/>
      <c r="BQ67" s="89" t="n"/>
      <c r="BR67" s="89" t="n"/>
      <c r="BS67" s="89">
        <f>IF($BP67="","",IFERROR(IF(ROUND(VLOOKUP($BP67,DADOS!$CL$5:$CM$10,2,FALSE)*IF($BQ67="",1,VLOOKUP($BQ67,DADOS!$CO$5:$CP$7,2,FALSE))*IF($BR67="",1,VLOOKUP($BR67,DADOS!$CR$5:$CS$15,2,FALSE)),4)&gt;0,MAX(1,FLOOR(ROUND(VLOOKUP($BP67,DADOS!$CL$5:$CM$10,2,FALSE)*IF($BQ67="",1,VLOOKUP($BQ67,DADOS!$CO$5:$CP$7,2,FALSE))*IF($BR67="",1,VLOOKUP($BR67,DADOS!$CR$5:$CS$15,2,FALSE)),4),1)),0),""))</f>
        <v/>
      </c>
      <c r="BT67" s="125" t="n"/>
    </row>
    <row r="68" outlineLevel="1">
      <c r="A68" s="8" t="n"/>
      <c r="B68" s="14" t="n"/>
      <c r="C68" s="125" t="n"/>
      <c r="D68" s="89" t="b">
        <v>0</v>
      </c>
      <c r="E68" s="134" t="inlineStr">
        <is>
          <t>Machado de Guerra</t>
        </is>
      </c>
      <c r="F68" s="16" t="n"/>
      <c r="G68" s="16" t="n"/>
      <c r="H68" s="16" t="n"/>
      <c r="I68" s="16" t="n"/>
      <c r="J68" s="16" t="n"/>
      <c r="K68" s="16" t="n"/>
      <c r="L68" s="17" t="n"/>
      <c r="M68" s="89" t="b">
        <v>0</v>
      </c>
      <c r="N68" s="134" t="inlineStr">
        <is>
          <t>Tessen</t>
        </is>
      </c>
      <c r="O68" s="16" t="n"/>
      <c r="P68" s="16" t="n"/>
      <c r="Q68" s="16" t="n"/>
      <c r="R68" s="16" t="n"/>
      <c r="S68" s="16" t="n"/>
      <c r="T68" s="16" t="n"/>
      <c r="U68" s="17" t="n"/>
      <c r="V68" s="89" t="b">
        <v>0</v>
      </c>
      <c r="W68" s="134" t="inlineStr">
        <is>
          <t>Besta de Uma Mão</t>
        </is>
      </c>
      <c r="X68" s="16" t="n"/>
      <c r="Y68" s="16" t="n"/>
      <c r="Z68" s="16" t="n"/>
      <c r="AA68" s="16" t="n"/>
      <c r="AB68" s="16" t="n"/>
      <c r="AC68" s="16" t="n"/>
      <c r="AD68" s="17" t="n"/>
      <c r="AE68" s="89" t="b">
        <v>0</v>
      </c>
      <c r="AF68" s="134" t="inlineStr">
        <is>
          <t>Tekko</t>
        </is>
      </c>
      <c r="AG68" s="16" t="n"/>
      <c r="AH68" s="16" t="n"/>
      <c r="AI68" s="16" t="n"/>
      <c r="AJ68" s="16" t="n"/>
      <c r="AK68" s="16" t="n"/>
      <c r="AL68" s="17" t="n"/>
      <c r="AM68" s="89" t="b">
        <v>0</v>
      </c>
      <c r="AN68" s="134" t="inlineStr">
        <is>
          <t>Hankyū</t>
        </is>
      </c>
      <c r="AO68" s="16" t="n"/>
      <c r="AP68" s="16" t="n"/>
      <c r="AQ68" s="16" t="n"/>
      <c r="AR68" s="16" t="n"/>
      <c r="AS68" s="16" t="n"/>
      <c r="AT68" s="17" t="n"/>
      <c r="AU68" s="125" t="n"/>
      <c r="AV68" s="125" t="n"/>
      <c r="AW68" s="134" t="n"/>
      <c r="AX68" s="134" t="n"/>
      <c r="AY68" s="89" t="n"/>
      <c r="AZ68" s="89" t="n"/>
      <c r="BA68" s="89">
        <f>IF($AX68="","",IFERROR(IF(ROUND(VLOOKUP($AX68,DADOS!$CL$5:$CM$10,2,FALSE)*IF($AY68="",1,VLOOKUP($AY68,DADOS!$CO$5:$CP$7,2,FALSE))*IF($AZ68="",1,VLOOKUP($AZ68,DADOS!$CR$5:$CS$15,2,FALSE)),4)&gt;0,MAX(1,FLOOR(ROUND(VLOOKUP($AX68,DADOS!$CL$5:$CM$10,2,FALSE)*IF($AY68="",1,VLOOKUP($AY68,DADOS!$CO$5:$CP$7,2,FALSE))*IF($AZ68="",1,VLOOKUP($AZ68,DADOS!$CR$5:$CS$15,2,FALSE)),4),1)),0),""))</f>
        <v/>
      </c>
      <c r="BB68" s="125" t="n"/>
      <c r="BC68" s="134" t="n"/>
      <c r="BD68" s="134" t="n"/>
      <c r="BE68" s="89" t="n"/>
      <c r="BF68" s="89" t="n"/>
      <c r="BG68" s="89">
        <f>IF($BD68="","",IFERROR(IF(ROUND(VLOOKUP($BD68,DADOS!$CL$5:$CM$10,2,FALSE)*IF($BE68="",1,VLOOKUP($BE68,DADOS!$CO$5:$CP$7,2,FALSE))*IF($BF68="",1,VLOOKUP($BF68,DADOS!$CR$5:$CS$15,2,FALSE)),4)&gt;0,MAX(1,FLOOR(ROUND(VLOOKUP($BD68,DADOS!$CL$5:$CM$10,2,FALSE)*IF($BE68="",1,VLOOKUP($BE68,DADOS!$CO$5:$CP$7,2,FALSE))*IF($BF68="",1,VLOOKUP($BF68,DADOS!$CR$5:$CS$15,2,FALSE)),4),1)),0),""))</f>
        <v/>
      </c>
      <c r="BH68" s="125" t="n"/>
      <c r="BI68" s="134" t="n"/>
      <c r="BJ68" s="134" t="n"/>
      <c r="BK68" s="89" t="n"/>
      <c r="BL68" s="89" t="n"/>
      <c r="BM68" s="89">
        <f>IF($BJ68="","",IFERROR(IF(ROUND(VLOOKUP($BJ68,DADOS!$CL$5:$CM$10,2,FALSE)*IF($BK68="",1,VLOOKUP($BK68,DADOS!$CO$5:$CP$7,2,FALSE))*IF($BL68="",1,VLOOKUP($BL68,DADOS!$CR$5:$CS$15,2,FALSE)),4)&gt;0,MAX(1,FLOOR(ROUND(VLOOKUP($BJ68,DADOS!$CL$5:$CM$10,2,FALSE)*IF($BK68="",1,VLOOKUP($BK68,DADOS!$CO$5:$CP$7,2,FALSE))*IF($BL68="",1,VLOOKUP($BL68,DADOS!$CR$5:$CS$15,2,FALSE)),4),1)),0),""))</f>
        <v/>
      </c>
      <c r="BN68" s="125" t="n"/>
      <c r="BO68" s="134" t="n"/>
      <c r="BP68" s="134" t="n"/>
      <c r="BQ68" s="89" t="n"/>
      <c r="BR68" s="89" t="n"/>
      <c r="BS68" s="89">
        <f>IF($BP68="","",IFERROR(IF(ROUND(VLOOKUP($BP68,DADOS!$CL$5:$CM$10,2,FALSE)*IF($BQ68="",1,VLOOKUP($BQ68,DADOS!$CO$5:$CP$7,2,FALSE))*IF($BR68="",1,VLOOKUP($BR68,DADOS!$CR$5:$CS$15,2,FALSE)),4)&gt;0,MAX(1,FLOOR(ROUND(VLOOKUP($BP68,DADOS!$CL$5:$CM$10,2,FALSE)*IF($BQ68="",1,VLOOKUP($BQ68,DADOS!$CO$5:$CP$7,2,FALSE))*IF($BR68="",1,VLOOKUP($BR68,DADOS!$CR$5:$CS$15,2,FALSE)),4),1)),0),""))</f>
        <v/>
      </c>
      <c r="BT68" s="125" t="n"/>
    </row>
    <row r="69">
      <c r="A69" s="8" t="n"/>
      <c r="B69" s="14" t="n"/>
      <c r="C69" s="125" t="n"/>
      <c r="D69" s="125" t="n"/>
      <c r="E69" s="125" t="n"/>
      <c r="F69" s="125" t="n"/>
      <c r="G69" s="125" t="n"/>
      <c r="H69" s="125" t="n"/>
      <c r="I69" s="125" t="n"/>
      <c r="J69" s="125" t="n"/>
      <c r="K69" s="125" t="n"/>
      <c r="L69" s="125" t="n"/>
      <c r="M69" s="125" t="n"/>
      <c r="N69" s="125" t="n"/>
      <c r="O69" s="125" t="n"/>
      <c r="P69" s="125" t="n"/>
      <c r="Q69" s="125" t="n"/>
      <c r="R69" s="125" t="n"/>
      <c r="S69" s="125" t="n"/>
      <c r="T69" s="125" t="n"/>
      <c r="U69" s="125" t="n"/>
      <c r="V69" s="125" t="n"/>
      <c r="W69" s="125" t="n"/>
      <c r="X69" s="125" t="n"/>
      <c r="Y69" s="125" t="n"/>
      <c r="Z69" s="125" t="n"/>
      <c r="AA69" s="125" t="n"/>
      <c r="AB69" s="125" t="n"/>
      <c r="AC69" s="125" t="n"/>
      <c r="AD69" s="125" t="n"/>
      <c r="AE69" s="125" t="n"/>
      <c r="AF69" s="125" t="n"/>
      <c r="AG69" s="125" t="n"/>
      <c r="AH69" s="125" t="n"/>
      <c r="AI69" s="125" t="n"/>
      <c r="AJ69" s="125" t="n"/>
      <c r="AK69" s="125" t="n"/>
      <c r="AL69" s="125" t="n"/>
      <c r="AM69" s="125" t="n"/>
      <c r="AN69" s="125" t="n"/>
      <c r="AO69" s="125" t="n"/>
      <c r="AP69" s="125" t="n"/>
      <c r="AQ69" s="125" t="n"/>
      <c r="AR69" s="125" t="n"/>
      <c r="AS69" s="125" t="n"/>
      <c r="AT69" s="125" t="n"/>
      <c r="AU69" s="125" t="n"/>
      <c r="AV69" s="125" t="n"/>
      <c r="AW69" s="134" t="n"/>
      <c r="AX69" s="134" t="n"/>
      <c r="AY69" s="89" t="n"/>
      <c r="AZ69" s="89" t="n"/>
      <c r="BA69" s="89">
        <f>IF($AX69="","",IFERROR(IF(ROUND(VLOOKUP($AX69,DADOS!$CL$5:$CM$10,2,FALSE)*IF($AY69="",1,VLOOKUP($AY69,DADOS!$CO$5:$CP$7,2,FALSE))*IF($AZ69="",1,VLOOKUP($AZ69,DADOS!$CR$5:$CS$15,2,FALSE)),4)&gt;0,MAX(1,FLOOR(ROUND(VLOOKUP($AX69,DADOS!$CL$5:$CM$10,2,FALSE)*IF($AY69="",1,VLOOKUP($AY69,DADOS!$CO$5:$CP$7,2,FALSE))*IF($AZ69="",1,VLOOKUP($AZ69,DADOS!$CR$5:$CS$15,2,FALSE)),4),1)),0),""))</f>
        <v/>
      </c>
      <c r="BB69" s="125" t="n"/>
      <c r="BC69" s="134" t="n"/>
      <c r="BD69" s="134" t="n"/>
      <c r="BE69" s="89" t="n"/>
      <c r="BF69" s="89" t="n"/>
      <c r="BG69" s="89">
        <f>IF($BD69="","",IFERROR(IF(ROUND(VLOOKUP($BD69,DADOS!$CL$5:$CM$10,2,FALSE)*IF($BE69="",1,VLOOKUP($BE69,DADOS!$CO$5:$CP$7,2,FALSE))*IF($BF69="",1,VLOOKUP($BF69,DADOS!$CR$5:$CS$15,2,FALSE)),4)&gt;0,MAX(1,FLOOR(ROUND(VLOOKUP($BD69,DADOS!$CL$5:$CM$10,2,FALSE)*IF($BE69="",1,VLOOKUP($BE69,DADOS!$CO$5:$CP$7,2,FALSE))*IF($BF69="",1,VLOOKUP($BF69,DADOS!$CR$5:$CS$15,2,FALSE)),4),1)),0),""))</f>
        <v/>
      </c>
      <c r="BH69" s="125" t="n"/>
      <c r="BI69" s="134" t="n"/>
      <c r="BJ69" s="134" t="n"/>
      <c r="BK69" s="89" t="n"/>
      <c r="BL69" s="89" t="n"/>
      <c r="BM69" s="89">
        <f>IF($BJ69="","",IFERROR(IF(ROUND(VLOOKUP($BJ69,DADOS!$CL$5:$CM$10,2,FALSE)*IF($BK69="",1,VLOOKUP($BK69,DADOS!$CO$5:$CP$7,2,FALSE))*IF($BL69="",1,VLOOKUP($BL69,DADOS!$CR$5:$CS$15,2,FALSE)),4)&gt;0,MAX(1,FLOOR(ROUND(VLOOKUP($BJ69,DADOS!$CL$5:$CM$10,2,FALSE)*IF($BK69="",1,VLOOKUP($BK69,DADOS!$CO$5:$CP$7,2,FALSE))*IF($BL69="",1,VLOOKUP($BL69,DADOS!$CR$5:$CS$15,2,FALSE)),4),1)),0),""))</f>
        <v/>
      </c>
      <c r="BN69" s="125" t="n"/>
      <c r="BO69" s="134" t="n"/>
      <c r="BP69" s="134" t="n"/>
      <c r="BQ69" s="89" t="n"/>
      <c r="BR69" s="89" t="n"/>
      <c r="BS69" s="89">
        <f>IF($BP69="","",IFERROR(IF(ROUND(VLOOKUP($BP69,DADOS!$CL$5:$CM$10,2,FALSE)*IF($BQ69="",1,VLOOKUP($BQ69,DADOS!$CO$5:$CP$7,2,FALSE))*IF($BR69="",1,VLOOKUP($BR69,DADOS!$CR$5:$CS$15,2,FALSE)),4)&gt;0,MAX(1,FLOOR(ROUND(VLOOKUP($BP69,DADOS!$CL$5:$CM$10,2,FALSE)*IF($BQ69="",1,VLOOKUP($BQ69,DADOS!$CO$5:$CP$7,2,FALSE))*IF($BR69="",1,VLOOKUP($BR69,DADOS!$CR$5:$CS$15,2,FALSE)),4),1)),0),""))</f>
        <v/>
      </c>
      <c r="BT69" s="125" t="n"/>
    </row>
    <row r="70">
      <c r="A70" s="8" t="n"/>
      <c r="B70" s="14" t="n"/>
      <c r="C70" s="125" t="n"/>
      <c r="D70" s="55" t="inlineStr">
        <is>
          <t>CARGA · LIMITE 5 + FORÇA</t>
        </is>
      </c>
      <c r="E70" s="16" t="n"/>
      <c r="F70" s="16" t="n"/>
      <c r="G70" s="16" t="n"/>
      <c r="H70" s="16" t="n"/>
      <c r="I70" s="16" t="n"/>
      <c r="J70" s="16" t="n"/>
      <c r="K70" s="17" t="n"/>
      <c r="L70" s="55" t="inlineStr">
        <is>
          <t>Buff/Debuff</t>
        </is>
      </c>
      <c r="M70" s="17" t="n"/>
      <c r="N70" s="125" t="n"/>
      <c r="O70" s="55" t="inlineStr">
        <is>
          <t>IENES</t>
        </is>
      </c>
      <c r="P70" s="16" t="n"/>
      <c r="Q70" s="16" t="n"/>
      <c r="R70" s="16" t="n"/>
      <c r="S70" s="16" t="n"/>
      <c r="T70" s="16" t="n"/>
      <c r="U70" s="17" t="n"/>
      <c r="V70" s="125" t="n"/>
      <c r="W70" s="55" t="inlineStr">
        <is>
          <t>SALÁRIO POR MÊS</t>
        </is>
      </c>
      <c r="X70" s="16" t="n"/>
      <c r="Y70" s="16" t="n"/>
      <c r="Z70" s="16" t="n"/>
      <c r="AA70" s="16" t="n"/>
      <c r="AB70" s="16" t="n"/>
      <c r="AC70" s="16" t="n"/>
      <c r="AD70" s="17" t="n"/>
      <c r="AE70" s="125" t="n"/>
      <c r="AF70" s="55" t="inlineStr">
        <is>
          <t>REQUISITO DE FORÇA</t>
        </is>
      </c>
      <c r="AG70" s="16" t="n"/>
      <c r="AH70" s="16" t="n"/>
      <c r="AI70" s="16" t="n"/>
      <c r="AJ70" s="16" t="n"/>
      <c r="AK70" s="16" t="n"/>
      <c r="AL70" s="17" t="n"/>
      <c r="AM70" s="125" t="n"/>
      <c r="AN70" s="55" t="inlineStr">
        <is>
          <t>SITUAÇÃO DO TRAJE</t>
        </is>
      </c>
      <c r="AO70" s="16" t="n"/>
      <c r="AP70" s="16" t="n"/>
      <c r="AQ70" s="16" t="n"/>
      <c r="AR70" s="16" t="n"/>
      <c r="AS70" s="16" t="n"/>
      <c r="AT70" s="17" t="n"/>
      <c r="AU70" s="125" t="n"/>
      <c r="AV70" s="125" t="n"/>
      <c r="AW70" s="134" t="n"/>
      <c r="AX70" s="134" t="n"/>
      <c r="AY70" s="89" t="n"/>
      <c r="AZ70" s="89" t="n"/>
      <c r="BA70" s="89">
        <f>IF($AX70="","",IFERROR(IF(ROUND(VLOOKUP($AX70,DADOS!$CL$5:$CM$10,2,FALSE)*IF($AY70="",1,VLOOKUP($AY70,DADOS!$CO$5:$CP$7,2,FALSE))*IF($AZ70="",1,VLOOKUP($AZ70,DADOS!$CR$5:$CS$15,2,FALSE)),4)&gt;0,MAX(1,FLOOR(ROUND(VLOOKUP($AX70,DADOS!$CL$5:$CM$10,2,FALSE)*IF($AY70="",1,VLOOKUP($AY70,DADOS!$CO$5:$CP$7,2,FALSE))*IF($AZ70="",1,VLOOKUP($AZ70,DADOS!$CR$5:$CS$15,2,FALSE)),4),1)),0),""))</f>
        <v/>
      </c>
      <c r="BB70" s="125" t="n"/>
      <c r="BC70" s="134" t="n"/>
      <c r="BD70" s="134" t="n"/>
      <c r="BE70" s="89" t="n"/>
      <c r="BF70" s="89" t="n"/>
      <c r="BG70" s="89">
        <f>IF($BD70="","",IFERROR(IF(ROUND(VLOOKUP($BD70,DADOS!$CL$5:$CM$10,2,FALSE)*IF($BE70="",1,VLOOKUP($BE70,DADOS!$CO$5:$CP$7,2,FALSE))*IF($BF70="",1,VLOOKUP($BF70,DADOS!$CR$5:$CS$15,2,FALSE)),4)&gt;0,MAX(1,FLOOR(ROUND(VLOOKUP($BD70,DADOS!$CL$5:$CM$10,2,FALSE)*IF($BE70="",1,VLOOKUP($BE70,DADOS!$CO$5:$CP$7,2,FALSE))*IF($BF70="",1,VLOOKUP($BF70,DADOS!$CR$5:$CS$15,2,FALSE)),4),1)),0),""))</f>
        <v/>
      </c>
      <c r="BH70" s="125" t="n"/>
      <c r="BI70" s="134" t="n"/>
      <c r="BJ70" s="134" t="n"/>
      <c r="BK70" s="89" t="n"/>
      <c r="BL70" s="89" t="n"/>
      <c r="BM70" s="89">
        <f>IF($BJ70="","",IFERROR(IF(ROUND(VLOOKUP($BJ70,DADOS!$CL$5:$CM$10,2,FALSE)*IF($BK70="",1,VLOOKUP($BK70,DADOS!$CO$5:$CP$7,2,FALSE))*IF($BL70="",1,VLOOKUP($BL70,DADOS!$CR$5:$CS$15,2,FALSE)),4)&gt;0,MAX(1,FLOOR(ROUND(VLOOKUP($BJ70,DADOS!$CL$5:$CM$10,2,FALSE)*IF($BK70="",1,VLOOKUP($BK70,DADOS!$CO$5:$CP$7,2,FALSE))*IF($BL70="",1,VLOOKUP($BL70,DADOS!$CR$5:$CS$15,2,FALSE)),4),1)),0),""))</f>
        <v/>
      </c>
      <c r="BN70" s="125" t="n"/>
      <c r="BO70" s="134" t="n"/>
      <c r="BP70" s="134" t="n"/>
      <c r="BQ70" s="89" t="n"/>
      <c r="BR70" s="89" t="n"/>
      <c r="BS70" s="89">
        <f>IF($BP70="","",IFERROR(IF(ROUND(VLOOKUP($BP70,DADOS!$CL$5:$CM$10,2,FALSE)*IF($BQ70="",1,VLOOKUP($BQ70,DADOS!$CO$5:$CP$7,2,FALSE))*IF($BR70="",1,VLOOKUP($BR70,DADOS!$CR$5:$CS$15,2,FALSE)),4)&gt;0,MAX(1,FLOOR(ROUND(VLOOKUP($BP70,DADOS!$CL$5:$CM$10,2,FALSE)*IF($BQ70="",1,VLOOKUP($BQ70,DADOS!$CO$5:$CP$7,2,FALSE))*IF($BR70="",1,VLOOKUP($BR70,DADOS!$CR$5:$CS$15,2,FALSE)),4),1)),0),""))</f>
        <v/>
      </c>
      <c r="BT70" s="125" t="n"/>
    </row>
    <row r="71">
      <c r="A71" s="8" t="n"/>
      <c r="B71" s="14" t="n"/>
      <c r="C71" s="125" t="n"/>
      <c r="D71" s="98">
        <f>DADOS!$CZ$40&amp;" de "&amp;DADOS!$CZ$41&amp;IF(DADOS!$CZ$42=1," · acima","")</f>
        <v/>
      </c>
      <c r="E71" s="19" t="n"/>
      <c r="F71" s="19" t="n"/>
      <c r="G71" s="19" t="n"/>
      <c r="H71" s="20" t="n"/>
      <c r="I71" s="134">
        <f>IFERROR(SPARKLINE(MIN(DADOS!$CZ$40,DADOS!$CZ$41),{"charttype","bar";"max",DADOS!$CZ$41;"color1",IF(DADOS!$CZ$42=1,"#C2334D",DADOS!$CZ$51)}),"")</f>
        <v/>
      </c>
      <c r="J71" s="19" t="n"/>
      <c r="K71" s="20" t="n"/>
      <c r="L71" s="98" t="n">
        <v>0</v>
      </c>
      <c r="M71" s="20" t="n"/>
      <c r="N71" s="125" t="n"/>
      <c r="O71" s="149" t="n">
        <v>150000</v>
      </c>
      <c r="P71" s="19" t="n"/>
      <c r="Q71" s="19" t="n"/>
      <c r="R71" s="19" t="n"/>
      <c r="S71" s="19" t="n"/>
      <c r="T71" s="19" t="n"/>
      <c r="U71" s="20" t="n"/>
      <c r="V71" s="125" t="n"/>
      <c r="W71" s="98">
        <f>IFERROR(VLOOKUP($AB$11,DADOS!$CF$5:$CH$9,2,FALSE),"—")</f>
        <v/>
      </c>
      <c r="X71" s="19" t="n"/>
      <c r="Y71" s="19" t="n"/>
      <c r="Z71" s="19" t="n"/>
      <c r="AA71" s="19" t="n"/>
      <c r="AB71" s="19" t="n"/>
      <c r="AC71" s="19" t="n"/>
      <c r="AD71" s="20" t="n"/>
      <c r="AE71" s="125" t="n"/>
      <c r="AF71" s="84">
        <f>IF(DADOS!$CZ$36+DADOS!$CZ$37+DADOS!$CZ$38=0,"Cumprido","Não cumprido")</f>
        <v/>
      </c>
      <c r="AG71" s="19" t="n"/>
      <c r="AH71" s="19" t="n"/>
      <c r="AI71" s="19" t="n"/>
      <c r="AJ71" s="19" t="n"/>
      <c r="AK71" s="19" t="n"/>
      <c r="AL71" s="20" t="n"/>
      <c r="AM71" s="125" t="n"/>
      <c r="AN71" s="84" t="n"/>
      <c r="AO71" s="19" t="n"/>
      <c r="AP71" s="19" t="n"/>
      <c r="AQ71" s="19" t="n"/>
      <c r="AR71" s="19" t="n"/>
      <c r="AS71" s="19" t="n"/>
      <c r="AT71" s="20" t="n"/>
      <c r="AU71" s="125" t="n"/>
      <c r="AV71" s="125" t="n"/>
      <c r="AW71" s="134" t="n"/>
      <c r="AX71" s="134" t="n"/>
      <c r="AY71" s="89" t="n"/>
      <c r="AZ71" s="89" t="n"/>
      <c r="BA71" s="89">
        <f>IF($AX71="","",IFERROR(IF(ROUND(VLOOKUP($AX71,DADOS!$CL$5:$CM$10,2,FALSE)*IF($AY71="",1,VLOOKUP($AY71,DADOS!$CO$5:$CP$7,2,FALSE))*IF($AZ71="",1,VLOOKUP($AZ71,DADOS!$CR$5:$CS$15,2,FALSE)),4)&gt;0,MAX(1,FLOOR(ROUND(VLOOKUP($AX71,DADOS!$CL$5:$CM$10,2,FALSE)*IF($AY71="",1,VLOOKUP($AY71,DADOS!$CO$5:$CP$7,2,FALSE))*IF($AZ71="",1,VLOOKUP($AZ71,DADOS!$CR$5:$CS$15,2,FALSE)),4),1)),0),""))</f>
        <v/>
      </c>
      <c r="BB71" s="125" t="n"/>
      <c r="BC71" s="134" t="n"/>
      <c r="BD71" s="134" t="n"/>
      <c r="BE71" s="89" t="n"/>
      <c r="BF71" s="89" t="n"/>
      <c r="BG71" s="89">
        <f>IF($BD71="","",IFERROR(IF(ROUND(VLOOKUP($BD71,DADOS!$CL$5:$CM$10,2,FALSE)*IF($BE71="",1,VLOOKUP($BE71,DADOS!$CO$5:$CP$7,2,FALSE))*IF($BF71="",1,VLOOKUP($BF71,DADOS!$CR$5:$CS$15,2,FALSE)),4)&gt;0,MAX(1,FLOOR(ROUND(VLOOKUP($BD71,DADOS!$CL$5:$CM$10,2,FALSE)*IF($BE71="",1,VLOOKUP($BE71,DADOS!$CO$5:$CP$7,2,FALSE))*IF($BF71="",1,VLOOKUP($BF71,DADOS!$CR$5:$CS$15,2,FALSE)),4),1)),0),""))</f>
        <v/>
      </c>
      <c r="BH71" s="125" t="n"/>
      <c r="BI71" s="134" t="n"/>
      <c r="BJ71" s="134" t="n"/>
      <c r="BK71" s="89" t="n"/>
      <c r="BL71" s="89" t="n"/>
      <c r="BM71" s="89">
        <f>IF($BJ71="","",IFERROR(IF(ROUND(VLOOKUP($BJ71,DADOS!$CL$5:$CM$10,2,FALSE)*IF($BK71="",1,VLOOKUP($BK71,DADOS!$CO$5:$CP$7,2,FALSE))*IF($BL71="",1,VLOOKUP($BL71,DADOS!$CR$5:$CS$15,2,FALSE)),4)&gt;0,MAX(1,FLOOR(ROUND(VLOOKUP($BJ71,DADOS!$CL$5:$CM$10,2,FALSE)*IF($BK71="",1,VLOOKUP($BK71,DADOS!$CO$5:$CP$7,2,FALSE))*IF($BL71="",1,VLOOKUP($BL71,DADOS!$CR$5:$CS$15,2,FALSE)),4),1)),0),""))</f>
        <v/>
      </c>
      <c r="BN71" s="125" t="n"/>
      <c r="BO71" s="134" t="n"/>
      <c r="BP71" s="134" t="n"/>
      <c r="BQ71" s="89" t="n"/>
      <c r="BR71" s="89" t="n"/>
      <c r="BS71" s="89">
        <f>IF($BP71="","",IFERROR(IF(ROUND(VLOOKUP($BP71,DADOS!$CL$5:$CM$10,2,FALSE)*IF($BQ71="",1,VLOOKUP($BQ71,DADOS!$CO$5:$CP$7,2,FALSE))*IF($BR71="",1,VLOOKUP($BR71,DADOS!$CR$5:$CS$15,2,FALSE)),4)&gt;0,MAX(1,FLOOR(ROUND(VLOOKUP($BP71,DADOS!$CL$5:$CM$10,2,FALSE)*IF($BQ71="",1,VLOOKUP($BQ71,DADOS!$CO$5:$CP$7,2,FALSE))*IF($BR71="",1,VLOOKUP($BR71,DADOS!$CR$5:$CS$15,2,FALSE)),4),1)),0),""))</f>
        <v/>
      </c>
      <c r="BT71" s="125" t="n"/>
    </row>
    <row r="72">
      <c r="A72" s="8" t="n"/>
      <c r="B72" s="14" t="n"/>
      <c r="C72" s="125" t="n"/>
      <c r="D72" s="23" t="n"/>
      <c r="E72" s="24" t="n"/>
      <c r="F72" s="24" t="n"/>
      <c r="G72" s="24" t="n"/>
      <c r="H72" s="25" t="n"/>
      <c r="I72" s="23" t="n"/>
      <c r="J72" s="24" t="n"/>
      <c r="K72" s="25" t="n"/>
      <c r="L72" s="23" t="n"/>
      <c r="M72" s="25" t="n"/>
      <c r="N72" s="125" t="n"/>
      <c r="O72" s="23" t="n"/>
      <c r="P72" s="24" t="n"/>
      <c r="Q72" s="24" t="n"/>
      <c r="R72" s="24" t="n"/>
      <c r="S72" s="24" t="n"/>
      <c r="T72" s="24" t="n"/>
      <c r="U72" s="25" t="n"/>
      <c r="V72" s="125" t="n"/>
      <c r="W72" s="23" t="n"/>
      <c r="X72" s="24" t="n"/>
      <c r="Y72" s="24" t="n"/>
      <c r="Z72" s="24" t="n"/>
      <c r="AA72" s="24" t="n"/>
      <c r="AB72" s="24" t="n"/>
      <c r="AC72" s="24" t="n"/>
      <c r="AD72" s="25" t="n"/>
      <c r="AE72" s="125" t="n"/>
      <c r="AF72" s="23" t="n"/>
      <c r="AG72" s="24" t="n"/>
      <c r="AH72" s="24" t="n"/>
      <c r="AI72" s="24" t="n"/>
      <c r="AJ72" s="24" t="n"/>
      <c r="AK72" s="24" t="n"/>
      <c r="AL72" s="25" t="n"/>
      <c r="AM72" s="125" t="n"/>
      <c r="AN72" s="23" t="n"/>
      <c r="AO72" s="24" t="n"/>
      <c r="AP72" s="24" t="n"/>
      <c r="AQ72" s="24" t="n"/>
      <c r="AR72" s="24" t="n"/>
      <c r="AS72" s="24" t="n"/>
      <c r="AT72" s="25" t="n"/>
      <c r="AU72" s="125" t="n"/>
      <c r="AV72" s="125" t="n"/>
      <c r="AW72" s="134" t="n"/>
      <c r="AX72" s="134" t="n"/>
      <c r="AY72" s="89" t="n"/>
      <c r="AZ72" s="89" t="n"/>
      <c r="BA72" s="89">
        <f>IF($AX72="","",IFERROR(IF(ROUND(VLOOKUP($AX72,DADOS!$CL$5:$CM$10,2,FALSE)*IF($AY72="",1,VLOOKUP($AY72,DADOS!$CO$5:$CP$7,2,FALSE))*IF($AZ72="",1,VLOOKUP($AZ72,DADOS!$CR$5:$CS$15,2,FALSE)),4)&gt;0,MAX(1,FLOOR(ROUND(VLOOKUP($AX72,DADOS!$CL$5:$CM$10,2,FALSE)*IF($AY72="",1,VLOOKUP($AY72,DADOS!$CO$5:$CP$7,2,FALSE))*IF($AZ72="",1,VLOOKUP($AZ72,DADOS!$CR$5:$CS$15,2,FALSE)),4),1)),0),""))</f>
        <v/>
      </c>
      <c r="BB72" s="125" t="n"/>
      <c r="BC72" s="134" t="n"/>
      <c r="BD72" s="134" t="n"/>
      <c r="BE72" s="89" t="n"/>
      <c r="BF72" s="89" t="n"/>
      <c r="BG72" s="89">
        <f>IF($BD72="","",IFERROR(IF(ROUND(VLOOKUP($BD72,DADOS!$CL$5:$CM$10,2,FALSE)*IF($BE72="",1,VLOOKUP($BE72,DADOS!$CO$5:$CP$7,2,FALSE))*IF($BF72="",1,VLOOKUP($BF72,DADOS!$CR$5:$CS$15,2,FALSE)),4)&gt;0,MAX(1,FLOOR(ROUND(VLOOKUP($BD72,DADOS!$CL$5:$CM$10,2,FALSE)*IF($BE72="",1,VLOOKUP($BE72,DADOS!$CO$5:$CP$7,2,FALSE))*IF($BF72="",1,VLOOKUP($BF72,DADOS!$CR$5:$CS$15,2,FALSE)),4),1)),0),""))</f>
        <v/>
      </c>
      <c r="BH72" s="125" t="n"/>
      <c r="BI72" s="134" t="n"/>
      <c r="BJ72" s="134" t="n"/>
      <c r="BK72" s="89" t="n"/>
      <c r="BL72" s="89" t="n"/>
      <c r="BM72" s="89">
        <f>IF($BJ72="","",IFERROR(IF(ROUND(VLOOKUP($BJ72,DADOS!$CL$5:$CM$10,2,FALSE)*IF($BK72="",1,VLOOKUP($BK72,DADOS!$CO$5:$CP$7,2,FALSE))*IF($BL72="",1,VLOOKUP($BL72,DADOS!$CR$5:$CS$15,2,FALSE)),4)&gt;0,MAX(1,FLOOR(ROUND(VLOOKUP($BJ72,DADOS!$CL$5:$CM$10,2,FALSE)*IF($BK72="",1,VLOOKUP($BK72,DADOS!$CO$5:$CP$7,2,FALSE))*IF($BL72="",1,VLOOKUP($BL72,DADOS!$CR$5:$CS$15,2,FALSE)),4),1)),0),""))</f>
        <v/>
      </c>
      <c r="BN72" s="125" t="n"/>
      <c r="BO72" s="134" t="n"/>
      <c r="BP72" s="134" t="n"/>
      <c r="BQ72" s="89" t="n"/>
      <c r="BR72" s="89" t="n"/>
      <c r="BS72" s="89">
        <f>IF($BP72="","",IFERROR(IF(ROUND(VLOOKUP($BP72,DADOS!$CL$5:$CM$10,2,FALSE)*IF($BQ72="",1,VLOOKUP($BQ72,DADOS!$CO$5:$CP$7,2,FALSE))*IF($BR72="",1,VLOOKUP($BR72,DADOS!$CR$5:$CS$15,2,FALSE)),4)&gt;0,MAX(1,FLOOR(ROUND(VLOOKUP($BP72,DADOS!$CL$5:$CM$10,2,FALSE)*IF($BQ72="",1,VLOOKUP($BQ72,DADOS!$CO$5:$CP$7,2,FALSE))*IF($BR72="",1,VLOOKUP($BR72,DADOS!$CR$5:$CS$15,2,FALSE)),4),1)),0),""))</f>
        <v/>
      </c>
      <c r="BT72" s="125" t="n"/>
    </row>
    <row r="73">
      <c r="A73" s="8" t="n"/>
      <c r="B73" s="14" t="n"/>
      <c r="C73" s="125" t="n"/>
      <c r="D73" s="125" t="n"/>
      <c r="E73" s="125" t="n"/>
      <c r="F73" s="125" t="n"/>
      <c r="G73" s="125" t="n"/>
      <c r="H73" s="125" t="n"/>
      <c r="I73" s="125" t="n"/>
      <c r="J73" s="125" t="n"/>
      <c r="K73" s="125" t="n"/>
      <c r="L73" s="125" t="n"/>
      <c r="M73" s="125" t="n"/>
      <c r="N73" s="125" t="n"/>
      <c r="O73" s="125" t="n"/>
      <c r="P73" s="125" t="n"/>
      <c r="Q73" s="125" t="n"/>
      <c r="R73" s="125" t="n"/>
      <c r="S73" s="125" t="n"/>
      <c r="T73" s="125" t="n"/>
      <c r="U73" s="125" t="n"/>
      <c r="V73" s="125" t="n"/>
      <c r="W73" s="125" t="n"/>
      <c r="X73" s="125" t="n"/>
      <c r="Y73" s="125" t="n"/>
      <c r="Z73" s="125" t="n"/>
      <c r="AA73" s="125" t="n"/>
      <c r="AB73" s="125" t="n"/>
      <c r="AC73" s="125" t="n"/>
      <c r="AD73" s="125" t="n"/>
      <c r="AE73" s="125" t="n"/>
      <c r="AF73" s="125" t="n"/>
      <c r="AG73" s="125" t="n"/>
      <c r="AH73" s="125" t="n"/>
      <c r="AI73" s="125" t="n"/>
      <c r="AJ73" s="125" t="n"/>
      <c r="AK73" s="125" t="n"/>
      <c r="AL73" s="125" t="n"/>
      <c r="AM73" s="125" t="n"/>
      <c r="AN73" s="125" t="n"/>
      <c r="AO73" s="125" t="n"/>
      <c r="AP73" s="125" t="n"/>
      <c r="AQ73" s="125" t="n"/>
      <c r="AR73" s="125" t="n"/>
      <c r="AS73" s="125" t="n"/>
      <c r="AT73" s="125" t="n"/>
      <c r="AU73" s="125" t="n"/>
      <c r="AV73" s="125" t="n"/>
      <c r="AW73" s="125" t="n"/>
      <c r="AX73" s="125" t="n"/>
      <c r="AY73" s="125" t="n"/>
      <c r="AZ73" s="125" t="n"/>
      <c r="BA73" s="125" t="n"/>
      <c r="BB73" s="125" t="n"/>
      <c r="BC73" s="125" t="n"/>
      <c r="BD73" s="125" t="n"/>
      <c r="BE73" s="125" t="n"/>
      <c r="BF73" s="125" t="n"/>
      <c r="BG73" s="125" t="n"/>
      <c r="BH73" s="125" t="n"/>
      <c r="BI73" s="125" t="n"/>
      <c r="BJ73" s="125" t="n"/>
      <c r="BK73" s="125" t="n"/>
      <c r="BL73" s="125" t="n"/>
      <c r="BM73" s="125" t="n"/>
      <c r="BN73" s="125" t="n"/>
      <c r="BO73" s="125" t="n"/>
      <c r="BP73" s="125" t="n"/>
      <c r="BQ73" s="125" t="n"/>
      <c r="BR73" s="125" t="n"/>
      <c r="BS73" s="125" t="n"/>
      <c r="BT73" s="125" t="n"/>
    </row>
    <row r="74">
      <c r="A74" s="8" t="n"/>
      <c r="B74" s="14" t="n"/>
      <c r="C74" s="125" t="n"/>
      <c r="D74" s="128"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5" t="n"/>
      <c r="AV74" s="125" t="n"/>
      <c r="AW74" s="128" t="inlineStr">
        <is>
          <t>NÍVEIS</t>
        </is>
      </c>
      <c r="AX74" s="19" t="n"/>
      <c r="AY74" s="19" t="n"/>
      <c r="AZ74" s="19" t="n"/>
      <c r="BA74" s="19" t="n"/>
      <c r="BB74" s="19" t="n"/>
      <c r="BC74" s="19" t="n"/>
      <c r="BD74" s="19" t="n"/>
      <c r="BE74" s="19" t="n"/>
      <c r="BF74" s="19" t="n"/>
      <c r="BG74" s="20" t="n"/>
      <c r="BH74" s="125" t="n"/>
      <c r="BI74" s="125" t="n"/>
      <c r="BJ74" s="125" t="n"/>
      <c r="BK74" s="125" t="n"/>
      <c r="BL74" s="125" t="n"/>
      <c r="BM74" s="125" t="n"/>
      <c r="BN74" s="125" t="n"/>
      <c r="BO74" s="125" t="n"/>
      <c r="BP74" s="125" t="n"/>
      <c r="BQ74" s="125" t="n"/>
      <c r="BR74" s="125" t="n"/>
      <c r="BS74" s="125" t="n"/>
      <c r="BT74" s="125" t="n"/>
    </row>
    <row r="75">
      <c r="A75" s="8" t="n"/>
      <c r="B75" s="14" t="n"/>
      <c r="C75" s="125"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5" t="n"/>
      <c r="AV75" s="125" t="n"/>
      <c r="AW75" s="23" t="n"/>
      <c r="AX75" s="24" t="n"/>
      <c r="AY75" s="24" t="n"/>
      <c r="AZ75" s="24" t="n"/>
      <c r="BA75" s="24" t="n"/>
      <c r="BB75" s="24" t="n"/>
      <c r="BC75" s="24" t="n"/>
      <c r="BD75" s="24" t="n"/>
      <c r="BE75" s="24" t="n"/>
      <c r="BF75" s="24" t="n"/>
      <c r="BG75" s="25" t="n"/>
      <c r="BH75" s="125" t="n"/>
      <c r="BI75" s="125" t="n"/>
      <c r="BJ75" s="125" t="n"/>
      <c r="BK75" s="125" t="n"/>
      <c r="BL75" s="125" t="n"/>
      <c r="BM75" s="125" t="n"/>
      <c r="BN75" s="125" t="n"/>
      <c r="BO75" s="125" t="n"/>
      <c r="BP75" s="125" t="n"/>
      <c r="BQ75" s="125" t="n"/>
      <c r="BR75" s="125" t="n"/>
      <c r="BS75" s="125" t="n"/>
      <c r="BT75" s="125" t="n"/>
    </row>
    <row r="76">
      <c r="A76" s="8" t="n"/>
      <c r="B76" s="14" t="n"/>
      <c r="C76" s="125"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5" t="n"/>
      <c r="AV76" s="125" t="n"/>
      <c r="AW76" s="55" t="inlineStr">
        <is>
          <t>NÍVEL</t>
        </is>
      </c>
      <c r="AX76" s="55" t="inlineStr">
        <is>
          <t>PARA SUBIR</t>
        </is>
      </c>
      <c r="AY76" s="17" t="n"/>
      <c r="AZ76" s="55" t="inlineStr">
        <is>
          <t>ACUMULADO</t>
        </is>
      </c>
      <c r="BA76" s="17" t="n"/>
      <c r="BB76" s="125" t="n"/>
      <c r="BC76" s="55" t="inlineStr">
        <is>
          <t>NÍVEL</t>
        </is>
      </c>
      <c r="BD76" s="55" t="inlineStr">
        <is>
          <t>PARA SUBIR</t>
        </is>
      </c>
      <c r="BE76" s="17" t="n"/>
      <c r="BF76" s="55" t="inlineStr">
        <is>
          <t>ACUMULADO</t>
        </is>
      </c>
      <c r="BG76" s="17" t="n"/>
      <c r="BH76" s="125" t="n"/>
      <c r="BI76" s="125" t="n"/>
      <c r="BJ76" s="125" t="n"/>
      <c r="BK76" s="125" t="n"/>
      <c r="BL76" s="125" t="n"/>
      <c r="BM76" s="125" t="n"/>
      <c r="BN76" s="125" t="n"/>
      <c r="BO76" s="125" t="n"/>
      <c r="BP76" s="125" t="n"/>
      <c r="BQ76" s="125" t="n"/>
      <c r="BR76" s="125" t="n"/>
      <c r="BS76" s="125" t="n"/>
      <c r="BT76" s="125" t="n"/>
    </row>
    <row r="77">
      <c r="A77" s="8" t="n"/>
      <c r="B77" s="14" t="n"/>
      <c r="C77" s="125" t="n"/>
      <c r="D77" s="134" t="n"/>
      <c r="E77" s="16" t="n"/>
      <c r="F77" s="16" t="n"/>
      <c r="G77" s="16" t="n"/>
      <c r="H77" s="16" t="n"/>
      <c r="I77" s="16" t="n"/>
      <c r="J77" s="17" t="n"/>
      <c r="K77" s="89" t="n"/>
      <c r="L77" s="17" t="n"/>
      <c r="M77" s="134">
        <f>IF($D77="","",IFERROR(VLOOKUP($D77,DADOS!$BD$5:$BN$59,2,FALSE),""))</f>
        <v/>
      </c>
      <c r="N77" s="16" t="n"/>
      <c r="O77" s="16" t="n"/>
      <c r="P77" s="16" t="n"/>
      <c r="Q77" s="16" t="n"/>
      <c r="R77" s="17" t="n"/>
      <c r="S77" s="89">
        <f>IF($D77="","",IFERROR(VLOOKUP($D77,DADOS!$BD$5:$BN$59,3,FALSE),""))</f>
        <v/>
      </c>
      <c r="T77" s="17" t="n"/>
      <c r="U77" s="89">
        <f>IF($D77="","",IFERROR(VLOOKUP($D77,DADOS!$BD$5:$BN$59,4,FALSE),""))</f>
        <v/>
      </c>
      <c r="V77" s="17" t="n"/>
      <c r="W77" s="134">
        <f>IF($D77="","",IFERROR(VLOOKUP($D77,DADOS!$BD$5:$BN$59,5,FALSE),""))</f>
        <v/>
      </c>
      <c r="X77" s="16" t="n"/>
      <c r="Y77" s="16" t="n"/>
      <c r="Z77" s="16" t="n"/>
      <c r="AA77" s="16" t="n"/>
      <c r="AB77" s="16" t="n"/>
      <c r="AC77" s="16" t="n"/>
      <c r="AD77" s="17" t="n"/>
      <c r="AE77" s="89">
        <f>IF($D77="","",IFERROR(VLOOKUP($D77,DADOS!$BD$5:$BN$59,6,FALSE),""))</f>
        <v/>
      </c>
      <c r="AF77" s="17" t="n"/>
      <c r="AG77" s="89">
        <f>IF($D77="","",IFERROR(IF($K77="",1,$K77)*VLOOKUP($D77,DADOS!$BD$5:$BN$59,7,FALSE),""))</f>
        <v/>
      </c>
      <c r="AH77" s="17" t="n"/>
      <c r="AI77" s="89" t="n"/>
      <c r="AJ77" s="17" t="n"/>
      <c r="AK77" s="134" t="n"/>
      <c r="AL77" s="16" t="n"/>
      <c r="AM77" s="16" t="n"/>
      <c r="AN77" s="16" t="n"/>
      <c r="AO77" s="16" t="n"/>
      <c r="AP77" s="17" t="n"/>
      <c r="AQ77" s="89" t="n"/>
      <c r="AR77" s="16" t="n"/>
      <c r="AS77" s="16" t="n"/>
      <c r="AT77" s="17" t="n"/>
      <c r="AU77" s="125" t="n"/>
      <c r="AV77" s="125" t="n"/>
      <c r="AW77" s="89">
        <f>IF(DADOS!$CZ$48=2,"▸ 2",2)</f>
        <v/>
      </c>
      <c r="AX77" s="89" t="inlineStr">
        <is>
          <t>200</t>
        </is>
      </c>
      <c r="AY77" s="17" t="n"/>
      <c r="AZ77" s="89" t="inlineStr">
        <is>
          <t>0</t>
        </is>
      </c>
      <c r="BA77" s="17" t="n"/>
      <c r="BB77" s="125" t="n"/>
      <c r="BC77" s="89">
        <f>IF(DADOS!$CZ$48=17,"▸ 17",17)</f>
        <v/>
      </c>
      <c r="BD77" s="89" t="inlineStr">
        <is>
          <t>1300</t>
        </is>
      </c>
      <c r="BE77" s="17" t="n"/>
      <c r="BF77" s="89" t="inlineStr">
        <is>
          <t>10.400</t>
        </is>
      </c>
      <c r="BG77" s="17" t="n"/>
      <c r="BH77" s="125" t="n"/>
      <c r="BI77" s="125" t="n"/>
      <c r="BJ77" s="125" t="n"/>
      <c r="BK77" s="125" t="n"/>
      <c r="BL77" s="125" t="n"/>
      <c r="BM77" s="125" t="n"/>
      <c r="BN77" s="125" t="n"/>
      <c r="BO77" s="125" t="n"/>
      <c r="BP77" s="125" t="n"/>
      <c r="BQ77" s="125" t="n"/>
      <c r="BR77" s="125" t="n"/>
      <c r="BS77" s="125" t="n"/>
      <c r="BT77" s="125" t="n"/>
    </row>
    <row r="78">
      <c r="A78" s="8" t="n"/>
      <c r="B78" s="14" t="n"/>
      <c r="C78" s="125" t="n"/>
      <c r="D78" s="134" t="n"/>
      <c r="E78" s="16" t="n"/>
      <c r="F78" s="16" t="n"/>
      <c r="G78" s="16" t="n"/>
      <c r="H78" s="16" t="n"/>
      <c r="I78" s="16" t="n"/>
      <c r="J78" s="17" t="n"/>
      <c r="K78" s="89" t="n"/>
      <c r="L78" s="17" t="n"/>
      <c r="M78" s="134">
        <f>IF($D78="","",IFERROR(VLOOKUP($D78,DADOS!$BD$5:$BN$59,2,FALSE),""))</f>
        <v/>
      </c>
      <c r="N78" s="16" t="n"/>
      <c r="O78" s="16" t="n"/>
      <c r="P78" s="16" t="n"/>
      <c r="Q78" s="16" t="n"/>
      <c r="R78" s="17" t="n"/>
      <c r="S78" s="89">
        <f>IF($D78="","",IFERROR(VLOOKUP($D78,DADOS!$BD$5:$BN$59,3,FALSE),""))</f>
        <v/>
      </c>
      <c r="T78" s="17" t="n"/>
      <c r="U78" s="89">
        <f>IF($D78="","",IFERROR(VLOOKUP($D78,DADOS!$BD$5:$BN$59,4,FALSE),""))</f>
        <v/>
      </c>
      <c r="V78" s="17" t="n"/>
      <c r="W78" s="134">
        <f>IF($D78="","",IFERROR(VLOOKUP($D78,DADOS!$BD$5:$BN$59,5,FALSE),""))</f>
        <v/>
      </c>
      <c r="X78" s="16" t="n"/>
      <c r="Y78" s="16" t="n"/>
      <c r="Z78" s="16" t="n"/>
      <c r="AA78" s="16" t="n"/>
      <c r="AB78" s="16" t="n"/>
      <c r="AC78" s="16" t="n"/>
      <c r="AD78" s="17" t="n"/>
      <c r="AE78" s="89">
        <f>IF($D78="","",IFERROR(VLOOKUP($D78,DADOS!$BD$5:$BN$59,6,FALSE),""))</f>
        <v/>
      </c>
      <c r="AF78" s="17" t="n"/>
      <c r="AG78" s="89">
        <f>IF($D78="","",IFERROR(IF($K78="",1,$K78)*VLOOKUP($D78,DADOS!$BD$5:$BN$59,7,FALSE),""))</f>
        <v/>
      </c>
      <c r="AH78" s="17" t="n"/>
      <c r="AI78" s="89" t="n"/>
      <c r="AJ78" s="17" t="n"/>
      <c r="AK78" s="134" t="n"/>
      <c r="AL78" s="16" t="n"/>
      <c r="AM78" s="16" t="n"/>
      <c r="AN78" s="16" t="n"/>
      <c r="AO78" s="16" t="n"/>
      <c r="AP78" s="17" t="n"/>
      <c r="AQ78" s="89" t="n"/>
      <c r="AR78" s="16" t="n"/>
      <c r="AS78" s="16" t="n"/>
      <c r="AT78" s="17" t="n"/>
      <c r="AU78" s="125" t="n"/>
      <c r="AV78" s="125" t="n"/>
      <c r="AW78" s="89">
        <f>IF(DADOS!$CZ$48=3,"▸ 3",3)</f>
        <v/>
      </c>
      <c r="AX78" s="89" t="inlineStr">
        <is>
          <t>300</t>
        </is>
      </c>
      <c r="AY78" s="17" t="n"/>
      <c r="AZ78" s="89" t="inlineStr">
        <is>
          <t>200</t>
        </is>
      </c>
      <c r="BA78" s="17" t="n"/>
      <c r="BB78" s="125" t="n"/>
      <c r="BC78" s="89">
        <f>IF(DADOS!$CZ$48=18,"▸ 18",18)</f>
        <v/>
      </c>
      <c r="BD78" s="89" t="inlineStr">
        <is>
          <t>1300</t>
        </is>
      </c>
      <c r="BE78" s="17" t="n"/>
      <c r="BF78" s="89" t="inlineStr">
        <is>
          <t>11.700</t>
        </is>
      </c>
      <c r="BG78" s="17" t="n"/>
      <c r="BH78" s="125" t="n"/>
      <c r="BI78" s="125" t="n"/>
      <c r="BJ78" s="125" t="n"/>
      <c r="BK78" s="125" t="n"/>
      <c r="BL78" s="125" t="n"/>
      <c r="BM78" s="125" t="n"/>
      <c r="BN78" s="125" t="n"/>
      <c r="BO78" s="125" t="n"/>
      <c r="BP78" s="125" t="n"/>
      <c r="BQ78" s="125" t="n"/>
      <c r="BR78" s="125" t="n"/>
      <c r="BS78" s="125" t="n"/>
      <c r="BT78" s="125" t="n"/>
    </row>
    <row r="79">
      <c r="A79" s="8" t="n"/>
      <c r="B79" s="14" t="n"/>
      <c r="C79" s="125" t="n"/>
      <c r="D79" s="134" t="n"/>
      <c r="E79" s="16" t="n"/>
      <c r="F79" s="16" t="n"/>
      <c r="G79" s="16" t="n"/>
      <c r="H79" s="16" t="n"/>
      <c r="I79" s="16" t="n"/>
      <c r="J79" s="17" t="n"/>
      <c r="K79" s="89" t="n"/>
      <c r="L79" s="17" t="n"/>
      <c r="M79" s="134">
        <f>IF($D79="","",IFERROR(VLOOKUP($D79,DADOS!$BD$5:$BN$59,2,FALSE),""))</f>
        <v/>
      </c>
      <c r="N79" s="16" t="n"/>
      <c r="O79" s="16" t="n"/>
      <c r="P79" s="16" t="n"/>
      <c r="Q79" s="16" t="n"/>
      <c r="R79" s="17" t="n"/>
      <c r="S79" s="89">
        <f>IF($D79="","",IFERROR(VLOOKUP($D79,DADOS!$BD$5:$BN$59,3,FALSE),""))</f>
        <v/>
      </c>
      <c r="T79" s="17" t="n"/>
      <c r="U79" s="89">
        <f>IF($D79="","",IFERROR(VLOOKUP($D79,DADOS!$BD$5:$BN$59,4,FALSE),""))</f>
        <v/>
      </c>
      <c r="V79" s="17" t="n"/>
      <c r="W79" s="134">
        <f>IF($D79="","",IFERROR(VLOOKUP($D79,DADOS!$BD$5:$BN$59,5,FALSE),""))</f>
        <v/>
      </c>
      <c r="X79" s="16" t="n"/>
      <c r="Y79" s="16" t="n"/>
      <c r="Z79" s="16" t="n"/>
      <c r="AA79" s="16" t="n"/>
      <c r="AB79" s="16" t="n"/>
      <c r="AC79" s="16" t="n"/>
      <c r="AD79" s="17" t="n"/>
      <c r="AE79" s="89">
        <f>IF($D79="","",IFERROR(VLOOKUP($D79,DADOS!$BD$5:$BN$59,6,FALSE),""))</f>
        <v/>
      </c>
      <c r="AF79" s="17" t="n"/>
      <c r="AG79" s="89">
        <f>IF($D79="","",IFERROR(IF($K79="",1,$K79)*VLOOKUP($D79,DADOS!$BD$5:$BN$59,7,FALSE),""))</f>
        <v/>
      </c>
      <c r="AH79" s="17" t="n"/>
      <c r="AI79" s="89" t="n"/>
      <c r="AJ79" s="17" t="n"/>
      <c r="AK79" s="134" t="n"/>
      <c r="AL79" s="16" t="n"/>
      <c r="AM79" s="16" t="n"/>
      <c r="AN79" s="16" t="n"/>
      <c r="AO79" s="16" t="n"/>
      <c r="AP79" s="17" t="n"/>
      <c r="AQ79" s="89" t="n"/>
      <c r="AR79" s="16" t="n"/>
      <c r="AS79" s="16" t="n"/>
      <c r="AT79" s="17" t="n"/>
      <c r="AU79" s="125" t="n"/>
      <c r="AV79" s="125" t="n"/>
      <c r="AW79" s="89">
        <f>IF(DADOS!$CZ$48=4,"▸ 4",4)</f>
        <v/>
      </c>
      <c r="AX79" s="89" t="inlineStr">
        <is>
          <t>300</t>
        </is>
      </c>
      <c r="AY79" s="17" t="n"/>
      <c r="AZ79" s="89" t="inlineStr">
        <is>
          <t>500</t>
        </is>
      </c>
      <c r="BA79" s="17" t="n"/>
      <c r="BB79" s="125" t="n"/>
      <c r="BC79" s="89">
        <f>IF(DADOS!$CZ$48=19,"▸ 19",19)</f>
        <v/>
      </c>
      <c r="BD79" s="89" t="inlineStr">
        <is>
          <t>1300</t>
        </is>
      </c>
      <c r="BE79" s="17" t="n"/>
      <c r="BF79" s="89" t="inlineStr">
        <is>
          <t>13.000</t>
        </is>
      </c>
      <c r="BG79" s="17" t="n"/>
      <c r="BH79" s="125" t="n"/>
      <c r="BI79" s="125" t="n"/>
      <c r="BJ79" s="125" t="n"/>
      <c r="BK79" s="125" t="n"/>
      <c r="BL79" s="125" t="n"/>
      <c r="BM79" s="125" t="n"/>
      <c r="BN79" s="125" t="n"/>
      <c r="BO79" s="125" t="n"/>
      <c r="BP79" s="125" t="n"/>
      <c r="BQ79" s="125" t="n"/>
      <c r="BR79" s="125" t="n"/>
      <c r="BS79" s="125" t="n"/>
      <c r="BT79" s="125" t="n"/>
    </row>
    <row r="80">
      <c r="A80" s="8" t="n"/>
      <c r="B80" s="14" t="n"/>
      <c r="C80" s="125" t="n"/>
      <c r="D80" s="134" t="n"/>
      <c r="E80" s="16" t="n"/>
      <c r="F80" s="16" t="n"/>
      <c r="G80" s="16" t="n"/>
      <c r="H80" s="16" t="n"/>
      <c r="I80" s="16" t="n"/>
      <c r="J80" s="17" t="n"/>
      <c r="K80" s="89" t="n"/>
      <c r="L80" s="17" t="n"/>
      <c r="M80" s="134">
        <f>IF($D80="","",IFERROR(VLOOKUP($D80,DADOS!$BD$5:$BN$59,2,FALSE),""))</f>
        <v/>
      </c>
      <c r="N80" s="16" t="n"/>
      <c r="O80" s="16" t="n"/>
      <c r="P80" s="16" t="n"/>
      <c r="Q80" s="16" t="n"/>
      <c r="R80" s="17" t="n"/>
      <c r="S80" s="89">
        <f>IF($D80="","",IFERROR(VLOOKUP($D80,DADOS!$BD$5:$BN$59,3,FALSE),""))</f>
        <v/>
      </c>
      <c r="T80" s="17" t="n"/>
      <c r="U80" s="89">
        <f>IF($D80="","",IFERROR(VLOOKUP($D80,DADOS!$BD$5:$BN$59,4,FALSE),""))</f>
        <v/>
      </c>
      <c r="V80" s="17" t="n"/>
      <c r="W80" s="134">
        <f>IF($D80="","",IFERROR(VLOOKUP($D80,DADOS!$BD$5:$BN$59,5,FALSE),""))</f>
        <v/>
      </c>
      <c r="X80" s="16" t="n"/>
      <c r="Y80" s="16" t="n"/>
      <c r="Z80" s="16" t="n"/>
      <c r="AA80" s="16" t="n"/>
      <c r="AB80" s="16" t="n"/>
      <c r="AC80" s="16" t="n"/>
      <c r="AD80" s="17" t="n"/>
      <c r="AE80" s="89">
        <f>IF($D80="","",IFERROR(VLOOKUP($D80,DADOS!$BD$5:$BN$59,6,FALSE),""))</f>
        <v/>
      </c>
      <c r="AF80" s="17" t="n"/>
      <c r="AG80" s="89">
        <f>IF($D80="","",IFERROR(IF($K80="",1,$K80)*VLOOKUP($D80,DADOS!$BD$5:$BN$59,7,FALSE),""))</f>
        <v/>
      </c>
      <c r="AH80" s="17" t="n"/>
      <c r="AI80" s="89" t="n"/>
      <c r="AJ80" s="17" t="n"/>
      <c r="AK80" s="134" t="n"/>
      <c r="AL80" s="16" t="n"/>
      <c r="AM80" s="16" t="n"/>
      <c r="AN80" s="16" t="n"/>
      <c r="AO80" s="16" t="n"/>
      <c r="AP80" s="17" t="n"/>
      <c r="AQ80" s="89" t="n"/>
      <c r="AR80" s="16" t="n"/>
      <c r="AS80" s="16" t="n"/>
      <c r="AT80" s="17" t="n"/>
      <c r="AU80" s="125" t="n"/>
      <c r="AV80" s="125" t="n"/>
      <c r="AW80" s="89">
        <f>IF(DADOS!$CZ$48=5,"▸ 5",5)</f>
        <v/>
      </c>
      <c r="AX80" s="89" t="inlineStr">
        <is>
          <t>500</t>
        </is>
      </c>
      <c r="AY80" s="17" t="n"/>
      <c r="AZ80" s="89" t="inlineStr">
        <is>
          <t>800</t>
        </is>
      </c>
      <c r="BA80" s="17" t="n"/>
      <c r="BB80" s="125" t="n"/>
      <c r="BC80" s="89">
        <f>IF(DADOS!$CZ$48=20,"▸ 20",20)</f>
        <v/>
      </c>
      <c r="BD80" s="89" t="inlineStr">
        <is>
          <t>1500 e um feito</t>
        </is>
      </c>
      <c r="BE80" s="17" t="n"/>
      <c r="BF80" s="89" t="inlineStr">
        <is>
          <t>14.300</t>
        </is>
      </c>
      <c r="BG80" s="17" t="n"/>
      <c r="BH80" s="125" t="n"/>
      <c r="BI80" s="125" t="n"/>
      <c r="BJ80" s="125" t="n"/>
      <c r="BK80" s="125" t="n"/>
      <c r="BL80" s="125" t="n"/>
      <c r="BM80" s="125" t="n"/>
      <c r="BN80" s="125" t="n"/>
      <c r="BO80" s="125" t="n"/>
      <c r="BP80" s="125" t="n"/>
      <c r="BQ80" s="125" t="n"/>
      <c r="BR80" s="125" t="n"/>
      <c r="BS80" s="125" t="n"/>
      <c r="BT80" s="125" t="n"/>
    </row>
    <row r="81">
      <c r="A81" s="8" t="n"/>
      <c r="B81" s="14" t="n"/>
      <c r="C81" s="125" t="n"/>
      <c r="D81" s="134" t="n"/>
      <c r="E81" s="16" t="n"/>
      <c r="F81" s="16" t="n"/>
      <c r="G81" s="16" t="n"/>
      <c r="H81" s="16" t="n"/>
      <c r="I81" s="16" t="n"/>
      <c r="J81" s="17" t="n"/>
      <c r="K81" s="89" t="n"/>
      <c r="L81" s="17" t="n"/>
      <c r="M81" s="134">
        <f>IF($D81="","",IFERROR(VLOOKUP($D81,DADOS!$BD$5:$BN$59,2,FALSE),""))</f>
        <v/>
      </c>
      <c r="N81" s="16" t="n"/>
      <c r="O81" s="16" t="n"/>
      <c r="P81" s="16" t="n"/>
      <c r="Q81" s="16" t="n"/>
      <c r="R81" s="17" t="n"/>
      <c r="S81" s="89">
        <f>IF($D81="","",IFERROR(VLOOKUP($D81,DADOS!$BD$5:$BN$59,3,FALSE),""))</f>
        <v/>
      </c>
      <c r="T81" s="17" t="n"/>
      <c r="U81" s="89">
        <f>IF($D81="","",IFERROR(VLOOKUP($D81,DADOS!$BD$5:$BN$59,4,FALSE),""))</f>
        <v/>
      </c>
      <c r="V81" s="17" t="n"/>
      <c r="W81" s="134">
        <f>IF($D81="","",IFERROR(VLOOKUP($D81,DADOS!$BD$5:$BN$59,5,FALSE),""))</f>
        <v/>
      </c>
      <c r="X81" s="16" t="n"/>
      <c r="Y81" s="16" t="n"/>
      <c r="Z81" s="16" t="n"/>
      <c r="AA81" s="16" t="n"/>
      <c r="AB81" s="16" t="n"/>
      <c r="AC81" s="16" t="n"/>
      <c r="AD81" s="17" t="n"/>
      <c r="AE81" s="89">
        <f>IF($D81="","",IFERROR(VLOOKUP($D81,DADOS!$BD$5:$BN$59,6,FALSE),""))</f>
        <v/>
      </c>
      <c r="AF81" s="17" t="n"/>
      <c r="AG81" s="89">
        <f>IF($D81="","",IFERROR(IF($K81="",1,$K81)*VLOOKUP($D81,DADOS!$BD$5:$BN$59,7,FALSE),""))</f>
        <v/>
      </c>
      <c r="AH81" s="17" t="n"/>
      <c r="AI81" s="89" t="n"/>
      <c r="AJ81" s="17" t="n"/>
      <c r="AK81" s="134" t="n"/>
      <c r="AL81" s="16" t="n"/>
      <c r="AM81" s="16" t="n"/>
      <c r="AN81" s="16" t="n"/>
      <c r="AO81" s="16" t="n"/>
      <c r="AP81" s="17" t="n"/>
      <c r="AQ81" s="89" t="n"/>
      <c r="AR81" s="16" t="n"/>
      <c r="AS81" s="16" t="n"/>
      <c r="AT81" s="17" t="n"/>
      <c r="AU81" s="125" t="n"/>
      <c r="AV81" s="125" t="n"/>
      <c r="AW81" s="89">
        <f>IF(DADOS!$CZ$48=6,"▸ 6",6)</f>
        <v/>
      </c>
      <c r="AX81" s="89" t="inlineStr">
        <is>
          <t>500</t>
        </is>
      </c>
      <c r="AY81" s="17" t="n"/>
      <c r="AZ81" s="89" t="inlineStr">
        <is>
          <t>1.300</t>
        </is>
      </c>
      <c r="BA81" s="17" t="n"/>
      <c r="BB81" s="125" t="n"/>
      <c r="BC81" s="89">
        <f>IF(DADOS!$CZ$48=21,"▸ 21",21)</f>
        <v/>
      </c>
      <c r="BD81" s="89" t="inlineStr">
        <is>
          <t>1500</t>
        </is>
      </c>
      <c r="BE81" s="17" t="n"/>
      <c r="BF81" s="89" t="inlineStr">
        <is>
          <t>15.800</t>
        </is>
      </c>
      <c r="BG81" s="17" t="n"/>
      <c r="BH81" s="125" t="n"/>
      <c r="BI81" s="125" t="n"/>
      <c r="BJ81" s="125" t="n"/>
      <c r="BK81" s="125" t="n"/>
      <c r="BL81" s="125" t="n"/>
      <c r="BM81" s="125" t="n"/>
      <c r="BN81" s="125" t="n"/>
      <c r="BO81" s="125" t="n"/>
      <c r="BP81" s="125" t="n"/>
      <c r="BQ81" s="125" t="n"/>
      <c r="BR81" s="125" t="n"/>
      <c r="BS81" s="125" t="n"/>
      <c r="BT81" s="125" t="n"/>
    </row>
    <row r="82">
      <c r="A82" s="8" t="n"/>
      <c r="B82" s="14" t="n"/>
      <c r="C82" s="125" t="n"/>
      <c r="D82" s="134" t="n"/>
      <c r="E82" s="16" t="n"/>
      <c r="F82" s="16" t="n"/>
      <c r="G82" s="16" t="n"/>
      <c r="H82" s="16" t="n"/>
      <c r="I82" s="16" t="n"/>
      <c r="J82" s="17" t="n"/>
      <c r="K82" s="89" t="n"/>
      <c r="L82" s="17" t="n"/>
      <c r="M82" s="134">
        <f>IF($D82="","",IFERROR(VLOOKUP($D82,DADOS!$BD$5:$BN$59,2,FALSE),""))</f>
        <v/>
      </c>
      <c r="N82" s="16" t="n"/>
      <c r="O82" s="16" t="n"/>
      <c r="P82" s="16" t="n"/>
      <c r="Q82" s="16" t="n"/>
      <c r="R82" s="17" t="n"/>
      <c r="S82" s="89">
        <f>IF($D82="","",IFERROR(VLOOKUP($D82,DADOS!$BD$5:$BN$59,3,FALSE),""))</f>
        <v/>
      </c>
      <c r="T82" s="17" t="n"/>
      <c r="U82" s="89">
        <f>IF($D82="","",IFERROR(VLOOKUP($D82,DADOS!$BD$5:$BN$59,4,FALSE),""))</f>
        <v/>
      </c>
      <c r="V82" s="17" t="n"/>
      <c r="W82" s="134">
        <f>IF($D82="","",IFERROR(VLOOKUP($D82,DADOS!$BD$5:$BN$59,5,FALSE),""))</f>
        <v/>
      </c>
      <c r="X82" s="16" t="n"/>
      <c r="Y82" s="16" t="n"/>
      <c r="Z82" s="16" t="n"/>
      <c r="AA82" s="16" t="n"/>
      <c r="AB82" s="16" t="n"/>
      <c r="AC82" s="16" t="n"/>
      <c r="AD82" s="17" t="n"/>
      <c r="AE82" s="89">
        <f>IF($D82="","",IFERROR(VLOOKUP($D82,DADOS!$BD$5:$BN$59,6,FALSE),""))</f>
        <v/>
      </c>
      <c r="AF82" s="17" t="n"/>
      <c r="AG82" s="89">
        <f>IF($D82="","",IFERROR(IF($K82="",1,$K82)*VLOOKUP($D82,DADOS!$BD$5:$BN$59,7,FALSE),""))</f>
        <v/>
      </c>
      <c r="AH82" s="17" t="n"/>
      <c r="AI82" s="89" t="n"/>
      <c r="AJ82" s="17" t="n"/>
      <c r="AK82" s="134" t="n"/>
      <c r="AL82" s="16" t="n"/>
      <c r="AM82" s="16" t="n"/>
      <c r="AN82" s="16" t="n"/>
      <c r="AO82" s="16" t="n"/>
      <c r="AP82" s="17" t="n"/>
      <c r="AQ82" s="89" t="n"/>
      <c r="AR82" s="16" t="n"/>
      <c r="AS82" s="16" t="n"/>
      <c r="AT82" s="17" t="n"/>
      <c r="AU82" s="125" t="n"/>
      <c r="AV82" s="125" t="n"/>
      <c r="AW82" s="89">
        <f>IF(DADOS!$CZ$48=7,"▸ 7",7)</f>
        <v/>
      </c>
      <c r="AX82" s="89" t="inlineStr">
        <is>
          <t>500</t>
        </is>
      </c>
      <c r="AY82" s="17" t="n"/>
      <c r="AZ82" s="89" t="inlineStr">
        <is>
          <t>1.800</t>
        </is>
      </c>
      <c r="BA82" s="17" t="n"/>
      <c r="BB82" s="125" t="n"/>
      <c r="BC82" s="89">
        <f>IF(DADOS!$CZ$48=22,"▸ 22",22)</f>
        <v/>
      </c>
      <c r="BD82" s="89" t="inlineStr">
        <is>
          <t>1500</t>
        </is>
      </c>
      <c r="BE82" s="17" t="n"/>
      <c r="BF82" s="89" t="inlineStr">
        <is>
          <t>17.300</t>
        </is>
      </c>
      <c r="BG82" s="17" t="n"/>
      <c r="BH82" s="125" t="n"/>
      <c r="BI82" s="125" t="n"/>
      <c r="BJ82" s="125" t="n"/>
      <c r="BK82" s="125" t="n"/>
      <c r="BL82" s="125" t="n"/>
      <c r="BM82" s="125" t="n"/>
      <c r="BN82" s="125" t="n"/>
      <c r="BO82" s="125" t="n"/>
      <c r="BP82" s="125" t="n"/>
      <c r="BQ82" s="125" t="n"/>
      <c r="BR82" s="125" t="n"/>
      <c r="BS82" s="125" t="n"/>
      <c r="BT82" s="125" t="n"/>
    </row>
    <row r="83">
      <c r="A83" s="8" t="n"/>
      <c r="B83" s="14" t="n"/>
      <c r="C83" s="125" t="n"/>
      <c r="D83" s="134" t="n"/>
      <c r="E83" s="16" t="n"/>
      <c r="F83" s="16" t="n"/>
      <c r="G83" s="16" t="n"/>
      <c r="H83" s="16" t="n"/>
      <c r="I83" s="16" t="n"/>
      <c r="J83" s="17" t="n"/>
      <c r="K83" s="89" t="n"/>
      <c r="L83" s="17" t="n"/>
      <c r="M83" s="134" t="n"/>
      <c r="N83" s="16" t="n"/>
      <c r="O83" s="16" t="n"/>
      <c r="P83" s="16" t="n"/>
      <c r="Q83" s="16" t="n"/>
      <c r="R83" s="17" t="n"/>
      <c r="S83" s="89" t="n"/>
      <c r="T83" s="17" t="n"/>
      <c r="U83" s="89" t="n"/>
      <c r="V83" s="17" t="n"/>
      <c r="W83" s="134" t="n"/>
      <c r="X83" s="16" t="n"/>
      <c r="Y83" s="16" t="n"/>
      <c r="Z83" s="16" t="n"/>
      <c r="AA83" s="16" t="n"/>
      <c r="AB83" s="16" t="n"/>
      <c r="AC83" s="16" t="n"/>
      <c r="AD83" s="17" t="n"/>
      <c r="AE83" s="89" t="n"/>
      <c r="AF83" s="17" t="n"/>
      <c r="AG83" s="89" t="n"/>
      <c r="AH83" s="17" t="n"/>
      <c r="AI83" s="89" t="n"/>
      <c r="AJ83" s="17" t="n"/>
      <c r="AK83" s="134" t="n"/>
      <c r="AL83" s="16" t="n"/>
      <c r="AM83" s="16" t="n"/>
      <c r="AN83" s="16" t="n"/>
      <c r="AO83" s="16" t="n"/>
      <c r="AP83" s="17" t="n"/>
      <c r="AQ83" s="89" t="n"/>
      <c r="AR83" s="16" t="n"/>
      <c r="AS83" s="16" t="n"/>
      <c r="AT83" s="17" t="n"/>
      <c r="AU83" s="125" t="n"/>
      <c r="AV83" s="125" t="n"/>
      <c r="AW83" s="89">
        <f>IF(DADOS!$CZ$48=8,"▸ 8",8)</f>
        <v/>
      </c>
      <c r="AX83" s="89" t="inlineStr">
        <is>
          <t>700</t>
        </is>
      </c>
      <c r="AY83" s="17" t="n"/>
      <c r="AZ83" s="89" t="inlineStr">
        <is>
          <t>2.300</t>
        </is>
      </c>
      <c r="BA83" s="17" t="n"/>
      <c r="BB83" s="125" t="n"/>
      <c r="BC83" s="89">
        <f>IF(DADOS!$CZ$48=23,"▸ 23",23)</f>
        <v/>
      </c>
      <c r="BD83" s="89" t="inlineStr">
        <is>
          <t>1700</t>
        </is>
      </c>
      <c r="BE83" s="17" t="n"/>
      <c r="BF83" s="89" t="inlineStr">
        <is>
          <t>18.800</t>
        </is>
      </c>
      <c r="BG83" s="17" t="n"/>
      <c r="BH83" s="125" t="n"/>
      <c r="BI83" s="125" t="n"/>
      <c r="BJ83" s="125" t="n"/>
      <c r="BK83" s="125" t="n"/>
      <c r="BL83" s="125" t="n"/>
      <c r="BM83" s="125" t="n"/>
      <c r="BN83" s="125" t="n"/>
      <c r="BO83" s="125" t="n"/>
      <c r="BP83" s="125" t="n"/>
      <c r="BQ83" s="125" t="n"/>
      <c r="BR83" s="125" t="n"/>
      <c r="BS83" s="125" t="n"/>
      <c r="BT83" s="125" t="n"/>
    </row>
    <row r="84">
      <c r="A84" s="8" t="n"/>
      <c r="B84" s="14" t="n"/>
      <c r="C84" s="125" t="n"/>
      <c r="D84" s="134" t="n"/>
      <c r="E84" s="16" t="n"/>
      <c r="F84" s="16" t="n"/>
      <c r="G84" s="16" t="n"/>
      <c r="H84" s="16" t="n"/>
      <c r="I84" s="16" t="n"/>
      <c r="J84" s="17" t="n"/>
      <c r="K84" s="89" t="n"/>
      <c r="L84" s="17" t="n"/>
      <c r="M84" s="134" t="n"/>
      <c r="N84" s="16" t="n"/>
      <c r="O84" s="16" t="n"/>
      <c r="P84" s="16" t="n"/>
      <c r="Q84" s="16" t="n"/>
      <c r="R84" s="17" t="n"/>
      <c r="S84" s="89" t="n"/>
      <c r="T84" s="17" t="n"/>
      <c r="U84" s="89" t="n"/>
      <c r="V84" s="17" t="n"/>
      <c r="W84" s="134" t="n"/>
      <c r="X84" s="16" t="n"/>
      <c r="Y84" s="16" t="n"/>
      <c r="Z84" s="16" t="n"/>
      <c r="AA84" s="16" t="n"/>
      <c r="AB84" s="16" t="n"/>
      <c r="AC84" s="16" t="n"/>
      <c r="AD84" s="17" t="n"/>
      <c r="AE84" s="89" t="n"/>
      <c r="AF84" s="17" t="n"/>
      <c r="AG84" s="89" t="n"/>
      <c r="AH84" s="17" t="n"/>
      <c r="AI84" s="89" t="n"/>
      <c r="AJ84" s="17" t="n"/>
      <c r="AK84" s="134" t="n"/>
      <c r="AL84" s="16" t="n"/>
      <c r="AM84" s="16" t="n"/>
      <c r="AN84" s="16" t="n"/>
      <c r="AO84" s="16" t="n"/>
      <c r="AP84" s="17" t="n"/>
      <c r="AQ84" s="89" t="n"/>
      <c r="AR84" s="16" t="n"/>
      <c r="AS84" s="16" t="n"/>
      <c r="AT84" s="17" t="n"/>
      <c r="AU84" s="125" t="n"/>
      <c r="AV84" s="125" t="n"/>
      <c r="AW84" s="89">
        <f>IF(DADOS!$CZ$48=9,"▸ 9",9)</f>
        <v/>
      </c>
      <c r="AX84" s="89" t="inlineStr">
        <is>
          <t>700</t>
        </is>
      </c>
      <c r="AY84" s="17" t="n"/>
      <c r="AZ84" s="89" t="inlineStr">
        <is>
          <t>3.000</t>
        </is>
      </c>
      <c r="BA84" s="17" t="n"/>
      <c r="BB84" s="125" t="n"/>
      <c r="BC84" s="89">
        <f>IF(DADOS!$CZ$48=24,"▸ 24",24)</f>
        <v/>
      </c>
      <c r="BD84" s="89" t="inlineStr">
        <is>
          <t>1700</t>
        </is>
      </c>
      <c r="BE84" s="17" t="n"/>
      <c r="BF84" s="89" t="inlineStr">
        <is>
          <t>20.500</t>
        </is>
      </c>
      <c r="BG84" s="17" t="n"/>
      <c r="BH84" s="125" t="n"/>
      <c r="BI84" s="125" t="n"/>
      <c r="BJ84" s="125" t="n"/>
      <c r="BK84" s="125" t="n"/>
      <c r="BL84" s="125" t="n"/>
      <c r="BM84" s="125" t="n"/>
      <c r="BN84" s="125" t="n"/>
      <c r="BO84" s="125" t="n"/>
      <c r="BP84" s="125" t="n"/>
      <c r="BQ84" s="125" t="n"/>
      <c r="BR84" s="125" t="n"/>
      <c r="BS84" s="125" t="n"/>
      <c r="BT84" s="125" t="n"/>
    </row>
    <row r="85">
      <c r="A85" s="8" t="n"/>
      <c r="B85" s="14" t="n"/>
      <c r="C85" s="125" t="n"/>
      <c r="D85" s="125" t="n"/>
      <c r="E85" s="125" t="n"/>
      <c r="F85" s="125" t="n"/>
      <c r="G85" s="125" t="n"/>
      <c r="H85" s="125" t="n"/>
      <c r="I85" s="125" t="n"/>
      <c r="J85" s="125" t="n"/>
      <c r="K85" s="125" t="n"/>
      <c r="L85" s="125" t="n"/>
      <c r="M85" s="125" t="n"/>
      <c r="N85" s="125" t="n"/>
      <c r="O85" s="125" t="n"/>
      <c r="P85" s="125" t="n"/>
      <c r="Q85" s="125" t="n"/>
      <c r="R85" s="125" t="n"/>
      <c r="S85" s="125" t="n"/>
      <c r="T85" s="125" t="n"/>
      <c r="U85" s="125" t="n"/>
      <c r="V85" s="125" t="n"/>
      <c r="W85" s="125" t="n"/>
      <c r="X85" s="125" t="n"/>
      <c r="Y85" s="125" t="n"/>
      <c r="Z85" s="125" t="n"/>
      <c r="AA85" s="125" t="n"/>
      <c r="AB85" s="125" t="n"/>
      <c r="AC85" s="125" t="n"/>
      <c r="AD85" s="125" t="n"/>
      <c r="AE85" s="125" t="n"/>
      <c r="AF85" s="125" t="n"/>
      <c r="AG85" s="125" t="n"/>
      <c r="AH85" s="125" t="n"/>
      <c r="AI85" s="125" t="n"/>
      <c r="AJ85" s="125" t="n"/>
      <c r="AK85" s="125" t="n"/>
      <c r="AL85" s="125" t="n"/>
      <c r="AM85" s="125" t="n"/>
      <c r="AN85" s="125" t="n"/>
      <c r="AO85" s="125" t="n"/>
      <c r="AP85" s="125" t="n"/>
      <c r="AQ85" s="125" t="n"/>
      <c r="AR85" s="125" t="n"/>
      <c r="AS85" s="125" t="n"/>
      <c r="AT85" s="125" t="n"/>
      <c r="AU85" s="125" t="n"/>
      <c r="AV85" s="125" t="n"/>
      <c r="AW85" s="89">
        <f>IF(DADOS!$CZ$48=10,"▸ 10",10)</f>
        <v/>
      </c>
      <c r="AX85" s="89" t="inlineStr">
        <is>
          <t>700</t>
        </is>
      </c>
      <c r="AY85" s="17" t="n"/>
      <c r="AZ85" s="89" t="inlineStr">
        <is>
          <t>3.700</t>
        </is>
      </c>
      <c r="BA85" s="17" t="n"/>
      <c r="BB85" s="125" t="n"/>
      <c r="BC85" s="89">
        <f>IF(DADOS!$CZ$48=25,"▸ 25",25)</f>
        <v/>
      </c>
      <c r="BD85" s="89" t="inlineStr">
        <is>
          <t>1700</t>
        </is>
      </c>
      <c r="BE85" s="17" t="n"/>
      <c r="BF85" s="89" t="inlineStr">
        <is>
          <t>22.200</t>
        </is>
      </c>
      <c r="BG85" s="17" t="n"/>
      <c r="BH85" s="125" t="n"/>
      <c r="BI85" s="125" t="n"/>
      <c r="BJ85" s="125" t="n"/>
      <c r="BK85" s="125" t="n"/>
      <c r="BL85" s="125" t="n"/>
      <c r="BM85" s="125" t="n"/>
      <c r="BN85" s="125" t="n"/>
      <c r="BO85" s="125" t="n"/>
      <c r="BP85" s="125" t="n"/>
      <c r="BQ85" s="125" t="n"/>
      <c r="BR85" s="125" t="n"/>
      <c r="BS85" s="125" t="n"/>
      <c r="BT85" s="125" t="n"/>
    </row>
    <row r="86">
      <c r="A86" s="8" t="n"/>
      <c r="B86" s="14" t="n"/>
      <c r="C86" s="125" t="n"/>
      <c r="D86" s="128"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5" t="n"/>
      <c r="AV86" s="125" t="n"/>
      <c r="AW86" s="89">
        <f>IF(DADOS!$CZ$48=11,"▸ 11",11)</f>
        <v/>
      </c>
      <c r="AX86" s="89" t="inlineStr">
        <is>
          <t>900</t>
        </is>
      </c>
      <c r="AY86" s="17" t="n"/>
      <c r="AZ86" s="89" t="inlineStr">
        <is>
          <t>4.400</t>
        </is>
      </c>
      <c r="BA86" s="17" t="n"/>
      <c r="BB86" s="125" t="n"/>
      <c r="BC86" s="89">
        <f>IF(DADOS!$CZ$48=26,"▸ 26",26)</f>
        <v/>
      </c>
      <c r="BD86" s="89" t="inlineStr">
        <is>
          <t>1700</t>
        </is>
      </c>
      <c r="BE86" s="17" t="n"/>
      <c r="BF86" s="89" t="inlineStr">
        <is>
          <t>23.900</t>
        </is>
      </c>
      <c r="BG86" s="17" t="n"/>
      <c r="BH86" s="125" t="n"/>
      <c r="BI86" s="125" t="n"/>
      <c r="BJ86" s="125" t="n"/>
      <c r="BK86" s="125" t="n"/>
      <c r="BL86" s="125" t="n"/>
      <c r="BM86" s="125" t="n"/>
      <c r="BN86" s="125" t="n"/>
      <c r="BO86" s="125" t="n"/>
      <c r="BP86" s="125" t="n"/>
      <c r="BQ86" s="125" t="n"/>
      <c r="BR86" s="125" t="n"/>
      <c r="BS86" s="125" t="n"/>
      <c r="BT86" s="125" t="n"/>
    </row>
    <row r="87">
      <c r="A87" s="8" t="n"/>
      <c r="B87" s="14" t="n"/>
      <c r="C87" s="125"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5" t="n"/>
      <c r="AV87" s="125" t="n"/>
      <c r="AW87" s="89">
        <f>IF(DADOS!$CZ$48=12,"▸ 12",12)</f>
        <v/>
      </c>
      <c r="AX87" s="89" t="inlineStr">
        <is>
          <t>900</t>
        </is>
      </c>
      <c r="AY87" s="17" t="n"/>
      <c r="AZ87" s="89" t="inlineStr">
        <is>
          <t>5.300</t>
        </is>
      </c>
      <c r="BA87" s="17" t="n"/>
      <c r="BB87" s="125" t="n"/>
      <c r="BC87" s="89">
        <f>IF(DADOS!$CZ$48=27,"▸ 27",27)</f>
        <v/>
      </c>
      <c r="BD87" s="89" t="inlineStr">
        <is>
          <t>1700</t>
        </is>
      </c>
      <c r="BE87" s="17" t="n"/>
      <c r="BF87" s="89" t="inlineStr">
        <is>
          <t>25.600</t>
        </is>
      </c>
      <c r="BG87" s="17" t="n"/>
      <c r="BH87" s="125" t="n"/>
      <c r="BI87" s="125" t="n"/>
      <c r="BJ87" s="125" t="n"/>
      <c r="BK87" s="125" t="n"/>
      <c r="BL87" s="125" t="n"/>
      <c r="BM87" s="125" t="n"/>
      <c r="BN87" s="125" t="n"/>
      <c r="BO87" s="125" t="n"/>
      <c r="BP87" s="125" t="n"/>
      <c r="BQ87" s="125" t="n"/>
      <c r="BR87" s="125" t="n"/>
      <c r="BS87" s="125" t="n"/>
      <c r="BT87" s="125" t="n"/>
    </row>
    <row r="88">
      <c r="A88" s="8" t="n"/>
      <c r="B88" s="14" t="n"/>
      <c r="C88" s="125"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5"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5" t="n"/>
      <c r="AV88" s="125" t="n"/>
      <c r="AW88" s="89">
        <f>IF(DADOS!$CZ$48=13,"▸ 13",13)</f>
        <v/>
      </c>
      <c r="AX88" s="89" t="inlineStr">
        <is>
          <t>900</t>
        </is>
      </c>
      <c r="AY88" s="17" t="n"/>
      <c r="AZ88" s="89" t="inlineStr">
        <is>
          <t>6.200</t>
        </is>
      </c>
      <c r="BA88" s="17" t="n"/>
      <c r="BB88" s="125" t="n"/>
      <c r="BC88" s="89">
        <f>IF(DADOS!$CZ$48=28,"▸ 28",28)</f>
        <v/>
      </c>
      <c r="BD88" s="89" t="inlineStr">
        <is>
          <t>1700</t>
        </is>
      </c>
      <c r="BE88" s="17" t="n"/>
      <c r="BF88" s="89" t="inlineStr">
        <is>
          <t>27.300</t>
        </is>
      </c>
      <c r="BG88" s="17" t="n"/>
      <c r="BH88" s="125" t="n"/>
      <c r="BI88" s="125" t="n"/>
      <c r="BJ88" s="125" t="n"/>
      <c r="BK88" s="125" t="n"/>
      <c r="BL88" s="125" t="n"/>
      <c r="BM88" s="125" t="n"/>
      <c r="BN88" s="125" t="n"/>
      <c r="BO88" s="125" t="n"/>
      <c r="BP88" s="125" t="n"/>
      <c r="BQ88" s="125" t="n"/>
      <c r="BR88" s="125" t="n"/>
      <c r="BS88" s="125" t="n"/>
      <c r="BT88" s="125" t="n"/>
    </row>
    <row r="89">
      <c r="A89" s="8" t="n"/>
      <c r="B89" s="14" t="n"/>
      <c r="C89" s="125" t="n"/>
      <c r="D89" s="134" t="n"/>
      <c r="E89" s="16" t="n"/>
      <c r="F89" s="16" t="n"/>
      <c r="G89" s="16" t="n"/>
      <c r="H89" s="16" t="n"/>
      <c r="I89" s="16" t="n"/>
      <c r="J89" s="16" t="n"/>
      <c r="K89" s="16" t="n"/>
      <c r="L89" s="16" t="n"/>
      <c r="M89" s="16" t="n"/>
      <c r="N89" s="16" t="n"/>
      <c r="O89" s="16" t="n"/>
      <c r="P89" s="16" t="n"/>
      <c r="Q89" s="16" t="n"/>
      <c r="R89" s="16" t="n"/>
      <c r="S89" s="17" t="n"/>
      <c r="T89" s="89" t="n"/>
      <c r="U89" s="17" t="n"/>
      <c r="V89" s="89">
        <f>IF($D89="","",IF($T89="",1,$T89)*0.1)</f>
        <v/>
      </c>
      <c r="W89" s="16" t="n"/>
      <c r="X89" s="17" t="n"/>
      <c r="Y89" s="125" t="n"/>
      <c r="Z89" s="134" t="n"/>
      <c r="AA89" s="16" t="n"/>
      <c r="AB89" s="16" t="n"/>
      <c r="AC89" s="16" t="n"/>
      <c r="AD89" s="16" t="n"/>
      <c r="AE89" s="16" t="n"/>
      <c r="AF89" s="16" t="n"/>
      <c r="AG89" s="16" t="n"/>
      <c r="AH89" s="16" t="n"/>
      <c r="AI89" s="16" t="n"/>
      <c r="AJ89" s="16" t="n"/>
      <c r="AK89" s="16" t="n"/>
      <c r="AL89" s="16" t="n"/>
      <c r="AM89" s="16" t="n"/>
      <c r="AN89" s="16" t="n"/>
      <c r="AO89" s="17" t="n"/>
      <c r="AP89" s="89" t="n"/>
      <c r="AQ89" s="17" t="n"/>
      <c r="AR89" s="89">
        <f>IF($Z89="","",IF($AP89="",1,$AP89)*0.1)</f>
        <v/>
      </c>
      <c r="AS89" s="16" t="n"/>
      <c r="AT89" s="17" t="n"/>
      <c r="AU89" s="125" t="n"/>
      <c r="AV89" s="125" t="n"/>
      <c r="AW89" s="89">
        <f>IF(DADOS!$CZ$48=14,"▸ 14",14)</f>
        <v/>
      </c>
      <c r="AX89" s="89" t="inlineStr">
        <is>
          <t>1100</t>
        </is>
      </c>
      <c r="AY89" s="17" t="n"/>
      <c r="AZ89" s="89" t="inlineStr">
        <is>
          <t>7.100</t>
        </is>
      </c>
      <c r="BA89" s="17" t="n"/>
      <c r="BB89" s="125" t="n"/>
      <c r="BC89" s="89">
        <f>IF(DADOS!$CZ$48=29,"▸ 29",29)</f>
        <v/>
      </c>
      <c r="BD89" s="89" t="inlineStr">
        <is>
          <t>1700</t>
        </is>
      </c>
      <c r="BE89" s="17" t="n"/>
      <c r="BF89" s="89" t="inlineStr">
        <is>
          <t>29.000</t>
        </is>
      </c>
      <c r="BG89" s="17" t="n"/>
      <c r="BH89" s="125" t="n"/>
      <c r="BI89" s="125" t="n"/>
      <c r="BJ89" s="125" t="n"/>
      <c r="BK89" s="125" t="n"/>
      <c r="BL89" s="125" t="n"/>
      <c r="BM89" s="125" t="n"/>
      <c r="BN89" s="125" t="n"/>
      <c r="BO89" s="125" t="n"/>
      <c r="BP89" s="125" t="n"/>
      <c r="BQ89" s="125" t="n"/>
      <c r="BR89" s="125" t="n"/>
      <c r="BS89" s="125" t="n"/>
      <c r="BT89" s="125" t="n"/>
    </row>
    <row r="90">
      <c r="A90" s="8" t="n"/>
      <c r="B90" s="14" t="n"/>
      <c r="C90" s="125" t="n"/>
      <c r="D90" s="134" t="n"/>
      <c r="E90" s="16" t="n"/>
      <c r="F90" s="16" t="n"/>
      <c r="G90" s="16" t="n"/>
      <c r="H90" s="16" t="n"/>
      <c r="I90" s="16" t="n"/>
      <c r="J90" s="16" t="n"/>
      <c r="K90" s="16" t="n"/>
      <c r="L90" s="16" t="n"/>
      <c r="M90" s="16" t="n"/>
      <c r="N90" s="16" t="n"/>
      <c r="O90" s="16" t="n"/>
      <c r="P90" s="16" t="n"/>
      <c r="Q90" s="16" t="n"/>
      <c r="R90" s="16" t="n"/>
      <c r="S90" s="17" t="n"/>
      <c r="T90" s="89" t="n"/>
      <c r="U90" s="17" t="n"/>
      <c r="V90" s="89">
        <f>IF($D90="","",IF($T90="",1,$T90)*0.1)</f>
        <v/>
      </c>
      <c r="W90" s="16" t="n"/>
      <c r="X90" s="17" t="n"/>
      <c r="Y90" s="125" t="n"/>
      <c r="Z90" s="134" t="n"/>
      <c r="AA90" s="16" t="n"/>
      <c r="AB90" s="16" t="n"/>
      <c r="AC90" s="16" t="n"/>
      <c r="AD90" s="16" t="n"/>
      <c r="AE90" s="16" t="n"/>
      <c r="AF90" s="16" t="n"/>
      <c r="AG90" s="16" t="n"/>
      <c r="AH90" s="16" t="n"/>
      <c r="AI90" s="16" t="n"/>
      <c r="AJ90" s="16" t="n"/>
      <c r="AK90" s="16" t="n"/>
      <c r="AL90" s="16" t="n"/>
      <c r="AM90" s="16" t="n"/>
      <c r="AN90" s="16" t="n"/>
      <c r="AO90" s="17" t="n"/>
      <c r="AP90" s="89" t="n"/>
      <c r="AQ90" s="17" t="n"/>
      <c r="AR90" s="89">
        <f>IF($Z90="","",IF($AP90="",1,$AP90)*0.1)</f>
        <v/>
      </c>
      <c r="AS90" s="16" t="n"/>
      <c r="AT90" s="17" t="n"/>
      <c r="AU90" s="125" t="n"/>
      <c r="AV90" s="125" t="n"/>
      <c r="AW90" s="89">
        <f>IF(DADOS!$CZ$48=15,"▸ 15",15)</f>
        <v/>
      </c>
      <c r="AX90" s="89" t="inlineStr">
        <is>
          <t>1100</t>
        </is>
      </c>
      <c r="AY90" s="17" t="n"/>
      <c r="AZ90" s="89" t="inlineStr">
        <is>
          <t>8.200</t>
        </is>
      </c>
      <c r="BA90" s="17" t="n"/>
      <c r="BB90" s="125" t="n"/>
      <c r="BC90" s="89">
        <f>IF(DADOS!$CZ$48=30,"▸ 30",30)</f>
        <v/>
      </c>
      <c r="BD90" s="89" t="inlineStr">
        <is>
          <t>—</t>
        </is>
      </c>
      <c r="BE90" s="17" t="n"/>
      <c r="BF90" s="89" t="inlineStr">
        <is>
          <t>30.700</t>
        </is>
      </c>
      <c r="BG90" s="17" t="n"/>
      <c r="BH90" s="125" t="n"/>
      <c r="BI90" s="125" t="n"/>
      <c r="BJ90" s="125" t="n"/>
      <c r="BK90" s="125" t="n"/>
      <c r="BL90" s="125" t="n"/>
      <c r="BM90" s="125" t="n"/>
      <c r="BN90" s="125" t="n"/>
      <c r="BO90" s="125" t="n"/>
      <c r="BP90" s="125" t="n"/>
      <c r="BQ90" s="125" t="n"/>
      <c r="BR90" s="125" t="n"/>
      <c r="BS90" s="125" t="n"/>
      <c r="BT90" s="125" t="n"/>
    </row>
    <row r="91">
      <c r="A91" s="8" t="n"/>
      <c r="B91" s="14" t="n"/>
      <c r="C91" s="125" t="n"/>
      <c r="D91" s="134" t="n"/>
      <c r="E91" s="16" t="n"/>
      <c r="F91" s="16" t="n"/>
      <c r="G91" s="16" t="n"/>
      <c r="H91" s="16" t="n"/>
      <c r="I91" s="16" t="n"/>
      <c r="J91" s="16" t="n"/>
      <c r="K91" s="16" t="n"/>
      <c r="L91" s="16" t="n"/>
      <c r="M91" s="16" t="n"/>
      <c r="N91" s="16" t="n"/>
      <c r="O91" s="16" t="n"/>
      <c r="P91" s="16" t="n"/>
      <c r="Q91" s="16" t="n"/>
      <c r="R91" s="16" t="n"/>
      <c r="S91" s="17" t="n"/>
      <c r="T91" s="89" t="n"/>
      <c r="U91" s="17" t="n"/>
      <c r="V91" s="89">
        <f>IF($D91="","",IF($T91="",1,$T91)*0.1)</f>
        <v/>
      </c>
      <c r="W91" s="16" t="n"/>
      <c r="X91" s="17" t="n"/>
      <c r="Y91" s="125" t="n"/>
      <c r="Z91" s="134" t="n"/>
      <c r="AA91" s="16" t="n"/>
      <c r="AB91" s="16" t="n"/>
      <c r="AC91" s="16" t="n"/>
      <c r="AD91" s="16" t="n"/>
      <c r="AE91" s="16" t="n"/>
      <c r="AF91" s="16" t="n"/>
      <c r="AG91" s="16" t="n"/>
      <c r="AH91" s="16" t="n"/>
      <c r="AI91" s="16" t="n"/>
      <c r="AJ91" s="16" t="n"/>
      <c r="AK91" s="16" t="n"/>
      <c r="AL91" s="16" t="n"/>
      <c r="AM91" s="16" t="n"/>
      <c r="AN91" s="16" t="n"/>
      <c r="AO91" s="17" t="n"/>
      <c r="AP91" s="89" t="n"/>
      <c r="AQ91" s="17" t="n"/>
      <c r="AR91" s="89">
        <f>IF($Z91="","",IF($AP91="",1,$AP91)*0.1)</f>
        <v/>
      </c>
      <c r="AS91" s="16" t="n"/>
      <c r="AT91" s="17" t="n"/>
      <c r="AU91" s="125" t="n"/>
      <c r="AV91" s="125" t="n"/>
      <c r="AW91" s="89">
        <f>IF(DADOS!$CZ$48=16,"▸ 16",16)</f>
        <v/>
      </c>
      <c r="AX91" s="89" t="inlineStr">
        <is>
          <t>1100</t>
        </is>
      </c>
      <c r="AY91" s="17" t="n"/>
      <c r="AZ91" s="89" t="inlineStr">
        <is>
          <t>9.300</t>
        </is>
      </c>
      <c r="BA91" s="17" t="n"/>
      <c r="BB91" s="125" t="n"/>
      <c r="BC91" s="125" t="n"/>
      <c r="BD91" s="125" t="n"/>
      <c r="BE91" s="125" t="n"/>
      <c r="BF91" s="125" t="n"/>
      <c r="BG91" s="125" t="n"/>
      <c r="BH91" s="125" t="n"/>
      <c r="BI91" s="125" t="n"/>
      <c r="BJ91" s="125" t="n"/>
      <c r="BK91" s="125" t="n"/>
      <c r="BL91" s="125" t="n"/>
      <c r="BM91" s="125" t="n"/>
      <c r="BN91" s="125" t="n"/>
      <c r="BO91" s="125" t="n"/>
      <c r="BP91" s="125" t="n"/>
      <c r="BQ91" s="125" t="n"/>
      <c r="BR91" s="125" t="n"/>
      <c r="BS91" s="125" t="n"/>
      <c r="BT91" s="125" t="n"/>
    </row>
    <row r="92">
      <c r="A92" s="8" t="n"/>
      <c r="B92" s="14" t="n"/>
      <c r="C92" s="125" t="n"/>
      <c r="D92" s="134" t="n"/>
      <c r="E92" s="16" t="n"/>
      <c r="F92" s="16" t="n"/>
      <c r="G92" s="16" t="n"/>
      <c r="H92" s="16" t="n"/>
      <c r="I92" s="16" t="n"/>
      <c r="J92" s="16" t="n"/>
      <c r="K92" s="16" t="n"/>
      <c r="L92" s="16" t="n"/>
      <c r="M92" s="16" t="n"/>
      <c r="N92" s="16" t="n"/>
      <c r="O92" s="16" t="n"/>
      <c r="P92" s="16" t="n"/>
      <c r="Q92" s="16" t="n"/>
      <c r="R92" s="16" t="n"/>
      <c r="S92" s="17" t="n"/>
      <c r="T92" s="89" t="n"/>
      <c r="U92" s="17" t="n"/>
      <c r="V92" s="89">
        <f>IF($D92="","",IF($T92="",1,$T92)*0.1)</f>
        <v/>
      </c>
      <c r="W92" s="16" t="n"/>
      <c r="X92" s="17" t="n"/>
      <c r="Y92" s="125" t="n"/>
      <c r="Z92" s="134" t="n"/>
      <c r="AA92" s="16" t="n"/>
      <c r="AB92" s="16" t="n"/>
      <c r="AC92" s="16" t="n"/>
      <c r="AD92" s="16" t="n"/>
      <c r="AE92" s="16" t="n"/>
      <c r="AF92" s="16" t="n"/>
      <c r="AG92" s="16" t="n"/>
      <c r="AH92" s="16" t="n"/>
      <c r="AI92" s="16" t="n"/>
      <c r="AJ92" s="16" t="n"/>
      <c r="AK92" s="16" t="n"/>
      <c r="AL92" s="16" t="n"/>
      <c r="AM92" s="16" t="n"/>
      <c r="AN92" s="16" t="n"/>
      <c r="AO92" s="17" t="n"/>
      <c r="AP92" s="89" t="n"/>
      <c r="AQ92" s="17" t="n"/>
      <c r="AR92" s="89">
        <f>IF($Z92="","",IF($AP92="",1,$AP92)*0.1)</f>
        <v/>
      </c>
      <c r="AS92" s="16" t="n"/>
      <c r="AT92" s="17" t="n"/>
      <c r="AU92" s="125" t="n"/>
      <c r="AV92" s="125" t="n"/>
      <c r="AW92" s="125" t="n"/>
      <c r="AX92" s="125" t="n"/>
      <c r="AY92" s="125" t="n"/>
      <c r="AZ92" s="125" t="n"/>
      <c r="BA92" s="125" t="n"/>
      <c r="BB92" s="125" t="n"/>
      <c r="BC92" s="125" t="n"/>
      <c r="BD92" s="125" t="n"/>
      <c r="BE92" s="125" t="n"/>
      <c r="BF92" s="125" t="n"/>
      <c r="BG92" s="125" t="n"/>
      <c r="BH92" s="125" t="n"/>
      <c r="BI92" s="125" t="n"/>
      <c r="BJ92" s="125" t="n"/>
      <c r="BK92" s="125" t="n"/>
      <c r="BL92" s="125" t="n"/>
      <c r="BM92" s="125" t="n"/>
      <c r="BN92" s="125" t="n"/>
      <c r="BO92" s="125" t="n"/>
      <c r="BP92" s="125" t="n"/>
      <c r="BQ92" s="125" t="n"/>
      <c r="BR92" s="125" t="n"/>
      <c r="BS92" s="125" t="n"/>
      <c r="BT92" s="125" t="n"/>
    </row>
    <row r="93">
      <c r="A93" s="8" t="n"/>
      <c r="B93" s="14" t="n"/>
      <c r="C93" s="125" t="n"/>
      <c r="D93" s="134" t="n"/>
      <c r="E93" s="16" t="n"/>
      <c r="F93" s="16" t="n"/>
      <c r="G93" s="16" t="n"/>
      <c r="H93" s="16" t="n"/>
      <c r="I93" s="16" t="n"/>
      <c r="J93" s="16" t="n"/>
      <c r="K93" s="16" t="n"/>
      <c r="L93" s="16" t="n"/>
      <c r="M93" s="16" t="n"/>
      <c r="N93" s="16" t="n"/>
      <c r="O93" s="16" t="n"/>
      <c r="P93" s="16" t="n"/>
      <c r="Q93" s="16" t="n"/>
      <c r="R93" s="16" t="n"/>
      <c r="S93" s="17" t="n"/>
      <c r="T93" s="89" t="n"/>
      <c r="U93" s="17" t="n"/>
      <c r="V93" s="89">
        <f>IF($D93="","",IF($T93="",1,$T93)*0.1)</f>
        <v/>
      </c>
      <c r="W93" s="16" t="n"/>
      <c r="X93" s="17" t="n"/>
      <c r="Y93" s="125" t="n"/>
      <c r="Z93" s="134" t="n"/>
      <c r="AA93" s="16" t="n"/>
      <c r="AB93" s="16" t="n"/>
      <c r="AC93" s="16" t="n"/>
      <c r="AD93" s="16" t="n"/>
      <c r="AE93" s="16" t="n"/>
      <c r="AF93" s="16" t="n"/>
      <c r="AG93" s="16" t="n"/>
      <c r="AH93" s="16" t="n"/>
      <c r="AI93" s="16" t="n"/>
      <c r="AJ93" s="16" t="n"/>
      <c r="AK93" s="16" t="n"/>
      <c r="AL93" s="16" t="n"/>
      <c r="AM93" s="16" t="n"/>
      <c r="AN93" s="16" t="n"/>
      <c r="AO93" s="17" t="n"/>
      <c r="AP93" s="89" t="n"/>
      <c r="AQ93" s="17" t="n"/>
      <c r="AR93" s="89">
        <f>IF($Z93="","",IF($AP93="",1,$AP93)*0.1)</f>
        <v/>
      </c>
      <c r="AS93" s="16" t="n"/>
      <c r="AT93" s="17" t="n"/>
      <c r="AU93" s="125" t="n"/>
      <c r="AV93" s="125" t="n"/>
      <c r="AW93" s="125" t="n"/>
      <c r="AX93" s="125" t="n"/>
      <c r="AY93" s="125" t="n"/>
      <c r="AZ93" s="125" t="n"/>
      <c r="BA93" s="125" t="n"/>
      <c r="BB93" s="125" t="n"/>
      <c r="BC93" s="125" t="n"/>
      <c r="BD93" s="125" t="n"/>
      <c r="BE93" s="125" t="n"/>
      <c r="BF93" s="125" t="n"/>
      <c r="BG93" s="125" t="n"/>
      <c r="BH93" s="125" t="n"/>
      <c r="BI93" s="125" t="n"/>
      <c r="BJ93" s="125" t="n"/>
      <c r="BK93" s="125" t="n"/>
      <c r="BL93" s="125" t="n"/>
      <c r="BM93" s="125" t="n"/>
      <c r="BN93" s="125" t="n"/>
      <c r="BO93" s="125" t="n"/>
      <c r="BP93" s="125" t="n"/>
      <c r="BQ93" s="125" t="n"/>
      <c r="BR93" s="125" t="n"/>
      <c r="BS93" s="125" t="n"/>
      <c r="BT93" s="125" t="n"/>
    </row>
    <row r="94">
      <c r="A94" s="8" t="n"/>
      <c r="B94" s="14" t="n"/>
      <c r="C94" s="125" t="n"/>
      <c r="D94" s="134" t="n"/>
      <c r="E94" s="16" t="n"/>
      <c r="F94" s="16" t="n"/>
      <c r="G94" s="16" t="n"/>
      <c r="H94" s="16" t="n"/>
      <c r="I94" s="16" t="n"/>
      <c r="J94" s="16" t="n"/>
      <c r="K94" s="16" t="n"/>
      <c r="L94" s="16" t="n"/>
      <c r="M94" s="16" t="n"/>
      <c r="N94" s="16" t="n"/>
      <c r="O94" s="16" t="n"/>
      <c r="P94" s="16" t="n"/>
      <c r="Q94" s="16" t="n"/>
      <c r="R94" s="16" t="n"/>
      <c r="S94" s="17" t="n"/>
      <c r="T94" s="89" t="n"/>
      <c r="U94" s="17" t="n"/>
      <c r="V94" s="89">
        <f>IF($D94="","",IF($T94="",1,$T94)*0.1)</f>
        <v/>
      </c>
      <c r="W94" s="16" t="n"/>
      <c r="X94" s="17" t="n"/>
      <c r="Y94" s="125" t="n"/>
      <c r="Z94" s="134" t="n"/>
      <c r="AA94" s="16" t="n"/>
      <c r="AB94" s="16" t="n"/>
      <c r="AC94" s="16" t="n"/>
      <c r="AD94" s="16" t="n"/>
      <c r="AE94" s="16" t="n"/>
      <c r="AF94" s="16" t="n"/>
      <c r="AG94" s="16" t="n"/>
      <c r="AH94" s="16" t="n"/>
      <c r="AI94" s="16" t="n"/>
      <c r="AJ94" s="16" t="n"/>
      <c r="AK94" s="16" t="n"/>
      <c r="AL94" s="16" t="n"/>
      <c r="AM94" s="16" t="n"/>
      <c r="AN94" s="16" t="n"/>
      <c r="AO94" s="17" t="n"/>
      <c r="AP94" s="89" t="n"/>
      <c r="AQ94" s="17" t="n"/>
      <c r="AR94" s="89">
        <f>IF($Z94="","",IF($AP94="",1,$AP94)*0.1)</f>
        <v/>
      </c>
      <c r="AS94" s="16" t="n"/>
      <c r="AT94" s="17" t="n"/>
      <c r="AU94" s="125" t="n"/>
      <c r="AV94" s="125" t="n"/>
      <c r="AW94" s="125" t="n"/>
      <c r="AX94" s="125" t="n"/>
      <c r="AY94" s="125" t="n"/>
      <c r="AZ94" s="125" t="n"/>
      <c r="BA94" s="125" t="n"/>
      <c r="BB94" s="125" t="n"/>
      <c r="BC94" s="125" t="n"/>
      <c r="BD94" s="125" t="n"/>
      <c r="BE94" s="125" t="n"/>
      <c r="BF94" s="125" t="n"/>
      <c r="BG94" s="125" t="n"/>
      <c r="BH94" s="125" t="n"/>
      <c r="BI94" s="125" t="n"/>
      <c r="BJ94" s="125" t="n"/>
      <c r="BK94" s="125" t="n"/>
      <c r="BL94" s="125" t="n"/>
      <c r="BM94" s="125" t="n"/>
      <c r="BN94" s="125" t="n"/>
      <c r="BO94" s="125" t="n"/>
      <c r="BP94" s="125" t="n"/>
      <c r="BQ94" s="125" t="n"/>
      <c r="BR94" s="125" t="n"/>
      <c r="BS94" s="125" t="n"/>
      <c r="BT94" s="125" t="n"/>
    </row>
    <row r="95">
      <c r="A95" s="8" t="n"/>
      <c r="B95" s="14" t="n"/>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5" t="n"/>
      <c r="BI95" s="125" t="n"/>
      <c r="BJ95" s="125" t="n"/>
      <c r="BK95" s="125" t="n"/>
      <c r="BL95" s="125" t="n"/>
      <c r="BM95" s="125" t="n"/>
      <c r="BN95" s="125" t="n"/>
      <c r="BO95" s="125" t="n"/>
      <c r="BP95" s="125" t="n"/>
      <c r="BQ95" s="125" t="n"/>
      <c r="BR95" s="125" t="n"/>
      <c r="BS95" s="125" t="n"/>
      <c r="BT95" s="125" t="n"/>
    </row>
  </sheetData>
  <mergeCells count="356">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L70:M70"/>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L71:M72"/>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AR93:AT93"/>
    <mergeCell ref="AZ77:BA77"/>
    <mergeCell ref="AX82:AY82"/>
    <mergeCell ref="D8:AT9"/>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D70:K70"/>
    <mergeCell ref="AI79:AJ79"/>
    <mergeCell ref="AX91:AY91"/>
    <mergeCell ref="AZ91:BA91"/>
    <mergeCell ref="AK80:AP80"/>
    <mergeCell ref="AN64:AT64"/>
    <mergeCell ref="AI81:AJ81"/>
    <mergeCell ref="I71:K72"/>
    <mergeCell ref="AB4:AT4"/>
    <mergeCell ref="BD84:BE84"/>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A33:B62"/>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90"/>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7"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7"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não muda o atributo do golpe nem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IF(DADOS!$CZ$6=1,CHOOSE(MIN(4,MAX(1,N(FICHA!$D$62))),"d4","d6","d8","d10"),IFERROR(VLOOKUP('FICHA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Maior</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IFERROR(VALUE(FICHA!$AQ$51&amp;""),0)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Muito 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Escolher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IFERROR(VALUE(FICHA!$AO$51&amp;""),0)+IFERROR(VALUE(FICHA!$AQ$51&amp;""),0)+IFERROR(VALUE(FICHA!$AS$51&amp;""),0)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Mais Um</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COUNTIF(FICHA!$D$75:$D$85,TRUE)+COUNTIF(FICHA!$T$74:$T$85,TRUE)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Rajada</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COUNTIF(FICHA!$D$90:$D$95,TRUE)+COUNTIF(FICHA!$Q$90:$Q$94,TRUE)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Fica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COUNTIF(FICHA!$E$75:$E$85,TRUE)+COUNTIF(FICHA!$E$90:$E$95,TRUE)+COUNTIF(FICHA!$R$90:$R$94,TRUE)+COUNTIF(FICHA!$U$74:$U$85,TRUE)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Salto</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Contorno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Precisão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IF(OR(FICHA!$D$11="Guia",FICHA!$D$11="Emanador",FICHA!$D$11="Evocador"),IF(FICHA!$AK$76="2 armas (-4 pericias)",4,IF(FICHA!$AK$76="1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Certeiro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Inescapável</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De Novo</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Fura</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COUNTIF(FICHA!$AF$90:$AF$93,TRUE)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MIN(IFERROR(VALUE(FICHA!$AO$51&amp;""),0),DADOS!$AK$5)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MIN(10,FICHA!$O$68+DADOS!$AK$33)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ADDRESS(ROW(FICHA!D54),COLUMN(FICHA!D54),4)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ADDRESS(ROW(FICHA!O54),COLUMN(FICHA!O54),4)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ADDRESS(ROW(FICHA!Z54),COLUMN(FICHA!Z54),4)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DADOS_AM!$HK$25</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ADDRESS(ROW(FICHA!AK54),COLUMN(FICHA!AK54),4)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IFERROR(VALUE(FICHA!$AS$51&amp;""),0)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ADDRESS(ROW(FICHA!D58),COLUMN(FICHA!D58),4)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DADOS_AM!$HK$24</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ADDRESS(ROW(FICHA!O58),COLUMN(FICHA!O58),4)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ADDRESS(ROW(FICHA!Z58),COLUMN(FICHA!Z58),4)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ADDRESS(ROW(FICHA!AK58),COLUMN(FICHA!AK58),4)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5+DADOS!$CZ$5+N('FICHA PESSOAL'!$L$71)</f>
        <v/>
      </c>
    </row>
    <row r="42" ht="17.25" customHeight="1">
      <c r="A42" s="41" t="n"/>
      <c r="B42" s="41" t="n"/>
      <c r="C42" s="41" t="n"/>
      <c r="D42" s="41" t="n"/>
      <c r="E42" s="41" t="n"/>
      <c r="F42" s="153"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ADDRESS(ROW(FICHA!D62),COLUMN(FICHA!D62),4)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ADDRESS(ROW(FICHA!O62),COLUMN(FICHA!O62),4)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ADDRESS(ROW(FICHA!D68),COLUMN(FICHA!D68),4)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proteção sem força</t>
        </is>
      </c>
      <c r="CZ44" s="155">
        <f>IF(OR(DADOS!$CZ$38=1,AND(DADOS!$CZ$37=1,DADOS!$CZ$19=1)),1,0)</f>
        <v/>
      </c>
    </row>
    <row r="45" ht="17.25" customHeight="1">
      <c r="A45" s="41" t="n"/>
      <c r="B45" s="41" t="n"/>
      <c r="C45" s="41" t="n"/>
      <c r="D45" s="41" t="n"/>
      <c r="E45" s="41" t="n"/>
      <c r="F45" s="153"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ADDRESS(ROW(FICHA!O68),COLUMN(FICHA!O68),4)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meia marcha</t>
        </is>
      </c>
      <c r="CZ45" s="155">
        <f>IF(OR(DADOS!$CZ$43=1,DADOS!$CZ$44=1,DADOS!$CZ$42=1),1,0)</f>
        <v/>
      </c>
    </row>
    <row r="46" ht="17.25" customHeight="1">
      <c r="A46" s="41" t="n"/>
      <c r="B46" s="41" t="n"/>
      <c r="C46" s="41" t="n"/>
      <c r="D46" s="41" t="n"/>
      <c r="E46" s="41" t="n"/>
      <c r="F46" s="153"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ADDRESS(ROW(FICHA!Z68),COLUMN(FICHA!Z68),4)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IF(DADOS!$CZ$40&gt;2*DADOS!$CZ$41,1,0)</f>
        <v/>
      </c>
    </row>
    <row r="47" ht="17.25" customHeight="1">
      <c r="A47" s="41" t="n"/>
      <c r="B47" s="41" t="n"/>
      <c r="C47" s="41" t="n"/>
      <c r="D47" s="41" t="n"/>
      <c r="E47" s="41" t="n"/>
      <c r="F47" s="153"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ADDRESS(ROW(FICHA!AK68),COLUMN(FICHA!AK68),4)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ADDRESS(ROW(FICHA!AO51),COLUMN(FICHA!AO51),4)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ADDRESS(ROW(FICHA!AQ51),COLUMN(FICHA!AQ51),4)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ADDRESS(ROW(FICHA!AS51),COLUMN(FICHA!AS51),4)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ADDRESS(ROW(FICHA!AK51),COLUMN(FICHA!AK51),4)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vida</t>
        </is>
      </c>
      <c r="BB52" s="153">
        <f>ADDRESS(ROW(FICHA!P26),COLUMN(FICHA!P26),4)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energia</t>
        </is>
      </c>
      <c r="BB53" s="153">
        <f>ADDRESS(ROW(FICHA!P30),COLUMN(FICHA!P30),4)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integridade</t>
        </is>
      </c>
      <c r="BB54" s="153">
        <f>ADDRESS(ROW(FICHA!P34),COLUMN(FICHA!P34),4)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defesa</t>
        </is>
      </c>
      <c r="BB55" s="153">
        <f>ADDRESS(ROW(FICHA!L54),COLUMN(FICHA!L54),4)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proteção</t>
        </is>
      </c>
      <c r="BB56" s="153">
        <f>ADDRESS(ROW(FICHA!W54),COLUMN(FICHA!W54),4)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iniciativa</t>
        </is>
      </c>
      <c r="BB57" s="153">
        <f>ADDRESS(ROW(FICHA!AS54),COLUMN(FICHA!AS54),4)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cd de feitiço</t>
        </is>
      </c>
      <c r="BB58" s="153">
        <f>ADDRESS(ROW(FICHA!L58),COLUMN(FICHA!L58),4)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buff de conjuração</t>
        </is>
      </c>
      <c r="BB59" s="153">
        <f>ADDRESS(ROW(FICHA!W58),COLUMN(FICHA!W58),4)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buff de corpo a corpo</t>
        </is>
      </c>
      <c r="BB60" s="153">
        <f>ADDRESS(ROW(FICHA!AH58),COLUMN(FICHA!AH58),4)</f>
        <v/>
      </c>
    </row>
    <row r="61" ht="17.25" customHeight="1">
      <c r="A61" s="41" t="n"/>
      <c r="B61" s="41" t="n"/>
      <c r="C61" s="41" t="n"/>
      <c r="D61" s="41" t="n"/>
      <c r="E61" s="41" t="n"/>
      <c r="F61" s="153"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buff de à distância</t>
        </is>
      </c>
      <c r="BB61" s="153">
        <f>ADDRESS(ROW(FICHA!AS58),COLUMN(FICHA!AS58),4)</f>
        <v/>
      </c>
    </row>
    <row r="62" ht="17.25" customHeight="1">
      <c r="A62" s="41" t="n"/>
      <c r="B62" s="41" t="n"/>
      <c r="C62" s="41" t="n"/>
      <c r="D62" s="41" t="n"/>
      <c r="E62" s="41" t="n"/>
      <c r="F62" s="153"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buff de deslocamento</t>
        </is>
      </c>
      <c r="BB62" s="153">
        <f>ADDRESS(ROW(FICHA!W62),COLUMN(FICHA!W62),4)</f>
        <v/>
      </c>
    </row>
    <row r="63" ht="17.25" customHeight="1">
      <c r="A63" s="41" t="n"/>
      <c r="B63" s="41" t="n"/>
      <c r="C63" s="41" t="n"/>
      <c r="D63" s="41" t="n"/>
      <c r="E63" s="41" t="n"/>
      <c r="F63" s="153"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corpo_Força</t>
        </is>
      </c>
      <c r="BB63" s="153">
        <f>ADDRESS(ROW(FICHA!AK15),COLUMN(FICHA!AK15),4)</f>
        <v/>
      </c>
    </row>
    <row r="64" ht="17.25" customHeight="1">
      <c r="A64" s="41" t="n"/>
      <c r="B64" s="41" t="n"/>
      <c r="C64" s="41" t="n"/>
      <c r="D64" s="41" t="n"/>
      <c r="E64" s="41" t="n"/>
      <c r="F64" s="153"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corpo_Destreza</t>
        </is>
      </c>
      <c r="BB64" s="153">
        <f>ADDRESS(ROW(FICHA!AM15),COLUMN(FICHA!AM15),4)</f>
        <v/>
      </c>
    </row>
    <row r="65" ht="17.25" customHeight="1">
      <c r="A65" s="41" t="n"/>
      <c r="B65" s="41" t="n"/>
      <c r="C65" s="41" t="n"/>
      <c r="D65" s="41" t="n"/>
      <c r="E65" s="41" t="n"/>
      <c r="F65" s="153"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corpo_Constituição</t>
        </is>
      </c>
      <c r="BB65" s="153">
        <f>ADDRESS(ROW(FICHA!AO15),COLUMN(FICHA!AO15),4)</f>
        <v/>
      </c>
    </row>
    <row r="66" ht="17.25" customHeight="1">
      <c r="A66" s="41" t="n"/>
      <c r="B66" s="41" t="n"/>
      <c r="C66" s="41" t="n"/>
      <c r="D66" s="41" t="n"/>
      <c r="E66" s="41" t="n"/>
      <c r="F66" s="153"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corpo_Inteligência</t>
        </is>
      </c>
      <c r="BB66" s="153">
        <f>ADDRESS(ROW(FICHA!AQ15),COLUMN(FICHA!AQ15),4)</f>
        <v/>
      </c>
    </row>
    <row r="67" ht="17.25" customHeight="1">
      <c r="A67" s="41" t="n"/>
      <c r="B67" s="41" t="n"/>
      <c r="C67" s="41" t="n"/>
      <c r="D67" s="41" t="n"/>
      <c r="E67" s="41" t="n"/>
      <c r="F67" s="153"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corpo_Essência</t>
        </is>
      </c>
      <c r="BB67" s="153">
        <f>ADDRESS(ROW(FICHA!AS15),COLUMN(FICHA!AS15),4)</f>
        <v/>
      </c>
    </row>
    <row r="68" ht="17.25" customHeight="1">
      <c r="A68" s="41" t="n"/>
      <c r="B68" s="41" t="n"/>
      <c r="C68" s="41" t="n"/>
      <c r="D68" s="41" t="n"/>
      <c r="E68" s="41" t="n"/>
      <c r="F68" s="153"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pontos de corpo</t>
        </is>
      </c>
      <c r="BB68" s="153">
        <f>ADDRESS(ROW(FICHA!AK14),COLUMN(FICHA!AK14),4)</f>
        <v/>
      </c>
    </row>
    <row r="69" ht="17.25" customHeight="1">
      <c r="A69" s="41" t="n"/>
      <c r="B69" s="41" t="n"/>
      <c r="C69" s="41" t="n"/>
      <c r="D69" s="41" t="n"/>
      <c r="E69" s="41" t="n"/>
      <c r="F69" s="153"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pontos disponíveis</t>
        </is>
      </c>
      <c r="BB69" s="153">
        <f>ADDRESS(ROW(FICHA!Z15),COLUMN(FICHA!Z15),4)</f>
        <v/>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inlineStr">
        <is>
          <t>perícias disponíveis</t>
        </is>
      </c>
      <c r="BB70" s="153">
        <f>ADDRESS(ROW(FICHA!AK84),COLUMN(FICHA!AK84),4)</f>
        <v/>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inlineStr">
        <is>
          <t>ofícios disponíveis</t>
        </is>
      </c>
      <c r="BB71" s="153">
        <f>ADDRESS(ROW(FICHA!AF96),COLUMN(FICHA!AF96),4)</f>
        <v/>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inlineStr">
        <is>
          <t>testes disponíveis</t>
        </is>
      </c>
      <c r="BB72" s="153">
        <f>ADDRESS(ROW(FICHA!AN96),COLUMN(FICHA!AN96),4)</f>
        <v/>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inlineStr">
        <is>
          <t>escolhas de perícia</t>
        </is>
      </c>
      <c r="BB73" s="153">
        <f>ADDRESS(ROW(FICHA!AK87),COLUMN(FICHA!AK87),4)</f>
        <v/>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n"/>
      <c r="BB74" s="15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n"/>
      <c r="BB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n"/>
      <c r="BB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n"/>
      <c r="BB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sequelas</t>
        </is>
      </c>
      <c r="BB78" s="153">
        <f>ADDRESS(ROW(FICHA!D43),COLUMN(FICHA!D43),4)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exaustão</t>
        </is>
      </c>
      <c r="BB79" s="153">
        <f>ADDRESS(ROW(FICHA!O43),COLUMN(FICHA!O43),4)</f>
        <v/>
      </c>
    </row>
    <row r="80">
      <c r="BA80" s="153" t="inlineStr">
        <is>
          <t>resistências</t>
        </is>
      </c>
      <c r="BB80" s="153">
        <f>ADDRESS(ROW(FICHA!Z43),COLUMN(FICHA!Z43),4)</f>
        <v/>
      </c>
    </row>
    <row r="81">
      <c r="BA81" s="153" t="inlineStr">
        <is>
          <t>imunidades</t>
        </is>
      </c>
      <c r="BB81" s="153">
        <f>ADDRESS(ROW(FICHA!AK43),COLUMN(FICHA!AK43),4)</f>
        <v/>
      </c>
    </row>
    <row r="82">
      <c r="BA82" s="153" t="inlineStr">
        <is>
          <t>legado 1</t>
        </is>
      </c>
      <c r="BB82" s="153">
        <f>ADDRESS(ROW(FICHA!D47),COLUMN(FICHA!D47),4)</f>
        <v/>
      </c>
    </row>
    <row r="83">
      <c r="BA83" s="153" t="inlineStr">
        <is>
          <t>legado 2</t>
        </is>
      </c>
      <c r="BB83" s="153">
        <f>ADDRESS(ROW(FICHA!Z47),COLUMN(FICHA!Z47),4)</f>
        <v/>
      </c>
    </row>
    <row r="84">
      <c r="BA84" s="153" t="inlineStr">
        <is>
          <t>descanso</t>
        </is>
      </c>
      <c r="BB84" s="153">
        <f>ADDRESS(ROW(FICHA!D40),COLUMN(FICHA!D40),4)</f>
        <v/>
      </c>
    </row>
    <row r="85">
      <c r="BA85" s="153" t="inlineStr">
        <is>
          <t>último descanso</t>
        </is>
      </c>
      <c r="BB85" s="153">
        <f>ADDRESS(ROW(FICHA!O40),COLUMN(FICHA!O40),4)</f>
        <v/>
      </c>
    </row>
    <row r="86">
      <c r="BA86" s="153" t="n"/>
      <c r="BB86" s="153" t="n"/>
    </row>
    <row r="87">
      <c r="BA87" s="153" t="n"/>
      <c r="BB87" s="153" t="n"/>
    </row>
    <row r="88">
      <c r="BA88" s="153" t="inlineStr">
        <is>
          <t>treinado em armas</t>
        </is>
      </c>
      <c r="BB88" s="153">
        <f>ADDRESS(ROW(FICHA!AK74),COLUMN(FICHA!AK74),4)</f>
        <v/>
      </c>
    </row>
    <row r="89">
      <c r="BA89" s="153" t="inlineStr">
        <is>
          <t>trocou por arma</t>
        </is>
      </c>
      <c r="BB89" s="153">
        <f>ADDRESS(ROW(FICHA!AK76),COLUMN(FICHA!AK76),4)</f>
        <v/>
      </c>
    </row>
    <row r="90">
      <c r="BA90" s="153" t="inlineStr">
        <is>
          <t>grupo de arma da trilha</t>
        </is>
      </c>
      <c r="BB90" s="153">
        <f>ADDRESS(ROW(FICHA!AK80),COLUMN(FICHA!AK80),4)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modifica</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 feitiço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IFERROR(VLOOKUP($EC2,$BC$2:$BK$83,4,FALSE),0)</f>
        <v/>
      </c>
      <c r="EM2" s="155">
        <f>IFERROR(VLOOKUP($ED2,$BC$2:$BK$83,4,FALSE),0)</f>
        <v/>
      </c>
      <c r="EN2" s="155">
        <f>IFERROR(VLOOKUP($EE2,$BC$2:$BK$83,4,FALSE),0)</f>
        <v/>
      </c>
      <c r="EO2" s="155">
        <f>IFERROR(VLOOKUP($EF2,$BC$2:$BK$83,4,FALSE),0)</f>
        <v/>
      </c>
      <c r="EP2" s="155">
        <f>IF($EJ2=0,0,INDEX($AC$2:$AC$11,$EJ2))</f>
        <v/>
      </c>
      <c r="EQ2" s="155">
        <f>IFERROR(VLOOKUP($EC2,$BC$2:$BK$83,5,FALSE),0)</f>
        <v/>
      </c>
      <c r="ER2" s="155">
        <f>IFERROR(VLOOKUP($ED2,$BC$2:$BK$83,5,FALSE),0)</f>
        <v/>
      </c>
      <c r="ES2" s="155">
        <f>IFERROR(VLOOKUP($EE2,$BC$2:$BK$83,5,FALSE),0)</f>
        <v/>
      </c>
      <c r="ET2" s="155">
        <f>IFERROR(VLOOKUP($EF2,$BC$2:$BK$83,5,FALSE),0)</f>
        <v/>
      </c>
      <c r="EU2" s="155">
        <f>IFERROR(VLOOKUP($EC2,$BC$2:$BK$83,6,FALSE),0)+IFERROR(VLOOKUP($ED2,$BC$2:$BK$83,6,FALSE),0)+IFERROR(VLOOKUP($EE2,$BC$2:$BK$83,6,FALSE),0)+IFERROR(VLOOKUP($EF2,$BC$2:$BK$83,6,FALSE),0)</f>
        <v/>
      </c>
      <c r="EV2" s="155">
        <f>IFERROR(VLOOKUP($EC2,$BC$2:$BK$83,9,FALSE),0)+IFERROR(VLOOKUP($ED2,$BC$2:$BK$83,9,FALSE),0)+IFERROR(VLOOKUP($EE2,$BC$2:$BK$83,9,FALSE),0)+IFERROR(VLOOKUP($EF2,$BC$2:$BK$83,9,FALSE),0)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MIN($FP2,$FN2-IF($EK2=0,0,INDEX($Q$2:$V$8,$DZ2,$EK2)))</f>
        <v/>
      </c>
      <c r="FR2" s="155">
        <f>$FP2-$FQ2</f>
        <v/>
      </c>
      <c r="FS2" s="155">
        <f>3*$DZ2-$FN2+$FQ2</f>
        <v/>
      </c>
      <c r="FT2" s="155">
        <f>MAX(0,$FS2)+$DX2*$DZ2</f>
        <v/>
      </c>
      <c r="FU2" s="155">
        <f>(IF(COUNTIF($EC2:$EF2,"Salto")&gt;0,1,0)+IF(COUNTIF($EC2:$EF2,"Queima")&gt;0,1,0)+IF(COUNTIF($EC2:$EF2,"Estilhaço")&gt;0,1,0))*FLOOR($FT2/2,1)</f>
        <v/>
      </c>
      <c r="FV2" s="155">
        <f>MAX(0,3-SUMPRODUCT($FD2:$FI2,$Q$2:$V$2)+MIN(2,$FJ2*1+$FK2*1,SUMPRODUCT($FD2:$FI2,$Q$2:$V$2)-IF($EK2=0,0,INDEX($Q$2:$V$2,1,$EK2))))+$DX2*1</f>
        <v/>
      </c>
      <c r="FW2" s="155">
        <f>MAX(0,6-SUMPRODUCT($FD2:$FI2,$Q$3:$V$3)+MIN(4,$FJ2*1+$FK2*2,SUMPRODUCT($FD2:$FI2,$Q$3:$V$3)-IF($EK2=0,0,INDEX($Q$3:$V$3,1,$EK2))))+$DX2*2</f>
        <v/>
      </c>
      <c r="FX2" s="155">
        <f>MAX(0,9-SUMPRODUCT($FD2:$FI2,$Q$4:$V$4)+MIN(6,$FJ2*2+$FK2*3,SUMPRODUCT($FD2:$FI2,$Q$4:$V$4)-IF($EK2=0,0,INDEX($Q$4:$V$4,1,$EK2))))+$DX2*3</f>
        <v/>
      </c>
      <c r="FY2" s="155">
        <f>MAX(0,12-SUMPRODUCT($FD2:$FI2,$Q$5:$V$5)+MIN(8,$FJ2*2+$FK2*4,SUMPRODUCT($FD2:$FI2,$Q$5:$V$5)-IF($EK2=0,0,INDEX($Q$5:$V$5,1,$EK2))))+$DX2*4</f>
        <v/>
      </c>
      <c r="FZ2" s="155">
        <f>MAX(0,15-SUMPRODUCT($FD2:$FI2,$Q$6:$V$6)+MIN(10,$FJ2*3+$FK2*5,SUMPRODUCT($FD2:$FI2,$Q$6:$V$6)-IF($EK2=0,0,INDEX($Q$6:$V$6,1,$EK2))))+$DX2*5</f>
        <v/>
      </c>
      <c r="GA2" s="155">
        <f>MAX(0,18-SUMPRODUCT($FD2:$FI2,$Q$7:$V$7)+MIN(12,$FJ2*3+$FK2*6,SUMPRODUCT($FD2:$FI2,$Q$7:$V$7)-IF($EK2=0,0,INDEX($Q$7:$V$7,1,$EK2))))+$DX2*6</f>
        <v/>
      </c>
      <c r="GB2" s="155">
        <f>MAX(0,21-SUMPRODUCT($FD2:$FI2,$Q$8:$V$8)+MIN(14,$FJ2*4+$FK2*7,SUMPRODUCT($FD2:$FI2,$Q$8:$V$8)-IF($EK2=0,0,INDEX($Q$8:$V$8,1,$EK2))))+$DX2*7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Melhoria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"&amp;IFERROR(VLOOKUP($HX2,$CD$2:$CM$35,2,FALSE),""))</f>
        <v/>
      </c>
      <c r="HZ2" s="155">
        <f>IF($HX2="","",IFERROR(IF(ISNUMBER(VLOOKUP($HX2,$CD$2:$CM$35,3,FALSE)),"CE "&amp;VLOOKUP($HX2,$CD$2:$CM$35,3,FALSE),VLOOKUP($HX2,$CD$2:$CM$35,3,FALSE)),""))</f>
        <v/>
      </c>
      <c r="IA2" s="155">
        <f>IF($HX2="","",IFERROR(VLOOKUP($HX2,$CD$2:$CM$35,4,FALSE),""))</f>
        <v/>
      </c>
      <c r="IB2" s="155">
        <f>IF($HX2="","",IFERROR(VLOOKUP($HX2,$CD$2:$CM$35,5,FALSE),""))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$HK$11-IF(AND($IH2&lt;&gt;"",$II2=""),1,0)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ADDRESS(ROW(FICHA!G103),COLUMN(FICHA!G103),4)</f>
        <v/>
      </c>
      <c r="IX2" s="155">
        <f>ADDRESS(ROW(FICHA!D104),COLUMN(FICHA!D104),4)</f>
        <v/>
      </c>
      <c r="IZ2" s="153" t="inlineStr">
        <is>
          <t>Caminho · Anotações</t>
        </is>
      </c>
      <c r="JA2" s="155">
        <f>ADDRESS(ROW(FICHA!D134),COLUMN(FICHA!D134),4)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"&amp;IFERROR(VLOOKUP($KM2,$CD$2:$CM$35,10,FALSE),"")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A energia</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IFERROR(VLOOKUP($EC3,$BC$2:$BK$83,4,FALSE),0)</f>
        <v/>
      </c>
      <c r="EM3" s="155">
        <f>IFERROR(VLOOKUP($ED3,$BC$2:$BK$83,4,FALSE),0)</f>
        <v/>
      </c>
      <c r="EN3" s="155">
        <f>IFERROR(VLOOKUP($EE3,$BC$2:$BK$83,4,FALSE),0)</f>
        <v/>
      </c>
      <c r="EO3" s="155">
        <f>IFERROR(VLOOKUP($EF3,$BC$2:$BK$83,4,FALSE),0)</f>
        <v/>
      </c>
      <c r="EP3" s="155">
        <f>IF($EJ3=0,0,INDEX($AC$2:$AC$11,$EJ3))</f>
        <v/>
      </c>
      <c r="EQ3" s="155">
        <f>IFERROR(VLOOKUP($EC3,$BC$2:$BK$83,5,FALSE),0)</f>
        <v/>
      </c>
      <c r="ER3" s="155">
        <f>IFERROR(VLOOKUP($ED3,$BC$2:$BK$83,5,FALSE),0)</f>
        <v/>
      </c>
      <c r="ES3" s="155">
        <f>IFERROR(VLOOKUP($EE3,$BC$2:$BK$83,5,FALSE),0)</f>
        <v/>
      </c>
      <c r="ET3" s="155">
        <f>IFERROR(VLOOKUP($EF3,$BC$2:$BK$83,5,FALSE),0)</f>
        <v/>
      </c>
      <c r="EU3" s="155">
        <f>IFERROR(VLOOKUP($EC3,$BC$2:$BK$83,6,FALSE),0)+IFERROR(VLOOKUP($ED3,$BC$2:$BK$83,6,FALSE),0)+IFERROR(VLOOKUP($EE3,$BC$2:$BK$83,6,FALSE),0)+IFERROR(VLOOKUP($EF3,$BC$2:$BK$83,6,FALSE),0)</f>
        <v/>
      </c>
      <c r="EV3" s="155">
        <f>IFERROR(VLOOKUP($EC3,$BC$2:$BK$83,9,FALSE),0)+IFERROR(VLOOKUP($ED3,$BC$2:$BK$83,9,FALSE),0)+IFERROR(VLOOKUP($EE3,$BC$2:$BK$83,9,FALSE),0)+IFERROR(VLOOKUP($EF3,$BC$2:$BK$83,9,FALSE),0)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MIN($FP3,$FN3-IF($EK3=0,0,INDEX($Q$2:$V$8,$DZ3,$EK3)))</f>
        <v/>
      </c>
      <c r="FR3" s="155">
        <f>$FP3-$FQ3</f>
        <v/>
      </c>
      <c r="FS3" s="155">
        <f>3*$DZ3-$FN3+$FQ3</f>
        <v/>
      </c>
      <c r="FT3" s="155">
        <f>MAX(0,$FS3)+$DX3*$DZ3</f>
        <v/>
      </c>
      <c r="FU3" s="155">
        <f>(IF(COUNTIF($EC3:$EF3,"Salto")&gt;0,1,0)+IF(COUNTIF($EC3:$EF3,"Queima")&gt;0,1,0)+IF(COUNTIF($EC3:$EF3,"Estilhaço")&gt;0,1,0))*FLOOR($FT3/2,1)</f>
        <v/>
      </c>
      <c r="FV3" s="155">
        <f>MAX(0,3-SUMPRODUCT($FD3:$FI3,$Q$2:$V$2)+MIN(2,$FJ3*1+$FK3*1,SUMPRODUCT($FD3:$FI3,$Q$2:$V$2)-IF($EK3=0,0,INDEX($Q$2:$V$2,1,$EK3))))+$DX3*1</f>
        <v/>
      </c>
      <c r="FW3" s="155">
        <f>MAX(0,6-SUMPRODUCT($FD3:$FI3,$Q$3:$V$3)+MIN(4,$FJ3*1+$FK3*2,SUMPRODUCT($FD3:$FI3,$Q$3:$V$3)-IF($EK3=0,0,INDEX($Q$3:$V$3,1,$EK3))))+$DX3*2</f>
        <v/>
      </c>
      <c r="FX3" s="155">
        <f>MAX(0,9-SUMPRODUCT($FD3:$FI3,$Q$4:$V$4)+MIN(6,$FJ3*2+$FK3*3,SUMPRODUCT($FD3:$FI3,$Q$4:$V$4)-IF($EK3=0,0,INDEX($Q$4:$V$4,1,$EK3))))+$DX3*3</f>
        <v/>
      </c>
      <c r="FY3" s="155">
        <f>MAX(0,12-SUMPRODUCT($FD3:$FI3,$Q$5:$V$5)+MIN(8,$FJ3*2+$FK3*4,SUMPRODUCT($FD3:$FI3,$Q$5:$V$5)-IF($EK3=0,0,INDEX($Q$5:$V$5,1,$EK3))))+$DX3*4</f>
        <v/>
      </c>
      <c r="FZ3" s="155">
        <f>MAX(0,15-SUMPRODUCT($FD3:$FI3,$Q$6:$V$6)+MIN(10,$FJ3*3+$FK3*5,SUMPRODUCT($FD3:$FI3,$Q$6:$V$6)-IF($EK3=0,0,INDEX($Q$6:$V$6,1,$EK3))))+$DX3*5</f>
        <v/>
      </c>
      <c r="GA3" s="155">
        <f>MAX(0,18-SUMPRODUCT($FD3:$FI3,$Q$7:$V$7)+MIN(12,$FJ3*3+$FK3*6,SUMPRODUCT($FD3:$FI3,$Q$7:$V$7)-IF($EK3=0,0,INDEX($Q$7:$V$7,1,$EK3))))+$DX3*6</f>
        <v/>
      </c>
      <c r="GB3" s="155">
        <f>MAX(0,21-SUMPRODUCT($FD3:$FI3,$Q$8:$V$8)+MIN(14,$FJ3*4+$FK3*7,SUMPRODUCT($FD3:$FI3,$Q$8:$V$8)-IF($EK3=0,0,INDEX($Q$8:$V$8,1,$EK3))))+$DX3*7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Melhoria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N(FICHA!$D$62)</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"&amp;IFERROR(VLOOKUP($HX3,$CD$2:$CM$35,2,FALSE),""))</f>
        <v/>
      </c>
      <c r="HZ3" s="155">
        <f>IF($HX3="","",IFERROR(IF(ISNUMBER(VLOOKUP($HX3,$CD$2:$CM$35,3,FALSE)),"CE "&amp;VLOOKUP($HX3,$CD$2:$CM$35,3,FALSE),VLOOKUP($HX3,$CD$2:$CM$35,3,FALSE)),""))</f>
        <v/>
      </c>
      <c r="IA3" s="155">
        <f>IF($HX3="","",IFERROR(VLOOKUP($HX3,$CD$2:$CM$35,4,FALSE),""))</f>
        <v/>
      </c>
      <c r="IB3" s="155">
        <f>IF($HX3="","",IFERROR(VLOOKUP($HX3,$CD$2:$CM$35,5,FALSE),""))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$HK$11-IF(AND($IH3&lt;&gt;"",$II3=""),1,0)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ADDRESS(ROW(FICHA!G109),COLUMN(FICHA!G109),4)</f>
        <v/>
      </c>
      <c r="IX3" s="155">
        <f>ADDRESS(ROW(FICHA!D110),COLUMN(FICHA!D110),4)</f>
        <v/>
      </c>
      <c r="IZ3" s="153" t="inlineStr">
        <is>
          <t>Trilha · Escolhas da Trilha</t>
        </is>
      </c>
      <c r="JA3" s="155">
        <f>ADDRESS(ROW(FICHA!D165),COLUMN(FICHA!D165),4)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"&amp;IFERROR(VLOOKUP($KM3,$CD$2:$CM$35,10,FALSE),"")</f>
        <v/>
      </c>
      <c r="KP3" s="153" t="inlineStr">
        <is>
          <t>feitiços</t>
        </is>
      </c>
      <c r="KQ3" s="155">
        <f>UPPER(INDEX($D$3:$G$3,1,$A$2))&amp;"  ·  "&amp;$HK$14&amp;" de 36"</f>
        <v/>
      </c>
      <c r="KS3" s="153" t="inlineStr">
        <is>
          <t>L12</t>
        </is>
      </c>
      <c r="KT3" s="155">
        <f>IF(DADOS_AM!$HK$42=1,IF(DADOS_AM!$HK$49=0,"Escolha os grupos",IF(DADOS_AM!$HK$49=1,IF(DADOS_AM!$HK$43&lt;&gt;"",DADOS_AM!$HK$43,IF(DADOS_AM!$HK$44&lt;&gt;"",DADOS_AM!$HK$44,DADOS_AM!$HK$45))&amp;", das armas","Por grupo")),FICHA!$Z$62)</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Uma aptidão</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IFERROR(VLOOKUP($EC4,$BC$2:$BK$83,4,FALSE),0)</f>
        <v/>
      </c>
      <c r="EM4" s="155">
        <f>IFERROR(VLOOKUP($ED4,$BC$2:$BK$83,4,FALSE),0)</f>
        <v/>
      </c>
      <c r="EN4" s="155">
        <f>IFERROR(VLOOKUP($EE4,$BC$2:$BK$83,4,FALSE),0)</f>
        <v/>
      </c>
      <c r="EO4" s="155">
        <f>IFERROR(VLOOKUP($EF4,$BC$2:$BK$83,4,FALSE),0)</f>
        <v/>
      </c>
      <c r="EP4" s="155">
        <f>IF($EJ4=0,0,INDEX($AC$2:$AC$11,$EJ4))</f>
        <v/>
      </c>
      <c r="EQ4" s="155">
        <f>IFERROR(VLOOKUP($EC4,$BC$2:$BK$83,5,FALSE),0)</f>
        <v/>
      </c>
      <c r="ER4" s="155">
        <f>IFERROR(VLOOKUP($ED4,$BC$2:$BK$83,5,FALSE),0)</f>
        <v/>
      </c>
      <c r="ES4" s="155">
        <f>IFERROR(VLOOKUP($EE4,$BC$2:$BK$83,5,FALSE),0)</f>
        <v/>
      </c>
      <c r="ET4" s="155">
        <f>IFERROR(VLOOKUP($EF4,$BC$2:$BK$83,5,FALSE),0)</f>
        <v/>
      </c>
      <c r="EU4" s="155">
        <f>IFERROR(VLOOKUP($EC4,$BC$2:$BK$83,6,FALSE),0)+IFERROR(VLOOKUP($ED4,$BC$2:$BK$83,6,FALSE),0)+IFERROR(VLOOKUP($EE4,$BC$2:$BK$83,6,FALSE),0)+IFERROR(VLOOKUP($EF4,$BC$2:$BK$83,6,FALSE),0)</f>
        <v/>
      </c>
      <c r="EV4" s="155">
        <f>IFERROR(VLOOKUP($EC4,$BC$2:$BK$83,9,FALSE),0)+IFERROR(VLOOKUP($ED4,$BC$2:$BK$83,9,FALSE),0)+IFERROR(VLOOKUP($EE4,$BC$2:$BK$83,9,FALSE),0)+IFERROR(VLOOKUP($EF4,$BC$2:$BK$83,9,FALSE),0)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MIN($FP4,$FN4-IF($EK4=0,0,INDEX($Q$2:$V$8,$DZ4,$EK4)))</f>
        <v/>
      </c>
      <c r="FR4" s="155">
        <f>$FP4-$FQ4</f>
        <v/>
      </c>
      <c r="FS4" s="155">
        <f>3*$DZ4-$FN4+$FQ4</f>
        <v/>
      </c>
      <c r="FT4" s="155">
        <f>MAX(0,$FS4)+$DX4*$DZ4</f>
        <v/>
      </c>
      <c r="FU4" s="155">
        <f>(IF(COUNTIF($EC4:$EF4,"Salto")&gt;0,1,0)+IF(COUNTIF($EC4:$EF4,"Queima")&gt;0,1,0)+IF(COUNTIF($EC4:$EF4,"Estilhaço")&gt;0,1,0))*FLOOR($FT4/2,1)</f>
        <v/>
      </c>
      <c r="FV4" s="155">
        <f>MAX(0,3-SUMPRODUCT($FD4:$FI4,$Q$2:$V$2)+MIN(2,$FJ4*1+$FK4*1,SUMPRODUCT($FD4:$FI4,$Q$2:$V$2)-IF($EK4=0,0,INDEX($Q$2:$V$2,1,$EK4))))+$DX4*1</f>
        <v/>
      </c>
      <c r="FW4" s="155">
        <f>MAX(0,6-SUMPRODUCT($FD4:$FI4,$Q$3:$V$3)+MIN(4,$FJ4*1+$FK4*2,SUMPRODUCT($FD4:$FI4,$Q$3:$V$3)-IF($EK4=0,0,INDEX($Q$3:$V$3,1,$EK4))))+$DX4*2</f>
        <v/>
      </c>
      <c r="FX4" s="155">
        <f>MAX(0,9-SUMPRODUCT($FD4:$FI4,$Q$4:$V$4)+MIN(6,$FJ4*2+$FK4*3,SUMPRODUCT($FD4:$FI4,$Q$4:$V$4)-IF($EK4=0,0,INDEX($Q$4:$V$4,1,$EK4))))+$DX4*3</f>
        <v/>
      </c>
      <c r="FY4" s="155">
        <f>MAX(0,12-SUMPRODUCT($FD4:$FI4,$Q$5:$V$5)+MIN(8,$FJ4*2+$FK4*4,SUMPRODUCT($FD4:$FI4,$Q$5:$V$5)-IF($EK4=0,0,INDEX($Q$5:$V$5,1,$EK4))))+$DX4*4</f>
        <v/>
      </c>
      <c r="FZ4" s="155">
        <f>MAX(0,15-SUMPRODUCT($FD4:$FI4,$Q$6:$V$6)+MIN(10,$FJ4*3+$FK4*5,SUMPRODUCT($FD4:$FI4,$Q$6:$V$6)-IF($EK4=0,0,INDEX($Q$6:$V$6,1,$EK4))))+$DX4*5</f>
        <v/>
      </c>
      <c r="GA4" s="155">
        <f>MAX(0,18-SUMPRODUCT($FD4:$FI4,$Q$7:$V$7)+MIN(12,$FJ4*3+$FK4*6,SUMPRODUCT($FD4:$FI4,$Q$7:$V$7)-IF($EK4=0,0,INDEX($Q$7:$V$7,1,$EK4))))+$DX4*6</f>
        <v/>
      </c>
      <c r="GB4" s="155">
        <f>MAX(0,21-SUMPRODUCT($FD4:$FI4,$Q$8:$V$8)+MIN(14,$FJ4*4+$FK4*7,SUMPRODUCT($FD4:$FI4,$Q$8:$V$8)-IF($EK4=0,0,INDEX($Q$8:$V$8,1,$EK4))))+$DX4*7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Melhoria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MAX(1,MIN(7,N(FICHA!$Z$68)))</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"&amp;IFERROR(VLOOKUP($HX4,$CD$2:$CM$35,2,FALSE),""))</f>
        <v/>
      </c>
      <c r="HZ4" s="155">
        <f>IF($HX4="","",IFERROR(IF(ISNUMBER(VLOOKUP($HX4,$CD$2:$CM$35,3,FALSE)),"CE "&amp;VLOOKUP($HX4,$CD$2:$CM$35,3,FALSE),VLOOKUP($HX4,$CD$2:$CM$35,3,FALSE)),""))</f>
        <v/>
      </c>
      <c r="IA4" s="155">
        <f>IF($HX4="","",IFERROR(VLOOKUP($HX4,$CD$2:$CM$35,4,FALSE),""))</f>
        <v/>
      </c>
      <c r="IB4" s="155">
        <f>IF($HX4="","",IFERROR(VLOOKUP($HX4,$CD$2:$CM$35,5,FALSE),""))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$HK$11-IF(AND($IH4&lt;&gt;"",$II4=""),1,0)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ADDRESS(ROW(FICHA!G115),COLUMN(FICHA!G115),4)</f>
        <v/>
      </c>
      <c r="IX4" s="155">
        <f>ADDRESS(ROW(FICHA!D116),COLUMN(FICHA!D116),4)</f>
        <v/>
      </c>
      <c r="IZ4" s="153" t="inlineStr">
        <is>
          <t>Trilha · Anotações</t>
        </is>
      </c>
      <c r="JA4" s="155">
        <f>ADDRESS(ROW(FICHA!D171),COLUMN(FICHA!D171),4)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IF($KK4=0,"",IF(INDEX($IC$2:$IC$13,$KK4)&lt;&gt;"",INDEX($IC$2:$IC$13,$KK4),IF(IFERROR(VLOOKUP(INDEX($HX$2:$HX$13,$KK4),$CD$2:$CM$35,10,FALSE),"")&lt;&gt;"","Do livro: "&amp;IFERROR(VLOOKUP(INDEX($HX$2:$HX$13,$KK4),$CD$2:$CM$35,10,FALSE),""),"")))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"&amp;(DADOS_AM!$HK$3+IF(DADOS_AM!$HK$43&lt;&gt;"",DADOS_AM!$HK$46,IF(DADOS_AM!$HK$44&lt;&gt;"",DADOS_AM!$HK$47,DADOS_AM!$HK$48))+IFERROR(VALUE(FICHA!$W$58&amp;""),0)),"Por grupo")),FICHA!$O$58)</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 Pague a ação e os PE normais do feitiço. Confira seu alcance, seu Selo e seus demais requisitos. Faça um ataque de conjuração contra a Defesa, em vez de aplicar a cura automaticamente.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U5" s="153" t="inlineStr">
        <is>
          <t>Um Estilo</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IFERROR(VLOOKUP($EC5,$BC$2:$BK$83,4,FALSE),0)</f>
        <v/>
      </c>
      <c r="EM5" s="155">
        <f>IFERROR(VLOOKUP($ED5,$BC$2:$BK$83,4,FALSE),0)</f>
        <v/>
      </c>
      <c r="EN5" s="155">
        <f>IFERROR(VLOOKUP($EE5,$BC$2:$BK$83,4,FALSE),0)</f>
        <v/>
      </c>
      <c r="EO5" s="155">
        <f>IFERROR(VLOOKUP($EF5,$BC$2:$BK$83,4,FALSE),0)</f>
        <v/>
      </c>
      <c r="EP5" s="155">
        <f>IF($EJ5=0,0,INDEX($AC$2:$AC$11,$EJ5))</f>
        <v/>
      </c>
      <c r="EQ5" s="155">
        <f>IFERROR(VLOOKUP($EC5,$BC$2:$BK$83,5,FALSE),0)</f>
        <v/>
      </c>
      <c r="ER5" s="155">
        <f>IFERROR(VLOOKUP($ED5,$BC$2:$BK$83,5,FALSE),0)</f>
        <v/>
      </c>
      <c r="ES5" s="155">
        <f>IFERROR(VLOOKUP($EE5,$BC$2:$BK$83,5,FALSE),0)</f>
        <v/>
      </c>
      <c r="ET5" s="155">
        <f>IFERROR(VLOOKUP($EF5,$BC$2:$BK$83,5,FALSE),0)</f>
        <v/>
      </c>
      <c r="EU5" s="155">
        <f>IFERROR(VLOOKUP($EC5,$BC$2:$BK$83,6,FALSE),0)+IFERROR(VLOOKUP($ED5,$BC$2:$BK$83,6,FALSE),0)+IFERROR(VLOOKUP($EE5,$BC$2:$BK$83,6,FALSE),0)+IFERROR(VLOOKUP($EF5,$BC$2:$BK$83,6,FALSE),0)</f>
        <v/>
      </c>
      <c r="EV5" s="155">
        <f>IFERROR(VLOOKUP($EC5,$BC$2:$BK$83,9,FALSE),0)+IFERROR(VLOOKUP($ED5,$BC$2:$BK$83,9,FALSE),0)+IFERROR(VLOOKUP($EE5,$BC$2:$BK$83,9,FALSE),0)+IFERROR(VLOOKUP($EF5,$BC$2:$BK$83,9,FALSE),0)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MIN($FP5,$FN5-IF($EK5=0,0,INDEX($Q$2:$V$8,$DZ5,$EK5)))</f>
        <v/>
      </c>
      <c r="FR5" s="155">
        <f>$FP5-$FQ5</f>
        <v/>
      </c>
      <c r="FS5" s="155">
        <f>3*$DZ5-$FN5+$FQ5</f>
        <v/>
      </c>
      <c r="FT5" s="155">
        <f>MAX(0,$FS5)+$DX5*$DZ5</f>
        <v/>
      </c>
      <c r="FU5" s="155">
        <f>(IF(COUNTIF($EC5:$EF5,"Salto")&gt;0,1,0)+IF(COUNTIF($EC5:$EF5,"Queima")&gt;0,1,0)+IF(COUNTIF($EC5:$EF5,"Estilhaço")&gt;0,1,0))*FLOOR($FT5/2,1)</f>
        <v/>
      </c>
      <c r="FV5" s="155">
        <f>MAX(0,3-SUMPRODUCT($FD5:$FI5,$Q$2:$V$2)+MIN(2,$FJ5*1+$FK5*1,SUMPRODUCT($FD5:$FI5,$Q$2:$V$2)-IF($EK5=0,0,INDEX($Q$2:$V$2,1,$EK5))))+$DX5*1</f>
        <v/>
      </c>
      <c r="FW5" s="155">
        <f>MAX(0,6-SUMPRODUCT($FD5:$FI5,$Q$3:$V$3)+MIN(4,$FJ5*1+$FK5*2,SUMPRODUCT($FD5:$FI5,$Q$3:$V$3)-IF($EK5=0,0,INDEX($Q$3:$V$3,1,$EK5))))+$DX5*2</f>
        <v/>
      </c>
      <c r="FX5" s="155">
        <f>MAX(0,9-SUMPRODUCT($FD5:$FI5,$Q$4:$V$4)+MIN(6,$FJ5*2+$FK5*3,SUMPRODUCT($FD5:$FI5,$Q$4:$V$4)-IF($EK5=0,0,INDEX($Q$4:$V$4,1,$EK5))))+$DX5*3</f>
        <v/>
      </c>
      <c r="FY5" s="155">
        <f>MAX(0,12-SUMPRODUCT($FD5:$FI5,$Q$5:$V$5)+MIN(8,$FJ5*2+$FK5*4,SUMPRODUCT($FD5:$FI5,$Q$5:$V$5)-IF($EK5=0,0,INDEX($Q$5:$V$5,1,$EK5))))+$DX5*4</f>
        <v/>
      </c>
      <c r="FZ5" s="155">
        <f>MAX(0,15-SUMPRODUCT($FD5:$FI5,$Q$6:$V$6)+MIN(10,$FJ5*3+$FK5*5,SUMPRODUCT($FD5:$FI5,$Q$6:$V$6)-IF($EK5=0,0,INDEX($Q$6:$V$6,1,$EK5))))+$DX5*5</f>
        <v/>
      </c>
      <c r="GA5" s="155">
        <f>MAX(0,18-SUMPRODUCT($FD5:$FI5,$Q$7:$V$7)+MIN(12,$FJ5*3+$FK5*6,SUMPRODUCT($FD5:$FI5,$Q$7:$V$7)-IF($EK5=0,0,INDEX($Q$7:$V$7,1,$EK5))))+$DX5*6</f>
        <v/>
      </c>
      <c r="GB5" s="155">
        <f>MAX(0,21-SUMPRODUCT($FD5:$FI5,$Q$8:$V$8)+MIN(14,$FJ5*4+$FK5*7,SUMPRODUCT($FD5:$FI5,$Q$8:$V$8)-IF($EK5=0,0,INDEX($Q$8:$V$8,1,$EK5))))+$DX5*7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Melhoria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"&amp;IFERROR(VLOOKUP($HX5,$CD$2:$CM$35,2,FALSE),""))</f>
        <v/>
      </c>
      <c r="HZ5" s="155">
        <f>IF($HX5="","",IFERROR(IF(ISNUMBER(VLOOKUP($HX5,$CD$2:$CM$35,3,FALSE)),"CE "&amp;VLOOKUP($HX5,$CD$2:$CM$35,3,FALSE),VLOOKUP($HX5,$CD$2:$CM$35,3,FALSE)),""))</f>
        <v/>
      </c>
      <c r="IA5" s="155">
        <f>IF($HX5="","",IFERROR(VLOOKUP($HX5,$CD$2:$CM$35,4,FALSE),""))</f>
        <v/>
      </c>
      <c r="IB5" s="155">
        <f>IF($HX5="","",IFERROR(VLOOKUP($HX5,$CD$2:$CM$35,5,FALSE),""))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$HK$11-IF(AND($IH5&lt;&gt;"",$II5=""),1,0)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ADDRESS(ROW(FICHA!G121),COLUMN(FICHA!G121),4)</f>
        <v/>
      </c>
      <c r="IX5" s="155">
        <f>ADDRESS(ROW(FICHA!D122),COLUMN(FICHA!D122),4)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IF($KK5=0,"",IF(INDEX($IC$2:$IC$13,$KK5)&lt;&gt;"",INDEX($IC$2:$IC$13,$KK5),IF(IFERROR(VLOOKUP(INDEX($HX$2:$HX$13,$KK5),$CD$2:$CM$35,10,FALSE),"")&lt;&gt;"","Do livro: "&amp;IFERROR(VLOOKUP(INDEX($HX$2:$HX$13,$KK5),$CD$2:$CM$35,10,FALSE),""),"")))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IF(DADOS_AM!$HK$42=1,IF(DADOS_AM!$HK$49=0,"—",IF(DADOS_AM!$HK$49=1,(8+DADOS_AM!$HK$3+IF(DADOS_AM!$HK$43&lt;&gt;"",DADOS_AM!$HK$46,IF(DADOS_AM!$HK$44&lt;&gt;"",DADOS_AM!$HK$47,DADOS_AM!$HK$48))+IFERROR(VALUE(FICHA!$L$58&amp;""),0)),"Por grupo")),FICHA!$D$58)</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IFERROR(VLOOKUP($EC6,$BC$2:$BK$83,4,FALSE),0)</f>
        <v/>
      </c>
      <c r="EM6" s="155">
        <f>IFERROR(VLOOKUP($ED6,$BC$2:$BK$83,4,FALSE),0)</f>
        <v/>
      </c>
      <c r="EN6" s="155">
        <f>IFERROR(VLOOKUP($EE6,$BC$2:$BK$83,4,FALSE),0)</f>
        <v/>
      </c>
      <c r="EO6" s="155">
        <f>IFERROR(VLOOKUP($EF6,$BC$2:$BK$83,4,FALSE),0)</f>
        <v/>
      </c>
      <c r="EP6" s="155">
        <f>IF($EJ6=0,0,INDEX($AC$2:$AC$11,$EJ6))</f>
        <v/>
      </c>
      <c r="EQ6" s="155">
        <f>IFERROR(VLOOKUP($EC6,$BC$2:$BK$83,5,FALSE),0)</f>
        <v/>
      </c>
      <c r="ER6" s="155">
        <f>IFERROR(VLOOKUP($ED6,$BC$2:$BK$83,5,FALSE),0)</f>
        <v/>
      </c>
      <c r="ES6" s="155">
        <f>IFERROR(VLOOKUP($EE6,$BC$2:$BK$83,5,FALSE),0)</f>
        <v/>
      </c>
      <c r="ET6" s="155">
        <f>IFERROR(VLOOKUP($EF6,$BC$2:$BK$83,5,FALSE),0)</f>
        <v/>
      </c>
      <c r="EU6" s="155">
        <f>IFERROR(VLOOKUP($EC6,$BC$2:$BK$83,6,FALSE),0)+IFERROR(VLOOKUP($ED6,$BC$2:$BK$83,6,FALSE),0)+IFERROR(VLOOKUP($EE6,$BC$2:$BK$83,6,FALSE),0)+IFERROR(VLOOKUP($EF6,$BC$2:$BK$83,6,FALSE),0)</f>
        <v/>
      </c>
      <c r="EV6" s="155">
        <f>IFERROR(VLOOKUP($EC6,$BC$2:$BK$83,9,FALSE),0)+IFERROR(VLOOKUP($ED6,$BC$2:$BK$83,9,FALSE),0)+IFERROR(VLOOKUP($EE6,$BC$2:$BK$83,9,FALSE),0)+IFERROR(VLOOKUP($EF6,$BC$2:$BK$83,9,FALSE),0)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MIN($FP6,$FN6-IF($EK6=0,0,INDEX($Q$2:$V$8,$DZ6,$EK6)))</f>
        <v/>
      </c>
      <c r="FR6" s="155">
        <f>$FP6-$FQ6</f>
        <v/>
      </c>
      <c r="FS6" s="155">
        <f>3*$DZ6-$FN6+$FQ6</f>
        <v/>
      </c>
      <c r="FT6" s="155">
        <f>MAX(0,$FS6)+$DX6*$DZ6</f>
        <v/>
      </c>
      <c r="FU6" s="155">
        <f>(IF(COUNTIF($EC6:$EF6,"Salto")&gt;0,1,0)+IF(COUNTIF($EC6:$EF6,"Queima")&gt;0,1,0)+IF(COUNTIF($EC6:$EF6,"Estilhaço")&gt;0,1,0))*FLOOR($FT6/2,1)</f>
        <v/>
      </c>
      <c r="FV6" s="155">
        <f>MAX(0,3-SUMPRODUCT($FD6:$FI6,$Q$2:$V$2)+MIN(2,$FJ6*1+$FK6*1,SUMPRODUCT($FD6:$FI6,$Q$2:$V$2)-IF($EK6=0,0,INDEX($Q$2:$V$2,1,$EK6))))+$DX6*1</f>
        <v/>
      </c>
      <c r="FW6" s="155">
        <f>MAX(0,6-SUMPRODUCT($FD6:$FI6,$Q$3:$V$3)+MIN(4,$FJ6*1+$FK6*2,SUMPRODUCT($FD6:$FI6,$Q$3:$V$3)-IF($EK6=0,0,INDEX($Q$3:$V$3,1,$EK6))))+$DX6*2</f>
        <v/>
      </c>
      <c r="FX6" s="155">
        <f>MAX(0,9-SUMPRODUCT($FD6:$FI6,$Q$4:$V$4)+MIN(6,$FJ6*2+$FK6*3,SUMPRODUCT($FD6:$FI6,$Q$4:$V$4)-IF($EK6=0,0,INDEX($Q$4:$V$4,1,$EK6))))+$DX6*3</f>
        <v/>
      </c>
      <c r="FY6" s="155">
        <f>MAX(0,12-SUMPRODUCT($FD6:$FI6,$Q$5:$V$5)+MIN(8,$FJ6*2+$FK6*4,SUMPRODUCT($FD6:$FI6,$Q$5:$V$5)-IF($EK6=0,0,INDEX($Q$5:$V$5,1,$EK6))))+$DX6*4</f>
        <v/>
      </c>
      <c r="FZ6" s="155">
        <f>MAX(0,15-SUMPRODUCT($FD6:$FI6,$Q$6:$V$6)+MIN(10,$FJ6*3+$FK6*5,SUMPRODUCT($FD6:$FI6,$Q$6:$V$6)-IF($EK6=0,0,INDEX($Q$6:$V$6,1,$EK6))))+$DX6*5</f>
        <v/>
      </c>
      <c r="GA6" s="155">
        <f>MAX(0,18-SUMPRODUCT($FD6:$FI6,$Q$7:$V$7)+MIN(12,$FJ6*3+$FK6*6,SUMPRODUCT($FD6:$FI6,$Q$7:$V$7)-IF($EK6=0,0,INDEX($Q$7:$V$7,1,$EK6))))+$DX6*6</f>
        <v/>
      </c>
      <c r="GB6" s="155">
        <f>MAX(0,21-SUMPRODUCT($FD6:$FI6,$Q$8:$V$8)+MIN(14,$FJ6*4+$FK6*7,SUMPRODUCT($FD6:$FI6,$Q$8:$V$8)-IF($EK6=0,0,INDEX($Q$8:$V$8,1,$EK6))))+$DX6*7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Melhoria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"&amp;IFERROR(VLOOKUP($HX6,$CD$2:$CM$35,2,FALSE),""))</f>
        <v/>
      </c>
      <c r="HZ6" s="155">
        <f>IF($HX6="","",IFERROR(IF(ISNUMBER(VLOOKUP($HX6,$CD$2:$CM$35,3,FALSE)),"CE "&amp;VLOOKUP($HX6,$CD$2:$CM$35,3,FALSE),VLOOKUP($HX6,$CD$2:$CM$35,3,FALSE)),""))</f>
        <v/>
      </c>
      <c r="IA6" s="155">
        <f>IF($HX6="","",IFERROR(VLOOKUP($HX6,$CD$2:$CM$35,4,FALSE),""))</f>
        <v/>
      </c>
      <c r="IB6" s="155">
        <f>IF($HX6="","",IFERROR(VLOOKUP($HX6,$CD$2:$CM$35,5,FALSE),""))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$HK$11-IF(AND($IH6&lt;&gt;"",$II6=""),1,0)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ADDRESS(ROW(FICHA!G127),COLUMN(FICHA!G127),4)</f>
        <v/>
      </c>
      <c r="IX6" s="155">
        <f>ADDRESS(ROW(FICHA!D128),COLUMN(FICHA!D128),4)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IF($KK6=0,"",IF(INDEX($IC$2:$IC$13,$KK6)&lt;&gt;"",INDEX($IC$2:$IC$13,$KK6),IF(IFERROR(VLOOKUP(INDEX($HX$2:$HX$13,$KK6),$CD$2:$CM$35,10,FALSE),"")&lt;&gt;"","Do livro: "&amp;IFERROR(VLOOKUP(INDEX($HX$2:$HX$13,$KK6),$CD$2:$CM$35,10,FALSE),""),"")))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IFERROR(VLOOKUP($EC7,$BC$2:$BK$83,4,FALSE),0)</f>
        <v/>
      </c>
      <c r="EM7" s="155">
        <f>IFERROR(VLOOKUP($ED7,$BC$2:$BK$83,4,FALSE),0)</f>
        <v/>
      </c>
      <c r="EN7" s="155">
        <f>IFERROR(VLOOKUP($EE7,$BC$2:$BK$83,4,FALSE),0)</f>
        <v/>
      </c>
      <c r="EO7" s="155">
        <f>IFERROR(VLOOKUP($EF7,$BC$2:$BK$83,4,FALSE),0)</f>
        <v/>
      </c>
      <c r="EP7" s="155">
        <f>IF($EJ7=0,0,INDEX($AC$2:$AC$11,$EJ7))</f>
        <v/>
      </c>
      <c r="EQ7" s="155">
        <f>IFERROR(VLOOKUP($EC7,$BC$2:$BK$83,5,FALSE),0)</f>
        <v/>
      </c>
      <c r="ER7" s="155">
        <f>IFERROR(VLOOKUP($ED7,$BC$2:$BK$83,5,FALSE),0)</f>
        <v/>
      </c>
      <c r="ES7" s="155">
        <f>IFERROR(VLOOKUP($EE7,$BC$2:$BK$83,5,FALSE),0)</f>
        <v/>
      </c>
      <c r="ET7" s="155">
        <f>IFERROR(VLOOKUP($EF7,$BC$2:$BK$83,5,FALSE),0)</f>
        <v/>
      </c>
      <c r="EU7" s="155">
        <f>IFERROR(VLOOKUP($EC7,$BC$2:$BK$83,6,FALSE),0)+IFERROR(VLOOKUP($ED7,$BC$2:$BK$83,6,FALSE),0)+IFERROR(VLOOKUP($EE7,$BC$2:$BK$83,6,FALSE),0)+IFERROR(VLOOKUP($EF7,$BC$2:$BK$83,6,FALSE),0)</f>
        <v/>
      </c>
      <c r="EV7" s="155">
        <f>IFERROR(VLOOKUP($EC7,$BC$2:$BK$83,9,FALSE),0)+IFERROR(VLOOKUP($ED7,$BC$2:$BK$83,9,FALSE),0)+IFERROR(VLOOKUP($EE7,$BC$2:$BK$83,9,FALSE),0)+IFERROR(VLOOKUP($EF7,$BC$2:$BK$83,9,FALSE),0)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MIN($FP7,$FN7-IF($EK7=0,0,INDEX($Q$2:$V$8,$DZ7,$EK7)))</f>
        <v/>
      </c>
      <c r="FR7" s="155">
        <f>$FP7-$FQ7</f>
        <v/>
      </c>
      <c r="FS7" s="155">
        <f>3*$DZ7-$FN7+$FQ7</f>
        <v/>
      </c>
      <c r="FT7" s="155">
        <f>MAX(0,$FS7)+$DX7*$DZ7</f>
        <v/>
      </c>
      <c r="FU7" s="155">
        <f>(IF(COUNTIF($EC7:$EF7,"Salto")&gt;0,1,0)+IF(COUNTIF($EC7:$EF7,"Queima")&gt;0,1,0)+IF(COUNTIF($EC7:$EF7,"Estilhaço")&gt;0,1,0))*FLOOR($FT7/2,1)</f>
        <v/>
      </c>
      <c r="FV7" s="155">
        <f>MAX(0,3-SUMPRODUCT($FD7:$FI7,$Q$2:$V$2)+MIN(2,$FJ7*1+$FK7*1,SUMPRODUCT($FD7:$FI7,$Q$2:$V$2)-IF($EK7=0,0,INDEX($Q$2:$V$2,1,$EK7))))+$DX7*1</f>
        <v/>
      </c>
      <c r="FW7" s="155">
        <f>MAX(0,6-SUMPRODUCT($FD7:$FI7,$Q$3:$V$3)+MIN(4,$FJ7*1+$FK7*2,SUMPRODUCT($FD7:$FI7,$Q$3:$V$3)-IF($EK7=0,0,INDEX($Q$3:$V$3,1,$EK7))))+$DX7*2</f>
        <v/>
      </c>
      <c r="FX7" s="155">
        <f>MAX(0,9-SUMPRODUCT($FD7:$FI7,$Q$4:$V$4)+MIN(6,$FJ7*2+$FK7*3,SUMPRODUCT($FD7:$FI7,$Q$4:$V$4)-IF($EK7=0,0,INDEX($Q$4:$V$4,1,$EK7))))+$DX7*3</f>
        <v/>
      </c>
      <c r="FY7" s="155">
        <f>MAX(0,12-SUMPRODUCT($FD7:$FI7,$Q$5:$V$5)+MIN(8,$FJ7*2+$FK7*4,SUMPRODUCT($FD7:$FI7,$Q$5:$V$5)-IF($EK7=0,0,INDEX($Q$5:$V$5,1,$EK7))))+$DX7*4</f>
        <v/>
      </c>
      <c r="FZ7" s="155">
        <f>MAX(0,15-SUMPRODUCT($FD7:$FI7,$Q$6:$V$6)+MIN(10,$FJ7*3+$FK7*5,SUMPRODUCT($FD7:$FI7,$Q$6:$V$6)-IF($EK7=0,0,INDEX($Q$6:$V$6,1,$EK7))))+$DX7*5</f>
        <v/>
      </c>
      <c r="GA7" s="155">
        <f>MAX(0,18-SUMPRODUCT($FD7:$FI7,$Q$7:$V$7)+MIN(12,$FJ7*3+$FK7*6,SUMPRODUCT($FD7:$FI7,$Q$7:$V$7)-IF($EK7=0,0,INDEX($Q$7:$V$7,1,$EK7))))+$DX7*6</f>
        <v/>
      </c>
      <c r="GB7" s="155">
        <f>MAX(0,21-SUMPRODUCT($FD7:$FI7,$Q$8:$V$8)+MIN(14,$FJ7*4+$FK7*7,SUMPRODUCT($FD7:$FI7,$Q$8:$V$8)-IF($EK7=0,0,INDEX($Q$8:$V$8,1,$EK7))))+$DX7*7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Melhoria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"&amp;IFERROR(VLOOKUP($HX7,$CD$2:$CM$35,2,FALSE),""))</f>
        <v/>
      </c>
      <c r="HZ7" s="155">
        <f>IF($HX7="","",IFERROR(IF(ISNUMBER(VLOOKUP($HX7,$CD$2:$CM$35,3,FALSE)),"CE "&amp;VLOOKUP($HX7,$CD$2:$CM$35,3,FALSE),VLOOKUP($HX7,$CD$2:$CM$35,3,FALSE)),""))</f>
        <v/>
      </c>
      <c r="IA7" s="155">
        <f>IF($HX7="","",IFERROR(VLOOKUP($HX7,$CD$2:$CM$35,4,FALSE),""))</f>
        <v/>
      </c>
      <c r="IB7" s="155">
        <f>IF($HX7="","",IFERROR(VLOOKUP($HX7,$CD$2:$CM$35,5,FALSE),""))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ADDRESS(ROW(FICHA!G140),COLUMN(FICHA!G140),4)</f>
        <v/>
      </c>
      <c r="IX7" s="155">
        <f>ADDRESS(ROW(FICHA!D141),COLUMN(FICHA!D141),4)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IF($KK7=0,"",IF(INDEX($IC$2:$IC$13,$KK7)&lt;&gt;"",INDEX($IC$2:$IC$13,$KK7),IF(IFERROR(VLOOKUP(INDEX($HX$2:$HX$13,$KK7),$CD$2:$CM$35,10,FALSE),"")&lt;&gt;"","Do livro: "&amp;IFERROR(VLOOKUP(INDEX($HX$2:$HX$13,$KK7),$CD$2:$CM$35,10,FALSE),""),"")))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Maior</t>
        </is>
      </c>
      <c r="BD8" s="153" t="inlineStr">
        <is>
          <t>Área</t>
        </is>
      </c>
      <c r="BE8" s="155" t="n">
        <v>1</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IFERROR(VLOOKUP($EC8,$BC$2:$BK$83,4,FALSE),0)</f>
        <v/>
      </c>
      <c r="EM8" s="155">
        <f>IFERROR(VLOOKUP($ED8,$BC$2:$BK$83,4,FALSE),0)</f>
        <v/>
      </c>
      <c r="EN8" s="155">
        <f>IFERROR(VLOOKUP($EE8,$BC$2:$BK$83,4,FALSE),0)</f>
        <v/>
      </c>
      <c r="EO8" s="155">
        <f>IFERROR(VLOOKUP($EF8,$BC$2:$BK$83,4,FALSE),0)</f>
        <v/>
      </c>
      <c r="EP8" s="155">
        <f>IF($EJ8=0,0,INDEX($AC$2:$AC$11,$EJ8))</f>
        <v/>
      </c>
      <c r="EQ8" s="155">
        <f>IFERROR(VLOOKUP($EC8,$BC$2:$BK$83,5,FALSE),0)</f>
        <v/>
      </c>
      <c r="ER8" s="155">
        <f>IFERROR(VLOOKUP($ED8,$BC$2:$BK$83,5,FALSE),0)</f>
        <v/>
      </c>
      <c r="ES8" s="155">
        <f>IFERROR(VLOOKUP($EE8,$BC$2:$BK$83,5,FALSE),0)</f>
        <v/>
      </c>
      <c r="ET8" s="155">
        <f>IFERROR(VLOOKUP($EF8,$BC$2:$BK$83,5,FALSE),0)</f>
        <v/>
      </c>
      <c r="EU8" s="155">
        <f>IFERROR(VLOOKUP($EC8,$BC$2:$BK$83,6,FALSE),0)+IFERROR(VLOOKUP($ED8,$BC$2:$BK$83,6,FALSE),0)+IFERROR(VLOOKUP($EE8,$BC$2:$BK$83,6,FALSE),0)+IFERROR(VLOOKUP($EF8,$BC$2:$BK$83,6,FALSE),0)</f>
        <v/>
      </c>
      <c r="EV8" s="155">
        <f>IFERROR(VLOOKUP($EC8,$BC$2:$BK$83,9,FALSE),0)+IFERROR(VLOOKUP($ED8,$BC$2:$BK$83,9,FALSE),0)+IFERROR(VLOOKUP($EE8,$BC$2:$BK$83,9,FALSE),0)+IFERROR(VLOOKUP($EF8,$BC$2:$BK$83,9,FALSE),0)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MIN($FP8,$FN8-IF($EK8=0,0,INDEX($Q$2:$V$8,$DZ8,$EK8)))</f>
        <v/>
      </c>
      <c r="FR8" s="155">
        <f>$FP8-$FQ8</f>
        <v/>
      </c>
      <c r="FS8" s="155">
        <f>3*$DZ8-$FN8+$FQ8</f>
        <v/>
      </c>
      <c r="FT8" s="155">
        <f>MAX(0,$FS8)+$DX8*$DZ8</f>
        <v/>
      </c>
      <c r="FU8" s="155">
        <f>(IF(COUNTIF($EC8:$EF8,"Salto")&gt;0,1,0)+IF(COUNTIF($EC8:$EF8,"Queima")&gt;0,1,0)+IF(COUNTIF($EC8:$EF8,"Estilhaço")&gt;0,1,0))*FLOOR($FT8/2,1)</f>
        <v/>
      </c>
      <c r="FV8" s="155">
        <f>MAX(0,3-SUMPRODUCT($FD8:$FI8,$Q$2:$V$2)+MIN(2,$FJ8*1+$FK8*1,SUMPRODUCT($FD8:$FI8,$Q$2:$V$2)-IF($EK8=0,0,INDEX($Q$2:$V$2,1,$EK8))))+$DX8*1</f>
        <v/>
      </c>
      <c r="FW8" s="155">
        <f>MAX(0,6-SUMPRODUCT($FD8:$FI8,$Q$3:$V$3)+MIN(4,$FJ8*1+$FK8*2,SUMPRODUCT($FD8:$FI8,$Q$3:$V$3)-IF($EK8=0,0,INDEX($Q$3:$V$3,1,$EK8))))+$DX8*2</f>
        <v/>
      </c>
      <c r="FX8" s="155">
        <f>MAX(0,9-SUMPRODUCT($FD8:$FI8,$Q$4:$V$4)+MIN(6,$FJ8*2+$FK8*3,SUMPRODUCT($FD8:$FI8,$Q$4:$V$4)-IF($EK8=0,0,INDEX($Q$4:$V$4,1,$EK8))))+$DX8*3</f>
        <v/>
      </c>
      <c r="FY8" s="155">
        <f>MAX(0,12-SUMPRODUCT($FD8:$FI8,$Q$5:$V$5)+MIN(8,$FJ8*2+$FK8*4,SUMPRODUCT($FD8:$FI8,$Q$5:$V$5)-IF($EK8=0,0,INDEX($Q$5:$V$5,1,$EK8))))+$DX8*4</f>
        <v/>
      </c>
      <c r="FZ8" s="155">
        <f>MAX(0,15-SUMPRODUCT($FD8:$FI8,$Q$6:$V$6)+MIN(10,$FJ8*3+$FK8*5,SUMPRODUCT($FD8:$FI8,$Q$6:$V$6)-IF($EK8=0,0,INDEX($Q$6:$V$6,1,$EK8))))+$DX8*5</f>
        <v/>
      </c>
      <c r="GA8" s="155">
        <f>MAX(0,18-SUMPRODUCT($FD8:$FI8,$Q$7:$V$7)+MIN(12,$FJ8*3+$FK8*6,SUMPRODUCT($FD8:$FI8,$Q$7:$V$7)-IF($EK8=0,0,INDEX($Q$7:$V$7,1,$EK8))))+$DX8*6</f>
        <v/>
      </c>
      <c r="GB8" s="155">
        <f>MAX(0,21-SUMPRODUCT($FD8:$FI8,$Q$8:$V$8)+MIN(14,$FJ8*4+$FK8*7,SUMPRODUCT($FD8:$FI8,$Q$8:$V$8)-IF($EK8=0,0,INDEX($Q$8:$V$8,1,$EK8))))+$DX8*7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Melhoria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"&amp;IFERROR(VLOOKUP($HX8,$CD$2:$CM$35,2,FALSE),""))</f>
        <v/>
      </c>
      <c r="HZ8" s="155">
        <f>IF($HX8="","",IFERROR(IF(ISNUMBER(VLOOKUP($HX8,$CD$2:$CM$35,3,FALSE)),"CE "&amp;VLOOKUP($HX8,$CD$2:$CM$35,3,FALSE),VLOOKUP($HX8,$CD$2:$CM$35,3,FALSE)),""))</f>
        <v/>
      </c>
      <c r="IA8" s="155">
        <f>IF($HX8="","",IFERROR(VLOOKUP($HX8,$CD$2:$CM$35,4,FALSE),""))</f>
        <v/>
      </c>
      <c r="IB8" s="155">
        <f>IF($HX8="","",IFERROR(VLOOKUP($HX8,$CD$2:$CM$35,5,FALSE),""))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ADDRESS(ROW(FICHA!G146),COLUMN(FICHA!G146),4)</f>
        <v/>
      </c>
      <c r="IX8" s="155">
        <f>ADDRESS(ROW(FICHA!D147),COLUMN(FICHA!D147),4)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IF($KK8=0,"",IF(INDEX($IC$2:$IC$13,$KK8)&lt;&gt;"",INDEX($IC$2:$IC$13,$KK8),IF(IFERROR(VLOOKUP(INDEX($HX$2:$HX$13,$KK8),$CD$2:$CM$35,10,FALSE),"")&lt;&gt;"","Do livro: "&amp;IFERROR(VLOOKUP(INDEX($HX$2:$HX$13,$KK8),$CD$2:$CM$35,10,FALSE),""),"")))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Muito Maior</t>
        </is>
      </c>
      <c r="BD9" s="153" t="inlineStr">
        <is>
          <t>Área</t>
        </is>
      </c>
      <c r="BE9" s="155" t="n">
        <v>3</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IFERROR(VLOOKUP($EC9,$BC$2:$BK$83,4,FALSE),0)</f>
        <v/>
      </c>
      <c r="EM9" s="155">
        <f>IFERROR(VLOOKUP($ED9,$BC$2:$BK$83,4,FALSE),0)</f>
        <v/>
      </c>
      <c r="EN9" s="155">
        <f>IFERROR(VLOOKUP($EE9,$BC$2:$BK$83,4,FALSE),0)</f>
        <v/>
      </c>
      <c r="EO9" s="155">
        <f>IFERROR(VLOOKUP($EF9,$BC$2:$BK$83,4,FALSE),0)</f>
        <v/>
      </c>
      <c r="EP9" s="155">
        <f>IF($EJ9=0,0,INDEX($AC$2:$AC$11,$EJ9))</f>
        <v/>
      </c>
      <c r="EQ9" s="155">
        <f>IFERROR(VLOOKUP($EC9,$BC$2:$BK$83,5,FALSE),0)</f>
        <v/>
      </c>
      <c r="ER9" s="155">
        <f>IFERROR(VLOOKUP($ED9,$BC$2:$BK$83,5,FALSE),0)</f>
        <v/>
      </c>
      <c r="ES9" s="155">
        <f>IFERROR(VLOOKUP($EE9,$BC$2:$BK$83,5,FALSE),0)</f>
        <v/>
      </c>
      <c r="ET9" s="155">
        <f>IFERROR(VLOOKUP($EF9,$BC$2:$BK$83,5,FALSE),0)</f>
        <v/>
      </c>
      <c r="EU9" s="155">
        <f>IFERROR(VLOOKUP($EC9,$BC$2:$BK$83,6,FALSE),0)+IFERROR(VLOOKUP($ED9,$BC$2:$BK$83,6,FALSE),0)+IFERROR(VLOOKUP($EE9,$BC$2:$BK$83,6,FALSE),0)+IFERROR(VLOOKUP($EF9,$BC$2:$BK$83,6,FALSE),0)</f>
        <v/>
      </c>
      <c r="EV9" s="155">
        <f>IFERROR(VLOOKUP($EC9,$BC$2:$BK$83,9,FALSE),0)+IFERROR(VLOOKUP($ED9,$BC$2:$BK$83,9,FALSE),0)+IFERROR(VLOOKUP($EE9,$BC$2:$BK$83,9,FALSE),0)+IFERROR(VLOOKUP($EF9,$BC$2:$BK$83,9,FALSE),0)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MIN($FP9,$FN9-IF($EK9=0,0,INDEX($Q$2:$V$8,$DZ9,$EK9)))</f>
        <v/>
      </c>
      <c r="FR9" s="155">
        <f>$FP9-$FQ9</f>
        <v/>
      </c>
      <c r="FS9" s="155">
        <f>3*$DZ9-$FN9+$FQ9</f>
        <v/>
      </c>
      <c r="FT9" s="155">
        <f>MAX(0,$FS9)+$DX9*$DZ9</f>
        <v/>
      </c>
      <c r="FU9" s="155">
        <f>(IF(COUNTIF($EC9:$EF9,"Salto")&gt;0,1,0)+IF(COUNTIF($EC9:$EF9,"Queima")&gt;0,1,0)+IF(COUNTIF($EC9:$EF9,"Estilhaço")&gt;0,1,0))*FLOOR($FT9/2,1)</f>
        <v/>
      </c>
      <c r="FV9" s="155">
        <f>MAX(0,3-SUMPRODUCT($FD9:$FI9,$Q$2:$V$2)+MIN(2,$FJ9*1+$FK9*1,SUMPRODUCT($FD9:$FI9,$Q$2:$V$2)-IF($EK9=0,0,INDEX($Q$2:$V$2,1,$EK9))))+$DX9*1</f>
        <v/>
      </c>
      <c r="FW9" s="155">
        <f>MAX(0,6-SUMPRODUCT($FD9:$FI9,$Q$3:$V$3)+MIN(4,$FJ9*1+$FK9*2,SUMPRODUCT($FD9:$FI9,$Q$3:$V$3)-IF($EK9=0,0,INDEX($Q$3:$V$3,1,$EK9))))+$DX9*2</f>
        <v/>
      </c>
      <c r="FX9" s="155">
        <f>MAX(0,9-SUMPRODUCT($FD9:$FI9,$Q$4:$V$4)+MIN(6,$FJ9*2+$FK9*3,SUMPRODUCT($FD9:$FI9,$Q$4:$V$4)-IF($EK9=0,0,INDEX($Q$4:$V$4,1,$EK9))))+$DX9*3</f>
        <v/>
      </c>
      <c r="FY9" s="155">
        <f>MAX(0,12-SUMPRODUCT($FD9:$FI9,$Q$5:$V$5)+MIN(8,$FJ9*2+$FK9*4,SUMPRODUCT($FD9:$FI9,$Q$5:$V$5)-IF($EK9=0,0,INDEX($Q$5:$V$5,1,$EK9))))+$DX9*4</f>
        <v/>
      </c>
      <c r="FZ9" s="155">
        <f>MAX(0,15-SUMPRODUCT($FD9:$FI9,$Q$6:$V$6)+MIN(10,$FJ9*3+$FK9*5,SUMPRODUCT($FD9:$FI9,$Q$6:$V$6)-IF($EK9=0,0,INDEX($Q$6:$V$6,1,$EK9))))+$DX9*5</f>
        <v/>
      </c>
      <c r="GA9" s="155">
        <f>MAX(0,18-SUMPRODUCT($FD9:$FI9,$Q$7:$V$7)+MIN(12,$FJ9*3+$FK9*6,SUMPRODUCT($FD9:$FI9,$Q$7:$V$7)-IF($EK9=0,0,INDEX($Q$7:$V$7,1,$EK9))))+$DX9*6</f>
        <v/>
      </c>
      <c r="GB9" s="155">
        <f>MAX(0,21-SUMPRODUCT($FD9:$FI9,$Q$8:$V$8)+MIN(14,$FJ9*4+$FK9*7,SUMPRODUCT($FD9:$FI9,$Q$8:$V$8)-IF($EK9=0,0,INDEX($Q$8:$V$8,1,$EK9))))+$DX9*7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Melhoria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"&amp;IFERROR(VLOOKUP($HX9,$CD$2:$CM$35,2,FALSE),""))</f>
        <v/>
      </c>
      <c r="HZ9" s="155">
        <f>IF($HX9="","",IFERROR(IF(ISNUMBER(VLOOKUP($HX9,$CD$2:$CM$35,3,FALSE)),"CE "&amp;VLOOKUP($HX9,$CD$2:$CM$35,3,FALSE),VLOOKUP($HX9,$CD$2:$CM$35,3,FALSE)),""))</f>
        <v/>
      </c>
      <c r="IA9" s="155">
        <f>IF($HX9="","",IFERROR(VLOOKUP($HX9,$CD$2:$CM$35,4,FALSE),""))</f>
        <v/>
      </c>
      <c r="IB9" s="155">
        <f>IF($HX9="","",IFERROR(VLOOKUP($HX9,$CD$2:$CM$35,5,FALSE),""))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ADDRESS(ROW(FICHA!G152),COLUMN(FICHA!G152),4)</f>
        <v/>
      </c>
      <c r="IX9" s="155">
        <f>ADDRESS(ROW(FICHA!D153),COLUMN(FICHA!D153),4)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IF($KK9=0,"",IF(INDEX($IC$2:$IC$13,$KK9)&lt;&gt;"",INDEX($IC$2:$IC$13,$KK9),IF(IFERROR(VLOOKUP(INDEX($HX$2:$HX$13,$KK9),$CD$2:$CM$35,10,FALSE),"")&lt;&gt;"","Do livro: "&amp;IFERROR(VLOOKUP(INDEX($HX$2:$HX$13,$KK9),$CD$2:$CM$35,10,FALSE),""),"")))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Escolher</t>
        </is>
      </c>
      <c r="BD10" s="153" t="inlineStr">
        <is>
          <t>Área</t>
        </is>
      </c>
      <c r="BE10" s="155" t="n">
        <v>2</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IFERROR(VLOOKUP($EC10,$BC$2:$BK$83,4,FALSE),0)</f>
        <v/>
      </c>
      <c r="EM10" s="155">
        <f>IFERROR(VLOOKUP($ED10,$BC$2:$BK$83,4,FALSE),0)</f>
        <v/>
      </c>
      <c r="EN10" s="155">
        <f>IFERROR(VLOOKUP($EE10,$BC$2:$BK$83,4,FALSE),0)</f>
        <v/>
      </c>
      <c r="EO10" s="155">
        <f>IFERROR(VLOOKUP($EF10,$BC$2:$BK$83,4,FALSE),0)</f>
        <v/>
      </c>
      <c r="EP10" s="155">
        <f>IF($EJ10=0,0,INDEX($AC$2:$AC$11,$EJ10))</f>
        <v/>
      </c>
      <c r="EQ10" s="155">
        <f>IFERROR(VLOOKUP($EC10,$BC$2:$BK$83,5,FALSE),0)</f>
        <v/>
      </c>
      <c r="ER10" s="155">
        <f>IFERROR(VLOOKUP($ED10,$BC$2:$BK$83,5,FALSE),0)</f>
        <v/>
      </c>
      <c r="ES10" s="155">
        <f>IFERROR(VLOOKUP($EE10,$BC$2:$BK$83,5,FALSE),0)</f>
        <v/>
      </c>
      <c r="ET10" s="155">
        <f>IFERROR(VLOOKUP($EF10,$BC$2:$BK$83,5,FALSE),0)</f>
        <v/>
      </c>
      <c r="EU10" s="155">
        <f>IFERROR(VLOOKUP($EC10,$BC$2:$BK$83,6,FALSE),0)+IFERROR(VLOOKUP($ED10,$BC$2:$BK$83,6,FALSE),0)+IFERROR(VLOOKUP($EE10,$BC$2:$BK$83,6,FALSE),0)+IFERROR(VLOOKUP($EF10,$BC$2:$BK$83,6,FALSE),0)</f>
        <v/>
      </c>
      <c r="EV10" s="155">
        <f>IFERROR(VLOOKUP($EC10,$BC$2:$BK$83,9,FALSE),0)+IFERROR(VLOOKUP($ED10,$BC$2:$BK$83,9,FALSE),0)+IFERROR(VLOOKUP($EE10,$BC$2:$BK$83,9,FALSE),0)+IFERROR(VLOOKUP($EF10,$BC$2:$BK$83,9,FALSE),0)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MIN($FP10,$FN10-IF($EK10=0,0,INDEX($Q$2:$V$8,$DZ10,$EK10)))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MAX(0,3-SUMPRODUCT($FD10:$FI10,$Q$2:$V$2)+MIN(2,$FJ10*1+$FK10*1,SUMPRODUCT($FD10:$FI10,$Q$2:$V$2)-IF($EK10=0,0,INDEX($Q$2:$V$2,1,$EK10))))+$DX10*1</f>
        <v/>
      </c>
      <c r="FW10" s="155">
        <f>MAX(0,6-SUMPRODUCT($FD10:$FI10,$Q$3:$V$3)+MIN(4,$FJ10*1+$FK10*2,SUMPRODUCT($FD10:$FI10,$Q$3:$V$3)-IF($EK10=0,0,INDEX($Q$3:$V$3,1,$EK10))))+$DX10*2</f>
        <v/>
      </c>
      <c r="FX10" s="155">
        <f>MAX(0,9-SUMPRODUCT($FD10:$FI10,$Q$4:$V$4)+MIN(6,$FJ10*2+$FK10*3,SUMPRODUCT($FD10:$FI10,$Q$4:$V$4)-IF($EK10=0,0,INDEX($Q$4:$V$4,1,$EK10))))+$DX10*3</f>
        <v/>
      </c>
      <c r="FY10" s="155">
        <f>MAX(0,12-SUMPRODUCT($FD10:$FI10,$Q$5:$V$5)+MIN(8,$FJ10*2+$FK10*4,SUMPRODUCT($FD10:$FI10,$Q$5:$V$5)-IF($EK10=0,0,INDEX($Q$5:$V$5,1,$EK10))))+$DX10*4</f>
        <v/>
      </c>
      <c r="FZ10" s="155">
        <f>MAX(0,15-SUMPRODUCT($FD10:$FI10,$Q$6:$V$6)+MIN(10,$FJ10*3+$FK10*5,SUMPRODUCT($FD10:$FI10,$Q$6:$V$6)-IF($EK10=0,0,INDEX($Q$6:$V$6,1,$EK10))))+$DX10*5</f>
        <v/>
      </c>
      <c r="GA10" s="155">
        <f>MAX(0,18-SUMPRODUCT($FD10:$FI10,$Q$7:$V$7)+MIN(12,$FJ10*3+$FK10*6,SUMPRODUCT($FD10:$FI10,$Q$7:$V$7)-IF($EK10=0,0,INDEX($Q$7:$V$7,1,$EK10))))+$DX10*6</f>
        <v/>
      </c>
      <c r="GB10" s="155">
        <f>MAX(0,21-SUMPRODUCT($FD10:$FI10,$Q$8:$V$8)+MIN(14,$FJ10*4+$FK10*7,SUMPRODUCT($FD10:$FI10,$Q$8:$V$8)-IF($EK10=0,0,INDEX($Q$8:$V$8,1,$EK10))))+$DX10*7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Melhoria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"&amp;IFERROR(VLOOKUP($HX10,$CD$2:$CM$35,2,FALSE),""))</f>
        <v/>
      </c>
      <c r="HZ10" s="155">
        <f>IF($HX10="","",IFERROR(IF(ISNUMBER(VLOOKUP($HX10,$CD$2:$CM$35,3,FALSE)),"CE "&amp;VLOOKUP($HX10,$CD$2:$CM$35,3,FALSE),VLOOKUP($HX10,$CD$2:$CM$35,3,FALSE)),""))</f>
        <v/>
      </c>
      <c r="IA10" s="155">
        <f>IF($HX10="","",IFERROR(VLOOKUP($HX10,$CD$2:$CM$35,4,FALSE),""))</f>
        <v/>
      </c>
      <c r="IB10" s="155">
        <f>IF($HX10="","",IFERROR(VLOOKUP($HX10,$CD$2:$CM$35,5,FALSE),""))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ADDRESS(ROW(FICHA!G158),COLUMN(FICHA!G158),4)</f>
        <v/>
      </c>
      <c r="IX10" s="155">
        <f>ADDRESS(ROW(FICHA!D159),COLUMN(FICHA!D159),4)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IF($KK10=0,"",IF(INDEX($IC$2:$IC$13,$KK10)&lt;&gt;"",INDEX($IC$2:$IC$13,$KK10),IF(IFERROR(VLOOKUP(INDEX($HX$2:$HX$13,$KK10),$CD$2:$CM$35,10,FALSE),"")&lt;&gt;"","Do livro: "&amp;IFERROR(VLOOKUP(INDEX($HX$2:$HX$13,$KK10),$CD$2:$CM$35,10,FALSE),""),"")))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Mais Um</t>
        </is>
      </c>
      <c r="BD11" s="153" t="inlineStr">
        <is>
          <t>Área</t>
        </is>
      </c>
      <c r="BE11" s="155" t="n">
        <v>1</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IFERROR(VLOOKUP($EC11,$BC$2:$BK$83,4,FALSE),0)</f>
        <v/>
      </c>
      <c r="EM11" s="155">
        <f>IFERROR(VLOOKUP($ED11,$BC$2:$BK$83,4,FALSE),0)</f>
        <v/>
      </c>
      <c r="EN11" s="155">
        <f>IFERROR(VLOOKUP($EE11,$BC$2:$BK$83,4,FALSE),0)</f>
        <v/>
      </c>
      <c r="EO11" s="155">
        <f>IFERROR(VLOOKUP($EF11,$BC$2:$BK$83,4,FALSE),0)</f>
        <v/>
      </c>
      <c r="EP11" s="155">
        <f>IF($EJ11=0,0,INDEX($AC$2:$AC$11,$EJ11))</f>
        <v/>
      </c>
      <c r="EQ11" s="155">
        <f>IFERROR(VLOOKUP($EC11,$BC$2:$BK$83,5,FALSE),0)</f>
        <v/>
      </c>
      <c r="ER11" s="155">
        <f>IFERROR(VLOOKUP($ED11,$BC$2:$BK$83,5,FALSE),0)</f>
        <v/>
      </c>
      <c r="ES11" s="155">
        <f>IFERROR(VLOOKUP($EE11,$BC$2:$BK$83,5,FALSE),0)</f>
        <v/>
      </c>
      <c r="ET11" s="155">
        <f>IFERROR(VLOOKUP($EF11,$BC$2:$BK$83,5,FALSE),0)</f>
        <v/>
      </c>
      <c r="EU11" s="155">
        <f>IFERROR(VLOOKUP($EC11,$BC$2:$BK$83,6,FALSE),0)+IFERROR(VLOOKUP($ED11,$BC$2:$BK$83,6,FALSE),0)+IFERROR(VLOOKUP($EE11,$BC$2:$BK$83,6,FALSE),0)+IFERROR(VLOOKUP($EF11,$BC$2:$BK$83,6,FALSE),0)</f>
        <v/>
      </c>
      <c r="EV11" s="155">
        <f>IFERROR(VLOOKUP($EC11,$BC$2:$BK$83,9,FALSE),0)+IFERROR(VLOOKUP($ED11,$BC$2:$BK$83,9,FALSE),0)+IFERROR(VLOOKUP($EE11,$BC$2:$BK$83,9,FALSE),0)+IFERROR(VLOOKUP($EF11,$BC$2:$BK$83,9,FALSE),0)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MIN($FP11,$FN11-IF($EK11=0,0,INDEX($Q$2:$V$8,$DZ11,$EK11)))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MAX(0,3-SUMPRODUCT($FD11:$FI11,$Q$2:$V$2)+MIN(2,$FJ11*1+$FK11*1,SUMPRODUCT($FD11:$FI11,$Q$2:$V$2)-IF($EK11=0,0,INDEX($Q$2:$V$2,1,$EK11))))+$DX11*1</f>
        <v/>
      </c>
      <c r="FW11" s="155">
        <f>MAX(0,6-SUMPRODUCT($FD11:$FI11,$Q$3:$V$3)+MIN(4,$FJ11*1+$FK11*2,SUMPRODUCT($FD11:$FI11,$Q$3:$V$3)-IF($EK11=0,0,INDEX($Q$3:$V$3,1,$EK11))))+$DX11*2</f>
        <v/>
      </c>
      <c r="FX11" s="155">
        <f>MAX(0,9-SUMPRODUCT($FD11:$FI11,$Q$4:$V$4)+MIN(6,$FJ11*2+$FK11*3,SUMPRODUCT($FD11:$FI11,$Q$4:$V$4)-IF($EK11=0,0,INDEX($Q$4:$V$4,1,$EK11))))+$DX11*3</f>
        <v/>
      </c>
      <c r="FY11" s="155">
        <f>MAX(0,12-SUMPRODUCT($FD11:$FI11,$Q$5:$V$5)+MIN(8,$FJ11*2+$FK11*4,SUMPRODUCT($FD11:$FI11,$Q$5:$V$5)-IF($EK11=0,0,INDEX($Q$5:$V$5,1,$EK11))))+$DX11*4</f>
        <v/>
      </c>
      <c r="FZ11" s="155">
        <f>MAX(0,15-SUMPRODUCT($FD11:$FI11,$Q$6:$V$6)+MIN(10,$FJ11*3+$FK11*5,SUMPRODUCT($FD11:$FI11,$Q$6:$V$6)-IF($EK11=0,0,INDEX($Q$6:$V$6,1,$EK11))))+$DX11*5</f>
        <v/>
      </c>
      <c r="GA11" s="155">
        <f>MAX(0,18-SUMPRODUCT($FD11:$FI11,$Q$7:$V$7)+MIN(12,$FJ11*3+$FK11*6,SUMPRODUCT($FD11:$FI11,$Q$7:$V$7)-IF($EK11=0,0,INDEX($Q$7:$V$7,1,$EK11))))+$DX11*6</f>
        <v/>
      </c>
      <c r="GB11" s="155">
        <f>MAX(0,21-SUMPRODUCT($FD11:$FI11,$Q$8:$V$8)+MIN(14,$FJ11*4+$FK11*7,SUMPRODUCT($FD11:$FI11,$Q$8:$V$8)-IF($EK11=0,0,INDEX($Q$8:$V$8,1,$EK11))))+$DX11*7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Melhoria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"&amp;IFERROR(VLOOKUP($HX11,$CD$2:$CM$35,2,FALSE),""))</f>
        <v/>
      </c>
      <c r="HZ11" s="155">
        <f>IF($HX11="","",IFERROR(IF(ISNUMBER(VLOOKUP($HX11,$CD$2:$CM$35,3,FALSE)),"CE "&amp;VLOOKUP($HX11,$CD$2:$CM$35,3,FALSE),VLOOKUP($HX11,$CD$2:$CM$35,3,FALSE)),""))</f>
        <v/>
      </c>
      <c r="IA11" s="155">
        <f>IF($HX11="","",IFERROR(VLOOKUP($HX11,$CD$2:$CM$35,4,FALSE),""))</f>
        <v/>
      </c>
      <c r="IB11" s="155">
        <f>IF($HX11="","",IFERROR(VLOOKUP($HX11,$CD$2:$CM$35,5,FALSE),""))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IF($KK11=0,"",IF(INDEX($IC$2:$IC$13,$KK11)&lt;&gt;"",INDEX($IC$2:$IC$13,$KK11),IF(IFERROR(VLOOKUP(INDEX($HX$2:$HX$13,$KK11),$CD$2:$CM$35,10,FALSE),"")&lt;&gt;"","Do livro: "&amp;IFERROR(VLOOKUP(INDEX($HX$2:$HX$13,$KK11),$CD$2:$CM$35,10,FALSE),""),"")))</f>
        <v/>
      </c>
      <c r="KP11" s="153" t="inlineStr">
        <is>
          <t>par 4</t>
        </is>
      </c>
      <c r="KQ11" s="155">
        <f>UPPER(INDEX($D$3:$G$3,1,$A$2))&amp;" 13 A 18"</f>
        <v/>
      </c>
      <c r="KS11" s="153" t="inlineStr">
        <is>
          <t>D19</t>
        </is>
      </c>
      <c r="KT11" s="155">
        <f>IF(DADOS_AM!$HK$43="","",DADOS_AM!$HK$43&amp;" · "&amp;"d20 + "&amp;(DADOS_AM!$HK$3+DADOS_AM!$HK$46+IFERROR(VALUE(FICHA!$W$58&amp;""),0))&amp;" · CD "&amp;(8+DADOS_AM!$HK$3+DADOS_AM!$HK$46+IFERROR(VALUE(FICHA!$L$58&amp;""),0)))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Rajada</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IFERROR(VLOOKUP($EC12,$BC$2:$BK$83,4,FALSE),0)</f>
        <v/>
      </c>
      <c r="EM12" s="155">
        <f>IFERROR(VLOOKUP($ED12,$BC$2:$BK$83,4,FALSE),0)</f>
        <v/>
      </c>
      <c r="EN12" s="155">
        <f>IFERROR(VLOOKUP($EE12,$BC$2:$BK$83,4,FALSE),0)</f>
        <v/>
      </c>
      <c r="EO12" s="155">
        <f>IFERROR(VLOOKUP($EF12,$BC$2:$BK$83,4,FALSE),0)</f>
        <v/>
      </c>
      <c r="EP12" s="155">
        <f>IF($EJ12=0,0,INDEX($AC$2:$AC$11,$EJ12))</f>
        <v/>
      </c>
      <c r="EQ12" s="155">
        <f>IFERROR(VLOOKUP($EC12,$BC$2:$BK$83,5,FALSE),0)</f>
        <v/>
      </c>
      <c r="ER12" s="155">
        <f>IFERROR(VLOOKUP($ED12,$BC$2:$BK$83,5,FALSE),0)</f>
        <v/>
      </c>
      <c r="ES12" s="155">
        <f>IFERROR(VLOOKUP($EE12,$BC$2:$BK$83,5,FALSE),0)</f>
        <v/>
      </c>
      <c r="ET12" s="155">
        <f>IFERROR(VLOOKUP($EF12,$BC$2:$BK$83,5,FALSE),0)</f>
        <v/>
      </c>
      <c r="EU12" s="155">
        <f>IFERROR(VLOOKUP($EC12,$BC$2:$BK$83,6,FALSE),0)+IFERROR(VLOOKUP($ED12,$BC$2:$BK$83,6,FALSE),0)+IFERROR(VLOOKUP($EE12,$BC$2:$BK$83,6,FALSE),0)+IFERROR(VLOOKUP($EF12,$BC$2:$BK$83,6,FALSE),0)</f>
        <v/>
      </c>
      <c r="EV12" s="155">
        <f>IFERROR(VLOOKUP($EC12,$BC$2:$BK$83,9,FALSE),0)+IFERROR(VLOOKUP($ED12,$BC$2:$BK$83,9,FALSE),0)+IFERROR(VLOOKUP($EE12,$BC$2:$BK$83,9,FALSE),0)+IFERROR(VLOOKUP($EF12,$BC$2:$BK$83,9,FALSE),0)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MIN($FP12,$FN12-IF($EK12=0,0,INDEX($Q$2:$V$8,$DZ12,$EK12)))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MAX(0,3-SUMPRODUCT($FD12:$FI12,$Q$2:$V$2)+MIN(2,$FJ12*1+$FK12*1,SUMPRODUCT($FD12:$FI12,$Q$2:$V$2)-IF($EK12=0,0,INDEX($Q$2:$V$2,1,$EK12))))+$DX12*1</f>
        <v/>
      </c>
      <c r="FW12" s="155">
        <f>MAX(0,6-SUMPRODUCT($FD12:$FI12,$Q$3:$V$3)+MIN(4,$FJ12*1+$FK12*2,SUMPRODUCT($FD12:$FI12,$Q$3:$V$3)-IF($EK12=0,0,INDEX($Q$3:$V$3,1,$EK12))))+$DX12*2</f>
        <v/>
      </c>
      <c r="FX12" s="155">
        <f>MAX(0,9-SUMPRODUCT($FD12:$FI12,$Q$4:$V$4)+MIN(6,$FJ12*2+$FK12*3,SUMPRODUCT($FD12:$FI12,$Q$4:$V$4)-IF($EK12=0,0,INDEX($Q$4:$V$4,1,$EK12))))+$DX12*3</f>
        <v/>
      </c>
      <c r="FY12" s="155">
        <f>MAX(0,12-SUMPRODUCT($FD12:$FI12,$Q$5:$V$5)+MIN(8,$FJ12*2+$FK12*4,SUMPRODUCT($FD12:$FI12,$Q$5:$V$5)-IF($EK12=0,0,INDEX($Q$5:$V$5,1,$EK12))))+$DX12*4</f>
        <v/>
      </c>
      <c r="FZ12" s="155">
        <f>MAX(0,15-SUMPRODUCT($FD12:$FI12,$Q$6:$V$6)+MIN(10,$FJ12*3+$FK12*5,SUMPRODUCT($FD12:$FI12,$Q$6:$V$6)-IF($EK12=0,0,INDEX($Q$6:$V$6,1,$EK12))))+$DX12*5</f>
        <v/>
      </c>
      <c r="GA12" s="155">
        <f>MAX(0,18-SUMPRODUCT($FD12:$FI12,$Q$7:$V$7)+MIN(12,$FJ12*3+$FK12*6,SUMPRODUCT($FD12:$FI12,$Q$7:$V$7)-IF($EK12=0,0,INDEX($Q$7:$V$7,1,$EK12))))+$DX12*6</f>
        <v/>
      </c>
      <c r="GB12" s="155">
        <f>MAX(0,21-SUMPRODUCT($FD12:$FI12,$Q$8:$V$8)+MIN(14,$FJ12*4+$FK12*7,SUMPRODUCT($FD12:$FI12,$Q$8:$V$8)-IF($EK12=0,0,INDEX($Q$8:$V$8,1,$EK12))))+$DX12*7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Melhoria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"&amp;IFERROR(VLOOKUP($HX12,$CD$2:$CM$35,2,FALSE),""))</f>
        <v/>
      </c>
      <c r="HZ12" s="155">
        <f>IF($HX12="","",IFERROR(IF(ISNUMBER(VLOOKUP($HX12,$CD$2:$CM$35,3,FALSE)),"CE "&amp;VLOOKUP($HX12,$CD$2:$CM$35,3,FALSE),VLOOKUP($HX12,$CD$2:$CM$35,3,FALSE)),""))</f>
        <v/>
      </c>
      <c r="IA12" s="155">
        <f>IF($HX12="","",IFERROR(VLOOKUP($HX12,$CD$2:$CM$35,4,FALSE),""))</f>
        <v/>
      </c>
      <c r="IB12" s="155">
        <f>IF($HX12="","",IFERROR(VLOOKUP($HX12,$CD$2:$CM$35,5,FALSE),""))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IF($KK12=0,"",IF(INDEX($IC$2:$IC$13,$KK12)&lt;&gt;"",INDEX($IC$2:$IC$13,$KK12),IF(IFERROR(VLOOKUP(INDEX($HX$2:$HX$13,$KK12),$CD$2:$CM$35,10,FALSE),"")&lt;&gt;"","Do livro: "&amp;IFERROR(VLOOKUP(INDEX($HX$2:$HX$13,$KK12),$CD$2:$CM$35,10,FALSE),""),"")))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Fica</t>
        </is>
      </c>
      <c r="BD13" s="153" t="inlineStr">
        <is>
          <t>Área</t>
        </is>
      </c>
      <c r="BE13" s="155" t="n">
        <v>2</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IFERROR(VLOOKUP($EC13,$BC$2:$BK$83,4,FALSE),0)</f>
        <v/>
      </c>
      <c r="EM13" s="155">
        <f>IFERROR(VLOOKUP($ED13,$BC$2:$BK$83,4,FALSE),0)</f>
        <v/>
      </c>
      <c r="EN13" s="155">
        <f>IFERROR(VLOOKUP($EE13,$BC$2:$BK$83,4,FALSE),0)</f>
        <v/>
      </c>
      <c r="EO13" s="155">
        <f>IFERROR(VLOOKUP($EF13,$BC$2:$BK$83,4,FALSE),0)</f>
        <v/>
      </c>
      <c r="EP13" s="155">
        <f>IF($EJ13=0,0,INDEX($AC$2:$AC$11,$EJ13))</f>
        <v/>
      </c>
      <c r="EQ13" s="155">
        <f>IFERROR(VLOOKUP($EC13,$BC$2:$BK$83,5,FALSE),0)</f>
        <v/>
      </c>
      <c r="ER13" s="155">
        <f>IFERROR(VLOOKUP($ED13,$BC$2:$BK$83,5,FALSE),0)</f>
        <v/>
      </c>
      <c r="ES13" s="155">
        <f>IFERROR(VLOOKUP($EE13,$BC$2:$BK$83,5,FALSE),0)</f>
        <v/>
      </c>
      <c r="ET13" s="155">
        <f>IFERROR(VLOOKUP($EF13,$BC$2:$BK$83,5,FALSE),0)</f>
        <v/>
      </c>
      <c r="EU13" s="155">
        <f>IFERROR(VLOOKUP($EC13,$BC$2:$BK$83,6,FALSE),0)+IFERROR(VLOOKUP($ED13,$BC$2:$BK$83,6,FALSE),0)+IFERROR(VLOOKUP($EE13,$BC$2:$BK$83,6,FALSE),0)+IFERROR(VLOOKUP($EF13,$BC$2:$BK$83,6,FALSE),0)</f>
        <v/>
      </c>
      <c r="EV13" s="155">
        <f>IFERROR(VLOOKUP($EC13,$BC$2:$BK$83,9,FALSE),0)+IFERROR(VLOOKUP($ED13,$BC$2:$BK$83,9,FALSE),0)+IFERROR(VLOOKUP($EE13,$BC$2:$BK$83,9,FALSE),0)+IFERROR(VLOOKUP($EF13,$BC$2:$BK$83,9,FALSE),0)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MIN($FP13,$FN13-IF($EK13=0,0,INDEX($Q$2:$V$8,$DZ13,$EK13)))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MAX(0,3-SUMPRODUCT($FD13:$FI13,$Q$2:$V$2)+MIN(2,$FJ13*1+$FK13*1,SUMPRODUCT($FD13:$FI13,$Q$2:$V$2)-IF($EK13=0,0,INDEX($Q$2:$V$2,1,$EK13))))+$DX13*1</f>
        <v/>
      </c>
      <c r="FW13" s="155">
        <f>MAX(0,6-SUMPRODUCT($FD13:$FI13,$Q$3:$V$3)+MIN(4,$FJ13*1+$FK13*2,SUMPRODUCT($FD13:$FI13,$Q$3:$V$3)-IF($EK13=0,0,INDEX($Q$3:$V$3,1,$EK13))))+$DX13*2</f>
        <v/>
      </c>
      <c r="FX13" s="155">
        <f>MAX(0,9-SUMPRODUCT($FD13:$FI13,$Q$4:$V$4)+MIN(6,$FJ13*2+$FK13*3,SUMPRODUCT($FD13:$FI13,$Q$4:$V$4)-IF($EK13=0,0,INDEX($Q$4:$V$4,1,$EK13))))+$DX13*3</f>
        <v/>
      </c>
      <c r="FY13" s="155">
        <f>MAX(0,12-SUMPRODUCT($FD13:$FI13,$Q$5:$V$5)+MIN(8,$FJ13*2+$FK13*4,SUMPRODUCT($FD13:$FI13,$Q$5:$V$5)-IF($EK13=0,0,INDEX($Q$5:$V$5,1,$EK13))))+$DX13*4</f>
        <v/>
      </c>
      <c r="FZ13" s="155">
        <f>MAX(0,15-SUMPRODUCT($FD13:$FI13,$Q$6:$V$6)+MIN(10,$FJ13*3+$FK13*5,SUMPRODUCT($FD13:$FI13,$Q$6:$V$6)-IF($EK13=0,0,INDEX($Q$6:$V$6,1,$EK13))))+$DX13*5</f>
        <v/>
      </c>
      <c r="GA13" s="155">
        <f>MAX(0,18-SUMPRODUCT($FD13:$FI13,$Q$7:$V$7)+MIN(12,$FJ13*3+$FK13*6,SUMPRODUCT($FD13:$FI13,$Q$7:$V$7)-IF($EK13=0,0,INDEX($Q$7:$V$7,1,$EK13))))+$DX13*6</f>
        <v/>
      </c>
      <c r="GB13" s="155">
        <f>MAX(0,21-SUMPRODUCT($FD13:$FI13,$Q$8:$V$8)+MIN(14,$FJ13*4+$FK13*7,SUMPRODUCT($FD13:$FI13,$Q$8:$V$8)-IF($EK13=0,0,INDEX($Q$8:$V$8,1,$EK13))))+$DX13*7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Melhoria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t>
        </is>
      </c>
      <c r="HK13" s="155">
        <f>$HK$12</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"&amp;IFERROR(VLOOKUP($HX13,$CD$2:$CM$35,2,FALSE),""))</f>
        <v/>
      </c>
      <c r="HZ13" s="155">
        <f>IF($HX13="","",IFERROR(IF(ISNUMBER(VLOOKUP($HX13,$CD$2:$CM$35,3,FALSE)),"CE "&amp;VLOOKUP($HX13,$CD$2:$CM$35,3,FALSE),VLOOKUP($HX13,$CD$2:$CM$35,3,FALSE)),""))</f>
        <v/>
      </c>
      <c r="IA13" s="155">
        <f>IF($HX13="","",IFERROR(VLOOKUP($HX13,$CD$2:$CM$35,4,FALSE),""))</f>
        <v/>
      </c>
      <c r="IB13" s="155">
        <f>IF($HX13="","",IFERROR(VLOOKUP($HX13,$CD$2:$CM$35,5,FALSE),""))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IF($KK13=0,"",IF(INDEX($IC$2:$IC$13,$KK13)&lt;&gt;"",INDEX($IC$2:$IC$13,$KK13),IF(IFERROR(VLOOKUP(INDEX($HX$2:$HX$13,$KK13),$CD$2:$CM$35,10,FALSE),"")&lt;&gt;"","Do livro: "&amp;IFERROR(VLOOKUP(INDEX($HX$2:$HX$13,$KK13),$CD$2:$CM$35,10,FALSE),""),"")))</f>
        <v/>
      </c>
      <c r="KP13" s="153" t="inlineStr">
        <is>
          <t>par 8</t>
        </is>
      </c>
      <c r="KQ13" s="155">
        <f>UPPER(INDEX($D$3:$G$3,1,$A$2))&amp;" 25 A 30"</f>
        <v/>
      </c>
      <c r="KS13" s="153" t="inlineStr">
        <is>
          <t>J19</t>
        </is>
      </c>
      <c r="KT13" s="155">
        <f>IF(DADOS_AM!$HK$44="","",DADOS_AM!$HK$44&amp;" · "&amp;"d20 + "&amp;(DADOS_AM!$HK$3+DADOS_AM!$HK$47+IFERROR(VALUE(FICHA!$W$58&amp;""),0))&amp;" · CD "&amp;(8+DADOS_AM!$HK$3+DADOS_AM!$HK$47+IFERROR(VALUE(FICHA!$L$58&amp;""),0)))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Salto</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IFERROR(VLOOKUP($EC14,$BC$2:$BK$83,4,FALSE),0)</f>
        <v/>
      </c>
      <c r="EM14" s="155">
        <f>IFERROR(VLOOKUP($ED14,$BC$2:$BK$83,4,FALSE),0)</f>
        <v/>
      </c>
      <c r="EN14" s="155">
        <f>IFERROR(VLOOKUP($EE14,$BC$2:$BK$83,4,FALSE),0)</f>
        <v/>
      </c>
      <c r="EO14" s="155">
        <f>IFERROR(VLOOKUP($EF14,$BC$2:$BK$83,4,FALSE),0)</f>
        <v/>
      </c>
      <c r="EP14" s="155">
        <f>IF($EJ14=0,0,INDEX($AC$2:$AC$11,$EJ14))</f>
        <v/>
      </c>
      <c r="EQ14" s="155">
        <f>IFERROR(VLOOKUP($EC14,$BC$2:$BK$83,5,FALSE),0)</f>
        <v/>
      </c>
      <c r="ER14" s="155">
        <f>IFERROR(VLOOKUP($ED14,$BC$2:$BK$83,5,FALSE),0)</f>
        <v/>
      </c>
      <c r="ES14" s="155">
        <f>IFERROR(VLOOKUP($EE14,$BC$2:$BK$83,5,FALSE),0)</f>
        <v/>
      </c>
      <c r="ET14" s="155">
        <f>IFERROR(VLOOKUP($EF14,$BC$2:$BK$83,5,FALSE),0)</f>
        <v/>
      </c>
      <c r="EU14" s="155">
        <f>IFERROR(VLOOKUP($EC14,$BC$2:$BK$83,6,FALSE),0)+IFERROR(VLOOKUP($ED14,$BC$2:$BK$83,6,FALSE),0)+IFERROR(VLOOKUP($EE14,$BC$2:$BK$83,6,FALSE),0)+IFERROR(VLOOKUP($EF14,$BC$2:$BK$83,6,FALSE),0)</f>
        <v/>
      </c>
      <c r="EV14" s="155">
        <f>IFERROR(VLOOKUP($EC14,$BC$2:$BK$83,9,FALSE),0)+IFERROR(VLOOKUP($ED14,$BC$2:$BK$83,9,FALSE),0)+IFERROR(VLOOKUP($EE14,$BC$2:$BK$83,9,FALSE),0)+IFERROR(VLOOKUP($EF14,$BC$2:$BK$83,9,FALSE),0)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MIN($FP14,$FN14-IF($EK14=0,0,INDEX($Q$2:$V$8,$DZ14,$EK14)))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MAX(0,3-SUMPRODUCT($FD14:$FI14,$Q$2:$V$2)+MIN(2,$FJ14*1+$FK14*1,SUMPRODUCT($FD14:$FI14,$Q$2:$V$2)-IF($EK14=0,0,INDEX($Q$2:$V$2,1,$EK14))))+$DX14*1</f>
        <v/>
      </c>
      <c r="FW14" s="155">
        <f>MAX(0,6-SUMPRODUCT($FD14:$FI14,$Q$3:$V$3)+MIN(4,$FJ14*1+$FK14*2,SUMPRODUCT($FD14:$FI14,$Q$3:$V$3)-IF($EK14=0,0,INDEX($Q$3:$V$3,1,$EK14))))+$DX14*2</f>
        <v/>
      </c>
      <c r="FX14" s="155">
        <f>MAX(0,9-SUMPRODUCT($FD14:$FI14,$Q$4:$V$4)+MIN(6,$FJ14*2+$FK14*3,SUMPRODUCT($FD14:$FI14,$Q$4:$V$4)-IF($EK14=0,0,INDEX($Q$4:$V$4,1,$EK14))))+$DX14*3</f>
        <v/>
      </c>
      <c r="FY14" s="155">
        <f>MAX(0,12-SUMPRODUCT($FD14:$FI14,$Q$5:$V$5)+MIN(8,$FJ14*2+$FK14*4,SUMPRODUCT($FD14:$FI14,$Q$5:$V$5)-IF($EK14=0,0,INDEX($Q$5:$V$5,1,$EK14))))+$DX14*4</f>
        <v/>
      </c>
      <c r="FZ14" s="155">
        <f>MAX(0,15-SUMPRODUCT($FD14:$FI14,$Q$6:$V$6)+MIN(10,$FJ14*3+$FK14*5,SUMPRODUCT($FD14:$FI14,$Q$6:$V$6)-IF($EK14=0,0,INDEX($Q$6:$V$6,1,$EK14))))+$DX14*5</f>
        <v/>
      </c>
      <c r="GA14" s="155">
        <f>MAX(0,18-SUMPRODUCT($FD14:$FI14,$Q$7:$V$7)+MIN(12,$FJ14*3+$FK14*6,SUMPRODUCT($FD14:$FI14,$Q$7:$V$7)-IF($EK14=0,0,INDEX($Q$7:$V$7,1,$EK14))))+$DX14*6</f>
        <v/>
      </c>
      <c r="GB14" s="155">
        <f>MAX(0,21-SUMPRODUCT($FD14:$FI14,$Q$8:$V$8)+MIN(14,$FJ14*4+$FK14*7,SUMPRODUCT($FD14:$FI14,$Q$8:$V$8)-IF($EK14=0,0,INDEX($Q$8:$V$8,1,$EK14))))+$DX14*7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Melhoria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feitiços montados</t>
        </is>
      </c>
      <c r="HK14" s="155">
        <f>SUM($EI$2:$EI$37)</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IF($KK14=0,"",IF(INDEX($IC$2:$IC$13,$KK14)&lt;&gt;"",INDEX($IC$2:$IC$13,$KK14),IF(IFERROR(VLOOKUP(INDEX($HX$2:$HX$13,$KK14),$CD$2:$CM$35,10,FALSE),"")&lt;&gt;"","Do livro: "&amp;IFERROR(VLOOKUP(INDEX($HX$2:$HX$13,$KK14),$CD$2:$CM$35,10,FALSE),""),"")))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Contorno</t>
        </is>
      </c>
      <c r="BD15" s="153" t="inlineStr">
        <is>
          <t>Área</t>
        </is>
      </c>
      <c r="BE15" s="155" t="n">
        <v>1</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IFERROR(VLOOKUP($EC15,$BC$2:$BK$83,4,FALSE),0)</f>
        <v/>
      </c>
      <c r="EM15" s="155">
        <f>IFERROR(VLOOKUP($ED15,$BC$2:$BK$83,4,FALSE),0)</f>
        <v/>
      </c>
      <c r="EN15" s="155">
        <f>IFERROR(VLOOKUP($EE15,$BC$2:$BK$83,4,FALSE),0)</f>
        <v/>
      </c>
      <c r="EO15" s="155">
        <f>IFERROR(VLOOKUP($EF15,$BC$2:$BK$83,4,FALSE),0)</f>
        <v/>
      </c>
      <c r="EP15" s="155">
        <f>IF($EJ15=0,0,INDEX($AC$2:$AC$11,$EJ15))</f>
        <v/>
      </c>
      <c r="EQ15" s="155">
        <f>IFERROR(VLOOKUP($EC15,$BC$2:$BK$83,5,FALSE),0)</f>
        <v/>
      </c>
      <c r="ER15" s="155">
        <f>IFERROR(VLOOKUP($ED15,$BC$2:$BK$83,5,FALSE),0)</f>
        <v/>
      </c>
      <c r="ES15" s="155">
        <f>IFERROR(VLOOKUP($EE15,$BC$2:$BK$83,5,FALSE),0)</f>
        <v/>
      </c>
      <c r="ET15" s="155">
        <f>IFERROR(VLOOKUP($EF15,$BC$2:$BK$83,5,FALSE),0)</f>
        <v/>
      </c>
      <c r="EU15" s="155">
        <f>IFERROR(VLOOKUP($EC15,$BC$2:$BK$83,6,FALSE),0)+IFERROR(VLOOKUP($ED15,$BC$2:$BK$83,6,FALSE),0)+IFERROR(VLOOKUP($EE15,$BC$2:$BK$83,6,FALSE),0)+IFERROR(VLOOKUP($EF15,$BC$2:$BK$83,6,FALSE),0)</f>
        <v/>
      </c>
      <c r="EV15" s="155">
        <f>IFERROR(VLOOKUP($EC15,$BC$2:$BK$83,9,FALSE),0)+IFERROR(VLOOKUP($ED15,$BC$2:$BK$83,9,FALSE),0)+IFERROR(VLOOKUP($EE15,$BC$2:$BK$83,9,FALSE),0)+IFERROR(VLOOKUP($EF15,$BC$2:$BK$83,9,FALSE),0)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MIN($FP15,$FN15-IF($EK15=0,0,INDEX($Q$2:$V$8,$DZ15,$EK15)))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MAX(0,3-SUMPRODUCT($FD15:$FI15,$Q$2:$V$2)+MIN(2,$FJ15*1+$FK15*1,SUMPRODUCT($FD15:$FI15,$Q$2:$V$2)-IF($EK15=0,0,INDEX($Q$2:$V$2,1,$EK15))))+$DX15*1</f>
        <v/>
      </c>
      <c r="FW15" s="155">
        <f>MAX(0,6-SUMPRODUCT($FD15:$FI15,$Q$3:$V$3)+MIN(4,$FJ15*1+$FK15*2,SUMPRODUCT($FD15:$FI15,$Q$3:$V$3)-IF($EK15=0,0,INDEX($Q$3:$V$3,1,$EK15))))+$DX15*2</f>
        <v/>
      </c>
      <c r="FX15" s="155">
        <f>MAX(0,9-SUMPRODUCT($FD15:$FI15,$Q$4:$V$4)+MIN(6,$FJ15*2+$FK15*3,SUMPRODUCT($FD15:$FI15,$Q$4:$V$4)-IF($EK15=0,0,INDEX($Q$4:$V$4,1,$EK15))))+$DX15*3</f>
        <v/>
      </c>
      <c r="FY15" s="155">
        <f>MAX(0,12-SUMPRODUCT($FD15:$FI15,$Q$5:$V$5)+MIN(8,$FJ15*2+$FK15*4,SUMPRODUCT($FD15:$FI15,$Q$5:$V$5)-IF($EK15=0,0,INDEX($Q$5:$V$5,1,$EK15))))+$DX15*4</f>
        <v/>
      </c>
      <c r="FZ15" s="155">
        <f>MAX(0,15-SUMPRODUCT($FD15:$FI15,$Q$6:$V$6)+MIN(10,$FJ15*3+$FK15*5,SUMPRODUCT($FD15:$FI15,$Q$6:$V$6)-IF($EK15=0,0,INDEX($Q$6:$V$6,1,$EK15))))+$DX15*5</f>
        <v/>
      </c>
      <c r="GA15" s="155">
        <f>MAX(0,18-SUMPRODUCT($FD15:$FI15,$Q$7:$V$7)+MIN(12,$FJ15*3+$FK15*6,SUMPRODUCT($FD15:$FI15,$Q$7:$V$7)-IF($EK15=0,0,INDEX($Q$7:$V$7,1,$EK15))))+$DX15*6</f>
        <v/>
      </c>
      <c r="GB15" s="155">
        <f>MAX(0,21-SUMPRODUCT($FD15:$FI15,$Q$8:$V$8)+MIN(14,$FJ15*4+$FK15*7,SUMPRODUCT($FD15:$FI15,$Q$8:$V$8)-IF($EK15=0,0,INDEX($Q$8:$V$8,1,$EK15))))+$DX15*7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Melhoria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classe passiva da regra própria</t>
        </is>
      </c>
      <c r="HK15" s="155">
        <f>N('FICHA AMALDIÇOADA'!$P$33)</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IF($KK15=0,"",IF(INDEX($IC$2:$IC$13,$KK15)&lt;&gt;"",INDEX($IC$2:$IC$13,$KK15),IF(IFERROR(VLOOKUP(INDEX($HX$2:$HX$13,$KK15),$CD$2:$CM$35,10,FALSE),"")&lt;&gt;"","Do livro: "&amp;IFERROR(VLOOKUP(INDEX($HX$2:$HX$13,$KK15),$CD$2:$CM$35,10,FALSE),""),"")))</f>
        <v/>
      </c>
      <c r="KP15" s="153" t="inlineStr">
        <is>
          <t>par passivas 2</t>
        </is>
      </c>
      <c r="KQ15" s="155">
        <f>"TALENTOS 7 A 12"</f>
        <v/>
      </c>
      <c r="KS15" s="153" t="inlineStr">
        <is>
          <t>P19</t>
        </is>
      </c>
      <c r="KT15" s="155">
        <f>IF(DADOS_AM!$HK$45="","",DADOS_AM!$HK$45&amp;" · "&amp;"d20 + "&amp;(DADOS_AM!$HK$3+DADOS_AM!$HK$48+IFERROR(VALUE(FICHA!$W$58&amp;""),0))&amp;" · CD "&amp;(8+DADOS_AM!$HK$3+DADOS_AM!$HK$48+IFERROR(VALUE(FICHA!$L$58&amp;""),0)))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Precisão</t>
        </is>
      </c>
      <c r="BD16" s="153" t="inlineStr">
        <is>
          <t>Mira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IFERROR(VLOOKUP($EC16,$BC$2:$BK$83,4,FALSE),0)</f>
        <v/>
      </c>
      <c r="EM16" s="155">
        <f>IFERROR(VLOOKUP($ED16,$BC$2:$BK$83,4,FALSE),0)</f>
        <v/>
      </c>
      <c r="EN16" s="155">
        <f>IFERROR(VLOOKUP($EE16,$BC$2:$BK$83,4,FALSE),0)</f>
        <v/>
      </c>
      <c r="EO16" s="155">
        <f>IFERROR(VLOOKUP($EF16,$BC$2:$BK$83,4,FALSE),0)</f>
        <v/>
      </c>
      <c r="EP16" s="155">
        <f>IF($EJ16=0,0,INDEX($AC$2:$AC$11,$EJ16))</f>
        <v/>
      </c>
      <c r="EQ16" s="155">
        <f>IFERROR(VLOOKUP($EC16,$BC$2:$BK$83,5,FALSE),0)</f>
        <v/>
      </c>
      <c r="ER16" s="155">
        <f>IFERROR(VLOOKUP($ED16,$BC$2:$BK$83,5,FALSE),0)</f>
        <v/>
      </c>
      <c r="ES16" s="155">
        <f>IFERROR(VLOOKUP($EE16,$BC$2:$BK$83,5,FALSE),0)</f>
        <v/>
      </c>
      <c r="ET16" s="155">
        <f>IFERROR(VLOOKUP($EF16,$BC$2:$BK$83,5,FALSE),0)</f>
        <v/>
      </c>
      <c r="EU16" s="155">
        <f>IFERROR(VLOOKUP($EC16,$BC$2:$BK$83,6,FALSE),0)+IFERROR(VLOOKUP($ED16,$BC$2:$BK$83,6,FALSE),0)+IFERROR(VLOOKUP($EE16,$BC$2:$BK$83,6,FALSE),0)+IFERROR(VLOOKUP($EF16,$BC$2:$BK$83,6,FALSE),0)</f>
        <v/>
      </c>
      <c r="EV16" s="155">
        <f>IFERROR(VLOOKUP($EC16,$BC$2:$BK$83,9,FALSE),0)+IFERROR(VLOOKUP($ED16,$BC$2:$BK$83,9,FALSE),0)+IFERROR(VLOOKUP($EE16,$BC$2:$BK$83,9,FALSE),0)+IFERROR(VLOOKUP($EF16,$BC$2:$BK$83,9,FALSE),0)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MIN($FP16,$FN16-IF($EK16=0,0,INDEX($Q$2:$V$8,$DZ16,$EK16)))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MAX(0,3-SUMPRODUCT($FD16:$FI16,$Q$2:$V$2)+MIN(2,$FJ16*1+$FK16*1,SUMPRODUCT($FD16:$FI16,$Q$2:$V$2)-IF($EK16=0,0,INDEX($Q$2:$V$2,1,$EK16))))+$DX16*1</f>
        <v/>
      </c>
      <c r="FW16" s="155">
        <f>MAX(0,6-SUMPRODUCT($FD16:$FI16,$Q$3:$V$3)+MIN(4,$FJ16*1+$FK16*2,SUMPRODUCT($FD16:$FI16,$Q$3:$V$3)-IF($EK16=0,0,INDEX($Q$3:$V$3,1,$EK16))))+$DX16*2</f>
        <v/>
      </c>
      <c r="FX16" s="155">
        <f>MAX(0,9-SUMPRODUCT($FD16:$FI16,$Q$4:$V$4)+MIN(6,$FJ16*2+$FK16*3,SUMPRODUCT($FD16:$FI16,$Q$4:$V$4)-IF($EK16=0,0,INDEX($Q$4:$V$4,1,$EK16))))+$DX16*3</f>
        <v/>
      </c>
      <c r="FY16" s="155">
        <f>MAX(0,12-SUMPRODUCT($FD16:$FI16,$Q$5:$V$5)+MIN(8,$FJ16*2+$FK16*4,SUMPRODUCT($FD16:$FI16,$Q$5:$V$5)-IF($EK16=0,0,INDEX($Q$5:$V$5,1,$EK16))))+$DX16*4</f>
        <v/>
      </c>
      <c r="FZ16" s="155">
        <f>MAX(0,15-SUMPRODUCT($FD16:$FI16,$Q$6:$V$6)+MIN(10,$FJ16*3+$FK16*5,SUMPRODUCT($FD16:$FI16,$Q$6:$V$6)-IF($EK16=0,0,INDEX($Q$6:$V$6,1,$EK16))))+$DX16*5</f>
        <v/>
      </c>
      <c r="GA16" s="155">
        <f>MAX(0,18-SUMPRODUCT($FD16:$FI16,$Q$7:$V$7)+MIN(12,$FJ16*3+$FK16*6,SUMPRODUCT($FD16:$FI16,$Q$7:$V$7)-IF($EK16=0,0,INDEX($Q$7:$V$7,1,$EK16))))+$DX16*6</f>
        <v/>
      </c>
      <c r="GB16" s="155">
        <f>MAX(0,21-SUMPRODUCT($FD16:$FI16,$Q$8:$V$8)+MIN(14,$FJ16*4+$FK16*7,SUMPRODUCT($FD16:$FI16,$Q$8:$V$8)-IF($EK16=0,0,INDEX($Q$8:$V$8,1,$EK16))))+$DX16*7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Melhoria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espaços da regra própria</t>
        </is>
      </c>
      <c r="HK16" s="155">
        <f>MAX(0,$HK$15-1)</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Certeiro</t>
        </is>
      </c>
      <c r="BD17" s="153" t="inlineStr">
        <is>
          <t>Mira</t>
        </is>
      </c>
      <c r="BE17" s="155" t="n">
        <v>2</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5">
        <f>IF($CL17=1,"",IF($A$2=4,IF($CJ17=1,$CD17,""),IF(OR($CJ17=1,AND($A$2=3,$CK17=1)),"",$CD17)))</f>
        <v/>
      </c>
      <c r="CJ17" s="155" t="n">
        <v>0</v>
      </c>
      <c r="CK17" s="155" t="n">
        <v>0</v>
      </c>
      <c r="CL17" s="155" t="n">
        <v>0</v>
      </c>
      <c r="CM17" s="153" t="inlineStr">
        <is>
          <t>Você cria uma aptidão com o mestre antes da sessão; ele define o tamanho do efeito.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IFERROR(VLOOKUP($EC17,$BC$2:$BK$83,4,FALSE),0)</f>
        <v/>
      </c>
      <c r="EM17" s="155">
        <f>IFERROR(VLOOKUP($ED17,$BC$2:$BK$83,4,FALSE),0)</f>
        <v/>
      </c>
      <c r="EN17" s="155">
        <f>IFERROR(VLOOKUP($EE17,$BC$2:$BK$83,4,FALSE),0)</f>
        <v/>
      </c>
      <c r="EO17" s="155">
        <f>IFERROR(VLOOKUP($EF17,$BC$2:$BK$83,4,FALSE),0)</f>
        <v/>
      </c>
      <c r="EP17" s="155">
        <f>IF($EJ17=0,0,INDEX($AC$2:$AC$11,$EJ17))</f>
        <v/>
      </c>
      <c r="EQ17" s="155">
        <f>IFERROR(VLOOKUP($EC17,$BC$2:$BK$83,5,FALSE),0)</f>
        <v/>
      </c>
      <c r="ER17" s="155">
        <f>IFERROR(VLOOKUP($ED17,$BC$2:$BK$83,5,FALSE),0)</f>
        <v/>
      </c>
      <c r="ES17" s="155">
        <f>IFERROR(VLOOKUP($EE17,$BC$2:$BK$83,5,FALSE),0)</f>
        <v/>
      </c>
      <c r="ET17" s="155">
        <f>IFERROR(VLOOKUP($EF17,$BC$2:$BK$83,5,FALSE),0)</f>
        <v/>
      </c>
      <c r="EU17" s="155">
        <f>IFERROR(VLOOKUP($EC17,$BC$2:$BK$83,6,FALSE),0)+IFERROR(VLOOKUP($ED17,$BC$2:$BK$83,6,FALSE),0)+IFERROR(VLOOKUP($EE17,$BC$2:$BK$83,6,FALSE),0)+IFERROR(VLOOKUP($EF17,$BC$2:$BK$83,6,FALSE),0)</f>
        <v/>
      </c>
      <c r="EV17" s="155">
        <f>IFERROR(VLOOKUP($EC17,$BC$2:$BK$83,9,FALSE),0)+IFERROR(VLOOKUP($ED17,$BC$2:$BK$83,9,FALSE),0)+IFERROR(VLOOKUP($EE17,$BC$2:$BK$83,9,FALSE),0)+IFERROR(VLOOKUP($EF17,$BC$2:$BK$83,9,FALSE),0)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MIN($FP17,$FN17-IF($EK17=0,0,INDEX($Q$2:$V$8,$DZ17,$EK17)))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MAX(0,3-SUMPRODUCT($FD17:$FI17,$Q$2:$V$2)+MIN(2,$FJ17*1+$FK17*1,SUMPRODUCT($FD17:$FI17,$Q$2:$V$2)-IF($EK17=0,0,INDEX($Q$2:$V$2,1,$EK17))))+$DX17*1</f>
        <v/>
      </c>
      <c r="FW17" s="155">
        <f>MAX(0,6-SUMPRODUCT($FD17:$FI17,$Q$3:$V$3)+MIN(4,$FJ17*1+$FK17*2,SUMPRODUCT($FD17:$FI17,$Q$3:$V$3)-IF($EK17=0,0,INDEX($Q$3:$V$3,1,$EK17))))+$DX17*2</f>
        <v/>
      </c>
      <c r="FX17" s="155">
        <f>MAX(0,9-SUMPRODUCT($FD17:$FI17,$Q$4:$V$4)+MIN(6,$FJ17*2+$FK17*3,SUMPRODUCT($FD17:$FI17,$Q$4:$V$4)-IF($EK17=0,0,INDEX($Q$4:$V$4,1,$EK17))))+$DX17*3</f>
        <v/>
      </c>
      <c r="FY17" s="155">
        <f>MAX(0,12-SUMPRODUCT($FD17:$FI17,$Q$5:$V$5)+MIN(8,$FJ17*2+$FK17*4,SUMPRODUCT($FD17:$FI17,$Q$5:$V$5)-IF($EK17=0,0,INDEX($Q$5:$V$5,1,$EK17))))+$DX17*4</f>
        <v/>
      </c>
      <c r="FZ17" s="155">
        <f>MAX(0,15-SUMPRODUCT($FD17:$FI17,$Q$6:$V$6)+MIN(10,$FJ17*3+$FK17*5,SUMPRODUCT($FD17:$FI17,$Q$6:$V$6)-IF($EK17=0,0,INDEX($Q$6:$V$6,1,$EK17))))+$DX17*5</f>
        <v/>
      </c>
      <c r="GA17" s="155">
        <f>MAX(0,18-SUMPRODUCT($FD17:$FI17,$Q$7:$V$7)+MIN(12,$FJ17*3+$FK17*6,SUMPRODUCT($FD17:$FI17,$Q$7:$V$7)-IF($EK17=0,0,INDEX($Q$7:$V$7,1,$EK17))))+$DX17*6</f>
        <v/>
      </c>
      <c r="GB17" s="155">
        <f>MAX(0,21-SUMPRODUCT($FD17:$FI17,$Q$8:$V$8)+MIN(14,$FJ17*4+$FK17*7,SUMPRODUCT($FD17:$FI17,$Q$8:$V$8)-IF($EK17=0,0,INDEX($Q$8:$V$8,1,$EK17))))+$DX17*7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Melhoria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em passivas</t>
        </is>
      </c>
      <c r="HK17" s="155">
        <f>IFERROR(VLOOKUP('FICHA AMALDIÇOADA'!$D$379,$BS$2:$BY$24,2,FALSE),0)+IFERROR(VLOOKUP('FICHA AMALDIÇOADA'!$J$379,$BS$2:$BY$24,2,FALSE),0)+IFERROR(VLOOKUP('FICHA AMALDIÇOADA'!$P$379,$BS$2:$BY$24,2,FALSE),0)+IFERROR(VLOOKUP('FICHA AMALDIÇOADA'!$D$387,$BS$2:$BY$24,2,FALSE),0)+IFERROR(VLOOKUP('FICHA AMALDIÇOADA'!$J$387,$BS$2:$BY$24,2,FALSE),0)+$HK$16</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IF(DADOS_AM!$HK$15=0,"—",IF(IFERROR(VLOOKUP(DADOS_AM!$HK$15,DADOS_AM!$CA$2:$CB$4,2,FALSE),0)&gt;DADOS_AM!$HK$2,"⚠ Nível "&amp;VLOOKUP(DADOS_AM!$HK$15,DADOS_AM!$CA$2:$CB$4,2,FALSE),IF(DADOS_AM!$HK$15&gt;1,DADOS_AM!$HK$15-1,"De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Inescapável</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5">
        <f>IF($CL18=1,"",IF($A$2=4,IF($CJ18=1,$CD18,""),IF(OR($CJ18=1,AND($A$2=3,$CK18=1)),"",$CD18)))</f>
        <v/>
      </c>
      <c r="CJ18" s="155" t="n">
        <v>0</v>
      </c>
      <c r="CK18" s="155" t="n">
        <v>0</v>
      </c>
      <c r="CL18" s="155" t="n">
        <v>0</v>
      </c>
      <c r="CM18" s="153" t="inlineStr">
        <is>
          <t>Você cria uma aptidão com o mestre antes da sessão; ele define o tamanho do efeito.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IFERROR(VLOOKUP($EC18,$BC$2:$BK$83,4,FALSE),0)</f>
        <v/>
      </c>
      <c r="EM18" s="155">
        <f>IFERROR(VLOOKUP($ED18,$BC$2:$BK$83,4,FALSE),0)</f>
        <v/>
      </c>
      <c r="EN18" s="155">
        <f>IFERROR(VLOOKUP($EE18,$BC$2:$BK$83,4,FALSE),0)</f>
        <v/>
      </c>
      <c r="EO18" s="155">
        <f>IFERROR(VLOOKUP($EF18,$BC$2:$BK$83,4,FALSE),0)</f>
        <v/>
      </c>
      <c r="EP18" s="155">
        <f>IF($EJ18=0,0,INDEX($AC$2:$AC$11,$EJ18))</f>
        <v/>
      </c>
      <c r="EQ18" s="155">
        <f>IFERROR(VLOOKUP($EC18,$BC$2:$BK$83,5,FALSE),0)</f>
        <v/>
      </c>
      <c r="ER18" s="155">
        <f>IFERROR(VLOOKUP($ED18,$BC$2:$BK$83,5,FALSE),0)</f>
        <v/>
      </c>
      <c r="ES18" s="155">
        <f>IFERROR(VLOOKUP($EE18,$BC$2:$BK$83,5,FALSE),0)</f>
        <v/>
      </c>
      <c r="ET18" s="155">
        <f>IFERROR(VLOOKUP($EF18,$BC$2:$BK$83,5,FALSE),0)</f>
        <v/>
      </c>
      <c r="EU18" s="155">
        <f>IFERROR(VLOOKUP($EC18,$BC$2:$BK$83,6,FALSE),0)+IFERROR(VLOOKUP($ED18,$BC$2:$BK$83,6,FALSE),0)+IFERROR(VLOOKUP($EE18,$BC$2:$BK$83,6,FALSE),0)+IFERROR(VLOOKUP($EF18,$BC$2:$BK$83,6,FALSE),0)</f>
        <v/>
      </c>
      <c r="EV18" s="155">
        <f>IFERROR(VLOOKUP($EC18,$BC$2:$BK$83,9,FALSE),0)+IFERROR(VLOOKUP($ED18,$BC$2:$BK$83,9,FALSE),0)+IFERROR(VLOOKUP($EE18,$BC$2:$BK$83,9,FALSE),0)+IFERROR(VLOOKUP($EF18,$BC$2:$BK$83,9,FALSE),0)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MIN($FP18,$FN18-IF($EK18=0,0,INDEX($Q$2:$V$8,$DZ18,$EK18)))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MAX(0,3-SUMPRODUCT($FD18:$FI18,$Q$2:$V$2)+MIN(2,$FJ18*1+$FK18*1,SUMPRODUCT($FD18:$FI18,$Q$2:$V$2)-IF($EK18=0,0,INDEX($Q$2:$V$2,1,$EK18))))+$DX18*1</f>
        <v/>
      </c>
      <c r="FW18" s="155">
        <f>MAX(0,6-SUMPRODUCT($FD18:$FI18,$Q$3:$V$3)+MIN(4,$FJ18*1+$FK18*2,SUMPRODUCT($FD18:$FI18,$Q$3:$V$3)-IF($EK18=0,0,INDEX($Q$3:$V$3,1,$EK18))))+$DX18*2</f>
        <v/>
      </c>
      <c r="FX18" s="155">
        <f>MAX(0,9-SUMPRODUCT($FD18:$FI18,$Q$4:$V$4)+MIN(6,$FJ18*2+$FK18*3,SUMPRODUCT($FD18:$FI18,$Q$4:$V$4)-IF($EK18=0,0,INDEX($Q$4:$V$4,1,$EK18))))+$DX18*3</f>
        <v/>
      </c>
      <c r="FY18" s="155">
        <f>MAX(0,12-SUMPRODUCT($FD18:$FI18,$Q$5:$V$5)+MIN(8,$FJ18*2+$FK18*4,SUMPRODUCT($FD18:$FI18,$Q$5:$V$5)-IF($EK18=0,0,INDEX($Q$5:$V$5,1,$EK18))))+$DX18*4</f>
        <v/>
      </c>
      <c r="FZ18" s="155">
        <f>MAX(0,15-SUMPRODUCT($FD18:$FI18,$Q$6:$V$6)+MIN(10,$FJ18*3+$FK18*5,SUMPRODUCT($FD18:$FI18,$Q$6:$V$6)-IF($EK18=0,0,INDEX($Q$6:$V$6,1,$EK18))))+$DX18*5</f>
        <v/>
      </c>
      <c r="GA18" s="155">
        <f>MAX(0,18-SUMPRODUCT($FD18:$FI18,$Q$7:$V$7)+MIN(12,$FJ18*3+$FK18*6,SUMPRODUCT($FD18:$FI18,$Q$7:$V$7)-IF($EK18=0,0,INDEX($Q$7:$V$7,1,$EK18))))+$DX18*6</f>
        <v/>
      </c>
      <c r="GB18" s="155">
        <f>MAX(0,21-SUMPRODUCT($FD18:$FI18,$Q$8:$V$8)+MIN(14,$FJ18*4+$FK18*7,SUMPRODUCT($FD18:$FI18,$Q$8:$V$8)-IF($EK18=0,0,INDEX($Q$8:$V$8,1,$EK18))))+$DX18*7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Melhoria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no domínio</t>
        </is>
      </c>
      <c r="HK18" s="155">
        <f>IF($A$2&lt;&gt;1,0,IFERROR(VLOOKUP($HK$35,$DL$2:$DP$4,2,FALSE),0))</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De Novo</t>
        </is>
      </c>
      <c r="BD19" s="153" t="inlineStr">
        <is>
          <t>Mira</t>
        </is>
      </c>
      <c r="BE19" s="155" t="n">
        <v>3</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IFERROR(VLOOKUP($EC19,$BC$2:$BK$83,4,FALSE),0)</f>
        <v/>
      </c>
      <c r="EM19" s="155">
        <f>IFERROR(VLOOKUP($ED19,$BC$2:$BK$83,4,FALSE),0)</f>
        <v/>
      </c>
      <c r="EN19" s="155">
        <f>IFERROR(VLOOKUP($EE19,$BC$2:$BK$83,4,FALSE),0)</f>
        <v/>
      </c>
      <c r="EO19" s="155">
        <f>IFERROR(VLOOKUP($EF19,$BC$2:$BK$83,4,FALSE),0)</f>
        <v/>
      </c>
      <c r="EP19" s="155">
        <f>IF($EJ19=0,0,INDEX($AC$2:$AC$11,$EJ19))</f>
        <v/>
      </c>
      <c r="EQ19" s="155">
        <f>IFERROR(VLOOKUP($EC19,$BC$2:$BK$83,5,FALSE),0)</f>
        <v/>
      </c>
      <c r="ER19" s="155">
        <f>IFERROR(VLOOKUP($ED19,$BC$2:$BK$83,5,FALSE),0)</f>
        <v/>
      </c>
      <c r="ES19" s="155">
        <f>IFERROR(VLOOKUP($EE19,$BC$2:$BK$83,5,FALSE),0)</f>
        <v/>
      </c>
      <c r="ET19" s="155">
        <f>IFERROR(VLOOKUP($EF19,$BC$2:$BK$83,5,FALSE),0)</f>
        <v/>
      </c>
      <c r="EU19" s="155">
        <f>IFERROR(VLOOKUP($EC19,$BC$2:$BK$83,6,FALSE),0)+IFERROR(VLOOKUP($ED19,$BC$2:$BK$83,6,FALSE),0)+IFERROR(VLOOKUP($EE19,$BC$2:$BK$83,6,FALSE),0)+IFERROR(VLOOKUP($EF19,$BC$2:$BK$83,6,FALSE),0)</f>
        <v/>
      </c>
      <c r="EV19" s="155">
        <f>IFERROR(VLOOKUP($EC19,$BC$2:$BK$83,9,FALSE),0)+IFERROR(VLOOKUP($ED19,$BC$2:$BK$83,9,FALSE),0)+IFERROR(VLOOKUP($EE19,$BC$2:$BK$83,9,FALSE),0)+IFERROR(VLOOKUP($EF19,$BC$2:$BK$83,9,FALSE),0)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MIN($FP19,$FN19-IF($EK19=0,0,INDEX($Q$2:$V$8,$DZ19,$EK19)))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MAX(0,3-SUMPRODUCT($FD19:$FI19,$Q$2:$V$2)+MIN(2,$FJ19*1+$FK19*1,SUMPRODUCT($FD19:$FI19,$Q$2:$V$2)-IF($EK19=0,0,INDEX($Q$2:$V$2,1,$EK19))))+$DX19*1</f>
        <v/>
      </c>
      <c r="FW19" s="155">
        <f>MAX(0,6-SUMPRODUCT($FD19:$FI19,$Q$3:$V$3)+MIN(4,$FJ19*1+$FK19*2,SUMPRODUCT($FD19:$FI19,$Q$3:$V$3)-IF($EK19=0,0,INDEX($Q$3:$V$3,1,$EK19))))+$DX19*2</f>
        <v/>
      </c>
      <c r="FX19" s="155">
        <f>MAX(0,9-SUMPRODUCT($FD19:$FI19,$Q$4:$V$4)+MIN(6,$FJ19*2+$FK19*3,SUMPRODUCT($FD19:$FI19,$Q$4:$V$4)-IF($EK19=0,0,INDEX($Q$4:$V$4,1,$EK19))))+$DX19*3</f>
        <v/>
      </c>
      <c r="FY19" s="155">
        <f>MAX(0,12-SUMPRODUCT($FD19:$FI19,$Q$5:$V$5)+MIN(8,$FJ19*2+$FK19*4,SUMPRODUCT($FD19:$FI19,$Q$5:$V$5)-IF($EK19=0,0,INDEX($Q$5:$V$5,1,$EK19))))+$DX19*4</f>
        <v/>
      </c>
      <c r="FZ19" s="155">
        <f>MAX(0,15-SUMPRODUCT($FD19:$FI19,$Q$6:$V$6)+MIN(10,$FJ19*3+$FK19*5,SUMPRODUCT($FD19:$FI19,$Q$6:$V$6)-IF($EK19=0,0,INDEX($Q$6:$V$6,1,$EK19))))+$DX19*5</f>
        <v/>
      </c>
      <c r="GA19" s="155">
        <f>MAX(0,18-SUMPRODUCT($FD19:$FI19,$Q$7:$V$7)+MIN(12,$FJ19*3+$FK19*6,SUMPRODUCT($FD19:$FI19,$Q$7:$V$7)-IF($EK19=0,0,INDEX($Q$7:$V$7,1,$EK19))))+$DX19*6</f>
        <v/>
      </c>
      <c r="GB19" s="155">
        <f>MAX(0,21-SUMPRODUCT($FD19:$FI19,$Q$8:$V$8)+MIN(14,$FJ19*4+$FK19*7,SUMPRODUCT($FD19:$FI19,$Q$8:$V$8)-IF($EK19=0,0,INDEX($Q$8:$V$8,1,$EK19))))+$DX19*7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Melhoria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em invocações</t>
        </is>
      </c>
      <c r="HK19" s="155">
        <f>IFERROR(INDEX(DADOS_INVOC!$2:$2,MATCH("espaços por invocação",DADOS_INVOC!$1:$1,0)),0)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Fura</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IFERROR(VLOOKUP($EC20,$BC$2:$BK$83,4,FALSE),0)</f>
        <v/>
      </c>
      <c r="EM20" s="155">
        <f>IFERROR(VLOOKUP($ED20,$BC$2:$BK$83,4,FALSE),0)</f>
        <v/>
      </c>
      <c r="EN20" s="155">
        <f>IFERROR(VLOOKUP($EE20,$BC$2:$BK$83,4,FALSE),0)</f>
        <v/>
      </c>
      <c r="EO20" s="155">
        <f>IFERROR(VLOOKUP($EF20,$BC$2:$BK$83,4,FALSE),0)</f>
        <v/>
      </c>
      <c r="EP20" s="155">
        <f>IF($EJ20=0,0,INDEX($AC$2:$AC$11,$EJ20))</f>
        <v/>
      </c>
      <c r="EQ20" s="155">
        <f>IFERROR(VLOOKUP($EC20,$BC$2:$BK$83,5,FALSE),0)</f>
        <v/>
      </c>
      <c r="ER20" s="155">
        <f>IFERROR(VLOOKUP($ED20,$BC$2:$BK$83,5,FALSE),0)</f>
        <v/>
      </c>
      <c r="ES20" s="155">
        <f>IFERROR(VLOOKUP($EE20,$BC$2:$BK$83,5,FALSE),0)</f>
        <v/>
      </c>
      <c r="ET20" s="155">
        <f>IFERROR(VLOOKUP($EF20,$BC$2:$BK$83,5,FALSE),0)</f>
        <v/>
      </c>
      <c r="EU20" s="155">
        <f>IFERROR(VLOOKUP($EC20,$BC$2:$BK$83,6,FALSE),0)+IFERROR(VLOOKUP($ED20,$BC$2:$BK$83,6,FALSE),0)+IFERROR(VLOOKUP($EE20,$BC$2:$BK$83,6,FALSE),0)+IFERROR(VLOOKUP($EF20,$BC$2:$BK$83,6,FALSE),0)</f>
        <v/>
      </c>
      <c r="EV20" s="155">
        <f>IFERROR(VLOOKUP($EC20,$BC$2:$BK$83,9,FALSE),0)+IFERROR(VLOOKUP($ED20,$BC$2:$BK$83,9,FALSE),0)+IFERROR(VLOOKUP($EE20,$BC$2:$BK$83,9,FALSE),0)+IFERROR(VLOOKUP($EF20,$BC$2:$BK$83,9,FALSE),0)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MIN($FP20,$FN20-IF($EK20=0,0,INDEX($Q$2:$V$8,$DZ20,$EK20)))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MAX(0,3-SUMPRODUCT($FD20:$FI20,$Q$2:$V$2)+MIN(2,$FJ20*1+$FK20*1,SUMPRODUCT($FD20:$FI20,$Q$2:$V$2)-IF($EK20=0,0,INDEX($Q$2:$V$2,1,$EK20))))+$DX20*1</f>
        <v/>
      </c>
      <c r="FW20" s="155">
        <f>MAX(0,6-SUMPRODUCT($FD20:$FI20,$Q$3:$V$3)+MIN(4,$FJ20*1+$FK20*2,SUMPRODUCT($FD20:$FI20,$Q$3:$V$3)-IF($EK20=0,0,INDEX($Q$3:$V$3,1,$EK20))))+$DX20*2</f>
        <v/>
      </c>
      <c r="FX20" s="155">
        <f>MAX(0,9-SUMPRODUCT($FD20:$FI20,$Q$4:$V$4)+MIN(6,$FJ20*2+$FK20*3,SUMPRODUCT($FD20:$FI20,$Q$4:$V$4)-IF($EK20=0,0,INDEX($Q$4:$V$4,1,$EK20))))+$DX20*3</f>
        <v/>
      </c>
      <c r="FY20" s="155">
        <f>MAX(0,12-SUMPRODUCT($FD20:$FI20,$Q$5:$V$5)+MIN(8,$FJ20*2+$FK20*4,SUMPRODUCT($FD20:$FI20,$Q$5:$V$5)-IF($EK20=0,0,INDEX($Q$5:$V$5,1,$EK20))))+$DX20*4</f>
        <v/>
      </c>
      <c r="FZ20" s="155">
        <f>MAX(0,15-SUMPRODUCT($FD20:$FI20,$Q$6:$V$6)+MIN(10,$FJ20*3+$FK20*5,SUMPRODUCT($FD20:$FI20,$Q$6:$V$6)-IF($EK20=0,0,INDEX($Q$6:$V$6,1,$EK20))))+$DX20*5</f>
        <v/>
      </c>
      <c r="GA20" s="155">
        <f>MAX(0,18-SUMPRODUCT($FD20:$FI20,$Q$7:$V$7)+MIN(12,$FJ20*3+$FK20*6,SUMPRODUCT($FD20:$FI20,$Q$7:$V$7)-IF($EK20=0,0,INDEX($Q$7:$V$7,1,$EK20))))+$DX20*6</f>
        <v/>
      </c>
      <c r="GB20" s="155">
        <f>MAX(0,21-SUMPRODUCT($FD20:$FI20,$Q$8:$V$8)+MIN(14,$FJ20*4+$FK20*7,SUMPRODUCT($FD20:$FI20,$Q$8:$V$8)-IF($EK20=0,0,INDEX($Q$8:$V$8,1,$EK20))))+$DX20*7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Melhoria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sem espaço</t>
        </is>
      </c>
      <c r="HK20" s="155">
        <f>IF($HK$17+$HK$18+$HK$19&gt;$HK$13,1,0)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Corrói</t>
        </is>
      </c>
      <c r="BD21" s="153" t="inlineStr">
        <is>
          <t>Mira</t>
        </is>
      </c>
      <c r="BE21" s="155" t="n">
        <v>3</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IFERROR(VLOOKUP($EC21,$BC$2:$BK$83,4,FALSE),0)</f>
        <v/>
      </c>
      <c r="EM21" s="155">
        <f>IFERROR(VLOOKUP($ED21,$BC$2:$BK$83,4,FALSE),0)</f>
        <v/>
      </c>
      <c r="EN21" s="155">
        <f>IFERROR(VLOOKUP($EE21,$BC$2:$BK$83,4,FALSE),0)</f>
        <v/>
      </c>
      <c r="EO21" s="155">
        <f>IFERROR(VLOOKUP($EF21,$BC$2:$BK$83,4,FALSE),0)</f>
        <v/>
      </c>
      <c r="EP21" s="155">
        <f>IF($EJ21=0,0,INDEX($AC$2:$AC$11,$EJ21))</f>
        <v/>
      </c>
      <c r="EQ21" s="155">
        <f>IFERROR(VLOOKUP($EC21,$BC$2:$BK$83,5,FALSE),0)</f>
        <v/>
      </c>
      <c r="ER21" s="155">
        <f>IFERROR(VLOOKUP($ED21,$BC$2:$BK$83,5,FALSE),0)</f>
        <v/>
      </c>
      <c r="ES21" s="155">
        <f>IFERROR(VLOOKUP($EE21,$BC$2:$BK$83,5,FALSE),0)</f>
        <v/>
      </c>
      <c r="ET21" s="155">
        <f>IFERROR(VLOOKUP($EF21,$BC$2:$BK$83,5,FALSE),0)</f>
        <v/>
      </c>
      <c r="EU21" s="155">
        <f>IFERROR(VLOOKUP($EC21,$BC$2:$BK$83,6,FALSE),0)+IFERROR(VLOOKUP($ED21,$BC$2:$BK$83,6,FALSE),0)+IFERROR(VLOOKUP($EE21,$BC$2:$BK$83,6,FALSE),0)+IFERROR(VLOOKUP($EF21,$BC$2:$BK$83,6,FALSE),0)</f>
        <v/>
      </c>
      <c r="EV21" s="155">
        <f>IFERROR(VLOOKUP($EC21,$BC$2:$BK$83,9,FALSE),0)+IFERROR(VLOOKUP($ED21,$BC$2:$BK$83,9,FALSE),0)+IFERROR(VLOOKUP($EE21,$BC$2:$BK$83,9,FALSE),0)+IFERROR(VLOOKUP($EF21,$BC$2:$BK$83,9,FALSE),0)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MIN($FP21,$FN21-IF($EK21=0,0,INDEX($Q$2:$V$8,$DZ21,$EK21)))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MAX(0,3-SUMPRODUCT($FD21:$FI21,$Q$2:$V$2)+MIN(2,$FJ21*1+$FK21*1,SUMPRODUCT($FD21:$FI21,$Q$2:$V$2)-IF($EK21=0,0,INDEX($Q$2:$V$2,1,$EK21))))+$DX21*1</f>
        <v/>
      </c>
      <c r="FW21" s="155">
        <f>MAX(0,6-SUMPRODUCT($FD21:$FI21,$Q$3:$V$3)+MIN(4,$FJ21*1+$FK21*2,SUMPRODUCT($FD21:$FI21,$Q$3:$V$3)-IF($EK21=0,0,INDEX($Q$3:$V$3,1,$EK21))))+$DX21*2</f>
        <v/>
      </c>
      <c r="FX21" s="155">
        <f>MAX(0,9-SUMPRODUCT($FD21:$FI21,$Q$4:$V$4)+MIN(6,$FJ21*2+$FK21*3,SUMPRODUCT($FD21:$FI21,$Q$4:$V$4)-IF($EK21=0,0,INDEX($Q$4:$V$4,1,$EK21))))+$DX21*3</f>
        <v/>
      </c>
      <c r="FY21" s="155">
        <f>MAX(0,12-SUMPRODUCT($FD21:$FI21,$Q$5:$V$5)+MIN(8,$FJ21*2+$FK21*4,SUMPRODUCT($FD21:$FI21,$Q$5:$V$5)-IF($EK21=0,0,INDEX($Q$5:$V$5,1,$EK21))))+$DX21*4</f>
        <v/>
      </c>
      <c r="FZ21" s="155">
        <f>MAX(0,15-SUMPRODUCT($FD21:$FI21,$Q$6:$V$6)+MIN(10,$FJ21*3+$FK21*5,SUMPRODUCT($FD21:$FI21,$Q$6:$V$6)-IF($EK21=0,0,INDEX($Q$6:$V$6,1,$EK21))))+$DX21*5</f>
        <v/>
      </c>
      <c r="GA21" s="155">
        <f>MAX(0,18-SUMPRODUCT($FD21:$FI21,$Q$7:$V$7)+MIN(12,$FJ21*3+$FK21*6,SUMPRODUCT($FD21:$FI21,$Q$7:$V$7)-IF($EK21=0,0,INDEX($Q$7:$V$7,1,$EK21))))+$DX21*6</f>
        <v/>
      </c>
      <c r="GB21" s="155">
        <f>MAX(0,21-SUMPRODUCT($FD21:$FI21,$Q$8:$V$8)+MIN(14,$FJ21*4+$FK21*7,SUMPRODUCT($FD21:$FI21,$Q$8:$V$8)-IF($EK21=0,0,INDEX($Q$8:$V$8,1,$EK21))))+$DX21*7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Melhoria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cabem</t>
        </is>
      </c>
      <c r="HK21" s="155">
        <f>$HK$13+$HK$8-$HK$17-$HK$18-$HK$19</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IF(DADOS_AM!$HK$20=1,"⚠ ","")&amp;DADOS_AM!$HK$17</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Sem Cobertura</t>
        </is>
      </c>
      <c r="BD22" s="153" t="inlineStr">
        <is>
          <t>Mira</t>
        </is>
      </c>
      <c r="BE22" s="155" t="n">
        <v>1</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IFERROR(VLOOKUP($EC22,$BC$2:$BK$83,4,FALSE),0)</f>
        <v/>
      </c>
      <c r="EM22" s="155">
        <f>IFERROR(VLOOKUP($ED22,$BC$2:$BK$83,4,FALSE),0)</f>
        <v/>
      </c>
      <c r="EN22" s="155">
        <f>IFERROR(VLOOKUP($EE22,$BC$2:$BK$83,4,FALSE),0)</f>
        <v/>
      </c>
      <c r="EO22" s="155">
        <f>IFERROR(VLOOKUP($EF22,$BC$2:$BK$83,4,FALSE),0)</f>
        <v/>
      </c>
      <c r="EP22" s="155">
        <f>IF($EJ22=0,0,INDEX($AC$2:$AC$11,$EJ22))</f>
        <v/>
      </c>
      <c r="EQ22" s="155">
        <f>IFERROR(VLOOKUP($EC22,$BC$2:$BK$83,5,FALSE),0)</f>
        <v/>
      </c>
      <c r="ER22" s="155">
        <f>IFERROR(VLOOKUP($ED22,$BC$2:$BK$83,5,FALSE),0)</f>
        <v/>
      </c>
      <c r="ES22" s="155">
        <f>IFERROR(VLOOKUP($EE22,$BC$2:$BK$83,5,FALSE),0)</f>
        <v/>
      </c>
      <c r="ET22" s="155">
        <f>IFERROR(VLOOKUP($EF22,$BC$2:$BK$83,5,FALSE),0)</f>
        <v/>
      </c>
      <c r="EU22" s="155">
        <f>IFERROR(VLOOKUP($EC22,$BC$2:$BK$83,6,FALSE),0)+IFERROR(VLOOKUP($ED22,$BC$2:$BK$83,6,FALSE),0)+IFERROR(VLOOKUP($EE22,$BC$2:$BK$83,6,FALSE),0)+IFERROR(VLOOKUP($EF22,$BC$2:$BK$83,6,FALSE),0)</f>
        <v/>
      </c>
      <c r="EV22" s="155">
        <f>IFERROR(VLOOKUP($EC22,$BC$2:$BK$83,9,FALSE),0)+IFERROR(VLOOKUP($ED22,$BC$2:$BK$83,9,FALSE),0)+IFERROR(VLOOKUP($EE22,$BC$2:$BK$83,9,FALSE),0)+IFERROR(VLOOKUP($EF22,$BC$2:$BK$83,9,FALSE),0)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MIN($FP22,$FN22-IF($EK22=0,0,INDEX($Q$2:$V$8,$DZ22,$EK22)))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MAX(0,3-SUMPRODUCT($FD22:$FI22,$Q$2:$V$2)+MIN(2,$FJ22*1+$FK22*1,SUMPRODUCT($FD22:$FI22,$Q$2:$V$2)-IF($EK22=0,0,INDEX($Q$2:$V$2,1,$EK22))))+$DX22*1</f>
        <v/>
      </c>
      <c r="FW22" s="155">
        <f>MAX(0,6-SUMPRODUCT($FD22:$FI22,$Q$3:$V$3)+MIN(4,$FJ22*1+$FK22*2,SUMPRODUCT($FD22:$FI22,$Q$3:$V$3)-IF($EK22=0,0,INDEX($Q$3:$V$3,1,$EK22))))+$DX22*2</f>
        <v/>
      </c>
      <c r="FX22" s="155">
        <f>MAX(0,9-SUMPRODUCT($FD22:$FI22,$Q$4:$V$4)+MIN(6,$FJ22*2+$FK22*3,SUMPRODUCT($FD22:$FI22,$Q$4:$V$4)-IF($EK22=0,0,INDEX($Q$4:$V$4,1,$EK22))))+$DX22*3</f>
        <v/>
      </c>
      <c r="FY22" s="155">
        <f>MAX(0,12-SUMPRODUCT($FD22:$FI22,$Q$5:$V$5)+MIN(8,$FJ22*2+$FK22*4,SUMPRODUCT($FD22:$FI22,$Q$5:$V$5)-IF($EK22=0,0,INDEX($Q$5:$V$5,1,$EK22))))+$DX22*4</f>
        <v/>
      </c>
      <c r="FZ22" s="155">
        <f>MAX(0,15-SUMPRODUCT($FD22:$FI22,$Q$6:$V$6)+MIN(10,$FJ22*3+$FK22*5,SUMPRODUCT($FD22:$FI22,$Q$6:$V$6)-IF($EK22=0,0,INDEX($Q$6:$V$6,1,$EK22))))+$DX22*5</f>
        <v/>
      </c>
      <c r="GA22" s="155">
        <f>MAX(0,18-SUMPRODUCT($FD22:$FI22,$Q$7:$V$7)+MIN(12,$FJ22*3+$FK22*6,SUMPRODUCT($FD22:$FI22,$Q$7:$V$7)-IF($EK22=0,0,INDEX($Q$7:$V$7,1,$EK22))))+$DX22*6</f>
        <v/>
      </c>
      <c r="GB22" s="155">
        <f>MAX(0,21-SUMPRODUCT($FD22:$FI22,$Q$8:$V$8)+MIN(14,$FJ22*4+$FK22*7,SUMPRODUCT($FD22:$FI22,$Q$8:$V$8)-IF($EK22=0,0,INDEX($Q$8:$V$8,1,$EK22))))+$DX22*7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Melhoria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livres</t>
        </is>
      </c>
      <c r="HK22" s="155">
        <f>$HK$21-$HK$14</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IF(DADOS_AM!$HK$20=1,"⚠ ","")&amp;DADOS_AM!$HK$18</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Toca a Alma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IFERROR(VLOOKUP($EC23,$BC$2:$BK$83,4,FALSE),0)</f>
        <v/>
      </c>
      <c r="EM23" s="155">
        <f>IFERROR(VLOOKUP($ED23,$BC$2:$BK$83,4,FALSE),0)</f>
        <v/>
      </c>
      <c r="EN23" s="155">
        <f>IFERROR(VLOOKUP($EE23,$BC$2:$BK$83,4,FALSE),0)</f>
        <v/>
      </c>
      <c r="EO23" s="155">
        <f>IFERROR(VLOOKUP($EF23,$BC$2:$BK$83,4,FALSE),0)</f>
        <v/>
      </c>
      <c r="EP23" s="155">
        <f>IF($EJ23=0,0,INDEX($AC$2:$AC$11,$EJ23))</f>
        <v/>
      </c>
      <c r="EQ23" s="155">
        <f>IFERROR(VLOOKUP($EC23,$BC$2:$BK$83,5,FALSE),0)</f>
        <v/>
      </c>
      <c r="ER23" s="155">
        <f>IFERROR(VLOOKUP($ED23,$BC$2:$BK$83,5,FALSE),0)</f>
        <v/>
      </c>
      <c r="ES23" s="155">
        <f>IFERROR(VLOOKUP($EE23,$BC$2:$BK$83,5,FALSE),0)</f>
        <v/>
      </c>
      <c r="ET23" s="155">
        <f>IFERROR(VLOOKUP($EF23,$BC$2:$BK$83,5,FALSE),0)</f>
        <v/>
      </c>
      <c r="EU23" s="155">
        <f>IFERROR(VLOOKUP($EC23,$BC$2:$BK$83,6,FALSE),0)+IFERROR(VLOOKUP($ED23,$BC$2:$BK$83,6,FALSE),0)+IFERROR(VLOOKUP($EE23,$BC$2:$BK$83,6,FALSE),0)+IFERROR(VLOOKUP($EF23,$BC$2:$BK$83,6,FALSE),0)</f>
        <v/>
      </c>
      <c r="EV23" s="155">
        <f>IFERROR(VLOOKUP($EC23,$BC$2:$BK$83,9,FALSE),0)+IFERROR(VLOOKUP($ED23,$BC$2:$BK$83,9,FALSE),0)+IFERROR(VLOOKUP($EE23,$BC$2:$BK$83,9,FALSE),0)+IFERROR(VLOOKUP($EF23,$BC$2:$BK$83,9,FALSE),0)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MIN($FP23,$FN23-IF($EK23=0,0,INDEX($Q$2:$V$8,$DZ23,$EK23)))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MAX(0,3-SUMPRODUCT($FD23:$FI23,$Q$2:$V$2)+MIN(2,$FJ23*1+$FK23*1,SUMPRODUCT($FD23:$FI23,$Q$2:$V$2)-IF($EK23=0,0,INDEX($Q$2:$V$2,1,$EK23))))+$DX23*1</f>
        <v/>
      </c>
      <c r="FW23" s="155">
        <f>MAX(0,6-SUMPRODUCT($FD23:$FI23,$Q$3:$V$3)+MIN(4,$FJ23*1+$FK23*2,SUMPRODUCT($FD23:$FI23,$Q$3:$V$3)-IF($EK23=0,0,INDEX($Q$3:$V$3,1,$EK23))))+$DX23*2</f>
        <v/>
      </c>
      <c r="FX23" s="155">
        <f>MAX(0,9-SUMPRODUCT($FD23:$FI23,$Q$4:$V$4)+MIN(6,$FJ23*2+$FK23*3,SUMPRODUCT($FD23:$FI23,$Q$4:$V$4)-IF($EK23=0,0,INDEX($Q$4:$V$4,1,$EK23))))+$DX23*3</f>
        <v/>
      </c>
      <c r="FY23" s="155">
        <f>MAX(0,12-SUMPRODUCT($FD23:$FI23,$Q$5:$V$5)+MIN(8,$FJ23*2+$FK23*4,SUMPRODUCT($FD23:$FI23,$Q$5:$V$5)-IF($EK23=0,0,INDEX($Q$5:$V$5,1,$EK23))))+$DX23*4</f>
        <v/>
      </c>
      <c r="FZ23" s="155">
        <f>MAX(0,15-SUMPRODUCT($FD23:$FI23,$Q$6:$V$6)+MIN(10,$FJ23*3+$FK23*5,SUMPRODUCT($FD23:$FI23,$Q$6:$V$6)-IF($EK23=0,0,INDEX($Q$6:$V$6,1,$EK23))))+$DX23*5</f>
        <v/>
      </c>
      <c r="GA23" s="155">
        <f>MAX(0,18-SUMPRODUCT($FD23:$FI23,$Q$7:$V$7)+MIN(12,$FJ23*3+$FK23*6,SUMPRODUCT($FD23:$FI23,$Q$7:$V$7)-IF($EK23=0,0,INDEX($Q$7:$V$7,1,$EK23))))+$DX23*6</f>
        <v/>
      </c>
      <c r="GB23" s="155">
        <f>MAX(0,21-SUMPRODUCT($FD23:$FI23,$Q$8:$V$8)+MIN(14,$FJ23*4+$FK23*7,SUMPRODUCT($FD23:$FI23,$Q$8:$V$8)-IF($EK23=0,0,INDEX($Q$8:$V$8,1,$EK23))))+$DX23*7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Melhoria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passivas pagas</t>
        </is>
      </c>
      <c r="HK23" s="155">
        <f>IF('FICHA AMALDIÇOADA'!$D$379&lt;&gt;"",1,0)+IF('FICHA AMALDIÇOADA'!$J$379&lt;&gt;"",1,0)+IF('FICHA AMALDIÇOADA'!$P$379&lt;&gt;"",1,0)+IF('FICHA AMALDIÇOADA'!$D$387&lt;&gt;"",1,0)+IF('FICHA AMALDIÇOADA'!$J$387&lt;&gt;"",1,0)</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IF(DADOS_AM!$HK$20=1,"⚠ ","")&amp;DADOS_AM!$HK$19</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Lento</t>
        </is>
      </c>
      <c r="BD24" s="153" t="inlineStr">
        <is>
          <t>Controle</t>
        </is>
      </c>
      <c r="BE24" s="155" t="n">
        <v>1</v>
      </c>
      <c r="BF24" s="155">
        <f>$BE24+3*IFERROR(VLOOKUP($BD24,$I$2:$L$10,3,FALSE),0)</f>
        <v/>
      </c>
      <c r="BG24" s="155">
        <f>IFERROR(VLOOKUP($BD24,$I$2:$L$10,4,FALSE),0)</f>
        <v/>
      </c>
      <c r="BH24" s="155" t="n">
        <v>1</v>
      </c>
      <c r="BI24" s="155">
        <f>IF($BG24=1,"",$BC24)</f>
        <v/>
      </c>
      <c r="BJ24" s="155">
        <f>IF(AND($BE24=1,$BG24=0),$BC24,"")</f>
        <v/>
      </c>
      <c r="BK24" s="155" t="n">
        <v>1</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IFERROR(VLOOKUP($EC24,$BC$2:$BK$83,4,FALSE),0)</f>
        <v/>
      </c>
      <c r="EM24" s="155">
        <f>IFERROR(VLOOKUP($ED24,$BC$2:$BK$83,4,FALSE),0)</f>
        <v/>
      </c>
      <c r="EN24" s="155">
        <f>IFERROR(VLOOKUP($EE24,$BC$2:$BK$83,4,FALSE),0)</f>
        <v/>
      </c>
      <c r="EO24" s="155">
        <f>IFERROR(VLOOKUP($EF24,$BC$2:$BK$83,4,FALSE),0)</f>
        <v/>
      </c>
      <c r="EP24" s="155">
        <f>IF($EJ24=0,0,INDEX($AC$2:$AC$11,$EJ24))</f>
        <v/>
      </c>
      <c r="EQ24" s="155">
        <f>IFERROR(VLOOKUP($EC24,$BC$2:$BK$83,5,FALSE),0)</f>
        <v/>
      </c>
      <c r="ER24" s="155">
        <f>IFERROR(VLOOKUP($ED24,$BC$2:$BK$83,5,FALSE),0)</f>
        <v/>
      </c>
      <c r="ES24" s="155">
        <f>IFERROR(VLOOKUP($EE24,$BC$2:$BK$83,5,FALSE),0)</f>
        <v/>
      </c>
      <c r="ET24" s="155">
        <f>IFERROR(VLOOKUP($EF24,$BC$2:$BK$83,5,FALSE),0)</f>
        <v/>
      </c>
      <c r="EU24" s="155">
        <f>IFERROR(VLOOKUP($EC24,$BC$2:$BK$83,6,FALSE),0)+IFERROR(VLOOKUP($ED24,$BC$2:$BK$83,6,FALSE),0)+IFERROR(VLOOKUP($EE24,$BC$2:$BK$83,6,FALSE),0)+IFERROR(VLOOKUP($EF24,$BC$2:$BK$83,6,FALSE),0)</f>
        <v/>
      </c>
      <c r="EV24" s="155">
        <f>IFERROR(VLOOKUP($EC24,$BC$2:$BK$83,9,FALSE),0)+IFERROR(VLOOKUP($ED24,$BC$2:$BK$83,9,FALSE),0)+IFERROR(VLOOKUP($EE24,$BC$2:$BK$83,9,FALSE),0)+IFERROR(VLOOKUP($EF24,$BC$2:$BK$83,9,FALSE),0)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MIN($FP24,$FN24-IF($EK24=0,0,INDEX($Q$2:$V$8,$DZ24,$EK24)))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MAX(0,3-SUMPRODUCT($FD24:$FI24,$Q$2:$V$2)+MIN(2,$FJ24*1+$FK24*1,SUMPRODUCT($FD24:$FI24,$Q$2:$V$2)-IF($EK24=0,0,INDEX($Q$2:$V$2,1,$EK24))))+$DX24*1</f>
        <v/>
      </c>
      <c r="FW24" s="155">
        <f>MAX(0,6-SUMPRODUCT($FD24:$FI24,$Q$3:$V$3)+MIN(4,$FJ24*1+$FK24*2,SUMPRODUCT($FD24:$FI24,$Q$3:$V$3)-IF($EK24=0,0,INDEX($Q$3:$V$3,1,$EK24))))+$DX24*2</f>
        <v/>
      </c>
      <c r="FX24" s="155">
        <f>MAX(0,9-SUMPRODUCT($FD24:$FI24,$Q$4:$V$4)+MIN(6,$FJ24*2+$FK24*3,SUMPRODUCT($FD24:$FI24,$Q$4:$V$4)-IF($EK24=0,0,INDEX($Q$4:$V$4,1,$EK24))))+$DX24*3</f>
        <v/>
      </c>
      <c r="FY24" s="155">
        <f>MAX(0,12-SUMPRODUCT($FD24:$FI24,$Q$5:$V$5)+MIN(8,$FJ24*2+$FK24*4,SUMPRODUCT($FD24:$FI24,$Q$5:$V$5)-IF($EK24=0,0,INDEX($Q$5:$V$5,1,$EK24))))+$DX24*4</f>
        <v/>
      </c>
      <c r="FZ24" s="155">
        <f>MAX(0,15-SUMPRODUCT($FD24:$FI24,$Q$6:$V$6)+MIN(10,$FJ24*3+$FK24*5,SUMPRODUCT($FD24:$FI24,$Q$6:$V$6)-IF($EK24=0,0,INDEX($Q$6:$V$6,1,$EK24))))+$DX24*5</f>
        <v/>
      </c>
      <c r="GA24" s="155">
        <f>MAX(0,18-SUMPRODUCT($FD24:$FI24,$Q$7:$V$7)+MIN(12,$FJ24*3+$FK24*6,SUMPRODUCT($FD24:$FI24,$Q$7:$V$7)-IF($EK24=0,0,INDEX($Q$7:$V$7,1,$EK24))))+$DX24*6</f>
        <v/>
      </c>
      <c r="GB24" s="155">
        <f>MAX(0,21-SUMPRODUCT($FD24:$FI24,$Q$8:$V$8)+MIN(14,$FJ24*4+$FK24*7,SUMPRODUCT($FD24:$FI24,$Q$8:$V$8)-IF($EK24=0,0,INDEX($Q$8:$V$8,1,$EK24))))+$DX24*7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Melhoria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do Leque</t>
        </is>
      </c>
      <c r="HK24" s="155">
        <f>IF('FICHA AMALDIÇOADA'!$D$397&lt;&gt;"",1,0)+IF('FICHA AMALDIÇOADA'!$J$397&lt;&gt;"",1,0)+IF('FICHA AMALDIÇOADA'!$P$397&lt;&gt;"",1,0)+IF('FICHA AMALDIÇOADA'!$D$405&lt;&gt;"",1,0)+IF('FICHA AMALDIÇOADA'!$J$405&lt;&gt;"",1,0)+IF('FICHA AMALDIÇOADA'!$P$405&lt;&gt;"",1,0)+IF('FICHA AMALDIÇOADA'!$D$413&lt;&gt;"",1,0)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IF(DADOS_AM!$HK$22&lt;0,"⚠ ","")&amp;DADOS_AM!$HK$22</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Guarda Aberta</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IFERROR(VLOOKUP($EC25,$BC$2:$BK$83,4,FALSE),0)</f>
        <v/>
      </c>
      <c r="EM25" s="155">
        <f>IFERROR(VLOOKUP($ED25,$BC$2:$BK$83,4,FALSE),0)</f>
        <v/>
      </c>
      <c r="EN25" s="155">
        <f>IFERROR(VLOOKUP($EE25,$BC$2:$BK$83,4,FALSE),0)</f>
        <v/>
      </c>
      <c r="EO25" s="155">
        <f>IFERROR(VLOOKUP($EF25,$BC$2:$BK$83,4,FALSE),0)</f>
        <v/>
      </c>
      <c r="EP25" s="155">
        <f>IF($EJ25=0,0,INDEX($AC$2:$AC$11,$EJ25))</f>
        <v/>
      </c>
      <c r="EQ25" s="155">
        <f>IFERROR(VLOOKUP($EC25,$BC$2:$BK$83,5,FALSE),0)</f>
        <v/>
      </c>
      <c r="ER25" s="155">
        <f>IFERROR(VLOOKUP($ED25,$BC$2:$BK$83,5,FALSE),0)</f>
        <v/>
      </c>
      <c r="ES25" s="155">
        <f>IFERROR(VLOOKUP($EE25,$BC$2:$BK$83,5,FALSE),0)</f>
        <v/>
      </c>
      <c r="ET25" s="155">
        <f>IFERROR(VLOOKUP($EF25,$BC$2:$BK$83,5,FALSE),0)</f>
        <v/>
      </c>
      <c r="EU25" s="155">
        <f>IFERROR(VLOOKUP($EC25,$BC$2:$BK$83,6,FALSE),0)+IFERROR(VLOOKUP($ED25,$BC$2:$BK$83,6,FALSE),0)+IFERROR(VLOOKUP($EE25,$BC$2:$BK$83,6,FALSE),0)+IFERROR(VLOOKUP($EF25,$BC$2:$BK$83,6,FALSE),0)</f>
        <v/>
      </c>
      <c r="EV25" s="155">
        <f>IFERROR(VLOOKUP($EC25,$BC$2:$BK$83,9,FALSE),0)+IFERROR(VLOOKUP($ED25,$BC$2:$BK$83,9,FALSE),0)+IFERROR(VLOOKUP($EE25,$BC$2:$BK$83,9,FALSE),0)+IFERROR(VLOOKUP($EF25,$BC$2:$BK$83,9,FALSE),0)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MIN($FP25,$FN25-IF($EK25=0,0,INDEX($Q$2:$V$8,$DZ25,$EK25)))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MAX(0,3-SUMPRODUCT($FD25:$FI25,$Q$2:$V$2)+MIN(2,$FJ25*1+$FK25*1,SUMPRODUCT($FD25:$FI25,$Q$2:$V$2)-IF($EK25=0,0,INDEX($Q$2:$V$2,1,$EK25))))+$DX25*1</f>
        <v/>
      </c>
      <c r="FW25" s="155">
        <f>MAX(0,6-SUMPRODUCT($FD25:$FI25,$Q$3:$V$3)+MIN(4,$FJ25*1+$FK25*2,SUMPRODUCT($FD25:$FI25,$Q$3:$V$3)-IF($EK25=0,0,INDEX($Q$3:$V$3,1,$EK25))))+$DX25*2</f>
        <v/>
      </c>
      <c r="FX25" s="155">
        <f>MAX(0,9-SUMPRODUCT($FD25:$FI25,$Q$4:$V$4)+MIN(6,$FJ25*2+$FK25*3,SUMPRODUCT($FD25:$FI25,$Q$4:$V$4)-IF($EK25=0,0,INDEX($Q$4:$V$4,1,$EK25))))+$DX25*3</f>
        <v/>
      </c>
      <c r="FY25" s="155">
        <f>MAX(0,12-SUMPRODUCT($FD25:$FI25,$Q$5:$V$5)+MIN(8,$FJ25*2+$FK25*4,SUMPRODUCT($FD25:$FI25,$Q$5:$V$5)-IF($EK25=0,0,INDEX($Q$5:$V$5,1,$EK25))))+$DX25*4</f>
        <v/>
      </c>
      <c r="FZ25" s="155">
        <f>MAX(0,15-SUMPRODUCT($FD25:$FI25,$Q$6:$V$6)+MIN(10,$FJ25*3+$FK25*5,SUMPRODUCT($FD25:$FI25,$Q$6:$V$6)-IF($EK25=0,0,INDEX($Q$6:$V$6,1,$EK25))))+$DX25*5</f>
        <v/>
      </c>
      <c r="GA25" s="155">
        <f>MAX(0,18-SUMPRODUCT($FD25:$FI25,$Q$7:$V$7)+MIN(12,$FJ25*3+$FK25*6,SUMPRODUCT($FD25:$FI25,$Q$7:$V$7)-IF($EK25=0,0,INDEX($Q$7:$V$7,1,$EK25))))+$DX25*6</f>
        <v/>
      </c>
      <c r="GB25" s="155">
        <f>MAX(0,21-SUMPRODUCT($FD25:$FI25,$Q$8:$V$8)+MIN(14,$FJ25*4+$FK25*7,SUMPRODUCT($FD25:$FI25,$Q$8:$V$8)-IF($EK25=0,0,INDEX($Q$8:$V$8,1,$EK25))))+$DX25*7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Melhoria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aptidões anotadas</t>
        </is>
      </c>
      <c r="HK25"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Derrubado</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IFERROR(VLOOKUP($EC26,$BC$2:$BK$83,4,FALSE),0)</f>
        <v/>
      </c>
      <c r="EM26" s="155">
        <f>IFERROR(VLOOKUP($ED26,$BC$2:$BK$83,4,FALSE),0)</f>
        <v/>
      </c>
      <c r="EN26" s="155">
        <f>IFERROR(VLOOKUP($EE26,$BC$2:$BK$83,4,FALSE),0)</f>
        <v/>
      </c>
      <c r="EO26" s="155">
        <f>IFERROR(VLOOKUP($EF26,$BC$2:$BK$83,4,FALSE),0)</f>
        <v/>
      </c>
      <c r="EP26" s="155">
        <f>IF($EJ26=0,0,INDEX($AC$2:$AC$11,$EJ26))</f>
        <v/>
      </c>
      <c r="EQ26" s="155">
        <f>IFERROR(VLOOKUP($EC26,$BC$2:$BK$83,5,FALSE),0)</f>
        <v/>
      </c>
      <c r="ER26" s="155">
        <f>IFERROR(VLOOKUP($ED26,$BC$2:$BK$83,5,FALSE),0)</f>
        <v/>
      </c>
      <c r="ES26" s="155">
        <f>IFERROR(VLOOKUP($EE26,$BC$2:$BK$83,5,FALSE),0)</f>
        <v/>
      </c>
      <c r="ET26" s="155">
        <f>IFERROR(VLOOKUP($EF26,$BC$2:$BK$83,5,FALSE),0)</f>
        <v/>
      </c>
      <c r="EU26" s="155">
        <f>IFERROR(VLOOKUP($EC26,$BC$2:$BK$83,6,FALSE),0)+IFERROR(VLOOKUP($ED26,$BC$2:$BK$83,6,FALSE),0)+IFERROR(VLOOKUP($EE26,$BC$2:$BK$83,6,FALSE),0)+IFERROR(VLOOKUP($EF26,$BC$2:$BK$83,6,FALSE),0)</f>
        <v/>
      </c>
      <c r="EV26" s="155">
        <f>IFERROR(VLOOKUP($EC26,$BC$2:$BK$83,9,FALSE),0)+IFERROR(VLOOKUP($ED26,$BC$2:$BK$83,9,FALSE),0)+IFERROR(VLOOKUP($EE26,$BC$2:$BK$83,9,FALSE),0)+IFERROR(VLOOKUP($EF26,$BC$2:$BK$83,9,FALSE),0)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MIN($FP26,$FN26-IF($EK26=0,0,INDEX($Q$2:$V$8,$DZ26,$EK26)))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MAX(0,3-SUMPRODUCT($FD26:$FI26,$Q$2:$V$2)+MIN(2,$FJ26*1+$FK26*1,SUMPRODUCT($FD26:$FI26,$Q$2:$V$2)-IF($EK26=0,0,INDEX($Q$2:$V$2,1,$EK26))))+$DX26*1</f>
        <v/>
      </c>
      <c r="FW26" s="155">
        <f>MAX(0,6-SUMPRODUCT($FD26:$FI26,$Q$3:$V$3)+MIN(4,$FJ26*1+$FK26*2,SUMPRODUCT($FD26:$FI26,$Q$3:$V$3)-IF($EK26=0,0,INDEX($Q$3:$V$3,1,$EK26))))+$DX26*2</f>
        <v/>
      </c>
      <c r="FX26" s="155">
        <f>MAX(0,9-SUMPRODUCT($FD26:$FI26,$Q$4:$V$4)+MIN(6,$FJ26*2+$FK26*3,SUMPRODUCT($FD26:$FI26,$Q$4:$V$4)-IF($EK26=0,0,INDEX($Q$4:$V$4,1,$EK26))))+$DX26*3</f>
        <v/>
      </c>
      <c r="FY26" s="155">
        <f>MAX(0,12-SUMPRODUCT($FD26:$FI26,$Q$5:$V$5)+MIN(8,$FJ26*2+$FK26*4,SUMPRODUCT($FD26:$FI26,$Q$5:$V$5)-IF($EK26=0,0,INDEX($Q$5:$V$5,1,$EK26))))+$DX26*4</f>
        <v/>
      </c>
      <c r="FZ26" s="155">
        <f>MAX(0,15-SUMPRODUCT($FD26:$FI26,$Q$6:$V$6)+MIN(10,$FJ26*3+$FK26*5,SUMPRODUCT($FD26:$FI26,$Q$6:$V$6)-IF($EK26=0,0,INDEX($Q$6:$V$6,1,$EK26))))+$DX26*5</f>
        <v/>
      </c>
      <c r="GA26" s="155">
        <f>MAX(0,18-SUMPRODUCT($FD26:$FI26,$Q$7:$V$7)+MIN(12,$FJ26*3+$FK26*6,SUMPRODUCT($FD26:$FI26,$Q$7:$V$7)-IF($EK26=0,0,INDEX($Q$7:$V$7,1,$EK26))))+$DX26*6</f>
        <v/>
      </c>
      <c r="GB26" s="155">
        <f>MAX(0,21-SUMPRODUCT($FD26:$FI26,$Q$8:$V$8)+MIN(14,$FJ26*4+$FK26*7,SUMPRODUCT($FD26:$FI26,$Q$8:$V$8)-IF($EK26=0,0,INDEX($Q$8:$V$8,1,$EK26))))+$DX26*7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Melhoria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compráveis</t>
        </is>
      </c>
      <c r="HK26" s="155">
        <f>MAX(0,N(DADOS!$AK$36)-2)</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Agarrado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IFERROR(VLOOKUP($EC27,$BC$2:$BK$83,4,FALSE),0)</f>
        <v/>
      </c>
      <c r="EM27" s="155">
        <f>IFERROR(VLOOKUP($ED27,$BC$2:$BK$83,4,FALSE),0)</f>
        <v/>
      </c>
      <c r="EN27" s="155">
        <f>IFERROR(VLOOKUP($EE27,$BC$2:$BK$83,4,FALSE),0)</f>
        <v/>
      </c>
      <c r="EO27" s="155">
        <f>IFERROR(VLOOKUP($EF27,$BC$2:$BK$83,4,FALSE),0)</f>
        <v/>
      </c>
      <c r="EP27" s="155">
        <f>IF($EJ27=0,0,INDEX($AC$2:$AC$11,$EJ27))</f>
        <v/>
      </c>
      <c r="EQ27" s="155">
        <f>IFERROR(VLOOKUP($EC27,$BC$2:$BK$83,5,FALSE),0)</f>
        <v/>
      </c>
      <c r="ER27" s="155">
        <f>IFERROR(VLOOKUP($ED27,$BC$2:$BK$83,5,FALSE),0)</f>
        <v/>
      </c>
      <c r="ES27" s="155">
        <f>IFERROR(VLOOKUP($EE27,$BC$2:$BK$83,5,FALSE),0)</f>
        <v/>
      </c>
      <c r="ET27" s="155">
        <f>IFERROR(VLOOKUP($EF27,$BC$2:$BK$83,5,FALSE),0)</f>
        <v/>
      </c>
      <c r="EU27" s="155">
        <f>IFERROR(VLOOKUP($EC27,$BC$2:$BK$83,6,FALSE),0)+IFERROR(VLOOKUP($ED27,$BC$2:$BK$83,6,FALSE),0)+IFERROR(VLOOKUP($EE27,$BC$2:$BK$83,6,FALSE),0)+IFERROR(VLOOKUP($EF27,$BC$2:$BK$83,6,FALSE),0)</f>
        <v/>
      </c>
      <c r="EV27" s="155">
        <f>IFERROR(VLOOKUP($EC27,$BC$2:$BK$83,9,FALSE),0)+IFERROR(VLOOKUP($ED27,$BC$2:$BK$83,9,FALSE),0)+IFERROR(VLOOKUP($EE27,$BC$2:$BK$83,9,FALSE),0)+IFERROR(VLOOKUP($EF27,$BC$2:$BK$83,9,FALSE),0)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MIN($FP27,$FN27-IF($EK27=0,0,INDEX($Q$2:$V$8,$DZ27,$EK27)))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MAX(0,3-SUMPRODUCT($FD27:$FI27,$Q$2:$V$2)+MIN(2,$FJ27*1+$FK27*1,SUMPRODUCT($FD27:$FI27,$Q$2:$V$2)-IF($EK27=0,0,INDEX($Q$2:$V$2,1,$EK27))))+$DX27*1</f>
        <v/>
      </c>
      <c r="FW27" s="155">
        <f>MAX(0,6-SUMPRODUCT($FD27:$FI27,$Q$3:$V$3)+MIN(4,$FJ27*1+$FK27*2,SUMPRODUCT($FD27:$FI27,$Q$3:$V$3)-IF($EK27=0,0,INDEX($Q$3:$V$3,1,$EK27))))+$DX27*2</f>
        <v/>
      </c>
      <c r="FX27" s="155">
        <f>MAX(0,9-SUMPRODUCT($FD27:$FI27,$Q$4:$V$4)+MIN(6,$FJ27*2+$FK27*3,SUMPRODUCT($FD27:$FI27,$Q$4:$V$4)-IF($EK27=0,0,INDEX($Q$4:$V$4,1,$EK27))))+$DX27*3</f>
        <v/>
      </c>
      <c r="FY27" s="155">
        <f>MAX(0,12-SUMPRODUCT($FD27:$FI27,$Q$5:$V$5)+MIN(8,$FJ27*2+$FK27*4,SUMPRODUCT($FD27:$FI27,$Q$5:$V$5)-IF($EK27=0,0,INDEX($Q$5:$V$5,1,$EK27))))+$DX27*4</f>
        <v/>
      </c>
      <c r="FZ27" s="155">
        <f>MAX(0,15-SUMPRODUCT($FD27:$FI27,$Q$6:$V$6)+MIN(10,$FJ27*3+$FK27*5,SUMPRODUCT($FD27:$FI27,$Q$6:$V$6)-IF($EK27=0,0,INDEX($Q$6:$V$6,1,$EK27))))+$DX27*5</f>
        <v/>
      </c>
      <c r="GA27" s="155">
        <f>MAX(0,18-SUMPRODUCT($FD27:$FI27,$Q$7:$V$7)+MIN(12,$FJ27*3+$FK27*6,SUMPRODUCT($FD27:$FI27,$Q$7:$V$7)-IF($EK27=0,0,INDEX($Q$7:$V$7,1,$EK27))))+$DX27*6</f>
        <v/>
      </c>
      <c r="GB27" s="155">
        <f>MAX(0,21-SUMPRODUCT($FD27:$FI27,$Q$8:$V$8)+MIN(14,$FJ27*4+$FK27*7,SUMPRODUCT($FD27:$FI27,$Q$8:$V$8)-IF($EK27=0,0,INDEX($Q$8:$V$8,1,$EK27))))+$DX27*7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Melhoria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pactos permanentes</t>
        </is>
      </c>
      <c r="HK27" s="155">
        <f>IF('FICHA AMALDIÇOADA'!$L$518="Permanente",1,0)+IF('FICHA AMALDIÇOADA'!$L$528="Permanente",1,0)+IF('FICHA AMALDIÇOADA'!$L$538="Permanente",1,0)</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Desarmado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IFERROR(VLOOKUP($EC28,$BC$2:$BK$83,4,FALSE),0)</f>
        <v/>
      </c>
      <c r="EM28" s="155">
        <f>IFERROR(VLOOKUP($ED28,$BC$2:$BK$83,4,FALSE),0)</f>
        <v/>
      </c>
      <c r="EN28" s="155">
        <f>IFERROR(VLOOKUP($EE28,$BC$2:$BK$83,4,FALSE),0)</f>
        <v/>
      </c>
      <c r="EO28" s="155">
        <f>IFERROR(VLOOKUP($EF28,$BC$2:$BK$83,4,FALSE),0)</f>
        <v/>
      </c>
      <c r="EP28" s="155">
        <f>IF($EJ28=0,0,INDEX($AC$2:$AC$11,$EJ28))</f>
        <v/>
      </c>
      <c r="EQ28" s="155">
        <f>IFERROR(VLOOKUP($EC28,$BC$2:$BK$83,5,FALSE),0)</f>
        <v/>
      </c>
      <c r="ER28" s="155">
        <f>IFERROR(VLOOKUP($ED28,$BC$2:$BK$83,5,FALSE),0)</f>
        <v/>
      </c>
      <c r="ES28" s="155">
        <f>IFERROR(VLOOKUP($EE28,$BC$2:$BK$83,5,FALSE),0)</f>
        <v/>
      </c>
      <c r="ET28" s="155">
        <f>IFERROR(VLOOKUP($EF28,$BC$2:$BK$83,5,FALSE),0)</f>
        <v/>
      </c>
      <c r="EU28" s="155">
        <f>IFERROR(VLOOKUP($EC28,$BC$2:$BK$83,6,FALSE),0)+IFERROR(VLOOKUP($ED28,$BC$2:$BK$83,6,FALSE),0)+IFERROR(VLOOKUP($EE28,$BC$2:$BK$83,6,FALSE),0)+IFERROR(VLOOKUP($EF28,$BC$2:$BK$83,6,FALSE),0)</f>
        <v/>
      </c>
      <c r="EV28" s="155">
        <f>IFERROR(VLOOKUP($EC28,$BC$2:$BK$83,9,FALSE),0)+IFERROR(VLOOKUP($ED28,$BC$2:$BK$83,9,FALSE),0)+IFERROR(VLOOKUP($EE28,$BC$2:$BK$83,9,FALSE),0)+IFERROR(VLOOKUP($EF28,$BC$2:$BK$83,9,FALSE),0)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MIN($FP28,$FN28-IF($EK28=0,0,INDEX($Q$2:$V$8,$DZ28,$EK28)))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MAX(0,3-SUMPRODUCT($FD28:$FI28,$Q$2:$V$2)+MIN(2,$FJ28*1+$FK28*1,SUMPRODUCT($FD28:$FI28,$Q$2:$V$2)-IF($EK28=0,0,INDEX($Q$2:$V$2,1,$EK28))))+$DX28*1</f>
        <v/>
      </c>
      <c r="FW28" s="155">
        <f>MAX(0,6-SUMPRODUCT($FD28:$FI28,$Q$3:$V$3)+MIN(4,$FJ28*1+$FK28*2,SUMPRODUCT($FD28:$FI28,$Q$3:$V$3)-IF($EK28=0,0,INDEX($Q$3:$V$3,1,$EK28))))+$DX28*2</f>
        <v/>
      </c>
      <c r="FX28" s="155">
        <f>MAX(0,9-SUMPRODUCT($FD28:$FI28,$Q$4:$V$4)+MIN(6,$FJ28*2+$FK28*3,SUMPRODUCT($FD28:$FI28,$Q$4:$V$4)-IF($EK28=0,0,INDEX($Q$4:$V$4,1,$EK28))))+$DX28*3</f>
        <v/>
      </c>
      <c r="FY28" s="155">
        <f>MAX(0,12-SUMPRODUCT($FD28:$FI28,$Q$5:$V$5)+MIN(8,$FJ28*2+$FK28*4,SUMPRODUCT($FD28:$FI28,$Q$5:$V$5)-IF($EK28=0,0,INDEX($Q$5:$V$5,1,$EK28))))+$DX28*4</f>
        <v/>
      </c>
      <c r="FZ28" s="155">
        <f>MAX(0,15-SUMPRODUCT($FD28:$FI28,$Q$6:$V$6)+MIN(10,$FJ28*3+$FK28*5,SUMPRODUCT($FD28:$FI28,$Q$6:$V$6)-IF($EK28=0,0,INDEX($Q$6:$V$6,1,$EK28))))+$DX28*5</f>
        <v/>
      </c>
      <c r="GA28" s="155">
        <f>MAX(0,18-SUMPRODUCT($FD28:$FI28,$Q$7:$V$7)+MIN(12,$FJ28*3+$FK28*6,SUMPRODUCT($FD28:$FI28,$Q$7:$V$7)-IF($EK28=0,0,INDEX($Q$7:$V$7,1,$EK28))))+$DX28*6</f>
        <v/>
      </c>
      <c r="GB28" s="155">
        <f>MAX(0,21-SUMPRODUCT($FD28:$FI28,$Q$8:$V$8)+MIN(14,$FJ28*4+$FK28*7,SUMPRODUCT($FD28:$FI28,$Q$8:$V$8)-IF($EK28=0,0,INDEX($Q$8:$V$8,1,$EK28))))+$DX28*7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Melhoria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com vaga</t>
        </is>
      </c>
      <c r="HK28" s="155">
        <f>IF(OR('FICHA AMALDIÇOADA'!$L$518="Permanente",'FICHA AMALDIÇOADA'!$L$518="Pacto de restrição"),1,0)+IF(OR('FICHA AMALDIÇOADA'!$L$528="Permanente",'FICHA AMALDIÇOADA'!$L$528="Pacto de restrição"),1,0)+IF(OR('FICHA AMALDIÇOADA'!$L$538="Permanente",'FICHA AMALDIÇOADA'!$L$538="Pacto de restrição"),1,0)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Surdo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IFERROR(VLOOKUP($EC29,$BC$2:$BK$83,4,FALSE),0)</f>
        <v/>
      </c>
      <c r="EM29" s="155">
        <f>IFERROR(VLOOKUP($ED29,$BC$2:$BK$83,4,FALSE),0)</f>
        <v/>
      </c>
      <c r="EN29" s="155">
        <f>IFERROR(VLOOKUP($EE29,$BC$2:$BK$83,4,FALSE),0)</f>
        <v/>
      </c>
      <c r="EO29" s="155">
        <f>IFERROR(VLOOKUP($EF29,$BC$2:$BK$83,4,FALSE),0)</f>
        <v/>
      </c>
      <c r="EP29" s="155">
        <f>IF($EJ29=0,0,INDEX($AC$2:$AC$11,$EJ29))</f>
        <v/>
      </c>
      <c r="EQ29" s="155">
        <f>IFERROR(VLOOKUP($EC29,$BC$2:$BK$83,5,FALSE),0)</f>
        <v/>
      </c>
      <c r="ER29" s="155">
        <f>IFERROR(VLOOKUP($ED29,$BC$2:$BK$83,5,FALSE),0)</f>
        <v/>
      </c>
      <c r="ES29" s="155">
        <f>IFERROR(VLOOKUP($EE29,$BC$2:$BK$83,5,FALSE),0)</f>
        <v/>
      </c>
      <c r="ET29" s="155">
        <f>IFERROR(VLOOKUP($EF29,$BC$2:$BK$83,5,FALSE),0)</f>
        <v/>
      </c>
      <c r="EU29" s="155">
        <f>IFERROR(VLOOKUP($EC29,$BC$2:$BK$83,6,FALSE),0)+IFERROR(VLOOKUP($ED29,$BC$2:$BK$83,6,FALSE),0)+IFERROR(VLOOKUP($EE29,$BC$2:$BK$83,6,FALSE),0)+IFERROR(VLOOKUP($EF29,$BC$2:$BK$83,6,FALSE),0)</f>
        <v/>
      </c>
      <c r="EV29" s="155">
        <f>IFERROR(VLOOKUP($EC29,$BC$2:$BK$83,9,FALSE),0)+IFERROR(VLOOKUP($ED29,$BC$2:$BK$83,9,FALSE),0)+IFERROR(VLOOKUP($EE29,$BC$2:$BK$83,9,FALSE),0)+IFERROR(VLOOKUP($EF29,$BC$2:$BK$83,9,FALSE),0)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MIN($FP29,$FN29-IF($EK29=0,0,INDEX($Q$2:$V$8,$DZ29,$EK29)))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MAX(0,3-SUMPRODUCT($FD29:$FI29,$Q$2:$V$2)+MIN(2,$FJ29*1+$FK29*1,SUMPRODUCT($FD29:$FI29,$Q$2:$V$2)-IF($EK29=0,0,INDEX($Q$2:$V$2,1,$EK29))))+$DX29*1</f>
        <v/>
      </c>
      <c r="FW29" s="155">
        <f>MAX(0,6-SUMPRODUCT($FD29:$FI29,$Q$3:$V$3)+MIN(4,$FJ29*1+$FK29*2,SUMPRODUCT($FD29:$FI29,$Q$3:$V$3)-IF($EK29=0,0,INDEX($Q$3:$V$3,1,$EK29))))+$DX29*2</f>
        <v/>
      </c>
      <c r="FX29" s="155">
        <f>MAX(0,9-SUMPRODUCT($FD29:$FI29,$Q$4:$V$4)+MIN(6,$FJ29*2+$FK29*3,SUMPRODUCT($FD29:$FI29,$Q$4:$V$4)-IF($EK29=0,0,INDEX($Q$4:$V$4,1,$EK29))))+$DX29*3</f>
        <v/>
      </c>
      <c r="FY29" s="155">
        <f>MAX(0,12-SUMPRODUCT($FD29:$FI29,$Q$5:$V$5)+MIN(8,$FJ29*2+$FK29*4,SUMPRODUCT($FD29:$FI29,$Q$5:$V$5)-IF($EK29=0,0,INDEX($Q$5:$V$5,1,$EK29))))+$DX29*4</f>
        <v/>
      </c>
      <c r="FZ29" s="155">
        <f>MAX(0,15-SUMPRODUCT($FD29:$FI29,$Q$6:$V$6)+MIN(10,$FJ29*3+$FK29*5,SUMPRODUCT($FD29:$FI29,$Q$6:$V$6)-IF($EK29=0,0,INDEX($Q$6:$V$6,1,$EK29))))+$DX29*5</f>
        <v/>
      </c>
      <c r="GA29" s="155">
        <f>MAX(0,18-SUMPRODUCT($FD29:$FI29,$Q$7:$V$7)+MIN(12,$FJ29*3+$FK29*6,SUMPRODUCT($FD29:$FI29,$Q$7:$V$7)-IF($EK29=0,0,INDEX($Q$7:$V$7,1,$EK29))))+$DX29*6</f>
        <v/>
      </c>
      <c r="GB29" s="155">
        <f>MAX(0,21-SUMPRODUCT($FD29:$FI29,$Q$8:$V$8)+MIN(14,$FJ29*4+$FK29*7,SUMPRODUCT($FD29:$FI29,$Q$8:$V$8)-IF($EK29=0,0,INDEX($Q$8:$V$8,1,$EK29))))+$DX29*7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Melhoria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Calado</t>
        </is>
      </c>
      <c r="BD30" s="153" t="inlineStr">
        <is>
          <t>Controle</t>
        </is>
      </c>
      <c r="BE30" s="155" t="n">
        <v>2</v>
      </c>
      <c r="BF30" s="155">
        <f>$BE30+3*IFERROR(VLOOKUP($BD30,$I$2:$L$10,3,FALSE),0)</f>
        <v/>
      </c>
      <c r="BG30" s="155">
        <f>IFERROR(VLOOKUP($BD30,$I$2:$L$10,4,FALSE),0)</f>
        <v/>
      </c>
      <c r="BH30" s="155" t="n">
        <v>1</v>
      </c>
      <c r="BI30" s="155">
        <f>IF($BG30=1,"",$BC30)</f>
        <v/>
      </c>
      <c r="BJ30" s="155">
        <f>IF(AND($BE30=1,$BG30=0),$BC30,"")</f>
        <v/>
      </c>
      <c r="BK30" s="155" t="n">
        <v>1</v>
      </c>
      <c r="CD30" s="153" t="inlineStr">
        <is>
          <t>Represália</t>
        </is>
      </c>
      <c r="CE30" s="153" t="inlineStr">
        <is>
          <t>Lapidação 4 e Força 4 ou Destreza 4</t>
        </is>
      </c>
      <c r="CF30" s="155" t="n">
        <v>2</v>
      </c>
      <c r="CG30" s="153" t="inlineStr">
        <is>
          <t>—</t>
        </is>
      </c>
      <c r="CH30" s="153"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5">
        <f>IF($CL30=1,"",IF($A$2=4,IF($CJ30=1,$CD30,""),IF(OR($CJ30=1,AND($A$2=3,$CK30=1)),"",$CD30)))</f>
        <v/>
      </c>
      <c r="CJ30" s="155" t="n">
        <v>1</v>
      </c>
      <c r="CK30" s="155" t="n">
        <v>0</v>
      </c>
      <c r="CL30" s="155" t="n">
        <v>0</v>
      </c>
      <c r="CM30" s="153"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IFERROR(VLOOKUP($EC30,$BC$2:$BK$83,4,FALSE),0)</f>
        <v/>
      </c>
      <c r="EM30" s="155">
        <f>IFERROR(VLOOKUP($ED30,$BC$2:$BK$83,4,FALSE),0)</f>
        <v/>
      </c>
      <c r="EN30" s="155">
        <f>IFERROR(VLOOKUP($EE30,$BC$2:$BK$83,4,FALSE),0)</f>
        <v/>
      </c>
      <c r="EO30" s="155">
        <f>IFERROR(VLOOKUP($EF30,$BC$2:$BK$83,4,FALSE),0)</f>
        <v/>
      </c>
      <c r="EP30" s="155">
        <f>IF($EJ30=0,0,INDEX($AC$2:$AC$11,$EJ30))</f>
        <v/>
      </c>
      <c r="EQ30" s="155">
        <f>IFERROR(VLOOKUP($EC30,$BC$2:$BK$83,5,FALSE),0)</f>
        <v/>
      </c>
      <c r="ER30" s="155">
        <f>IFERROR(VLOOKUP($ED30,$BC$2:$BK$83,5,FALSE),0)</f>
        <v/>
      </c>
      <c r="ES30" s="155">
        <f>IFERROR(VLOOKUP($EE30,$BC$2:$BK$83,5,FALSE),0)</f>
        <v/>
      </c>
      <c r="ET30" s="155">
        <f>IFERROR(VLOOKUP($EF30,$BC$2:$BK$83,5,FALSE),0)</f>
        <v/>
      </c>
      <c r="EU30" s="155">
        <f>IFERROR(VLOOKUP($EC30,$BC$2:$BK$83,6,FALSE),0)+IFERROR(VLOOKUP($ED30,$BC$2:$BK$83,6,FALSE),0)+IFERROR(VLOOKUP($EE30,$BC$2:$BK$83,6,FALSE),0)+IFERROR(VLOOKUP($EF30,$BC$2:$BK$83,6,FALSE),0)</f>
        <v/>
      </c>
      <c r="EV30" s="155">
        <f>IFERROR(VLOOKUP($EC30,$BC$2:$BK$83,9,FALSE),0)+IFERROR(VLOOKUP($ED30,$BC$2:$BK$83,9,FALSE),0)+IFERROR(VLOOKUP($EE30,$BC$2:$BK$83,9,FALSE),0)+IFERROR(VLOOKUP($EF30,$BC$2:$BK$83,9,FALSE),0)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MIN($FP30,$FN30-IF($EK30=0,0,INDEX($Q$2:$V$8,$DZ30,$EK30)))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MAX(0,3-SUMPRODUCT($FD30:$FI30,$Q$2:$V$2)+MIN(2,$FJ30*1+$FK30*1,SUMPRODUCT($FD30:$FI30,$Q$2:$V$2)-IF($EK30=0,0,INDEX($Q$2:$V$2,1,$EK30))))+$DX30*1</f>
        <v/>
      </c>
      <c r="FW30" s="155">
        <f>MAX(0,6-SUMPRODUCT($FD30:$FI30,$Q$3:$V$3)+MIN(4,$FJ30*1+$FK30*2,SUMPRODUCT($FD30:$FI30,$Q$3:$V$3)-IF($EK30=0,0,INDEX($Q$3:$V$3,1,$EK30))))+$DX30*2</f>
        <v/>
      </c>
      <c r="FX30" s="155">
        <f>MAX(0,9-SUMPRODUCT($FD30:$FI30,$Q$4:$V$4)+MIN(6,$FJ30*2+$FK30*3,SUMPRODUCT($FD30:$FI30,$Q$4:$V$4)-IF($EK30=0,0,INDEX($Q$4:$V$4,1,$EK30))))+$DX30*3</f>
        <v/>
      </c>
      <c r="FY30" s="155">
        <f>MAX(0,12-SUMPRODUCT($FD30:$FI30,$Q$5:$V$5)+MIN(8,$FJ30*2+$FK30*4,SUMPRODUCT($FD30:$FI30,$Q$5:$V$5)-IF($EK30=0,0,INDEX($Q$5:$V$5,1,$EK30))))+$DX30*4</f>
        <v/>
      </c>
      <c r="FZ30" s="155">
        <f>MAX(0,15-SUMPRODUCT($FD30:$FI30,$Q$6:$V$6)+MIN(10,$FJ30*3+$FK30*5,SUMPRODUCT($FD30:$FI30,$Q$6:$V$6)-IF($EK30=0,0,INDEX($Q$6:$V$6,1,$EK30))))+$DX30*5</f>
        <v/>
      </c>
      <c r="GA30" s="155">
        <f>MAX(0,18-SUMPRODUCT($FD30:$FI30,$Q$7:$V$7)+MIN(12,$FJ30*3+$FK30*6,SUMPRODUCT($FD30:$FI30,$Q$7:$V$7)-IF($EK30=0,0,INDEX($Q$7:$V$7,1,$EK30))))+$DX30*6</f>
        <v/>
      </c>
      <c r="GB30" s="155">
        <f>MAX(0,21-SUMPRODUCT($FD30:$FI30,$Q$8:$V$8)+MIN(14,$FJ30*4+$FK30*7,SUMPRODUCT($FD30:$FI30,$Q$8:$V$8)-IF($EK30=0,0,INDEX($Q$8:$V$8,1,$EK30))))+$DX30*7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Melhoria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Enfeitiçado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Sangue Frio</t>
        </is>
      </c>
      <c r="CE31" s="153" t="inlineStr">
        <is>
          <t>Lapidação 7 e Constituição 4</t>
        </is>
      </c>
      <c r="CF31" s="155" t="n">
        <v>3</v>
      </c>
      <c r="CG31" s="153" t="inlineStr">
        <is>
          <t>—</t>
        </is>
      </c>
      <c r="CH31" s="153"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5">
        <f>IF($CL31=1,"",IF($A$2=4,IF($CJ31=1,$CD31,""),IF(OR($CJ31=1,AND($A$2=3,$CK31=1)),"",$CD31)))</f>
        <v/>
      </c>
      <c r="CJ31" s="155" t="n">
        <v>1</v>
      </c>
      <c r="CK31" s="155" t="n">
        <v>0</v>
      </c>
      <c r="CL31" s="155" t="n">
        <v>0</v>
      </c>
      <c r="CM31" s="153" t="inlineStr">
        <is>
          <t>Você tem vantagem nos TRs contra feitiços e contra aptidões que custem ação ou Reação produzidos por uma criatura a até 3 m de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IFERROR(VLOOKUP($EC31,$BC$2:$BK$83,4,FALSE),0)</f>
        <v/>
      </c>
      <c r="EM31" s="155">
        <f>IFERROR(VLOOKUP($ED31,$BC$2:$BK$83,4,FALSE),0)</f>
        <v/>
      </c>
      <c r="EN31" s="155">
        <f>IFERROR(VLOOKUP($EE31,$BC$2:$BK$83,4,FALSE),0)</f>
        <v/>
      </c>
      <c r="EO31" s="155">
        <f>IFERROR(VLOOKUP($EF31,$BC$2:$BK$83,4,FALSE),0)</f>
        <v/>
      </c>
      <c r="EP31" s="155">
        <f>IF($EJ31=0,0,INDEX($AC$2:$AC$11,$EJ31))</f>
        <v/>
      </c>
      <c r="EQ31" s="155">
        <f>IFERROR(VLOOKUP($EC31,$BC$2:$BK$83,5,FALSE),0)</f>
        <v/>
      </c>
      <c r="ER31" s="155">
        <f>IFERROR(VLOOKUP($ED31,$BC$2:$BK$83,5,FALSE),0)</f>
        <v/>
      </c>
      <c r="ES31" s="155">
        <f>IFERROR(VLOOKUP($EE31,$BC$2:$BK$83,5,FALSE),0)</f>
        <v/>
      </c>
      <c r="ET31" s="155">
        <f>IFERROR(VLOOKUP($EF31,$BC$2:$BK$83,5,FALSE),0)</f>
        <v/>
      </c>
      <c r="EU31" s="155">
        <f>IFERROR(VLOOKUP($EC31,$BC$2:$BK$83,6,FALSE),0)+IFERROR(VLOOKUP($ED31,$BC$2:$BK$83,6,FALSE),0)+IFERROR(VLOOKUP($EE31,$BC$2:$BK$83,6,FALSE),0)+IFERROR(VLOOKUP($EF31,$BC$2:$BK$83,6,FALSE),0)</f>
        <v/>
      </c>
      <c r="EV31" s="155">
        <f>IFERROR(VLOOKUP($EC31,$BC$2:$BK$83,9,FALSE),0)+IFERROR(VLOOKUP($ED31,$BC$2:$BK$83,9,FALSE),0)+IFERROR(VLOOKUP($EE31,$BC$2:$BK$83,9,FALSE),0)+IFERROR(VLOOKUP($EF31,$BC$2:$BK$83,9,FALSE),0)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MIN($FP31,$FN31-IF($EK31=0,0,INDEX($Q$2:$V$8,$DZ31,$EK31)))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MAX(0,3-SUMPRODUCT($FD31:$FI31,$Q$2:$V$2)+MIN(2,$FJ31*1+$FK31*1,SUMPRODUCT($FD31:$FI31,$Q$2:$V$2)-IF($EK31=0,0,INDEX($Q$2:$V$2,1,$EK31))))+$DX31*1</f>
        <v/>
      </c>
      <c r="FW31" s="155">
        <f>MAX(0,6-SUMPRODUCT($FD31:$FI31,$Q$3:$V$3)+MIN(4,$FJ31*1+$FK31*2,SUMPRODUCT($FD31:$FI31,$Q$3:$V$3)-IF($EK31=0,0,INDEX($Q$3:$V$3,1,$EK31))))+$DX31*2</f>
        <v/>
      </c>
      <c r="FX31" s="155">
        <f>MAX(0,9-SUMPRODUCT($FD31:$FI31,$Q$4:$V$4)+MIN(6,$FJ31*2+$FK31*3,SUMPRODUCT($FD31:$FI31,$Q$4:$V$4)-IF($EK31=0,0,INDEX($Q$4:$V$4,1,$EK31))))+$DX31*3</f>
        <v/>
      </c>
      <c r="FY31" s="155">
        <f>MAX(0,12-SUMPRODUCT($FD31:$FI31,$Q$5:$V$5)+MIN(8,$FJ31*2+$FK31*4,SUMPRODUCT($FD31:$FI31,$Q$5:$V$5)-IF($EK31=0,0,INDEX($Q$5:$V$5,1,$EK31))))+$DX31*4</f>
        <v/>
      </c>
      <c r="FZ31" s="155">
        <f>MAX(0,15-SUMPRODUCT($FD31:$FI31,$Q$6:$V$6)+MIN(10,$FJ31*3+$FK31*5,SUMPRODUCT($FD31:$FI31,$Q$6:$V$6)-IF($EK31=0,0,INDEX($Q$6:$V$6,1,$EK31))))+$DX31*5</f>
        <v/>
      </c>
      <c r="GA31" s="155">
        <f>MAX(0,18-SUMPRODUCT($FD31:$FI31,$Q$7:$V$7)+MIN(12,$FJ31*3+$FK31*6,SUMPRODUCT($FD31:$FI31,$Q$7:$V$7)-IF($EK31=0,0,INDEX($Q$7:$V$7,1,$EK31))))+$DX31*6</f>
        <v/>
      </c>
      <c r="GB31" s="155">
        <f>MAX(0,21-SUMPRODUCT($FD31:$FI31,$Q$8:$V$8)+MIN(14,$FJ31*4+$FK31*7,SUMPRODUCT($FD31:$FI31,$Q$8:$V$8)-IF($EK31=0,0,INDEX($Q$8:$V$8,1,$EK31))))+$DX31*7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Melhoria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Impedido</t>
        </is>
      </c>
      <c r="BD32" s="153" t="inlineStr">
        <is>
          <t>Controle</t>
        </is>
      </c>
      <c r="BE32" s="155" t="n">
        <v>3</v>
      </c>
      <c r="BF32" s="155">
        <f>$BE32+3*IFERROR(VLOOKUP($BD32,$I$2:$L$10,3,FALSE),0)</f>
        <v/>
      </c>
      <c r="BG32" s="155">
        <f>IFERROR(VLOOKUP($BD32,$I$2:$L$10,4,FALSE),0)</f>
        <v/>
      </c>
      <c r="BH32" s="155" t="n">
        <v>1</v>
      </c>
      <c r="BI32" s="155">
        <f>IF($BG32=1,"",$BC32)</f>
        <v/>
      </c>
      <c r="BJ32" s="155">
        <f>IF(AND($BE32=1,$BG32=0),$BC32,"")</f>
        <v/>
      </c>
      <c r="BK32" s="155" t="n">
        <v>1</v>
      </c>
      <c r="CD32" s="153" t="inlineStr">
        <is>
          <t>Campo</t>
        </is>
      </c>
      <c r="CE32" s="153" t="inlineStr">
        <is>
          <t>Lapidação 1</t>
        </is>
      </c>
      <c r="CF32" s="155" t="n">
        <v>1</v>
      </c>
      <c r="CG32" s="153" t="inlineStr">
        <is>
          <t>—</t>
        </is>
      </c>
      <c r="CH32" s="153" t="inlineStr">
        <is>
          <t>Uma vez por cena, você pode realizar Estudar como Ação Bônus, em vez de Ação Padrão. Use a ação descrita em Ações — Estudar, com seus alvos, testes e informações disponíveis.</t>
        </is>
      </c>
      <c r="CI32" s="155">
        <f>IF($CL32=1,"",IF($A$2=4,IF($CJ32=1,$CD32,""),IF(OR($CJ32=1,AND($A$2=3,$CK32=1)),"",$CD32)))</f>
        <v/>
      </c>
      <c r="CJ32" s="155" t="n">
        <v>1</v>
      </c>
      <c r="CK32" s="155" t="n">
        <v>0</v>
      </c>
      <c r="CL32" s="155" t="n">
        <v>0</v>
      </c>
      <c r="CM32" s="153" t="inlineStr">
        <is>
          <t>Uma vez por cena, você pode realizar Estudar como Ação Bônus, em vez de Ação Padrão. Use a ação descrita em Ações — Estudar, com seus alvos, testes e informações disponíveis.</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IFERROR(VLOOKUP($EC32,$BC$2:$BK$83,4,FALSE),0)</f>
        <v/>
      </c>
      <c r="EM32" s="155">
        <f>IFERROR(VLOOKUP($ED32,$BC$2:$BK$83,4,FALSE),0)</f>
        <v/>
      </c>
      <c r="EN32" s="155">
        <f>IFERROR(VLOOKUP($EE32,$BC$2:$BK$83,4,FALSE),0)</f>
        <v/>
      </c>
      <c r="EO32" s="155">
        <f>IFERROR(VLOOKUP($EF32,$BC$2:$BK$83,4,FALSE),0)</f>
        <v/>
      </c>
      <c r="EP32" s="155">
        <f>IF($EJ32=0,0,INDEX($AC$2:$AC$11,$EJ32))</f>
        <v/>
      </c>
      <c r="EQ32" s="155">
        <f>IFERROR(VLOOKUP($EC32,$BC$2:$BK$83,5,FALSE),0)</f>
        <v/>
      </c>
      <c r="ER32" s="155">
        <f>IFERROR(VLOOKUP($ED32,$BC$2:$BK$83,5,FALSE),0)</f>
        <v/>
      </c>
      <c r="ES32" s="155">
        <f>IFERROR(VLOOKUP($EE32,$BC$2:$BK$83,5,FALSE),0)</f>
        <v/>
      </c>
      <c r="ET32" s="155">
        <f>IFERROR(VLOOKUP($EF32,$BC$2:$BK$83,5,FALSE),0)</f>
        <v/>
      </c>
      <c r="EU32" s="155">
        <f>IFERROR(VLOOKUP($EC32,$BC$2:$BK$83,6,FALSE),0)+IFERROR(VLOOKUP($ED32,$BC$2:$BK$83,6,FALSE),0)+IFERROR(VLOOKUP($EE32,$BC$2:$BK$83,6,FALSE),0)+IFERROR(VLOOKUP($EF32,$BC$2:$BK$83,6,FALSE),0)</f>
        <v/>
      </c>
      <c r="EV32" s="155">
        <f>IFERROR(VLOOKUP($EC32,$BC$2:$BK$83,9,FALSE),0)+IFERROR(VLOOKUP($ED32,$BC$2:$BK$83,9,FALSE),0)+IFERROR(VLOOKUP($EE32,$BC$2:$BK$83,9,FALSE),0)+IFERROR(VLOOKUP($EF32,$BC$2:$BK$83,9,FALSE),0)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MIN($FP32,$FN32-IF($EK32=0,0,INDEX($Q$2:$V$8,$DZ32,$EK32)))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MAX(0,3-SUMPRODUCT($FD32:$FI32,$Q$2:$V$2)+MIN(2,$FJ32*1+$FK32*1,SUMPRODUCT($FD32:$FI32,$Q$2:$V$2)-IF($EK32=0,0,INDEX($Q$2:$V$2,1,$EK32))))+$DX32*1</f>
        <v/>
      </c>
      <c r="FW32" s="155">
        <f>MAX(0,6-SUMPRODUCT($FD32:$FI32,$Q$3:$V$3)+MIN(4,$FJ32*1+$FK32*2,SUMPRODUCT($FD32:$FI32,$Q$3:$V$3)-IF($EK32=0,0,INDEX($Q$3:$V$3,1,$EK32))))+$DX32*2</f>
        <v/>
      </c>
      <c r="FX32" s="155">
        <f>MAX(0,9-SUMPRODUCT($FD32:$FI32,$Q$4:$V$4)+MIN(6,$FJ32*2+$FK32*3,SUMPRODUCT($FD32:$FI32,$Q$4:$V$4)-IF($EK32=0,0,INDEX($Q$4:$V$4,1,$EK32))))+$DX32*3</f>
        <v/>
      </c>
      <c r="FY32" s="155">
        <f>MAX(0,12-SUMPRODUCT($FD32:$FI32,$Q$5:$V$5)+MIN(8,$FJ32*2+$FK32*4,SUMPRODUCT($FD32:$FI32,$Q$5:$V$5)-IF($EK32=0,0,INDEX($Q$5:$V$5,1,$EK32))))+$DX32*4</f>
        <v/>
      </c>
      <c r="FZ32" s="155">
        <f>MAX(0,15-SUMPRODUCT($FD32:$FI32,$Q$6:$V$6)+MIN(10,$FJ32*3+$FK32*5,SUMPRODUCT($FD32:$FI32,$Q$6:$V$6)-IF($EK32=0,0,INDEX($Q$6:$V$6,1,$EK32))))+$DX32*5</f>
        <v/>
      </c>
      <c r="GA32" s="155">
        <f>MAX(0,18-SUMPRODUCT($FD32:$FI32,$Q$7:$V$7)+MIN(12,$FJ32*3+$FK32*6,SUMPRODUCT($FD32:$FI32,$Q$7:$V$7)-IF($EK32=0,0,INDEX($Q$7:$V$7,1,$EK32))))+$DX32*6</f>
        <v/>
      </c>
      <c r="GB32" s="155">
        <f>MAX(0,21-SUMPRODUCT($FD32:$FI32,$Q$8:$V$8)+MIN(14,$FJ32*4+$FK32*7,SUMPRODUCT($FD32:$FI32,$Q$8:$V$8)-IF($EK32=0,0,INDEX($Q$8:$V$8,1,$EK32))))+$DX32*7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Melhoria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Cego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Assombro</t>
        </is>
      </c>
      <c r="CE33" s="153" t="inlineStr">
        <is>
          <t>Lapidação 1 e Essência 4</t>
        </is>
      </c>
      <c r="CF33" s="155" t="n">
        <v>1</v>
      </c>
      <c r="CG33" s="153" t="inlineStr">
        <is>
          <t>—</t>
        </is>
      </c>
      <c r="CH33"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5">
        <f>IF($CL33=1,"",IF($A$2=4,IF($CJ33=1,$CD33,""),IF(OR($CJ33=1,AND($A$2=3,$CK33=1)),"",$CD33)))</f>
        <v/>
      </c>
      <c r="CJ33" s="155" t="n">
        <v>1</v>
      </c>
      <c r="CK33" s="155" t="n">
        <v>0</v>
      </c>
      <c r="CL33" s="155" t="n">
        <v>0</v>
      </c>
      <c r="CM33" s="153" t="inlineStr">
        <is>
          <t>Uma vez por cena, ao entrar nela ou ser visto pela primeira vez, escolha até metade de sua Lapidação, arredondada para baixo, mínimo 1, entre as criaturas presentes que enxerguem você.</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IFERROR(VLOOKUP($EC33,$BC$2:$BK$83,4,FALSE),0)</f>
        <v/>
      </c>
      <c r="EM33" s="155">
        <f>IFERROR(VLOOKUP($ED33,$BC$2:$BK$83,4,FALSE),0)</f>
        <v/>
      </c>
      <c r="EN33" s="155">
        <f>IFERROR(VLOOKUP($EE33,$BC$2:$BK$83,4,FALSE),0)</f>
        <v/>
      </c>
      <c r="EO33" s="155">
        <f>IFERROR(VLOOKUP($EF33,$BC$2:$BK$83,4,FALSE),0)</f>
        <v/>
      </c>
      <c r="EP33" s="155">
        <f>IF($EJ33=0,0,INDEX($AC$2:$AC$11,$EJ33))</f>
        <v/>
      </c>
      <c r="EQ33" s="155">
        <f>IFERROR(VLOOKUP($EC33,$BC$2:$BK$83,5,FALSE),0)</f>
        <v/>
      </c>
      <c r="ER33" s="155">
        <f>IFERROR(VLOOKUP($ED33,$BC$2:$BK$83,5,FALSE),0)</f>
        <v/>
      </c>
      <c r="ES33" s="155">
        <f>IFERROR(VLOOKUP($EE33,$BC$2:$BK$83,5,FALSE),0)</f>
        <v/>
      </c>
      <c r="ET33" s="155">
        <f>IFERROR(VLOOKUP($EF33,$BC$2:$BK$83,5,FALSE),0)</f>
        <v/>
      </c>
      <c r="EU33" s="155">
        <f>IFERROR(VLOOKUP($EC33,$BC$2:$BK$83,6,FALSE),0)+IFERROR(VLOOKUP($ED33,$BC$2:$BK$83,6,FALSE),0)+IFERROR(VLOOKUP($EE33,$BC$2:$BK$83,6,FALSE),0)+IFERROR(VLOOKUP($EF33,$BC$2:$BK$83,6,FALSE),0)</f>
        <v/>
      </c>
      <c r="EV33" s="155">
        <f>IFERROR(VLOOKUP($EC33,$BC$2:$BK$83,9,FALSE),0)+IFERROR(VLOOKUP($ED33,$BC$2:$BK$83,9,FALSE),0)+IFERROR(VLOOKUP($EE33,$BC$2:$BK$83,9,FALSE),0)+IFERROR(VLOOKUP($EF33,$BC$2:$BK$83,9,FALSE),0)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MIN($FP33,$FN33-IF($EK33=0,0,INDEX($Q$2:$V$8,$DZ33,$EK33)))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MAX(0,3-SUMPRODUCT($FD33:$FI33,$Q$2:$V$2)+MIN(2,$FJ33*1+$FK33*1,SUMPRODUCT($FD33:$FI33,$Q$2:$V$2)-IF($EK33=0,0,INDEX($Q$2:$V$2,1,$EK33))))+$DX33*1</f>
        <v/>
      </c>
      <c r="FW33" s="155">
        <f>MAX(0,6-SUMPRODUCT($FD33:$FI33,$Q$3:$V$3)+MIN(4,$FJ33*1+$FK33*2,SUMPRODUCT($FD33:$FI33,$Q$3:$V$3)-IF($EK33=0,0,INDEX($Q$3:$V$3,1,$EK33))))+$DX33*2</f>
        <v/>
      </c>
      <c r="FX33" s="155">
        <f>MAX(0,9-SUMPRODUCT($FD33:$FI33,$Q$4:$V$4)+MIN(6,$FJ33*2+$FK33*3,SUMPRODUCT($FD33:$FI33,$Q$4:$V$4)-IF($EK33=0,0,INDEX($Q$4:$V$4,1,$EK33))))+$DX33*3</f>
        <v/>
      </c>
      <c r="FY33" s="155">
        <f>MAX(0,12-SUMPRODUCT($FD33:$FI33,$Q$5:$V$5)+MIN(8,$FJ33*2+$FK33*4,SUMPRODUCT($FD33:$FI33,$Q$5:$V$5)-IF($EK33=0,0,INDEX($Q$5:$V$5,1,$EK33))))+$DX33*4</f>
        <v/>
      </c>
      <c r="FZ33" s="155">
        <f>MAX(0,15-SUMPRODUCT($FD33:$FI33,$Q$6:$V$6)+MIN(10,$FJ33*3+$FK33*5,SUMPRODUCT($FD33:$FI33,$Q$6:$V$6)-IF($EK33=0,0,INDEX($Q$6:$V$6,1,$EK33))))+$DX33*5</f>
        <v/>
      </c>
      <c r="GA33" s="155">
        <f>MAX(0,18-SUMPRODUCT($FD33:$FI33,$Q$7:$V$7)+MIN(12,$FJ33*3+$FK33*6,SUMPRODUCT($FD33:$FI33,$Q$7:$V$7)-IF($EK33=0,0,INDEX($Q$7:$V$7,1,$EK33))))+$DX33*6</f>
        <v/>
      </c>
      <c r="GB33" s="155">
        <f>MAX(0,21-SUMPRODUCT($FD33:$FI33,$Q$8:$V$8)+MIN(14,$FJ33*4+$FK33*7,SUMPRODUCT($FD33:$FI33,$Q$8:$V$8)-IF($EK33=0,0,INDEX($Q$8:$V$8,1,$EK33))))+$DX33*7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Melhoria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Amedrontado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CD34" s="153" t="inlineStr">
        <is>
          <t>Bênção Própria (CE 1)</t>
        </is>
      </c>
      <c r="CE34" s="153" t="inlineStr">
        <is>
          <t>Uma por personagem</t>
        </is>
      </c>
      <c r="CF34" s="155" t="n">
        <v>1</v>
      </c>
      <c r="CG34" s="153" t="inlineStr">
        <is>
          <t>—</t>
        </is>
      </c>
      <c r="CH34"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5">
        <f>IF($CL34=1,"",IF($A$2=4,IF($CJ34=1,$CD34,""),IF(OR($CJ34=1,AND($A$2=3,$CK34=1)),"",$CD34)))</f>
        <v/>
      </c>
      <c r="CJ34" s="155" t="n">
        <v>1</v>
      </c>
      <c r="CK34" s="155" t="n">
        <v>0</v>
      </c>
      <c r="CL34" s="155" t="n">
        <v>0</v>
      </c>
      <c r="CM34" s="153" t="inlineStr">
        <is>
          <t>Você pode desenvolver uma Bênção Própria por personagem, de Categoria de Efeito 1 ou 2.</t>
        </is>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IFERROR(VLOOKUP($EC34,$BC$2:$BK$83,4,FALSE),0)</f>
        <v/>
      </c>
      <c r="EM34" s="155">
        <f>IFERROR(VLOOKUP($ED34,$BC$2:$BK$83,4,FALSE),0)</f>
        <v/>
      </c>
      <c r="EN34" s="155">
        <f>IFERROR(VLOOKUP($EE34,$BC$2:$BK$83,4,FALSE),0)</f>
        <v/>
      </c>
      <c r="EO34" s="155">
        <f>IFERROR(VLOOKUP($EF34,$BC$2:$BK$83,4,FALSE),0)</f>
        <v/>
      </c>
      <c r="EP34" s="155">
        <f>IF($EJ34=0,0,INDEX($AC$2:$AC$11,$EJ34))</f>
        <v/>
      </c>
      <c r="EQ34" s="155">
        <f>IFERROR(VLOOKUP($EC34,$BC$2:$BK$83,5,FALSE),0)</f>
        <v/>
      </c>
      <c r="ER34" s="155">
        <f>IFERROR(VLOOKUP($ED34,$BC$2:$BK$83,5,FALSE),0)</f>
        <v/>
      </c>
      <c r="ES34" s="155">
        <f>IFERROR(VLOOKUP($EE34,$BC$2:$BK$83,5,FALSE),0)</f>
        <v/>
      </c>
      <c r="ET34" s="155">
        <f>IFERROR(VLOOKUP($EF34,$BC$2:$BK$83,5,FALSE),0)</f>
        <v/>
      </c>
      <c r="EU34" s="155">
        <f>IFERROR(VLOOKUP($EC34,$BC$2:$BK$83,6,FALSE),0)+IFERROR(VLOOKUP($ED34,$BC$2:$BK$83,6,FALSE),0)+IFERROR(VLOOKUP($EE34,$BC$2:$BK$83,6,FALSE),0)+IFERROR(VLOOKUP($EF34,$BC$2:$BK$83,6,FALSE),0)</f>
        <v/>
      </c>
      <c r="EV34" s="155">
        <f>IFERROR(VLOOKUP($EC34,$BC$2:$BK$83,9,FALSE),0)+IFERROR(VLOOKUP($ED34,$BC$2:$BK$83,9,FALSE),0)+IFERROR(VLOOKUP($EE34,$BC$2:$BK$83,9,FALSE),0)+IFERROR(VLOOKUP($EF34,$BC$2:$BK$83,9,FALSE),0)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MIN($FP34,$FN34-IF($EK34=0,0,INDEX($Q$2:$V$8,$DZ34,$EK34)))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MAX(0,3-SUMPRODUCT($FD34:$FI34,$Q$2:$V$2)+MIN(2,$FJ34*1+$FK34*1,SUMPRODUCT($FD34:$FI34,$Q$2:$V$2)-IF($EK34=0,0,INDEX($Q$2:$V$2,1,$EK34))))+$DX34*1</f>
        <v/>
      </c>
      <c r="FW34" s="155">
        <f>MAX(0,6-SUMPRODUCT($FD34:$FI34,$Q$3:$V$3)+MIN(4,$FJ34*1+$FK34*2,SUMPRODUCT($FD34:$FI34,$Q$3:$V$3)-IF($EK34=0,0,INDEX($Q$3:$V$3,1,$EK34))))+$DX34*2</f>
        <v/>
      </c>
      <c r="FX34" s="155">
        <f>MAX(0,9-SUMPRODUCT($FD34:$FI34,$Q$4:$V$4)+MIN(6,$FJ34*2+$FK34*3,SUMPRODUCT($FD34:$FI34,$Q$4:$V$4)-IF($EK34=0,0,INDEX($Q$4:$V$4,1,$EK34))))+$DX34*3</f>
        <v/>
      </c>
      <c r="FY34" s="155">
        <f>MAX(0,12-SUMPRODUCT($FD34:$FI34,$Q$5:$V$5)+MIN(8,$FJ34*2+$FK34*4,SUMPRODUCT($FD34:$FI34,$Q$5:$V$5)-IF($EK34=0,0,INDEX($Q$5:$V$5,1,$EK34))))+$DX34*4</f>
        <v/>
      </c>
      <c r="FZ34" s="155">
        <f>MAX(0,15-SUMPRODUCT($FD34:$FI34,$Q$6:$V$6)+MIN(10,$FJ34*3+$FK34*5,SUMPRODUCT($FD34:$FI34,$Q$6:$V$6)-IF($EK34=0,0,INDEX($Q$6:$V$6,1,$EK34))))+$DX34*5</f>
        <v/>
      </c>
      <c r="GA34" s="155">
        <f>MAX(0,18-SUMPRODUCT($FD34:$FI34,$Q$7:$V$7)+MIN(12,$FJ34*3+$FK34*6,SUMPRODUCT($FD34:$FI34,$Q$7:$V$7)-IF($EK34=0,0,INDEX($Q$7:$V$7,1,$EK34))))+$DX34*6</f>
        <v/>
      </c>
      <c r="GB34" s="155">
        <f>MAX(0,21-SUMPRODUCT($FD34:$FI34,$Q$8:$V$8)+MIN(14,$FJ34*4+$FK34*7,SUMPRODUCT($FD34:$FI34,$Q$8:$V$8)-IF($EK34=0,0,INDEX($Q$8:$V$8,1,$EK34))))+$DX34*7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Melhoria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Envenenado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CD35" s="153" t="inlineStr">
        <is>
          <t>Bênção Própria (CE 2)</t>
        </is>
      </c>
      <c r="CE35" s="153" t="inlineStr">
        <is>
          <t>Uma por personagem</t>
        </is>
      </c>
      <c r="CF35" s="155" t="n">
        <v>2</v>
      </c>
      <c r="CG35" s="153" t="inlineStr">
        <is>
          <t>—</t>
        </is>
      </c>
      <c r="CH35"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5">
        <f>IF($CL35=1,"",IF($A$2=4,IF($CJ35=1,$CD35,""),IF(OR($CJ35=1,AND($A$2=3,$CK35=1)),"",$CD35)))</f>
        <v/>
      </c>
      <c r="CJ35" s="155" t="n">
        <v>1</v>
      </c>
      <c r="CK35" s="155" t="n">
        <v>0</v>
      </c>
      <c r="CL35" s="155" t="n">
        <v>0</v>
      </c>
      <c r="CM35" s="153" t="inlineStr">
        <is>
          <t>Você pode desenvolver uma Bênção Própria por personagem, de Categoria de Efeito 1 ou 2.</t>
        </is>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IFERROR(VLOOKUP($EC35,$BC$2:$BK$83,4,FALSE),0)</f>
        <v/>
      </c>
      <c r="EM35" s="155">
        <f>IFERROR(VLOOKUP($ED35,$BC$2:$BK$83,4,FALSE),0)</f>
        <v/>
      </c>
      <c r="EN35" s="155">
        <f>IFERROR(VLOOKUP($EE35,$BC$2:$BK$83,4,FALSE),0)</f>
        <v/>
      </c>
      <c r="EO35" s="155">
        <f>IFERROR(VLOOKUP($EF35,$BC$2:$BK$83,4,FALSE),0)</f>
        <v/>
      </c>
      <c r="EP35" s="155">
        <f>IF($EJ35=0,0,INDEX($AC$2:$AC$11,$EJ35))</f>
        <v/>
      </c>
      <c r="EQ35" s="155">
        <f>IFERROR(VLOOKUP($EC35,$BC$2:$BK$83,5,FALSE),0)</f>
        <v/>
      </c>
      <c r="ER35" s="155">
        <f>IFERROR(VLOOKUP($ED35,$BC$2:$BK$83,5,FALSE),0)</f>
        <v/>
      </c>
      <c r="ES35" s="155">
        <f>IFERROR(VLOOKUP($EE35,$BC$2:$BK$83,5,FALSE),0)</f>
        <v/>
      </c>
      <c r="ET35" s="155">
        <f>IFERROR(VLOOKUP($EF35,$BC$2:$BK$83,5,FALSE),0)</f>
        <v/>
      </c>
      <c r="EU35" s="155">
        <f>IFERROR(VLOOKUP($EC35,$BC$2:$BK$83,6,FALSE),0)+IFERROR(VLOOKUP($ED35,$BC$2:$BK$83,6,FALSE),0)+IFERROR(VLOOKUP($EE35,$BC$2:$BK$83,6,FALSE),0)+IFERROR(VLOOKUP($EF35,$BC$2:$BK$83,6,FALSE),0)</f>
        <v/>
      </c>
      <c r="EV35" s="155">
        <f>IFERROR(VLOOKUP($EC35,$BC$2:$BK$83,9,FALSE),0)+IFERROR(VLOOKUP($ED35,$BC$2:$BK$83,9,FALSE),0)+IFERROR(VLOOKUP($EE35,$BC$2:$BK$83,9,FALSE),0)+IFERROR(VLOOKUP($EF35,$BC$2:$BK$83,9,FALSE),0)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MIN($FP35,$FN35-IF($EK35=0,0,INDEX($Q$2:$V$8,$DZ35,$EK35)))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MAX(0,3-SUMPRODUCT($FD35:$FI35,$Q$2:$V$2)+MIN(2,$FJ35*1+$FK35*1,SUMPRODUCT($FD35:$FI35,$Q$2:$V$2)-IF($EK35=0,0,INDEX($Q$2:$V$2,1,$EK35))))+$DX35*1</f>
        <v/>
      </c>
      <c r="FW35" s="155">
        <f>MAX(0,6-SUMPRODUCT($FD35:$FI35,$Q$3:$V$3)+MIN(4,$FJ35*1+$FK35*2,SUMPRODUCT($FD35:$FI35,$Q$3:$V$3)-IF($EK35=0,0,INDEX($Q$3:$V$3,1,$EK35))))+$DX35*2</f>
        <v/>
      </c>
      <c r="FX35" s="155">
        <f>MAX(0,9-SUMPRODUCT($FD35:$FI35,$Q$4:$V$4)+MIN(6,$FJ35*2+$FK35*3,SUMPRODUCT($FD35:$FI35,$Q$4:$V$4)-IF($EK35=0,0,INDEX($Q$4:$V$4,1,$EK35))))+$DX35*3</f>
        <v/>
      </c>
      <c r="FY35" s="155">
        <f>MAX(0,12-SUMPRODUCT($FD35:$FI35,$Q$5:$V$5)+MIN(8,$FJ35*2+$FK35*4,SUMPRODUCT($FD35:$FI35,$Q$5:$V$5)-IF($EK35=0,0,INDEX($Q$5:$V$5,1,$EK35))))+$DX35*4</f>
        <v/>
      </c>
      <c r="FZ35" s="155">
        <f>MAX(0,15-SUMPRODUCT($FD35:$FI35,$Q$6:$V$6)+MIN(10,$FJ35*3+$FK35*5,SUMPRODUCT($FD35:$FI35,$Q$6:$V$6)-IF($EK35=0,0,INDEX($Q$6:$V$6,1,$EK35))))+$DX35*5</f>
        <v/>
      </c>
      <c r="GA35" s="155">
        <f>MAX(0,18-SUMPRODUCT($FD35:$FI35,$Q$7:$V$7)+MIN(12,$FJ35*3+$FK35*6,SUMPRODUCT($FD35:$FI35,$Q$7:$V$7)-IF($EK35=0,0,INDEX($Q$7:$V$7,1,$EK35))))+$DX35*6</f>
        <v/>
      </c>
      <c r="GB35" s="155">
        <f>MAX(0,21-SUMPRODUCT($FD35:$FI35,$Q$8:$V$8)+MIN(14,$FJ35*4+$FK35*7,SUMPRODUCT($FD35:$FI35,$Q$8:$V$8)-IF($EK35=0,0,INDEX($Q$8:$V$8,1,$EK35))))+$DX35*7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Melhoria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Atordoado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IFERROR(VLOOKUP($EC36,$BC$2:$BK$83,4,FALSE),0)</f>
        <v/>
      </c>
      <c r="EM36" s="155">
        <f>IFERROR(VLOOKUP($ED36,$BC$2:$BK$83,4,FALSE),0)</f>
        <v/>
      </c>
      <c r="EN36" s="155">
        <f>IFERROR(VLOOKUP($EE36,$BC$2:$BK$83,4,FALSE),0)</f>
        <v/>
      </c>
      <c r="EO36" s="155">
        <f>IFERROR(VLOOKUP($EF36,$BC$2:$BK$83,4,FALSE),0)</f>
        <v/>
      </c>
      <c r="EP36" s="155">
        <f>IF($EJ36=0,0,INDEX($AC$2:$AC$11,$EJ36))</f>
        <v/>
      </c>
      <c r="EQ36" s="155">
        <f>IFERROR(VLOOKUP($EC36,$BC$2:$BK$83,5,FALSE),0)</f>
        <v/>
      </c>
      <c r="ER36" s="155">
        <f>IFERROR(VLOOKUP($ED36,$BC$2:$BK$83,5,FALSE),0)</f>
        <v/>
      </c>
      <c r="ES36" s="155">
        <f>IFERROR(VLOOKUP($EE36,$BC$2:$BK$83,5,FALSE),0)</f>
        <v/>
      </c>
      <c r="ET36" s="155">
        <f>IFERROR(VLOOKUP($EF36,$BC$2:$BK$83,5,FALSE),0)</f>
        <v/>
      </c>
      <c r="EU36" s="155">
        <f>IFERROR(VLOOKUP($EC36,$BC$2:$BK$83,6,FALSE),0)+IFERROR(VLOOKUP($ED36,$BC$2:$BK$83,6,FALSE),0)+IFERROR(VLOOKUP($EE36,$BC$2:$BK$83,6,FALSE),0)+IFERROR(VLOOKUP($EF36,$BC$2:$BK$83,6,FALSE),0)</f>
        <v/>
      </c>
      <c r="EV36" s="155">
        <f>IFERROR(VLOOKUP($EC36,$BC$2:$BK$83,9,FALSE),0)+IFERROR(VLOOKUP($ED36,$BC$2:$BK$83,9,FALSE),0)+IFERROR(VLOOKUP($EE36,$BC$2:$BK$83,9,FALSE),0)+IFERROR(VLOOKUP($EF36,$BC$2:$BK$83,9,FALSE),0)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MIN($FP36,$FN36-IF($EK36=0,0,INDEX($Q$2:$V$8,$DZ36,$EK36)))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MAX(0,3-SUMPRODUCT($FD36:$FI36,$Q$2:$V$2)+MIN(2,$FJ36*1+$FK36*1,SUMPRODUCT($FD36:$FI36,$Q$2:$V$2)-IF($EK36=0,0,INDEX($Q$2:$V$2,1,$EK36))))+$DX36*1</f>
        <v/>
      </c>
      <c r="FW36" s="155">
        <f>MAX(0,6-SUMPRODUCT($FD36:$FI36,$Q$3:$V$3)+MIN(4,$FJ36*1+$FK36*2,SUMPRODUCT($FD36:$FI36,$Q$3:$V$3)-IF($EK36=0,0,INDEX($Q$3:$V$3,1,$EK36))))+$DX36*2</f>
        <v/>
      </c>
      <c r="FX36" s="155">
        <f>MAX(0,9-SUMPRODUCT($FD36:$FI36,$Q$4:$V$4)+MIN(6,$FJ36*2+$FK36*3,SUMPRODUCT($FD36:$FI36,$Q$4:$V$4)-IF($EK36=0,0,INDEX($Q$4:$V$4,1,$EK36))))+$DX36*3</f>
        <v/>
      </c>
      <c r="FY36" s="155">
        <f>MAX(0,12-SUMPRODUCT($FD36:$FI36,$Q$5:$V$5)+MIN(8,$FJ36*2+$FK36*4,SUMPRODUCT($FD36:$FI36,$Q$5:$V$5)-IF($EK36=0,0,INDEX($Q$5:$V$5,1,$EK36))))+$DX36*4</f>
        <v/>
      </c>
      <c r="FZ36" s="155">
        <f>MAX(0,15-SUMPRODUCT($FD36:$FI36,$Q$6:$V$6)+MIN(10,$FJ36*3+$FK36*5,SUMPRODUCT($FD36:$FI36,$Q$6:$V$6)-IF($EK36=0,0,INDEX($Q$6:$V$6,1,$EK36))))+$DX36*5</f>
        <v/>
      </c>
      <c r="GA36" s="155">
        <f>MAX(0,18-SUMPRODUCT($FD36:$FI36,$Q$7:$V$7)+MIN(12,$FJ36*3+$FK36*6,SUMPRODUCT($FD36:$FI36,$Q$7:$V$7)-IF($EK36=0,0,INDEX($Q$7:$V$7,1,$EK36))))+$DX36*6</f>
        <v/>
      </c>
      <c r="GB36" s="155">
        <f>MAX(0,21-SUMPRODUCT($FD36:$FI36,$Q$8:$V$8)+MIN(14,$FJ36*4+$FK36*7,SUMPRODUCT($FD36:$FI36,$Q$8:$V$8)-IF($EK36=0,0,INDEX($Q$8:$V$8,1,$EK36))))+$DX36*7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Melhoria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Terreno</t>
        </is>
      </c>
      <c r="BD37" s="153" t="inlineStr">
        <is>
          <t>Controle</t>
        </is>
      </c>
      <c r="BE37" s="155" t="n">
        <v>1</v>
      </c>
      <c r="BF37" s="155">
        <f>$BE37+3*IFERROR(VLOOKUP($BD37,$I$2:$L$10,3,FALSE),0)</f>
        <v/>
      </c>
      <c r="BG37" s="155">
        <f>IFERROR(VLOOKUP($BD37,$I$2:$L$10,4,FALSE),0)</f>
        <v/>
      </c>
      <c r="BH37" s="155" t="n">
        <v>1</v>
      </c>
      <c r="BI37" s="155">
        <f>IF($BG37=1,"",$BC37)</f>
        <v/>
      </c>
      <c r="BJ37" s="155">
        <f>IF(AND($BE37=1,$BG37=0),$BC37,"")</f>
        <v/>
      </c>
      <c r="BK37" s="155" t="n">
        <v>0</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IFERROR(VLOOKUP($EC37,$BC$2:$BK$83,4,FALSE),0)</f>
        <v/>
      </c>
      <c r="EM37" s="155">
        <f>IFERROR(VLOOKUP($ED37,$BC$2:$BK$83,4,FALSE),0)</f>
        <v/>
      </c>
      <c r="EN37" s="155">
        <f>IFERROR(VLOOKUP($EE37,$BC$2:$BK$83,4,FALSE),0)</f>
        <v/>
      </c>
      <c r="EO37" s="155">
        <f>IFERROR(VLOOKUP($EF37,$BC$2:$BK$83,4,FALSE),0)</f>
        <v/>
      </c>
      <c r="EP37" s="155">
        <f>IF($EJ37=0,0,INDEX($AC$2:$AC$11,$EJ37))</f>
        <v/>
      </c>
      <c r="EQ37" s="155">
        <f>IFERROR(VLOOKUP($EC37,$BC$2:$BK$83,5,FALSE),0)</f>
        <v/>
      </c>
      <c r="ER37" s="155">
        <f>IFERROR(VLOOKUP($ED37,$BC$2:$BK$83,5,FALSE),0)</f>
        <v/>
      </c>
      <c r="ES37" s="155">
        <f>IFERROR(VLOOKUP($EE37,$BC$2:$BK$83,5,FALSE),0)</f>
        <v/>
      </c>
      <c r="ET37" s="155">
        <f>IFERROR(VLOOKUP($EF37,$BC$2:$BK$83,5,FALSE),0)</f>
        <v/>
      </c>
      <c r="EU37" s="155">
        <f>IFERROR(VLOOKUP($EC37,$BC$2:$BK$83,6,FALSE),0)+IFERROR(VLOOKUP($ED37,$BC$2:$BK$83,6,FALSE),0)+IFERROR(VLOOKUP($EE37,$BC$2:$BK$83,6,FALSE),0)+IFERROR(VLOOKUP($EF37,$BC$2:$BK$83,6,FALSE),0)</f>
        <v/>
      </c>
      <c r="EV37" s="155">
        <f>IFERROR(VLOOKUP($EC37,$BC$2:$BK$83,9,FALSE),0)+IFERROR(VLOOKUP($ED37,$BC$2:$BK$83,9,FALSE),0)+IFERROR(VLOOKUP($EE37,$BC$2:$BK$83,9,FALSE),0)+IFERROR(VLOOKUP($EF37,$BC$2:$BK$83,9,FALSE),0)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MIN($FP37,$FN37-IF($EK37=0,0,INDEX($Q$2:$V$8,$DZ37,$EK37)))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MAX(0,3-SUMPRODUCT($FD37:$FI37,$Q$2:$V$2)+MIN(2,$FJ37*1+$FK37*1,SUMPRODUCT($FD37:$FI37,$Q$2:$V$2)-IF($EK37=0,0,INDEX($Q$2:$V$2,1,$EK37))))+$DX37*1</f>
        <v/>
      </c>
      <c r="FW37" s="155">
        <f>MAX(0,6-SUMPRODUCT($FD37:$FI37,$Q$3:$V$3)+MIN(4,$FJ37*1+$FK37*2,SUMPRODUCT($FD37:$FI37,$Q$3:$V$3)-IF($EK37=0,0,INDEX($Q$3:$V$3,1,$EK37))))+$DX37*2</f>
        <v/>
      </c>
      <c r="FX37" s="155">
        <f>MAX(0,9-SUMPRODUCT($FD37:$FI37,$Q$4:$V$4)+MIN(6,$FJ37*2+$FK37*3,SUMPRODUCT($FD37:$FI37,$Q$4:$V$4)-IF($EK37=0,0,INDEX($Q$4:$V$4,1,$EK37))))+$DX37*3</f>
        <v/>
      </c>
      <c r="FY37" s="155">
        <f>MAX(0,12-SUMPRODUCT($FD37:$FI37,$Q$5:$V$5)+MIN(8,$FJ37*2+$FK37*4,SUMPRODUCT($FD37:$FI37,$Q$5:$V$5)-IF($EK37=0,0,INDEX($Q$5:$V$5,1,$EK37))))+$DX37*4</f>
        <v/>
      </c>
      <c r="FZ37" s="155">
        <f>MAX(0,15-SUMPRODUCT($FD37:$FI37,$Q$6:$V$6)+MIN(10,$FJ37*3+$FK37*5,SUMPRODUCT($FD37:$FI37,$Q$6:$V$6)-IF($EK37=0,0,INDEX($Q$6:$V$6,1,$EK37))))+$DX37*5</f>
        <v/>
      </c>
      <c r="GA37" s="155">
        <f>MAX(0,18-SUMPRODUCT($FD37:$FI37,$Q$7:$V$7)+MIN(12,$FJ37*3+$FK37*6,SUMPRODUCT($FD37:$FI37,$Q$7:$V$7)-IF($EK37=0,0,INDEX($Q$7:$V$7,1,$EK37))))+$DX37*6</f>
        <v/>
      </c>
      <c r="GB37" s="155">
        <f>MAX(0,21-SUMPRODUCT($FD37:$FI37,$Q$8:$V$8)+MIN(14,$FJ37*4+$FK37*7,SUMPRODUCT($FD37:$FI37,$Q$8:$V$8)-IF($EK37=0,0,INDEX($Q$8:$V$8,1,$EK37))))+$DX37*7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Melhoria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Cerca</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1</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IFERROR(VLOOKUP($EC38,$BC$2:$BK$83,4,FALSE),0)</f>
        <v/>
      </c>
      <c r="EM38" s="155">
        <f>IFERROR(VLOOKUP($ED38,$BC$2:$BK$83,4,FALSE),0)</f>
        <v/>
      </c>
      <c r="EN38" s="155">
        <f>IFERROR(VLOOKUP($EE38,$BC$2:$BK$83,4,FALSE),0)</f>
        <v/>
      </c>
      <c r="EO38" s="155">
        <f>IFERROR(VLOOKUP($EF38,$BC$2:$BK$83,4,FALSE),0)</f>
        <v/>
      </c>
      <c r="EP38" s="155">
        <f>IF($EJ38=0,0,INDEX($AC$2:$AC$11,$EJ38))</f>
        <v/>
      </c>
      <c r="EQ38" s="155">
        <f>IFERROR(VLOOKUP($EC38,$BC$2:$BK$83,5,FALSE),0)</f>
        <v/>
      </c>
      <c r="ER38" s="155">
        <f>IFERROR(VLOOKUP($ED38,$BC$2:$BK$83,5,FALSE),0)</f>
        <v/>
      </c>
      <c r="ES38" s="155">
        <f>IFERROR(VLOOKUP($EE38,$BC$2:$BK$83,5,FALSE),0)</f>
        <v/>
      </c>
      <c r="ET38" s="155">
        <f>IFERROR(VLOOKUP($EF38,$BC$2:$BK$83,5,FALSE),0)</f>
        <v/>
      </c>
      <c r="EU38" s="155">
        <f>IFERROR(VLOOKUP($EC38,$BC$2:$BK$83,6,FALSE),0)+IFERROR(VLOOKUP($ED38,$BC$2:$BK$83,6,FALSE),0)+IFERROR(VLOOKUP($EE38,$BC$2:$BK$83,6,FALSE),0)+IFERROR(VLOOKUP($EF38,$BC$2:$BK$83,6,FALSE),0)</f>
        <v/>
      </c>
      <c r="EV38" s="155">
        <f>IFERROR(VLOOKUP($EC38,$BC$2:$BK$83,9,FALSE),0)+IFERROR(VLOOKUP($ED38,$BC$2:$BK$83,9,FALSE),0)+IFERROR(VLOOKUP($EE38,$BC$2:$BK$83,9,FALSE),0)+IFERROR(VLOOKUP($EF38,$BC$2:$BK$83,9,FALSE),0)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MIN($FP38,$FN38-IF($EK38=0,0,INDEX($Q$2:$V$8,$DZ38,$EK38)))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MAX(0,3-SUMPRODUCT($FD38:$FI38,$Q$2:$V$2)+MIN(2,$FJ38*1+$FK38*1,SUMPRODUCT($FD38:$FI38,$Q$2:$V$2)-IF($EK38=0,0,INDEX($Q$2:$V$2,1,$EK38))))+$DX38*1</f>
        <v/>
      </c>
      <c r="FW38" s="155">
        <f>MAX(0,6-SUMPRODUCT($FD38:$FI38,$Q$3:$V$3)+MIN(4,$FJ38*1+$FK38*2,SUMPRODUCT($FD38:$FI38,$Q$3:$V$3)-IF($EK38=0,0,INDEX($Q$3:$V$3,1,$EK38))))+$DX38*2</f>
        <v/>
      </c>
      <c r="FX38" s="155">
        <f>MAX(0,9-SUMPRODUCT($FD38:$FI38,$Q$4:$V$4)+MIN(6,$FJ38*2+$FK38*3,SUMPRODUCT($FD38:$FI38,$Q$4:$V$4)-IF($EK38=0,0,INDEX($Q$4:$V$4,1,$EK38))))+$DX38*3</f>
        <v/>
      </c>
      <c r="FY38" s="155">
        <f>MAX(0,12-SUMPRODUCT($FD38:$FI38,$Q$5:$V$5)+MIN(8,$FJ38*2+$FK38*4,SUMPRODUCT($FD38:$FI38,$Q$5:$V$5)-IF($EK38=0,0,INDEX($Q$5:$V$5,1,$EK38))))+$DX38*4</f>
        <v/>
      </c>
      <c r="FZ38" s="155">
        <f>MAX(0,15-SUMPRODUCT($FD38:$FI38,$Q$6:$V$6)+MIN(10,$FJ38*3+$FK38*5,SUMPRODUCT($FD38:$FI38,$Q$6:$V$6)-IF($EK38=0,0,INDEX($Q$6:$V$6,1,$EK38))))+$DX38*5</f>
        <v/>
      </c>
      <c r="GA38" s="155">
        <f>MAX(0,18-SUMPRODUCT($FD38:$FI38,$Q$7:$V$7)+MIN(12,$FJ38*3+$FK38*6,SUMPRODUCT($FD38:$FI38,$Q$7:$V$7)-IF($EK38=0,0,INDEX($Q$7:$V$7,1,$EK38))))+$DX38*6</f>
        <v/>
      </c>
      <c r="GB38" s="155">
        <f>MAX(0,21-SUMPRODUCT($FD38:$FI38,$Q$8:$V$8)+MIN(14,$FJ38*4+$FK38*7,SUMPRODUCT($FD38:$FI38,$Q$8:$V$8)-IF($EK38=0,0,INDEX($Q$8:$V$8,1,$EK38))))+$DX38*7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Melhoria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AMALDIÇOADA'!$J$346,$BC$2:$BK$83,4,FALSE),0)=0,0,INDEX($Q$2:$V$8,$HK$4,IFERROR(VLOOKUP('FICHA AMALDIÇOADA'!$J$346,$BC$2:$BK$83,4,FALSE),0)))+IF(IFERROR(VLOOKUP('FICHA AMALDIÇOADA'!$L$346,$BC$2:$BK$83,4,FALSE),0)=0,0,INDEX($Q$2:$V$8,$HK$4,IFERROR(VLOOKUP('FICHA AMALDIÇOADA'!$L$346,$BC$2:$BK$83,4,FALSE),0)))+IF(IFERROR(VLOOKUP('FICHA AMALDIÇOADA'!$P$346,$BC$2:$BK$83,4,FALSE),0)=0,0,INDEX($Q$2:$V$8,$HK$4,IFERROR(VLOOKUP('FICHA AMALDIÇOADA'!$P$346,$BC$2:$BK$83,4,FALSE),0)))+IF(IFERROR(VLOOKUP('FICHA AMALDIÇOADA'!$R$346,$BC$2:$BK$83,4,FALSE),0)=0,0,INDEX($Q$2:$V$8,$HK$4,IFERROR(VLOOKUP('FICHA AMALDIÇOADA'!$R$346,$BC$2:$BK$83,4,FALSE),0)))</f>
        <v/>
      </c>
      <c r="KS38" s="153" t="inlineStr">
        <is>
          <t>L343</t>
        </is>
      </c>
      <c r="KT38" s="155">
        <f>IF(DADOS_AM!$HK$36=0,"Nível 17",DADOS_AM!$HK$36&amp;"d8 = "&amp;FLOOR(DADOS_AM!$HK$36*4.5,1))</f>
        <v/>
      </c>
    </row>
    <row r="39">
      <c r="BC39" s="153" t="inlineStr">
        <is>
          <t>Desarma o Feitiço</t>
        </is>
      </c>
      <c r="BD39" s="153" t="inlineStr">
        <is>
          <t>Controle</t>
        </is>
      </c>
      <c r="BE39" s="155" t="n">
        <v>2</v>
      </c>
      <c r="BF39" s="155">
        <f>$BE39+3*IFERROR(VLOOKUP($BD39,$I$2:$L$10,3,FALSE),0)</f>
        <v/>
      </c>
      <c r="BG39" s="155">
        <f>IFERROR(VLOOKUP($BD39,$I$2:$L$10,4,FALSE),0)</f>
        <v/>
      </c>
      <c r="BH39" s="155" t="n">
        <v>1</v>
      </c>
      <c r="BI39" s="155">
        <f>IF($BG39=1,"",$BC39)</f>
        <v/>
      </c>
      <c r="BJ39" s="155">
        <f>IF(AND($BE39=1,$BG39=0),$BC39,"")</f>
        <v/>
      </c>
      <c r="BK39" s="155" t="n">
        <v>0</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IFERROR(VLOOKUP($EC39,$BC$2:$BK$83,4,FALSE),0)</f>
        <v/>
      </c>
      <c r="EM39" s="155">
        <f>IFERROR(VLOOKUP($ED39,$BC$2:$BK$83,4,FALSE),0)</f>
        <v/>
      </c>
      <c r="EN39" s="155">
        <f>IFERROR(VLOOKUP($EE39,$BC$2:$BK$83,4,FALSE),0)</f>
        <v/>
      </c>
      <c r="EO39" s="155">
        <f>IFERROR(VLOOKUP($EF39,$BC$2:$BK$83,4,FALSE),0)</f>
        <v/>
      </c>
      <c r="EP39" s="155">
        <f>IF($EJ39=0,0,INDEX($AC$2:$AC$11,$EJ39))</f>
        <v/>
      </c>
      <c r="EQ39" s="155">
        <f>IFERROR(VLOOKUP($EC39,$BC$2:$BK$83,5,FALSE),0)</f>
        <v/>
      </c>
      <c r="ER39" s="155">
        <f>IFERROR(VLOOKUP($ED39,$BC$2:$BK$83,5,FALSE),0)</f>
        <v/>
      </c>
      <c r="ES39" s="155">
        <f>IFERROR(VLOOKUP($EE39,$BC$2:$BK$83,5,FALSE),0)</f>
        <v/>
      </c>
      <c r="ET39" s="155">
        <f>IFERROR(VLOOKUP($EF39,$BC$2:$BK$83,5,FALSE),0)</f>
        <v/>
      </c>
      <c r="EU39" s="155">
        <f>IFERROR(VLOOKUP($EC39,$BC$2:$BK$83,6,FALSE),0)+IFERROR(VLOOKUP($ED39,$BC$2:$BK$83,6,FALSE),0)+IFERROR(VLOOKUP($EE39,$BC$2:$BK$83,6,FALSE),0)+IFERROR(VLOOKUP($EF39,$BC$2:$BK$83,6,FALSE),0)</f>
        <v/>
      </c>
      <c r="EV39" s="155">
        <f>IFERROR(VLOOKUP($EC39,$BC$2:$BK$83,9,FALSE),0)+IFERROR(VLOOKUP($ED39,$BC$2:$BK$83,9,FALSE),0)+IFERROR(VLOOKUP($EE39,$BC$2:$BK$83,9,FALSE),0)+IFERROR(VLOOKUP($EF39,$BC$2:$BK$83,9,FALSE),0)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MIN($FP39,$FN39-IF($EK39=0,0,INDEX($Q$2:$V$8,$DZ39,$EK39)))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MAX(0,3-SUMPRODUCT($FD39:$FI39,$Q$2:$V$2)+MIN(2,$FJ39*1+$FK39*1,SUMPRODUCT($FD39:$FI39,$Q$2:$V$2)-IF($EK39=0,0,INDEX($Q$2:$V$2,1,$EK39))))+$DX39*1</f>
        <v/>
      </c>
      <c r="FW39" s="155">
        <f>MAX(0,6-SUMPRODUCT($FD39:$FI39,$Q$3:$V$3)+MIN(4,$FJ39*1+$FK39*2,SUMPRODUCT($FD39:$FI39,$Q$3:$V$3)-IF($EK39=0,0,INDEX($Q$3:$V$3,1,$EK39))))+$DX39*2</f>
        <v/>
      </c>
      <c r="FX39" s="155">
        <f>MAX(0,9-SUMPRODUCT($FD39:$FI39,$Q$4:$V$4)+MIN(6,$FJ39*2+$FK39*3,SUMPRODUCT($FD39:$FI39,$Q$4:$V$4)-IF($EK39=0,0,INDEX($Q$4:$V$4,1,$EK39))))+$DX39*3</f>
        <v/>
      </c>
      <c r="FY39" s="155">
        <f>MAX(0,12-SUMPRODUCT($FD39:$FI39,$Q$5:$V$5)+MIN(8,$FJ39*2+$FK39*4,SUMPRODUCT($FD39:$FI39,$Q$5:$V$5)-IF($EK39=0,0,INDEX($Q$5:$V$5,1,$EK39))))+$DX39*4</f>
        <v/>
      </c>
      <c r="FZ39" s="155">
        <f>MAX(0,15-SUMPRODUCT($FD39:$FI39,$Q$6:$V$6)+MIN(10,$FJ39*3+$FK39*5,SUMPRODUCT($FD39:$FI39,$Q$6:$V$6)-IF($EK39=0,0,INDEX($Q$6:$V$6,1,$EK39))))+$DX39*5</f>
        <v/>
      </c>
      <c r="GA39" s="155">
        <f>MAX(0,18-SUMPRODUCT($FD39:$FI39,$Q$7:$V$7)+MIN(12,$FJ39*3+$FK39*6,SUMPRODUCT($FD39:$FI39,$Q$7:$V$7)-IF($EK39=0,0,INDEX($Q$7:$V$7,1,$EK39))))+$DX39*6</f>
        <v/>
      </c>
      <c r="GB39" s="155">
        <f>MAX(0,21-SUMPRODUCT($FD39:$FI39,$Q$8:$V$8)+MIN(14,$FJ39*4+$FK39*7,SUMPRODUCT($FD39:$FI39,$Q$8:$V$8)-IF($EK39=0,0,INDEX($Q$8:$V$8,1,$EK39))))+$DX39*7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Melhoria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AMALDIÇOADA'!$J$346,$BC$2:$BK$83,5,FALSE),0)+IFERROR(VLOOKUP('FICHA AMALDIÇOADA'!$L$346,$BC$2:$BK$83,5,FALSE),0)+IFERROR(VLOOKUP('FICHA AMALDIÇOADA'!$P$346,$BC$2:$BK$83,5,FALSE),0)+IFERROR(VLOOKUP('FICHA AMALDIÇOADA'!$R$346,$BC$2:$BK$83,5,FALSE),0)</f>
        <v/>
      </c>
      <c r="KS39" s="153" t="inlineStr">
        <is>
          <t>P343</t>
        </is>
      </c>
      <c r="KT39" s="155">
        <f>IF(DADOS_AM!$HK$36=0,"—",5*DADOS_AM!$HK$4)</f>
        <v/>
      </c>
    </row>
    <row r="40">
      <c r="BC40" s="153" t="inlineStr">
        <is>
          <t>Anteparo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IFERROR(VLOOKUP($EC40,$BC$2:$BK$83,4,FALSE),0)</f>
        <v/>
      </c>
      <c r="EM40" s="155">
        <f>IFERROR(VLOOKUP($ED40,$BC$2:$BK$83,4,FALSE),0)</f>
        <v/>
      </c>
      <c r="EN40" s="155">
        <f>IFERROR(VLOOKUP($EE40,$BC$2:$BK$83,4,FALSE),0)</f>
        <v/>
      </c>
      <c r="EO40" s="155">
        <f>IFERROR(VLOOKUP($EF40,$BC$2:$BK$83,4,FALSE),0)</f>
        <v/>
      </c>
      <c r="EP40" s="155">
        <f>IF($EJ40=0,0,INDEX($AC$2:$AC$11,$EJ40))</f>
        <v/>
      </c>
      <c r="EQ40" s="155">
        <f>IFERROR(VLOOKUP($EC40,$BC$2:$BK$83,5,FALSE),0)</f>
        <v/>
      </c>
      <c r="ER40" s="155">
        <f>IFERROR(VLOOKUP($ED40,$BC$2:$BK$83,5,FALSE),0)</f>
        <v/>
      </c>
      <c r="ES40" s="155">
        <f>IFERROR(VLOOKUP($EE40,$BC$2:$BK$83,5,FALSE),0)</f>
        <v/>
      </c>
      <c r="ET40" s="155">
        <f>IFERROR(VLOOKUP($EF40,$BC$2:$BK$83,5,FALSE),0)</f>
        <v/>
      </c>
      <c r="EU40" s="155">
        <f>IFERROR(VLOOKUP($EC40,$BC$2:$BK$83,6,FALSE),0)+IFERROR(VLOOKUP($ED40,$BC$2:$BK$83,6,FALSE),0)+IFERROR(VLOOKUP($EE40,$BC$2:$BK$83,6,FALSE),0)+IFERROR(VLOOKUP($EF40,$BC$2:$BK$83,6,FALSE),0)</f>
        <v/>
      </c>
      <c r="EV40" s="155">
        <f>IFERROR(VLOOKUP($EC40,$BC$2:$BK$83,9,FALSE),0)+IFERROR(VLOOKUP($ED40,$BC$2:$BK$83,9,FALSE),0)+IFERROR(VLOOKUP($EE40,$BC$2:$BK$83,9,FALSE),0)+IFERROR(VLOOKUP($EF40,$BC$2:$BK$83,9,FALSE),0)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MIN($FP40,$FN40-IF($EK40=0,0,INDEX($Q$2:$V$8,$DZ40,$EK40)))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MAX(0,3-SUMPRODUCT($FD40:$FI40,$Q$2:$V$2)+MIN(2,$FJ40*1+$FK40*1,SUMPRODUCT($FD40:$FI40,$Q$2:$V$2)-IF($EK40=0,0,INDEX($Q$2:$V$2,1,$EK40))))+$DX40*1</f>
        <v/>
      </c>
      <c r="FW40" s="155">
        <f>MAX(0,6-SUMPRODUCT($FD40:$FI40,$Q$3:$V$3)+MIN(4,$FJ40*1+$FK40*2,SUMPRODUCT($FD40:$FI40,$Q$3:$V$3)-IF($EK40=0,0,INDEX($Q$3:$V$3,1,$EK40))))+$DX40*2</f>
        <v/>
      </c>
      <c r="FX40" s="155">
        <f>MAX(0,9-SUMPRODUCT($FD40:$FI40,$Q$4:$V$4)+MIN(6,$FJ40*2+$FK40*3,SUMPRODUCT($FD40:$FI40,$Q$4:$V$4)-IF($EK40=0,0,INDEX($Q$4:$V$4,1,$EK40))))+$DX40*3</f>
        <v/>
      </c>
      <c r="FY40" s="155">
        <f>MAX(0,12-SUMPRODUCT($FD40:$FI40,$Q$5:$V$5)+MIN(8,$FJ40*2+$FK40*4,SUMPRODUCT($FD40:$FI40,$Q$5:$V$5)-IF($EK40=0,0,INDEX($Q$5:$V$5,1,$EK40))))+$DX40*4</f>
        <v/>
      </c>
      <c r="FZ40" s="155">
        <f>MAX(0,15-SUMPRODUCT($FD40:$FI40,$Q$6:$V$6)+MIN(10,$FJ40*3+$FK40*5,SUMPRODUCT($FD40:$FI40,$Q$6:$V$6)-IF($EK40=0,0,INDEX($Q$6:$V$6,1,$EK40))))+$DX40*5</f>
        <v/>
      </c>
      <c r="GA40" s="155">
        <f>MAX(0,18-SUMPRODUCT($FD40:$FI40,$Q$7:$V$7)+MIN(12,$FJ40*3+$FK40*6,SUMPRODUCT($FD40:$FI40,$Q$7:$V$7)-IF($EK40=0,0,INDEX($Q$7:$V$7,1,$EK40))))+$DX40*6</f>
        <v/>
      </c>
      <c r="GB40" s="155">
        <f>MAX(0,21-SUMPRODUCT($FD40:$FI40,$Q$8:$V$8)+MIN(14,$FJ40*4+$FK40*7,SUMPRODUCT($FD40:$FI40,$Q$8:$V$8)-IF($EK40=0,0,INDEX($Q$8:$V$8,1,$EK40))))+$DX40*7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Melhoria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Prende</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1</v>
      </c>
      <c r="HJ41" s="153" t="inlineStr">
        <is>
          <t>equipamento</t>
        </is>
      </c>
      <c r="HK41" s="155">
        <f>'FICHA AMALDIÇOADA'!$J$16&amp;""</f>
        <v/>
      </c>
      <c r="KS41" s="153" t="inlineStr">
        <is>
          <t>D354</t>
        </is>
      </c>
      <c r="KT41" s="155">
        <f>IF(DADOS_AM!$A$2=1,"EXPANSÃO DE DOMÍNIO","EXPANSÃO DE DOMÍNIO · ESTA ROTA NÃO TEM")</f>
        <v/>
      </c>
    </row>
    <row r="42">
      <c r="BC42" s="153" t="inlineStr">
        <is>
          <t>Puxa</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0</v>
      </c>
      <c r="HJ42" s="153" t="inlineStr">
        <is>
          <t>arma</t>
        </is>
      </c>
      <c r="HK42" s="155">
        <f>IF(AND($A$2&gt;=3,'FICHA AMALDIÇOADA'!$J$16&amp;""="Três grupos de arma"),1,0)</f>
        <v/>
      </c>
      <c r="KS42" s="153" t="inlineStr">
        <is>
          <t>F357</t>
        </is>
      </c>
      <c r="KT42" s="155">
        <f>IF(OR(DADOS_AM!$A$2&lt;&gt;1,DADOS_AM!$HK$35=""),"—",DADOS_AM!$HK$18&amp;" espaços")</f>
        <v/>
      </c>
    </row>
    <row r="43">
      <c r="BC43" s="153" t="inlineStr">
        <is>
          <t>Impulso</t>
        </is>
      </c>
      <c r="BD43" s="153" t="inlineStr">
        <is>
          <t>Auxiliares</t>
        </is>
      </c>
      <c r="BE43" s="155" t="n">
        <v>1</v>
      </c>
      <c r="BF43" s="155">
        <f>$BE43+3*IFERROR(VLOOKUP($BD43,$I$2:$L$10,3,FALSE),0)</f>
        <v/>
      </c>
      <c r="BG43" s="155">
        <f>IFERROR(VLOOKUP($BD43,$I$2:$L$10,4,FALSE),0)</f>
        <v/>
      </c>
      <c r="BH43" s="155" t="n">
        <v>0</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Trava</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Abre Ferida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Sobrecarga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Firmeza</t>
        </is>
      </c>
      <c r="BD47" s="153" t="inlineStr">
        <is>
          <t>Auxiliares</t>
        </is>
      </c>
      <c r="BE47" s="155" t="n">
        <v>2</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Guarda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Pressa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Enfraquece</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Ecoa</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Queima</t>
        </is>
      </c>
      <c r="BD52" s="153" t="inlineStr">
        <is>
          <t>Castigo</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Acúmulo</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Remate</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Estilhaço</t>
        </is>
      </c>
      <c r="BD55" s="153" t="inlineStr">
        <is>
          <t>Castigo</t>
        </is>
      </c>
      <c r="BE55" s="155" t="n">
        <v>1</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Quebra Coisa</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Rasga Escudo</t>
        </is>
      </c>
      <c r="BD57" s="153" t="inlineStr">
        <is>
          <t>Castigo</t>
        </is>
      </c>
      <c r="BE57" s="155" t="n">
        <v>2</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Sem Cura</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Rápido</t>
        </is>
      </c>
      <c r="BD59" s="153" t="inlineStr">
        <is>
          <t>Tempo</t>
        </is>
      </c>
      <c r="BE59" s="155" t="n">
        <v>3</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Reação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Armado</t>
        </is>
      </c>
      <c r="BD61" s="153" t="inlineStr">
        <is>
          <t>Tempo</t>
        </is>
      </c>
      <c r="BE61" s="155" t="n">
        <v>1</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Silencioso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Adianta</t>
        </is>
      </c>
      <c r="BD63" s="153" t="inlineStr">
        <is>
          <t>Tempo</t>
        </is>
      </c>
      <c r="BE63" s="155" t="n">
        <v>2</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IF(DADOS_AM!$HK$25&gt;DADOS_AM!$HK$26,"⚠ ","")&amp;DADOS_AM!$HK$25&amp;" de "&amp;DADOS_AM!$HK$26</f>
        <v/>
      </c>
    </row>
    <row r="64">
      <c r="BC64" s="153" t="inlineStr">
        <is>
          <t>Segura</t>
        </is>
      </c>
      <c r="BD64" s="153" t="inlineStr">
        <is>
          <t>Tempo</t>
        </is>
      </c>
      <c r="BE64" s="155" t="n">
        <v>1</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Concentrada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Duradoura</t>
        </is>
      </c>
      <c r="BD66" s="153" t="inlineStr">
        <is>
          <t>Tempo</t>
        </is>
      </c>
      <c r="BE66" s="155" t="n">
        <v>2</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Marca</t>
        </is>
      </c>
      <c r="BD67" s="153" t="inlineStr">
        <is>
          <t>Marca</t>
        </is>
      </c>
      <c r="BE67" s="155" t="n">
        <v>1</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Alvo de Caça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Rastro</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Isca</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Sugar</t>
        </is>
      </c>
      <c r="BD71" s="153" t="inlineStr">
        <is>
          <t>Marca</t>
        </is>
      </c>
      <c r="BE71" s="155" t="n">
        <v>2</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Cobrança</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Identificar Feitiço</t>
        </is>
      </c>
      <c r="BD73" s="153" t="inlineStr">
        <is>
          <t>Marca</t>
        </is>
      </c>
      <c r="BE73" s="155" t="n">
        <v>1</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Limpa</t>
        </is>
      </c>
      <c r="BD74" s="153" t="inlineStr">
        <is>
          <t>Amparo</t>
        </is>
      </c>
      <c r="BE74" s="155" t="n">
        <v>2</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 Fundo</t>
        </is>
      </c>
      <c r="BD75" s="153" t="inlineStr">
        <is>
          <t>Amparo</t>
        </is>
      </c>
      <c r="BE75" s="155" t="n">
        <v>3</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Levanta</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Remenda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Divide</t>
        </is>
      </c>
      <c r="BD78" s="153" t="inlineStr">
        <is>
          <t>Amparo</t>
        </is>
      </c>
      <c r="BE78" s="155" t="n">
        <v>2</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Junto</t>
        </is>
      </c>
      <c r="BD79" s="153" t="inlineStr">
        <is>
          <t>Amparo</t>
        </is>
      </c>
      <c r="BE79" s="155" t="n">
        <v>1</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Reserva</t>
        </is>
      </c>
      <c r="BD80" s="153" t="inlineStr">
        <is>
          <t>Amparo</t>
        </is>
      </c>
      <c r="BE80" s="155" t="n">
        <v>2</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Efeito Próprio (Leve)</t>
        </is>
      </c>
      <c r="BD81" s="153" t="inlineStr"/>
      <c r="BE81" s="155" t="n">
        <v>1</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(Média)</t>
        </is>
      </c>
      <c r="BD82" s="153" t="inlineStr"/>
      <c r="BE82" s="155" t="n">
        <v>2</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(Pesada)</t>
        </is>
      </c>
      <c r="BD83" s="153" t="inlineStr"/>
      <c r="BE83" s="155" t="n">
        <v>3</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IF(AND(DADOS_AM!$HK$27&gt;0,DADOS_AM!$HK$28&gt;DADOS_AM!$HK$29),"⚠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2*$FN2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SUBSTITUTE(IF($EG2&gt;2*$HA2,0,IF($EG2&gt;$HA2,$GL2/2,$GL2))&amp;"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IF($EG2&gt;2*$HA2,"⚠ ",IF($EG2&gt;$HA2,"! ",""))&amp;"EQUIPAMENTO · "&amp;$EG2&amp;" DE "&amp;$HA2&amp;" DE VOLUME"&amp;IF($EG2&gt;2*$HA2," · PASSOU DO DOBRO",IF($EG2&gt;$HA2," · ACIMA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"&amp;MAX(0,INDEX($P$2:$P$8,$FN2)-INDEX($I$2:$N$8,$FN2,2+3*IF(AND(IFERROR(VLOOKUP("Inescapável",$AV$2:$BA$83,2,FALSE),"")&lt;&gt;"",OR(IFERROR(VLOOKUP("Inescapável",$AV$2:$BA$83,2,FALSE),"")=$EJ2,IFERROR(VLOOKUP("Inescapável",$AV$2:$BA$83,2,FALSE),"")=$EK2)),1,0)))&amp;"d8"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IFERROR(VLOOKUP($MV2,$AV$2:$BA$83,2,FALSE),"")</f>
        <v/>
      </c>
      <c r="NJ2" s="155">
        <f>IFERROR(VLOOKUP($MW2,$AV$2:$BA$83,2,FALSE),"")</f>
        <v/>
      </c>
      <c r="NK2" s="155">
        <f>IFERROR(VLOOKUP($MX2,$AV$2:$BA$83,2,FALSE),"")</f>
        <v/>
      </c>
      <c r="NL2" s="155">
        <f>IFERROR(VLOOKUP($MY2,$AV$2:$BA$83,2,FALSE),"")</f>
        <v/>
      </c>
      <c r="NM2" s="155">
        <f>IFERROR(VLOOKUP($MV2,$AV$2:$BA$83,3,FALSE),0)</f>
        <v/>
      </c>
      <c r="NN2" s="155">
        <f>IFERROR(VLOOKUP($MW2,$AV$2:$BA$83,3,FALSE),0)</f>
        <v/>
      </c>
      <c r="NO2" s="155">
        <f>IFERROR(VLOOKUP($MX2,$AV$2:$BA$83,3,FALSE),0)</f>
        <v/>
      </c>
      <c r="NP2" s="155">
        <f>IFERROR(VLOOKUP($MY2,$AV$2:$BA$83,3,FALSE),0)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IFERROR(VLOOKUP($MV2,$AV$2:$BA$83,4,FALSE),0)+IFERROR(VLOOKUP($MW2,$AV$2:$BA$83,4,FALSE),0)+IFERROR(VLOOKUP($MX2,$AV$2:$BA$83,4,FALSE),0)+IFERROR(VLOOKUP($MY2,$AV$2:$BA$83,4,FALSE),0)</f>
        <v/>
      </c>
      <c r="OB2" s="155">
        <f>IFERROR(VLOOKUP($MV2,$AV$2:$BA$83,6,FALSE),0)+IFERROR(VLOOKUP($MW2,$AV$2:$BA$83,6,FALSE),0)+IFERROR(VLOOKUP($MX2,$AV$2:$BA$83,6,FALSE),0)+IFERROR(VLOOKUP($MY2,$AV$2:$BA$83,6,FALSE),0)</f>
        <v/>
      </c>
      <c r="OC2" s="155">
        <f>TEXTJOIN(", ",TRUE,IF(IFERROR(VLOOKUP($MV2,$AV$2:$BA$83,5,FALSE),0)=1,$MV2,""),IF(IFERROR(VLOOKUP($MW2,$AV$2:$BA$83,5,FALSE),0)=1,$MW2,""),IF(IFERROR(VLOOKUP($MX2,$AV$2:$BA$83,5,FALSE),0)=1,$MX2,""),IF(IFERROR(VLOOKUP($MY2,$AV$2:$BA$83,5,FALSE),0)=1,$MY2,""))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MIN($OW2,$OU2-IF($NQ2=0,0,INDEX($I$2:$N$8,MAX(1,$MQ2),$NQ2)))</f>
        <v/>
      </c>
      <c r="OY2" s="155">
        <f>$OW2-$OX2</f>
        <v/>
      </c>
      <c r="OZ2" s="155">
        <f>IF($MQ2=0,0,INDEX($P$2:$P$8,MAX(1,$MQ2)))</f>
        <v/>
      </c>
      <c r="PA2" s="155">
        <f>$OZ2-$OU2+$OX2</f>
        <v/>
      </c>
      <c r="PB2" s="155">
        <f>IF($MQ2=0,MAX(0,$NE2-IF(AND($OS2&gt;0,COUNTIF($MZ2:$NA2,"?*")=0),1,0)),MAX(0,$PA2))</f>
        <v/>
      </c>
      <c r="PC2" s="155">
        <f>IF($MQ2=0,0,(IF(COUNTIF($MV2:$MY2,"Salto")&gt;0,1,0)+IF(COUNTIF($MV2:$MY2,"Queima")&gt;0,1,0)+IF(COUNTIF($MV2:$MY2,"Estilhaço")&gt;0,1,0))*FLOOR($PB2/2,1))</f>
        <v/>
      </c>
      <c r="PD2" s="155">
        <f>MAX(0,2-SUMPRODUCT($OK2:$OP2,$I$2:$N$2)+MIN(2,$OQ2*1+$OR2*1,SUMPRODUCT($OK2:$OP2,$I$2:$N$2)-IF($NQ2=0,0,INDEX($I$2:$N$2,1,$NQ2))))</f>
        <v/>
      </c>
      <c r="PE2" s="155">
        <f>MAX(0,4-SUMPRODUCT($OK2:$OP2,$I$3:$N$3)+MIN(4,$OQ2*1+$OR2*2,SUMPRODUCT($OK2:$OP2,$I$3:$N$3)-IF($NQ2=0,0,INDEX($I$3:$N$3,1,$NQ2))))</f>
        <v/>
      </c>
      <c r="PF2" s="155">
        <f>MAX(0,6-SUMPRODUCT($OK2:$OP2,$I$4:$N$4)+MIN(6,$OQ2*2+$OR2*3,SUMPRODUCT($OK2:$OP2,$I$4:$N$4)-IF($NQ2=0,0,INDEX($I$4:$N$4,1,$NQ2))))</f>
        <v/>
      </c>
      <c r="PG2" s="155">
        <f>MAX(0,9-SUMPRODUCT($OK2:$OP2,$I$5:$N$5)+MIN(8,$OQ2*2+$OR2*4,SUMPRODUCT($OK2:$OP2,$I$5:$N$5)-IF($NQ2=0,0,INDEX($I$5:$N$5,1,$NQ2))))</f>
        <v/>
      </c>
      <c r="PH2" s="155">
        <f>MAX(0,11-SUMPRODUCT($OK2:$OP2,$I$6:$N$6)+MIN(10,$OQ2*3+$OR2*5,SUMPRODUCT($OK2:$OP2,$I$6:$N$6)-IF($NQ2=0,0,INDEX($I$6:$N$6,1,$NQ2))))</f>
        <v/>
      </c>
      <c r="PI2" s="155">
        <f>MAX(0,13-SUMPRODUCT($OK2:$OP2,$I$7:$N$7)+MIN(12,$OQ2*3+$OR2*6,SUMPRODUCT($OK2:$OP2,$I$7:$N$7)-IF($NQ2=0,0,INDEX($I$7:$N$7,1,$NQ2))))</f>
        <v/>
      </c>
      <c r="PJ2" s="155">
        <f>MAX(0,16-SUMPRODUCT($OK2:$OP2,$I$8:$N$8)+MIN(14,$OQ2*4+$OR2*7,SUMPRODUCT($OK2:$OP2,$I$8:$N$8)-IF($NQ2=0,0,INDEX($I$8:$N$8,1,$NQ2))))</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Melhoria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N(FICHA!$D$62)</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2*$FN3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SUBSTITUTE(IF($EG3&gt;2*$HA3,0,IF($EG3&gt;$HA3,$GL3/2,$GL3))&amp;"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IF($EG3&gt;2*$HA3,"⚠ ",IF($EG3&gt;$HA3,"! ",""))&amp;"EQUIPAMENTO · "&amp;$EG3&amp;" DE "&amp;$HA3&amp;" DE VOLUME"&amp;IF($EG3&gt;2*$HA3," · PASSOU DO DOBRO",IF($EG3&gt;$HA3," · ACIMA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"&amp;MAX(0,INDEX($P$2:$P$8,$FN3)-INDEX($I$2:$N$8,$FN3,2+3*IF(AND(IFERROR(VLOOKUP("Inescapável",$AV$2:$BA$83,2,FALSE),"")&lt;&gt;"",OR(IFERROR(VLOOKUP("Inescapável",$AV$2:$BA$83,2,FALSE),"")=$EJ3,IFERROR(VLOOKUP("Inescapável",$AV$2:$BA$83,2,FALSE),"")=$EK3)),1,0)))&amp;"d8"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IFERROR(VLOOKUP($MV3,$AV$2:$BA$83,2,FALSE),"")</f>
        <v/>
      </c>
      <c r="NJ3" s="155">
        <f>IFERROR(VLOOKUP($MW3,$AV$2:$BA$83,2,FALSE),"")</f>
        <v/>
      </c>
      <c r="NK3" s="155">
        <f>IFERROR(VLOOKUP($MX3,$AV$2:$BA$83,2,FALSE),"")</f>
        <v/>
      </c>
      <c r="NL3" s="155">
        <f>IFERROR(VLOOKUP($MY3,$AV$2:$BA$83,2,FALSE),"")</f>
        <v/>
      </c>
      <c r="NM3" s="155">
        <f>IFERROR(VLOOKUP($MV3,$AV$2:$BA$83,3,FALSE),0)</f>
        <v/>
      </c>
      <c r="NN3" s="155">
        <f>IFERROR(VLOOKUP($MW3,$AV$2:$BA$83,3,FALSE),0)</f>
        <v/>
      </c>
      <c r="NO3" s="155">
        <f>IFERROR(VLOOKUP($MX3,$AV$2:$BA$83,3,FALSE),0)</f>
        <v/>
      </c>
      <c r="NP3" s="155">
        <f>IFERROR(VLOOKUP($MY3,$AV$2:$BA$83,3,FALSE),0)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IFERROR(VLOOKUP($MV3,$AV$2:$BA$83,4,FALSE),0)+IFERROR(VLOOKUP($MW3,$AV$2:$BA$83,4,FALSE),0)+IFERROR(VLOOKUP($MX3,$AV$2:$BA$83,4,FALSE),0)+IFERROR(VLOOKUP($MY3,$AV$2:$BA$83,4,FALSE),0)</f>
        <v/>
      </c>
      <c r="OB3" s="155">
        <f>IFERROR(VLOOKUP($MV3,$AV$2:$BA$83,6,FALSE),0)+IFERROR(VLOOKUP($MW3,$AV$2:$BA$83,6,FALSE),0)+IFERROR(VLOOKUP($MX3,$AV$2:$BA$83,6,FALSE),0)+IFERROR(VLOOKUP($MY3,$AV$2:$BA$83,6,FALSE),0)</f>
        <v/>
      </c>
      <c r="OC3" s="155">
        <f>TEXTJOIN(", ",TRUE,IF(IFERROR(VLOOKUP($MV3,$AV$2:$BA$83,5,FALSE),0)=1,$MV3,""),IF(IFERROR(VLOOKUP($MW3,$AV$2:$BA$83,5,FALSE),0)=1,$MW3,""),IF(IFERROR(VLOOKUP($MX3,$AV$2:$BA$83,5,FALSE),0)=1,$MX3,""),IF(IFERROR(VLOOKUP($MY3,$AV$2:$BA$83,5,FALSE),0)=1,$MY3,""))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MIN($OW3,$OU3-IF($NQ3=0,0,INDEX($I$2:$N$8,MAX(1,$MQ3),$NQ3)))</f>
        <v/>
      </c>
      <c r="OY3" s="155">
        <f>$OW3-$OX3</f>
        <v/>
      </c>
      <c r="OZ3" s="155">
        <f>IF($MQ3=0,0,INDEX($P$2:$P$8,MAX(1,$MQ3)))</f>
        <v/>
      </c>
      <c r="PA3" s="155">
        <f>$OZ3-$OU3+$OX3</f>
        <v/>
      </c>
      <c r="PB3" s="155">
        <f>IF($MQ3=0,MAX(0,$NE3-IF(AND($OS3&gt;0,COUNTIF($MZ3:$NA3,"?*")=0),1,0)),MAX(0,$PA3))</f>
        <v/>
      </c>
      <c r="PC3" s="155">
        <f>IF($MQ3=0,0,(IF(COUNTIF($MV3:$MY3,"Salto")&gt;0,1,0)+IF(COUNTIF($MV3:$MY3,"Queima")&gt;0,1,0)+IF(COUNTIF($MV3:$MY3,"Estilhaço")&gt;0,1,0))*FLOOR($PB3/2,1))</f>
        <v/>
      </c>
      <c r="PD3" s="155">
        <f>MAX(0,2-SUMPRODUCT($OK3:$OP3,$I$2:$N$2)+MIN(2,$OQ3*1+$OR3*1,SUMPRODUCT($OK3:$OP3,$I$2:$N$2)-IF($NQ3=0,0,INDEX($I$2:$N$2,1,$NQ3))))</f>
        <v/>
      </c>
      <c r="PE3" s="155">
        <f>MAX(0,4-SUMPRODUCT($OK3:$OP3,$I$3:$N$3)+MIN(4,$OQ3*1+$OR3*2,SUMPRODUCT($OK3:$OP3,$I$3:$N$3)-IF($NQ3=0,0,INDEX($I$3:$N$3,1,$NQ3))))</f>
        <v/>
      </c>
      <c r="PF3" s="155">
        <f>MAX(0,6-SUMPRODUCT($OK3:$OP3,$I$4:$N$4)+MIN(6,$OQ3*2+$OR3*3,SUMPRODUCT($OK3:$OP3,$I$4:$N$4)-IF($NQ3=0,0,INDEX($I$4:$N$4,1,$NQ3))))</f>
        <v/>
      </c>
      <c r="PG3" s="155">
        <f>MAX(0,9-SUMPRODUCT($OK3:$OP3,$I$5:$N$5)+MIN(8,$OQ3*2+$OR3*4,SUMPRODUCT($OK3:$OP3,$I$5:$N$5)-IF($NQ3=0,0,INDEX($I$5:$N$5,1,$NQ3))))</f>
        <v/>
      </c>
      <c r="PH3" s="155">
        <f>MAX(0,11-SUMPRODUCT($OK3:$OP3,$I$6:$N$6)+MIN(10,$OQ3*3+$OR3*5,SUMPRODUCT($OK3:$OP3,$I$6:$N$6)-IF($NQ3=0,0,INDEX($I$6:$N$6,1,$NQ3))))</f>
        <v/>
      </c>
      <c r="PI3" s="155">
        <f>MAX(0,13-SUMPRODUCT($OK3:$OP3,$I$7:$N$7)+MIN(12,$OQ3*3+$OR3*6,SUMPRODUCT($OK3:$OP3,$I$7:$N$7)-IF($NQ3=0,0,INDEX($I$7:$N$7,1,$NQ3))))</f>
        <v/>
      </c>
      <c r="PJ3" s="155">
        <f>MAX(0,16-SUMPRODUCT($OK3:$OP3,$I$8:$N$8)+MIN(14,$OQ3*4+$OR3*7,SUMPRODUCT($OK3:$OP3,$I$8:$N$8)-IF($NQ3=0,0,INDEX($I$8:$N$8,1,$NQ3))))</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Melhoria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2*$FN4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SUBSTITUTE(IF($EG4&gt;2*$HA4,0,IF($EG4&gt;$HA4,$GL4/2,$GL4))&amp;"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IF($EG4&gt;2*$HA4,"⚠ ",IF($EG4&gt;$HA4,"! ",""))&amp;"EQUIPAMENTO · "&amp;$EG4&amp;" DE "&amp;$HA4&amp;" DE VOLUME"&amp;IF($EG4&gt;2*$HA4," · PASSOU DO DOBRO",IF($EG4&gt;$HA4," · ACIMA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"&amp;MAX(0,INDEX($P$2:$P$8,$FN4)-INDEX($I$2:$N$8,$FN4,2+3*IF(AND(IFERROR(VLOOKUP("Inescapável",$AV$2:$BA$83,2,FALSE),"")&lt;&gt;"",OR(IFERROR(VLOOKUP("Inescapável",$AV$2:$BA$83,2,FALSE),"")=$EJ4,IFERROR(VLOOKUP("Inescapável",$AV$2:$BA$83,2,FALSE),"")=$EK4)),1,0)))&amp;"d8"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IFERROR(VLOOKUP($MV4,$AV$2:$BA$83,2,FALSE),"")</f>
        <v/>
      </c>
      <c r="NJ4" s="155">
        <f>IFERROR(VLOOKUP($MW4,$AV$2:$BA$83,2,FALSE),"")</f>
        <v/>
      </c>
      <c r="NK4" s="155">
        <f>IFERROR(VLOOKUP($MX4,$AV$2:$BA$83,2,FALSE),"")</f>
        <v/>
      </c>
      <c r="NL4" s="155">
        <f>IFERROR(VLOOKUP($MY4,$AV$2:$BA$83,2,FALSE),"")</f>
        <v/>
      </c>
      <c r="NM4" s="155">
        <f>IFERROR(VLOOKUP($MV4,$AV$2:$BA$83,3,FALSE),0)</f>
        <v/>
      </c>
      <c r="NN4" s="155">
        <f>IFERROR(VLOOKUP($MW4,$AV$2:$BA$83,3,FALSE),0)</f>
        <v/>
      </c>
      <c r="NO4" s="155">
        <f>IFERROR(VLOOKUP($MX4,$AV$2:$BA$83,3,FALSE),0)</f>
        <v/>
      </c>
      <c r="NP4" s="155">
        <f>IFERROR(VLOOKUP($MY4,$AV$2:$BA$83,3,FALSE),0)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IFERROR(VLOOKUP($MV4,$AV$2:$BA$83,4,FALSE),0)+IFERROR(VLOOKUP($MW4,$AV$2:$BA$83,4,FALSE),0)+IFERROR(VLOOKUP($MX4,$AV$2:$BA$83,4,FALSE),0)+IFERROR(VLOOKUP($MY4,$AV$2:$BA$83,4,FALSE),0)</f>
        <v/>
      </c>
      <c r="OB4" s="155">
        <f>IFERROR(VLOOKUP($MV4,$AV$2:$BA$83,6,FALSE),0)+IFERROR(VLOOKUP($MW4,$AV$2:$BA$83,6,FALSE),0)+IFERROR(VLOOKUP($MX4,$AV$2:$BA$83,6,FALSE),0)+IFERROR(VLOOKUP($MY4,$AV$2:$BA$83,6,FALSE),0)</f>
        <v/>
      </c>
      <c r="OC4" s="155">
        <f>TEXTJOIN(", ",TRUE,IF(IFERROR(VLOOKUP($MV4,$AV$2:$BA$83,5,FALSE),0)=1,$MV4,""),IF(IFERROR(VLOOKUP($MW4,$AV$2:$BA$83,5,FALSE),0)=1,$MW4,""),IF(IFERROR(VLOOKUP($MX4,$AV$2:$BA$83,5,FALSE),0)=1,$MX4,""),IF(IFERROR(VLOOKUP($MY4,$AV$2:$BA$83,5,FALSE),0)=1,$MY4,""))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MIN($OW4,$OU4-IF($NQ4=0,0,INDEX($I$2:$N$8,MAX(1,$MQ4),$NQ4)))</f>
        <v/>
      </c>
      <c r="OY4" s="155">
        <f>$OW4-$OX4</f>
        <v/>
      </c>
      <c r="OZ4" s="155">
        <f>IF($MQ4=0,0,INDEX($P$2:$P$8,MAX(1,$MQ4)))</f>
        <v/>
      </c>
      <c r="PA4" s="155">
        <f>$OZ4-$OU4+$OX4</f>
        <v/>
      </c>
      <c r="PB4" s="155">
        <f>IF($MQ4=0,MAX(0,$NE4-IF(AND($OS4&gt;0,COUNTIF($MZ4:$NA4,"?*")=0),1,0)),MAX(0,$PA4))</f>
        <v/>
      </c>
      <c r="PC4" s="155">
        <f>IF($MQ4=0,0,(IF(COUNTIF($MV4:$MY4,"Salto")&gt;0,1,0)+IF(COUNTIF($MV4:$MY4,"Queima")&gt;0,1,0)+IF(COUNTIF($MV4:$MY4,"Estilhaço")&gt;0,1,0))*FLOOR($PB4/2,1))</f>
        <v/>
      </c>
      <c r="PD4" s="155">
        <f>MAX(0,2-SUMPRODUCT($OK4:$OP4,$I$2:$N$2)+MIN(2,$OQ4*1+$OR4*1,SUMPRODUCT($OK4:$OP4,$I$2:$N$2)-IF($NQ4=0,0,INDEX($I$2:$N$2,1,$NQ4))))</f>
        <v/>
      </c>
      <c r="PE4" s="155">
        <f>MAX(0,4-SUMPRODUCT($OK4:$OP4,$I$3:$N$3)+MIN(4,$OQ4*1+$OR4*2,SUMPRODUCT($OK4:$OP4,$I$3:$N$3)-IF($NQ4=0,0,INDEX($I$3:$N$3,1,$NQ4))))</f>
        <v/>
      </c>
      <c r="PF4" s="155">
        <f>MAX(0,6-SUMPRODUCT($OK4:$OP4,$I$4:$N$4)+MIN(6,$OQ4*2+$OR4*3,SUMPRODUCT($OK4:$OP4,$I$4:$N$4)-IF($NQ4=0,0,INDEX($I$4:$N$4,1,$NQ4))))</f>
        <v/>
      </c>
      <c r="PG4" s="155">
        <f>MAX(0,9-SUMPRODUCT($OK4:$OP4,$I$5:$N$5)+MIN(8,$OQ4*2+$OR4*4,SUMPRODUCT($OK4:$OP4,$I$5:$N$5)-IF($NQ4=0,0,INDEX($I$5:$N$5,1,$NQ4))))</f>
        <v/>
      </c>
      <c r="PH4" s="155">
        <f>MAX(0,11-SUMPRODUCT($OK4:$OP4,$I$6:$N$6)+MIN(10,$OQ4*3+$OR4*5,SUMPRODUCT($OK4:$OP4,$I$6:$N$6)-IF($NQ4=0,0,INDEX($I$6:$N$6,1,$NQ4))))</f>
        <v/>
      </c>
      <c r="PI4" s="155">
        <f>MAX(0,13-SUMPRODUCT($OK4:$OP4,$I$7:$N$7)+MIN(12,$OQ4*3+$OR4*6,SUMPRODUCT($OK4:$OP4,$I$7:$N$7)-IF($NQ4=0,0,INDEX($I$7:$N$7,1,$NQ4))))</f>
        <v/>
      </c>
      <c r="PJ4" s="155">
        <f>MAX(0,16-SUMPRODUCT($OK4:$OP4,$I$8:$N$8)+MIN(14,$OQ4*4+$OR4*7,SUMPRODUCT($OK4:$OP4,$I$8:$N$8)-IF($NQ4=0,0,INDEX($I$8:$N$8,1,$NQ4))))</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Melhoria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2*$FN5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SUBSTITUTE(IF($EG5&gt;2*$HA5,0,IF($EG5&gt;$HA5,$GL5/2,$GL5))&amp;"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IF($EG5&gt;2*$HA5,"⚠ ",IF($EG5&gt;$HA5,"! ",""))&amp;"EQUIPAMENTO · "&amp;$EG5&amp;" DE "&amp;$HA5&amp;" DE VOLUME"&amp;IF($EG5&gt;2*$HA5," · PASSOU DO DOBRO",IF($EG5&gt;$HA5," · ACIMA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"&amp;MAX(0,INDEX($P$2:$P$8,$FN5)-INDEX($I$2:$N$8,$FN5,2+3*IF(AND(IFERROR(VLOOKUP("Inescapável",$AV$2:$BA$83,2,FALSE),"")&lt;&gt;"",OR(IFERROR(VLOOKUP("Inescapável",$AV$2:$BA$83,2,FALSE),"")=$EJ5,IFERROR(VLOOKUP("Inescapável",$AV$2:$BA$83,2,FALSE),"")=$EK5)),1,0)))&amp;"d8"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IFERROR(VLOOKUP($MV5,$AV$2:$BA$83,2,FALSE),"")</f>
        <v/>
      </c>
      <c r="NJ5" s="155">
        <f>IFERROR(VLOOKUP($MW5,$AV$2:$BA$83,2,FALSE),"")</f>
        <v/>
      </c>
      <c r="NK5" s="155">
        <f>IFERROR(VLOOKUP($MX5,$AV$2:$BA$83,2,FALSE),"")</f>
        <v/>
      </c>
      <c r="NL5" s="155">
        <f>IFERROR(VLOOKUP($MY5,$AV$2:$BA$83,2,FALSE),"")</f>
        <v/>
      </c>
      <c r="NM5" s="155">
        <f>IFERROR(VLOOKUP($MV5,$AV$2:$BA$83,3,FALSE),0)</f>
        <v/>
      </c>
      <c r="NN5" s="155">
        <f>IFERROR(VLOOKUP($MW5,$AV$2:$BA$83,3,FALSE),0)</f>
        <v/>
      </c>
      <c r="NO5" s="155">
        <f>IFERROR(VLOOKUP($MX5,$AV$2:$BA$83,3,FALSE),0)</f>
        <v/>
      </c>
      <c r="NP5" s="155">
        <f>IFERROR(VLOOKUP($MY5,$AV$2:$BA$83,3,FALSE),0)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IFERROR(VLOOKUP($MV5,$AV$2:$BA$83,4,FALSE),0)+IFERROR(VLOOKUP($MW5,$AV$2:$BA$83,4,FALSE),0)+IFERROR(VLOOKUP($MX5,$AV$2:$BA$83,4,FALSE),0)+IFERROR(VLOOKUP($MY5,$AV$2:$BA$83,4,FALSE),0)</f>
        <v/>
      </c>
      <c r="OB5" s="155">
        <f>IFERROR(VLOOKUP($MV5,$AV$2:$BA$83,6,FALSE),0)+IFERROR(VLOOKUP($MW5,$AV$2:$BA$83,6,FALSE),0)+IFERROR(VLOOKUP($MX5,$AV$2:$BA$83,6,FALSE),0)+IFERROR(VLOOKUP($MY5,$AV$2:$BA$83,6,FALSE),0)</f>
        <v/>
      </c>
      <c r="OC5" s="155">
        <f>TEXTJOIN(", ",TRUE,IF(IFERROR(VLOOKUP($MV5,$AV$2:$BA$83,5,FALSE),0)=1,$MV5,""),IF(IFERROR(VLOOKUP($MW5,$AV$2:$BA$83,5,FALSE),0)=1,$MW5,""),IF(IFERROR(VLOOKUP($MX5,$AV$2:$BA$83,5,FALSE),0)=1,$MX5,""),IF(IFERROR(VLOOKUP($MY5,$AV$2:$BA$83,5,FALSE),0)=1,$MY5,""))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MIN($OW5,$OU5-IF($NQ5=0,0,INDEX($I$2:$N$8,MAX(1,$MQ5),$NQ5)))</f>
        <v/>
      </c>
      <c r="OY5" s="155">
        <f>$OW5-$OX5</f>
        <v/>
      </c>
      <c r="OZ5" s="155">
        <f>IF($MQ5=0,0,INDEX($P$2:$P$8,MAX(1,$MQ5)))</f>
        <v/>
      </c>
      <c r="PA5" s="155">
        <f>$OZ5-$OU5+$OX5</f>
        <v/>
      </c>
      <c r="PB5" s="155">
        <f>IF($MQ5=0,MAX(0,$NE5-IF(AND($OS5&gt;0,COUNTIF($MZ5:$NA5,"?*")=0),1,0)),MAX(0,$PA5))</f>
        <v/>
      </c>
      <c r="PC5" s="155">
        <f>IF($MQ5=0,0,(IF(COUNTIF($MV5:$MY5,"Salto")&gt;0,1,0)+IF(COUNTIF($MV5:$MY5,"Queima")&gt;0,1,0)+IF(COUNTIF($MV5:$MY5,"Estilhaço")&gt;0,1,0))*FLOOR($PB5/2,1))</f>
        <v/>
      </c>
      <c r="PD5" s="155">
        <f>MAX(0,2-SUMPRODUCT($OK5:$OP5,$I$2:$N$2)+MIN(2,$OQ5*1+$OR5*1,SUMPRODUCT($OK5:$OP5,$I$2:$N$2)-IF($NQ5=0,0,INDEX($I$2:$N$2,1,$NQ5))))</f>
        <v/>
      </c>
      <c r="PE5" s="155">
        <f>MAX(0,4-SUMPRODUCT($OK5:$OP5,$I$3:$N$3)+MIN(4,$OQ5*1+$OR5*2,SUMPRODUCT($OK5:$OP5,$I$3:$N$3)-IF($NQ5=0,0,INDEX($I$3:$N$3,1,$NQ5))))</f>
        <v/>
      </c>
      <c r="PF5" s="155">
        <f>MAX(0,6-SUMPRODUCT($OK5:$OP5,$I$4:$N$4)+MIN(6,$OQ5*2+$OR5*3,SUMPRODUCT($OK5:$OP5,$I$4:$N$4)-IF($NQ5=0,0,INDEX($I$4:$N$4,1,$NQ5))))</f>
        <v/>
      </c>
      <c r="PG5" s="155">
        <f>MAX(0,9-SUMPRODUCT($OK5:$OP5,$I$5:$N$5)+MIN(8,$OQ5*2+$OR5*4,SUMPRODUCT($OK5:$OP5,$I$5:$N$5)-IF($NQ5=0,0,INDEX($I$5:$N$5,1,$NQ5))))</f>
        <v/>
      </c>
      <c r="PH5" s="155">
        <f>MAX(0,11-SUMPRODUCT($OK5:$OP5,$I$6:$N$6)+MIN(10,$OQ5*3+$OR5*5,SUMPRODUCT($OK5:$OP5,$I$6:$N$6)-IF($NQ5=0,0,INDEX($I$6:$N$6,1,$NQ5))))</f>
        <v/>
      </c>
      <c r="PI5" s="155">
        <f>MAX(0,13-SUMPRODUCT($OK5:$OP5,$I$7:$N$7)+MIN(12,$OQ5*3+$OR5*6,SUMPRODUCT($OK5:$OP5,$I$7:$N$7)-IF($NQ5=0,0,INDEX($I$7:$N$7,1,$NQ5))))</f>
        <v/>
      </c>
      <c r="PJ5" s="155">
        <f>MAX(0,16-SUMPRODUCT($OK5:$OP5,$I$8:$N$8)+MIN(14,$OQ5*4+$OR5*7,SUMPRODUCT($OK5:$OP5,$I$8:$N$8)-IF($NQ5=0,0,INDEX($I$8:$N$8,1,$NQ5))))</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Melhoria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2*$FN6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SUBSTITUTE(IF($EG6&gt;2*$HA6,0,IF($EG6&gt;$HA6,$GL6/2,$GL6))&amp;"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IF($EG6&gt;2*$HA6,"⚠ ",IF($EG6&gt;$HA6,"! ",""))&amp;"EQUIPAMENTO · "&amp;$EG6&amp;" DE "&amp;$HA6&amp;" DE VOLUME"&amp;IF($EG6&gt;2*$HA6," · PASSOU DO DOBRO",IF($EG6&gt;$HA6," · ACIMA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"&amp;MAX(0,INDEX($P$2:$P$8,$FN6)-INDEX($I$2:$N$8,$FN6,2+3*IF(AND(IFERROR(VLOOKUP("Inescapável",$AV$2:$BA$83,2,FALSE),"")&lt;&gt;"",OR(IFERROR(VLOOKUP("Inescapável",$AV$2:$BA$83,2,FALSE),"")=$EJ6,IFERROR(VLOOKUP("Inescapável",$AV$2:$BA$83,2,FALSE),"")=$EK6)),1,0)))&amp;"d8"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IFERROR(VLOOKUP($MV6,$AV$2:$BA$83,2,FALSE),"")</f>
        <v/>
      </c>
      <c r="NJ6" s="155">
        <f>IFERROR(VLOOKUP($MW6,$AV$2:$BA$83,2,FALSE),"")</f>
        <v/>
      </c>
      <c r="NK6" s="155">
        <f>IFERROR(VLOOKUP($MX6,$AV$2:$BA$83,2,FALSE),"")</f>
        <v/>
      </c>
      <c r="NL6" s="155">
        <f>IFERROR(VLOOKUP($MY6,$AV$2:$BA$83,2,FALSE),"")</f>
        <v/>
      </c>
      <c r="NM6" s="155">
        <f>IFERROR(VLOOKUP($MV6,$AV$2:$BA$83,3,FALSE),0)</f>
        <v/>
      </c>
      <c r="NN6" s="155">
        <f>IFERROR(VLOOKUP($MW6,$AV$2:$BA$83,3,FALSE),0)</f>
        <v/>
      </c>
      <c r="NO6" s="155">
        <f>IFERROR(VLOOKUP($MX6,$AV$2:$BA$83,3,FALSE),0)</f>
        <v/>
      </c>
      <c r="NP6" s="155">
        <f>IFERROR(VLOOKUP($MY6,$AV$2:$BA$83,3,FALSE),0)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IFERROR(VLOOKUP($MV6,$AV$2:$BA$83,4,FALSE),0)+IFERROR(VLOOKUP($MW6,$AV$2:$BA$83,4,FALSE),0)+IFERROR(VLOOKUP($MX6,$AV$2:$BA$83,4,FALSE),0)+IFERROR(VLOOKUP($MY6,$AV$2:$BA$83,4,FALSE),0)</f>
        <v/>
      </c>
      <c r="OB6" s="155">
        <f>IFERROR(VLOOKUP($MV6,$AV$2:$BA$83,6,FALSE),0)+IFERROR(VLOOKUP($MW6,$AV$2:$BA$83,6,FALSE),0)+IFERROR(VLOOKUP($MX6,$AV$2:$BA$83,6,FALSE),0)+IFERROR(VLOOKUP($MY6,$AV$2:$BA$83,6,FALSE),0)</f>
        <v/>
      </c>
      <c r="OC6" s="155">
        <f>TEXTJOIN(", ",TRUE,IF(IFERROR(VLOOKUP($MV6,$AV$2:$BA$83,5,FALSE),0)=1,$MV6,""),IF(IFERROR(VLOOKUP($MW6,$AV$2:$BA$83,5,FALSE),0)=1,$MW6,""),IF(IFERROR(VLOOKUP($MX6,$AV$2:$BA$83,5,FALSE),0)=1,$MX6,""),IF(IFERROR(VLOOKUP($MY6,$AV$2:$BA$83,5,FALSE),0)=1,$MY6,""))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MIN($OW6,$OU6-IF($NQ6=0,0,INDEX($I$2:$N$8,MAX(1,$MQ6),$NQ6)))</f>
        <v/>
      </c>
      <c r="OY6" s="155">
        <f>$OW6-$OX6</f>
        <v/>
      </c>
      <c r="OZ6" s="155">
        <f>IF($MQ6=0,0,INDEX($P$2:$P$8,MAX(1,$MQ6)))</f>
        <v/>
      </c>
      <c r="PA6" s="155">
        <f>$OZ6-$OU6+$OX6</f>
        <v/>
      </c>
      <c r="PB6" s="155">
        <f>IF($MQ6=0,MAX(0,$NE6-IF(AND($OS6&gt;0,COUNTIF($MZ6:$NA6,"?*")=0),1,0)),MAX(0,$PA6))</f>
        <v/>
      </c>
      <c r="PC6" s="155">
        <f>IF($MQ6=0,0,(IF(COUNTIF($MV6:$MY6,"Salto")&gt;0,1,0)+IF(COUNTIF($MV6:$MY6,"Queima")&gt;0,1,0)+IF(COUNTIF($MV6:$MY6,"Estilhaço")&gt;0,1,0))*FLOOR($PB6/2,1))</f>
        <v/>
      </c>
      <c r="PD6" s="155">
        <f>MAX(0,2-SUMPRODUCT($OK6:$OP6,$I$2:$N$2)+MIN(2,$OQ6*1+$OR6*1,SUMPRODUCT($OK6:$OP6,$I$2:$N$2)-IF($NQ6=0,0,INDEX($I$2:$N$2,1,$NQ6))))</f>
        <v/>
      </c>
      <c r="PE6" s="155">
        <f>MAX(0,4-SUMPRODUCT($OK6:$OP6,$I$3:$N$3)+MIN(4,$OQ6*1+$OR6*2,SUMPRODUCT($OK6:$OP6,$I$3:$N$3)-IF($NQ6=0,0,INDEX($I$3:$N$3,1,$NQ6))))</f>
        <v/>
      </c>
      <c r="PF6" s="155">
        <f>MAX(0,6-SUMPRODUCT($OK6:$OP6,$I$4:$N$4)+MIN(6,$OQ6*2+$OR6*3,SUMPRODUCT($OK6:$OP6,$I$4:$N$4)-IF($NQ6=0,0,INDEX($I$4:$N$4,1,$NQ6))))</f>
        <v/>
      </c>
      <c r="PG6" s="155">
        <f>MAX(0,9-SUMPRODUCT($OK6:$OP6,$I$5:$N$5)+MIN(8,$OQ6*2+$OR6*4,SUMPRODUCT($OK6:$OP6,$I$5:$N$5)-IF($NQ6=0,0,INDEX($I$5:$N$5,1,$NQ6))))</f>
        <v/>
      </c>
      <c r="PH6" s="155">
        <f>MAX(0,11-SUMPRODUCT($OK6:$OP6,$I$6:$N$6)+MIN(10,$OQ6*3+$OR6*5,SUMPRODUCT($OK6:$OP6,$I$6:$N$6)-IF($NQ6=0,0,INDEX($I$6:$N$6,1,$NQ6))))</f>
        <v/>
      </c>
      <c r="PI6" s="155">
        <f>MAX(0,13-SUMPRODUCT($OK6:$OP6,$I$7:$N$7)+MIN(12,$OQ6*3+$OR6*6,SUMPRODUCT($OK6:$OP6,$I$7:$N$7)-IF($NQ6=0,0,INDEX($I$7:$N$7,1,$NQ6))))</f>
        <v/>
      </c>
      <c r="PJ6" s="155">
        <f>MAX(0,16-SUMPRODUCT($OK6:$OP6,$I$8:$N$8)+MIN(14,$OQ6*4+$OR6*7,SUMPRODUCT($OK6:$OP6,$I$8:$N$8)-IF($NQ6=0,0,INDEX($I$8:$N$8,1,$NQ6))))</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Melhoria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2*$FN7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SUBSTITUTE(IF($EG7&gt;2*$HA7,0,IF($EG7&gt;$HA7,$GL7/2,$GL7))&amp;"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IF($EG7&gt;2*$HA7,"⚠ ",IF($EG7&gt;$HA7,"! ",""))&amp;"EQUIPAMENTO · "&amp;$EG7&amp;" DE "&amp;$HA7&amp;" DE VOLUME"&amp;IF($EG7&gt;2*$HA7," · PASSOU DO DOBRO",IF($EG7&gt;$HA7," · ACIMA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"&amp;MAX(0,INDEX($P$2:$P$8,$FN7)-INDEX($I$2:$N$8,$FN7,2+3*IF(AND(IFERROR(VLOOKUP("Inescapável",$AV$2:$BA$83,2,FALSE),"")&lt;&gt;"",OR(IFERROR(VLOOKUP("Inescapável",$AV$2:$BA$83,2,FALSE),"")=$EJ7,IFERROR(VLOOKUP("Inescapável",$AV$2:$BA$83,2,FALSE),"")=$EK7)),1,0)))&amp;"d8"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IFERROR(VLOOKUP($MV7,$AV$2:$BA$83,2,FALSE),"")</f>
        <v/>
      </c>
      <c r="NJ7" s="155">
        <f>IFERROR(VLOOKUP($MW7,$AV$2:$BA$83,2,FALSE),"")</f>
        <v/>
      </c>
      <c r="NK7" s="155">
        <f>IFERROR(VLOOKUP($MX7,$AV$2:$BA$83,2,FALSE),"")</f>
        <v/>
      </c>
      <c r="NL7" s="155">
        <f>IFERROR(VLOOKUP($MY7,$AV$2:$BA$83,2,FALSE),"")</f>
        <v/>
      </c>
      <c r="NM7" s="155">
        <f>IFERROR(VLOOKUP($MV7,$AV$2:$BA$83,3,FALSE),0)</f>
        <v/>
      </c>
      <c r="NN7" s="155">
        <f>IFERROR(VLOOKUP($MW7,$AV$2:$BA$83,3,FALSE),0)</f>
        <v/>
      </c>
      <c r="NO7" s="155">
        <f>IFERROR(VLOOKUP($MX7,$AV$2:$BA$83,3,FALSE),0)</f>
        <v/>
      </c>
      <c r="NP7" s="155">
        <f>IFERROR(VLOOKUP($MY7,$AV$2:$BA$83,3,FALSE),0)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IFERROR(VLOOKUP($MV7,$AV$2:$BA$83,4,FALSE),0)+IFERROR(VLOOKUP($MW7,$AV$2:$BA$83,4,FALSE),0)+IFERROR(VLOOKUP($MX7,$AV$2:$BA$83,4,FALSE),0)+IFERROR(VLOOKUP($MY7,$AV$2:$BA$83,4,FALSE),0)</f>
        <v/>
      </c>
      <c r="OB7" s="155">
        <f>IFERROR(VLOOKUP($MV7,$AV$2:$BA$83,6,FALSE),0)+IFERROR(VLOOKUP($MW7,$AV$2:$BA$83,6,FALSE),0)+IFERROR(VLOOKUP($MX7,$AV$2:$BA$83,6,FALSE),0)+IFERROR(VLOOKUP($MY7,$AV$2:$BA$83,6,FALSE),0)</f>
        <v/>
      </c>
      <c r="OC7" s="155">
        <f>TEXTJOIN(", ",TRUE,IF(IFERROR(VLOOKUP($MV7,$AV$2:$BA$83,5,FALSE),0)=1,$MV7,""),IF(IFERROR(VLOOKUP($MW7,$AV$2:$BA$83,5,FALSE),0)=1,$MW7,""),IF(IFERROR(VLOOKUP($MX7,$AV$2:$BA$83,5,FALSE),0)=1,$MX7,""),IF(IFERROR(VLOOKUP($MY7,$AV$2:$BA$83,5,FALSE),0)=1,$MY7,""))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MIN($OW7,$OU7-IF($NQ7=0,0,INDEX($I$2:$N$8,MAX(1,$MQ7),$NQ7)))</f>
        <v/>
      </c>
      <c r="OY7" s="155">
        <f>$OW7-$OX7</f>
        <v/>
      </c>
      <c r="OZ7" s="155">
        <f>IF($MQ7=0,0,INDEX($P$2:$P$8,MAX(1,$MQ7)))</f>
        <v/>
      </c>
      <c r="PA7" s="155">
        <f>$OZ7-$OU7+$OX7</f>
        <v/>
      </c>
      <c r="PB7" s="155">
        <f>IF($MQ7=0,MAX(0,$NE7-IF(AND($OS7&gt;0,COUNTIF($MZ7:$NA7,"?*")=0),1,0)),MAX(0,$PA7))</f>
        <v/>
      </c>
      <c r="PC7" s="155">
        <f>IF($MQ7=0,0,(IF(COUNTIF($MV7:$MY7,"Salto")&gt;0,1,0)+IF(COUNTIF($MV7:$MY7,"Queima")&gt;0,1,0)+IF(COUNTIF($MV7:$MY7,"Estilhaço")&gt;0,1,0))*FLOOR($PB7/2,1))</f>
        <v/>
      </c>
      <c r="PD7" s="155">
        <f>MAX(0,2-SUMPRODUCT($OK7:$OP7,$I$2:$N$2)+MIN(2,$OQ7*1+$OR7*1,SUMPRODUCT($OK7:$OP7,$I$2:$N$2)-IF($NQ7=0,0,INDEX($I$2:$N$2,1,$NQ7))))</f>
        <v/>
      </c>
      <c r="PE7" s="155">
        <f>MAX(0,4-SUMPRODUCT($OK7:$OP7,$I$3:$N$3)+MIN(4,$OQ7*1+$OR7*2,SUMPRODUCT($OK7:$OP7,$I$3:$N$3)-IF($NQ7=0,0,INDEX($I$3:$N$3,1,$NQ7))))</f>
        <v/>
      </c>
      <c r="PF7" s="155">
        <f>MAX(0,6-SUMPRODUCT($OK7:$OP7,$I$4:$N$4)+MIN(6,$OQ7*2+$OR7*3,SUMPRODUCT($OK7:$OP7,$I$4:$N$4)-IF($NQ7=0,0,INDEX($I$4:$N$4,1,$NQ7))))</f>
        <v/>
      </c>
      <c r="PG7" s="155">
        <f>MAX(0,9-SUMPRODUCT($OK7:$OP7,$I$5:$N$5)+MIN(8,$OQ7*2+$OR7*4,SUMPRODUCT($OK7:$OP7,$I$5:$N$5)-IF($NQ7=0,0,INDEX($I$5:$N$5,1,$NQ7))))</f>
        <v/>
      </c>
      <c r="PH7" s="155">
        <f>MAX(0,11-SUMPRODUCT($OK7:$OP7,$I$6:$N$6)+MIN(10,$OQ7*3+$OR7*5,SUMPRODUCT($OK7:$OP7,$I$6:$N$6)-IF($NQ7=0,0,INDEX($I$6:$N$6,1,$NQ7))))</f>
        <v/>
      </c>
      <c r="PI7" s="155">
        <f>MAX(0,13-SUMPRODUCT($OK7:$OP7,$I$7:$N$7)+MIN(12,$OQ7*3+$OR7*6,SUMPRODUCT($OK7:$OP7,$I$7:$N$7)-IF($NQ7=0,0,INDEX($I$7:$N$7,1,$NQ7))))</f>
        <v/>
      </c>
      <c r="PJ7" s="155">
        <f>MAX(0,16-SUMPRODUCT($OK7:$OP7,$I$8:$N$8)+MIN(14,$OQ7*4+$OR7*7,SUMPRODUCT($OK7:$OP7,$I$8:$N$8)-IF($NQ7=0,0,INDEX($I$8:$N$8,1,$NQ7))))</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Melhoria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Maior</t>
        </is>
      </c>
      <c r="AW8" s="153" t="inlineStr">
        <is>
          <t>Área</t>
        </is>
      </c>
      <c r="AX8" s="155" t="n">
        <v>1</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2*$FN8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SUBSTITUTE(IF($EG8&gt;2*$HA8,0,IF($EG8&gt;$HA8,$GL8/2,$GL8))&amp;"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IF($EG8&gt;2*$HA8,"⚠ ",IF($EG8&gt;$HA8,"! ",""))&amp;"EQUIPAMENTO · "&amp;$EG8&amp;" DE "&amp;$HA8&amp;" DE VOLUME"&amp;IF($EG8&gt;2*$HA8," · PASSOU DO DOBRO",IF($EG8&gt;$HA8," · ACIMA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"&amp;MAX(0,INDEX($P$2:$P$8,$FN8)-INDEX($I$2:$N$8,$FN8,2+3*IF(AND(IFERROR(VLOOKUP("Inescapável",$AV$2:$BA$83,2,FALSE),"")&lt;&gt;"",OR(IFERROR(VLOOKUP("Inescapável",$AV$2:$BA$83,2,FALSE),"")=$EJ8,IFERROR(VLOOKUP("Inescapável",$AV$2:$BA$83,2,FALSE),"")=$EK8)),1,0)))&amp;"d8"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IFERROR(VLOOKUP($MV8,$AV$2:$BA$83,2,FALSE),"")</f>
        <v/>
      </c>
      <c r="NJ8" s="155">
        <f>IFERROR(VLOOKUP($MW8,$AV$2:$BA$83,2,FALSE),"")</f>
        <v/>
      </c>
      <c r="NK8" s="155">
        <f>IFERROR(VLOOKUP($MX8,$AV$2:$BA$83,2,FALSE),"")</f>
        <v/>
      </c>
      <c r="NL8" s="155">
        <f>IFERROR(VLOOKUP($MY8,$AV$2:$BA$83,2,FALSE),"")</f>
        <v/>
      </c>
      <c r="NM8" s="155">
        <f>IFERROR(VLOOKUP($MV8,$AV$2:$BA$83,3,FALSE),0)</f>
        <v/>
      </c>
      <c r="NN8" s="155">
        <f>IFERROR(VLOOKUP($MW8,$AV$2:$BA$83,3,FALSE),0)</f>
        <v/>
      </c>
      <c r="NO8" s="155">
        <f>IFERROR(VLOOKUP($MX8,$AV$2:$BA$83,3,FALSE),0)</f>
        <v/>
      </c>
      <c r="NP8" s="155">
        <f>IFERROR(VLOOKUP($MY8,$AV$2:$BA$83,3,FALSE),0)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IFERROR(VLOOKUP($MV8,$AV$2:$BA$83,4,FALSE),0)+IFERROR(VLOOKUP($MW8,$AV$2:$BA$83,4,FALSE),0)+IFERROR(VLOOKUP($MX8,$AV$2:$BA$83,4,FALSE),0)+IFERROR(VLOOKUP($MY8,$AV$2:$BA$83,4,FALSE),0)</f>
        <v/>
      </c>
      <c r="OB8" s="155">
        <f>IFERROR(VLOOKUP($MV8,$AV$2:$BA$83,6,FALSE),0)+IFERROR(VLOOKUP($MW8,$AV$2:$BA$83,6,FALSE),0)+IFERROR(VLOOKUP($MX8,$AV$2:$BA$83,6,FALSE),0)+IFERROR(VLOOKUP($MY8,$AV$2:$BA$83,6,FALSE),0)</f>
        <v/>
      </c>
      <c r="OC8" s="155">
        <f>TEXTJOIN(", ",TRUE,IF(IFERROR(VLOOKUP($MV8,$AV$2:$BA$83,5,FALSE),0)=1,$MV8,""),IF(IFERROR(VLOOKUP($MW8,$AV$2:$BA$83,5,FALSE),0)=1,$MW8,""),IF(IFERROR(VLOOKUP($MX8,$AV$2:$BA$83,5,FALSE),0)=1,$MX8,""),IF(IFERROR(VLOOKUP($MY8,$AV$2:$BA$83,5,FALSE),0)=1,$MY8,""))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MIN($OW8,$OU8-IF($NQ8=0,0,INDEX($I$2:$N$8,MAX(1,$MQ8),$NQ8)))</f>
        <v/>
      </c>
      <c r="OY8" s="155">
        <f>$OW8-$OX8</f>
        <v/>
      </c>
      <c r="OZ8" s="155">
        <f>IF($MQ8=0,0,INDEX($P$2:$P$8,MAX(1,$MQ8)))</f>
        <v/>
      </c>
      <c r="PA8" s="155">
        <f>$OZ8-$OU8+$OX8</f>
        <v/>
      </c>
      <c r="PB8" s="155">
        <f>IF($MQ8=0,MAX(0,$NE8-IF(AND($OS8&gt;0,COUNTIF($MZ8:$NA8,"?*")=0),1,0)),MAX(0,$PA8))</f>
        <v/>
      </c>
      <c r="PC8" s="155">
        <f>IF($MQ8=0,0,(IF(COUNTIF($MV8:$MY8,"Salto")&gt;0,1,0)+IF(COUNTIF($MV8:$MY8,"Queima")&gt;0,1,0)+IF(COUNTIF($MV8:$MY8,"Estilhaço")&gt;0,1,0))*FLOOR($PB8/2,1))</f>
        <v/>
      </c>
      <c r="PD8" s="155">
        <f>MAX(0,2-SUMPRODUCT($OK8:$OP8,$I$2:$N$2)+MIN(2,$OQ8*1+$OR8*1,SUMPRODUCT($OK8:$OP8,$I$2:$N$2)-IF($NQ8=0,0,INDEX($I$2:$N$2,1,$NQ8))))</f>
        <v/>
      </c>
      <c r="PE8" s="155">
        <f>MAX(0,4-SUMPRODUCT($OK8:$OP8,$I$3:$N$3)+MIN(4,$OQ8*1+$OR8*2,SUMPRODUCT($OK8:$OP8,$I$3:$N$3)-IF($NQ8=0,0,INDEX($I$3:$N$3,1,$NQ8))))</f>
        <v/>
      </c>
      <c r="PF8" s="155">
        <f>MAX(0,6-SUMPRODUCT($OK8:$OP8,$I$4:$N$4)+MIN(6,$OQ8*2+$OR8*3,SUMPRODUCT($OK8:$OP8,$I$4:$N$4)-IF($NQ8=0,0,INDEX($I$4:$N$4,1,$NQ8))))</f>
        <v/>
      </c>
      <c r="PG8" s="155">
        <f>MAX(0,9-SUMPRODUCT($OK8:$OP8,$I$5:$N$5)+MIN(8,$OQ8*2+$OR8*4,SUMPRODUCT($OK8:$OP8,$I$5:$N$5)-IF($NQ8=0,0,INDEX($I$5:$N$5,1,$NQ8))))</f>
        <v/>
      </c>
      <c r="PH8" s="155">
        <f>MAX(0,11-SUMPRODUCT($OK8:$OP8,$I$6:$N$6)+MIN(10,$OQ8*3+$OR8*5,SUMPRODUCT($OK8:$OP8,$I$6:$N$6)-IF($NQ8=0,0,INDEX($I$6:$N$6,1,$NQ8))))</f>
        <v/>
      </c>
      <c r="PI8" s="155">
        <f>MAX(0,13-SUMPRODUCT($OK8:$OP8,$I$7:$N$7)+MIN(12,$OQ8*3+$OR8*6,SUMPRODUCT($OK8:$OP8,$I$7:$N$7)-IF($NQ8=0,0,INDEX($I$7:$N$7,1,$NQ8))))</f>
        <v/>
      </c>
      <c r="PJ8" s="155">
        <f>MAX(0,16-SUMPRODUCT($OK8:$OP8,$I$8:$N$8)+MIN(14,$OQ8*4+$OR8*7,SUMPRODUCT($OK8:$OP8,$I$8:$N$8)-IF($NQ8=0,0,INDEX($I$8:$N$8,1,$NQ8))))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Melhoria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Muito Maior</t>
        </is>
      </c>
      <c r="AW9" s="153" t="inlineStr">
        <is>
          <t>Área</t>
        </is>
      </c>
      <c r="AX9" s="155" t="n">
        <v>3</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2*$FN9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SUBSTITUTE(IF($EG9&gt;2*$HA9,0,IF($EG9&gt;$HA9,$GL9/2,$GL9))&amp;"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IF($EG9&gt;2*$HA9,"⚠ ",IF($EG9&gt;$HA9,"! ",""))&amp;"EQUIPAMENTO · "&amp;$EG9&amp;" DE "&amp;$HA9&amp;" DE VOLUME"&amp;IF($EG9&gt;2*$HA9," · PASSOU DO DOBRO",IF($EG9&gt;$HA9," · ACIMA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"&amp;MAX(0,INDEX($P$2:$P$8,$FN9)-INDEX($I$2:$N$8,$FN9,2+3*IF(AND(IFERROR(VLOOKUP("Inescapável",$AV$2:$BA$83,2,FALSE),"")&lt;&gt;"",OR(IFERROR(VLOOKUP("Inescapável",$AV$2:$BA$83,2,FALSE),"")=$EJ9,IFERROR(VLOOKUP("Inescapável",$AV$2:$BA$83,2,FALSE),"")=$EK9)),1,0)))&amp;"d8"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IFERROR(VLOOKUP($MV9,$AV$2:$BA$83,2,FALSE),"")</f>
        <v/>
      </c>
      <c r="NJ9" s="155">
        <f>IFERROR(VLOOKUP($MW9,$AV$2:$BA$83,2,FALSE),"")</f>
        <v/>
      </c>
      <c r="NK9" s="155">
        <f>IFERROR(VLOOKUP($MX9,$AV$2:$BA$83,2,FALSE),"")</f>
        <v/>
      </c>
      <c r="NL9" s="155">
        <f>IFERROR(VLOOKUP($MY9,$AV$2:$BA$83,2,FALSE),"")</f>
        <v/>
      </c>
      <c r="NM9" s="155">
        <f>IFERROR(VLOOKUP($MV9,$AV$2:$BA$83,3,FALSE),0)</f>
        <v/>
      </c>
      <c r="NN9" s="155">
        <f>IFERROR(VLOOKUP($MW9,$AV$2:$BA$83,3,FALSE),0)</f>
        <v/>
      </c>
      <c r="NO9" s="155">
        <f>IFERROR(VLOOKUP($MX9,$AV$2:$BA$83,3,FALSE),0)</f>
        <v/>
      </c>
      <c r="NP9" s="155">
        <f>IFERROR(VLOOKUP($MY9,$AV$2:$BA$83,3,FALSE),0)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IFERROR(VLOOKUP($MV9,$AV$2:$BA$83,4,FALSE),0)+IFERROR(VLOOKUP($MW9,$AV$2:$BA$83,4,FALSE),0)+IFERROR(VLOOKUP($MX9,$AV$2:$BA$83,4,FALSE),0)+IFERROR(VLOOKUP($MY9,$AV$2:$BA$83,4,FALSE),0)</f>
        <v/>
      </c>
      <c r="OB9" s="155">
        <f>IFERROR(VLOOKUP($MV9,$AV$2:$BA$83,6,FALSE),0)+IFERROR(VLOOKUP($MW9,$AV$2:$BA$83,6,FALSE),0)+IFERROR(VLOOKUP($MX9,$AV$2:$BA$83,6,FALSE),0)+IFERROR(VLOOKUP($MY9,$AV$2:$BA$83,6,FALSE),0)</f>
        <v/>
      </c>
      <c r="OC9" s="155">
        <f>TEXTJOIN(", ",TRUE,IF(IFERROR(VLOOKUP($MV9,$AV$2:$BA$83,5,FALSE),0)=1,$MV9,""),IF(IFERROR(VLOOKUP($MW9,$AV$2:$BA$83,5,FALSE),0)=1,$MW9,""),IF(IFERROR(VLOOKUP($MX9,$AV$2:$BA$83,5,FALSE),0)=1,$MX9,""),IF(IFERROR(VLOOKUP($MY9,$AV$2:$BA$83,5,FALSE),0)=1,$MY9,""))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MIN($OW9,$OU9-IF($NQ9=0,0,INDEX($I$2:$N$8,MAX(1,$MQ9),$NQ9)))</f>
        <v/>
      </c>
      <c r="OY9" s="155">
        <f>$OW9-$OX9</f>
        <v/>
      </c>
      <c r="OZ9" s="155">
        <f>IF($MQ9=0,0,INDEX($P$2:$P$8,MAX(1,$MQ9)))</f>
        <v/>
      </c>
      <c r="PA9" s="155">
        <f>$OZ9-$OU9+$OX9</f>
        <v/>
      </c>
      <c r="PB9" s="155">
        <f>IF($MQ9=0,MAX(0,$NE9-IF(AND($OS9&gt;0,COUNTIF($MZ9:$NA9,"?*")=0),1,0)),MAX(0,$PA9))</f>
        <v/>
      </c>
      <c r="PC9" s="155">
        <f>IF($MQ9=0,0,(IF(COUNTIF($MV9:$MY9,"Salto")&gt;0,1,0)+IF(COUNTIF($MV9:$MY9,"Queima")&gt;0,1,0)+IF(COUNTIF($MV9:$MY9,"Estilhaço")&gt;0,1,0))*FLOOR($PB9/2,1))</f>
        <v/>
      </c>
      <c r="PD9" s="155">
        <f>MAX(0,2-SUMPRODUCT($OK9:$OP9,$I$2:$N$2)+MIN(2,$OQ9*1+$OR9*1,SUMPRODUCT($OK9:$OP9,$I$2:$N$2)-IF($NQ9=0,0,INDEX($I$2:$N$2,1,$NQ9))))</f>
        <v/>
      </c>
      <c r="PE9" s="155">
        <f>MAX(0,4-SUMPRODUCT($OK9:$OP9,$I$3:$N$3)+MIN(4,$OQ9*1+$OR9*2,SUMPRODUCT($OK9:$OP9,$I$3:$N$3)-IF($NQ9=0,0,INDEX($I$3:$N$3,1,$NQ9))))</f>
        <v/>
      </c>
      <c r="PF9" s="155">
        <f>MAX(0,6-SUMPRODUCT($OK9:$OP9,$I$4:$N$4)+MIN(6,$OQ9*2+$OR9*3,SUMPRODUCT($OK9:$OP9,$I$4:$N$4)-IF($NQ9=0,0,INDEX($I$4:$N$4,1,$NQ9))))</f>
        <v/>
      </c>
      <c r="PG9" s="155">
        <f>MAX(0,9-SUMPRODUCT($OK9:$OP9,$I$5:$N$5)+MIN(8,$OQ9*2+$OR9*4,SUMPRODUCT($OK9:$OP9,$I$5:$N$5)-IF($NQ9=0,0,INDEX($I$5:$N$5,1,$NQ9))))</f>
        <v/>
      </c>
      <c r="PH9" s="155">
        <f>MAX(0,11-SUMPRODUCT($OK9:$OP9,$I$6:$N$6)+MIN(10,$OQ9*3+$OR9*5,SUMPRODUCT($OK9:$OP9,$I$6:$N$6)-IF($NQ9=0,0,INDEX($I$6:$N$6,1,$NQ9))))</f>
        <v/>
      </c>
      <c r="PI9" s="155">
        <f>MAX(0,13-SUMPRODUCT($OK9:$OP9,$I$7:$N$7)+MIN(12,$OQ9*3+$OR9*6,SUMPRODUCT($OK9:$OP9,$I$7:$N$7)-IF($NQ9=0,0,INDEX($I$7:$N$7,1,$NQ9))))</f>
        <v/>
      </c>
      <c r="PJ9" s="155">
        <f>MAX(0,16-SUMPRODUCT($OK9:$OP9,$I$8:$N$8)+MIN(14,$OQ9*4+$OR9*7,SUMPRODUCT($OK9:$OP9,$I$8:$N$8)-IF($NQ9=0,0,INDEX($I$8:$N$8,1,$NQ9))))</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Melhoria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Escolher</t>
        </is>
      </c>
      <c r="AW10" s="153" t="inlineStr">
        <is>
          <t>Área</t>
        </is>
      </c>
      <c r="AX10" s="155" t="n">
        <v>2</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2*$FN10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SUBSTITUTE(IF($EG10&gt;2*$HA10,0,IF($EG10&gt;$HA10,$GL10/2,$GL10))&amp;"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IF($EG10&gt;2*$HA10,"⚠ ",IF($EG10&gt;$HA10,"! ",""))&amp;"EQUIPAMENTO · "&amp;$EG10&amp;" DE "&amp;$HA10&amp;" DE VOLUME"&amp;IF($EG10&gt;2*$HA10," · PASSOU DO DOBRO",IF($EG10&gt;$HA10," · ACIMA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MAX(0,INDEX($P$2:$P$8,$FN10)-INDEX($I$2:$N$8,$FN10,2+3*IF(AND(IFERROR(VLOOKUP("Inescapável",$AV$2:$BA$83,2,FALSE),"")&lt;&gt;"",OR(IFERROR(VLOOKUP("Inescapável",$AV$2:$BA$83,2,FALSE),"")=$EJ10,IFERROR(VLOOKUP("Inescapável",$AV$2:$BA$83,2,FALSE),"")=$EK10)),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IFERROR(VLOOKUP($MV10,$AV$2:$BA$83,2,FALSE),"")</f>
        <v/>
      </c>
      <c r="NJ10" s="155">
        <f>IFERROR(VLOOKUP($MW10,$AV$2:$BA$83,2,FALSE),"")</f>
        <v/>
      </c>
      <c r="NK10" s="155">
        <f>IFERROR(VLOOKUP($MX10,$AV$2:$BA$83,2,FALSE),"")</f>
        <v/>
      </c>
      <c r="NL10" s="155">
        <f>IFERROR(VLOOKUP($MY10,$AV$2:$BA$83,2,FALSE),"")</f>
        <v/>
      </c>
      <c r="NM10" s="155">
        <f>IFERROR(VLOOKUP($MV10,$AV$2:$BA$83,3,FALSE),0)</f>
        <v/>
      </c>
      <c r="NN10" s="155">
        <f>IFERROR(VLOOKUP($MW10,$AV$2:$BA$83,3,FALSE),0)</f>
        <v/>
      </c>
      <c r="NO10" s="155">
        <f>IFERROR(VLOOKUP($MX10,$AV$2:$BA$83,3,FALSE),0)</f>
        <v/>
      </c>
      <c r="NP10" s="155">
        <f>IFERROR(VLOOKUP($MY10,$AV$2:$BA$83,3,FALSE),0)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IFERROR(VLOOKUP($MV10,$AV$2:$BA$83,4,FALSE),0)+IFERROR(VLOOKUP($MW10,$AV$2:$BA$83,4,FALSE),0)+IFERROR(VLOOKUP($MX10,$AV$2:$BA$83,4,FALSE),0)+IFERROR(VLOOKUP($MY10,$AV$2:$BA$83,4,FALSE),0)</f>
        <v/>
      </c>
      <c r="OB10" s="155">
        <f>IFERROR(VLOOKUP($MV10,$AV$2:$BA$83,6,FALSE),0)+IFERROR(VLOOKUP($MW10,$AV$2:$BA$83,6,FALSE),0)+IFERROR(VLOOKUP($MX10,$AV$2:$BA$83,6,FALSE),0)+IFERROR(VLOOKUP($MY10,$AV$2:$BA$83,6,FALSE),0)</f>
        <v/>
      </c>
      <c r="OC10" s="155">
        <f>TEXTJOIN(", ",TRUE,IF(IFERROR(VLOOKUP($MV10,$AV$2:$BA$83,5,FALSE),0)=1,$MV10,""),IF(IFERROR(VLOOKUP($MW10,$AV$2:$BA$83,5,FALSE),0)=1,$MW10,""),IF(IFERROR(VLOOKUP($MX10,$AV$2:$BA$83,5,FALSE),0)=1,$MX10,""),IF(IFERROR(VLOOKUP($MY10,$AV$2:$BA$83,5,FALSE),0)=1,$MY10,""))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MIN($OW10,$OU10-IF($NQ10=0,0,INDEX($I$2:$N$8,MAX(1,$MQ10),$NQ10)))</f>
        <v/>
      </c>
      <c r="OY10" s="155">
        <f>$OW10-$OX10</f>
        <v/>
      </c>
      <c r="OZ10" s="155">
        <f>IF($MQ10=0,0,INDEX($P$2:$P$8,MAX(1,$MQ10)))</f>
        <v/>
      </c>
      <c r="PA10" s="155">
        <f>$OZ10-$OU10+$OX10</f>
        <v/>
      </c>
      <c r="PB10" s="155">
        <f>IF($MQ10=0,MAX(0,$NE10-IF(AND($OS10&gt;0,COUNTIF($MZ10:$NA10,"?*")=0),1,0)),MAX(0,$PA10))</f>
        <v/>
      </c>
      <c r="PC10" s="155">
        <f>IF($MQ10=0,0,(IF(COUNTIF($MV10:$MY10,"Salto")&gt;0,1,0)+IF(COUNTIF($MV10:$MY10,"Queima")&gt;0,1,0)+IF(COUNTIF($MV10:$MY10,"Estilhaço")&gt;0,1,0))*FLOOR($PB10/2,1))</f>
        <v/>
      </c>
      <c r="PD10" s="155">
        <f>MAX(0,2-SUMPRODUCT($OK10:$OP10,$I$2:$N$2)+MIN(2,$OQ10*1+$OR10*1,SUMPRODUCT($OK10:$OP10,$I$2:$N$2)-IF($NQ10=0,0,INDEX($I$2:$N$2,1,$NQ10))))</f>
        <v/>
      </c>
      <c r="PE10" s="155">
        <f>MAX(0,4-SUMPRODUCT($OK10:$OP10,$I$3:$N$3)+MIN(4,$OQ10*1+$OR10*2,SUMPRODUCT($OK10:$OP10,$I$3:$N$3)-IF($NQ10=0,0,INDEX($I$3:$N$3,1,$NQ10))))</f>
        <v/>
      </c>
      <c r="PF10" s="155">
        <f>MAX(0,6-SUMPRODUCT($OK10:$OP10,$I$4:$N$4)+MIN(6,$OQ10*2+$OR10*3,SUMPRODUCT($OK10:$OP10,$I$4:$N$4)-IF($NQ10=0,0,INDEX($I$4:$N$4,1,$NQ10))))</f>
        <v/>
      </c>
      <c r="PG10" s="155">
        <f>MAX(0,9-SUMPRODUCT($OK10:$OP10,$I$5:$N$5)+MIN(8,$OQ10*2+$OR10*4,SUMPRODUCT($OK10:$OP10,$I$5:$N$5)-IF($NQ10=0,0,INDEX($I$5:$N$5,1,$NQ10))))</f>
        <v/>
      </c>
      <c r="PH10" s="155">
        <f>MAX(0,11-SUMPRODUCT($OK10:$OP10,$I$6:$N$6)+MIN(10,$OQ10*3+$OR10*5,SUMPRODUCT($OK10:$OP10,$I$6:$N$6)-IF($NQ10=0,0,INDEX($I$6:$N$6,1,$NQ10))))</f>
        <v/>
      </c>
      <c r="PI10" s="155">
        <f>MAX(0,13-SUMPRODUCT($OK10:$OP10,$I$7:$N$7)+MIN(12,$OQ10*3+$OR10*6,SUMPRODUCT($OK10:$OP10,$I$7:$N$7)-IF($NQ10=0,0,INDEX($I$7:$N$7,1,$NQ10))))</f>
        <v/>
      </c>
      <c r="PJ10" s="155">
        <f>MAX(0,16-SUMPRODUCT($OK10:$OP10,$I$8:$N$8)+MIN(14,$OQ10*4+$OR10*7,SUMPRODUCT($OK10:$OP10,$I$8:$N$8)-IF($NQ10=0,0,INDEX($I$8:$N$8,1,$NQ10))))</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Melhoria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Mais Um</t>
        </is>
      </c>
      <c r="AW11" s="153" t="inlineStr">
        <is>
          <t>Área</t>
        </is>
      </c>
      <c r="AX11" s="155" t="n">
        <v>1</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2*$FN11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SUBSTITUTE(IF($EG11&gt;2*$HA11,0,IF($EG11&gt;$HA11,$GL11/2,$GL11))&amp;"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IF($EG11&gt;2*$HA11,"⚠ ",IF($EG11&gt;$HA11,"! ",""))&amp;"EQUIPAMENTO · "&amp;$EG11&amp;" DE "&amp;$HA11&amp;" DE VOLUME"&amp;IF($EG11&gt;2*$HA11," · PASSOU DO DOBRO",IF($EG11&gt;$HA11," · ACIMA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MAX(0,INDEX($P$2:$P$8,$FN11)-INDEX($I$2:$N$8,$FN11,2+3*IF(AND(IFERROR(VLOOKUP("Inescapável",$AV$2:$BA$83,2,FALSE),"")&lt;&gt;"",OR(IFERROR(VLOOKUP("Inescapável",$AV$2:$BA$83,2,FALSE),"")=$EJ11,IFERROR(VLOOKUP("Inescapável",$AV$2:$BA$83,2,FALSE),"")=$EK11)),1,0)))&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IFERROR(VLOOKUP($MV11,$AV$2:$BA$83,2,FALSE),"")</f>
        <v/>
      </c>
      <c r="NJ11" s="155">
        <f>IFERROR(VLOOKUP($MW11,$AV$2:$BA$83,2,FALSE),"")</f>
        <v/>
      </c>
      <c r="NK11" s="155">
        <f>IFERROR(VLOOKUP($MX11,$AV$2:$BA$83,2,FALSE),"")</f>
        <v/>
      </c>
      <c r="NL11" s="155">
        <f>IFERROR(VLOOKUP($MY11,$AV$2:$BA$83,2,FALSE),"")</f>
        <v/>
      </c>
      <c r="NM11" s="155">
        <f>IFERROR(VLOOKUP($MV11,$AV$2:$BA$83,3,FALSE),0)</f>
        <v/>
      </c>
      <c r="NN11" s="155">
        <f>IFERROR(VLOOKUP($MW11,$AV$2:$BA$83,3,FALSE),0)</f>
        <v/>
      </c>
      <c r="NO11" s="155">
        <f>IFERROR(VLOOKUP($MX11,$AV$2:$BA$83,3,FALSE),0)</f>
        <v/>
      </c>
      <c r="NP11" s="155">
        <f>IFERROR(VLOOKUP($MY11,$AV$2:$BA$83,3,FALSE),0)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IFERROR(VLOOKUP($MV11,$AV$2:$BA$83,4,FALSE),0)+IFERROR(VLOOKUP($MW11,$AV$2:$BA$83,4,FALSE),0)+IFERROR(VLOOKUP($MX11,$AV$2:$BA$83,4,FALSE),0)+IFERROR(VLOOKUP($MY11,$AV$2:$BA$83,4,FALSE),0)</f>
        <v/>
      </c>
      <c r="OB11" s="155">
        <f>IFERROR(VLOOKUP($MV11,$AV$2:$BA$83,6,FALSE),0)+IFERROR(VLOOKUP($MW11,$AV$2:$BA$83,6,FALSE),0)+IFERROR(VLOOKUP($MX11,$AV$2:$BA$83,6,FALSE),0)+IFERROR(VLOOKUP($MY11,$AV$2:$BA$83,6,FALSE),0)</f>
        <v/>
      </c>
      <c r="OC11" s="155">
        <f>TEXTJOIN(", ",TRUE,IF(IFERROR(VLOOKUP($MV11,$AV$2:$BA$83,5,FALSE),0)=1,$MV11,""),IF(IFERROR(VLOOKUP($MW11,$AV$2:$BA$83,5,FALSE),0)=1,$MW11,""),IF(IFERROR(VLOOKUP($MX11,$AV$2:$BA$83,5,FALSE),0)=1,$MX11,""),IF(IFERROR(VLOOKUP($MY11,$AV$2:$BA$83,5,FALSE),0)=1,$MY11,""))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MIN($OW11,$OU11-IF($NQ11=0,0,INDEX($I$2:$N$8,MAX(1,$MQ11),$NQ11)))</f>
        <v/>
      </c>
      <c r="OY11" s="155">
        <f>$OW11-$OX11</f>
        <v/>
      </c>
      <c r="OZ11" s="155">
        <f>IF($MQ11=0,0,INDEX($P$2:$P$8,MAX(1,$MQ11)))</f>
        <v/>
      </c>
      <c r="PA11" s="155">
        <f>$OZ11-$OU11+$OX11</f>
        <v/>
      </c>
      <c r="PB11" s="155">
        <f>IF($MQ11=0,MAX(0,$NE11-IF(AND($OS11&gt;0,COUNTIF($MZ11:$NA11,"?*")=0),1,0)),MAX(0,$PA11))</f>
        <v/>
      </c>
      <c r="PC11" s="155">
        <f>IF($MQ11=0,0,(IF(COUNTIF($MV11:$MY11,"Salto")&gt;0,1,0)+IF(COUNTIF($MV11:$MY11,"Queima")&gt;0,1,0)+IF(COUNTIF($MV11:$MY11,"Estilhaço")&gt;0,1,0))*FLOOR($PB11/2,1))</f>
        <v/>
      </c>
      <c r="PD11" s="155">
        <f>MAX(0,2-SUMPRODUCT($OK11:$OP11,$I$2:$N$2)+MIN(2,$OQ11*1+$OR11*1,SUMPRODUCT($OK11:$OP11,$I$2:$N$2)-IF($NQ11=0,0,INDEX($I$2:$N$2,1,$NQ11))))</f>
        <v/>
      </c>
      <c r="PE11" s="155">
        <f>MAX(0,4-SUMPRODUCT($OK11:$OP11,$I$3:$N$3)+MIN(4,$OQ11*1+$OR11*2,SUMPRODUCT($OK11:$OP11,$I$3:$N$3)-IF($NQ11=0,0,INDEX($I$3:$N$3,1,$NQ11))))</f>
        <v/>
      </c>
      <c r="PF11" s="155">
        <f>MAX(0,6-SUMPRODUCT($OK11:$OP11,$I$4:$N$4)+MIN(6,$OQ11*2+$OR11*3,SUMPRODUCT($OK11:$OP11,$I$4:$N$4)-IF($NQ11=0,0,INDEX($I$4:$N$4,1,$NQ11))))</f>
        <v/>
      </c>
      <c r="PG11" s="155">
        <f>MAX(0,9-SUMPRODUCT($OK11:$OP11,$I$5:$N$5)+MIN(8,$OQ11*2+$OR11*4,SUMPRODUCT($OK11:$OP11,$I$5:$N$5)-IF($NQ11=0,0,INDEX($I$5:$N$5,1,$NQ11))))</f>
        <v/>
      </c>
      <c r="PH11" s="155">
        <f>MAX(0,11-SUMPRODUCT($OK11:$OP11,$I$6:$N$6)+MIN(10,$OQ11*3+$OR11*5,SUMPRODUCT($OK11:$OP11,$I$6:$N$6)-IF($NQ11=0,0,INDEX($I$6:$N$6,1,$NQ11))))</f>
        <v/>
      </c>
      <c r="PI11" s="155">
        <f>MAX(0,13-SUMPRODUCT($OK11:$OP11,$I$7:$N$7)+MIN(12,$OQ11*3+$OR11*6,SUMPRODUCT($OK11:$OP11,$I$7:$N$7)-IF($NQ11=0,0,INDEX($I$7:$N$7,1,$NQ11))))</f>
        <v/>
      </c>
      <c r="PJ11" s="155">
        <f>MAX(0,16-SUMPRODUCT($OK11:$OP11,$I$8:$N$8)+MIN(14,$OQ11*4+$OR11*7,SUMPRODUCT($OK11:$OP11,$I$8:$N$8)-IF($NQ11=0,0,INDEX($I$8:$N$8,1,$NQ11))))</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Melhoria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Rajada</t>
        </is>
      </c>
      <c r="AW12" s="153" t="inlineStr">
        <is>
          <t>Área</t>
        </is>
      </c>
      <c r="AX12" s="155" t="n">
        <v>1</v>
      </c>
      <c r="AY12" s="155" t="n">
        <v>0</v>
      </c>
      <c r="AZ12" s="155" t="n">
        <v>1</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2*$FN12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SUBSTITUTE(IF($EG12&gt;2*$HA12,0,IF($EG12&gt;$HA12,$GL12/2,$GL12))&amp;"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IF($EG12&gt;2*$HA12,"⚠ ",IF($EG12&gt;$HA12,"! ",""))&amp;"EQUIPAMENTO · "&amp;$EG12&amp;" DE "&amp;$HA12&amp;" DE VOLUME"&amp;IF($EG12&gt;2*$HA12," · PASSOU DO DOBRO",IF($EG12&gt;$HA12," · ACIMA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MAX(0,INDEX($P$2:$P$8,$FN12)-INDEX($I$2:$N$8,$FN12,2+3*IF(AND(IFERROR(VLOOKUP("Inescapável",$AV$2:$BA$83,2,FALSE),"")&lt;&gt;"",OR(IFERROR(VLOOKUP("Inescapável",$AV$2:$BA$83,2,FALSE),"")=$EJ12,IFERROR(VLOOKUP("Inescapável",$AV$2:$BA$83,2,FALSE),"")=$EK12)),1,0)))&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IFERROR(VLOOKUP($MV12,$AV$2:$BA$83,2,FALSE),"")</f>
        <v/>
      </c>
      <c r="NJ12" s="155">
        <f>IFERROR(VLOOKUP($MW12,$AV$2:$BA$83,2,FALSE),"")</f>
        <v/>
      </c>
      <c r="NK12" s="155">
        <f>IFERROR(VLOOKUP($MX12,$AV$2:$BA$83,2,FALSE),"")</f>
        <v/>
      </c>
      <c r="NL12" s="155">
        <f>IFERROR(VLOOKUP($MY12,$AV$2:$BA$83,2,FALSE),"")</f>
        <v/>
      </c>
      <c r="NM12" s="155">
        <f>IFERROR(VLOOKUP($MV12,$AV$2:$BA$83,3,FALSE),0)</f>
        <v/>
      </c>
      <c r="NN12" s="155">
        <f>IFERROR(VLOOKUP($MW12,$AV$2:$BA$83,3,FALSE),0)</f>
        <v/>
      </c>
      <c r="NO12" s="155">
        <f>IFERROR(VLOOKUP($MX12,$AV$2:$BA$83,3,FALSE),0)</f>
        <v/>
      </c>
      <c r="NP12" s="155">
        <f>IFERROR(VLOOKUP($MY12,$AV$2:$BA$83,3,FALSE),0)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IFERROR(VLOOKUP($MV12,$AV$2:$BA$83,4,FALSE),0)+IFERROR(VLOOKUP($MW12,$AV$2:$BA$83,4,FALSE),0)+IFERROR(VLOOKUP($MX12,$AV$2:$BA$83,4,FALSE),0)+IFERROR(VLOOKUP($MY12,$AV$2:$BA$83,4,FALSE),0)</f>
        <v/>
      </c>
      <c r="OB12" s="155">
        <f>IFERROR(VLOOKUP($MV12,$AV$2:$BA$83,6,FALSE),0)+IFERROR(VLOOKUP($MW12,$AV$2:$BA$83,6,FALSE),0)+IFERROR(VLOOKUP($MX12,$AV$2:$BA$83,6,FALSE),0)+IFERROR(VLOOKUP($MY12,$AV$2:$BA$83,6,FALSE),0)</f>
        <v/>
      </c>
      <c r="OC12" s="155">
        <f>TEXTJOIN(", ",TRUE,IF(IFERROR(VLOOKUP($MV12,$AV$2:$BA$83,5,FALSE),0)=1,$MV12,""),IF(IFERROR(VLOOKUP($MW12,$AV$2:$BA$83,5,FALSE),0)=1,$MW12,""),IF(IFERROR(VLOOKUP($MX12,$AV$2:$BA$83,5,FALSE),0)=1,$MX12,""),IF(IFERROR(VLOOKUP($MY12,$AV$2:$BA$83,5,FALSE),0)=1,$MY12,""))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MIN($OW12,$OU12-IF($NQ12=0,0,INDEX($I$2:$N$8,MAX(1,$MQ12),$NQ12)))</f>
        <v/>
      </c>
      <c r="OY12" s="155">
        <f>$OW12-$OX12</f>
        <v/>
      </c>
      <c r="OZ12" s="155">
        <f>IF($MQ12=0,0,INDEX($P$2:$P$8,MAX(1,$MQ12)))</f>
        <v/>
      </c>
      <c r="PA12" s="155">
        <f>$OZ12-$OU12+$OX12</f>
        <v/>
      </c>
      <c r="PB12" s="155">
        <f>IF($MQ12=0,MAX(0,$NE12-IF(AND($OS12&gt;0,COUNTIF($MZ12:$NA12,"?*")=0),1,0)),MAX(0,$PA12))</f>
        <v/>
      </c>
      <c r="PC12" s="155">
        <f>IF($MQ12=0,0,(IF(COUNTIF($MV12:$MY12,"Salto")&gt;0,1,0)+IF(COUNTIF($MV12:$MY12,"Queima")&gt;0,1,0)+IF(COUNTIF($MV12:$MY12,"Estilhaço")&gt;0,1,0))*FLOOR($PB12/2,1))</f>
        <v/>
      </c>
      <c r="PD12" s="155">
        <f>MAX(0,2-SUMPRODUCT($OK12:$OP12,$I$2:$N$2)+MIN(2,$OQ12*1+$OR12*1,SUMPRODUCT($OK12:$OP12,$I$2:$N$2)-IF($NQ12=0,0,INDEX($I$2:$N$2,1,$NQ12))))</f>
        <v/>
      </c>
      <c r="PE12" s="155">
        <f>MAX(0,4-SUMPRODUCT($OK12:$OP12,$I$3:$N$3)+MIN(4,$OQ12*1+$OR12*2,SUMPRODUCT($OK12:$OP12,$I$3:$N$3)-IF($NQ12=0,0,INDEX($I$3:$N$3,1,$NQ12))))</f>
        <v/>
      </c>
      <c r="PF12" s="155">
        <f>MAX(0,6-SUMPRODUCT($OK12:$OP12,$I$4:$N$4)+MIN(6,$OQ12*2+$OR12*3,SUMPRODUCT($OK12:$OP12,$I$4:$N$4)-IF($NQ12=0,0,INDEX($I$4:$N$4,1,$NQ12))))</f>
        <v/>
      </c>
      <c r="PG12" s="155">
        <f>MAX(0,9-SUMPRODUCT($OK12:$OP12,$I$5:$N$5)+MIN(8,$OQ12*2+$OR12*4,SUMPRODUCT($OK12:$OP12,$I$5:$N$5)-IF($NQ12=0,0,INDEX($I$5:$N$5,1,$NQ12))))</f>
        <v/>
      </c>
      <c r="PH12" s="155">
        <f>MAX(0,11-SUMPRODUCT($OK12:$OP12,$I$6:$N$6)+MIN(10,$OQ12*3+$OR12*5,SUMPRODUCT($OK12:$OP12,$I$6:$N$6)-IF($NQ12=0,0,INDEX($I$6:$N$6,1,$NQ12))))</f>
        <v/>
      </c>
      <c r="PI12" s="155">
        <f>MAX(0,13-SUMPRODUCT($OK12:$OP12,$I$7:$N$7)+MIN(12,$OQ12*3+$OR12*6,SUMPRODUCT($OK12:$OP12,$I$7:$N$7)-IF($NQ12=0,0,INDEX($I$7:$N$7,1,$NQ12))))</f>
        <v/>
      </c>
      <c r="PJ12" s="155">
        <f>MAX(0,16-SUMPRODUCT($OK12:$OP12,$I$8:$N$8)+MIN(14,$OQ12*4+$OR12*7,SUMPRODUCT($OK12:$OP12,$I$8:$N$8)-IF($NQ12=0,0,INDEX($I$8:$N$8,1,$NQ12))))</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Melhoria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Fica</t>
        </is>
      </c>
      <c r="AW13" s="153" t="inlineStr">
        <is>
          <t>Área</t>
        </is>
      </c>
      <c r="AX13" s="155" t="n">
        <v>2</v>
      </c>
      <c r="AY13" s="155" t="n">
        <v>0</v>
      </c>
      <c r="AZ13" s="155" t="n">
        <v>0</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2*$FN13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SUBSTITUTE(IF($EG13&gt;2*$HA13,0,IF($EG13&gt;$HA13,$GL13/2,$GL13))&amp;"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IF($EG13&gt;2*$HA13,"⚠ ",IF($EG13&gt;$HA13,"! ",""))&amp;"EQUIPAMENTO · "&amp;$EG13&amp;" DE "&amp;$HA13&amp;" DE VOLUME"&amp;IF($EG13&gt;2*$HA13," · PASSOU DO DOBRO",IF($EG13&gt;$HA13," · ACIMA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MAX(0,INDEX($P$2:$P$8,$FN13)-INDEX($I$2:$N$8,$FN13,2+3*IF(AND(IFERROR(VLOOKUP("Inescapável",$AV$2:$BA$83,2,FALSE),"")&lt;&gt;"",OR(IFERROR(VLOOKUP("Inescapável",$AV$2:$BA$83,2,FALSE),"")=$EJ13,IFERROR(VLOOKUP("Inescapável",$AV$2:$BA$83,2,FALSE),"")=$EK13)),1,0)))&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IFERROR(VLOOKUP($MV13,$AV$2:$BA$83,2,FALSE),"")</f>
        <v/>
      </c>
      <c r="NJ13" s="155">
        <f>IFERROR(VLOOKUP($MW13,$AV$2:$BA$83,2,FALSE),"")</f>
        <v/>
      </c>
      <c r="NK13" s="155">
        <f>IFERROR(VLOOKUP($MX13,$AV$2:$BA$83,2,FALSE),"")</f>
        <v/>
      </c>
      <c r="NL13" s="155">
        <f>IFERROR(VLOOKUP($MY13,$AV$2:$BA$83,2,FALSE),"")</f>
        <v/>
      </c>
      <c r="NM13" s="155">
        <f>IFERROR(VLOOKUP($MV13,$AV$2:$BA$83,3,FALSE),0)</f>
        <v/>
      </c>
      <c r="NN13" s="155">
        <f>IFERROR(VLOOKUP($MW13,$AV$2:$BA$83,3,FALSE),0)</f>
        <v/>
      </c>
      <c r="NO13" s="155">
        <f>IFERROR(VLOOKUP($MX13,$AV$2:$BA$83,3,FALSE),0)</f>
        <v/>
      </c>
      <c r="NP13" s="155">
        <f>IFERROR(VLOOKUP($MY13,$AV$2:$BA$83,3,FALSE),0)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IFERROR(VLOOKUP($MV13,$AV$2:$BA$83,4,FALSE),0)+IFERROR(VLOOKUP($MW13,$AV$2:$BA$83,4,FALSE),0)+IFERROR(VLOOKUP($MX13,$AV$2:$BA$83,4,FALSE),0)+IFERROR(VLOOKUP($MY13,$AV$2:$BA$83,4,FALSE),0)</f>
        <v/>
      </c>
      <c r="OB13" s="155">
        <f>IFERROR(VLOOKUP($MV13,$AV$2:$BA$83,6,FALSE),0)+IFERROR(VLOOKUP($MW13,$AV$2:$BA$83,6,FALSE),0)+IFERROR(VLOOKUP($MX13,$AV$2:$BA$83,6,FALSE),0)+IFERROR(VLOOKUP($MY13,$AV$2:$BA$83,6,FALSE),0)</f>
        <v/>
      </c>
      <c r="OC13" s="155">
        <f>TEXTJOIN(", ",TRUE,IF(IFERROR(VLOOKUP($MV13,$AV$2:$BA$83,5,FALSE),0)=1,$MV13,""),IF(IFERROR(VLOOKUP($MW13,$AV$2:$BA$83,5,FALSE),0)=1,$MW13,""),IF(IFERROR(VLOOKUP($MX13,$AV$2:$BA$83,5,FALSE),0)=1,$MX13,""),IF(IFERROR(VLOOKUP($MY13,$AV$2:$BA$83,5,FALSE),0)=1,$MY13,""))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MIN($OW13,$OU13-IF($NQ13=0,0,INDEX($I$2:$N$8,MAX(1,$MQ13),$NQ13)))</f>
        <v/>
      </c>
      <c r="OY13" s="155">
        <f>$OW13-$OX13</f>
        <v/>
      </c>
      <c r="OZ13" s="155">
        <f>IF($MQ13=0,0,INDEX($P$2:$P$8,MAX(1,$MQ13)))</f>
        <v/>
      </c>
      <c r="PA13" s="155">
        <f>$OZ13-$OU13+$OX13</f>
        <v/>
      </c>
      <c r="PB13" s="155">
        <f>IF($MQ13=0,MAX(0,$NE13-IF(AND($OS13&gt;0,COUNTIF($MZ13:$NA13,"?*")=0),1,0)),MAX(0,$PA13))</f>
        <v/>
      </c>
      <c r="PC13" s="155">
        <f>IF($MQ13=0,0,(IF(COUNTIF($MV13:$MY13,"Salto")&gt;0,1,0)+IF(COUNTIF($MV13:$MY13,"Queima")&gt;0,1,0)+IF(COUNTIF($MV13:$MY13,"Estilhaço")&gt;0,1,0))*FLOOR($PB13/2,1))</f>
        <v/>
      </c>
      <c r="PD13" s="155">
        <f>MAX(0,2-SUMPRODUCT($OK13:$OP13,$I$2:$N$2)+MIN(2,$OQ13*1+$OR13*1,SUMPRODUCT($OK13:$OP13,$I$2:$N$2)-IF($NQ13=0,0,INDEX($I$2:$N$2,1,$NQ13))))</f>
        <v/>
      </c>
      <c r="PE13" s="155">
        <f>MAX(0,4-SUMPRODUCT($OK13:$OP13,$I$3:$N$3)+MIN(4,$OQ13*1+$OR13*2,SUMPRODUCT($OK13:$OP13,$I$3:$N$3)-IF($NQ13=0,0,INDEX($I$3:$N$3,1,$NQ13))))</f>
        <v/>
      </c>
      <c r="PF13" s="155">
        <f>MAX(0,6-SUMPRODUCT($OK13:$OP13,$I$4:$N$4)+MIN(6,$OQ13*2+$OR13*3,SUMPRODUCT($OK13:$OP13,$I$4:$N$4)-IF($NQ13=0,0,INDEX($I$4:$N$4,1,$NQ13))))</f>
        <v/>
      </c>
      <c r="PG13" s="155">
        <f>MAX(0,9-SUMPRODUCT($OK13:$OP13,$I$5:$N$5)+MIN(8,$OQ13*2+$OR13*4,SUMPRODUCT($OK13:$OP13,$I$5:$N$5)-IF($NQ13=0,0,INDEX($I$5:$N$5,1,$NQ13))))</f>
        <v/>
      </c>
      <c r="PH13" s="155">
        <f>MAX(0,11-SUMPRODUCT($OK13:$OP13,$I$6:$N$6)+MIN(10,$OQ13*3+$OR13*5,SUMPRODUCT($OK13:$OP13,$I$6:$N$6)-IF($NQ13=0,0,INDEX($I$6:$N$6,1,$NQ13))))</f>
        <v/>
      </c>
      <c r="PI13" s="155">
        <f>MAX(0,13-SUMPRODUCT($OK13:$OP13,$I$7:$N$7)+MIN(12,$OQ13*3+$OR13*6,SUMPRODUCT($OK13:$OP13,$I$7:$N$7)-IF($NQ13=0,0,INDEX($I$7:$N$7,1,$NQ13))))</f>
        <v/>
      </c>
      <c r="PJ13" s="155">
        <f>MAX(0,16-SUMPRODUCT($OK13:$OP13,$I$8:$N$8)+MIN(14,$OQ13*4+$OR13*7,SUMPRODUCT($OK13:$OP13,$I$8:$N$8)-IF($NQ13=0,0,INDEX($I$8:$N$8,1,$NQ13))))</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Melhoria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Salto</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IFERROR(VLOOKUP($MV14,$AV$2:$BA$83,2,FALSE),"")</f>
        <v/>
      </c>
      <c r="NJ14" s="155">
        <f>IFERROR(VLOOKUP($MW14,$AV$2:$BA$83,2,FALSE),"")</f>
        <v/>
      </c>
      <c r="NK14" s="155">
        <f>IFERROR(VLOOKUP($MX14,$AV$2:$BA$83,2,FALSE),"")</f>
        <v/>
      </c>
      <c r="NL14" s="155">
        <f>IFERROR(VLOOKUP($MY14,$AV$2:$BA$83,2,FALSE),"")</f>
        <v/>
      </c>
      <c r="NM14" s="155">
        <f>IFERROR(VLOOKUP($MV14,$AV$2:$BA$83,3,FALSE),0)</f>
        <v/>
      </c>
      <c r="NN14" s="155">
        <f>IFERROR(VLOOKUP($MW14,$AV$2:$BA$83,3,FALSE),0)</f>
        <v/>
      </c>
      <c r="NO14" s="155">
        <f>IFERROR(VLOOKUP($MX14,$AV$2:$BA$83,3,FALSE),0)</f>
        <v/>
      </c>
      <c r="NP14" s="155">
        <f>IFERROR(VLOOKUP($MY14,$AV$2:$BA$83,3,FALSE),0)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IFERROR(VLOOKUP($MV14,$AV$2:$BA$83,4,FALSE),0)+IFERROR(VLOOKUP($MW14,$AV$2:$BA$83,4,FALSE),0)+IFERROR(VLOOKUP($MX14,$AV$2:$BA$83,4,FALSE),0)+IFERROR(VLOOKUP($MY14,$AV$2:$BA$83,4,FALSE),0)</f>
        <v/>
      </c>
      <c r="OB14" s="155">
        <f>IFERROR(VLOOKUP($MV14,$AV$2:$BA$83,6,FALSE),0)+IFERROR(VLOOKUP($MW14,$AV$2:$BA$83,6,FALSE),0)+IFERROR(VLOOKUP($MX14,$AV$2:$BA$83,6,FALSE),0)+IFERROR(VLOOKUP($MY14,$AV$2:$BA$83,6,FALSE),0)</f>
        <v/>
      </c>
      <c r="OC14" s="155">
        <f>TEXTJOIN(", ",TRUE,IF(IFERROR(VLOOKUP($MV14,$AV$2:$BA$83,5,FALSE),0)=1,$MV14,""),IF(IFERROR(VLOOKUP($MW14,$AV$2:$BA$83,5,FALSE),0)=1,$MW14,""),IF(IFERROR(VLOOKUP($MX14,$AV$2:$BA$83,5,FALSE),0)=1,$MX14,""),IF(IFERROR(VLOOKUP($MY14,$AV$2:$BA$83,5,FALSE),0)=1,$MY14,""))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MIN($OW14,$OU14-IF($NQ14=0,0,INDEX($I$2:$N$8,MAX(1,$MQ14),$NQ14)))</f>
        <v/>
      </c>
      <c r="OY14" s="155">
        <f>$OW14-$OX14</f>
        <v/>
      </c>
      <c r="OZ14" s="155">
        <f>IF($MQ14=0,0,INDEX($P$2:$P$8,MAX(1,$MQ14)))</f>
        <v/>
      </c>
      <c r="PA14" s="155">
        <f>$OZ14-$OU14+$OX14</f>
        <v/>
      </c>
      <c r="PB14" s="155">
        <f>IF($MQ14=0,MAX(0,$NE14-IF(AND($OS14&gt;0,COUNTIF($MZ14:$NA14,"?*")=0),1,0)),MAX(0,$PA14))</f>
        <v/>
      </c>
      <c r="PC14" s="155">
        <f>IF($MQ14=0,0,(IF(COUNTIF($MV14:$MY14,"Salto")&gt;0,1,0)+IF(COUNTIF($MV14:$MY14,"Queima")&gt;0,1,0)+IF(COUNTIF($MV14:$MY14,"Estilhaço")&gt;0,1,0))*FLOOR($PB14/2,1))</f>
        <v/>
      </c>
      <c r="PD14" s="155">
        <f>MAX(0,2-SUMPRODUCT($OK14:$OP14,$I$2:$N$2)+MIN(2,$OQ14*1+$OR14*1,SUMPRODUCT($OK14:$OP14,$I$2:$N$2)-IF($NQ14=0,0,INDEX($I$2:$N$2,1,$NQ14))))</f>
        <v/>
      </c>
      <c r="PE14" s="155">
        <f>MAX(0,4-SUMPRODUCT($OK14:$OP14,$I$3:$N$3)+MIN(4,$OQ14*1+$OR14*2,SUMPRODUCT($OK14:$OP14,$I$3:$N$3)-IF($NQ14=0,0,INDEX($I$3:$N$3,1,$NQ14))))</f>
        <v/>
      </c>
      <c r="PF14" s="155">
        <f>MAX(0,6-SUMPRODUCT($OK14:$OP14,$I$4:$N$4)+MIN(6,$OQ14*2+$OR14*3,SUMPRODUCT($OK14:$OP14,$I$4:$N$4)-IF($NQ14=0,0,INDEX($I$4:$N$4,1,$NQ14))))</f>
        <v/>
      </c>
      <c r="PG14" s="155">
        <f>MAX(0,9-SUMPRODUCT($OK14:$OP14,$I$5:$N$5)+MIN(8,$OQ14*2+$OR14*4,SUMPRODUCT($OK14:$OP14,$I$5:$N$5)-IF($NQ14=0,0,INDEX($I$5:$N$5,1,$NQ14))))</f>
        <v/>
      </c>
      <c r="PH14" s="155">
        <f>MAX(0,11-SUMPRODUCT($OK14:$OP14,$I$6:$N$6)+MIN(10,$OQ14*3+$OR14*5,SUMPRODUCT($OK14:$OP14,$I$6:$N$6)-IF($NQ14=0,0,INDEX($I$6:$N$6,1,$NQ14))))</f>
        <v/>
      </c>
      <c r="PI14" s="155">
        <f>MAX(0,13-SUMPRODUCT($OK14:$OP14,$I$7:$N$7)+MIN(12,$OQ14*3+$OR14*6,SUMPRODUCT($OK14:$OP14,$I$7:$N$7)-IF($NQ14=0,0,INDEX($I$7:$N$7,1,$NQ14))))</f>
        <v/>
      </c>
      <c r="PJ14" s="155">
        <f>MAX(0,16-SUMPRODUCT($OK14:$OP14,$I$8:$N$8)+MIN(14,$OQ14*4+$OR14*7,SUMPRODUCT($OK14:$OP14,$I$8:$N$8)-IF($NQ14=0,0,INDEX($I$8:$N$8,1,$NQ14))))</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Melhoria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Contorno</t>
        </is>
      </c>
      <c r="AW15" s="153" t="inlineStr">
        <is>
          <t>Área</t>
        </is>
      </c>
      <c r="AX15" s="155" t="n">
        <v>1</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IFERROR(VLOOKUP($MV15,$AV$2:$BA$83,2,FALSE),"")</f>
        <v/>
      </c>
      <c r="NJ15" s="155">
        <f>IFERROR(VLOOKUP($MW15,$AV$2:$BA$83,2,FALSE),"")</f>
        <v/>
      </c>
      <c r="NK15" s="155">
        <f>IFERROR(VLOOKUP($MX15,$AV$2:$BA$83,2,FALSE),"")</f>
        <v/>
      </c>
      <c r="NL15" s="155">
        <f>IFERROR(VLOOKUP($MY15,$AV$2:$BA$83,2,FALSE),"")</f>
        <v/>
      </c>
      <c r="NM15" s="155">
        <f>IFERROR(VLOOKUP($MV15,$AV$2:$BA$83,3,FALSE),0)</f>
        <v/>
      </c>
      <c r="NN15" s="155">
        <f>IFERROR(VLOOKUP($MW15,$AV$2:$BA$83,3,FALSE),0)</f>
        <v/>
      </c>
      <c r="NO15" s="155">
        <f>IFERROR(VLOOKUP($MX15,$AV$2:$BA$83,3,FALSE),0)</f>
        <v/>
      </c>
      <c r="NP15" s="155">
        <f>IFERROR(VLOOKUP($MY15,$AV$2:$BA$83,3,FALSE),0)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IFERROR(VLOOKUP($MV15,$AV$2:$BA$83,4,FALSE),0)+IFERROR(VLOOKUP($MW15,$AV$2:$BA$83,4,FALSE),0)+IFERROR(VLOOKUP($MX15,$AV$2:$BA$83,4,FALSE),0)+IFERROR(VLOOKUP($MY15,$AV$2:$BA$83,4,FALSE),0)</f>
        <v/>
      </c>
      <c r="OB15" s="155">
        <f>IFERROR(VLOOKUP($MV15,$AV$2:$BA$83,6,FALSE),0)+IFERROR(VLOOKUP($MW15,$AV$2:$BA$83,6,FALSE),0)+IFERROR(VLOOKUP($MX15,$AV$2:$BA$83,6,FALSE),0)+IFERROR(VLOOKUP($MY15,$AV$2:$BA$83,6,FALSE),0)</f>
        <v/>
      </c>
      <c r="OC15" s="155">
        <f>TEXTJOIN(", ",TRUE,IF(IFERROR(VLOOKUP($MV15,$AV$2:$BA$83,5,FALSE),0)=1,$MV15,""),IF(IFERROR(VLOOKUP($MW15,$AV$2:$BA$83,5,FALSE),0)=1,$MW15,""),IF(IFERROR(VLOOKUP($MX15,$AV$2:$BA$83,5,FALSE),0)=1,$MX15,""),IF(IFERROR(VLOOKUP($MY15,$AV$2:$BA$83,5,FALSE),0)=1,$MY15,""))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MIN($OW15,$OU15-IF($NQ15=0,0,INDEX($I$2:$N$8,MAX(1,$MQ15),$NQ15)))</f>
        <v/>
      </c>
      <c r="OY15" s="155">
        <f>$OW15-$OX15</f>
        <v/>
      </c>
      <c r="OZ15" s="155">
        <f>IF($MQ15=0,0,INDEX($P$2:$P$8,MAX(1,$MQ15)))</f>
        <v/>
      </c>
      <c r="PA15" s="155">
        <f>$OZ15-$OU15+$OX15</f>
        <v/>
      </c>
      <c r="PB15" s="155">
        <f>IF($MQ15=0,MAX(0,$NE15-IF(AND($OS15&gt;0,COUNTIF($MZ15:$NA15,"?*")=0),1,0)),MAX(0,$PA15))</f>
        <v/>
      </c>
      <c r="PC15" s="155">
        <f>IF($MQ15=0,0,(IF(COUNTIF($MV15:$MY15,"Salto")&gt;0,1,0)+IF(COUNTIF($MV15:$MY15,"Queima")&gt;0,1,0)+IF(COUNTIF($MV15:$MY15,"Estilhaço")&gt;0,1,0))*FLOOR($PB15/2,1))</f>
        <v/>
      </c>
      <c r="PD15" s="155">
        <f>MAX(0,2-SUMPRODUCT($OK15:$OP15,$I$2:$N$2)+MIN(2,$OQ15*1+$OR15*1,SUMPRODUCT($OK15:$OP15,$I$2:$N$2)-IF($NQ15=0,0,INDEX($I$2:$N$2,1,$NQ15))))</f>
        <v/>
      </c>
      <c r="PE15" s="155">
        <f>MAX(0,4-SUMPRODUCT($OK15:$OP15,$I$3:$N$3)+MIN(4,$OQ15*1+$OR15*2,SUMPRODUCT($OK15:$OP15,$I$3:$N$3)-IF($NQ15=0,0,INDEX($I$3:$N$3,1,$NQ15))))</f>
        <v/>
      </c>
      <c r="PF15" s="155">
        <f>MAX(0,6-SUMPRODUCT($OK15:$OP15,$I$4:$N$4)+MIN(6,$OQ15*2+$OR15*3,SUMPRODUCT($OK15:$OP15,$I$4:$N$4)-IF($NQ15=0,0,INDEX($I$4:$N$4,1,$NQ15))))</f>
        <v/>
      </c>
      <c r="PG15" s="155">
        <f>MAX(0,9-SUMPRODUCT($OK15:$OP15,$I$5:$N$5)+MIN(8,$OQ15*2+$OR15*4,SUMPRODUCT($OK15:$OP15,$I$5:$N$5)-IF($NQ15=0,0,INDEX($I$5:$N$5,1,$NQ15))))</f>
        <v/>
      </c>
      <c r="PH15" s="155">
        <f>MAX(0,11-SUMPRODUCT($OK15:$OP15,$I$6:$N$6)+MIN(10,$OQ15*3+$OR15*5,SUMPRODUCT($OK15:$OP15,$I$6:$N$6)-IF($NQ15=0,0,INDEX($I$6:$N$6,1,$NQ15))))</f>
        <v/>
      </c>
      <c r="PI15" s="155">
        <f>MAX(0,13-SUMPRODUCT($OK15:$OP15,$I$7:$N$7)+MIN(12,$OQ15*3+$OR15*6,SUMPRODUCT($OK15:$OP15,$I$7:$N$7)-IF($NQ15=0,0,INDEX($I$7:$N$7,1,$NQ15))))</f>
        <v/>
      </c>
      <c r="PJ15" s="155">
        <f>MAX(0,16-SUMPRODUCT($OK15:$OP15,$I$8:$N$8)+MIN(14,$OQ15*4+$OR15*7,SUMPRODUCT($OK15:$OP15,$I$8:$N$8)-IF($NQ15=0,0,INDEX($I$8:$N$8,1,$NQ15))))</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Melhoria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Precisão</t>
        </is>
      </c>
      <c r="AW16" s="153" t="inlineStr">
        <is>
          <t>Mira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IFERROR(VLOOKUP($MV16,$AV$2:$BA$83,2,FALSE),"")</f>
        <v/>
      </c>
      <c r="NJ16" s="155">
        <f>IFERROR(VLOOKUP($MW16,$AV$2:$BA$83,2,FALSE),"")</f>
        <v/>
      </c>
      <c r="NK16" s="155">
        <f>IFERROR(VLOOKUP($MX16,$AV$2:$BA$83,2,FALSE),"")</f>
        <v/>
      </c>
      <c r="NL16" s="155">
        <f>IFERROR(VLOOKUP($MY16,$AV$2:$BA$83,2,FALSE),"")</f>
        <v/>
      </c>
      <c r="NM16" s="155">
        <f>IFERROR(VLOOKUP($MV16,$AV$2:$BA$83,3,FALSE),0)</f>
        <v/>
      </c>
      <c r="NN16" s="155">
        <f>IFERROR(VLOOKUP($MW16,$AV$2:$BA$83,3,FALSE),0)</f>
        <v/>
      </c>
      <c r="NO16" s="155">
        <f>IFERROR(VLOOKUP($MX16,$AV$2:$BA$83,3,FALSE),0)</f>
        <v/>
      </c>
      <c r="NP16" s="155">
        <f>IFERROR(VLOOKUP($MY16,$AV$2:$BA$83,3,FALSE),0)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IFERROR(VLOOKUP($MV16,$AV$2:$BA$83,4,FALSE),0)+IFERROR(VLOOKUP($MW16,$AV$2:$BA$83,4,FALSE),0)+IFERROR(VLOOKUP($MX16,$AV$2:$BA$83,4,FALSE),0)+IFERROR(VLOOKUP($MY16,$AV$2:$BA$83,4,FALSE),0)</f>
        <v/>
      </c>
      <c r="OB16" s="155">
        <f>IFERROR(VLOOKUP($MV16,$AV$2:$BA$83,6,FALSE),0)+IFERROR(VLOOKUP($MW16,$AV$2:$BA$83,6,FALSE),0)+IFERROR(VLOOKUP($MX16,$AV$2:$BA$83,6,FALSE),0)+IFERROR(VLOOKUP($MY16,$AV$2:$BA$83,6,FALSE),0)</f>
        <v/>
      </c>
      <c r="OC16" s="155">
        <f>TEXTJOIN(", ",TRUE,IF(IFERROR(VLOOKUP($MV16,$AV$2:$BA$83,5,FALSE),0)=1,$MV16,""),IF(IFERROR(VLOOKUP($MW16,$AV$2:$BA$83,5,FALSE),0)=1,$MW16,""),IF(IFERROR(VLOOKUP($MX16,$AV$2:$BA$83,5,FALSE),0)=1,$MX16,""),IF(IFERROR(VLOOKUP($MY16,$AV$2:$BA$83,5,FALSE),0)=1,$MY16,""))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MIN($OW16,$OU16-IF($NQ16=0,0,INDEX($I$2:$N$8,MAX(1,$MQ16),$NQ16)))</f>
        <v/>
      </c>
      <c r="OY16" s="155">
        <f>$OW16-$OX16</f>
        <v/>
      </c>
      <c r="OZ16" s="155">
        <f>IF($MQ16=0,0,INDEX($P$2:$P$8,MAX(1,$MQ16)))</f>
        <v/>
      </c>
      <c r="PA16" s="155">
        <f>$OZ16-$OU16+$OX16</f>
        <v/>
      </c>
      <c r="PB16" s="155">
        <f>IF($MQ16=0,MAX(0,$NE16-IF(AND($OS16&gt;0,COUNTIF($MZ16:$NA16,"?*")=0),1,0)),MAX(0,$PA16))</f>
        <v/>
      </c>
      <c r="PC16" s="155">
        <f>IF($MQ16=0,0,(IF(COUNTIF($MV16:$MY16,"Salto")&gt;0,1,0)+IF(COUNTIF($MV16:$MY16,"Queima")&gt;0,1,0)+IF(COUNTIF($MV16:$MY16,"Estilhaço")&gt;0,1,0))*FLOOR($PB16/2,1))</f>
        <v/>
      </c>
      <c r="PD16" s="155">
        <f>MAX(0,2-SUMPRODUCT($OK16:$OP16,$I$2:$N$2)+MIN(2,$OQ16*1+$OR16*1,SUMPRODUCT($OK16:$OP16,$I$2:$N$2)-IF($NQ16=0,0,INDEX($I$2:$N$2,1,$NQ16))))</f>
        <v/>
      </c>
      <c r="PE16" s="155">
        <f>MAX(0,4-SUMPRODUCT($OK16:$OP16,$I$3:$N$3)+MIN(4,$OQ16*1+$OR16*2,SUMPRODUCT($OK16:$OP16,$I$3:$N$3)-IF($NQ16=0,0,INDEX($I$3:$N$3,1,$NQ16))))</f>
        <v/>
      </c>
      <c r="PF16" s="155">
        <f>MAX(0,6-SUMPRODUCT($OK16:$OP16,$I$4:$N$4)+MIN(6,$OQ16*2+$OR16*3,SUMPRODUCT($OK16:$OP16,$I$4:$N$4)-IF($NQ16=0,0,INDEX($I$4:$N$4,1,$NQ16))))</f>
        <v/>
      </c>
      <c r="PG16" s="155">
        <f>MAX(0,9-SUMPRODUCT($OK16:$OP16,$I$5:$N$5)+MIN(8,$OQ16*2+$OR16*4,SUMPRODUCT($OK16:$OP16,$I$5:$N$5)-IF($NQ16=0,0,INDEX($I$5:$N$5,1,$NQ16))))</f>
        <v/>
      </c>
      <c r="PH16" s="155">
        <f>MAX(0,11-SUMPRODUCT($OK16:$OP16,$I$6:$N$6)+MIN(10,$OQ16*3+$OR16*5,SUMPRODUCT($OK16:$OP16,$I$6:$N$6)-IF($NQ16=0,0,INDEX($I$6:$N$6,1,$NQ16))))</f>
        <v/>
      </c>
      <c r="PI16" s="155">
        <f>MAX(0,13-SUMPRODUCT($OK16:$OP16,$I$7:$N$7)+MIN(12,$OQ16*3+$OR16*6,SUMPRODUCT($OK16:$OP16,$I$7:$N$7)-IF($NQ16=0,0,INDEX($I$7:$N$7,1,$NQ16))))</f>
        <v/>
      </c>
      <c r="PJ16" s="155">
        <f>MAX(0,16-SUMPRODUCT($OK16:$OP16,$I$8:$N$8)+MIN(14,$OQ16*4+$OR16*7,SUMPRODUCT($OK16:$OP16,$I$8:$N$8)-IF($NQ16=0,0,INDEX($I$8:$N$8,1,$NQ16))))</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Melhoria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Certeiro</t>
        </is>
      </c>
      <c r="AW17" s="153" t="inlineStr">
        <is>
          <t>Mira</t>
        </is>
      </c>
      <c r="AX17" s="155" t="n">
        <v>2</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IFERROR(VLOOKUP($MV17,$AV$2:$BA$83,2,FALSE),"")</f>
        <v/>
      </c>
      <c r="NJ17" s="155">
        <f>IFERROR(VLOOKUP($MW17,$AV$2:$BA$83,2,FALSE),"")</f>
        <v/>
      </c>
      <c r="NK17" s="155">
        <f>IFERROR(VLOOKUP($MX17,$AV$2:$BA$83,2,FALSE),"")</f>
        <v/>
      </c>
      <c r="NL17" s="155">
        <f>IFERROR(VLOOKUP($MY17,$AV$2:$BA$83,2,FALSE),"")</f>
        <v/>
      </c>
      <c r="NM17" s="155">
        <f>IFERROR(VLOOKUP($MV17,$AV$2:$BA$83,3,FALSE),0)</f>
        <v/>
      </c>
      <c r="NN17" s="155">
        <f>IFERROR(VLOOKUP($MW17,$AV$2:$BA$83,3,FALSE),0)</f>
        <v/>
      </c>
      <c r="NO17" s="155">
        <f>IFERROR(VLOOKUP($MX17,$AV$2:$BA$83,3,FALSE),0)</f>
        <v/>
      </c>
      <c r="NP17" s="155">
        <f>IFERROR(VLOOKUP($MY17,$AV$2:$BA$83,3,FALSE),0)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IFERROR(VLOOKUP($MV17,$AV$2:$BA$83,4,FALSE),0)+IFERROR(VLOOKUP($MW17,$AV$2:$BA$83,4,FALSE),0)+IFERROR(VLOOKUP($MX17,$AV$2:$BA$83,4,FALSE),0)+IFERROR(VLOOKUP($MY17,$AV$2:$BA$83,4,FALSE),0)</f>
        <v/>
      </c>
      <c r="OB17" s="155">
        <f>IFERROR(VLOOKUP($MV17,$AV$2:$BA$83,6,FALSE),0)+IFERROR(VLOOKUP($MW17,$AV$2:$BA$83,6,FALSE),0)+IFERROR(VLOOKUP($MX17,$AV$2:$BA$83,6,FALSE),0)+IFERROR(VLOOKUP($MY17,$AV$2:$BA$83,6,FALSE),0)</f>
        <v/>
      </c>
      <c r="OC17" s="155">
        <f>TEXTJOIN(", ",TRUE,IF(IFERROR(VLOOKUP($MV17,$AV$2:$BA$83,5,FALSE),0)=1,$MV17,""),IF(IFERROR(VLOOKUP($MW17,$AV$2:$BA$83,5,FALSE),0)=1,$MW17,""),IF(IFERROR(VLOOKUP($MX17,$AV$2:$BA$83,5,FALSE),0)=1,$MX17,""),IF(IFERROR(VLOOKUP($MY17,$AV$2:$BA$83,5,FALSE),0)=1,$MY17,""))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MIN($OW17,$OU17-IF($NQ17=0,0,INDEX($I$2:$N$8,MAX(1,$MQ17),$NQ17)))</f>
        <v/>
      </c>
      <c r="OY17" s="155">
        <f>$OW17-$OX17</f>
        <v/>
      </c>
      <c r="OZ17" s="155">
        <f>IF($MQ17=0,0,INDEX($P$2:$P$8,MAX(1,$MQ17)))</f>
        <v/>
      </c>
      <c r="PA17" s="155">
        <f>$OZ17-$OU17+$OX17</f>
        <v/>
      </c>
      <c r="PB17" s="155">
        <f>IF($MQ17=0,MAX(0,$NE17-IF(AND($OS17&gt;0,COUNTIF($MZ17:$NA17,"?*")=0),1,0)),MAX(0,$PA17))</f>
        <v/>
      </c>
      <c r="PC17" s="155">
        <f>IF($MQ17=0,0,(IF(COUNTIF($MV17:$MY17,"Salto")&gt;0,1,0)+IF(COUNTIF($MV17:$MY17,"Queima")&gt;0,1,0)+IF(COUNTIF($MV17:$MY17,"Estilhaço")&gt;0,1,0))*FLOOR($PB17/2,1))</f>
        <v/>
      </c>
      <c r="PD17" s="155">
        <f>MAX(0,2-SUMPRODUCT($OK17:$OP17,$I$2:$N$2)+MIN(2,$OQ17*1+$OR17*1,SUMPRODUCT($OK17:$OP17,$I$2:$N$2)-IF($NQ17=0,0,INDEX($I$2:$N$2,1,$NQ17))))</f>
        <v/>
      </c>
      <c r="PE17" s="155">
        <f>MAX(0,4-SUMPRODUCT($OK17:$OP17,$I$3:$N$3)+MIN(4,$OQ17*1+$OR17*2,SUMPRODUCT($OK17:$OP17,$I$3:$N$3)-IF($NQ17=0,0,INDEX($I$3:$N$3,1,$NQ17))))</f>
        <v/>
      </c>
      <c r="PF17" s="155">
        <f>MAX(0,6-SUMPRODUCT($OK17:$OP17,$I$4:$N$4)+MIN(6,$OQ17*2+$OR17*3,SUMPRODUCT($OK17:$OP17,$I$4:$N$4)-IF($NQ17=0,0,INDEX($I$4:$N$4,1,$NQ17))))</f>
        <v/>
      </c>
      <c r="PG17" s="155">
        <f>MAX(0,9-SUMPRODUCT($OK17:$OP17,$I$5:$N$5)+MIN(8,$OQ17*2+$OR17*4,SUMPRODUCT($OK17:$OP17,$I$5:$N$5)-IF($NQ17=0,0,INDEX($I$5:$N$5,1,$NQ17))))</f>
        <v/>
      </c>
      <c r="PH17" s="155">
        <f>MAX(0,11-SUMPRODUCT($OK17:$OP17,$I$6:$N$6)+MIN(10,$OQ17*3+$OR17*5,SUMPRODUCT($OK17:$OP17,$I$6:$N$6)-IF($NQ17=0,0,INDEX($I$6:$N$6,1,$NQ17))))</f>
        <v/>
      </c>
      <c r="PI17" s="155">
        <f>MAX(0,13-SUMPRODUCT($OK17:$OP17,$I$7:$N$7)+MIN(12,$OQ17*3+$OR17*6,SUMPRODUCT($OK17:$OP17,$I$7:$N$7)-IF($NQ17=0,0,INDEX($I$7:$N$7,1,$NQ17))))</f>
        <v/>
      </c>
      <c r="PJ17" s="155">
        <f>MAX(0,16-SUMPRODUCT($OK17:$OP17,$I$8:$N$8)+MIN(14,$OQ17*4+$OR17*7,SUMPRODUCT($OK17:$OP17,$I$8:$N$8)-IF($NQ17=0,0,INDEX($I$8:$N$8,1,$NQ17))))</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Melhoria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Inescapável</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IFERROR(VLOOKUP($MV18,$AV$2:$BA$83,2,FALSE),"")</f>
        <v/>
      </c>
      <c r="NJ18" s="155">
        <f>IFERROR(VLOOKUP($MW18,$AV$2:$BA$83,2,FALSE),"")</f>
        <v/>
      </c>
      <c r="NK18" s="155">
        <f>IFERROR(VLOOKUP($MX18,$AV$2:$BA$83,2,FALSE),"")</f>
        <v/>
      </c>
      <c r="NL18" s="155">
        <f>IFERROR(VLOOKUP($MY18,$AV$2:$BA$83,2,FALSE),"")</f>
        <v/>
      </c>
      <c r="NM18" s="155">
        <f>IFERROR(VLOOKUP($MV18,$AV$2:$BA$83,3,FALSE),0)</f>
        <v/>
      </c>
      <c r="NN18" s="155">
        <f>IFERROR(VLOOKUP($MW18,$AV$2:$BA$83,3,FALSE),0)</f>
        <v/>
      </c>
      <c r="NO18" s="155">
        <f>IFERROR(VLOOKUP($MX18,$AV$2:$BA$83,3,FALSE),0)</f>
        <v/>
      </c>
      <c r="NP18" s="155">
        <f>IFERROR(VLOOKUP($MY18,$AV$2:$BA$83,3,FALSE),0)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IFERROR(VLOOKUP($MV18,$AV$2:$BA$83,4,FALSE),0)+IFERROR(VLOOKUP($MW18,$AV$2:$BA$83,4,FALSE),0)+IFERROR(VLOOKUP($MX18,$AV$2:$BA$83,4,FALSE),0)+IFERROR(VLOOKUP($MY18,$AV$2:$BA$83,4,FALSE),0)</f>
        <v/>
      </c>
      <c r="OB18" s="155">
        <f>IFERROR(VLOOKUP($MV18,$AV$2:$BA$83,6,FALSE),0)+IFERROR(VLOOKUP($MW18,$AV$2:$BA$83,6,FALSE),0)+IFERROR(VLOOKUP($MX18,$AV$2:$BA$83,6,FALSE),0)+IFERROR(VLOOKUP($MY18,$AV$2:$BA$83,6,FALSE),0)</f>
        <v/>
      </c>
      <c r="OC18" s="155">
        <f>TEXTJOIN(", ",TRUE,IF(IFERROR(VLOOKUP($MV18,$AV$2:$BA$83,5,FALSE),0)=1,$MV18,""),IF(IFERROR(VLOOKUP($MW18,$AV$2:$BA$83,5,FALSE),0)=1,$MW18,""),IF(IFERROR(VLOOKUP($MX18,$AV$2:$BA$83,5,FALSE),0)=1,$MX18,""),IF(IFERROR(VLOOKUP($MY18,$AV$2:$BA$83,5,FALSE),0)=1,$MY18,""))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MIN($OW18,$OU18-IF($NQ18=0,0,INDEX($I$2:$N$8,MAX(1,$MQ18),$NQ18)))</f>
        <v/>
      </c>
      <c r="OY18" s="155">
        <f>$OW18-$OX18</f>
        <v/>
      </c>
      <c r="OZ18" s="155">
        <f>IF($MQ18=0,0,INDEX($P$2:$P$8,MAX(1,$MQ18)))</f>
        <v/>
      </c>
      <c r="PA18" s="155">
        <f>$OZ18-$OU18+$OX18</f>
        <v/>
      </c>
      <c r="PB18" s="155">
        <f>IF($MQ18=0,MAX(0,$NE18-IF(AND($OS18&gt;0,COUNTIF($MZ18:$NA18,"?*")=0),1,0)),MAX(0,$PA18))</f>
        <v/>
      </c>
      <c r="PC18" s="155">
        <f>IF($MQ18=0,0,(IF(COUNTIF($MV18:$MY18,"Salto")&gt;0,1,0)+IF(COUNTIF($MV18:$MY18,"Queima")&gt;0,1,0)+IF(COUNTIF($MV18:$MY18,"Estilhaço")&gt;0,1,0))*FLOOR($PB18/2,1))</f>
        <v/>
      </c>
      <c r="PD18" s="155">
        <f>MAX(0,2-SUMPRODUCT($OK18:$OP18,$I$2:$N$2)+MIN(2,$OQ18*1+$OR18*1,SUMPRODUCT($OK18:$OP18,$I$2:$N$2)-IF($NQ18=0,0,INDEX($I$2:$N$2,1,$NQ18))))</f>
        <v/>
      </c>
      <c r="PE18" s="155">
        <f>MAX(0,4-SUMPRODUCT($OK18:$OP18,$I$3:$N$3)+MIN(4,$OQ18*1+$OR18*2,SUMPRODUCT($OK18:$OP18,$I$3:$N$3)-IF($NQ18=0,0,INDEX($I$3:$N$3,1,$NQ18))))</f>
        <v/>
      </c>
      <c r="PF18" s="155">
        <f>MAX(0,6-SUMPRODUCT($OK18:$OP18,$I$4:$N$4)+MIN(6,$OQ18*2+$OR18*3,SUMPRODUCT($OK18:$OP18,$I$4:$N$4)-IF($NQ18=0,0,INDEX($I$4:$N$4,1,$NQ18))))</f>
        <v/>
      </c>
      <c r="PG18" s="155">
        <f>MAX(0,9-SUMPRODUCT($OK18:$OP18,$I$5:$N$5)+MIN(8,$OQ18*2+$OR18*4,SUMPRODUCT($OK18:$OP18,$I$5:$N$5)-IF($NQ18=0,0,INDEX($I$5:$N$5,1,$NQ18))))</f>
        <v/>
      </c>
      <c r="PH18" s="155">
        <f>MAX(0,11-SUMPRODUCT($OK18:$OP18,$I$6:$N$6)+MIN(10,$OQ18*3+$OR18*5,SUMPRODUCT($OK18:$OP18,$I$6:$N$6)-IF($NQ18=0,0,INDEX($I$6:$N$6,1,$NQ18))))</f>
        <v/>
      </c>
      <c r="PI18" s="155">
        <f>MAX(0,13-SUMPRODUCT($OK18:$OP18,$I$7:$N$7)+MIN(12,$OQ18*3+$OR18*6,SUMPRODUCT($OK18:$OP18,$I$7:$N$7)-IF($NQ18=0,0,INDEX($I$7:$N$7,1,$NQ18))))</f>
        <v/>
      </c>
      <c r="PJ18" s="155">
        <f>MAX(0,16-SUMPRODUCT($OK18:$OP18,$I$8:$N$8)+MIN(14,$OQ18*4+$OR18*7,SUMPRODUCT($OK18:$OP18,$I$8:$N$8)-IF($NQ18=0,0,INDEX($I$8:$N$8,1,$NQ18))))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Melhoria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De Novo</t>
        </is>
      </c>
      <c r="AW19" s="153" t="inlineStr">
        <is>
          <t>Mira</t>
        </is>
      </c>
      <c r="AX19" s="155" t="n">
        <v>3</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IFERROR(VLOOKUP($MV19,$AV$2:$BA$83,2,FALSE),"")</f>
        <v/>
      </c>
      <c r="NJ19" s="155">
        <f>IFERROR(VLOOKUP($MW19,$AV$2:$BA$83,2,FALSE),"")</f>
        <v/>
      </c>
      <c r="NK19" s="155">
        <f>IFERROR(VLOOKUP($MX19,$AV$2:$BA$83,2,FALSE),"")</f>
        <v/>
      </c>
      <c r="NL19" s="155">
        <f>IFERROR(VLOOKUP($MY19,$AV$2:$BA$83,2,FALSE),"")</f>
        <v/>
      </c>
      <c r="NM19" s="155">
        <f>IFERROR(VLOOKUP($MV19,$AV$2:$BA$83,3,FALSE),0)</f>
        <v/>
      </c>
      <c r="NN19" s="155">
        <f>IFERROR(VLOOKUP($MW19,$AV$2:$BA$83,3,FALSE),0)</f>
        <v/>
      </c>
      <c r="NO19" s="155">
        <f>IFERROR(VLOOKUP($MX19,$AV$2:$BA$83,3,FALSE),0)</f>
        <v/>
      </c>
      <c r="NP19" s="155">
        <f>IFERROR(VLOOKUP($MY19,$AV$2:$BA$83,3,FALSE),0)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IFERROR(VLOOKUP($MV19,$AV$2:$BA$83,4,FALSE),0)+IFERROR(VLOOKUP($MW19,$AV$2:$BA$83,4,FALSE),0)+IFERROR(VLOOKUP($MX19,$AV$2:$BA$83,4,FALSE),0)+IFERROR(VLOOKUP($MY19,$AV$2:$BA$83,4,FALSE),0)</f>
        <v/>
      </c>
      <c r="OB19" s="155">
        <f>IFERROR(VLOOKUP($MV19,$AV$2:$BA$83,6,FALSE),0)+IFERROR(VLOOKUP($MW19,$AV$2:$BA$83,6,FALSE),0)+IFERROR(VLOOKUP($MX19,$AV$2:$BA$83,6,FALSE),0)+IFERROR(VLOOKUP($MY19,$AV$2:$BA$83,6,FALSE),0)</f>
        <v/>
      </c>
      <c r="OC19" s="155">
        <f>TEXTJOIN(", ",TRUE,IF(IFERROR(VLOOKUP($MV19,$AV$2:$BA$83,5,FALSE),0)=1,$MV19,""),IF(IFERROR(VLOOKUP($MW19,$AV$2:$BA$83,5,FALSE),0)=1,$MW19,""),IF(IFERROR(VLOOKUP($MX19,$AV$2:$BA$83,5,FALSE),0)=1,$MX19,""),IF(IFERROR(VLOOKUP($MY19,$AV$2:$BA$83,5,FALSE),0)=1,$MY19,""))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MIN($OW19,$OU19-IF($NQ19=0,0,INDEX($I$2:$N$8,MAX(1,$MQ19),$NQ19)))</f>
        <v/>
      </c>
      <c r="OY19" s="155">
        <f>$OW19-$OX19</f>
        <v/>
      </c>
      <c r="OZ19" s="155">
        <f>IF($MQ19=0,0,INDEX($P$2:$P$8,MAX(1,$MQ19)))</f>
        <v/>
      </c>
      <c r="PA19" s="155">
        <f>$OZ19-$OU19+$OX19</f>
        <v/>
      </c>
      <c r="PB19" s="155">
        <f>IF($MQ19=0,MAX(0,$NE19-IF(AND($OS19&gt;0,COUNTIF($MZ19:$NA19,"?*")=0),1,0)),MAX(0,$PA19))</f>
        <v/>
      </c>
      <c r="PC19" s="155">
        <f>IF($MQ19=0,0,(IF(COUNTIF($MV19:$MY19,"Salto")&gt;0,1,0)+IF(COUNTIF($MV19:$MY19,"Queima")&gt;0,1,0)+IF(COUNTIF($MV19:$MY19,"Estilhaço")&gt;0,1,0))*FLOOR($PB19/2,1))</f>
        <v/>
      </c>
      <c r="PD19" s="155">
        <f>MAX(0,2-SUMPRODUCT($OK19:$OP19,$I$2:$N$2)+MIN(2,$OQ19*1+$OR19*1,SUMPRODUCT($OK19:$OP19,$I$2:$N$2)-IF($NQ19=0,0,INDEX($I$2:$N$2,1,$NQ19))))</f>
        <v/>
      </c>
      <c r="PE19" s="155">
        <f>MAX(0,4-SUMPRODUCT($OK19:$OP19,$I$3:$N$3)+MIN(4,$OQ19*1+$OR19*2,SUMPRODUCT($OK19:$OP19,$I$3:$N$3)-IF($NQ19=0,0,INDEX($I$3:$N$3,1,$NQ19))))</f>
        <v/>
      </c>
      <c r="PF19" s="155">
        <f>MAX(0,6-SUMPRODUCT($OK19:$OP19,$I$4:$N$4)+MIN(6,$OQ19*2+$OR19*3,SUMPRODUCT($OK19:$OP19,$I$4:$N$4)-IF($NQ19=0,0,INDEX($I$4:$N$4,1,$NQ19))))</f>
        <v/>
      </c>
      <c r="PG19" s="155">
        <f>MAX(0,9-SUMPRODUCT($OK19:$OP19,$I$5:$N$5)+MIN(8,$OQ19*2+$OR19*4,SUMPRODUCT($OK19:$OP19,$I$5:$N$5)-IF($NQ19=0,0,INDEX($I$5:$N$5,1,$NQ19))))</f>
        <v/>
      </c>
      <c r="PH19" s="155">
        <f>MAX(0,11-SUMPRODUCT($OK19:$OP19,$I$6:$N$6)+MIN(10,$OQ19*3+$OR19*5,SUMPRODUCT($OK19:$OP19,$I$6:$N$6)-IF($NQ19=0,0,INDEX($I$6:$N$6,1,$NQ19))))</f>
        <v/>
      </c>
      <c r="PI19" s="155">
        <f>MAX(0,13-SUMPRODUCT($OK19:$OP19,$I$7:$N$7)+MIN(12,$OQ19*3+$OR19*6,SUMPRODUCT($OK19:$OP19,$I$7:$N$7)-IF($NQ19=0,0,INDEX($I$7:$N$7,1,$NQ19))))</f>
        <v/>
      </c>
      <c r="PJ19" s="155">
        <f>MAX(0,16-SUMPRODUCT($OK19:$OP19,$I$8:$N$8)+MIN(14,$OQ19*4+$OR19*7,SUMPRODUCT($OK19:$OP19,$I$8:$N$8)-IF($NQ19=0,0,INDEX($I$8:$N$8,1,$NQ19))))</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Melhoria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Fura</t>
        </is>
      </c>
      <c r="AW20" s="153" t="inlineStr">
        <is>
          <t>Mira</t>
        </is>
      </c>
      <c r="AX20" s="155" t="n">
        <v>2</v>
      </c>
      <c r="AY20" s="155" t="n">
        <v>0</v>
      </c>
      <c r="AZ20" s="155" t="n">
        <v>1</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IFERROR(VLOOKUP($MV20,$AV$2:$BA$83,2,FALSE),"")</f>
        <v/>
      </c>
      <c r="NJ20" s="155">
        <f>IFERROR(VLOOKUP($MW20,$AV$2:$BA$83,2,FALSE),"")</f>
        <v/>
      </c>
      <c r="NK20" s="155">
        <f>IFERROR(VLOOKUP($MX20,$AV$2:$BA$83,2,FALSE),"")</f>
        <v/>
      </c>
      <c r="NL20" s="155">
        <f>IFERROR(VLOOKUP($MY20,$AV$2:$BA$83,2,FALSE),"")</f>
        <v/>
      </c>
      <c r="NM20" s="155">
        <f>IFERROR(VLOOKUP($MV20,$AV$2:$BA$83,3,FALSE),0)</f>
        <v/>
      </c>
      <c r="NN20" s="155">
        <f>IFERROR(VLOOKUP($MW20,$AV$2:$BA$83,3,FALSE),0)</f>
        <v/>
      </c>
      <c r="NO20" s="155">
        <f>IFERROR(VLOOKUP($MX20,$AV$2:$BA$83,3,FALSE),0)</f>
        <v/>
      </c>
      <c r="NP20" s="155">
        <f>IFERROR(VLOOKUP($MY20,$AV$2:$BA$83,3,FALSE),0)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IFERROR(VLOOKUP($MV20,$AV$2:$BA$83,4,FALSE),0)+IFERROR(VLOOKUP($MW20,$AV$2:$BA$83,4,FALSE),0)+IFERROR(VLOOKUP($MX20,$AV$2:$BA$83,4,FALSE),0)+IFERROR(VLOOKUP($MY20,$AV$2:$BA$83,4,FALSE),0)</f>
        <v/>
      </c>
      <c r="OB20" s="155">
        <f>IFERROR(VLOOKUP($MV20,$AV$2:$BA$83,6,FALSE),0)+IFERROR(VLOOKUP($MW20,$AV$2:$BA$83,6,FALSE),0)+IFERROR(VLOOKUP($MX20,$AV$2:$BA$83,6,FALSE),0)+IFERROR(VLOOKUP($MY20,$AV$2:$BA$83,6,FALSE),0)</f>
        <v/>
      </c>
      <c r="OC20" s="155">
        <f>TEXTJOIN(", ",TRUE,IF(IFERROR(VLOOKUP($MV20,$AV$2:$BA$83,5,FALSE),0)=1,$MV20,""),IF(IFERROR(VLOOKUP($MW20,$AV$2:$BA$83,5,FALSE),0)=1,$MW20,""),IF(IFERROR(VLOOKUP($MX20,$AV$2:$BA$83,5,FALSE),0)=1,$MX20,""),IF(IFERROR(VLOOKUP($MY20,$AV$2:$BA$83,5,FALSE),0)=1,$MY20,""))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MIN($OW20,$OU20-IF($NQ20=0,0,INDEX($I$2:$N$8,MAX(1,$MQ20),$NQ20)))</f>
        <v/>
      </c>
      <c r="OY20" s="155">
        <f>$OW20-$OX20</f>
        <v/>
      </c>
      <c r="OZ20" s="155">
        <f>IF($MQ20=0,0,INDEX($P$2:$P$8,MAX(1,$MQ20)))</f>
        <v/>
      </c>
      <c r="PA20" s="155">
        <f>$OZ20-$OU20+$OX20</f>
        <v/>
      </c>
      <c r="PB20" s="155">
        <f>IF($MQ20=0,MAX(0,$NE20-IF(AND($OS20&gt;0,COUNTIF($MZ20:$NA20,"?*")=0),1,0)),MAX(0,$PA20))</f>
        <v/>
      </c>
      <c r="PC20" s="155">
        <f>IF($MQ20=0,0,(IF(COUNTIF($MV20:$MY20,"Salto")&gt;0,1,0)+IF(COUNTIF($MV20:$MY20,"Queima")&gt;0,1,0)+IF(COUNTIF($MV20:$MY20,"Estilhaço")&gt;0,1,0))*FLOOR($PB20/2,1))</f>
        <v/>
      </c>
      <c r="PD20" s="155">
        <f>MAX(0,2-SUMPRODUCT($OK20:$OP20,$I$2:$N$2)+MIN(2,$OQ20*1+$OR20*1,SUMPRODUCT($OK20:$OP20,$I$2:$N$2)-IF($NQ20=0,0,INDEX($I$2:$N$2,1,$NQ20))))</f>
        <v/>
      </c>
      <c r="PE20" s="155">
        <f>MAX(0,4-SUMPRODUCT($OK20:$OP20,$I$3:$N$3)+MIN(4,$OQ20*1+$OR20*2,SUMPRODUCT($OK20:$OP20,$I$3:$N$3)-IF($NQ20=0,0,INDEX($I$3:$N$3,1,$NQ20))))</f>
        <v/>
      </c>
      <c r="PF20" s="155">
        <f>MAX(0,6-SUMPRODUCT($OK20:$OP20,$I$4:$N$4)+MIN(6,$OQ20*2+$OR20*3,SUMPRODUCT($OK20:$OP20,$I$4:$N$4)-IF($NQ20=0,0,INDEX($I$4:$N$4,1,$NQ20))))</f>
        <v/>
      </c>
      <c r="PG20" s="155">
        <f>MAX(0,9-SUMPRODUCT($OK20:$OP20,$I$5:$N$5)+MIN(8,$OQ20*2+$OR20*4,SUMPRODUCT($OK20:$OP20,$I$5:$N$5)-IF($NQ20=0,0,INDEX($I$5:$N$5,1,$NQ20))))</f>
        <v/>
      </c>
      <c r="PH20" s="155">
        <f>MAX(0,11-SUMPRODUCT($OK20:$OP20,$I$6:$N$6)+MIN(10,$OQ20*3+$OR20*5,SUMPRODUCT($OK20:$OP20,$I$6:$N$6)-IF($NQ20=0,0,INDEX($I$6:$N$6,1,$NQ20))))</f>
        <v/>
      </c>
      <c r="PI20" s="155">
        <f>MAX(0,13-SUMPRODUCT($OK20:$OP20,$I$7:$N$7)+MIN(12,$OQ20*3+$OR20*6,SUMPRODUCT($OK20:$OP20,$I$7:$N$7)-IF($NQ20=0,0,INDEX($I$7:$N$7,1,$NQ20))))</f>
        <v/>
      </c>
      <c r="PJ20" s="155">
        <f>MAX(0,16-SUMPRODUCT($OK20:$OP20,$I$8:$N$8)+MIN(14,$OQ20*4+$OR20*7,SUMPRODUCT($OK20:$OP20,$I$8:$N$8)-IF($NQ20=0,0,INDEX($I$8:$N$8,1,$NQ20))))</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Melhoria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Corrói</t>
        </is>
      </c>
      <c r="AW21" s="153" t="inlineStr">
        <is>
          <t>Mira</t>
        </is>
      </c>
      <c r="AX21" s="155" t="n">
        <v>3</v>
      </c>
      <c r="AY21" s="155" t="n">
        <v>0</v>
      </c>
      <c r="AZ21" s="155" t="n">
        <v>0</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IFERROR(VLOOKUP($MV21,$AV$2:$BA$83,2,FALSE),"")</f>
        <v/>
      </c>
      <c r="NJ21" s="155">
        <f>IFERROR(VLOOKUP($MW21,$AV$2:$BA$83,2,FALSE),"")</f>
        <v/>
      </c>
      <c r="NK21" s="155">
        <f>IFERROR(VLOOKUP($MX21,$AV$2:$BA$83,2,FALSE),"")</f>
        <v/>
      </c>
      <c r="NL21" s="155">
        <f>IFERROR(VLOOKUP($MY21,$AV$2:$BA$83,2,FALSE),"")</f>
        <v/>
      </c>
      <c r="NM21" s="155">
        <f>IFERROR(VLOOKUP($MV21,$AV$2:$BA$83,3,FALSE),0)</f>
        <v/>
      </c>
      <c r="NN21" s="155">
        <f>IFERROR(VLOOKUP($MW21,$AV$2:$BA$83,3,FALSE),0)</f>
        <v/>
      </c>
      <c r="NO21" s="155">
        <f>IFERROR(VLOOKUP($MX21,$AV$2:$BA$83,3,FALSE),0)</f>
        <v/>
      </c>
      <c r="NP21" s="155">
        <f>IFERROR(VLOOKUP($MY21,$AV$2:$BA$83,3,FALSE),0)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IFERROR(VLOOKUP($MV21,$AV$2:$BA$83,4,FALSE),0)+IFERROR(VLOOKUP($MW21,$AV$2:$BA$83,4,FALSE),0)+IFERROR(VLOOKUP($MX21,$AV$2:$BA$83,4,FALSE),0)+IFERROR(VLOOKUP($MY21,$AV$2:$BA$83,4,FALSE),0)</f>
        <v/>
      </c>
      <c r="OB21" s="155">
        <f>IFERROR(VLOOKUP($MV21,$AV$2:$BA$83,6,FALSE),0)+IFERROR(VLOOKUP($MW21,$AV$2:$BA$83,6,FALSE),0)+IFERROR(VLOOKUP($MX21,$AV$2:$BA$83,6,FALSE),0)+IFERROR(VLOOKUP($MY21,$AV$2:$BA$83,6,FALSE),0)</f>
        <v/>
      </c>
      <c r="OC21" s="155">
        <f>TEXTJOIN(", ",TRUE,IF(IFERROR(VLOOKUP($MV21,$AV$2:$BA$83,5,FALSE),0)=1,$MV21,""),IF(IFERROR(VLOOKUP($MW21,$AV$2:$BA$83,5,FALSE),0)=1,$MW21,""),IF(IFERROR(VLOOKUP($MX21,$AV$2:$BA$83,5,FALSE),0)=1,$MX21,""),IF(IFERROR(VLOOKUP($MY21,$AV$2:$BA$83,5,FALSE),0)=1,$MY21,""))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MIN($OW21,$OU21-IF($NQ21=0,0,INDEX($I$2:$N$8,MAX(1,$MQ21),$NQ21)))</f>
        <v/>
      </c>
      <c r="OY21" s="155">
        <f>$OW21-$OX21</f>
        <v/>
      </c>
      <c r="OZ21" s="155">
        <f>IF($MQ21=0,0,INDEX($P$2:$P$8,MAX(1,$MQ21)))</f>
        <v/>
      </c>
      <c r="PA21" s="155">
        <f>$OZ21-$OU21+$OX21</f>
        <v/>
      </c>
      <c r="PB21" s="155">
        <f>IF($MQ21=0,MAX(0,$NE21-IF(AND($OS21&gt;0,COUNTIF($MZ21:$NA21,"?*")=0),1,0)),MAX(0,$PA21))</f>
        <v/>
      </c>
      <c r="PC21" s="155">
        <f>IF($MQ21=0,0,(IF(COUNTIF($MV21:$MY21,"Salto")&gt;0,1,0)+IF(COUNTIF($MV21:$MY21,"Queima")&gt;0,1,0)+IF(COUNTIF($MV21:$MY21,"Estilhaço")&gt;0,1,0))*FLOOR($PB21/2,1))</f>
        <v/>
      </c>
      <c r="PD21" s="155">
        <f>MAX(0,2-SUMPRODUCT($OK21:$OP21,$I$2:$N$2)+MIN(2,$OQ21*1+$OR21*1,SUMPRODUCT($OK21:$OP21,$I$2:$N$2)-IF($NQ21=0,0,INDEX($I$2:$N$2,1,$NQ21))))</f>
        <v/>
      </c>
      <c r="PE21" s="155">
        <f>MAX(0,4-SUMPRODUCT($OK21:$OP21,$I$3:$N$3)+MIN(4,$OQ21*1+$OR21*2,SUMPRODUCT($OK21:$OP21,$I$3:$N$3)-IF($NQ21=0,0,INDEX($I$3:$N$3,1,$NQ21))))</f>
        <v/>
      </c>
      <c r="PF21" s="155">
        <f>MAX(0,6-SUMPRODUCT($OK21:$OP21,$I$4:$N$4)+MIN(6,$OQ21*2+$OR21*3,SUMPRODUCT($OK21:$OP21,$I$4:$N$4)-IF($NQ21=0,0,INDEX($I$4:$N$4,1,$NQ21))))</f>
        <v/>
      </c>
      <c r="PG21" s="155">
        <f>MAX(0,9-SUMPRODUCT($OK21:$OP21,$I$5:$N$5)+MIN(8,$OQ21*2+$OR21*4,SUMPRODUCT($OK21:$OP21,$I$5:$N$5)-IF($NQ21=0,0,INDEX($I$5:$N$5,1,$NQ21))))</f>
        <v/>
      </c>
      <c r="PH21" s="155">
        <f>MAX(0,11-SUMPRODUCT($OK21:$OP21,$I$6:$N$6)+MIN(10,$OQ21*3+$OR21*5,SUMPRODUCT($OK21:$OP21,$I$6:$N$6)-IF($NQ21=0,0,INDEX($I$6:$N$6,1,$NQ21))))</f>
        <v/>
      </c>
      <c r="PI21" s="155">
        <f>MAX(0,13-SUMPRODUCT($OK21:$OP21,$I$7:$N$7)+MIN(12,$OQ21*3+$OR21*6,SUMPRODUCT($OK21:$OP21,$I$7:$N$7)-IF($NQ21=0,0,INDEX($I$7:$N$7,1,$NQ21))))</f>
        <v/>
      </c>
      <c r="PJ21" s="155">
        <f>MAX(0,16-SUMPRODUCT($OK21:$OP21,$I$8:$N$8)+MIN(14,$OQ21*4+$OR21*7,SUMPRODUCT($OK21:$OP21,$I$8:$N$8)-IF($NQ21=0,0,INDEX($I$8:$N$8,1,$NQ21))))</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Melhoria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Sem Cobertura</t>
        </is>
      </c>
      <c r="AW22" s="153" t="inlineStr">
        <is>
          <t>Mira</t>
        </is>
      </c>
      <c r="AX22" s="155" t="n">
        <v>1</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IFERROR(VLOOKUP($MV22,$AV$2:$BA$83,2,FALSE),"")</f>
        <v/>
      </c>
      <c r="NJ22" s="155">
        <f>IFERROR(VLOOKUP($MW22,$AV$2:$BA$83,2,FALSE),"")</f>
        <v/>
      </c>
      <c r="NK22" s="155">
        <f>IFERROR(VLOOKUP($MX22,$AV$2:$BA$83,2,FALSE),"")</f>
        <v/>
      </c>
      <c r="NL22" s="155">
        <f>IFERROR(VLOOKUP($MY22,$AV$2:$BA$83,2,FALSE),"")</f>
        <v/>
      </c>
      <c r="NM22" s="155">
        <f>IFERROR(VLOOKUP($MV22,$AV$2:$BA$83,3,FALSE),0)</f>
        <v/>
      </c>
      <c r="NN22" s="155">
        <f>IFERROR(VLOOKUP($MW22,$AV$2:$BA$83,3,FALSE),0)</f>
        <v/>
      </c>
      <c r="NO22" s="155">
        <f>IFERROR(VLOOKUP($MX22,$AV$2:$BA$83,3,FALSE),0)</f>
        <v/>
      </c>
      <c r="NP22" s="155">
        <f>IFERROR(VLOOKUP($MY22,$AV$2:$BA$83,3,FALSE),0)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IFERROR(VLOOKUP($MV22,$AV$2:$BA$83,4,FALSE),0)+IFERROR(VLOOKUP($MW22,$AV$2:$BA$83,4,FALSE),0)+IFERROR(VLOOKUP($MX22,$AV$2:$BA$83,4,FALSE),0)+IFERROR(VLOOKUP($MY22,$AV$2:$BA$83,4,FALSE),0)</f>
        <v/>
      </c>
      <c r="OB22" s="155">
        <f>IFERROR(VLOOKUP($MV22,$AV$2:$BA$83,6,FALSE),0)+IFERROR(VLOOKUP($MW22,$AV$2:$BA$83,6,FALSE),0)+IFERROR(VLOOKUP($MX22,$AV$2:$BA$83,6,FALSE),0)+IFERROR(VLOOKUP($MY22,$AV$2:$BA$83,6,FALSE),0)</f>
        <v/>
      </c>
      <c r="OC22" s="155">
        <f>TEXTJOIN(", ",TRUE,IF(IFERROR(VLOOKUP($MV22,$AV$2:$BA$83,5,FALSE),0)=1,$MV22,""),IF(IFERROR(VLOOKUP($MW22,$AV$2:$BA$83,5,FALSE),0)=1,$MW22,""),IF(IFERROR(VLOOKUP($MX22,$AV$2:$BA$83,5,FALSE),0)=1,$MX22,""),IF(IFERROR(VLOOKUP($MY22,$AV$2:$BA$83,5,FALSE),0)=1,$MY22,""))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MIN($OW22,$OU22-IF($NQ22=0,0,INDEX($I$2:$N$8,MAX(1,$MQ22),$NQ22)))</f>
        <v/>
      </c>
      <c r="OY22" s="155">
        <f>$OW22-$OX22</f>
        <v/>
      </c>
      <c r="OZ22" s="155">
        <f>IF($MQ22=0,0,INDEX($P$2:$P$8,MAX(1,$MQ22)))</f>
        <v/>
      </c>
      <c r="PA22" s="155">
        <f>$OZ22-$OU22+$OX22</f>
        <v/>
      </c>
      <c r="PB22" s="155">
        <f>IF($MQ22=0,MAX(0,$NE22-IF(AND($OS22&gt;0,COUNTIF($MZ22:$NA22,"?*")=0),1,0)),MAX(0,$PA22))</f>
        <v/>
      </c>
      <c r="PC22" s="155">
        <f>IF($MQ22=0,0,(IF(COUNTIF($MV22:$MY22,"Salto")&gt;0,1,0)+IF(COUNTIF($MV22:$MY22,"Queima")&gt;0,1,0)+IF(COUNTIF($MV22:$MY22,"Estilhaço")&gt;0,1,0))*FLOOR($PB22/2,1))</f>
        <v/>
      </c>
      <c r="PD22" s="155">
        <f>MAX(0,2-SUMPRODUCT($OK22:$OP22,$I$2:$N$2)+MIN(2,$OQ22*1+$OR22*1,SUMPRODUCT($OK22:$OP22,$I$2:$N$2)-IF($NQ22=0,0,INDEX($I$2:$N$2,1,$NQ22))))</f>
        <v/>
      </c>
      <c r="PE22" s="155">
        <f>MAX(0,4-SUMPRODUCT($OK22:$OP22,$I$3:$N$3)+MIN(4,$OQ22*1+$OR22*2,SUMPRODUCT($OK22:$OP22,$I$3:$N$3)-IF($NQ22=0,0,INDEX($I$3:$N$3,1,$NQ22))))</f>
        <v/>
      </c>
      <c r="PF22" s="155">
        <f>MAX(0,6-SUMPRODUCT($OK22:$OP22,$I$4:$N$4)+MIN(6,$OQ22*2+$OR22*3,SUMPRODUCT($OK22:$OP22,$I$4:$N$4)-IF($NQ22=0,0,INDEX($I$4:$N$4,1,$NQ22))))</f>
        <v/>
      </c>
      <c r="PG22" s="155">
        <f>MAX(0,9-SUMPRODUCT($OK22:$OP22,$I$5:$N$5)+MIN(8,$OQ22*2+$OR22*4,SUMPRODUCT($OK22:$OP22,$I$5:$N$5)-IF($NQ22=0,0,INDEX($I$5:$N$5,1,$NQ22))))</f>
        <v/>
      </c>
      <c r="PH22" s="155">
        <f>MAX(0,11-SUMPRODUCT($OK22:$OP22,$I$6:$N$6)+MIN(10,$OQ22*3+$OR22*5,SUMPRODUCT($OK22:$OP22,$I$6:$N$6)-IF($NQ22=0,0,INDEX($I$6:$N$6,1,$NQ22))))</f>
        <v/>
      </c>
      <c r="PI22" s="155">
        <f>MAX(0,13-SUMPRODUCT($OK22:$OP22,$I$7:$N$7)+MIN(12,$OQ22*3+$OR22*6,SUMPRODUCT($OK22:$OP22,$I$7:$N$7)-IF($NQ22=0,0,INDEX($I$7:$N$7,1,$NQ22))))</f>
        <v/>
      </c>
      <c r="PJ22" s="155">
        <f>MAX(0,16-SUMPRODUCT($OK22:$OP22,$I$8:$N$8)+MIN(14,$OQ22*4+$OR22*7,SUMPRODUCT($OK22:$OP22,$I$8:$N$8)-IF($NQ22=0,0,INDEX($I$8:$N$8,1,$NQ22))))</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Melhoria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Toca a Alma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IFERROR(VLOOKUP($MV23,$AV$2:$BA$83,2,FALSE),"")</f>
        <v/>
      </c>
      <c r="NJ23" s="155">
        <f>IFERROR(VLOOKUP($MW23,$AV$2:$BA$83,2,FALSE),"")</f>
        <v/>
      </c>
      <c r="NK23" s="155">
        <f>IFERROR(VLOOKUP($MX23,$AV$2:$BA$83,2,FALSE),"")</f>
        <v/>
      </c>
      <c r="NL23" s="155">
        <f>IFERROR(VLOOKUP($MY23,$AV$2:$BA$83,2,FALSE),"")</f>
        <v/>
      </c>
      <c r="NM23" s="155">
        <f>IFERROR(VLOOKUP($MV23,$AV$2:$BA$83,3,FALSE),0)</f>
        <v/>
      </c>
      <c r="NN23" s="155">
        <f>IFERROR(VLOOKUP($MW23,$AV$2:$BA$83,3,FALSE),0)</f>
        <v/>
      </c>
      <c r="NO23" s="155">
        <f>IFERROR(VLOOKUP($MX23,$AV$2:$BA$83,3,FALSE),0)</f>
        <v/>
      </c>
      <c r="NP23" s="155">
        <f>IFERROR(VLOOKUP($MY23,$AV$2:$BA$83,3,FALSE),0)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IFERROR(VLOOKUP($MV23,$AV$2:$BA$83,4,FALSE),0)+IFERROR(VLOOKUP($MW23,$AV$2:$BA$83,4,FALSE),0)+IFERROR(VLOOKUP($MX23,$AV$2:$BA$83,4,FALSE),0)+IFERROR(VLOOKUP($MY23,$AV$2:$BA$83,4,FALSE),0)</f>
        <v/>
      </c>
      <c r="OB23" s="155">
        <f>IFERROR(VLOOKUP($MV23,$AV$2:$BA$83,6,FALSE),0)+IFERROR(VLOOKUP($MW23,$AV$2:$BA$83,6,FALSE),0)+IFERROR(VLOOKUP($MX23,$AV$2:$BA$83,6,FALSE),0)+IFERROR(VLOOKUP($MY23,$AV$2:$BA$83,6,FALSE),0)</f>
        <v/>
      </c>
      <c r="OC23" s="155">
        <f>TEXTJOIN(", ",TRUE,IF(IFERROR(VLOOKUP($MV23,$AV$2:$BA$83,5,FALSE),0)=1,$MV23,""),IF(IFERROR(VLOOKUP($MW23,$AV$2:$BA$83,5,FALSE),0)=1,$MW23,""),IF(IFERROR(VLOOKUP($MX23,$AV$2:$BA$83,5,FALSE),0)=1,$MX23,""),IF(IFERROR(VLOOKUP($MY23,$AV$2:$BA$83,5,FALSE),0)=1,$MY23,""))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MIN($OW23,$OU23-IF($NQ23=0,0,INDEX($I$2:$N$8,MAX(1,$MQ23),$NQ23)))</f>
        <v/>
      </c>
      <c r="OY23" s="155">
        <f>$OW23-$OX23</f>
        <v/>
      </c>
      <c r="OZ23" s="155">
        <f>IF($MQ23=0,0,INDEX($P$2:$P$8,MAX(1,$MQ23)))</f>
        <v/>
      </c>
      <c r="PA23" s="155">
        <f>$OZ23-$OU23+$OX23</f>
        <v/>
      </c>
      <c r="PB23" s="155">
        <f>IF($MQ23=0,MAX(0,$NE23-IF(AND($OS23&gt;0,COUNTIF($MZ23:$NA23,"?*")=0),1,0)),MAX(0,$PA23))</f>
        <v/>
      </c>
      <c r="PC23" s="155">
        <f>IF($MQ23=0,0,(IF(COUNTIF($MV23:$MY23,"Salto")&gt;0,1,0)+IF(COUNTIF($MV23:$MY23,"Queima")&gt;0,1,0)+IF(COUNTIF($MV23:$MY23,"Estilhaço")&gt;0,1,0))*FLOOR($PB23/2,1))</f>
        <v/>
      </c>
      <c r="PD23" s="155">
        <f>MAX(0,2-SUMPRODUCT($OK23:$OP23,$I$2:$N$2)+MIN(2,$OQ23*1+$OR23*1,SUMPRODUCT($OK23:$OP23,$I$2:$N$2)-IF($NQ23=0,0,INDEX($I$2:$N$2,1,$NQ23))))</f>
        <v/>
      </c>
      <c r="PE23" s="155">
        <f>MAX(0,4-SUMPRODUCT($OK23:$OP23,$I$3:$N$3)+MIN(4,$OQ23*1+$OR23*2,SUMPRODUCT($OK23:$OP23,$I$3:$N$3)-IF($NQ23=0,0,INDEX($I$3:$N$3,1,$NQ23))))</f>
        <v/>
      </c>
      <c r="PF23" s="155">
        <f>MAX(0,6-SUMPRODUCT($OK23:$OP23,$I$4:$N$4)+MIN(6,$OQ23*2+$OR23*3,SUMPRODUCT($OK23:$OP23,$I$4:$N$4)-IF($NQ23=0,0,INDEX($I$4:$N$4,1,$NQ23))))</f>
        <v/>
      </c>
      <c r="PG23" s="155">
        <f>MAX(0,9-SUMPRODUCT($OK23:$OP23,$I$5:$N$5)+MIN(8,$OQ23*2+$OR23*4,SUMPRODUCT($OK23:$OP23,$I$5:$N$5)-IF($NQ23=0,0,INDEX($I$5:$N$5,1,$NQ23))))</f>
        <v/>
      </c>
      <c r="PH23" s="155">
        <f>MAX(0,11-SUMPRODUCT($OK23:$OP23,$I$6:$N$6)+MIN(10,$OQ23*3+$OR23*5,SUMPRODUCT($OK23:$OP23,$I$6:$N$6)-IF($NQ23=0,0,INDEX($I$6:$N$6,1,$NQ23))))</f>
        <v/>
      </c>
      <c r="PI23" s="155">
        <f>MAX(0,13-SUMPRODUCT($OK23:$OP23,$I$7:$N$7)+MIN(12,$OQ23*3+$OR23*6,SUMPRODUCT($OK23:$OP23,$I$7:$N$7)-IF($NQ23=0,0,INDEX($I$7:$N$7,1,$NQ23))))</f>
        <v/>
      </c>
      <c r="PJ23" s="155">
        <f>MAX(0,16-SUMPRODUCT($OK23:$OP23,$I$8:$N$8)+MIN(14,$OQ23*4+$OR23*7,SUMPRODUCT($OK23:$OP23,$I$8:$N$8)-IF($NQ23=0,0,INDEX($I$8:$N$8,1,$NQ23))))</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Melhoria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Lento</t>
        </is>
      </c>
      <c r="AW24" s="153" t="inlineStr">
        <is>
          <t>Controle</t>
        </is>
      </c>
      <c r="AX24" s="155" t="n">
        <v>1</v>
      </c>
      <c r="AY24" s="155" t="n">
        <v>1</v>
      </c>
      <c r="AZ24" s="155" t="n">
        <v>0</v>
      </c>
      <c r="BA24" s="155" t="n">
        <v>1</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IFERROR(VLOOKUP($MV24,$AV$2:$BA$83,2,FALSE),"")</f>
        <v/>
      </c>
      <c r="NJ24" s="155">
        <f>IFERROR(VLOOKUP($MW24,$AV$2:$BA$83,2,FALSE),"")</f>
        <v/>
      </c>
      <c r="NK24" s="155">
        <f>IFERROR(VLOOKUP($MX24,$AV$2:$BA$83,2,FALSE),"")</f>
        <v/>
      </c>
      <c r="NL24" s="155">
        <f>IFERROR(VLOOKUP($MY24,$AV$2:$BA$83,2,FALSE),"")</f>
        <v/>
      </c>
      <c r="NM24" s="155">
        <f>IFERROR(VLOOKUP($MV24,$AV$2:$BA$83,3,FALSE),0)</f>
        <v/>
      </c>
      <c r="NN24" s="155">
        <f>IFERROR(VLOOKUP($MW24,$AV$2:$BA$83,3,FALSE),0)</f>
        <v/>
      </c>
      <c r="NO24" s="155">
        <f>IFERROR(VLOOKUP($MX24,$AV$2:$BA$83,3,FALSE),0)</f>
        <v/>
      </c>
      <c r="NP24" s="155">
        <f>IFERROR(VLOOKUP($MY24,$AV$2:$BA$83,3,FALSE),0)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IFERROR(VLOOKUP($MV24,$AV$2:$BA$83,4,FALSE),0)+IFERROR(VLOOKUP($MW24,$AV$2:$BA$83,4,FALSE),0)+IFERROR(VLOOKUP($MX24,$AV$2:$BA$83,4,FALSE),0)+IFERROR(VLOOKUP($MY24,$AV$2:$BA$83,4,FALSE),0)</f>
        <v/>
      </c>
      <c r="OB24" s="155">
        <f>IFERROR(VLOOKUP($MV24,$AV$2:$BA$83,6,FALSE),0)+IFERROR(VLOOKUP($MW24,$AV$2:$BA$83,6,FALSE),0)+IFERROR(VLOOKUP($MX24,$AV$2:$BA$83,6,FALSE),0)+IFERROR(VLOOKUP($MY24,$AV$2:$BA$83,6,FALSE),0)</f>
        <v/>
      </c>
      <c r="OC24" s="155">
        <f>TEXTJOIN(", ",TRUE,IF(IFERROR(VLOOKUP($MV24,$AV$2:$BA$83,5,FALSE),0)=1,$MV24,""),IF(IFERROR(VLOOKUP($MW24,$AV$2:$BA$83,5,FALSE),0)=1,$MW24,""),IF(IFERROR(VLOOKUP($MX24,$AV$2:$BA$83,5,FALSE),0)=1,$MX24,""),IF(IFERROR(VLOOKUP($MY24,$AV$2:$BA$83,5,FALSE),0)=1,$MY24,""))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MIN($OW24,$OU24-IF($NQ24=0,0,INDEX($I$2:$N$8,MAX(1,$MQ24),$NQ24)))</f>
        <v/>
      </c>
      <c r="OY24" s="155">
        <f>$OW24-$OX24</f>
        <v/>
      </c>
      <c r="OZ24" s="155">
        <f>IF($MQ24=0,0,INDEX($P$2:$P$8,MAX(1,$MQ24)))</f>
        <v/>
      </c>
      <c r="PA24" s="155">
        <f>$OZ24-$OU24+$OX24</f>
        <v/>
      </c>
      <c r="PB24" s="155">
        <f>IF($MQ24=0,MAX(0,$NE24-IF(AND($OS24&gt;0,COUNTIF($MZ24:$NA24,"?*")=0),1,0)),MAX(0,$PA24))</f>
        <v/>
      </c>
      <c r="PC24" s="155">
        <f>IF($MQ24=0,0,(IF(COUNTIF($MV24:$MY24,"Salto")&gt;0,1,0)+IF(COUNTIF($MV24:$MY24,"Queima")&gt;0,1,0)+IF(COUNTIF($MV24:$MY24,"Estilhaço")&gt;0,1,0))*FLOOR($PB24/2,1))</f>
        <v/>
      </c>
      <c r="PD24" s="155">
        <f>MAX(0,2-SUMPRODUCT($OK24:$OP24,$I$2:$N$2)+MIN(2,$OQ24*1+$OR24*1,SUMPRODUCT($OK24:$OP24,$I$2:$N$2)-IF($NQ24=0,0,INDEX($I$2:$N$2,1,$NQ24))))</f>
        <v/>
      </c>
      <c r="PE24" s="155">
        <f>MAX(0,4-SUMPRODUCT($OK24:$OP24,$I$3:$N$3)+MIN(4,$OQ24*1+$OR24*2,SUMPRODUCT($OK24:$OP24,$I$3:$N$3)-IF($NQ24=0,0,INDEX($I$3:$N$3,1,$NQ24))))</f>
        <v/>
      </c>
      <c r="PF24" s="155">
        <f>MAX(0,6-SUMPRODUCT($OK24:$OP24,$I$4:$N$4)+MIN(6,$OQ24*2+$OR24*3,SUMPRODUCT($OK24:$OP24,$I$4:$N$4)-IF($NQ24=0,0,INDEX($I$4:$N$4,1,$NQ24))))</f>
        <v/>
      </c>
      <c r="PG24" s="155">
        <f>MAX(0,9-SUMPRODUCT($OK24:$OP24,$I$5:$N$5)+MIN(8,$OQ24*2+$OR24*4,SUMPRODUCT($OK24:$OP24,$I$5:$N$5)-IF($NQ24=0,0,INDEX($I$5:$N$5,1,$NQ24))))</f>
        <v/>
      </c>
      <c r="PH24" s="155">
        <f>MAX(0,11-SUMPRODUCT($OK24:$OP24,$I$6:$N$6)+MIN(10,$OQ24*3+$OR24*5,SUMPRODUCT($OK24:$OP24,$I$6:$N$6)-IF($NQ24=0,0,INDEX($I$6:$N$6,1,$NQ24))))</f>
        <v/>
      </c>
      <c r="PI24" s="155">
        <f>MAX(0,13-SUMPRODUCT($OK24:$OP24,$I$7:$N$7)+MIN(12,$OQ24*3+$OR24*6,SUMPRODUCT($OK24:$OP24,$I$7:$N$7)-IF($NQ24=0,0,INDEX($I$7:$N$7,1,$NQ24))))</f>
        <v/>
      </c>
      <c r="PJ24" s="155">
        <f>MAX(0,16-SUMPRODUCT($OK24:$OP24,$I$8:$N$8)+MIN(14,$OQ24*4+$OR24*7,SUMPRODUCT($OK24:$OP24,$I$8:$N$8)-IF($NQ24=0,0,INDEX($I$8:$N$8,1,$NQ24))))</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Melhoria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Guarda Aberta</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IFERROR(VLOOKUP($MV25,$AV$2:$BA$83,2,FALSE),"")</f>
        <v/>
      </c>
      <c r="NJ25" s="155">
        <f>IFERROR(VLOOKUP($MW25,$AV$2:$BA$83,2,FALSE),"")</f>
        <v/>
      </c>
      <c r="NK25" s="155">
        <f>IFERROR(VLOOKUP($MX25,$AV$2:$BA$83,2,FALSE),"")</f>
        <v/>
      </c>
      <c r="NL25" s="155">
        <f>IFERROR(VLOOKUP($MY25,$AV$2:$BA$83,2,FALSE),"")</f>
        <v/>
      </c>
      <c r="NM25" s="155">
        <f>IFERROR(VLOOKUP($MV25,$AV$2:$BA$83,3,FALSE),0)</f>
        <v/>
      </c>
      <c r="NN25" s="155">
        <f>IFERROR(VLOOKUP($MW25,$AV$2:$BA$83,3,FALSE),0)</f>
        <v/>
      </c>
      <c r="NO25" s="155">
        <f>IFERROR(VLOOKUP($MX25,$AV$2:$BA$83,3,FALSE),0)</f>
        <v/>
      </c>
      <c r="NP25" s="155">
        <f>IFERROR(VLOOKUP($MY25,$AV$2:$BA$83,3,FALSE),0)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IFERROR(VLOOKUP($MV25,$AV$2:$BA$83,4,FALSE),0)+IFERROR(VLOOKUP($MW25,$AV$2:$BA$83,4,FALSE),0)+IFERROR(VLOOKUP($MX25,$AV$2:$BA$83,4,FALSE),0)+IFERROR(VLOOKUP($MY25,$AV$2:$BA$83,4,FALSE),0)</f>
        <v/>
      </c>
      <c r="OB25" s="155">
        <f>IFERROR(VLOOKUP($MV25,$AV$2:$BA$83,6,FALSE),0)+IFERROR(VLOOKUP($MW25,$AV$2:$BA$83,6,FALSE),0)+IFERROR(VLOOKUP($MX25,$AV$2:$BA$83,6,FALSE),0)+IFERROR(VLOOKUP($MY25,$AV$2:$BA$83,6,FALSE),0)</f>
        <v/>
      </c>
      <c r="OC25" s="155">
        <f>TEXTJOIN(", ",TRUE,IF(IFERROR(VLOOKUP($MV25,$AV$2:$BA$83,5,FALSE),0)=1,$MV25,""),IF(IFERROR(VLOOKUP($MW25,$AV$2:$BA$83,5,FALSE),0)=1,$MW25,""),IF(IFERROR(VLOOKUP($MX25,$AV$2:$BA$83,5,FALSE),0)=1,$MX25,""),IF(IFERROR(VLOOKUP($MY25,$AV$2:$BA$83,5,FALSE),0)=1,$MY25,""))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MIN($OW25,$OU25-IF($NQ25=0,0,INDEX($I$2:$N$8,MAX(1,$MQ25),$NQ25)))</f>
        <v/>
      </c>
      <c r="OY25" s="155">
        <f>$OW25-$OX25</f>
        <v/>
      </c>
      <c r="OZ25" s="155">
        <f>IF($MQ25=0,0,INDEX($P$2:$P$8,MAX(1,$MQ25)))</f>
        <v/>
      </c>
      <c r="PA25" s="155">
        <f>$OZ25-$OU25+$OX25</f>
        <v/>
      </c>
      <c r="PB25" s="155">
        <f>IF($MQ25=0,MAX(0,$NE25-IF(AND($OS25&gt;0,COUNTIF($MZ25:$NA25,"?*")=0),1,0)),MAX(0,$PA25))</f>
        <v/>
      </c>
      <c r="PC25" s="155">
        <f>IF($MQ25=0,0,(IF(COUNTIF($MV25:$MY25,"Salto")&gt;0,1,0)+IF(COUNTIF($MV25:$MY25,"Queima")&gt;0,1,0)+IF(COUNTIF($MV25:$MY25,"Estilhaço")&gt;0,1,0))*FLOOR($PB25/2,1))</f>
        <v/>
      </c>
      <c r="PD25" s="155">
        <f>MAX(0,2-SUMPRODUCT($OK25:$OP25,$I$2:$N$2)+MIN(2,$OQ25*1+$OR25*1,SUMPRODUCT($OK25:$OP25,$I$2:$N$2)-IF($NQ25=0,0,INDEX($I$2:$N$2,1,$NQ25))))</f>
        <v/>
      </c>
      <c r="PE25" s="155">
        <f>MAX(0,4-SUMPRODUCT($OK25:$OP25,$I$3:$N$3)+MIN(4,$OQ25*1+$OR25*2,SUMPRODUCT($OK25:$OP25,$I$3:$N$3)-IF($NQ25=0,0,INDEX($I$3:$N$3,1,$NQ25))))</f>
        <v/>
      </c>
      <c r="PF25" s="155">
        <f>MAX(0,6-SUMPRODUCT($OK25:$OP25,$I$4:$N$4)+MIN(6,$OQ25*2+$OR25*3,SUMPRODUCT($OK25:$OP25,$I$4:$N$4)-IF($NQ25=0,0,INDEX($I$4:$N$4,1,$NQ25))))</f>
        <v/>
      </c>
      <c r="PG25" s="155">
        <f>MAX(0,9-SUMPRODUCT($OK25:$OP25,$I$5:$N$5)+MIN(8,$OQ25*2+$OR25*4,SUMPRODUCT($OK25:$OP25,$I$5:$N$5)-IF($NQ25=0,0,INDEX($I$5:$N$5,1,$NQ25))))</f>
        <v/>
      </c>
      <c r="PH25" s="155">
        <f>MAX(0,11-SUMPRODUCT($OK25:$OP25,$I$6:$N$6)+MIN(10,$OQ25*3+$OR25*5,SUMPRODUCT($OK25:$OP25,$I$6:$N$6)-IF($NQ25=0,0,INDEX($I$6:$N$6,1,$NQ25))))</f>
        <v/>
      </c>
      <c r="PI25" s="155">
        <f>MAX(0,13-SUMPRODUCT($OK25:$OP25,$I$7:$N$7)+MIN(12,$OQ25*3+$OR25*6,SUMPRODUCT($OK25:$OP25,$I$7:$N$7)-IF($NQ25=0,0,INDEX($I$7:$N$7,1,$NQ25))))</f>
        <v/>
      </c>
      <c r="PJ25" s="155">
        <f>MAX(0,16-SUMPRODUCT($OK25:$OP25,$I$8:$N$8)+MIN(14,$OQ25*4+$OR25*7,SUMPRODUCT($OK25:$OP25,$I$8:$N$8)-IF($NQ25=0,0,INDEX($I$8:$N$8,1,$NQ25))))</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Melhoria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Derrubado</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IFERROR(VLOOKUP($MV26,$AV$2:$BA$83,2,FALSE),"")</f>
        <v/>
      </c>
      <c r="NJ26" s="155">
        <f>IFERROR(VLOOKUP($MW26,$AV$2:$BA$83,2,FALSE),"")</f>
        <v/>
      </c>
      <c r="NK26" s="155">
        <f>IFERROR(VLOOKUP($MX26,$AV$2:$BA$83,2,FALSE),"")</f>
        <v/>
      </c>
      <c r="NL26" s="155">
        <f>IFERROR(VLOOKUP($MY26,$AV$2:$BA$83,2,FALSE),"")</f>
        <v/>
      </c>
      <c r="NM26" s="155">
        <f>IFERROR(VLOOKUP($MV26,$AV$2:$BA$83,3,FALSE),0)</f>
        <v/>
      </c>
      <c r="NN26" s="155">
        <f>IFERROR(VLOOKUP($MW26,$AV$2:$BA$83,3,FALSE),0)</f>
        <v/>
      </c>
      <c r="NO26" s="155">
        <f>IFERROR(VLOOKUP($MX26,$AV$2:$BA$83,3,FALSE),0)</f>
        <v/>
      </c>
      <c r="NP26" s="155">
        <f>IFERROR(VLOOKUP($MY26,$AV$2:$BA$83,3,FALSE),0)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IFERROR(VLOOKUP($MV26,$AV$2:$BA$83,4,FALSE),0)+IFERROR(VLOOKUP($MW26,$AV$2:$BA$83,4,FALSE),0)+IFERROR(VLOOKUP($MX26,$AV$2:$BA$83,4,FALSE),0)+IFERROR(VLOOKUP($MY26,$AV$2:$BA$83,4,FALSE),0)</f>
        <v/>
      </c>
      <c r="OB26" s="155">
        <f>IFERROR(VLOOKUP($MV26,$AV$2:$BA$83,6,FALSE),0)+IFERROR(VLOOKUP($MW26,$AV$2:$BA$83,6,FALSE),0)+IFERROR(VLOOKUP($MX26,$AV$2:$BA$83,6,FALSE),0)+IFERROR(VLOOKUP($MY26,$AV$2:$BA$83,6,FALSE),0)</f>
        <v/>
      </c>
      <c r="OC26" s="155">
        <f>TEXTJOIN(", ",TRUE,IF(IFERROR(VLOOKUP($MV26,$AV$2:$BA$83,5,FALSE),0)=1,$MV26,""),IF(IFERROR(VLOOKUP($MW26,$AV$2:$BA$83,5,FALSE),0)=1,$MW26,""),IF(IFERROR(VLOOKUP($MX26,$AV$2:$BA$83,5,FALSE),0)=1,$MX26,""),IF(IFERROR(VLOOKUP($MY26,$AV$2:$BA$83,5,FALSE),0)=1,$MY26,""))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MIN($OW26,$OU26-IF($NQ26=0,0,INDEX($I$2:$N$8,MAX(1,$MQ26),$NQ26)))</f>
        <v/>
      </c>
      <c r="OY26" s="155">
        <f>$OW26-$OX26</f>
        <v/>
      </c>
      <c r="OZ26" s="155">
        <f>IF($MQ26=0,0,INDEX($P$2:$P$8,MAX(1,$MQ26)))</f>
        <v/>
      </c>
      <c r="PA26" s="155">
        <f>$OZ26-$OU26+$OX26</f>
        <v/>
      </c>
      <c r="PB26" s="155">
        <f>IF($MQ26=0,MAX(0,$NE26-IF(AND($OS26&gt;0,COUNTIF($MZ26:$NA26,"?*")=0),1,0)),MAX(0,$PA26))</f>
        <v/>
      </c>
      <c r="PC26" s="155">
        <f>IF($MQ26=0,0,(IF(COUNTIF($MV26:$MY26,"Salto")&gt;0,1,0)+IF(COUNTIF($MV26:$MY26,"Queima")&gt;0,1,0)+IF(COUNTIF($MV26:$MY26,"Estilhaço")&gt;0,1,0))*FLOOR($PB26/2,1))</f>
        <v/>
      </c>
      <c r="PD26" s="155">
        <f>MAX(0,2-SUMPRODUCT($OK26:$OP26,$I$2:$N$2)+MIN(2,$OQ26*1+$OR26*1,SUMPRODUCT($OK26:$OP26,$I$2:$N$2)-IF($NQ26=0,0,INDEX($I$2:$N$2,1,$NQ26))))</f>
        <v/>
      </c>
      <c r="PE26" s="155">
        <f>MAX(0,4-SUMPRODUCT($OK26:$OP26,$I$3:$N$3)+MIN(4,$OQ26*1+$OR26*2,SUMPRODUCT($OK26:$OP26,$I$3:$N$3)-IF($NQ26=0,0,INDEX($I$3:$N$3,1,$NQ26))))</f>
        <v/>
      </c>
      <c r="PF26" s="155">
        <f>MAX(0,6-SUMPRODUCT($OK26:$OP26,$I$4:$N$4)+MIN(6,$OQ26*2+$OR26*3,SUMPRODUCT($OK26:$OP26,$I$4:$N$4)-IF($NQ26=0,0,INDEX($I$4:$N$4,1,$NQ26))))</f>
        <v/>
      </c>
      <c r="PG26" s="155">
        <f>MAX(0,9-SUMPRODUCT($OK26:$OP26,$I$5:$N$5)+MIN(8,$OQ26*2+$OR26*4,SUMPRODUCT($OK26:$OP26,$I$5:$N$5)-IF($NQ26=0,0,INDEX($I$5:$N$5,1,$NQ26))))</f>
        <v/>
      </c>
      <c r="PH26" s="155">
        <f>MAX(0,11-SUMPRODUCT($OK26:$OP26,$I$6:$N$6)+MIN(10,$OQ26*3+$OR26*5,SUMPRODUCT($OK26:$OP26,$I$6:$N$6)-IF($NQ26=0,0,INDEX($I$6:$N$6,1,$NQ26))))</f>
        <v/>
      </c>
      <c r="PI26" s="155">
        <f>MAX(0,13-SUMPRODUCT($OK26:$OP26,$I$7:$N$7)+MIN(12,$OQ26*3+$OR26*6,SUMPRODUCT($OK26:$OP26,$I$7:$N$7)-IF($NQ26=0,0,INDEX($I$7:$N$7,1,$NQ26))))</f>
        <v/>
      </c>
      <c r="PJ26" s="155">
        <f>MAX(0,16-SUMPRODUCT($OK26:$OP26,$I$8:$N$8)+MIN(14,$OQ26*4+$OR26*7,SUMPRODUCT($OK26:$OP26,$I$8:$N$8)-IF($NQ26=0,0,INDEX($I$8:$N$8,1,$NQ26))))</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Melhoria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Agarrado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IFERROR(VLOOKUP($MV27,$AV$2:$BA$83,2,FALSE),"")</f>
        <v/>
      </c>
      <c r="NJ27" s="155">
        <f>IFERROR(VLOOKUP($MW27,$AV$2:$BA$83,2,FALSE),"")</f>
        <v/>
      </c>
      <c r="NK27" s="155">
        <f>IFERROR(VLOOKUP($MX27,$AV$2:$BA$83,2,FALSE),"")</f>
        <v/>
      </c>
      <c r="NL27" s="155">
        <f>IFERROR(VLOOKUP($MY27,$AV$2:$BA$83,2,FALSE),"")</f>
        <v/>
      </c>
      <c r="NM27" s="155">
        <f>IFERROR(VLOOKUP($MV27,$AV$2:$BA$83,3,FALSE),0)</f>
        <v/>
      </c>
      <c r="NN27" s="155">
        <f>IFERROR(VLOOKUP($MW27,$AV$2:$BA$83,3,FALSE),0)</f>
        <v/>
      </c>
      <c r="NO27" s="155">
        <f>IFERROR(VLOOKUP($MX27,$AV$2:$BA$83,3,FALSE),0)</f>
        <v/>
      </c>
      <c r="NP27" s="155">
        <f>IFERROR(VLOOKUP($MY27,$AV$2:$BA$83,3,FALSE),0)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IFERROR(VLOOKUP($MV27,$AV$2:$BA$83,4,FALSE),0)+IFERROR(VLOOKUP($MW27,$AV$2:$BA$83,4,FALSE),0)+IFERROR(VLOOKUP($MX27,$AV$2:$BA$83,4,FALSE),0)+IFERROR(VLOOKUP($MY27,$AV$2:$BA$83,4,FALSE),0)</f>
        <v/>
      </c>
      <c r="OB27" s="155">
        <f>IFERROR(VLOOKUP($MV27,$AV$2:$BA$83,6,FALSE),0)+IFERROR(VLOOKUP($MW27,$AV$2:$BA$83,6,FALSE),0)+IFERROR(VLOOKUP($MX27,$AV$2:$BA$83,6,FALSE),0)+IFERROR(VLOOKUP($MY27,$AV$2:$BA$83,6,FALSE),0)</f>
        <v/>
      </c>
      <c r="OC27" s="155">
        <f>TEXTJOIN(", ",TRUE,IF(IFERROR(VLOOKUP($MV27,$AV$2:$BA$83,5,FALSE),0)=1,$MV27,""),IF(IFERROR(VLOOKUP($MW27,$AV$2:$BA$83,5,FALSE),0)=1,$MW27,""),IF(IFERROR(VLOOKUP($MX27,$AV$2:$BA$83,5,FALSE),0)=1,$MX27,""),IF(IFERROR(VLOOKUP($MY27,$AV$2:$BA$83,5,FALSE),0)=1,$MY27,""))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MIN($OW27,$OU27-IF($NQ27=0,0,INDEX($I$2:$N$8,MAX(1,$MQ27),$NQ27)))</f>
        <v/>
      </c>
      <c r="OY27" s="155">
        <f>$OW27-$OX27</f>
        <v/>
      </c>
      <c r="OZ27" s="155">
        <f>IF($MQ27=0,0,INDEX($P$2:$P$8,MAX(1,$MQ27)))</f>
        <v/>
      </c>
      <c r="PA27" s="155">
        <f>$OZ27-$OU27+$OX27</f>
        <v/>
      </c>
      <c r="PB27" s="155">
        <f>IF($MQ27=0,MAX(0,$NE27-IF(AND($OS27&gt;0,COUNTIF($MZ27:$NA27,"?*")=0),1,0)),MAX(0,$PA27))</f>
        <v/>
      </c>
      <c r="PC27" s="155">
        <f>IF($MQ27=0,0,(IF(COUNTIF($MV27:$MY27,"Salto")&gt;0,1,0)+IF(COUNTIF($MV27:$MY27,"Queima")&gt;0,1,0)+IF(COUNTIF($MV27:$MY27,"Estilhaço")&gt;0,1,0))*FLOOR($PB27/2,1))</f>
        <v/>
      </c>
      <c r="PD27" s="155">
        <f>MAX(0,2-SUMPRODUCT($OK27:$OP27,$I$2:$N$2)+MIN(2,$OQ27*1+$OR27*1,SUMPRODUCT($OK27:$OP27,$I$2:$N$2)-IF($NQ27=0,0,INDEX($I$2:$N$2,1,$NQ27))))</f>
        <v/>
      </c>
      <c r="PE27" s="155">
        <f>MAX(0,4-SUMPRODUCT($OK27:$OP27,$I$3:$N$3)+MIN(4,$OQ27*1+$OR27*2,SUMPRODUCT($OK27:$OP27,$I$3:$N$3)-IF($NQ27=0,0,INDEX($I$3:$N$3,1,$NQ27))))</f>
        <v/>
      </c>
      <c r="PF27" s="155">
        <f>MAX(0,6-SUMPRODUCT($OK27:$OP27,$I$4:$N$4)+MIN(6,$OQ27*2+$OR27*3,SUMPRODUCT($OK27:$OP27,$I$4:$N$4)-IF($NQ27=0,0,INDEX($I$4:$N$4,1,$NQ27))))</f>
        <v/>
      </c>
      <c r="PG27" s="155">
        <f>MAX(0,9-SUMPRODUCT($OK27:$OP27,$I$5:$N$5)+MIN(8,$OQ27*2+$OR27*4,SUMPRODUCT($OK27:$OP27,$I$5:$N$5)-IF($NQ27=0,0,INDEX($I$5:$N$5,1,$NQ27))))</f>
        <v/>
      </c>
      <c r="PH27" s="155">
        <f>MAX(0,11-SUMPRODUCT($OK27:$OP27,$I$6:$N$6)+MIN(10,$OQ27*3+$OR27*5,SUMPRODUCT($OK27:$OP27,$I$6:$N$6)-IF($NQ27=0,0,INDEX($I$6:$N$6,1,$NQ27))))</f>
        <v/>
      </c>
      <c r="PI27" s="155">
        <f>MAX(0,13-SUMPRODUCT($OK27:$OP27,$I$7:$N$7)+MIN(12,$OQ27*3+$OR27*6,SUMPRODUCT($OK27:$OP27,$I$7:$N$7)-IF($NQ27=0,0,INDEX($I$7:$N$7,1,$NQ27))))</f>
        <v/>
      </c>
      <c r="PJ27" s="155">
        <f>MAX(0,16-SUMPRODUCT($OK27:$OP27,$I$8:$N$8)+MIN(14,$OQ27*4+$OR27*7,SUMPRODUCT($OK27:$OP27,$I$8:$N$8)-IF($NQ27=0,0,INDEX($I$8:$N$8,1,$NQ27))))</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Melhoria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Desarmado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IFERROR(VLOOKUP($MV28,$AV$2:$BA$83,2,FALSE),"")</f>
        <v/>
      </c>
      <c r="NJ28" s="155">
        <f>IFERROR(VLOOKUP($MW28,$AV$2:$BA$83,2,FALSE),"")</f>
        <v/>
      </c>
      <c r="NK28" s="155">
        <f>IFERROR(VLOOKUP($MX28,$AV$2:$BA$83,2,FALSE),"")</f>
        <v/>
      </c>
      <c r="NL28" s="155">
        <f>IFERROR(VLOOKUP($MY28,$AV$2:$BA$83,2,FALSE),"")</f>
        <v/>
      </c>
      <c r="NM28" s="155">
        <f>IFERROR(VLOOKUP($MV28,$AV$2:$BA$83,3,FALSE),0)</f>
        <v/>
      </c>
      <c r="NN28" s="155">
        <f>IFERROR(VLOOKUP($MW28,$AV$2:$BA$83,3,FALSE),0)</f>
        <v/>
      </c>
      <c r="NO28" s="155">
        <f>IFERROR(VLOOKUP($MX28,$AV$2:$BA$83,3,FALSE),0)</f>
        <v/>
      </c>
      <c r="NP28" s="155">
        <f>IFERROR(VLOOKUP($MY28,$AV$2:$BA$83,3,FALSE),0)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IFERROR(VLOOKUP($MV28,$AV$2:$BA$83,4,FALSE),0)+IFERROR(VLOOKUP($MW28,$AV$2:$BA$83,4,FALSE),0)+IFERROR(VLOOKUP($MX28,$AV$2:$BA$83,4,FALSE),0)+IFERROR(VLOOKUP($MY28,$AV$2:$BA$83,4,FALSE),0)</f>
        <v/>
      </c>
      <c r="OB28" s="155">
        <f>IFERROR(VLOOKUP($MV28,$AV$2:$BA$83,6,FALSE),0)+IFERROR(VLOOKUP($MW28,$AV$2:$BA$83,6,FALSE),0)+IFERROR(VLOOKUP($MX28,$AV$2:$BA$83,6,FALSE),0)+IFERROR(VLOOKUP($MY28,$AV$2:$BA$83,6,FALSE),0)</f>
        <v/>
      </c>
      <c r="OC28" s="155">
        <f>TEXTJOIN(", ",TRUE,IF(IFERROR(VLOOKUP($MV28,$AV$2:$BA$83,5,FALSE),0)=1,$MV28,""),IF(IFERROR(VLOOKUP($MW28,$AV$2:$BA$83,5,FALSE),0)=1,$MW28,""),IF(IFERROR(VLOOKUP($MX28,$AV$2:$BA$83,5,FALSE),0)=1,$MX28,""),IF(IFERROR(VLOOKUP($MY28,$AV$2:$BA$83,5,FALSE),0)=1,$MY28,""))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MIN($OW28,$OU28-IF($NQ28=0,0,INDEX($I$2:$N$8,MAX(1,$MQ28),$NQ28)))</f>
        <v/>
      </c>
      <c r="OY28" s="155">
        <f>$OW28-$OX28</f>
        <v/>
      </c>
      <c r="OZ28" s="155">
        <f>IF($MQ28=0,0,INDEX($P$2:$P$8,MAX(1,$MQ28)))</f>
        <v/>
      </c>
      <c r="PA28" s="155">
        <f>$OZ28-$OU28+$OX28</f>
        <v/>
      </c>
      <c r="PB28" s="155">
        <f>IF($MQ28=0,MAX(0,$NE28-IF(AND($OS28&gt;0,COUNTIF($MZ28:$NA28,"?*")=0),1,0)),MAX(0,$PA28))</f>
        <v/>
      </c>
      <c r="PC28" s="155">
        <f>IF($MQ28=0,0,(IF(COUNTIF($MV28:$MY28,"Salto")&gt;0,1,0)+IF(COUNTIF($MV28:$MY28,"Queima")&gt;0,1,0)+IF(COUNTIF($MV28:$MY28,"Estilhaço")&gt;0,1,0))*FLOOR($PB28/2,1))</f>
        <v/>
      </c>
      <c r="PD28" s="155">
        <f>MAX(0,2-SUMPRODUCT($OK28:$OP28,$I$2:$N$2)+MIN(2,$OQ28*1+$OR28*1,SUMPRODUCT($OK28:$OP28,$I$2:$N$2)-IF($NQ28=0,0,INDEX($I$2:$N$2,1,$NQ28))))</f>
        <v/>
      </c>
      <c r="PE28" s="155">
        <f>MAX(0,4-SUMPRODUCT($OK28:$OP28,$I$3:$N$3)+MIN(4,$OQ28*1+$OR28*2,SUMPRODUCT($OK28:$OP28,$I$3:$N$3)-IF($NQ28=0,0,INDEX($I$3:$N$3,1,$NQ28))))</f>
        <v/>
      </c>
      <c r="PF28" s="155">
        <f>MAX(0,6-SUMPRODUCT($OK28:$OP28,$I$4:$N$4)+MIN(6,$OQ28*2+$OR28*3,SUMPRODUCT($OK28:$OP28,$I$4:$N$4)-IF($NQ28=0,0,INDEX($I$4:$N$4,1,$NQ28))))</f>
        <v/>
      </c>
      <c r="PG28" s="155">
        <f>MAX(0,9-SUMPRODUCT($OK28:$OP28,$I$5:$N$5)+MIN(8,$OQ28*2+$OR28*4,SUMPRODUCT($OK28:$OP28,$I$5:$N$5)-IF($NQ28=0,0,INDEX($I$5:$N$5,1,$NQ28))))</f>
        <v/>
      </c>
      <c r="PH28" s="155">
        <f>MAX(0,11-SUMPRODUCT($OK28:$OP28,$I$6:$N$6)+MIN(10,$OQ28*3+$OR28*5,SUMPRODUCT($OK28:$OP28,$I$6:$N$6)-IF($NQ28=0,0,INDEX($I$6:$N$6,1,$NQ28))))</f>
        <v/>
      </c>
      <c r="PI28" s="155">
        <f>MAX(0,13-SUMPRODUCT($OK28:$OP28,$I$7:$N$7)+MIN(12,$OQ28*3+$OR28*6,SUMPRODUCT($OK28:$OP28,$I$7:$N$7)-IF($NQ28=0,0,INDEX($I$7:$N$7,1,$NQ28))))</f>
        <v/>
      </c>
      <c r="PJ28" s="155">
        <f>MAX(0,16-SUMPRODUCT($OK28:$OP28,$I$8:$N$8)+MIN(14,$OQ28*4+$OR28*7,SUMPRODUCT($OK28:$OP28,$I$8:$N$8)-IF($NQ28=0,0,INDEX($I$8:$N$8,1,$NQ28))))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Melhoria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Surdo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IFERROR(VLOOKUP($MV29,$AV$2:$BA$83,2,FALSE),"")</f>
        <v/>
      </c>
      <c r="NJ29" s="155">
        <f>IFERROR(VLOOKUP($MW29,$AV$2:$BA$83,2,FALSE),"")</f>
        <v/>
      </c>
      <c r="NK29" s="155">
        <f>IFERROR(VLOOKUP($MX29,$AV$2:$BA$83,2,FALSE),"")</f>
        <v/>
      </c>
      <c r="NL29" s="155">
        <f>IFERROR(VLOOKUP($MY29,$AV$2:$BA$83,2,FALSE),"")</f>
        <v/>
      </c>
      <c r="NM29" s="155">
        <f>IFERROR(VLOOKUP($MV29,$AV$2:$BA$83,3,FALSE),0)</f>
        <v/>
      </c>
      <c r="NN29" s="155">
        <f>IFERROR(VLOOKUP($MW29,$AV$2:$BA$83,3,FALSE),0)</f>
        <v/>
      </c>
      <c r="NO29" s="155">
        <f>IFERROR(VLOOKUP($MX29,$AV$2:$BA$83,3,FALSE),0)</f>
        <v/>
      </c>
      <c r="NP29" s="155">
        <f>IFERROR(VLOOKUP($MY29,$AV$2:$BA$83,3,FALSE),0)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IFERROR(VLOOKUP($MV29,$AV$2:$BA$83,4,FALSE),0)+IFERROR(VLOOKUP($MW29,$AV$2:$BA$83,4,FALSE),0)+IFERROR(VLOOKUP($MX29,$AV$2:$BA$83,4,FALSE),0)+IFERROR(VLOOKUP($MY29,$AV$2:$BA$83,4,FALSE),0)</f>
        <v/>
      </c>
      <c r="OB29" s="155">
        <f>IFERROR(VLOOKUP($MV29,$AV$2:$BA$83,6,FALSE),0)+IFERROR(VLOOKUP($MW29,$AV$2:$BA$83,6,FALSE),0)+IFERROR(VLOOKUP($MX29,$AV$2:$BA$83,6,FALSE),0)+IFERROR(VLOOKUP($MY29,$AV$2:$BA$83,6,FALSE),0)</f>
        <v/>
      </c>
      <c r="OC29" s="155">
        <f>TEXTJOIN(", ",TRUE,IF(IFERROR(VLOOKUP($MV29,$AV$2:$BA$83,5,FALSE),0)=1,$MV29,""),IF(IFERROR(VLOOKUP($MW29,$AV$2:$BA$83,5,FALSE),0)=1,$MW29,""),IF(IFERROR(VLOOKUP($MX29,$AV$2:$BA$83,5,FALSE),0)=1,$MX29,""),IF(IFERROR(VLOOKUP($MY29,$AV$2:$BA$83,5,FALSE),0)=1,$MY29,""))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MIN($OW29,$OU29-IF($NQ29=0,0,INDEX($I$2:$N$8,MAX(1,$MQ29),$NQ29)))</f>
        <v/>
      </c>
      <c r="OY29" s="155">
        <f>$OW29-$OX29</f>
        <v/>
      </c>
      <c r="OZ29" s="155">
        <f>IF($MQ29=0,0,INDEX($P$2:$P$8,MAX(1,$MQ29)))</f>
        <v/>
      </c>
      <c r="PA29" s="155">
        <f>$OZ29-$OU29+$OX29</f>
        <v/>
      </c>
      <c r="PB29" s="155">
        <f>IF($MQ29=0,MAX(0,$NE29-IF(AND($OS29&gt;0,COUNTIF($MZ29:$NA29,"?*")=0),1,0)),MAX(0,$PA29))</f>
        <v/>
      </c>
      <c r="PC29" s="155">
        <f>IF($MQ29=0,0,(IF(COUNTIF($MV29:$MY29,"Salto")&gt;0,1,0)+IF(COUNTIF($MV29:$MY29,"Queima")&gt;0,1,0)+IF(COUNTIF($MV29:$MY29,"Estilhaço")&gt;0,1,0))*FLOOR($PB29/2,1))</f>
        <v/>
      </c>
      <c r="PD29" s="155">
        <f>MAX(0,2-SUMPRODUCT($OK29:$OP29,$I$2:$N$2)+MIN(2,$OQ29*1+$OR29*1,SUMPRODUCT($OK29:$OP29,$I$2:$N$2)-IF($NQ29=0,0,INDEX($I$2:$N$2,1,$NQ29))))</f>
        <v/>
      </c>
      <c r="PE29" s="155">
        <f>MAX(0,4-SUMPRODUCT($OK29:$OP29,$I$3:$N$3)+MIN(4,$OQ29*1+$OR29*2,SUMPRODUCT($OK29:$OP29,$I$3:$N$3)-IF($NQ29=0,0,INDEX($I$3:$N$3,1,$NQ29))))</f>
        <v/>
      </c>
      <c r="PF29" s="155">
        <f>MAX(0,6-SUMPRODUCT($OK29:$OP29,$I$4:$N$4)+MIN(6,$OQ29*2+$OR29*3,SUMPRODUCT($OK29:$OP29,$I$4:$N$4)-IF($NQ29=0,0,INDEX($I$4:$N$4,1,$NQ29))))</f>
        <v/>
      </c>
      <c r="PG29" s="155">
        <f>MAX(0,9-SUMPRODUCT($OK29:$OP29,$I$5:$N$5)+MIN(8,$OQ29*2+$OR29*4,SUMPRODUCT($OK29:$OP29,$I$5:$N$5)-IF($NQ29=0,0,INDEX($I$5:$N$5,1,$NQ29))))</f>
        <v/>
      </c>
      <c r="PH29" s="155">
        <f>MAX(0,11-SUMPRODUCT($OK29:$OP29,$I$6:$N$6)+MIN(10,$OQ29*3+$OR29*5,SUMPRODUCT($OK29:$OP29,$I$6:$N$6)-IF($NQ29=0,0,INDEX($I$6:$N$6,1,$NQ29))))</f>
        <v/>
      </c>
      <c r="PI29" s="155">
        <f>MAX(0,13-SUMPRODUCT($OK29:$OP29,$I$7:$N$7)+MIN(12,$OQ29*3+$OR29*6,SUMPRODUCT($OK29:$OP29,$I$7:$N$7)-IF($NQ29=0,0,INDEX($I$7:$N$7,1,$NQ29))))</f>
        <v/>
      </c>
      <c r="PJ29" s="155">
        <f>MAX(0,16-SUMPRODUCT($OK29:$OP29,$I$8:$N$8)+MIN(14,$OQ29*4+$OR29*7,SUMPRODUCT($OK29:$OP29,$I$8:$N$8)-IF($NQ29=0,0,INDEX($I$8:$N$8,1,$NQ29))))</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Melhoria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Calado</t>
        </is>
      </c>
      <c r="AW30" s="153" t="inlineStr">
        <is>
          <t>Controle</t>
        </is>
      </c>
      <c r="AX30" s="155" t="n">
        <v>2</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IFERROR(VLOOKUP($MV30,$AV$2:$BA$83,2,FALSE),"")</f>
        <v/>
      </c>
      <c r="NJ30" s="155">
        <f>IFERROR(VLOOKUP($MW30,$AV$2:$BA$83,2,FALSE),"")</f>
        <v/>
      </c>
      <c r="NK30" s="155">
        <f>IFERROR(VLOOKUP($MX30,$AV$2:$BA$83,2,FALSE),"")</f>
        <v/>
      </c>
      <c r="NL30" s="155">
        <f>IFERROR(VLOOKUP($MY30,$AV$2:$BA$83,2,FALSE),"")</f>
        <v/>
      </c>
      <c r="NM30" s="155">
        <f>IFERROR(VLOOKUP($MV30,$AV$2:$BA$83,3,FALSE),0)</f>
        <v/>
      </c>
      <c r="NN30" s="155">
        <f>IFERROR(VLOOKUP($MW30,$AV$2:$BA$83,3,FALSE),0)</f>
        <v/>
      </c>
      <c r="NO30" s="155">
        <f>IFERROR(VLOOKUP($MX30,$AV$2:$BA$83,3,FALSE),0)</f>
        <v/>
      </c>
      <c r="NP30" s="155">
        <f>IFERROR(VLOOKUP($MY30,$AV$2:$BA$83,3,FALSE),0)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IFERROR(VLOOKUP($MV30,$AV$2:$BA$83,4,FALSE),0)+IFERROR(VLOOKUP($MW30,$AV$2:$BA$83,4,FALSE),0)+IFERROR(VLOOKUP($MX30,$AV$2:$BA$83,4,FALSE),0)+IFERROR(VLOOKUP($MY30,$AV$2:$BA$83,4,FALSE),0)</f>
        <v/>
      </c>
      <c r="OB30" s="155">
        <f>IFERROR(VLOOKUP($MV30,$AV$2:$BA$83,6,FALSE),0)+IFERROR(VLOOKUP($MW30,$AV$2:$BA$83,6,FALSE),0)+IFERROR(VLOOKUP($MX30,$AV$2:$BA$83,6,FALSE),0)+IFERROR(VLOOKUP($MY30,$AV$2:$BA$83,6,FALSE),0)</f>
        <v/>
      </c>
      <c r="OC30" s="155">
        <f>TEXTJOIN(", ",TRUE,IF(IFERROR(VLOOKUP($MV30,$AV$2:$BA$83,5,FALSE),0)=1,$MV30,""),IF(IFERROR(VLOOKUP($MW30,$AV$2:$BA$83,5,FALSE),0)=1,$MW30,""),IF(IFERROR(VLOOKUP($MX30,$AV$2:$BA$83,5,FALSE),0)=1,$MX30,""),IF(IFERROR(VLOOKUP($MY30,$AV$2:$BA$83,5,FALSE),0)=1,$MY30,""))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MIN($OW30,$OU30-IF($NQ30=0,0,INDEX($I$2:$N$8,MAX(1,$MQ30),$NQ30)))</f>
        <v/>
      </c>
      <c r="OY30" s="155">
        <f>$OW30-$OX30</f>
        <v/>
      </c>
      <c r="OZ30" s="155">
        <f>IF($MQ30=0,0,INDEX($P$2:$P$8,MAX(1,$MQ30)))</f>
        <v/>
      </c>
      <c r="PA30" s="155">
        <f>$OZ30-$OU30+$OX30</f>
        <v/>
      </c>
      <c r="PB30" s="155">
        <f>IF($MQ30=0,MAX(0,$NE30-IF(AND($OS30&gt;0,COUNTIF($MZ30:$NA30,"?*")=0),1,0)),MAX(0,$PA30))</f>
        <v/>
      </c>
      <c r="PC30" s="155">
        <f>IF($MQ30=0,0,(IF(COUNTIF($MV30:$MY30,"Salto")&gt;0,1,0)+IF(COUNTIF($MV30:$MY30,"Queima")&gt;0,1,0)+IF(COUNTIF($MV30:$MY30,"Estilhaço")&gt;0,1,0))*FLOOR($PB30/2,1))</f>
        <v/>
      </c>
      <c r="PD30" s="155">
        <f>MAX(0,2-SUMPRODUCT($OK30:$OP30,$I$2:$N$2)+MIN(2,$OQ30*1+$OR30*1,SUMPRODUCT($OK30:$OP30,$I$2:$N$2)-IF($NQ30=0,0,INDEX($I$2:$N$2,1,$NQ30))))</f>
        <v/>
      </c>
      <c r="PE30" s="155">
        <f>MAX(0,4-SUMPRODUCT($OK30:$OP30,$I$3:$N$3)+MIN(4,$OQ30*1+$OR30*2,SUMPRODUCT($OK30:$OP30,$I$3:$N$3)-IF($NQ30=0,0,INDEX($I$3:$N$3,1,$NQ30))))</f>
        <v/>
      </c>
      <c r="PF30" s="155">
        <f>MAX(0,6-SUMPRODUCT($OK30:$OP30,$I$4:$N$4)+MIN(6,$OQ30*2+$OR30*3,SUMPRODUCT($OK30:$OP30,$I$4:$N$4)-IF($NQ30=0,0,INDEX($I$4:$N$4,1,$NQ30))))</f>
        <v/>
      </c>
      <c r="PG30" s="155">
        <f>MAX(0,9-SUMPRODUCT($OK30:$OP30,$I$5:$N$5)+MIN(8,$OQ30*2+$OR30*4,SUMPRODUCT($OK30:$OP30,$I$5:$N$5)-IF($NQ30=0,0,INDEX($I$5:$N$5,1,$NQ30))))</f>
        <v/>
      </c>
      <c r="PH30" s="155">
        <f>MAX(0,11-SUMPRODUCT($OK30:$OP30,$I$6:$N$6)+MIN(10,$OQ30*3+$OR30*5,SUMPRODUCT($OK30:$OP30,$I$6:$N$6)-IF($NQ30=0,0,INDEX($I$6:$N$6,1,$NQ30))))</f>
        <v/>
      </c>
      <c r="PI30" s="155">
        <f>MAX(0,13-SUMPRODUCT($OK30:$OP30,$I$7:$N$7)+MIN(12,$OQ30*3+$OR30*6,SUMPRODUCT($OK30:$OP30,$I$7:$N$7)-IF($NQ30=0,0,INDEX($I$7:$N$7,1,$NQ30))))</f>
        <v/>
      </c>
      <c r="PJ30" s="155">
        <f>MAX(0,16-SUMPRODUCT($OK30:$OP30,$I$8:$N$8)+MIN(14,$OQ30*4+$OR30*7,SUMPRODUCT($OK30:$OP30,$I$8:$N$8)-IF($NQ30=0,0,INDEX($I$8:$N$8,1,$NQ30))))</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Melhoria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Enfeitiçado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IFERROR(VLOOKUP($MV31,$AV$2:$BA$83,2,FALSE),"")</f>
        <v/>
      </c>
      <c r="NJ31" s="155">
        <f>IFERROR(VLOOKUP($MW31,$AV$2:$BA$83,2,FALSE),"")</f>
        <v/>
      </c>
      <c r="NK31" s="155">
        <f>IFERROR(VLOOKUP($MX31,$AV$2:$BA$83,2,FALSE),"")</f>
        <v/>
      </c>
      <c r="NL31" s="155">
        <f>IFERROR(VLOOKUP($MY31,$AV$2:$BA$83,2,FALSE),"")</f>
        <v/>
      </c>
      <c r="NM31" s="155">
        <f>IFERROR(VLOOKUP($MV31,$AV$2:$BA$83,3,FALSE),0)</f>
        <v/>
      </c>
      <c r="NN31" s="155">
        <f>IFERROR(VLOOKUP($MW31,$AV$2:$BA$83,3,FALSE),0)</f>
        <v/>
      </c>
      <c r="NO31" s="155">
        <f>IFERROR(VLOOKUP($MX31,$AV$2:$BA$83,3,FALSE),0)</f>
        <v/>
      </c>
      <c r="NP31" s="155">
        <f>IFERROR(VLOOKUP($MY31,$AV$2:$BA$83,3,FALSE),0)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IFERROR(VLOOKUP($MV31,$AV$2:$BA$83,4,FALSE),0)+IFERROR(VLOOKUP($MW31,$AV$2:$BA$83,4,FALSE),0)+IFERROR(VLOOKUP($MX31,$AV$2:$BA$83,4,FALSE),0)+IFERROR(VLOOKUP($MY31,$AV$2:$BA$83,4,FALSE),0)</f>
        <v/>
      </c>
      <c r="OB31" s="155">
        <f>IFERROR(VLOOKUP($MV31,$AV$2:$BA$83,6,FALSE),0)+IFERROR(VLOOKUP($MW31,$AV$2:$BA$83,6,FALSE),0)+IFERROR(VLOOKUP($MX31,$AV$2:$BA$83,6,FALSE),0)+IFERROR(VLOOKUP($MY31,$AV$2:$BA$83,6,FALSE),0)</f>
        <v/>
      </c>
      <c r="OC31" s="155">
        <f>TEXTJOIN(", ",TRUE,IF(IFERROR(VLOOKUP($MV31,$AV$2:$BA$83,5,FALSE),0)=1,$MV31,""),IF(IFERROR(VLOOKUP($MW31,$AV$2:$BA$83,5,FALSE),0)=1,$MW31,""),IF(IFERROR(VLOOKUP($MX31,$AV$2:$BA$83,5,FALSE),0)=1,$MX31,""),IF(IFERROR(VLOOKUP($MY31,$AV$2:$BA$83,5,FALSE),0)=1,$MY31,""))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MIN($OW31,$OU31-IF($NQ31=0,0,INDEX($I$2:$N$8,MAX(1,$MQ31),$NQ31)))</f>
        <v/>
      </c>
      <c r="OY31" s="155">
        <f>$OW31-$OX31</f>
        <v/>
      </c>
      <c r="OZ31" s="155">
        <f>IF($MQ31=0,0,INDEX($P$2:$P$8,MAX(1,$MQ31)))</f>
        <v/>
      </c>
      <c r="PA31" s="155">
        <f>$OZ31-$OU31+$OX31</f>
        <v/>
      </c>
      <c r="PB31" s="155">
        <f>IF($MQ31=0,MAX(0,$NE31-IF(AND($OS31&gt;0,COUNTIF($MZ31:$NA31,"?*")=0),1,0)),MAX(0,$PA31))</f>
        <v/>
      </c>
      <c r="PC31" s="155">
        <f>IF($MQ31=0,0,(IF(COUNTIF($MV31:$MY31,"Salto")&gt;0,1,0)+IF(COUNTIF($MV31:$MY31,"Queima")&gt;0,1,0)+IF(COUNTIF($MV31:$MY31,"Estilhaço")&gt;0,1,0))*FLOOR($PB31/2,1))</f>
        <v/>
      </c>
      <c r="PD31" s="155">
        <f>MAX(0,2-SUMPRODUCT($OK31:$OP31,$I$2:$N$2)+MIN(2,$OQ31*1+$OR31*1,SUMPRODUCT($OK31:$OP31,$I$2:$N$2)-IF($NQ31=0,0,INDEX($I$2:$N$2,1,$NQ31))))</f>
        <v/>
      </c>
      <c r="PE31" s="155">
        <f>MAX(0,4-SUMPRODUCT($OK31:$OP31,$I$3:$N$3)+MIN(4,$OQ31*1+$OR31*2,SUMPRODUCT($OK31:$OP31,$I$3:$N$3)-IF($NQ31=0,0,INDEX($I$3:$N$3,1,$NQ31))))</f>
        <v/>
      </c>
      <c r="PF31" s="155">
        <f>MAX(0,6-SUMPRODUCT($OK31:$OP31,$I$4:$N$4)+MIN(6,$OQ31*2+$OR31*3,SUMPRODUCT($OK31:$OP31,$I$4:$N$4)-IF($NQ31=0,0,INDEX($I$4:$N$4,1,$NQ31))))</f>
        <v/>
      </c>
      <c r="PG31" s="155">
        <f>MAX(0,9-SUMPRODUCT($OK31:$OP31,$I$5:$N$5)+MIN(8,$OQ31*2+$OR31*4,SUMPRODUCT($OK31:$OP31,$I$5:$N$5)-IF($NQ31=0,0,INDEX($I$5:$N$5,1,$NQ31))))</f>
        <v/>
      </c>
      <c r="PH31" s="155">
        <f>MAX(0,11-SUMPRODUCT($OK31:$OP31,$I$6:$N$6)+MIN(10,$OQ31*3+$OR31*5,SUMPRODUCT($OK31:$OP31,$I$6:$N$6)-IF($NQ31=0,0,INDEX($I$6:$N$6,1,$NQ31))))</f>
        <v/>
      </c>
      <c r="PI31" s="155">
        <f>MAX(0,13-SUMPRODUCT($OK31:$OP31,$I$7:$N$7)+MIN(12,$OQ31*3+$OR31*6,SUMPRODUCT($OK31:$OP31,$I$7:$N$7)-IF($NQ31=0,0,INDEX($I$7:$N$7,1,$NQ31))))</f>
        <v/>
      </c>
      <c r="PJ31" s="155">
        <f>MAX(0,16-SUMPRODUCT($OK31:$OP31,$I$8:$N$8)+MIN(14,$OQ31*4+$OR31*7,SUMPRODUCT($OK31:$OP31,$I$8:$N$8)-IF($NQ31=0,0,INDEX($I$8:$N$8,1,$NQ31))))</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Melhoria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Impedido</t>
        </is>
      </c>
      <c r="AW32" s="153" t="inlineStr">
        <is>
          <t>Controle</t>
        </is>
      </c>
      <c r="AX32" s="155" t="n">
        <v>3</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IFERROR(VLOOKUP($MV32,$AV$2:$BA$83,2,FALSE),"")</f>
        <v/>
      </c>
      <c r="NJ32" s="155">
        <f>IFERROR(VLOOKUP($MW32,$AV$2:$BA$83,2,FALSE),"")</f>
        <v/>
      </c>
      <c r="NK32" s="155">
        <f>IFERROR(VLOOKUP($MX32,$AV$2:$BA$83,2,FALSE),"")</f>
        <v/>
      </c>
      <c r="NL32" s="155">
        <f>IFERROR(VLOOKUP($MY32,$AV$2:$BA$83,2,FALSE),"")</f>
        <v/>
      </c>
      <c r="NM32" s="155">
        <f>IFERROR(VLOOKUP($MV32,$AV$2:$BA$83,3,FALSE),0)</f>
        <v/>
      </c>
      <c r="NN32" s="155">
        <f>IFERROR(VLOOKUP($MW32,$AV$2:$BA$83,3,FALSE),0)</f>
        <v/>
      </c>
      <c r="NO32" s="155">
        <f>IFERROR(VLOOKUP($MX32,$AV$2:$BA$83,3,FALSE),0)</f>
        <v/>
      </c>
      <c r="NP32" s="155">
        <f>IFERROR(VLOOKUP($MY32,$AV$2:$BA$83,3,FALSE),0)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IFERROR(VLOOKUP($MV32,$AV$2:$BA$83,4,FALSE),0)+IFERROR(VLOOKUP($MW32,$AV$2:$BA$83,4,FALSE),0)+IFERROR(VLOOKUP($MX32,$AV$2:$BA$83,4,FALSE),0)+IFERROR(VLOOKUP($MY32,$AV$2:$BA$83,4,FALSE),0)</f>
        <v/>
      </c>
      <c r="OB32" s="155">
        <f>IFERROR(VLOOKUP($MV32,$AV$2:$BA$83,6,FALSE),0)+IFERROR(VLOOKUP($MW32,$AV$2:$BA$83,6,FALSE),0)+IFERROR(VLOOKUP($MX32,$AV$2:$BA$83,6,FALSE),0)+IFERROR(VLOOKUP($MY32,$AV$2:$BA$83,6,FALSE),0)</f>
        <v/>
      </c>
      <c r="OC32" s="155">
        <f>TEXTJOIN(", ",TRUE,IF(IFERROR(VLOOKUP($MV32,$AV$2:$BA$83,5,FALSE),0)=1,$MV32,""),IF(IFERROR(VLOOKUP($MW32,$AV$2:$BA$83,5,FALSE),0)=1,$MW32,""),IF(IFERROR(VLOOKUP($MX32,$AV$2:$BA$83,5,FALSE),0)=1,$MX32,""),IF(IFERROR(VLOOKUP($MY32,$AV$2:$BA$83,5,FALSE),0)=1,$MY32,""))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MIN($OW32,$OU32-IF($NQ32=0,0,INDEX($I$2:$N$8,MAX(1,$MQ32),$NQ32)))</f>
        <v/>
      </c>
      <c r="OY32" s="155">
        <f>$OW32-$OX32</f>
        <v/>
      </c>
      <c r="OZ32" s="155">
        <f>IF($MQ32=0,0,INDEX($P$2:$P$8,MAX(1,$MQ32)))</f>
        <v/>
      </c>
      <c r="PA32" s="155">
        <f>$OZ32-$OU32+$OX32</f>
        <v/>
      </c>
      <c r="PB32" s="155">
        <f>IF($MQ32=0,MAX(0,$NE32-IF(AND($OS32&gt;0,COUNTIF($MZ32:$NA32,"?*")=0),1,0)),MAX(0,$PA32))</f>
        <v/>
      </c>
      <c r="PC32" s="155">
        <f>IF($MQ32=0,0,(IF(COUNTIF($MV32:$MY32,"Salto")&gt;0,1,0)+IF(COUNTIF($MV32:$MY32,"Queima")&gt;0,1,0)+IF(COUNTIF($MV32:$MY32,"Estilhaço")&gt;0,1,0))*FLOOR($PB32/2,1))</f>
        <v/>
      </c>
      <c r="PD32" s="155">
        <f>MAX(0,2-SUMPRODUCT($OK32:$OP32,$I$2:$N$2)+MIN(2,$OQ32*1+$OR32*1,SUMPRODUCT($OK32:$OP32,$I$2:$N$2)-IF($NQ32=0,0,INDEX($I$2:$N$2,1,$NQ32))))</f>
        <v/>
      </c>
      <c r="PE32" s="155">
        <f>MAX(0,4-SUMPRODUCT($OK32:$OP32,$I$3:$N$3)+MIN(4,$OQ32*1+$OR32*2,SUMPRODUCT($OK32:$OP32,$I$3:$N$3)-IF($NQ32=0,0,INDEX($I$3:$N$3,1,$NQ32))))</f>
        <v/>
      </c>
      <c r="PF32" s="155">
        <f>MAX(0,6-SUMPRODUCT($OK32:$OP32,$I$4:$N$4)+MIN(6,$OQ32*2+$OR32*3,SUMPRODUCT($OK32:$OP32,$I$4:$N$4)-IF($NQ32=0,0,INDEX($I$4:$N$4,1,$NQ32))))</f>
        <v/>
      </c>
      <c r="PG32" s="155">
        <f>MAX(0,9-SUMPRODUCT($OK32:$OP32,$I$5:$N$5)+MIN(8,$OQ32*2+$OR32*4,SUMPRODUCT($OK32:$OP32,$I$5:$N$5)-IF($NQ32=0,0,INDEX($I$5:$N$5,1,$NQ32))))</f>
        <v/>
      </c>
      <c r="PH32" s="155">
        <f>MAX(0,11-SUMPRODUCT($OK32:$OP32,$I$6:$N$6)+MIN(10,$OQ32*3+$OR32*5,SUMPRODUCT($OK32:$OP32,$I$6:$N$6)-IF($NQ32=0,0,INDEX($I$6:$N$6,1,$NQ32))))</f>
        <v/>
      </c>
      <c r="PI32" s="155">
        <f>MAX(0,13-SUMPRODUCT($OK32:$OP32,$I$7:$N$7)+MIN(12,$OQ32*3+$OR32*6,SUMPRODUCT($OK32:$OP32,$I$7:$N$7)-IF($NQ32=0,0,INDEX($I$7:$N$7,1,$NQ32))))</f>
        <v/>
      </c>
      <c r="PJ32" s="155">
        <f>MAX(0,16-SUMPRODUCT($OK32:$OP32,$I$8:$N$8)+MIN(14,$OQ32*4+$OR32*7,SUMPRODUCT($OK32:$OP32,$I$8:$N$8)-IF($NQ32=0,0,INDEX($I$8:$N$8,1,$NQ32))))</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Melhoria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Cego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IFERROR(VLOOKUP($MV33,$AV$2:$BA$83,2,FALSE),"")</f>
        <v/>
      </c>
      <c r="NJ33" s="155">
        <f>IFERROR(VLOOKUP($MW33,$AV$2:$BA$83,2,FALSE),"")</f>
        <v/>
      </c>
      <c r="NK33" s="155">
        <f>IFERROR(VLOOKUP($MX33,$AV$2:$BA$83,2,FALSE),"")</f>
        <v/>
      </c>
      <c r="NL33" s="155">
        <f>IFERROR(VLOOKUP($MY33,$AV$2:$BA$83,2,FALSE),"")</f>
        <v/>
      </c>
      <c r="NM33" s="155">
        <f>IFERROR(VLOOKUP($MV33,$AV$2:$BA$83,3,FALSE),0)</f>
        <v/>
      </c>
      <c r="NN33" s="155">
        <f>IFERROR(VLOOKUP($MW33,$AV$2:$BA$83,3,FALSE),0)</f>
        <v/>
      </c>
      <c r="NO33" s="155">
        <f>IFERROR(VLOOKUP($MX33,$AV$2:$BA$83,3,FALSE),0)</f>
        <v/>
      </c>
      <c r="NP33" s="155">
        <f>IFERROR(VLOOKUP($MY33,$AV$2:$BA$83,3,FALSE),0)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IFERROR(VLOOKUP($MV33,$AV$2:$BA$83,4,FALSE),0)+IFERROR(VLOOKUP($MW33,$AV$2:$BA$83,4,FALSE),0)+IFERROR(VLOOKUP($MX33,$AV$2:$BA$83,4,FALSE),0)+IFERROR(VLOOKUP($MY33,$AV$2:$BA$83,4,FALSE),0)</f>
        <v/>
      </c>
      <c r="OB33" s="155">
        <f>IFERROR(VLOOKUP($MV33,$AV$2:$BA$83,6,FALSE),0)+IFERROR(VLOOKUP($MW33,$AV$2:$BA$83,6,FALSE),0)+IFERROR(VLOOKUP($MX33,$AV$2:$BA$83,6,FALSE),0)+IFERROR(VLOOKUP($MY33,$AV$2:$BA$83,6,FALSE),0)</f>
        <v/>
      </c>
      <c r="OC33" s="155">
        <f>TEXTJOIN(", ",TRUE,IF(IFERROR(VLOOKUP($MV33,$AV$2:$BA$83,5,FALSE),0)=1,$MV33,""),IF(IFERROR(VLOOKUP($MW33,$AV$2:$BA$83,5,FALSE),0)=1,$MW33,""),IF(IFERROR(VLOOKUP($MX33,$AV$2:$BA$83,5,FALSE),0)=1,$MX33,""),IF(IFERROR(VLOOKUP($MY33,$AV$2:$BA$83,5,FALSE),0)=1,$MY33,""))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MIN($OW33,$OU33-IF($NQ33=0,0,INDEX($I$2:$N$8,MAX(1,$MQ33),$NQ33)))</f>
        <v/>
      </c>
      <c r="OY33" s="155">
        <f>$OW33-$OX33</f>
        <v/>
      </c>
      <c r="OZ33" s="155">
        <f>IF($MQ33=0,0,INDEX($P$2:$P$8,MAX(1,$MQ33)))</f>
        <v/>
      </c>
      <c r="PA33" s="155">
        <f>$OZ33-$OU33+$OX33</f>
        <v/>
      </c>
      <c r="PB33" s="155">
        <f>IF($MQ33=0,MAX(0,$NE33-IF(AND($OS33&gt;0,COUNTIF($MZ33:$NA33,"?*")=0),1,0)),MAX(0,$PA33))</f>
        <v/>
      </c>
      <c r="PC33" s="155">
        <f>IF($MQ33=0,0,(IF(COUNTIF($MV33:$MY33,"Salto")&gt;0,1,0)+IF(COUNTIF($MV33:$MY33,"Queima")&gt;0,1,0)+IF(COUNTIF($MV33:$MY33,"Estilhaço")&gt;0,1,0))*FLOOR($PB33/2,1))</f>
        <v/>
      </c>
      <c r="PD33" s="155">
        <f>MAX(0,2-SUMPRODUCT($OK33:$OP33,$I$2:$N$2)+MIN(2,$OQ33*1+$OR33*1,SUMPRODUCT($OK33:$OP33,$I$2:$N$2)-IF($NQ33=0,0,INDEX($I$2:$N$2,1,$NQ33))))</f>
        <v/>
      </c>
      <c r="PE33" s="155">
        <f>MAX(0,4-SUMPRODUCT($OK33:$OP33,$I$3:$N$3)+MIN(4,$OQ33*1+$OR33*2,SUMPRODUCT($OK33:$OP33,$I$3:$N$3)-IF($NQ33=0,0,INDEX($I$3:$N$3,1,$NQ33))))</f>
        <v/>
      </c>
      <c r="PF33" s="155">
        <f>MAX(0,6-SUMPRODUCT($OK33:$OP33,$I$4:$N$4)+MIN(6,$OQ33*2+$OR33*3,SUMPRODUCT($OK33:$OP33,$I$4:$N$4)-IF($NQ33=0,0,INDEX($I$4:$N$4,1,$NQ33))))</f>
        <v/>
      </c>
      <c r="PG33" s="155">
        <f>MAX(0,9-SUMPRODUCT($OK33:$OP33,$I$5:$N$5)+MIN(8,$OQ33*2+$OR33*4,SUMPRODUCT($OK33:$OP33,$I$5:$N$5)-IF($NQ33=0,0,INDEX($I$5:$N$5,1,$NQ33))))</f>
        <v/>
      </c>
      <c r="PH33" s="155">
        <f>MAX(0,11-SUMPRODUCT($OK33:$OP33,$I$6:$N$6)+MIN(10,$OQ33*3+$OR33*5,SUMPRODUCT($OK33:$OP33,$I$6:$N$6)-IF($NQ33=0,0,INDEX($I$6:$N$6,1,$NQ33))))</f>
        <v/>
      </c>
      <c r="PI33" s="155">
        <f>MAX(0,13-SUMPRODUCT($OK33:$OP33,$I$7:$N$7)+MIN(12,$OQ33*3+$OR33*6,SUMPRODUCT($OK33:$OP33,$I$7:$N$7)-IF($NQ33=0,0,INDEX($I$7:$N$7,1,$NQ33))))</f>
        <v/>
      </c>
      <c r="PJ33" s="155">
        <f>MAX(0,16-SUMPRODUCT($OK33:$OP33,$I$8:$N$8)+MIN(14,$OQ33*4+$OR33*7,SUMPRODUCT($OK33:$OP33,$I$8:$N$8)-IF($NQ33=0,0,INDEX($I$8:$N$8,1,$NQ33))))</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Melhoria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Amedrontado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IFERROR(VLOOKUP($MV34,$AV$2:$BA$83,2,FALSE),"")</f>
        <v/>
      </c>
      <c r="NJ34" s="155">
        <f>IFERROR(VLOOKUP($MW34,$AV$2:$BA$83,2,FALSE),"")</f>
        <v/>
      </c>
      <c r="NK34" s="155">
        <f>IFERROR(VLOOKUP($MX34,$AV$2:$BA$83,2,FALSE),"")</f>
        <v/>
      </c>
      <c r="NL34" s="155">
        <f>IFERROR(VLOOKUP($MY34,$AV$2:$BA$83,2,FALSE),"")</f>
        <v/>
      </c>
      <c r="NM34" s="155">
        <f>IFERROR(VLOOKUP($MV34,$AV$2:$BA$83,3,FALSE),0)</f>
        <v/>
      </c>
      <c r="NN34" s="155">
        <f>IFERROR(VLOOKUP($MW34,$AV$2:$BA$83,3,FALSE),0)</f>
        <v/>
      </c>
      <c r="NO34" s="155">
        <f>IFERROR(VLOOKUP($MX34,$AV$2:$BA$83,3,FALSE),0)</f>
        <v/>
      </c>
      <c r="NP34" s="155">
        <f>IFERROR(VLOOKUP($MY34,$AV$2:$BA$83,3,FALSE),0)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IFERROR(VLOOKUP($MV34,$AV$2:$BA$83,4,FALSE),0)+IFERROR(VLOOKUP($MW34,$AV$2:$BA$83,4,FALSE),0)+IFERROR(VLOOKUP($MX34,$AV$2:$BA$83,4,FALSE),0)+IFERROR(VLOOKUP($MY34,$AV$2:$BA$83,4,FALSE),0)</f>
        <v/>
      </c>
      <c r="OB34" s="155">
        <f>IFERROR(VLOOKUP($MV34,$AV$2:$BA$83,6,FALSE),0)+IFERROR(VLOOKUP($MW34,$AV$2:$BA$83,6,FALSE),0)+IFERROR(VLOOKUP($MX34,$AV$2:$BA$83,6,FALSE),0)+IFERROR(VLOOKUP($MY34,$AV$2:$BA$83,6,FALSE),0)</f>
        <v/>
      </c>
      <c r="OC34" s="155">
        <f>TEXTJOIN(", ",TRUE,IF(IFERROR(VLOOKUP($MV34,$AV$2:$BA$83,5,FALSE),0)=1,$MV34,""),IF(IFERROR(VLOOKUP($MW34,$AV$2:$BA$83,5,FALSE),0)=1,$MW34,""),IF(IFERROR(VLOOKUP($MX34,$AV$2:$BA$83,5,FALSE),0)=1,$MX34,""),IF(IFERROR(VLOOKUP($MY34,$AV$2:$BA$83,5,FALSE),0)=1,$MY34,""))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MIN($OW34,$OU34-IF($NQ34=0,0,INDEX($I$2:$N$8,MAX(1,$MQ34),$NQ34)))</f>
        <v/>
      </c>
      <c r="OY34" s="155">
        <f>$OW34-$OX34</f>
        <v/>
      </c>
      <c r="OZ34" s="155">
        <f>IF($MQ34=0,0,INDEX($P$2:$P$8,MAX(1,$MQ34)))</f>
        <v/>
      </c>
      <c r="PA34" s="155">
        <f>$OZ34-$OU34+$OX34</f>
        <v/>
      </c>
      <c r="PB34" s="155">
        <f>IF($MQ34=0,MAX(0,$NE34-IF(AND($OS34&gt;0,COUNTIF($MZ34:$NA34,"?*")=0),1,0)),MAX(0,$PA34))</f>
        <v/>
      </c>
      <c r="PC34" s="155">
        <f>IF($MQ34=0,0,(IF(COUNTIF($MV34:$MY34,"Salto")&gt;0,1,0)+IF(COUNTIF($MV34:$MY34,"Queima")&gt;0,1,0)+IF(COUNTIF($MV34:$MY34,"Estilhaço")&gt;0,1,0))*FLOOR($PB34/2,1))</f>
        <v/>
      </c>
      <c r="PD34" s="155">
        <f>MAX(0,2-SUMPRODUCT($OK34:$OP34,$I$2:$N$2)+MIN(2,$OQ34*1+$OR34*1,SUMPRODUCT($OK34:$OP34,$I$2:$N$2)-IF($NQ34=0,0,INDEX($I$2:$N$2,1,$NQ34))))</f>
        <v/>
      </c>
      <c r="PE34" s="155">
        <f>MAX(0,4-SUMPRODUCT($OK34:$OP34,$I$3:$N$3)+MIN(4,$OQ34*1+$OR34*2,SUMPRODUCT($OK34:$OP34,$I$3:$N$3)-IF($NQ34=0,0,INDEX($I$3:$N$3,1,$NQ34))))</f>
        <v/>
      </c>
      <c r="PF34" s="155">
        <f>MAX(0,6-SUMPRODUCT($OK34:$OP34,$I$4:$N$4)+MIN(6,$OQ34*2+$OR34*3,SUMPRODUCT($OK34:$OP34,$I$4:$N$4)-IF($NQ34=0,0,INDEX($I$4:$N$4,1,$NQ34))))</f>
        <v/>
      </c>
      <c r="PG34" s="155">
        <f>MAX(0,9-SUMPRODUCT($OK34:$OP34,$I$5:$N$5)+MIN(8,$OQ34*2+$OR34*4,SUMPRODUCT($OK34:$OP34,$I$5:$N$5)-IF($NQ34=0,0,INDEX($I$5:$N$5,1,$NQ34))))</f>
        <v/>
      </c>
      <c r="PH34" s="155">
        <f>MAX(0,11-SUMPRODUCT($OK34:$OP34,$I$6:$N$6)+MIN(10,$OQ34*3+$OR34*5,SUMPRODUCT($OK34:$OP34,$I$6:$N$6)-IF($NQ34=0,0,INDEX($I$6:$N$6,1,$NQ34))))</f>
        <v/>
      </c>
      <c r="PI34" s="155">
        <f>MAX(0,13-SUMPRODUCT($OK34:$OP34,$I$7:$N$7)+MIN(12,$OQ34*3+$OR34*6,SUMPRODUCT($OK34:$OP34,$I$7:$N$7)-IF($NQ34=0,0,INDEX($I$7:$N$7,1,$NQ34))))</f>
        <v/>
      </c>
      <c r="PJ34" s="155">
        <f>MAX(0,16-SUMPRODUCT($OK34:$OP34,$I$8:$N$8)+MIN(14,$OQ34*4+$OR34*7,SUMPRODUCT($OK34:$OP34,$I$8:$N$8)-IF($NQ34=0,0,INDEX($I$8:$N$8,1,$NQ34))))</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Melhoria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Envenenado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IFERROR(VLOOKUP($MV35,$AV$2:$BA$83,2,FALSE),"")</f>
        <v/>
      </c>
      <c r="NJ35" s="155">
        <f>IFERROR(VLOOKUP($MW35,$AV$2:$BA$83,2,FALSE),"")</f>
        <v/>
      </c>
      <c r="NK35" s="155">
        <f>IFERROR(VLOOKUP($MX35,$AV$2:$BA$83,2,FALSE),"")</f>
        <v/>
      </c>
      <c r="NL35" s="155">
        <f>IFERROR(VLOOKUP($MY35,$AV$2:$BA$83,2,FALSE),"")</f>
        <v/>
      </c>
      <c r="NM35" s="155">
        <f>IFERROR(VLOOKUP($MV35,$AV$2:$BA$83,3,FALSE),0)</f>
        <v/>
      </c>
      <c r="NN35" s="155">
        <f>IFERROR(VLOOKUP($MW35,$AV$2:$BA$83,3,FALSE),0)</f>
        <v/>
      </c>
      <c r="NO35" s="155">
        <f>IFERROR(VLOOKUP($MX35,$AV$2:$BA$83,3,FALSE),0)</f>
        <v/>
      </c>
      <c r="NP35" s="155">
        <f>IFERROR(VLOOKUP($MY35,$AV$2:$BA$83,3,FALSE),0)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IFERROR(VLOOKUP($MV35,$AV$2:$BA$83,4,FALSE),0)+IFERROR(VLOOKUP($MW35,$AV$2:$BA$83,4,FALSE),0)+IFERROR(VLOOKUP($MX35,$AV$2:$BA$83,4,FALSE),0)+IFERROR(VLOOKUP($MY35,$AV$2:$BA$83,4,FALSE),0)</f>
        <v/>
      </c>
      <c r="OB35" s="155">
        <f>IFERROR(VLOOKUP($MV35,$AV$2:$BA$83,6,FALSE),0)+IFERROR(VLOOKUP($MW35,$AV$2:$BA$83,6,FALSE),0)+IFERROR(VLOOKUP($MX35,$AV$2:$BA$83,6,FALSE),0)+IFERROR(VLOOKUP($MY35,$AV$2:$BA$83,6,FALSE),0)</f>
        <v/>
      </c>
      <c r="OC35" s="155">
        <f>TEXTJOIN(", ",TRUE,IF(IFERROR(VLOOKUP($MV35,$AV$2:$BA$83,5,FALSE),0)=1,$MV35,""),IF(IFERROR(VLOOKUP($MW35,$AV$2:$BA$83,5,FALSE),0)=1,$MW35,""),IF(IFERROR(VLOOKUP($MX35,$AV$2:$BA$83,5,FALSE),0)=1,$MX35,""),IF(IFERROR(VLOOKUP($MY35,$AV$2:$BA$83,5,FALSE),0)=1,$MY35,""))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MIN($OW35,$OU35-IF($NQ35=0,0,INDEX($I$2:$N$8,MAX(1,$MQ35),$NQ35)))</f>
        <v/>
      </c>
      <c r="OY35" s="155">
        <f>$OW35-$OX35</f>
        <v/>
      </c>
      <c r="OZ35" s="155">
        <f>IF($MQ35=0,0,INDEX($P$2:$P$8,MAX(1,$MQ35)))</f>
        <v/>
      </c>
      <c r="PA35" s="155">
        <f>$OZ35-$OU35+$OX35</f>
        <v/>
      </c>
      <c r="PB35" s="155">
        <f>IF($MQ35=0,MAX(0,$NE35-IF(AND($OS35&gt;0,COUNTIF($MZ35:$NA35,"?*")=0),1,0)),MAX(0,$PA35))</f>
        <v/>
      </c>
      <c r="PC35" s="155">
        <f>IF($MQ35=0,0,(IF(COUNTIF($MV35:$MY35,"Salto")&gt;0,1,0)+IF(COUNTIF($MV35:$MY35,"Queima")&gt;0,1,0)+IF(COUNTIF($MV35:$MY35,"Estilhaço")&gt;0,1,0))*FLOOR($PB35/2,1))</f>
        <v/>
      </c>
      <c r="PD35" s="155">
        <f>MAX(0,2-SUMPRODUCT($OK35:$OP35,$I$2:$N$2)+MIN(2,$OQ35*1+$OR35*1,SUMPRODUCT($OK35:$OP35,$I$2:$N$2)-IF($NQ35=0,0,INDEX($I$2:$N$2,1,$NQ35))))</f>
        <v/>
      </c>
      <c r="PE35" s="155">
        <f>MAX(0,4-SUMPRODUCT($OK35:$OP35,$I$3:$N$3)+MIN(4,$OQ35*1+$OR35*2,SUMPRODUCT($OK35:$OP35,$I$3:$N$3)-IF($NQ35=0,0,INDEX($I$3:$N$3,1,$NQ35))))</f>
        <v/>
      </c>
      <c r="PF35" s="155">
        <f>MAX(0,6-SUMPRODUCT($OK35:$OP35,$I$4:$N$4)+MIN(6,$OQ35*2+$OR35*3,SUMPRODUCT($OK35:$OP35,$I$4:$N$4)-IF($NQ35=0,0,INDEX($I$4:$N$4,1,$NQ35))))</f>
        <v/>
      </c>
      <c r="PG35" s="155">
        <f>MAX(0,9-SUMPRODUCT($OK35:$OP35,$I$5:$N$5)+MIN(8,$OQ35*2+$OR35*4,SUMPRODUCT($OK35:$OP35,$I$5:$N$5)-IF($NQ35=0,0,INDEX($I$5:$N$5,1,$NQ35))))</f>
        <v/>
      </c>
      <c r="PH35" s="155">
        <f>MAX(0,11-SUMPRODUCT($OK35:$OP35,$I$6:$N$6)+MIN(10,$OQ35*3+$OR35*5,SUMPRODUCT($OK35:$OP35,$I$6:$N$6)-IF($NQ35=0,0,INDEX($I$6:$N$6,1,$NQ35))))</f>
        <v/>
      </c>
      <c r="PI35" s="155">
        <f>MAX(0,13-SUMPRODUCT($OK35:$OP35,$I$7:$N$7)+MIN(12,$OQ35*3+$OR35*6,SUMPRODUCT($OK35:$OP35,$I$7:$N$7)-IF($NQ35=0,0,INDEX($I$7:$N$7,1,$NQ35))))</f>
        <v/>
      </c>
      <c r="PJ35" s="155">
        <f>MAX(0,16-SUMPRODUCT($OK35:$OP35,$I$8:$N$8)+MIN(14,$OQ35*4+$OR35*7,SUMPRODUCT($OK35:$OP35,$I$8:$N$8)-IF($NQ35=0,0,INDEX($I$8:$N$8,1,$NQ35))))</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Melhoria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Atordoado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IFERROR(VLOOKUP($MV36,$AV$2:$BA$83,2,FALSE),"")</f>
        <v/>
      </c>
      <c r="NJ36" s="155">
        <f>IFERROR(VLOOKUP($MW36,$AV$2:$BA$83,2,FALSE),"")</f>
        <v/>
      </c>
      <c r="NK36" s="155">
        <f>IFERROR(VLOOKUP($MX36,$AV$2:$BA$83,2,FALSE),"")</f>
        <v/>
      </c>
      <c r="NL36" s="155">
        <f>IFERROR(VLOOKUP($MY36,$AV$2:$BA$83,2,FALSE),"")</f>
        <v/>
      </c>
      <c r="NM36" s="155">
        <f>IFERROR(VLOOKUP($MV36,$AV$2:$BA$83,3,FALSE),0)</f>
        <v/>
      </c>
      <c r="NN36" s="155">
        <f>IFERROR(VLOOKUP($MW36,$AV$2:$BA$83,3,FALSE),0)</f>
        <v/>
      </c>
      <c r="NO36" s="155">
        <f>IFERROR(VLOOKUP($MX36,$AV$2:$BA$83,3,FALSE),0)</f>
        <v/>
      </c>
      <c r="NP36" s="155">
        <f>IFERROR(VLOOKUP($MY36,$AV$2:$BA$83,3,FALSE),0)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IFERROR(VLOOKUP($MV36,$AV$2:$BA$83,4,FALSE),0)+IFERROR(VLOOKUP($MW36,$AV$2:$BA$83,4,FALSE),0)+IFERROR(VLOOKUP($MX36,$AV$2:$BA$83,4,FALSE),0)+IFERROR(VLOOKUP($MY36,$AV$2:$BA$83,4,FALSE),0)</f>
        <v/>
      </c>
      <c r="OB36" s="155">
        <f>IFERROR(VLOOKUP($MV36,$AV$2:$BA$83,6,FALSE),0)+IFERROR(VLOOKUP($MW36,$AV$2:$BA$83,6,FALSE),0)+IFERROR(VLOOKUP($MX36,$AV$2:$BA$83,6,FALSE),0)+IFERROR(VLOOKUP($MY36,$AV$2:$BA$83,6,FALSE),0)</f>
        <v/>
      </c>
      <c r="OC36" s="155">
        <f>TEXTJOIN(", ",TRUE,IF(IFERROR(VLOOKUP($MV36,$AV$2:$BA$83,5,FALSE),0)=1,$MV36,""),IF(IFERROR(VLOOKUP($MW36,$AV$2:$BA$83,5,FALSE),0)=1,$MW36,""),IF(IFERROR(VLOOKUP($MX36,$AV$2:$BA$83,5,FALSE),0)=1,$MX36,""),IF(IFERROR(VLOOKUP($MY36,$AV$2:$BA$83,5,FALSE),0)=1,$MY36,""))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MIN($OW36,$OU36-IF($NQ36=0,0,INDEX($I$2:$N$8,MAX(1,$MQ36),$NQ36)))</f>
        <v/>
      </c>
      <c r="OY36" s="155">
        <f>$OW36-$OX36</f>
        <v/>
      </c>
      <c r="OZ36" s="155">
        <f>IF($MQ36=0,0,INDEX($P$2:$P$8,MAX(1,$MQ36)))</f>
        <v/>
      </c>
      <c r="PA36" s="155">
        <f>$OZ36-$OU36+$OX36</f>
        <v/>
      </c>
      <c r="PB36" s="155">
        <f>IF($MQ36=0,MAX(0,$NE36-IF(AND($OS36&gt;0,COUNTIF($MZ36:$NA36,"?*")=0),1,0)),MAX(0,$PA36))</f>
        <v/>
      </c>
      <c r="PC36" s="155">
        <f>IF($MQ36=0,0,(IF(COUNTIF($MV36:$MY36,"Salto")&gt;0,1,0)+IF(COUNTIF($MV36:$MY36,"Queima")&gt;0,1,0)+IF(COUNTIF($MV36:$MY36,"Estilhaço")&gt;0,1,0))*FLOOR($PB36/2,1))</f>
        <v/>
      </c>
      <c r="PD36" s="155">
        <f>MAX(0,2-SUMPRODUCT($OK36:$OP36,$I$2:$N$2)+MIN(2,$OQ36*1+$OR36*1,SUMPRODUCT($OK36:$OP36,$I$2:$N$2)-IF($NQ36=0,0,INDEX($I$2:$N$2,1,$NQ36))))</f>
        <v/>
      </c>
      <c r="PE36" s="155">
        <f>MAX(0,4-SUMPRODUCT($OK36:$OP36,$I$3:$N$3)+MIN(4,$OQ36*1+$OR36*2,SUMPRODUCT($OK36:$OP36,$I$3:$N$3)-IF($NQ36=0,0,INDEX($I$3:$N$3,1,$NQ36))))</f>
        <v/>
      </c>
      <c r="PF36" s="155">
        <f>MAX(0,6-SUMPRODUCT($OK36:$OP36,$I$4:$N$4)+MIN(6,$OQ36*2+$OR36*3,SUMPRODUCT($OK36:$OP36,$I$4:$N$4)-IF($NQ36=0,0,INDEX($I$4:$N$4,1,$NQ36))))</f>
        <v/>
      </c>
      <c r="PG36" s="155">
        <f>MAX(0,9-SUMPRODUCT($OK36:$OP36,$I$5:$N$5)+MIN(8,$OQ36*2+$OR36*4,SUMPRODUCT($OK36:$OP36,$I$5:$N$5)-IF($NQ36=0,0,INDEX($I$5:$N$5,1,$NQ36))))</f>
        <v/>
      </c>
      <c r="PH36" s="155">
        <f>MAX(0,11-SUMPRODUCT($OK36:$OP36,$I$6:$N$6)+MIN(10,$OQ36*3+$OR36*5,SUMPRODUCT($OK36:$OP36,$I$6:$N$6)-IF($NQ36=0,0,INDEX($I$6:$N$6,1,$NQ36))))</f>
        <v/>
      </c>
      <c r="PI36" s="155">
        <f>MAX(0,13-SUMPRODUCT($OK36:$OP36,$I$7:$N$7)+MIN(12,$OQ36*3+$OR36*6,SUMPRODUCT($OK36:$OP36,$I$7:$N$7)-IF($NQ36=0,0,INDEX($I$7:$N$7,1,$NQ36))))</f>
        <v/>
      </c>
      <c r="PJ36" s="155">
        <f>MAX(0,16-SUMPRODUCT($OK36:$OP36,$I$8:$N$8)+MIN(14,$OQ36*4+$OR36*7,SUMPRODUCT($OK36:$OP36,$I$8:$N$8)-IF($NQ36=0,0,INDEX($I$8:$N$8,1,$NQ36))))</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Melhoria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Terreno</t>
        </is>
      </c>
      <c r="AW37" s="153" t="inlineStr">
        <is>
          <t>Controle</t>
        </is>
      </c>
      <c r="AX37" s="155" t="n">
        <v>1</v>
      </c>
      <c r="AY37" s="155" t="n">
        <v>1</v>
      </c>
      <c r="AZ37" s="155" t="n">
        <v>0</v>
      </c>
      <c r="BA37" s="155" t="n">
        <v>0</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IFERROR(VLOOKUP($MV37,$AV$2:$BA$83,2,FALSE),"")</f>
        <v/>
      </c>
      <c r="NJ37" s="155">
        <f>IFERROR(VLOOKUP($MW37,$AV$2:$BA$83,2,FALSE),"")</f>
        <v/>
      </c>
      <c r="NK37" s="155">
        <f>IFERROR(VLOOKUP($MX37,$AV$2:$BA$83,2,FALSE),"")</f>
        <v/>
      </c>
      <c r="NL37" s="155">
        <f>IFERROR(VLOOKUP($MY37,$AV$2:$BA$83,2,FALSE),"")</f>
        <v/>
      </c>
      <c r="NM37" s="155">
        <f>IFERROR(VLOOKUP($MV37,$AV$2:$BA$83,3,FALSE),0)</f>
        <v/>
      </c>
      <c r="NN37" s="155">
        <f>IFERROR(VLOOKUP($MW37,$AV$2:$BA$83,3,FALSE),0)</f>
        <v/>
      </c>
      <c r="NO37" s="155">
        <f>IFERROR(VLOOKUP($MX37,$AV$2:$BA$83,3,FALSE),0)</f>
        <v/>
      </c>
      <c r="NP37" s="155">
        <f>IFERROR(VLOOKUP($MY37,$AV$2:$BA$83,3,FALSE),0)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IFERROR(VLOOKUP($MV37,$AV$2:$BA$83,4,FALSE),0)+IFERROR(VLOOKUP($MW37,$AV$2:$BA$83,4,FALSE),0)+IFERROR(VLOOKUP($MX37,$AV$2:$BA$83,4,FALSE),0)+IFERROR(VLOOKUP($MY37,$AV$2:$BA$83,4,FALSE),0)</f>
        <v/>
      </c>
      <c r="OB37" s="155">
        <f>IFERROR(VLOOKUP($MV37,$AV$2:$BA$83,6,FALSE),0)+IFERROR(VLOOKUP($MW37,$AV$2:$BA$83,6,FALSE),0)+IFERROR(VLOOKUP($MX37,$AV$2:$BA$83,6,FALSE),0)+IFERROR(VLOOKUP($MY37,$AV$2:$BA$83,6,FALSE),0)</f>
        <v/>
      </c>
      <c r="OC37" s="155">
        <f>TEXTJOIN(", ",TRUE,IF(IFERROR(VLOOKUP($MV37,$AV$2:$BA$83,5,FALSE),0)=1,$MV37,""),IF(IFERROR(VLOOKUP($MW37,$AV$2:$BA$83,5,FALSE),0)=1,$MW37,""),IF(IFERROR(VLOOKUP($MX37,$AV$2:$BA$83,5,FALSE),0)=1,$MX37,""),IF(IFERROR(VLOOKUP($MY37,$AV$2:$BA$83,5,FALSE),0)=1,$MY37,""))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MIN($OW37,$OU37-IF($NQ37=0,0,INDEX($I$2:$N$8,MAX(1,$MQ37),$NQ37)))</f>
        <v/>
      </c>
      <c r="OY37" s="155">
        <f>$OW37-$OX37</f>
        <v/>
      </c>
      <c r="OZ37" s="155">
        <f>IF($MQ37=0,0,INDEX($P$2:$P$8,MAX(1,$MQ37)))</f>
        <v/>
      </c>
      <c r="PA37" s="155">
        <f>$OZ37-$OU37+$OX37</f>
        <v/>
      </c>
      <c r="PB37" s="155">
        <f>IF($MQ37=0,MAX(0,$NE37-IF(AND($OS37&gt;0,COUNTIF($MZ37:$NA37,"?*")=0),1,0)),MAX(0,$PA37))</f>
        <v/>
      </c>
      <c r="PC37" s="155">
        <f>IF($MQ37=0,0,(IF(COUNTIF($MV37:$MY37,"Salto")&gt;0,1,0)+IF(COUNTIF($MV37:$MY37,"Queima")&gt;0,1,0)+IF(COUNTIF($MV37:$MY37,"Estilhaço")&gt;0,1,0))*FLOOR($PB37/2,1))</f>
        <v/>
      </c>
      <c r="PD37" s="155">
        <f>MAX(0,2-SUMPRODUCT($OK37:$OP37,$I$2:$N$2)+MIN(2,$OQ37*1+$OR37*1,SUMPRODUCT($OK37:$OP37,$I$2:$N$2)-IF($NQ37=0,0,INDEX($I$2:$N$2,1,$NQ37))))</f>
        <v/>
      </c>
      <c r="PE37" s="155">
        <f>MAX(0,4-SUMPRODUCT($OK37:$OP37,$I$3:$N$3)+MIN(4,$OQ37*1+$OR37*2,SUMPRODUCT($OK37:$OP37,$I$3:$N$3)-IF($NQ37=0,0,INDEX($I$3:$N$3,1,$NQ37))))</f>
        <v/>
      </c>
      <c r="PF37" s="155">
        <f>MAX(0,6-SUMPRODUCT($OK37:$OP37,$I$4:$N$4)+MIN(6,$OQ37*2+$OR37*3,SUMPRODUCT($OK37:$OP37,$I$4:$N$4)-IF($NQ37=0,0,INDEX($I$4:$N$4,1,$NQ37))))</f>
        <v/>
      </c>
      <c r="PG37" s="155">
        <f>MAX(0,9-SUMPRODUCT($OK37:$OP37,$I$5:$N$5)+MIN(8,$OQ37*2+$OR37*4,SUMPRODUCT($OK37:$OP37,$I$5:$N$5)-IF($NQ37=0,0,INDEX($I$5:$N$5,1,$NQ37))))</f>
        <v/>
      </c>
      <c r="PH37" s="155">
        <f>MAX(0,11-SUMPRODUCT($OK37:$OP37,$I$6:$N$6)+MIN(10,$OQ37*3+$OR37*5,SUMPRODUCT($OK37:$OP37,$I$6:$N$6)-IF($NQ37=0,0,INDEX($I$6:$N$6,1,$NQ37))))</f>
        <v/>
      </c>
      <c r="PI37" s="155">
        <f>MAX(0,13-SUMPRODUCT($OK37:$OP37,$I$7:$N$7)+MIN(12,$OQ37*3+$OR37*6,SUMPRODUCT($OK37:$OP37,$I$7:$N$7)-IF($NQ37=0,0,INDEX($I$7:$N$7,1,$NQ37))))</f>
        <v/>
      </c>
      <c r="PJ37" s="155">
        <f>MAX(0,16-SUMPRODUCT($OK37:$OP37,$I$8:$N$8)+MIN(14,$OQ37*4+$OR37*7,SUMPRODUCT($OK37:$OP37,$I$8:$N$8)-IF($NQ37=0,0,INDEX($I$8:$N$8,1,$NQ37))))</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Melhoria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Cerca</t>
        </is>
      </c>
      <c r="AW38" s="153" t="inlineStr">
        <is>
          <t>Controle</t>
        </is>
      </c>
      <c r="AX38" s="155" t="n">
        <v>1</v>
      </c>
      <c r="AY38" s="155" t="n">
        <v>1</v>
      </c>
      <c r="AZ38" s="155" t="n">
        <v>0</v>
      </c>
      <c r="BA38" s="155" t="n">
        <v>1</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IFERROR(VLOOKUP($MV38,$AV$2:$BA$83,2,FALSE),"")</f>
        <v/>
      </c>
      <c r="NJ38" s="155">
        <f>IFERROR(VLOOKUP($MW38,$AV$2:$BA$83,2,FALSE),"")</f>
        <v/>
      </c>
      <c r="NK38" s="155">
        <f>IFERROR(VLOOKUP($MX38,$AV$2:$BA$83,2,FALSE),"")</f>
        <v/>
      </c>
      <c r="NL38" s="155">
        <f>IFERROR(VLOOKUP($MY38,$AV$2:$BA$83,2,FALSE),"")</f>
        <v/>
      </c>
      <c r="NM38" s="155">
        <f>IFERROR(VLOOKUP($MV38,$AV$2:$BA$83,3,FALSE),0)</f>
        <v/>
      </c>
      <c r="NN38" s="155">
        <f>IFERROR(VLOOKUP($MW38,$AV$2:$BA$83,3,FALSE),0)</f>
        <v/>
      </c>
      <c r="NO38" s="155">
        <f>IFERROR(VLOOKUP($MX38,$AV$2:$BA$83,3,FALSE),0)</f>
        <v/>
      </c>
      <c r="NP38" s="155">
        <f>IFERROR(VLOOKUP($MY38,$AV$2:$BA$83,3,FALSE),0)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IFERROR(VLOOKUP($MV38,$AV$2:$BA$83,4,FALSE),0)+IFERROR(VLOOKUP($MW38,$AV$2:$BA$83,4,FALSE),0)+IFERROR(VLOOKUP($MX38,$AV$2:$BA$83,4,FALSE),0)+IFERROR(VLOOKUP($MY38,$AV$2:$BA$83,4,FALSE),0)</f>
        <v/>
      </c>
      <c r="OB38" s="155">
        <f>IFERROR(VLOOKUP($MV38,$AV$2:$BA$83,6,FALSE),0)+IFERROR(VLOOKUP($MW38,$AV$2:$BA$83,6,FALSE),0)+IFERROR(VLOOKUP($MX38,$AV$2:$BA$83,6,FALSE),0)+IFERROR(VLOOKUP($MY38,$AV$2:$BA$83,6,FALSE),0)</f>
        <v/>
      </c>
      <c r="OC38" s="155">
        <f>TEXTJOIN(", ",TRUE,IF(IFERROR(VLOOKUP($MV38,$AV$2:$BA$83,5,FALSE),0)=1,$MV38,""),IF(IFERROR(VLOOKUP($MW38,$AV$2:$BA$83,5,FALSE),0)=1,$MW38,""),IF(IFERROR(VLOOKUP($MX38,$AV$2:$BA$83,5,FALSE),0)=1,$MX38,""),IF(IFERROR(VLOOKUP($MY38,$AV$2:$BA$83,5,FALSE),0)=1,$MY38,""))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MIN($OW38,$OU38-IF($NQ38=0,0,INDEX($I$2:$N$8,MAX(1,$MQ38),$NQ38)))</f>
        <v/>
      </c>
      <c r="OY38" s="155">
        <f>$OW38-$OX38</f>
        <v/>
      </c>
      <c r="OZ38" s="155">
        <f>IF($MQ38=0,0,INDEX($P$2:$P$8,MAX(1,$MQ38)))</f>
        <v/>
      </c>
      <c r="PA38" s="155">
        <f>$OZ38-$OU38+$OX38</f>
        <v/>
      </c>
      <c r="PB38" s="155">
        <f>IF($MQ38=0,MAX(0,$NE38-IF(AND($OS38&gt;0,COUNTIF($MZ38:$NA38,"?*")=0),1,0)),MAX(0,$PA38))</f>
        <v/>
      </c>
      <c r="PC38" s="155">
        <f>IF($MQ38=0,0,(IF(COUNTIF($MV38:$MY38,"Salto")&gt;0,1,0)+IF(COUNTIF($MV38:$MY38,"Queima")&gt;0,1,0)+IF(COUNTIF($MV38:$MY38,"Estilhaço")&gt;0,1,0))*FLOOR($PB38/2,1))</f>
        <v/>
      </c>
      <c r="PD38" s="155">
        <f>MAX(0,2-SUMPRODUCT($OK38:$OP38,$I$2:$N$2)+MIN(2,$OQ38*1+$OR38*1,SUMPRODUCT($OK38:$OP38,$I$2:$N$2)-IF($NQ38=0,0,INDEX($I$2:$N$2,1,$NQ38))))</f>
        <v/>
      </c>
      <c r="PE38" s="155">
        <f>MAX(0,4-SUMPRODUCT($OK38:$OP38,$I$3:$N$3)+MIN(4,$OQ38*1+$OR38*2,SUMPRODUCT($OK38:$OP38,$I$3:$N$3)-IF($NQ38=0,0,INDEX($I$3:$N$3,1,$NQ38))))</f>
        <v/>
      </c>
      <c r="PF38" s="155">
        <f>MAX(0,6-SUMPRODUCT($OK38:$OP38,$I$4:$N$4)+MIN(6,$OQ38*2+$OR38*3,SUMPRODUCT($OK38:$OP38,$I$4:$N$4)-IF($NQ38=0,0,INDEX($I$4:$N$4,1,$NQ38))))</f>
        <v/>
      </c>
      <c r="PG38" s="155">
        <f>MAX(0,9-SUMPRODUCT($OK38:$OP38,$I$5:$N$5)+MIN(8,$OQ38*2+$OR38*4,SUMPRODUCT($OK38:$OP38,$I$5:$N$5)-IF($NQ38=0,0,INDEX($I$5:$N$5,1,$NQ38))))</f>
        <v/>
      </c>
      <c r="PH38" s="155">
        <f>MAX(0,11-SUMPRODUCT($OK38:$OP38,$I$6:$N$6)+MIN(10,$OQ38*3+$OR38*5,SUMPRODUCT($OK38:$OP38,$I$6:$N$6)-IF($NQ38=0,0,INDEX($I$6:$N$6,1,$NQ38))))</f>
        <v/>
      </c>
      <c r="PI38" s="155">
        <f>MAX(0,13-SUMPRODUCT($OK38:$OP38,$I$7:$N$7)+MIN(12,$OQ38*3+$OR38*6,SUMPRODUCT($OK38:$OP38,$I$7:$N$7)-IF($NQ38=0,0,INDEX($I$7:$N$7,1,$NQ38))))</f>
        <v/>
      </c>
      <c r="PJ38" s="155">
        <f>MAX(0,16-SUMPRODUCT($OK38:$OP38,$I$8:$N$8)+MIN(14,$OQ38*4+$OR38*7,SUMPRODUCT($OK38:$OP38,$I$8:$N$8)-IF($NQ38=0,0,INDEX($I$8:$N$8,1,$NQ38))))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Melhoria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Desarma o Feitiço</t>
        </is>
      </c>
      <c r="AW39" s="153" t="inlineStr">
        <is>
          <t>Controle</t>
        </is>
      </c>
      <c r="AX39" s="155" t="n">
        <v>2</v>
      </c>
      <c r="AY39" s="155" t="n">
        <v>1</v>
      </c>
      <c r="AZ39" s="155" t="n">
        <v>1</v>
      </c>
      <c r="BA39" s="155" t="n">
        <v>0</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IFERROR(VLOOKUP($MV39,$AV$2:$BA$83,2,FALSE),"")</f>
        <v/>
      </c>
      <c r="NJ39" s="155">
        <f>IFERROR(VLOOKUP($MW39,$AV$2:$BA$83,2,FALSE),"")</f>
        <v/>
      </c>
      <c r="NK39" s="155">
        <f>IFERROR(VLOOKUP($MX39,$AV$2:$BA$83,2,FALSE),"")</f>
        <v/>
      </c>
      <c r="NL39" s="155">
        <f>IFERROR(VLOOKUP($MY39,$AV$2:$BA$83,2,FALSE),"")</f>
        <v/>
      </c>
      <c r="NM39" s="155">
        <f>IFERROR(VLOOKUP($MV39,$AV$2:$BA$83,3,FALSE),0)</f>
        <v/>
      </c>
      <c r="NN39" s="155">
        <f>IFERROR(VLOOKUP($MW39,$AV$2:$BA$83,3,FALSE),0)</f>
        <v/>
      </c>
      <c r="NO39" s="155">
        <f>IFERROR(VLOOKUP($MX39,$AV$2:$BA$83,3,FALSE),0)</f>
        <v/>
      </c>
      <c r="NP39" s="155">
        <f>IFERROR(VLOOKUP($MY39,$AV$2:$BA$83,3,FALSE),0)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IFERROR(VLOOKUP($MV39,$AV$2:$BA$83,4,FALSE),0)+IFERROR(VLOOKUP($MW39,$AV$2:$BA$83,4,FALSE),0)+IFERROR(VLOOKUP($MX39,$AV$2:$BA$83,4,FALSE),0)+IFERROR(VLOOKUP($MY39,$AV$2:$BA$83,4,FALSE),0)</f>
        <v/>
      </c>
      <c r="OB39" s="155">
        <f>IFERROR(VLOOKUP($MV39,$AV$2:$BA$83,6,FALSE),0)+IFERROR(VLOOKUP($MW39,$AV$2:$BA$83,6,FALSE),0)+IFERROR(VLOOKUP($MX39,$AV$2:$BA$83,6,FALSE),0)+IFERROR(VLOOKUP($MY39,$AV$2:$BA$83,6,FALSE),0)</f>
        <v/>
      </c>
      <c r="OC39" s="155">
        <f>TEXTJOIN(", ",TRUE,IF(IFERROR(VLOOKUP($MV39,$AV$2:$BA$83,5,FALSE),0)=1,$MV39,""),IF(IFERROR(VLOOKUP($MW39,$AV$2:$BA$83,5,FALSE),0)=1,$MW39,""),IF(IFERROR(VLOOKUP($MX39,$AV$2:$BA$83,5,FALSE),0)=1,$MX39,""),IF(IFERROR(VLOOKUP($MY39,$AV$2:$BA$83,5,FALSE),0)=1,$MY39,""))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MIN($OW39,$OU39-IF($NQ39=0,0,INDEX($I$2:$N$8,MAX(1,$MQ39),$NQ39)))</f>
        <v/>
      </c>
      <c r="OY39" s="155">
        <f>$OW39-$OX39</f>
        <v/>
      </c>
      <c r="OZ39" s="155">
        <f>IF($MQ39=0,0,INDEX($P$2:$P$8,MAX(1,$MQ39)))</f>
        <v/>
      </c>
      <c r="PA39" s="155">
        <f>$OZ39-$OU39+$OX39</f>
        <v/>
      </c>
      <c r="PB39" s="155">
        <f>IF($MQ39=0,MAX(0,$NE39-IF(AND($OS39&gt;0,COUNTIF($MZ39:$NA39,"?*")=0),1,0)),MAX(0,$PA39))</f>
        <v/>
      </c>
      <c r="PC39" s="155">
        <f>IF($MQ39=0,0,(IF(COUNTIF($MV39:$MY39,"Salto")&gt;0,1,0)+IF(COUNTIF($MV39:$MY39,"Queima")&gt;0,1,0)+IF(COUNTIF($MV39:$MY39,"Estilhaço")&gt;0,1,0))*FLOOR($PB39/2,1))</f>
        <v/>
      </c>
      <c r="PD39" s="155">
        <f>MAX(0,2-SUMPRODUCT($OK39:$OP39,$I$2:$N$2)+MIN(2,$OQ39*1+$OR39*1,SUMPRODUCT($OK39:$OP39,$I$2:$N$2)-IF($NQ39=0,0,INDEX($I$2:$N$2,1,$NQ39))))</f>
        <v/>
      </c>
      <c r="PE39" s="155">
        <f>MAX(0,4-SUMPRODUCT($OK39:$OP39,$I$3:$N$3)+MIN(4,$OQ39*1+$OR39*2,SUMPRODUCT($OK39:$OP39,$I$3:$N$3)-IF($NQ39=0,0,INDEX($I$3:$N$3,1,$NQ39))))</f>
        <v/>
      </c>
      <c r="PF39" s="155">
        <f>MAX(0,6-SUMPRODUCT($OK39:$OP39,$I$4:$N$4)+MIN(6,$OQ39*2+$OR39*3,SUMPRODUCT($OK39:$OP39,$I$4:$N$4)-IF($NQ39=0,0,INDEX($I$4:$N$4,1,$NQ39))))</f>
        <v/>
      </c>
      <c r="PG39" s="155">
        <f>MAX(0,9-SUMPRODUCT($OK39:$OP39,$I$5:$N$5)+MIN(8,$OQ39*2+$OR39*4,SUMPRODUCT($OK39:$OP39,$I$5:$N$5)-IF($NQ39=0,0,INDEX($I$5:$N$5,1,$NQ39))))</f>
        <v/>
      </c>
      <c r="PH39" s="155">
        <f>MAX(0,11-SUMPRODUCT($OK39:$OP39,$I$6:$N$6)+MIN(10,$OQ39*3+$OR39*5,SUMPRODUCT($OK39:$OP39,$I$6:$N$6)-IF($NQ39=0,0,INDEX($I$6:$N$6,1,$NQ39))))</f>
        <v/>
      </c>
      <c r="PI39" s="155">
        <f>MAX(0,13-SUMPRODUCT($OK39:$OP39,$I$7:$N$7)+MIN(12,$OQ39*3+$OR39*6,SUMPRODUCT($OK39:$OP39,$I$7:$N$7)-IF($NQ39=0,0,INDEX($I$7:$N$7,1,$NQ39))))</f>
        <v/>
      </c>
      <c r="PJ39" s="155">
        <f>MAX(0,16-SUMPRODUCT($OK39:$OP39,$I$8:$N$8)+MIN(14,$OQ39*4+$OR39*7,SUMPRODUCT($OK39:$OP39,$I$8:$N$8)-IF($NQ39=0,0,INDEX($I$8:$N$8,1,$NQ39))))</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Melhoria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Anteparo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IFERROR(VLOOKUP($MV40,$AV$2:$BA$83,2,FALSE),"")</f>
        <v/>
      </c>
      <c r="NJ40" s="155">
        <f>IFERROR(VLOOKUP($MW40,$AV$2:$BA$83,2,FALSE),"")</f>
        <v/>
      </c>
      <c r="NK40" s="155">
        <f>IFERROR(VLOOKUP($MX40,$AV$2:$BA$83,2,FALSE),"")</f>
        <v/>
      </c>
      <c r="NL40" s="155">
        <f>IFERROR(VLOOKUP($MY40,$AV$2:$BA$83,2,FALSE),"")</f>
        <v/>
      </c>
      <c r="NM40" s="155">
        <f>IFERROR(VLOOKUP($MV40,$AV$2:$BA$83,3,FALSE),0)</f>
        <v/>
      </c>
      <c r="NN40" s="155">
        <f>IFERROR(VLOOKUP($MW40,$AV$2:$BA$83,3,FALSE),0)</f>
        <v/>
      </c>
      <c r="NO40" s="155">
        <f>IFERROR(VLOOKUP($MX40,$AV$2:$BA$83,3,FALSE),0)</f>
        <v/>
      </c>
      <c r="NP40" s="155">
        <f>IFERROR(VLOOKUP($MY40,$AV$2:$BA$83,3,FALSE),0)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IFERROR(VLOOKUP($MV40,$AV$2:$BA$83,4,FALSE),0)+IFERROR(VLOOKUP($MW40,$AV$2:$BA$83,4,FALSE),0)+IFERROR(VLOOKUP($MX40,$AV$2:$BA$83,4,FALSE),0)+IFERROR(VLOOKUP($MY40,$AV$2:$BA$83,4,FALSE),0)</f>
        <v/>
      </c>
      <c r="OB40" s="155">
        <f>IFERROR(VLOOKUP($MV40,$AV$2:$BA$83,6,FALSE),0)+IFERROR(VLOOKUP($MW40,$AV$2:$BA$83,6,FALSE),0)+IFERROR(VLOOKUP($MX40,$AV$2:$BA$83,6,FALSE),0)+IFERROR(VLOOKUP($MY40,$AV$2:$BA$83,6,FALSE),0)</f>
        <v/>
      </c>
      <c r="OC40" s="155">
        <f>TEXTJOIN(", ",TRUE,IF(IFERROR(VLOOKUP($MV40,$AV$2:$BA$83,5,FALSE),0)=1,$MV40,""),IF(IFERROR(VLOOKUP($MW40,$AV$2:$BA$83,5,FALSE),0)=1,$MW40,""),IF(IFERROR(VLOOKUP($MX40,$AV$2:$BA$83,5,FALSE),0)=1,$MX40,""),IF(IFERROR(VLOOKUP($MY40,$AV$2:$BA$83,5,FALSE),0)=1,$MY40,""))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MIN($OW40,$OU40-IF($NQ40=0,0,INDEX($I$2:$N$8,MAX(1,$MQ40),$NQ40)))</f>
        <v/>
      </c>
      <c r="OY40" s="155">
        <f>$OW40-$OX40</f>
        <v/>
      </c>
      <c r="OZ40" s="155">
        <f>IF($MQ40=0,0,INDEX($P$2:$P$8,MAX(1,$MQ40)))</f>
        <v/>
      </c>
      <c r="PA40" s="155">
        <f>$OZ40-$OU40+$OX40</f>
        <v/>
      </c>
      <c r="PB40" s="155">
        <f>IF($MQ40=0,MAX(0,$NE40-IF(AND($OS40&gt;0,COUNTIF($MZ40:$NA40,"?*")=0),1,0)),MAX(0,$PA40))</f>
        <v/>
      </c>
      <c r="PC40" s="155">
        <f>IF($MQ40=0,0,(IF(COUNTIF($MV40:$MY40,"Salto")&gt;0,1,0)+IF(COUNTIF($MV40:$MY40,"Queima")&gt;0,1,0)+IF(COUNTIF($MV40:$MY40,"Estilhaço")&gt;0,1,0))*FLOOR($PB40/2,1))</f>
        <v/>
      </c>
      <c r="PD40" s="155">
        <f>MAX(0,2-SUMPRODUCT($OK40:$OP40,$I$2:$N$2)+MIN(2,$OQ40*1+$OR40*1,SUMPRODUCT($OK40:$OP40,$I$2:$N$2)-IF($NQ40=0,0,INDEX($I$2:$N$2,1,$NQ40))))</f>
        <v/>
      </c>
      <c r="PE40" s="155">
        <f>MAX(0,4-SUMPRODUCT($OK40:$OP40,$I$3:$N$3)+MIN(4,$OQ40*1+$OR40*2,SUMPRODUCT($OK40:$OP40,$I$3:$N$3)-IF($NQ40=0,0,INDEX($I$3:$N$3,1,$NQ40))))</f>
        <v/>
      </c>
      <c r="PF40" s="155">
        <f>MAX(0,6-SUMPRODUCT($OK40:$OP40,$I$4:$N$4)+MIN(6,$OQ40*2+$OR40*3,SUMPRODUCT($OK40:$OP40,$I$4:$N$4)-IF($NQ40=0,0,INDEX($I$4:$N$4,1,$NQ40))))</f>
        <v/>
      </c>
      <c r="PG40" s="155">
        <f>MAX(0,9-SUMPRODUCT($OK40:$OP40,$I$5:$N$5)+MIN(8,$OQ40*2+$OR40*4,SUMPRODUCT($OK40:$OP40,$I$5:$N$5)-IF($NQ40=0,0,INDEX($I$5:$N$5,1,$NQ40))))</f>
        <v/>
      </c>
      <c r="PH40" s="155">
        <f>MAX(0,11-SUMPRODUCT($OK40:$OP40,$I$6:$N$6)+MIN(10,$OQ40*3+$OR40*5,SUMPRODUCT($OK40:$OP40,$I$6:$N$6)-IF($NQ40=0,0,INDEX($I$6:$N$6,1,$NQ40))))</f>
        <v/>
      </c>
      <c r="PI40" s="155">
        <f>MAX(0,13-SUMPRODUCT($OK40:$OP40,$I$7:$N$7)+MIN(12,$OQ40*3+$OR40*6,SUMPRODUCT($OK40:$OP40,$I$7:$N$7)-IF($NQ40=0,0,INDEX($I$7:$N$7,1,$NQ40))))</f>
        <v/>
      </c>
      <c r="PJ40" s="155">
        <f>MAX(0,16-SUMPRODUCT($OK40:$OP40,$I$8:$N$8)+MIN(14,$OQ40*4+$OR40*7,SUMPRODUCT($OK40:$OP40,$I$8:$N$8)-IF($NQ40=0,0,INDEX($I$8:$N$8,1,$NQ40))))</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Melhoria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Prende</t>
        </is>
      </c>
      <c r="AW41" s="153" t="inlineStr">
        <is>
          <t>Controle</t>
        </is>
      </c>
      <c r="AX41" s="155" t="n">
        <v>2</v>
      </c>
      <c r="AY41" s="155" t="n">
        <v>1</v>
      </c>
      <c r="AZ41" s="155" t="n">
        <v>0</v>
      </c>
      <c r="BA41" s="155" t="n">
        <v>1</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IFERROR(VLOOKUP($MV41,$AV$2:$BA$83,2,FALSE),"")</f>
        <v/>
      </c>
      <c r="NJ41" s="155">
        <f>IFERROR(VLOOKUP($MW41,$AV$2:$BA$83,2,FALSE),"")</f>
        <v/>
      </c>
      <c r="NK41" s="155">
        <f>IFERROR(VLOOKUP($MX41,$AV$2:$BA$83,2,FALSE),"")</f>
        <v/>
      </c>
      <c r="NL41" s="155">
        <f>IFERROR(VLOOKUP($MY41,$AV$2:$BA$83,2,FALSE),"")</f>
        <v/>
      </c>
      <c r="NM41" s="155">
        <f>IFERROR(VLOOKUP($MV41,$AV$2:$BA$83,3,FALSE),0)</f>
        <v/>
      </c>
      <c r="NN41" s="155">
        <f>IFERROR(VLOOKUP($MW41,$AV$2:$BA$83,3,FALSE),0)</f>
        <v/>
      </c>
      <c r="NO41" s="155">
        <f>IFERROR(VLOOKUP($MX41,$AV$2:$BA$83,3,FALSE),0)</f>
        <v/>
      </c>
      <c r="NP41" s="155">
        <f>IFERROR(VLOOKUP($MY41,$AV$2:$BA$83,3,FALSE),0)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IFERROR(VLOOKUP($MV41,$AV$2:$BA$83,4,FALSE),0)+IFERROR(VLOOKUP($MW41,$AV$2:$BA$83,4,FALSE),0)+IFERROR(VLOOKUP($MX41,$AV$2:$BA$83,4,FALSE),0)+IFERROR(VLOOKUP($MY41,$AV$2:$BA$83,4,FALSE),0)</f>
        <v/>
      </c>
      <c r="OB41" s="155">
        <f>IFERROR(VLOOKUP($MV41,$AV$2:$BA$83,6,FALSE),0)+IFERROR(VLOOKUP($MW41,$AV$2:$BA$83,6,FALSE),0)+IFERROR(VLOOKUP($MX41,$AV$2:$BA$83,6,FALSE),0)+IFERROR(VLOOKUP($MY41,$AV$2:$BA$83,6,FALSE),0)</f>
        <v/>
      </c>
      <c r="OC41" s="155">
        <f>TEXTJOIN(", ",TRUE,IF(IFERROR(VLOOKUP($MV41,$AV$2:$BA$83,5,FALSE),0)=1,$MV41,""),IF(IFERROR(VLOOKUP($MW41,$AV$2:$BA$83,5,FALSE),0)=1,$MW41,""),IF(IFERROR(VLOOKUP($MX41,$AV$2:$BA$83,5,FALSE),0)=1,$MX41,""),IF(IFERROR(VLOOKUP($MY41,$AV$2:$BA$83,5,FALSE),0)=1,$MY41,""))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MIN($OW41,$OU41-IF($NQ41=0,0,INDEX($I$2:$N$8,MAX(1,$MQ41),$NQ41)))</f>
        <v/>
      </c>
      <c r="OY41" s="155">
        <f>$OW41-$OX41</f>
        <v/>
      </c>
      <c r="OZ41" s="155">
        <f>IF($MQ41=0,0,INDEX($P$2:$P$8,MAX(1,$MQ41)))</f>
        <v/>
      </c>
      <c r="PA41" s="155">
        <f>$OZ41-$OU41+$OX41</f>
        <v/>
      </c>
      <c r="PB41" s="155">
        <f>IF($MQ41=0,MAX(0,$NE41-IF(AND($OS41&gt;0,COUNTIF($MZ41:$NA41,"?*")=0),1,0)),MAX(0,$PA41))</f>
        <v/>
      </c>
      <c r="PC41" s="155">
        <f>IF($MQ41=0,0,(IF(COUNTIF($MV41:$MY41,"Salto")&gt;0,1,0)+IF(COUNTIF($MV41:$MY41,"Queima")&gt;0,1,0)+IF(COUNTIF($MV41:$MY41,"Estilhaço")&gt;0,1,0))*FLOOR($PB41/2,1))</f>
        <v/>
      </c>
      <c r="PD41" s="155">
        <f>MAX(0,2-SUMPRODUCT($OK41:$OP41,$I$2:$N$2)+MIN(2,$OQ41*1+$OR41*1,SUMPRODUCT($OK41:$OP41,$I$2:$N$2)-IF($NQ41=0,0,INDEX($I$2:$N$2,1,$NQ41))))</f>
        <v/>
      </c>
      <c r="PE41" s="155">
        <f>MAX(0,4-SUMPRODUCT($OK41:$OP41,$I$3:$N$3)+MIN(4,$OQ41*1+$OR41*2,SUMPRODUCT($OK41:$OP41,$I$3:$N$3)-IF($NQ41=0,0,INDEX($I$3:$N$3,1,$NQ41))))</f>
        <v/>
      </c>
      <c r="PF41" s="155">
        <f>MAX(0,6-SUMPRODUCT($OK41:$OP41,$I$4:$N$4)+MIN(6,$OQ41*2+$OR41*3,SUMPRODUCT($OK41:$OP41,$I$4:$N$4)-IF($NQ41=0,0,INDEX($I$4:$N$4,1,$NQ41))))</f>
        <v/>
      </c>
      <c r="PG41" s="155">
        <f>MAX(0,9-SUMPRODUCT($OK41:$OP41,$I$5:$N$5)+MIN(8,$OQ41*2+$OR41*4,SUMPRODUCT($OK41:$OP41,$I$5:$N$5)-IF($NQ41=0,0,INDEX($I$5:$N$5,1,$NQ41))))</f>
        <v/>
      </c>
      <c r="PH41" s="155">
        <f>MAX(0,11-SUMPRODUCT($OK41:$OP41,$I$6:$N$6)+MIN(10,$OQ41*3+$OR41*5,SUMPRODUCT($OK41:$OP41,$I$6:$N$6)-IF($NQ41=0,0,INDEX($I$6:$N$6,1,$NQ41))))</f>
        <v/>
      </c>
      <c r="PI41" s="155">
        <f>MAX(0,13-SUMPRODUCT($OK41:$OP41,$I$7:$N$7)+MIN(12,$OQ41*3+$OR41*6,SUMPRODUCT($OK41:$OP41,$I$7:$N$7)-IF($NQ41=0,0,INDEX($I$7:$N$7,1,$NQ41))))</f>
        <v/>
      </c>
      <c r="PJ41" s="155">
        <f>MAX(0,16-SUMPRODUCT($OK41:$OP41,$I$8:$N$8)+MIN(14,$OQ41*4+$OR41*7,SUMPRODUCT($OK41:$OP41,$I$8:$N$8)-IF($NQ41=0,0,INDEX($I$8:$N$8,1,$NQ41))))</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Melhoria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Puxa</t>
        </is>
      </c>
      <c r="AW42" s="153" t="inlineStr">
        <is>
          <t>Controle</t>
        </is>
      </c>
      <c r="AX42" s="155" t="n">
        <v>2</v>
      </c>
      <c r="AY42" s="155" t="n">
        <v>1</v>
      </c>
      <c r="AZ42" s="155" t="n">
        <v>0</v>
      </c>
      <c r="BA42" s="155" t="n">
        <v>0</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IFERROR(VLOOKUP($MV42,$AV$2:$BA$83,2,FALSE),"")</f>
        <v/>
      </c>
      <c r="NJ42" s="155">
        <f>IFERROR(VLOOKUP($MW42,$AV$2:$BA$83,2,FALSE),"")</f>
        <v/>
      </c>
      <c r="NK42" s="155">
        <f>IFERROR(VLOOKUP($MX42,$AV$2:$BA$83,2,FALSE),"")</f>
        <v/>
      </c>
      <c r="NL42" s="155">
        <f>IFERROR(VLOOKUP($MY42,$AV$2:$BA$83,2,FALSE),"")</f>
        <v/>
      </c>
      <c r="NM42" s="155">
        <f>IFERROR(VLOOKUP($MV42,$AV$2:$BA$83,3,FALSE),0)</f>
        <v/>
      </c>
      <c r="NN42" s="155">
        <f>IFERROR(VLOOKUP($MW42,$AV$2:$BA$83,3,FALSE),0)</f>
        <v/>
      </c>
      <c r="NO42" s="155">
        <f>IFERROR(VLOOKUP($MX42,$AV$2:$BA$83,3,FALSE),0)</f>
        <v/>
      </c>
      <c r="NP42" s="155">
        <f>IFERROR(VLOOKUP($MY42,$AV$2:$BA$83,3,FALSE),0)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IFERROR(VLOOKUP($MV42,$AV$2:$BA$83,4,FALSE),0)+IFERROR(VLOOKUP($MW42,$AV$2:$BA$83,4,FALSE),0)+IFERROR(VLOOKUP($MX42,$AV$2:$BA$83,4,FALSE),0)+IFERROR(VLOOKUP($MY42,$AV$2:$BA$83,4,FALSE),0)</f>
        <v/>
      </c>
      <c r="OB42" s="155">
        <f>IFERROR(VLOOKUP($MV42,$AV$2:$BA$83,6,FALSE),0)+IFERROR(VLOOKUP($MW42,$AV$2:$BA$83,6,FALSE),0)+IFERROR(VLOOKUP($MX42,$AV$2:$BA$83,6,FALSE),0)+IFERROR(VLOOKUP($MY42,$AV$2:$BA$83,6,FALSE),0)</f>
        <v/>
      </c>
      <c r="OC42" s="155">
        <f>TEXTJOIN(", ",TRUE,IF(IFERROR(VLOOKUP($MV42,$AV$2:$BA$83,5,FALSE),0)=1,$MV42,""),IF(IFERROR(VLOOKUP($MW42,$AV$2:$BA$83,5,FALSE),0)=1,$MW42,""),IF(IFERROR(VLOOKUP($MX42,$AV$2:$BA$83,5,FALSE),0)=1,$MX42,""),IF(IFERROR(VLOOKUP($MY42,$AV$2:$BA$83,5,FALSE),0)=1,$MY42,""))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MIN($OW42,$OU42-IF($NQ42=0,0,INDEX($I$2:$N$8,MAX(1,$MQ42),$NQ42)))</f>
        <v/>
      </c>
      <c r="OY42" s="155">
        <f>$OW42-$OX42</f>
        <v/>
      </c>
      <c r="OZ42" s="155">
        <f>IF($MQ42=0,0,INDEX($P$2:$P$8,MAX(1,$MQ42)))</f>
        <v/>
      </c>
      <c r="PA42" s="155">
        <f>$OZ42-$OU42+$OX42</f>
        <v/>
      </c>
      <c r="PB42" s="155">
        <f>IF($MQ42=0,MAX(0,$NE42-IF(AND($OS42&gt;0,COUNTIF($MZ42:$NA42,"?*")=0),1,0)),MAX(0,$PA42))</f>
        <v/>
      </c>
      <c r="PC42" s="155">
        <f>IF($MQ42=0,0,(IF(COUNTIF($MV42:$MY42,"Salto")&gt;0,1,0)+IF(COUNTIF($MV42:$MY42,"Queima")&gt;0,1,0)+IF(COUNTIF($MV42:$MY42,"Estilhaço")&gt;0,1,0))*FLOOR($PB42/2,1))</f>
        <v/>
      </c>
      <c r="PD42" s="155">
        <f>MAX(0,2-SUMPRODUCT($OK42:$OP42,$I$2:$N$2)+MIN(2,$OQ42*1+$OR42*1,SUMPRODUCT($OK42:$OP42,$I$2:$N$2)-IF($NQ42=0,0,INDEX($I$2:$N$2,1,$NQ42))))</f>
        <v/>
      </c>
      <c r="PE42" s="155">
        <f>MAX(0,4-SUMPRODUCT($OK42:$OP42,$I$3:$N$3)+MIN(4,$OQ42*1+$OR42*2,SUMPRODUCT($OK42:$OP42,$I$3:$N$3)-IF($NQ42=0,0,INDEX($I$3:$N$3,1,$NQ42))))</f>
        <v/>
      </c>
      <c r="PF42" s="155">
        <f>MAX(0,6-SUMPRODUCT($OK42:$OP42,$I$4:$N$4)+MIN(6,$OQ42*2+$OR42*3,SUMPRODUCT($OK42:$OP42,$I$4:$N$4)-IF($NQ42=0,0,INDEX($I$4:$N$4,1,$NQ42))))</f>
        <v/>
      </c>
      <c r="PG42" s="155">
        <f>MAX(0,9-SUMPRODUCT($OK42:$OP42,$I$5:$N$5)+MIN(8,$OQ42*2+$OR42*4,SUMPRODUCT($OK42:$OP42,$I$5:$N$5)-IF($NQ42=0,0,INDEX($I$5:$N$5,1,$NQ42))))</f>
        <v/>
      </c>
      <c r="PH42" s="155">
        <f>MAX(0,11-SUMPRODUCT($OK42:$OP42,$I$6:$N$6)+MIN(10,$OQ42*3+$OR42*5,SUMPRODUCT($OK42:$OP42,$I$6:$N$6)-IF($NQ42=0,0,INDEX($I$6:$N$6,1,$NQ42))))</f>
        <v/>
      </c>
      <c r="PI42" s="155">
        <f>MAX(0,13-SUMPRODUCT($OK42:$OP42,$I$7:$N$7)+MIN(12,$OQ42*3+$OR42*6,SUMPRODUCT($OK42:$OP42,$I$7:$N$7)-IF($NQ42=0,0,INDEX($I$7:$N$7,1,$NQ42))))</f>
        <v/>
      </c>
      <c r="PJ42" s="155">
        <f>MAX(0,16-SUMPRODUCT($OK42:$OP42,$I$8:$N$8)+MIN(14,$OQ42*4+$OR42*7,SUMPRODUCT($OK42:$OP42,$I$8:$N$8)-IF($NQ42=0,0,INDEX($I$8:$N$8,1,$NQ42))))</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Melhoria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Impulso</t>
        </is>
      </c>
      <c r="AW43" s="153" t="inlineStr">
        <is>
          <t>Auxiliares</t>
        </is>
      </c>
      <c r="AX43" s="155" t="n">
        <v>1</v>
      </c>
      <c r="AY43" s="155" t="n">
        <v>0</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IFERROR(VLOOKUP($MV43,$AV$2:$BA$83,2,FALSE),"")</f>
        <v/>
      </c>
      <c r="NJ43" s="155">
        <f>IFERROR(VLOOKUP($MW43,$AV$2:$BA$83,2,FALSE),"")</f>
        <v/>
      </c>
      <c r="NK43" s="155">
        <f>IFERROR(VLOOKUP($MX43,$AV$2:$BA$83,2,FALSE),"")</f>
        <v/>
      </c>
      <c r="NL43" s="155">
        <f>IFERROR(VLOOKUP($MY43,$AV$2:$BA$83,2,FALSE),"")</f>
        <v/>
      </c>
      <c r="NM43" s="155">
        <f>IFERROR(VLOOKUP($MV43,$AV$2:$BA$83,3,FALSE),0)</f>
        <v/>
      </c>
      <c r="NN43" s="155">
        <f>IFERROR(VLOOKUP($MW43,$AV$2:$BA$83,3,FALSE),0)</f>
        <v/>
      </c>
      <c r="NO43" s="155">
        <f>IFERROR(VLOOKUP($MX43,$AV$2:$BA$83,3,FALSE),0)</f>
        <v/>
      </c>
      <c r="NP43" s="155">
        <f>IFERROR(VLOOKUP($MY43,$AV$2:$BA$83,3,FALSE),0)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IFERROR(VLOOKUP($MV43,$AV$2:$BA$83,4,FALSE),0)+IFERROR(VLOOKUP($MW43,$AV$2:$BA$83,4,FALSE),0)+IFERROR(VLOOKUP($MX43,$AV$2:$BA$83,4,FALSE),0)+IFERROR(VLOOKUP($MY43,$AV$2:$BA$83,4,FALSE),0)</f>
        <v/>
      </c>
      <c r="OB43" s="155">
        <f>IFERROR(VLOOKUP($MV43,$AV$2:$BA$83,6,FALSE),0)+IFERROR(VLOOKUP($MW43,$AV$2:$BA$83,6,FALSE),0)+IFERROR(VLOOKUP($MX43,$AV$2:$BA$83,6,FALSE),0)+IFERROR(VLOOKUP($MY43,$AV$2:$BA$83,6,FALSE),0)</f>
        <v/>
      </c>
      <c r="OC43" s="155">
        <f>TEXTJOIN(", ",TRUE,IF(IFERROR(VLOOKUP($MV43,$AV$2:$BA$83,5,FALSE),0)=1,$MV43,""),IF(IFERROR(VLOOKUP($MW43,$AV$2:$BA$83,5,FALSE),0)=1,$MW43,""),IF(IFERROR(VLOOKUP($MX43,$AV$2:$BA$83,5,FALSE),0)=1,$MX43,""),IF(IFERROR(VLOOKUP($MY43,$AV$2:$BA$83,5,FALSE),0)=1,$MY43,""))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MIN($OW43,$OU43-IF($NQ43=0,0,INDEX($I$2:$N$8,MAX(1,$MQ43),$NQ43)))</f>
        <v/>
      </c>
      <c r="OY43" s="155">
        <f>$OW43-$OX43</f>
        <v/>
      </c>
      <c r="OZ43" s="155">
        <f>IF($MQ43=0,0,INDEX($P$2:$P$8,MAX(1,$MQ43)))</f>
        <v/>
      </c>
      <c r="PA43" s="155">
        <f>$OZ43-$OU43+$OX43</f>
        <v/>
      </c>
      <c r="PB43" s="155">
        <f>IF($MQ43=0,MAX(0,$NE43-IF(AND($OS43&gt;0,COUNTIF($MZ43:$NA43,"?*")=0),1,0)),MAX(0,$PA43))</f>
        <v/>
      </c>
      <c r="PC43" s="155">
        <f>IF($MQ43=0,0,(IF(COUNTIF($MV43:$MY43,"Salto")&gt;0,1,0)+IF(COUNTIF($MV43:$MY43,"Queima")&gt;0,1,0)+IF(COUNTIF($MV43:$MY43,"Estilhaço")&gt;0,1,0))*FLOOR($PB43/2,1))</f>
        <v/>
      </c>
      <c r="PD43" s="155">
        <f>MAX(0,2-SUMPRODUCT($OK43:$OP43,$I$2:$N$2)+MIN(2,$OQ43*1+$OR43*1,SUMPRODUCT($OK43:$OP43,$I$2:$N$2)-IF($NQ43=0,0,INDEX($I$2:$N$2,1,$NQ43))))</f>
        <v/>
      </c>
      <c r="PE43" s="155">
        <f>MAX(0,4-SUMPRODUCT($OK43:$OP43,$I$3:$N$3)+MIN(4,$OQ43*1+$OR43*2,SUMPRODUCT($OK43:$OP43,$I$3:$N$3)-IF($NQ43=0,0,INDEX($I$3:$N$3,1,$NQ43))))</f>
        <v/>
      </c>
      <c r="PF43" s="155">
        <f>MAX(0,6-SUMPRODUCT($OK43:$OP43,$I$4:$N$4)+MIN(6,$OQ43*2+$OR43*3,SUMPRODUCT($OK43:$OP43,$I$4:$N$4)-IF($NQ43=0,0,INDEX($I$4:$N$4,1,$NQ43))))</f>
        <v/>
      </c>
      <c r="PG43" s="155">
        <f>MAX(0,9-SUMPRODUCT($OK43:$OP43,$I$5:$N$5)+MIN(8,$OQ43*2+$OR43*4,SUMPRODUCT($OK43:$OP43,$I$5:$N$5)-IF($NQ43=0,0,INDEX($I$5:$N$5,1,$NQ43))))</f>
        <v/>
      </c>
      <c r="PH43" s="155">
        <f>MAX(0,11-SUMPRODUCT($OK43:$OP43,$I$6:$N$6)+MIN(10,$OQ43*3+$OR43*5,SUMPRODUCT($OK43:$OP43,$I$6:$N$6)-IF($NQ43=0,0,INDEX($I$6:$N$6,1,$NQ43))))</f>
        <v/>
      </c>
      <c r="PI43" s="155">
        <f>MAX(0,13-SUMPRODUCT($OK43:$OP43,$I$7:$N$7)+MIN(12,$OQ43*3+$OR43*6,SUMPRODUCT($OK43:$OP43,$I$7:$N$7)-IF($NQ43=0,0,INDEX($I$7:$N$7,1,$NQ43))))</f>
        <v/>
      </c>
      <c r="PJ43" s="155">
        <f>MAX(0,16-SUMPRODUCT($OK43:$OP43,$I$8:$N$8)+MIN(14,$OQ43*4+$OR43*7,SUMPRODUCT($OK43:$OP43,$I$8:$N$8)-IF($NQ43=0,0,INDEX($I$8:$N$8,1,$NQ43))))</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Melhoria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Trava</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IFERROR(VLOOKUP($MV44,$AV$2:$BA$83,2,FALSE),"")</f>
        <v/>
      </c>
      <c r="NJ44" s="155">
        <f>IFERROR(VLOOKUP($MW44,$AV$2:$BA$83,2,FALSE),"")</f>
        <v/>
      </c>
      <c r="NK44" s="155">
        <f>IFERROR(VLOOKUP($MX44,$AV$2:$BA$83,2,FALSE),"")</f>
        <v/>
      </c>
      <c r="NL44" s="155">
        <f>IFERROR(VLOOKUP($MY44,$AV$2:$BA$83,2,FALSE),"")</f>
        <v/>
      </c>
      <c r="NM44" s="155">
        <f>IFERROR(VLOOKUP($MV44,$AV$2:$BA$83,3,FALSE),0)</f>
        <v/>
      </c>
      <c r="NN44" s="155">
        <f>IFERROR(VLOOKUP($MW44,$AV$2:$BA$83,3,FALSE),0)</f>
        <v/>
      </c>
      <c r="NO44" s="155">
        <f>IFERROR(VLOOKUP($MX44,$AV$2:$BA$83,3,FALSE),0)</f>
        <v/>
      </c>
      <c r="NP44" s="155">
        <f>IFERROR(VLOOKUP($MY44,$AV$2:$BA$83,3,FALSE),0)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IFERROR(VLOOKUP($MV44,$AV$2:$BA$83,4,FALSE),0)+IFERROR(VLOOKUP($MW44,$AV$2:$BA$83,4,FALSE),0)+IFERROR(VLOOKUP($MX44,$AV$2:$BA$83,4,FALSE),0)+IFERROR(VLOOKUP($MY44,$AV$2:$BA$83,4,FALSE),0)</f>
        <v/>
      </c>
      <c r="OB44" s="155">
        <f>IFERROR(VLOOKUP($MV44,$AV$2:$BA$83,6,FALSE),0)+IFERROR(VLOOKUP($MW44,$AV$2:$BA$83,6,FALSE),0)+IFERROR(VLOOKUP($MX44,$AV$2:$BA$83,6,FALSE),0)+IFERROR(VLOOKUP($MY44,$AV$2:$BA$83,6,FALSE),0)</f>
        <v/>
      </c>
      <c r="OC44" s="155">
        <f>TEXTJOIN(", ",TRUE,IF(IFERROR(VLOOKUP($MV44,$AV$2:$BA$83,5,FALSE),0)=1,$MV44,""),IF(IFERROR(VLOOKUP($MW44,$AV$2:$BA$83,5,FALSE),0)=1,$MW44,""),IF(IFERROR(VLOOKUP($MX44,$AV$2:$BA$83,5,FALSE),0)=1,$MX44,""),IF(IFERROR(VLOOKUP($MY44,$AV$2:$BA$83,5,FALSE),0)=1,$MY44,""))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MIN($OW44,$OU44-IF($NQ44=0,0,INDEX($I$2:$N$8,MAX(1,$MQ44),$NQ44)))</f>
        <v/>
      </c>
      <c r="OY44" s="155">
        <f>$OW44-$OX44</f>
        <v/>
      </c>
      <c r="OZ44" s="155">
        <f>IF($MQ44=0,0,INDEX($P$2:$P$8,MAX(1,$MQ44)))</f>
        <v/>
      </c>
      <c r="PA44" s="155">
        <f>$OZ44-$OU44+$OX44</f>
        <v/>
      </c>
      <c r="PB44" s="155">
        <f>IF($MQ44=0,MAX(0,$NE44-IF(AND($OS44&gt;0,COUNTIF($MZ44:$NA44,"?*")=0),1,0)),MAX(0,$PA44))</f>
        <v/>
      </c>
      <c r="PC44" s="155">
        <f>IF($MQ44=0,0,(IF(COUNTIF($MV44:$MY44,"Salto")&gt;0,1,0)+IF(COUNTIF($MV44:$MY44,"Queima")&gt;0,1,0)+IF(COUNTIF($MV44:$MY44,"Estilhaço")&gt;0,1,0))*FLOOR($PB44/2,1))</f>
        <v/>
      </c>
      <c r="PD44" s="155">
        <f>MAX(0,2-SUMPRODUCT($OK44:$OP44,$I$2:$N$2)+MIN(2,$OQ44*1+$OR44*1,SUMPRODUCT($OK44:$OP44,$I$2:$N$2)-IF($NQ44=0,0,INDEX($I$2:$N$2,1,$NQ44))))</f>
        <v/>
      </c>
      <c r="PE44" s="155">
        <f>MAX(0,4-SUMPRODUCT($OK44:$OP44,$I$3:$N$3)+MIN(4,$OQ44*1+$OR44*2,SUMPRODUCT($OK44:$OP44,$I$3:$N$3)-IF($NQ44=0,0,INDEX($I$3:$N$3,1,$NQ44))))</f>
        <v/>
      </c>
      <c r="PF44" s="155">
        <f>MAX(0,6-SUMPRODUCT($OK44:$OP44,$I$4:$N$4)+MIN(6,$OQ44*2+$OR44*3,SUMPRODUCT($OK44:$OP44,$I$4:$N$4)-IF($NQ44=0,0,INDEX($I$4:$N$4,1,$NQ44))))</f>
        <v/>
      </c>
      <c r="PG44" s="155">
        <f>MAX(0,9-SUMPRODUCT($OK44:$OP44,$I$5:$N$5)+MIN(8,$OQ44*2+$OR44*4,SUMPRODUCT($OK44:$OP44,$I$5:$N$5)-IF($NQ44=0,0,INDEX($I$5:$N$5,1,$NQ44))))</f>
        <v/>
      </c>
      <c r="PH44" s="155">
        <f>MAX(0,11-SUMPRODUCT($OK44:$OP44,$I$6:$N$6)+MIN(10,$OQ44*3+$OR44*5,SUMPRODUCT($OK44:$OP44,$I$6:$N$6)-IF($NQ44=0,0,INDEX($I$6:$N$6,1,$NQ44))))</f>
        <v/>
      </c>
      <c r="PI44" s="155">
        <f>MAX(0,13-SUMPRODUCT($OK44:$OP44,$I$7:$N$7)+MIN(12,$OQ44*3+$OR44*6,SUMPRODUCT($OK44:$OP44,$I$7:$N$7)-IF($NQ44=0,0,INDEX($I$7:$N$7,1,$NQ44))))</f>
        <v/>
      </c>
      <c r="PJ44" s="155">
        <f>MAX(0,16-SUMPRODUCT($OK44:$OP44,$I$8:$N$8)+MIN(14,$OQ44*4+$OR44*7,SUMPRODUCT($OK44:$OP44,$I$8:$N$8)-IF($NQ44=0,0,INDEX($I$8:$N$8,1,$NQ44))))</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Melhoria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Abre Ferida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IFERROR(VLOOKUP($MV45,$AV$2:$BA$83,2,FALSE),"")</f>
        <v/>
      </c>
      <c r="NJ45" s="155">
        <f>IFERROR(VLOOKUP($MW45,$AV$2:$BA$83,2,FALSE),"")</f>
        <v/>
      </c>
      <c r="NK45" s="155">
        <f>IFERROR(VLOOKUP($MX45,$AV$2:$BA$83,2,FALSE),"")</f>
        <v/>
      </c>
      <c r="NL45" s="155">
        <f>IFERROR(VLOOKUP($MY45,$AV$2:$BA$83,2,FALSE),"")</f>
        <v/>
      </c>
      <c r="NM45" s="155">
        <f>IFERROR(VLOOKUP($MV45,$AV$2:$BA$83,3,FALSE),0)</f>
        <v/>
      </c>
      <c r="NN45" s="155">
        <f>IFERROR(VLOOKUP($MW45,$AV$2:$BA$83,3,FALSE),0)</f>
        <v/>
      </c>
      <c r="NO45" s="155">
        <f>IFERROR(VLOOKUP($MX45,$AV$2:$BA$83,3,FALSE),0)</f>
        <v/>
      </c>
      <c r="NP45" s="155">
        <f>IFERROR(VLOOKUP($MY45,$AV$2:$BA$83,3,FALSE),0)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IFERROR(VLOOKUP($MV45,$AV$2:$BA$83,4,FALSE),0)+IFERROR(VLOOKUP($MW45,$AV$2:$BA$83,4,FALSE),0)+IFERROR(VLOOKUP($MX45,$AV$2:$BA$83,4,FALSE),0)+IFERROR(VLOOKUP($MY45,$AV$2:$BA$83,4,FALSE),0)</f>
        <v/>
      </c>
      <c r="OB45" s="155">
        <f>IFERROR(VLOOKUP($MV45,$AV$2:$BA$83,6,FALSE),0)+IFERROR(VLOOKUP($MW45,$AV$2:$BA$83,6,FALSE),0)+IFERROR(VLOOKUP($MX45,$AV$2:$BA$83,6,FALSE),0)+IFERROR(VLOOKUP($MY45,$AV$2:$BA$83,6,FALSE),0)</f>
        <v/>
      </c>
      <c r="OC45" s="155">
        <f>TEXTJOIN(", ",TRUE,IF(IFERROR(VLOOKUP($MV45,$AV$2:$BA$83,5,FALSE),0)=1,$MV45,""),IF(IFERROR(VLOOKUP($MW45,$AV$2:$BA$83,5,FALSE),0)=1,$MW45,""),IF(IFERROR(VLOOKUP($MX45,$AV$2:$BA$83,5,FALSE),0)=1,$MX45,""),IF(IFERROR(VLOOKUP($MY45,$AV$2:$BA$83,5,FALSE),0)=1,$MY45,""))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MIN($OW45,$OU45-IF($NQ45=0,0,INDEX($I$2:$N$8,MAX(1,$MQ45),$NQ45)))</f>
        <v/>
      </c>
      <c r="OY45" s="155">
        <f>$OW45-$OX45</f>
        <v/>
      </c>
      <c r="OZ45" s="155">
        <f>IF($MQ45=0,0,INDEX($P$2:$P$8,MAX(1,$MQ45)))</f>
        <v/>
      </c>
      <c r="PA45" s="155">
        <f>$OZ45-$OU45+$OX45</f>
        <v/>
      </c>
      <c r="PB45" s="155">
        <f>IF($MQ45=0,MAX(0,$NE45-IF(AND($OS45&gt;0,COUNTIF($MZ45:$NA45,"?*")=0),1,0)),MAX(0,$PA45))</f>
        <v/>
      </c>
      <c r="PC45" s="155">
        <f>IF($MQ45=0,0,(IF(COUNTIF($MV45:$MY45,"Salto")&gt;0,1,0)+IF(COUNTIF($MV45:$MY45,"Queima")&gt;0,1,0)+IF(COUNTIF($MV45:$MY45,"Estilhaço")&gt;0,1,0))*FLOOR($PB45/2,1))</f>
        <v/>
      </c>
      <c r="PD45" s="155">
        <f>MAX(0,2-SUMPRODUCT($OK45:$OP45,$I$2:$N$2)+MIN(2,$OQ45*1+$OR45*1,SUMPRODUCT($OK45:$OP45,$I$2:$N$2)-IF($NQ45=0,0,INDEX($I$2:$N$2,1,$NQ45))))</f>
        <v/>
      </c>
      <c r="PE45" s="155">
        <f>MAX(0,4-SUMPRODUCT($OK45:$OP45,$I$3:$N$3)+MIN(4,$OQ45*1+$OR45*2,SUMPRODUCT($OK45:$OP45,$I$3:$N$3)-IF($NQ45=0,0,INDEX($I$3:$N$3,1,$NQ45))))</f>
        <v/>
      </c>
      <c r="PF45" s="155">
        <f>MAX(0,6-SUMPRODUCT($OK45:$OP45,$I$4:$N$4)+MIN(6,$OQ45*2+$OR45*3,SUMPRODUCT($OK45:$OP45,$I$4:$N$4)-IF($NQ45=0,0,INDEX($I$4:$N$4,1,$NQ45))))</f>
        <v/>
      </c>
      <c r="PG45" s="155">
        <f>MAX(0,9-SUMPRODUCT($OK45:$OP45,$I$5:$N$5)+MIN(8,$OQ45*2+$OR45*4,SUMPRODUCT($OK45:$OP45,$I$5:$N$5)-IF($NQ45=0,0,INDEX($I$5:$N$5,1,$NQ45))))</f>
        <v/>
      </c>
      <c r="PH45" s="155">
        <f>MAX(0,11-SUMPRODUCT($OK45:$OP45,$I$6:$N$6)+MIN(10,$OQ45*3+$OR45*5,SUMPRODUCT($OK45:$OP45,$I$6:$N$6)-IF($NQ45=0,0,INDEX($I$6:$N$6,1,$NQ45))))</f>
        <v/>
      </c>
      <c r="PI45" s="155">
        <f>MAX(0,13-SUMPRODUCT($OK45:$OP45,$I$7:$N$7)+MIN(12,$OQ45*3+$OR45*6,SUMPRODUCT($OK45:$OP45,$I$7:$N$7)-IF($NQ45=0,0,INDEX($I$7:$N$7,1,$NQ45))))</f>
        <v/>
      </c>
      <c r="PJ45" s="155">
        <f>MAX(0,16-SUMPRODUCT($OK45:$OP45,$I$8:$N$8)+MIN(14,$OQ45*4+$OR45*7,SUMPRODUCT($OK45:$OP45,$I$8:$N$8)-IF($NQ45=0,0,INDEX($I$8:$N$8,1,$NQ45))))</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Melhoria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Sobrecarga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IFERROR(VLOOKUP($MV46,$AV$2:$BA$83,2,FALSE),"")</f>
        <v/>
      </c>
      <c r="NJ46" s="155">
        <f>IFERROR(VLOOKUP($MW46,$AV$2:$BA$83,2,FALSE),"")</f>
        <v/>
      </c>
      <c r="NK46" s="155">
        <f>IFERROR(VLOOKUP($MX46,$AV$2:$BA$83,2,FALSE),"")</f>
        <v/>
      </c>
      <c r="NL46" s="155">
        <f>IFERROR(VLOOKUP($MY46,$AV$2:$BA$83,2,FALSE),"")</f>
        <v/>
      </c>
      <c r="NM46" s="155">
        <f>IFERROR(VLOOKUP($MV46,$AV$2:$BA$83,3,FALSE),0)</f>
        <v/>
      </c>
      <c r="NN46" s="155">
        <f>IFERROR(VLOOKUP($MW46,$AV$2:$BA$83,3,FALSE),0)</f>
        <v/>
      </c>
      <c r="NO46" s="155">
        <f>IFERROR(VLOOKUP($MX46,$AV$2:$BA$83,3,FALSE),0)</f>
        <v/>
      </c>
      <c r="NP46" s="155">
        <f>IFERROR(VLOOKUP($MY46,$AV$2:$BA$83,3,FALSE),0)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IFERROR(VLOOKUP($MV46,$AV$2:$BA$83,4,FALSE),0)+IFERROR(VLOOKUP($MW46,$AV$2:$BA$83,4,FALSE),0)+IFERROR(VLOOKUP($MX46,$AV$2:$BA$83,4,FALSE),0)+IFERROR(VLOOKUP($MY46,$AV$2:$BA$83,4,FALSE),0)</f>
        <v/>
      </c>
      <c r="OB46" s="155">
        <f>IFERROR(VLOOKUP($MV46,$AV$2:$BA$83,6,FALSE),0)+IFERROR(VLOOKUP($MW46,$AV$2:$BA$83,6,FALSE),0)+IFERROR(VLOOKUP($MX46,$AV$2:$BA$83,6,FALSE),0)+IFERROR(VLOOKUP($MY46,$AV$2:$BA$83,6,FALSE),0)</f>
        <v/>
      </c>
      <c r="OC46" s="155">
        <f>TEXTJOIN(", ",TRUE,IF(IFERROR(VLOOKUP($MV46,$AV$2:$BA$83,5,FALSE),0)=1,$MV46,""),IF(IFERROR(VLOOKUP($MW46,$AV$2:$BA$83,5,FALSE),0)=1,$MW46,""),IF(IFERROR(VLOOKUP($MX46,$AV$2:$BA$83,5,FALSE),0)=1,$MX46,""),IF(IFERROR(VLOOKUP($MY46,$AV$2:$BA$83,5,FALSE),0)=1,$MY46,""))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MIN($OW46,$OU46-IF($NQ46=0,0,INDEX($I$2:$N$8,MAX(1,$MQ46),$NQ46)))</f>
        <v/>
      </c>
      <c r="OY46" s="155">
        <f>$OW46-$OX46</f>
        <v/>
      </c>
      <c r="OZ46" s="155">
        <f>IF($MQ46=0,0,INDEX($P$2:$P$8,MAX(1,$MQ46)))</f>
        <v/>
      </c>
      <c r="PA46" s="155">
        <f>$OZ46-$OU46+$OX46</f>
        <v/>
      </c>
      <c r="PB46" s="155">
        <f>IF($MQ46=0,MAX(0,$NE46-IF(AND($OS46&gt;0,COUNTIF($MZ46:$NA46,"?*")=0),1,0)),MAX(0,$PA46))</f>
        <v/>
      </c>
      <c r="PC46" s="155">
        <f>IF($MQ46=0,0,(IF(COUNTIF($MV46:$MY46,"Salto")&gt;0,1,0)+IF(COUNTIF($MV46:$MY46,"Queima")&gt;0,1,0)+IF(COUNTIF($MV46:$MY46,"Estilhaço")&gt;0,1,0))*FLOOR($PB46/2,1))</f>
        <v/>
      </c>
      <c r="PD46" s="155">
        <f>MAX(0,2-SUMPRODUCT($OK46:$OP46,$I$2:$N$2)+MIN(2,$OQ46*1+$OR46*1,SUMPRODUCT($OK46:$OP46,$I$2:$N$2)-IF($NQ46=0,0,INDEX($I$2:$N$2,1,$NQ46))))</f>
        <v/>
      </c>
      <c r="PE46" s="155">
        <f>MAX(0,4-SUMPRODUCT($OK46:$OP46,$I$3:$N$3)+MIN(4,$OQ46*1+$OR46*2,SUMPRODUCT($OK46:$OP46,$I$3:$N$3)-IF($NQ46=0,0,INDEX($I$3:$N$3,1,$NQ46))))</f>
        <v/>
      </c>
      <c r="PF46" s="155">
        <f>MAX(0,6-SUMPRODUCT($OK46:$OP46,$I$4:$N$4)+MIN(6,$OQ46*2+$OR46*3,SUMPRODUCT($OK46:$OP46,$I$4:$N$4)-IF($NQ46=0,0,INDEX($I$4:$N$4,1,$NQ46))))</f>
        <v/>
      </c>
      <c r="PG46" s="155">
        <f>MAX(0,9-SUMPRODUCT($OK46:$OP46,$I$5:$N$5)+MIN(8,$OQ46*2+$OR46*4,SUMPRODUCT($OK46:$OP46,$I$5:$N$5)-IF($NQ46=0,0,INDEX($I$5:$N$5,1,$NQ46))))</f>
        <v/>
      </c>
      <c r="PH46" s="155">
        <f>MAX(0,11-SUMPRODUCT($OK46:$OP46,$I$6:$N$6)+MIN(10,$OQ46*3+$OR46*5,SUMPRODUCT($OK46:$OP46,$I$6:$N$6)-IF($NQ46=0,0,INDEX($I$6:$N$6,1,$NQ46))))</f>
        <v/>
      </c>
      <c r="PI46" s="155">
        <f>MAX(0,13-SUMPRODUCT($OK46:$OP46,$I$7:$N$7)+MIN(12,$OQ46*3+$OR46*6,SUMPRODUCT($OK46:$OP46,$I$7:$N$7)-IF($NQ46=0,0,INDEX($I$7:$N$7,1,$NQ46))))</f>
        <v/>
      </c>
      <c r="PJ46" s="155">
        <f>MAX(0,16-SUMPRODUCT($OK46:$OP46,$I$8:$N$8)+MIN(14,$OQ46*4+$OR46*7,SUMPRODUCT($OK46:$OP46,$I$8:$N$8)-IF($NQ46=0,0,INDEX($I$8:$N$8,1,$NQ46))))</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Melhoria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Firmeza</t>
        </is>
      </c>
      <c r="AW47" s="153" t="inlineStr">
        <is>
          <t>Auxiliares</t>
        </is>
      </c>
      <c r="AX47" s="155" t="n">
        <v>2</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IFERROR(VLOOKUP($MV47,$AV$2:$BA$83,2,FALSE),"")</f>
        <v/>
      </c>
      <c r="NJ47" s="155">
        <f>IFERROR(VLOOKUP($MW47,$AV$2:$BA$83,2,FALSE),"")</f>
        <v/>
      </c>
      <c r="NK47" s="155">
        <f>IFERROR(VLOOKUP($MX47,$AV$2:$BA$83,2,FALSE),"")</f>
        <v/>
      </c>
      <c r="NL47" s="155">
        <f>IFERROR(VLOOKUP($MY47,$AV$2:$BA$83,2,FALSE),"")</f>
        <v/>
      </c>
      <c r="NM47" s="155">
        <f>IFERROR(VLOOKUP($MV47,$AV$2:$BA$83,3,FALSE),0)</f>
        <v/>
      </c>
      <c r="NN47" s="155">
        <f>IFERROR(VLOOKUP($MW47,$AV$2:$BA$83,3,FALSE),0)</f>
        <v/>
      </c>
      <c r="NO47" s="155">
        <f>IFERROR(VLOOKUP($MX47,$AV$2:$BA$83,3,FALSE),0)</f>
        <v/>
      </c>
      <c r="NP47" s="155">
        <f>IFERROR(VLOOKUP($MY47,$AV$2:$BA$83,3,FALSE),0)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IFERROR(VLOOKUP($MV47,$AV$2:$BA$83,4,FALSE),0)+IFERROR(VLOOKUP($MW47,$AV$2:$BA$83,4,FALSE),0)+IFERROR(VLOOKUP($MX47,$AV$2:$BA$83,4,FALSE),0)+IFERROR(VLOOKUP($MY47,$AV$2:$BA$83,4,FALSE),0)</f>
        <v/>
      </c>
      <c r="OB47" s="155">
        <f>IFERROR(VLOOKUP($MV47,$AV$2:$BA$83,6,FALSE),0)+IFERROR(VLOOKUP($MW47,$AV$2:$BA$83,6,FALSE),0)+IFERROR(VLOOKUP($MX47,$AV$2:$BA$83,6,FALSE),0)+IFERROR(VLOOKUP($MY47,$AV$2:$BA$83,6,FALSE),0)</f>
        <v/>
      </c>
      <c r="OC47" s="155">
        <f>TEXTJOIN(", ",TRUE,IF(IFERROR(VLOOKUP($MV47,$AV$2:$BA$83,5,FALSE),0)=1,$MV47,""),IF(IFERROR(VLOOKUP($MW47,$AV$2:$BA$83,5,FALSE),0)=1,$MW47,""),IF(IFERROR(VLOOKUP($MX47,$AV$2:$BA$83,5,FALSE),0)=1,$MX47,""),IF(IFERROR(VLOOKUP($MY47,$AV$2:$BA$83,5,FALSE),0)=1,$MY47,""))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MIN($OW47,$OU47-IF($NQ47=0,0,INDEX($I$2:$N$8,MAX(1,$MQ47),$NQ47)))</f>
        <v/>
      </c>
      <c r="OY47" s="155">
        <f>$OW47-$OX47</f>
        <v/>
      </c>
      <c r="OZ47" s="155">
        <f>IF($MQ47=0,0,INDEX($P$2:$P$8,MAX(1,$MQ47)))</f>
        <v/>
      </c>
      <c r="PA47" s="155">
        <f>$OZ47-$OU47+$OX47</f>
        <v/>
      </c>
      <c r="PB47" s="155">
        <f>IF($MQ47=0,MAX(0,$NE47-IF(AND($OS47&gt;0,COUNTIF($MZ47:$NA47,"?*")=0),1,0)),MAX(0,$PA47))</f>
        <v/>
      </c>
      <c r="PC47" s="155">
        <f>IF($MQ47=0,0,(IF(COUNTIF($MV47:$MY47,"Salto")&gt;0,1,0)+IF(COUNTIF($MV47:$MY47,"Queima")&gt;0,1,0)+IF(COUNTIF($MV47:$MY47,"Estilhaço")&gt;0,1,0))*FLOOR($PB47/2,1))</f>
        <v/>
      </c>
      <c r="PD47" s="155">
        <f>MAX(0,2-SUMPRODUCT($OK47:$OP47,$I$2:$N$2)+MIN(2,$OQ47*1+$OR47*1,SUMPRODUCT($OK47:$OP47,$I$2:$N$2)-IF($NQ47=0,0,INDEX($I$2:$N$2,1,$NQ47))))</f>
        <v/>
      </c>
      <c r="PE47" s="155">
        <f>MAX(0,4-SUMPRODUCT($OK47:$OP47,$I$3:$N$3)+MIN(4,$OQ47*1+$OR47*2,SUMPRODUCT($OK47:$OP47,$I$3:$N$3)-IF($NQ47=0,0,INDEX($I$3:$N$3,1,$NQ47))))</f>
        <v/>
      </c>
      <c r="PF47" s="155">
        <f>MAX(0,6-SUMPRODUCT($OK47:$OP47,$I$4:$N$4)+MIN(6,$OQ47*2+$OR47*3,SUMPRODUCT($OK47:$OP47,$I$4:$N$4)-IF($NQ47=0,0,INDEX($I$4:$N$4,1,$NQ47))))</f>
        <v/>
      </c>
      <c r="PG47" s="155">
        <f>MAX(0,9-SUMPRODUCT($OK47:$OP47,$I$5:$N$5)+MIN(8,$OQ47*2+$OR47*4,SUMPRODUCT($OK47:$OP47,$I$5:$N$5)-IF($NQ47=0,0,INDEX($I$5:$N$5,1,$NQ47))))</f>
        <v/>
      </c>
      <c r="PH47" s="155">
        <f>MAX(0,11-SUMPRODUCT($OK47:$OP47,$I$6:$N$6)+MIN(10,$OQ47*3+$OR47*5,SUMPRODUCT($OK47:$OP47,$I$6:$N$6)-IF($NQ47=0,0,INDEX($I$6:$N$6,1,$NQ47))))</f>
        <v/>
      </c>
      <c r="PI47" s="155">
        <f>MAX(0,13-SUMPRODUCT($OK47:$OP47,$I$7:$N$7)+MIN(12,$OQ47*3+$OR47*6,SUMPRODUCT($OK47:$OP47,$I$7:$N$7)-IF($NQ47=0,0,INDEX($I$7:$N$7,1,$NQ47))))</f>
        <v/>
      </c>
      <c r="PJ47" s="155">
        <f>MAX(0,16-SUMPRODUCT($OK47:$OP47,$I$8:$N$8)+MIN(14,$OQ47*4+$OR47*7,SUMPRODUCT($OK47:$OP47,$I$8:$N$8)-IF($NQ47=0,0,INDEX($I$8:$N$8,1,$NQ47))))</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Melhoria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Guarda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IFERROR(VLOOKUP($MV48,$AV$2:$BA$83,2,FALSE),"")</f>
        <v/>
      </c>
      <c r="NJ48" s="155">
        <f>IFERROR(VLOOKUP($MW48,$AV$2:$BA$83,2,FALSE),"")</f>
        <v/>
      </c>
      <c r="NK48" s="155">
        <f>IFERROR(VLOOKUP($MX48,$AV$2:$BA$83,2,FALSE),"")</f>
        <v/>
      </c>
      <c r="NL48" s="155">
        <f>IFERROR(VLOOKUP($MY48,$AV$2:$BA$83,2,FALSE),"")</f>
        <v/>
      </c>
      <c r="NM48" s="155">
        <f>IFERROR(VLOOKUP($MV48,$AV$2:$BA$83,3,FALSE),0)</f>
        <v/>
      </c>
      <c r="NN48" s="155">
        <f>IFERROR(VLOOKUP($MW48,$AV$2:$BA$83,3,FALSE),0)</f>
        <v/>
      </c>
      <c r="NO48" s="155">
        <f>IFERROR(VLOOKUP($MX48,$AV$2:$BA$83,3,FALSE),0)</f>
        <v/>
      </c>
      <c r="NP48" s="155">
        <f>IFERROR(VLOOKUP($MY48,$AV$2:$BA$83,3,FALSE),0)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IFERROR(VLOOKUP($MV48,$AV$2:$BA$83,4,FALSE),0)+IFERROR(VLOOKUP($MW48,$AV$2:$BA$83,4,FALSE),0)+IFERROR(VLOOKUP($MX48,$AV$2:$BA$83,4,FALSE),0)+IFERROR(VLOOKUP($MY48,$AV$2:$BA$83,4,FALSE),0)</f>
        <v/>
      </c>
      <c r="OB48" s="155">
        <f>IFERROR(VLOOKUP($MV48,$AV$2:$BA$83,6,FALSE),0)+IFERROR(VLOOKUP($MW48,$AV$2:$BA$83,6,FALSE),0)+IFERROR(VLOOKUP($MX48,$AV$2:$BA$83,6,FALSE),0)+IFERROR(VLOOKUP($MY48,$AV$2:$BA$83,6,FALSE),0)</f>
        <v/>
      </c>
      <c r="OC48" s="155">
        <f>TEXTJOIN(", ",TRUE,IF(IFERROR(VLOOKUP($MV48,$AV$2:$BA$83,5,FALSE),0)=1,$MV48,""),IF(IFERROR(VLOOKUP($MW48,$AV$2:$BA$83,5,FALSE),0)=1,$MW48,""),IF(IFERROR(VLOOKUP($MX48,$AV$2:$BA$83,5,FALSE),0)=1,$MX48,""),IF(IFERROR(VLOOKUP($MY48,$AV$2:$BA$83,5,FALSE),0)=1,$MY48,""))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MIN($OW48,$OU48-IF($NQ48=0,0,INDEX($I$2:$N$8,MAX(1,$MQ48),$NQ48)))</f>
        <v/>
      </c>
      <c r="OY48" s="155">
        <f>$OW48-$OX48</f>
        <v/>
      </c>
      <c r="OZ48" s="155">
        <f>IF($MQ48=0,0,INDEX($P$2:$P$8,MAX(1,$MQ48)))</f>
        <v/>
      </c>
      <c r="PA48" s="155">
        <f>$OZ48-$OU48+$OX48</f>
        <v/>
      </c>
      <c r="PB48" s="155">
        <f>IF($MQ48=0,MAX(0,$NE48-IF(AND($OS48&gt;0,COUNTIF($MZ48:$NA48,"?*")=0),1,0)),MAX(0,$PA48))</f>
        <v/>
      </c>
      <c r="PC48" s="155">
        <f>IF($MQ48=0,0,(IF(COUNTIF($MV48:$MY48,"Salto")&gt;0,1,0)+IF(COUNTIF($MV48:$MY48,"Queima")&gt;0,1,0)+IF(COUNTIF($MV48:$MY48,"Estilhaço")&gt;0,1,0))*FLOOR($PB48/2,1))</f>
        <v/>
      </c>
      <c r="PD48" s="155">
        <f>MAX(0,2-SUMPRODUCT($OK48:$OP48,$I$2:$N$2)+MIN(2,$OQ48*1+$OR48*1,SUMPRODUCT($OK48:$OP48,$I$2:$N$2)-IF($NQ48=0,0,INDEX($I$2:$N$2,1,$NQ48))))</f>
        <v/>
      </c>
      <c r="PE48" s="155">
        <f>MAX(0,4-SUMPRODUCT($OK48:$OP48,$I$3:$N$3)+MIN(4,$OQ48*1+$OR48*2,SUMPRODUCT($OK48:$OP48,$I$3:$N$3)-IF($NQ48=0,0,INDEX($I$3:$N$3,1,$NQ48))))</f>
        <v/>
      </c>
      <c r="PF48" s="155">
        <f>MAX(0,6-SUMPRODUCT($OK48:$OP48,$I$4:$N$4)+MIN(6,$OQ48*2+$OR48*3,SUMPRODUCT($OK48:$OP48,$I$4:$N$4)-IF($NQ48=0,0,INDEX($I$4:$N$4,1,$NQ48))))</f>
        <v/>
      </c>
      <c r="PG48" s="155">
        <f>MAX(0,9-SUMPRODUCT($OK48:$OP48,$I$5:$N$5)+MIN(8,$OQ48*2+$OR48*4,SUMPRODUCT($OK48:$OP48,$I$5:$N$5)-IF($NQ48=0,0,INDEX($I$5:$N$5,1,$NQ48))))</f>
        <v/>
      </c>
      <c r="PH48" s="155">
        <f>MAX(0,11-SUMPRODUCT($OK48:$OP48,$I$6:$N$6)+MIN(10,$OQ48*3+$OR48*5,SUMPRODUCT($OK48:$OP48,$I$6:$N$6)-IF($NQ48=0,0,INDEX($I$6:$N$6,1,$NQ48))))</f>
        <v/>
      </c>
      <c r="PI48" s="155">
        <f>MAX(0,13-SUMPRODUCT($OK48:$OP48,$I$7:$N$7)+MIN(12,$OQ48*3+$OR48*6,SUMPRODUCT($OK48:$OP48,$I$7:$N$7)-IF($NQ48=0,0,INDEX($I$7:$N$7,1,$NQ48))))</f>
        <v/>
      </c>
      <c r="PJ48" s="155">
        <f>MAX(0,16-SUMPRODUCT($OK48:$OP48,$I$8:$N$8)+MIN(14,$OQ48*4+$OR48*7,SUMPRODUCT($OK48:$OP48,$I$8:$N$8)-IF($NQ48=0,0,INDEX($I$8:$N$8,1,$NQ48))))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Melhoria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Pressa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IFERROR(VLOOKUP($MV49,$AV$2:$BA$83,2,FALSE),"")</f>
        <v/>
      </c>
      <c r="NJ49" s="155">
        <f>IFERROR(VLOOKUP($MW49,$AV$2:$BA$83,2,FALSE),"")</f>
        <v/>
      </c>
      <c r="NK49" s="155">
        <f>IFERROR(VLOOKUP($MX49,$AV$2:$BA$83,2,FALSE),"")</f>
        <v/>
      </c>
      <c r="NL49" s="155">
        <f>IFERROR(VLOOKUP($MY49,$AV$2:$BA$83,2,FALSE),"")</f>
        <v/>
      </c>
      <c r="NM49" s="155">
        <f>IFERROR(VLOOKUP($MV49,$AV$2:$BA$83,3,FALSE),0)</f>
        <v/>
      </c>
      <c r="NN49" s="155">
        <f>IFERROR(VLOOKUP($MW49,$AV$2:$BA$83,3,FALSE),0)</f>
        <v/>
      </c>
      <c r="NO49" s="155">
        <f>IFERROR(VLOOKUP($MX49,$AV$2:$BA$83,3,FALSE),0)</f>
        <v/>
      </c>
      <c r="NP49" s="155">
        <f>IFERROR(VLOOKUP($MY49,$AV$2:$BA$83,3,FALSE),0)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IFERROR(VLOOKUP($MV49,$AV$2:$BA$83,4,FALSE),0)+IFERROR(VLOOKUP($MW49,$AV$2:$BA$83,4,FALSE),0)+IFERROR(VLOOKUP($MX49,$AV$2:$BA$83,4,FALSE),0)+IFERROR(VLOOKUP($MY49,$AV$2:$BA$83,4,FALSE),0)</f>
        <v/>
      </c>
      <c r="OB49" s="155">
        <f>IFERROR(VLOOKUP($MV49,$AV$2:$BA$83,6,FALSE),0)+IFERROR(VLOOKUP($MW49,$AV$2:$BA$83,6,FALSE),0)+IFERROR(VLOOKUP($MX49,$AV$2:$BA$83,6,FALSE),0)+IFERROR(VLOOKUP($MY49,$AV$2:$BA$83,6,FALSE),0)</f>
        <v/>
      </c>
      <c r="OC49" s="155">
        <f>TEXTJOIN(", ",TRUE,IF(IFERROR(VLOOKUP($MV49,$AV$2:$BA$83,5,FALSE),0)=1,$MV49,""),IF(IFERROR(VLOOKUP($MW49,$AV$2:$BA$83,5,FALSE),0)=1,$MW49,""),IF(IFERROR(VLOOKUP($MX49,$AV$2:$BA$83,5,FALSE),0)=1,$MX49,""),IF(IFERROR(VLOOKUP($MY49,$AV$2:$BA$83,5,FALSE),0)=1,$MY49,""))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MIN($OW49,$OU49-IF($NQ49=0,0,INDEX($I$2:$N$8,MAX(1,$MQ49),$NQ49)))</f>
        <v/>
      </c>
      <c r="OY49" s="155">
        <f>$OW49-$OX49</f>
        <v/>
      </c>
      <c r="OZ49" s="155">
        <f>IF($MQ49=0,0,INDEX($P$2:$P$8,MAX(1,$MQ49)))</f>
        <v/>
      </c>
      <c r="PA49" s="155">
        <f>$OZ49-$OU49+$OX49</f>
        <v/>
      </c>
      <c r="PB49" s="155">
        <f>IF($MQ49=0,MAX(0,$NE49-IF(AND($OS49&gt;0,COUNTIF($MZ49:$NA49,"?*")=0),1,0)),MAX(0,$PA49))</f>
        <v/>
      </c>
      <c r="PC49" s="155">
        <f>IF($MQ49=0,0,(IF(COUNTIF($MV49:$MY49,"Salto")&gt;0,1,0)+IF(COUNTIF($MV49:$MY49,"Queima")&gt;0,1,0)+IF(COUNTIF($MV49:$MY49,"Estilhaço")&gt;0,1,0))*FLOOR($PB49/2,1))</f>
        <v/>
      </c>
      <c r="PD49" s="155">
        <f>MAX(0,2-SUMPRODUCT($OK49:$OP49,$I$2:$N$2)+MIN(2,$OQ49*1+$OR49*1,SUMPRODUCT($OK49:$OP49,$I$2:$N$2)-IF($NQ49=0,0,INDEX($I$2:$N$2,1,$NQ49))))</f>
        <v/>
      </c>
      <c r="PE49" s="155">
        <f>MAX(0,4-SUMPRODUCT($OK49:$OP49,$I$3:$N$3)+MIN(4,$OQ49*1+$OR49*2,SUMPRODUCT($OK49:$OP49,$I$3:$N$3)-IF($NQ49=0,0,INDEX($I$3:$N$3,1,$NQ49))))</f>
        <v/>
      </c>
      <c r="PF49" s="155">
        <f>MAX(0,6-SUMPRODUCT($OK49:$OP49,$I$4:$N$4)+MIN(6,$OQ49*2+$OR49*3,SUMPRODUCT($OK49:$OP49,$I$4:$N$4)-IF($NQ49=0,0,INDEX($I$4:$N$4,1,$NQ49))))</f>
        <v/>
      </c>
      <c r="PG49" s="155">
        <f>MAX(0,9-SUMPRODUCT($OK49:$OP49,$I$5:$N$5)+MIN(8,$OQ49*2+$OR49*4,SUMPRODUCT($OK49:$OP49,$I$5:$N$5)-IF($NQ49=0,0,INDEX($I$5:$N$5,1,$NQ49))))</f>
        <v/>
      </c>
      <c r="PH49" s="155">
        <f>MAX(0,11-SUMPRODUCT($OK49:$OP49,$I$6:$N$6)+MIN(10,$OQ49*3+$OR49*5,SUMPRODUCT($OK49:$OP49,$I$6:$N$6)-IF($NQ49=0,0,INDEX($I$6:$N$6,1,$NQ49))))</f>
        <v/>
      </c>
      <c r="PI49" s="155">
        <f>MAX(0,13-SUMPRODUCT($OK49:$OP49,$I$7:$N$7)+MIN(12,$OQ49*3+$OR49*6,SUMPRODUCT($OK49:$OP49,$I$7:$N$7)-IF($NQ49=0,0,INDEX($I$7:$N$7,1,$NQ49))))</f>
        <v/>
      </c>
      <c r="PJ49" s="155">
        <f>MAX(0,16-SUMPRODUCT($OK49:$OP49,$I$8:$N$8)+MIN(14,$OQ49*4+$OR49*7,SUMPRODUCT($OK49:$OP49,$I$8:$N$8)-IF($NQ49=0,0,INDEX($I$8:$N$8,1,$NQ49))))</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Melhoria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Enfraquece</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IFERROR(VLOOKUP($MV50,$AV$2:$BA$83,2,FALSE),"")</f>
        <v/>
      </c>
      <c r="NJ50" s="155">
        <f>IFERROR(VLOOKUP($MW50,$AV$2:$BA$83,2,FALSE),"")</f>
        <v/>
      </c>
      <c r="NK50" s="155">
        <f>IFERROR(VLOOKUP($MX50,$AV$2:$BA$83,2,FALSE),"")</f>
        <v/>
      </c>
      <c r="NL50" s="155">
        <f>IFERROR(VLOOKUP($MY50,$AV$2:$BA$83,2,FALSE),"")</f>
        <v/>
      </c>
      <c r="NM50" s="155">
        <f>IFERROR(VLOOKUP($MV50,$AV$2:$BA$83,3,FALSE),0)</f>
        <v/>
      </c>
      <c r="NN50" s="155">
        <f>IFERROR(VLOOKUP($MW50,$AV$2:$BA$83,3,FALSE),0)</f>
        <v/>
      </c>
      <c r="NO50" s="155">
        <f>IFERROR(VLOOKUP($MX50,$AV$2:$BA$83,3,FALSE),0)</f>
        <v/>
      </c>
      <c r="NP50" s="155">
        <f>IFERROR(VLOOKUP($MY50,$AV$2:$BA$83,3,FALSE),0)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IFERROR(VLOOKUP($MV50,$AV$2:$BA$83,4,FALSE),0)+IFERROR(VLOOKUP($MW50,$AV$2:$BA$83,4,FALSE),0)+IFERROR(VLOOKUP($MX50,$AV$2:$BA$83,4,FALSE),0)+IFERROR(VLOOKUP($MY50,$AV$2:$BA$83,4,FALSE),0)</f>
        <v/>
      </c>
      <c r="OB50" s="155">
        <f>IFERROR(VLOOKUP($MV50,$AV$2:$BA$83,6,FALSE),0)+IFERROR(VLOOKUP($MW50,$AV$2:$BA$83,6,FALSE),0)+IFERROR(VLOOKUP($MX50,$AV$2:$BA$83,6,FALSE),0)+IFERROR(VLOOKUP($MY50,$AV$2:$BA$83,6,FALSE),0)</f>
        <v/>
      </c>
      <c r="OC50" s="155">
        <f>TEXTJOIN(", ",TRUE,IF(IFERROR(VLOOKUP($MV50,$AV$2:$BA$83,5,FALSE),0)=1,$MV50,""),IF(IFERROR(VLOOKUP($MW50,$AV$2:$BA$83,5,FALSE),0)=1,$MW50,""),IF(IFERROR(VLOOKUP($MX50,$AV$2:$BA$83,5,FALSE),0)=1,$MX50,""),IF(IFERROR(VLOOKUP($MY50,$AV$2:$BA$83,5,FALSE),0)=1,$MY50,""))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MIN($OW50,$OU50-IF($NQ50=0,0,INDEX($I$2:$N$8,MAX(1,$MQ50),$NQ50)))</f>
        <v/>
      </c>
      <c r="OY50" s="155">
        <f>$OW50-$OX50</f>
        <v/>
      </c>
      <c r="OZ50" s="155">
        <f>IF($MQ50=0,0,INDEX($P$2:$P$8,MAX(1,$MQ50)))</f>
        <v/>
      </c>
      <c r="PA50" s="155">
        <f>$OZ50-$OU50+$OX50</f>
        <v/>
      </c>
      <c r="PB50" s="155">
        <f>IF($MQ50=0,MAX(0,$NE50-IF(AND($OS50&gt;0,COUNTIF($MZ50:$NA50,"?*")=0),1,0)),MAX(0,$PA50))</f>
        <v/>
      </c>
      <c r="PC50" s="155">
        <f>IF($MQ50=0,0,(IF(COUNTIF($MV50:$MY50,"Salto")&gt;0,1,0)+IF(COUNTIF($MV50:$MY50,"Queima")&gt;0,1,0)+IF(COUNTIF($MV50:$MY50,"Estilhaço")&gt;0,1,0))*FLOOR($PB50/2,1))</f>
        <v/>
      </c>
      <c r="PD50" s="155">
        <f>MAX(0,2-SUMPRODUCT($OK50:$OP50,$I$2:$N$2)+MIN(2,$OQ50*1+$OR50*1,SUMPRODUCT($OK50:$OP50,$I$2:$N$2)-IF($NQ50=0,0,INDEX($I$2:$N$2,1,$NQ50))))</f>
        <v/>
      </c>
      <c r="PE50" s="155">
        <f>MAX(0,4-SUMPRODUCT($OK50:$OP50,$I$3:$N$3)+MIN(4,$OQ50*1+$OR50*2,SUMPRODUCT($OK50:$OP50,$I$3:$N$3)-IF($NQ50=0,0,INDEX($I$3:$N$3,1,$NQ50))))</f>
        <v/>
      </c>
      <c r="PF50" s="155">
        <f>MAX(0,6-SUMPRODUCT($OK50:$OP50,$I$4:$N$4)+MIN(6,$OQ50*2+$OR50*3,SUMPRODUCT($OK50:$OP50,$I$4:$N$4)-IF($NQ50=0,0,INDEX($I$4:$N$4,1,$NQ50))))</f>
        <v/>
      </c>
      <c r="PG50" s="155">
        <f>MAX(0,9-SUMPRODUCT($OK50:$OP50,$I$5:$N$5)+MIN(8,$OQ50*2+$OR50*4,SUMPRODUCT($OK50:$OP50,$I$5:$N$5)-IF($NQ50=0,0,INDEX($I$5:$N$5,1,$NQ50))))</f>
        <v/>
      </c>
      <c r="PH50" s="155">
        <f>MAX(0,11-SUMPRODUCT($OK50:$OP50,$I$6:$N$6)+MIN(10,$OQ50*3+$OR50*5,SUMPRODUCT($OK50:$OP50,$I$6:$N$6)-IF($NQ50=0,0,INDEX($I$6:$N$6,1,$NQ50))))</f>
        <v/>
      </c>
      <c r="PI50" s="155">
        <f>MAX(0,13-SUMPRODUCT($OK50:$OP50,$I$7:$N$7)+MIN(12,$OQ50*3+$OR50*6,SUMPRODUCT($OK50:$OP50,$I$7:$N$7)-IF($NQ50=0,0,INDEX($I$7:$N$7,1,$NQ50))))</f>
        <v/>
      </c>
      <c r="PJ50" s="155">
        <f>MAX(0,16-SUMPRODUCT($OK50:$OP50,$I$8:$N$8)+MIN(14,$OQ50*4+$OR50*7,SUMPRODUCT($OK50:$OP50,$I$8:$N$8)-IF($NQ50=0,0,INDEX($I$8:$N$8,1,$NQ50))))</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Melhoria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Ecoa</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IFERROR(VLOOKUP($MV51,$AV$2:$BA$83,2,FALSE),"")</f>
        <v/>
      </c>
      <c r="NJ51" s="155">
        <f>IFERROR(VLOOKUP($MW51,$AV$2:$BA$83,2,FALSE),"")</f>
        <v/>
      </c>
      <c r="NK51" s="155">
        <f>IFERROR(VLOOKUP($MX51,$AV$2:$BA$83,2,FALSE),"")</f>
        <v/>
      </c>
      <c r="NL51" s="155">
        <f>IFERROR(VLOOKUP($MY51,$AV$2:$BA$83,2,FALSE),"")</f>
        <v/>
      </c>
      <c r="NM51" s="155">
        <f>IFERROR(VLOOKUP($MV51,$AV$2:$BA$83,3,FALSE),0)</f>
        <v/>
      </c>
      <c r="NN51" s="155">
        <f>IFERROR(VLOOKUP($MW51,$AV$2:$BA$83,3,FALSE),0)</f>
        <v/>
      </c>
      <c r="NO51" s="155">
        <f>IFERROR(VLOOKUP($MX51,$AV$2:$BA$83,3,FALSE),0)</f>
        <v/>
      </c>
      <c r="NP51" s="155">
        <f>IFERROR(VLOOKUP($MY51,$AV$2:$BA$83,3,FALSE),0)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IFERROR(VLOOKUP($MV51,$AV$2:$BA$83,4,FALSE),0)+IFERROR(VLOOKUP($MW51,$AV$2:$BA$83,4,FALSE),0)+IFERROR(VLOOKUP($MX51,$AV$2:$BA$83,4,FALSE),0)+IFERROR(VLOOKUP($MY51,$AV$2:$BA$83,4,FALSE),0)</f>
        <v/>
      </c>
      <c r="OB51" s="155">
        <f>IFERROR(VLOOKUP($MV51,$AV$2:$BA$83,6,FALSE),0)+IFERROR(VLOOKUP($MW51,$AV$2:$BA$83,6,FALSE),0)+IFERROR(VLOOKUP($MX51,$AV$2:$BA$83,6,FALSE),0)+IFERROR(VLOOKUP($MY51,$AV$2:$BA$83,6,FALSE),0)</f>
        <v/>
      </c>
      <c r="OC51" s="155">
        <f>TEXTJOIN(", ",TRUE,IF(IFERROR(VLOOKUP($MV51,$AV$2:$BA$83,5,FALSE),0)=1,$MV51,""),IF(IFERROR(VLOOKUP($MW51,$AV$2:$BA$83,5,FALSE),0)=1,$MW51,""),IF(IFERROR(VLOOKUP($MX51,$AV$2:$BA$83,5,FALSE),0)=1,$MX51,""),IF(IFERROR(VLOOKUP($MY51,$AV$2:$BA$83,5,FALSE),0)=1,$MY51,""))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MIN($OW51,$OU51-IF($NQ51=0,0,INDEX($I$2:$N$8,MAX(1,$MQ51),$NQ51)))</f>
        <v/>
      </c>
      <c r="OY51" s="155">
        <f>$OW51-$OX51</f>
        <v/>
      </c>
      <c r="OZ51" s="155">
        <f>IF($MQ51=0,0,INDEX($P$2:$P$8,MAX(1,$MQ51)))</f>
        <v/>
      </c>
      <c r="PA51" s="155">
        <f>$OZ51-$OU51+$OX51</f>
        <v/>
      </c>
      <c r="PB51" s="155">
        <f>IF($MQ51=0,MAX(0,$NE51-IF(AND($OS51&gt;0,COUNTIF($MZ51:$NA51,"?*")=0),1,0)),MAX(0,$PA51))</f>
        <v/>
      </c>
      <c r="PC51" s="155">
        <f>IF($MQ51=0,0,(IF(COUNTIF($MV51:$MY51,"Salto")&gt;0,1,0)+IF(COUNTIF($MV51:$MY51,"Queima")&gt;0,1,0)+IF(COUNTIF($MV51:$MY51,"Estilhaço")&gt;0,1,0))*FLOOR($PB51/2,1))</f>
        <v/>
      </c>
      <c r="PD51" s="155">
        <f>MAX(0,2-SUMPRODUCT($OK51:$OP51,$I$2:$N$2)+MIN(2,$OQ51*1+$OR51*1,SUMPRODUCT($OK51:$OP51,$I$2:$N$2)-IF($NQ51=0,0,INDEX($I$2:$N$2,1,$NQ51))))</f>
        <v/>
      </c>
      <c r="PE51" s="155">
        <f>MAX(0,4-SUMPRODUCT($OK51:$OP51,$I$3:$N$3)+MIN(4,$OQ51*1+$OR51*2,SUMPRODUCT($OK51:$OP51,$I$3:$N$3)-IF($NQ51=0,0,INDEX($I$3:$N$3,1,$NQ51))))</f>
        <v/>
      </c>
      <c r="PF51" s="155">
        <f>MAX(0,6-SUMPRODUCT($OK51:$OP51,$I$4:$N$4)+MIN(6,$OQ51*2+$OR51*3,SUMPRODUCT($OK51:$OP51,$I$4:$N$4)-IF($NQ51=0,0,INDEX($I$4:$N$4,1,$NQ51))))</f>
        <v/>
      </c>
      <c r="PG51" s="155">
        <f>MAX(0,9-SUMPRODUCT($OK51:$OP51,$I$5:$N$5)+MIN(8,$OQ51*2+$OR51*4,SUMPRODUCT($OK51:$OP51,$I$5:$N$5)-IF($NQ51=0,0,INDEX($I$5:$N$5,1,$NQ51))))</f>
        <v/>
      </c>
      <c r="PH51" s="155">
        <f>MAX(0,11-SUMPRODUCT($OK51:$OP51,$I$6:$N$6)+MIN(10,$OQ51*3+$OR51*5,SUMPRODUCT($OK51:$OP51,$I$6:$N$6)-IF($NQ51=0,0,INDEX($I$6:$N$6,1,$NQ51))))</f>
        <v/>
      </c>
      <c r="PI51" s="155">
        <f>MAX(0,13-SUMPRODUCT($OK51:$OP51,$I$7:$N$7)+MIN(12,$OQ51*3+$OR51*6,SUMPRODUCT($OK51:$OP51,$I$7:$N$7)-IF($NQ51=0,0,INDEX($I$7:$N$7,1,$NQ51))))</f>
        <v/>
      </c>
      <c r="PJ51" s="155">
        <f>MAX(0,16-SUMPRODUCT($OK51:$OP51,$I$8:$N$8)+MIN(14,$OQ51*4+$OR51*7,SUMPRODUCT($OK51:$OP51,$I$8:$N$8)-IF($NQ51=0,0,INDEX($I$8:$N$8,1,$NQ51))))</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Melhoria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Queima</t>
        </is>
      </c>
      <c r="AW52" s="153" t="inlineStr">
        <is>
          <t>Castigo</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IFERROR(VLOOKUP($MV52,$AV$2:$BA$83,2,FALSE),"")</f>
        <v/>
      </c>
      <c r="NJ52" s="155">
        <f>IFERROR(VLOOKUP($MW52,$AV$2:$BA$83,2,FALSE),"")</f>
        <v/>
      </c>
      <c r="NK52" s="155">
        <f>IFERROR(VLOOKUP($MX52,$AV$2:$BA$83,2,FALSE),"")</f>
        <v/>
      </c>
      <c r="NL52" s="155">
        <f>IFERROR(VLOOKUP($MY52,$AV$2:$BA$83,2,FALSE),"")</f>
        <v/>
      </c>
      <c r="NM52" s="155">
        <f>IFERROR(VLOOKUP($MV52,$AV$2:$BA$83,3,FALSE),0)</f>
        <v/>
      </c>
      <c r="NN52" s="155">
        <f>IFERROR(VLOOKUP($MW52,$AV$2:$BA$83,3,FALSE),0)</f>
        <v/>
      </c>
      <c r="NO52" s="155">
        <f>IFERROR(VLOOKUP($MX52,$AV$2:$BA$83,3,FALSE),0)</f>
        <v/>
      </c>
      <c r="NP52" s="155">
        <f>IFERROR(VLOOKUP($MY52,$AV$2:$BA$83,3,FALSE),0)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IFERROR(VLOOKUP($MV52,$AV$2:$BA$83,4,FALSE),0)+IFERROR(VLOOKUP($MW52,$AV$2:$BA$83,4,FALSE),0)+IFERROR(VLOOKUP($MX52,$AV$2:$BA$83,4,FALSE),0)+IFERROR(VLOOKUP($MY52,$AV$2:$BA$83,4,FALSE),0)</f>
        <v/>
      </c>
      <c r="OB52" s="155">
        <f>IFERROR(VLOOKUP($MV52,$AV$2:$BA$83,6,FALSE),0)+IFERROR(VLOOKUP($MW52,$AV$2:$BA$83,6,FALSE),0)+IFERROR(VLOOKUP($MX52,$AV$2:$BA$83,6,FALSE),0)+IFERROR(VLOOKUP($MY52,$AV$2:$BA$83,6,FALSE),0)</f>
        <v/>
      </c>
      <c r="OC52" s="155">
        <f>TEXTJOIN(", ",TRUE,IF(IFERROR(VLOOKUP($MV52,$AV$2:$BA$83,5,FALSE),0)=1,$MV52,""),IF(IFERROR(VLOOKUP($MW52,$AV$2:$BA$83,5,FALSE),0)=1,$MW52,""),IF(IFERROR(VLOOKUP($MX52,$AV$2:$BA$83,5,FALSE),0)=1,$MX52,""),IF(IFERROR(VLOOKUP($MY52,$AV$2:$BA$83,5,FALSE),0)=1,$MY52,""))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MIN($OW52,$OU52-IF($NQ52=0,0,INDEX($I$2:$N$8,MAX(1,$MQ52),$NQ52)))</f>
        <v/>
      </c>
      <c r="OY52" s="155">
        <f>$OW52-$OX52</f>
        <v/>
      </c>
      <c r="OZ52" s="155">
        <f>IF($MQ52=0,0,INDEX($P$2:$P$8,MAX(1,$MQ52)))</f>
        <v/>
      </c>
      <c r="PA52" s="155">
        <f>$OZ52-$OU52+$OX52</f>
        <v/>
      </c>
      <c r="PB52" s="155">
        <f>IF($MQ52=0,MAX(0,$NE52-IF(AND($OS52&gt;0,COUNTIF($MZ52:$NA52,"?*")=0),1,0)),MAX(0,$PA52))</f>
        <v/>
      </c>
      <c r="PC52" s="155">
        <f>IF($MQ52=0,0,(IF(COUNTIF($MV52:$MY52,"Salto")&gt;0,1,0)+IF(COUNTIF($MV52:$MY52,"Queima")&gt;0,1,0)+IF(COUNTIF($MV52:$MY52,"Estilhaço")&gt;0,1,0))*FLOOR($PB52/2,1))</f>
        <v/>
      </c>
      <c r="PD52" s="155">
        <f>MAX(0,2-SUMPRODUCT($OK52:$OP52,$I$2:$N$2)+MIN(2,$OQ52*1+$OR52*1,SUMPRODUCT($OK52:$OP52,$I$2:$N$2)-IF($NQ52=0,0,INDEX($I$2:$N$2,1,$NQ52))))</f>
        <v/>
      </c>
      <c r="PE52" s="155">
        <f>MAX(0,4-SUMPRODUCT($OK52:$OP52,$I$3:$N$3)+MIN(4,$OQ52*1+$OR52*2,SUMPRODUCT($OK52:$OP52,$I$3:$N$3)-IF($NQ52=0,0,INDEX($I$3:$N$3,1,$NQ52))))</f>
        <v/>
      </c>
      <c r="PF52" s="155">
        <f>MAX(0,6-SUMPRODUCT($OK52:$OP52,$I$4:$N$4)+MIN(6,$OQ52*2+$OR52*3,SUMPRODUCT($OK52:$OP52,$I$4:$N$4)-IF($NQ52=0,0,INDEX($I$4:$N$4,1,$NQ52))))</f>
        <v/>
      </c>
      <c r="PG52" s="155">
        <f>MAX(0,9-SUMPRODUCT($OK52:$OP52,$I$5:$N$5)+MIN(8,$OQ52*2+$OR52*4,SUMPRODUCT($OK52:$OP52,$I$5:$N$5)-IF($NQ52=0,0,INDEX($I$5:$N$5,1,$NQ52))))</f>
        <v/>
      </c>
      <c r="PH52" s="155">
        <f>MAX(0,11-SUMPRODUCT($OK52:$OP52,$I$6:$N$6)+MIN(10,$OQ52*3+$OR52*5,SUMPRODUCT($OK52:$OP52,$I$6:$N$6)-IF($NQ52=0,0,INDEX($I$6:$N$6,1,$NQ52))))</f>
        <v/>
      </c>
      <c r="PI52" s="155">
        <f>MAX(0,13-SUMPRODUCT($OK52:$OP52,$I$7:$N$7)+MIN(12,$OQ52*3+$OR52*6,SUMPRODUCT($OK52:$OP52,$I$7:$N$7)-IF($NQ52=0,0,INDEX($I$7:$N$7,1,$NQ52))))</f>
        <v/>
      </c>
      <c r="PJ52" s="155">
        <f>MAX(0,16-SUMPRODUCT($OK52:$OP52,$I$8:$N$8)+MIN(14,$OQ52*4+$OR52*7,SUMPRODUCT($OK52:$OP52,$I$8:$N$8)-IF($NQ52=0,0,INDEX($I$8:$N$8,1,$NQ52))))</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Melhoria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Acúmulo</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IFERROR(VLOOKUP($MV53,$AV$2:$BA$83,2,FALSE),"")</f>
        <v/>
      </c>
      <c r="NJ53" s="155">
        <f>IFERROR(VLOOKUP($MW53,$AV$2:$BA$83,2,FALSE),"")</f>
        <v/>
      </c>
      <c r="NK53" s="155">
        <f>IFERROR(VLOOKUP($MX53,$AV$2:$BA$83,2,FALSE),"")</f>
        <v/>
      </c>
      <c r="NL53" s="155">
        <f>IFERROR(VLOOKUP($MY53,$AV$2:$BA$83,2,FALSE),"")</f>
        <v/>
      </c>
      <c r="NM53" s="155">
        <f>IFERROR(VLOOKUP($MV53,$AV$2:$BA$83,3,FALSE),0)</f>
        <v/>
      </c>
      <c r="NN53" s="155">
        <f>IFERROR(VLOOKUP($MW53,$AV$2:$BA$83,3,FALSE),0)</f>
        <v/>
      </c>
      <c r="NO53" s="155">
        <f>IFERROR(VLOOKUP($MX53,$AV$2:$BA$83,3,FALSE),0)</f>
        <v/>
      </c>
      <c r="NP53" s="155">
        <f>IFERROR(VLOOKUP($MY53,$AV$2:$BA$83,3,FALSE),0)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IFERROR(VLOOKUP($MV53,$AV$2:$BA$83,4,FALSE),0)+IFERROR(VLOOKUP($MW53,$AV$2:$BA$83,4,FALSE),0)+IFERROR(VLOOKUP($MX53,$AV$2:$BA$83,4,FALSE),0)+IFERROR(VLOOKUP($MY53,$AV$2:$BA$83,4,FALSE),0)</f>
        <v/>
      </c>
      <c r="OB53" s="155">
        <f>IFERROR(VLOOKUP($MV53,$AV$2:$BA$83,6,FALSE),0)+IFERROR(VLOOKUP($MW53,$AV$2:$BA$83,6,FALSE),0)+IFERROR(VLOOKUP($MX53,$AV$2:$BA$83,6,FALSE),0)+IFERROR(VLOOKUP($MY53,$AV$2:$BA$83,6,FALSE),0)</f>
        <v/>
      </c>
      <c r="OC53" s="155">
        <f>TEXTJOIN(", ",TRUE,IF(IFERROR(VLOOKUP($MV53,$AV$2:$BA$83,5,FALSE),0)=1,$MV53,""),IF(IFERROR(VLOOKUP($MW53,$AV$2:$BA$83,5,FALSE),0)=1,$MW53,""),IF(IFERROR(VLOOKUP($MX53,$AV$2:$BA$83,5,FALSE),0)=1,$MX53,""),IF(IFERROR(VLOOKUP($MY53,$AV$2:$BA$83,5,FALSE),0)=1,$MY53,""))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MIN($OW53,$OU53-IF($NQ53=0,0,INDEX($I$2:$N$8,MAX(1,$MQ53),$NQ53)))</f>
        <v/>
      </c>
      <c r="OY53" s="155">
        <f>$OW53-$OX53</f>
        <v/>
      </c>
      <c r="OZ53" s="155">
        <f>IF($MQ53=0,0,INDEX($P$2:$P$8,MAX(1,$MQ53)))</f>
        <v/>
      </c>
      <c r="PA53" s="155">
        <f>$OZ53-$OU53+$OX53</f>
        <v/>
      </c>
      <c r="PB53" s="155">
        <f>IF($MQ53=0,MAX(0,$NE53-IF(AND($OS53&gt;0,COUNTIF($MZ53:$NA53,"?*")=0),1,0)),MAX(0,$PA53))</f>
        <v/>
      </c>
      <c r="PC53" s="155">
        <f>IF($MQ53=0,0,(IF(COUNTIF($MV53:$MY53,"Salto")&gt;0,1,0)+IF(COUNTIF($MV53:$MY53,"Queima")&gt;0,1,0)+IF(COUNTIF($MV53:$MY53,"Estilhaço")&gt;0,1,0))*FLOOR($PB53/2,1))</f>
        <v/>
      </c>
      <c r="PD53" s="155">
        <f>MAX(0,2-SUMPRODUCT($OK53:$OP53,$I$2:$N$2)+MIN(2,$OQ53*1+$OR53*1,SUMPRODUCT($OK53:$OP53,$I$2:$N$2)-IF($NQ53=0,0,INDEX($I$2:$N$2,1,$NQ53))))</f>
        <v/>
      </c>
      <c r="PE53" s="155">
        <f>MAX(0,4-SUMPRODUCT($OK53:$OP53,$I$3:$N$3)+MIN(4,$OQ53*1+$OR53*2,SUMPRODUCT($OK53:$OP53,$I$3:$N$3)-IF($NQ53=0,0,INDEX($I$3:$N$3,1,$NQ53))))</f>
        <v/>
      </c>
      <c r="PF53" s="155">
        <f>MAX(0,6-SUMPRODUCT($OK53:$OP53,$I$4:$N$4)+MIN(6,$OQ53*2+$OR53*3,SUMPRODUCT($OK53:$OP53,$I$4:$N$4)-IF($NQ53=0,0,INDEX($I$4:$N$4,1,$NQ53))))</f>
        <v/>
      </c>
      <c r="PG53" s="155">
        <f>MAX(0,9-SUMPRODUCT($OK53:$OP53,$I$5:$N$5)+MIN(8,$OQ53*2+$OR53*4,SUMPRODUCT($OK53:$OP53,$I$5:$N$5)-IF($NQ53=0,0,INDEX($I$5:$N$5,1,$NQ53))))</f>
        <v/>
      </c>
      <c r="PH53" s="155">
        <f>MAX(0,11-SUMPRODUCT($OK53:$OP53,$I$6:$N$6)+MIN(10,$OQ53*3+$OR53*5,SUMPRODUCT($OK53:$OP53,$I$6:$N$6)-IF($NQ53=0,0,INDEX($I$6:$N$6,1,$NQ53))))</f>
        <v/>
      </c>
      <c r="PI53" s="155">
        <f>MAX(0,13-SUMPRODUCT($OK53:$OP53,$I$7:$N$7)+MIN(12,$OQ53*3+$OR53*6,SUMPRODUCT($OK53:$OP53,$I$7:$N$7)-IF($NQ53=0,0,INDEX($I$7:$N$7,1,$NQ53))))</f>
        <v/>
      </c>
      <c r="PJ53" s="155">
        <f>MAX(0,16-SUMPRODUCT($OK53:$OP53,$I$8:$N$8)+MIN(14,$OQ53*4+$OR53*7,SUMPRODUCT($OK53:$OP53,$I$8:$N$8)-IF($NQ53=0,0,INDEX($I$8:$N$8,1,$NQ53))))</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Melhoria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Remate</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IFERROR(VLOOKUP($MV54,$AV$2:$BA$83,2,FALSE),"")</f>
        <v/>
      </c>
      <c r="NJ54" s="155">
        <f>IFERROR(VLOOKUP($MW54,$AV$2:$BA$83,2,FALSE),"")</f>
        <v/>
      </c>
      <c r="NK54" s="155">
        <f>IFERROR(VLOOKUP($MX54,$AV$2:$BA$83,2,FALSE),"")</f>
        <v/>
      </c>
      <c r="NL54" s="155">
        <f>IFERROR(VLOOKUP($MY54,$AV$2:$BA$83,2,FALSE),"")</f>
        <v/>
      </c>
      <c r="NM54" s="155">
        <f>IFERROR(VLOOKUP($MV54,$AV$2:$BA$83,3,FALSE),0)</f>
        <v/>
      </c>
      <c r="NN54" s="155">
        <f>IFERROR(VLOOKUP($MW54,$AV$2:$BA$83,3,FALSE),0)</f>
        <v/>
      </c>
      <c r="NO54" s="155">
        <f>IFERROR(VLOOKUP($MX54,$AV$2:$BA$83,3,FALSE),0)</f>
        <v/>
      </c>
      <c r="NP54" s="155">
        <f>IFERROR(VLOOKUP($MY54,$AV$2:$BA$83,3,FALSE),0)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IFERROR(VLOOKUP($MV54,$AV$2:$BA$83,4,FALSE),0)+IFERROR(VLOOKUP($MW54,$AV$2:$BA$83,4,FALSE),0)+IFERROR(VLOOKUP($MX54,$AV$2:$BA$83,4,FALSE),0)+IFERROR(VLOOKUP($MY54,$AV$2:$BA$83,4,FALSE),0)</f>
        <v/>
      </c>
      <c r="OB54" s="155">
        <f>IFERROR(VLOOKUP($MV54,$AV$2:$BA$83,6,FALSE),0)+IFERROR(VLOOKUP($MW54,$AV$2:$BA$83,6,FALSE),0)+IFERROR(VLOOKUP($MX54,$AV$2:$BA$83,6,FALSE),0)+IFERROR(VLOOKUP($MY54,$AV$2:$BA$83,6,FALSE),0)</f>
        <v/>
      </c>
      <c r="OC54" s="155">
        <f>TEXTJOIN(", ",TRUE,IF(IFERROR(VLOOKUP($MV54,$AV$2:$BA$83,5,FALSE),0)=1,$MV54,""),IF(IFERROR(VLOOKUP($MW54,$AV$2:$BA$83,5,FALSE),0)=1,$MW54,""),IF(IFERROR(VLOOKUP($MX54,$AV$2:$BA$83,5,FALSE),0)=1,$MX54,""),IF(IFERROR(VLOOKUP($MY54,$AV$2:$BA$83,5,FALSE),0)=1,$MY54,""))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MIN($OW54,$OU54-IF($NQ54=0,0,INDEX($I$2:$N$8,MAX(1,$MQ54),$NQ54)))</f>
        <v/>
      </c>
      <c r="OY54" s="155">
        <f>$OW54-$OX54</f>
        <v/>
      </c>
      <c r="OZ54" s="155">
        <f>IF($MQ54=0,0,INDEX($P$2:$P$8,MAX(1,$MQ54)))</f>
        <v/>
      </c>
      <c r="PA54" s="155">
        <f>$OZ54-$OU54+$OX54</f>
        <v/>
      </c>
      <c r="PB54" s="155">
        <f>IF($MQ54=0,MAX(0,$NE54-IF(AND($OS54&gt;0,COUNTIF($MZ54:$NA54,"?*")=0),1,0)),MAX(0,$PA54))</f>
        <v/>
      </c>
      <c r="PC54" s="155">
        <f>IF($MQ54=0,0,(IF(COUNTIF($MV54:$MY54,"Salto")&gt;0,1,0)+IF(COUNTIF($MV54:$MY54,"Queima")&gt;0,1,0)+IF(COUNTIF($MV54:$MY54,"Estilhaço")&gt;0,1,0))*FLOOR($PB54/2,1))</f>
        <v/>
      </c>
      <c r="PD54" s="155">
        <f>MAX(0,2-SUMPRODUCT($OK54:$OP54,$I$2:$N$2)+MIN(2,$OQ54*1+$OR54*1,SUMPRODUCT($OK54:$OP54,$I$2:$N$2)-IF($NQ54=0,0,INDEX($I$2:$N$2,1,$NQ54))))</f>
        <v/>
      </c>
      <c r="PE54" s="155">
        <f>MAX(0,4-SUMPRODUCT($OK54:$OP54,$I$3:$N$3)+MIN(4,$OQ54*1+$OR54*2,SUMPRODUCT($OK54:$OP54,$I$3:$N$3)-IF($NQ54=0,0,INDEX($I$3:$N$3,1,$NQ54))))</f>
        <v/>
      </c>
      <c r="PF54" s="155">
        <f>MAX(0,6-SUMPRODUCT($OK54:$OP54,$I$4:$N$4)+MIN(6,$OQ54*2+$OR54*3,SUMPRODUCT($OK54:$OP54,$I$4:$N$4)-IF($NQ54=0,0,INDEX($I$4:$N$4,1,$NQ54))))</f>
        <v/>
      </c>
      <c r="PG54" s="155">
        <f>MAX(0,9-SUMPRODUCT($OK54:$OP54,$I$5:$N$5)+MIN(8,$OQ54*2+$OR54*4,SUMPRODUCT($OK54:$OP54,$I$5:$N$5)-IF($NQ54=0,0,INDEX($I$5:$N$5,1,$NQ54))))</f>
        <v/>
      </c>
      <c r="PH54" s="155">
        <f>MAX(0,11-SUMPRODUCT($OK54:$OP54,$I$6:$N$6)+MIN(10,$OQ54*3+$OR54*5,SUMPRODUCT($OK54:$OP54,$I$6:$N$6)-IF($NQ54=0,0,INDEX($I$6:$N$6,1,$NQ54))))</f>
        <v/>
      </c>
      <c r="PI54" s="155">
        <f>MAX(0,13-SUMPRODUCT($OK54:$OP54,$I$7:$N$7)+MIN(12,$OQ54*3+$OR54*6,SUMPRODUCT($OK54:$OP54,$I$7:$N$7)-IF($NQ54=0,0,INDEX($I$7:$N$7,1,$NQ54))))</f>
        <v/>
      </c>
      <c r="PJ54" s="155">
        <f>MAX(0,16-SUMPRODUCT($OK54:$OP54,$I$8:$N$8)+MIN(14,$OQ54*4+$OR54*7,SUMPRODUCT($OK54:$OP54,$I$8:$N$8)-IF($NQ54=0,0,INDEX($I$8:$N$8,1,$NQ54))))</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Melhoria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Estilhaço</t>
        </is>
      </c>
      <c r="AW55" s="153" t="inlineStr">
        <is>
          <t>Castigo</t>
        </is>
      </c>
      <c r="AX55" s="155" t="n">
        <v>1</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IFERROR(VLOOKUP($MV55,$AV$2:$BA$83,2,FALSE),"")</f>
        <v/>
      </c>
      <c r="NJ55" s="155">
        <f>IFERROR(VLOOKUP($MW55,$AV$2:$BA$83,2,FALSE),"")</f>
        <v/>
      </c>
      <c r="NK55" s="155">
        <f>IFERROR(VLOOKUP($MX55,$AV$2:$BA$83,2,FALSE),"")</f>
        <v/>
      </c>
      <c r="NL55" s="155">
        <f>IFERROR(VLOOKUP($MY55,$AV$2:$BA$83,2,FALSE),"")</f>
        <v/>
      </c>
      <c r="NM55" s="155">
        <f>IFERROR(VLOOKUP($MV55,$AV$2:$BA$83,3,FALSE),0)</f>
        <v/>
      </c>
      <c r="NN55" s="155">
        <f>IFERROR(VLOOKUP($MW55,$AV$2:$BA$83,3,FALSE),0)</f>
        <v/>
      </c>
      <c r="NO55" s="155">
        <f>IFERROR(VLOOKUP($MX55,$AV$2:$BA$83,3,FALSE),0)</f>
        <v/>
      </c>
      <c r="NP55" s="155">
        <f>IFERROR(VLOOKUP($MY55,$AV$2:$BA$83,3,FALSE),0)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IFERROR(VLOOKUP($MV55,$AV$2:$BA$83,4,FALSE),0)+IFERROR(VLOOKUP($MW55,$AV$2:$BA$83,4,FALSE),0)+IFERROR(VLOOKUP($MX55,$AV$2:$BA$83,4,FALSE),0)+IFERROR(VLOOKUP($MY55,$AV$2:$BA$83,4,FALSE),0)</f>
        <v/>
      </c>
      <c r="OB55" s="155">
        <f>IFERROR(VLOOKUP($MV55,$AV$2:$BA$83,6,FALSE),0)+IFERROR(VLOOKUP($MW55,$AV$2:$BA$83,6,FALSE),0)+IFERROR(VLOOKUP($MX55,$AV$2:$BA$83,6,FALSE),0)+IFERROR(VLOOKUP($MY55,$AV$2:$BA$83,6,FALSE),0)</f>
        <v/>
      </c>
      <c r="OC55" s="155">
        <f>TEXTJOIN(", ",TRUE,IF(IFERROR(VLOOKUP($MV55,$AV$2:$BA$83,5,FALSE),0)=1,$MV55,""),IF(IFERROR(VLOOKUP($MW55,$AV$2:$BA$83,5,FALSE),0)=1,$MW55,""),IF(IFERROR(VLOOKUP($MX55,$AV$2:$BA$83,5,FALSE),0)=1,$MX55,""),IF(IFERROR(VLOOKUP($MY55,$AV$2:$BA$83,5,FALSE),0)=1,$MY55,""))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MIN($OW55,$OU55-IF($NQ55=0,0,INDEX($I$2:$N$8,MAX(1,$MQ55),$NQ55)))</f>
        <v/>
      </c>
      <c r="OY55" s="155">
        <f>$OW55-$OX55</f>
        <v/>
      </c>
      <c r="OZ55" s="155">
        <f>IF($MQ55=0,0,INDEX($P$2:$P$8,MAX(1,$MQ55)))</f>
        <v/>
      </c>
      <c r="PA55" s="155">
        <f>$OZ55-$OU55+$OX55</f>
        <v/>
      </c>
      <c r="PB55" s="155">
        <f>IF($MQ55=0,MAX(0,$NE55-IF(AND($OS55&gt;0,COUNTIF($MZ55:$NA55,"?*")=0),1,0)),MAX(0,$PA55))</f>
        <v/>
      </c>
      <c r="PC55" s="155">
        <f>IF($MQ55=0,0,(IF(COUNTIF($MV55:$MY55,"Salto")&gt;0,1,0)+IF(COUNTIF($MV55:$MY55,"Queima")&gt;0,1,0)+IF(COUNTIF($MV55:$MY55,"Estilhaço")&gt;0,1,0))*FLOOR($PB55/2,1))</f>
        <v/>
      </c>
      <c r="PD55" s="155">
        <f>MAX(0,2-SUMPRODUCT($OK55:$OP55,$I$2:$N$2)+MIN(2,$OQ55*1+$OR55*1,SUMPRODUCT($OK55:$OP55,$I$2:$N$2)-IF($NQ55=0,0,INDEX($I$2:$N$2,1,$NQ55))))</f>
        <v/>
      </c>
      <c r="PE55" s="155">
        <f>MAX(0,4-SUMPRODUCT($OK55:$OP55,$I$3:$N$3)+MIN(4,$OQ55*1+$OR55*2,SUMPRODUCT($OK55:$OP55,$I$3:$N$3)-IF($NQ55=0,0,INDEX($I$3:$N$3,1,$NQ55))))</f>
        <v/>
      </c>
      <c r="PF55" s="155">
        <f>MAX(0,6-SUMPRODUCT($OK55:$OP55,$I$4:$N$4)+MIN(6,$OQ55*2+$OR55*3,SUMPRODUCT($OK55:$OP55,$I$4:$N$4)-IF($NQ55=0,0,INDEX($I$4:$N$4,1,$NQ55))))</f>
        <v/>
      </c>
      <c r="PG55" s="155">
        <f>MAX(0,9-SUMPRODUCT($OK55:$OP55,$I$5:$N$5)+MIN(8,$OQ55*2+$OR55*4,SUMPRODUCT($OK55:$OP55,$I$5:$N$5)-IF($NQ55=0,0,INDEX($I$5:$N$5,1,$NQ55))))</f>
        <v/>
      </c>
      <c r="PH55" s="155">
        <f>MAX(0,11-SUMPRODUCT($OK55:$OP55,$I$6:$N$6)+MIN(10,$OQ55*3+$OR55*5,SUMPRODUCT($OK55:$OP55,$I$6:$N$6)-IF($NQ55=0,0,INDEX($I$6:$N$6,1,$NQ55))))</f>
        <v/>
      </c>
      <c r="PI55" s="155">
        <f>MAX(0,13-SUMPRODUCT($OK55:$OP55,$I$7:$N$7)+MIN(12,$OQ55*3+$OR55*6,SUMPRODUCT($OK55:$OP55,$I$7:$N$7)-IF($NQ55=0,0,INDEX($I$7:$N$7,1,$NQ55))))</f>
        <v/>
      </c>
      <c r="PJ55" s="155">
        <f>MAX(0,16-SUMPRODUCT($OK55:$OP55,$I$8:$N$8)+MIN(14,$OQ55*4+$OR55*7,SUMPRODUCT($OK55:$OP55,$I$8:$N$8)-IF($NQ55=0,0,INDEX($I$8:$N$8,1,$NQ55))))</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Melhoria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Quebra Coisa</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IFERROR(VLOOKUP($MV56,$AV$2:$BA$83,2,FALSE),"")</f>
        <v/>
      </c>
      <c r="NJ56" s="155">
        <f>IFERROR(VLOOKUP($MW56,$AV$2:$BA$83,2,FALSE),"")</f>
        <v/>
      </c>
      <c r="NK56" s="155">
        <f>IFERROR(VLOOKUP($MX56,$AV$2:$BA$83,2,FALSE),"")</f>
        <v/>
      </c>
      <c r="NL56" s="155">
        <f>IFERROR(VLOOKUP($MY56,$AV$2:$BA$83,2,FALSE),"")</f>
        <v/>
      </c>
      <c r="NM56" s="155">
        <f>IFERROR(VLOOKUP($MV56,$AV$2:$BA$83,3,FALSE),0)</f>
        <v/>
      </c>
      <c r="NN56" s="155">
        <f>IFERROR(VLOOKUP($MW56,$AV$2:$BA$83,3,FALSE),0)</f>
        <v/>
      </c>
      <c r="NO56" s="155">
        <f>IFERROR(VLOOKUP($MX56,$AV$2:$BA$83,3,FALSE),0)</f>
        <v/>
      </c>
      <c r="NP56" s="155">
        <f>IFERROR(VLOOKUP($MY56,$AV$2:$BA$83,3,FALSE),0)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IFERROR(VLOOKUP($MV56,$AV$2:$BA$83,4,FALSE),0)+IFERROR(VLOOKUP($MW56,$AV$2:$BA$83,4,FALSE),0)+IFERROR(VLOOKUP($MX56,$AV$2:$BA$83,4,FALSE),0)+IFERROR(VLOOKUP($MY56,$AV$2:$BA$83,4,FALSE),0)</f>
        <v/>
      </c>
      <c r="OB56" s="155">
        <f>IFERROR(VLOOKUP($MV56,$AV$2:$BA$83,6,FALSE),0)+IFERROR(VLOOKUP($MW56,$AV$2:$BA$83,6,FALSE),0)+IFERROR(VLOOKUP($MX56,$AV$2:$BA$83,6,FALSE),0)+IFERROR(VLOOKUP($MY56,$AV$2:$BA$83,6,FALSE),0)</f>
        <v/>
      </c>
      <c r="OC56" s="155">
        <f>TEXTJOIN(", ",TRUE,IF(IFERROR(VLOOKUP($MV56,$AV$2:$BA$83,5,FALSE),0)=1,$MV56,""),IF(IFERROR(VLOOKUP($MW56,$AV$2:$BA$83,5,FALSE),0)=1,$MW56,""),IF(IFERROR(VLOOKUP($MX56,$AV$2:$BA$83,5,FALSE),0)=1,$MX56,""),IF(IFERROR(VLOOKUP($MY56,$AV$2:$BA$83,5,FALSE),0)=1,$MY56,""))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MIN($OW56,$OU56-IF($NQ56=0,0,INDEX($I$2:$N$8,MAX(1,$MQ56),$NQ56)))</f>
        <v/>
      </c>
      <c r="OY56" s="155">
        <f>$OW56-$OX56</f>
        <v/>
      </c>
      <c r="OZ56" s="155">
        <f>IF($MQ56=0,0,INDEX($P$2:$P$8,MAX(1,$MQ56)))</f>
        <v/>
      </c>
      <c r="PA56" s="155">
        <f>$OZ56-$OU56+$OX56</f>
        <v/>
      </c>
      <c r="PB56" s="155">
        <f>IF($MQ56=0,MAX(0,$NE56-IF(AND($OS56&gt;0,COUNTIF($MZ56:$NA56,"?*")=0),1,0)),MAX(0,$PA56))</f>
        <v/>
      </c>
      <c r="PC56" s="155">
        <f>IF($MQ56=0,0,(IF(COUNTIF($MV56:$MY56,"Salto")&gt;0,1,0)+IF(COUNTIF($MV56:$MY56,"Queima")&gt;0,1,0)+IF(COUNTIF($MV56:$MY56,"Estilhaço")&gt;0,1,0))*FLOOR($PB56/2,1))</f>
        <v/>
      </c>
      <c r="PD56" s="155">
        <f>MAX(0,2-SUMPRODUCT($OK56:$OP56,$I$2:$N$2)+MIN(2,$OQ56*1+$OR56*1,SUMPRODUCT($OK56:$OP56,$I$2:$N$2)-IF($NQ56=0,0,INDEX($I$2:$N$2,1,$NQ56))))</f>
        <v/>
      </c>
      <c r="PE56" s="155">
        <f>MAX(0,4-SUMPRODUCT($OK56:$OP56,$I$3:$N$3)+MIN(4,$OQ56*1+$OR56*2,SUMPRODUCT($OK56:$OP56,$I$3:$N$3)-IF($NQ56=0,0,INDEX($I$3:$N$3,1,$NQ56))))</f>
        <v/>
      </c>
      <c r="PF56" s="155">
        <f>MAX(0,6-SUMPRODUCT($OK56:$OP56,$I$4:$N$4)+MIN(6,$OQ56*2+$OR56*3,SUMPRODUCT($OK56:$OP56,$I$4:$N$4)-IF($NQ56=0,0,INDEX($I$4:$N$4,1,$NQ56))))</f>
        <v/>
      </c>
      <c r="PG56" s="155">
        <f>MAX(0,9-SUMPRODUCT($OK56:$OP56,$I$5:$N$5)+MIN(8,$OQ56*2+$OR56*4,SUMPRODUCT($OK56:$OP56,$I$5:$N$5)-IF($NQ56=0,0,INDEX($I$5:$N$5,1,$NQ56))))</f>
        <v/>
      </c>
      <c r="PH56" s="155">
        <f>MAX(0,11-SUMPRODUCT($OK56:$OP56,$I$6:$N$6)+MIN(10,$OQ56*3+$OR56*5,SUMPRODUCT($OK56:$OP56,$I$6:$N$6)-IF($NQ56=0,0,INDEX($I$6:$N$6,1,$NQ56))))</f>
        <v/>
      </c>
      <c r="PI56" s="155">
        <f>MAX(0,13-SUMPRODUCT($OK56:$OP56,$I$7:$N$7)+MIN(12,$OQ56*3+$OR56*6,SUMPRODUCT($OK56:$OP56,$I$7:$N$7)-IF($NQ56=0,0,INDEX($I$7:$N$7,1,$NQ56))))</f>
        <v/>
      </c>
      <c r="PJ56" s="155">
        <f>MAX(0,16-SUMPRODUCT($OK56:$OP56,$I$8:$N$8)+MIN(14,$OQ56*4+$OR56*7,SUMPRODUCT($OK56:$OP56,$I$8:$N$8)-IF($NQ56=0,0,INDEX($I$8:$N$8,1,$NQ56))))</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Melhoria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Rasga Escudo</t>
        </is>
      </c>
      <c r="AW57" s="153" t="inlineStr">
        <is>
          <t>Castigo</t>
        </is>
      </c>
      <c r="AX57" s="155" t="n">
        <v>2</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IFERROR(VLOOKUP($MV57,$AV$2:$BA$83,2,FALSE),"")</f>
        <v/>
      </c>
      <c r="NJ57" s="155">
        <f>IFERROR(VLOOKUP($MW57,$AV$2:$BA$83,2,FALSE),"")</f>
        <v/>
      </c>
      <c r="NK57" s="155">
        <f>IFERROR(VLOOKUP($MX57,$AV$2:$BA$83,2,FALSE),"")</f>
        <v/>
      </c>
      <c r="NL57" s="155">
        <f>IFERROR(VLOOKUP($MY57,$AV$2:$BA$83,2,FALSE),"")</f>
        <v/>
      </c>
      <c r="NM57" s="155">
        <f>IFERROR(VLOOKUP($MV57,$AV$2:$BA$83,3,FALSE),0)</f>
        <v/>
      </c>
      <c r="NN57" s="155">
        <f>IFERROR(VLOOKUP($MW57,$AV$2:$BA$83,3,FALSE),0)</f>
        <v/>
      </c>
      <c r="NO57" s="155">
        <f>IFERROR(VLOOKUP($MX57,$AV$2:$BA$83,3,FALSE),0)</f>
        <v/>
      </c>
      <c r="NP57" s="155">
        <f>IFERROR(VLOOKUP($MY57,$AV$2:$BA$83,3,FALSE),0)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IFERROR(VLOOKUP($MV57,$AV$2:$BA$83,4,FALSE),0)+IFERROR(VLOOKUP($MW57,$AV$2:$BA$83,4,FALSE),0)+IFERROR(VLOOKUP($MX57,$AV$2:$BA$83,4,FALSE),0)+IFERROR(VLOOKUP($MY57,$AV$2:$BA$83,4,FALSE),0)</f>
        <v/>
      </c>
      <c r="OB57" s="155">
        <f>IFERROR(VLOOKUP($MV57,$AV$2:$BA$83,6,FALSE),0)+IFERROR(VLOOKUP($MW57,$AV$2:$BA$83,6,FALSE),0)+IFERROR(VLOOKUP($MX57,$AV$2:$BA$83,6,FALSE),0)+IFERROR(VLOOKUP($MY57,$AV$2:$BA$83,6,FALSE),0)</f>
        <v/>
      </c>
      <c r="OC57" s="155">
        <f>TEXTJOIN(", ",TRUE,IF(IFERROR(VLOOKUP($MV57,$AV$2:$BA$83,5,FALSE),0)=1,$MV57,""),IF(IFERROR(VLOOKUP($MW57,$AV$2:$BA$83,5,FALSE),0)=1,$MW57,""),IF(IFERROR(VLOOKUP($MX57,$AV$2:$BA$83,5,FALSE),0)=1,$MX57,""),IF(IFERROR(VLOOKUP($MY57,$AV$2:$BA$83,5,FALSE),0)=1,$MY57,""))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MIN($OW57,$OU57-IF($NQ57=0,0,INDEX($I$2:$N$8,MAX(1,$MQ57),$NQ57)))</f>
        <v/>
      </c>
      <c r="OY57" s="155">
        <f>$OW57-$OX57</f>
        <v/>
      </c>
      <c r="OZ57" s="155">
        <f>IF($MQ57=0,0,INDEX($P$2:$P$8,MAX(1,$MQ57)))</f>
        <v/>
      </c>
      <c r="PA57" s="155">
        <f>$OZ57-$OU57+$OX57</f>
        <v/>
      </c>
      <c r="PB57" s="155">
        <f>IF($MQ57=0,MAX(0,$NE57-IF(AND($OS57&gt;0,COUNTIF($MZ57:$NA57,"?*")=0),1,0)),MAX(0,$PA57))</f>
        <v/>
      </c>
      <c r="PC57" s="155">
        <f>IF($MQ57=0,0,(IF(COUNTIF($MV57:$MY57,"Salto")&gt;0,1,0)+IF(COUNTIF($MV57:$MY57,"Queima")&gt;0,1,0)+IF(COUNTIF($MV57:$MY57,"Estilhaço")&gt;0,1,0))*FLOOR($PB57/2,1))</f>
        <v/>
      </c>
      <c r="PD57" s="155">
        <f>MAX(0,2-SUMPRODUCT($OK57:$OP57,$I$2:$N$2)+MIN(2,$OQ57*1+$OR57*1,SUMPRODUCT($OK57:$OP57,$I$2:$N$2)-IF($NQ57=0,0,INDEX($I$2:$N$2,1,$NQ57))))</f>
        <v/>
      </c>
      <c r="PE57" s="155">
        <f>MAX(0,4-SUMPRODUCT($OK57:$OP57,$I$3:$N$3)+MIN(4,$OQ57*1+$OR57*2,SUMPRODUCT($OK57:$OP57,$I$3:$N$3)-IF($NQ57=0,0,INDEX($I$3:$N$3,1,$NQ57))))</f>
        <v/>
      </c>
      <c r="PF57" s="155">
        <f>MAX(0,6-SUMPRODUCT($OK57:$OP57,$I$4:$N$4)+MIN(6,$OQ57*2+$OR57*3,SUMPRODUCT($OK57:$OP57,$I$4:$N$4)-IF($NQ57=0,0,INDEX($I$4:$N$4,1,$NQ57))))</f>
        <v/>
      </c>
      <c r="PG57" s="155">
        <f>MAX(0,9-SUMPRODUCT($OK57:$OP57,$I$5:$N$5)+MIN(8,$OQ57*2+$OR57*4,SUMPRODUCT($OK57:$OP57,$I$5:$N$5)-IF($NQ57=0,0,INDEX($I$5:$N$5,1,$NQ57))))</f>
        <v/>
      </c>
      <c r="PH57" s="155">
        <f>MAX(0,11-SUMPRODUCT($OK57:$OP57,$I$6:$N$6)+MIN(10,$OQ57*3+$OR57*5,SUMPRODUCT($OK57:$OP57,$I$6:$N$6)-IF($NQ57=0,0,INDEX($I$6:$N$6,1,$NQ57))))</f>
        <v/>
      </c>
      <c r="PI57" s="155">
        <f>MAX(0,13-SUMPRODUCT($OK57:$OP57,$I$7:$N$7)+MIN(12,$OQ57*3+$OR57*6,SUMPRODUCT($OK57:$OP57,$I$7:$N$7)-IF($NQ57=0,0,INDEX($I$7:$N$7,1,$NQ57))))</f>
        <v/>
      </c>
      <c r="PJ57" s="155">
        <f>MAX(0,16-SUMPRODUCT($OK57:$OP57,$I$8:$N$8)+MIN(14,$OQ57*4+$OR57*7,SUMPRODUCT($OK57:$OP57,$I$8:$N$8)-IF($NQ57=0,0,INDEX($I$8:$N$8,1,$NQ57))))</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Melhoria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Sem Cura</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IFERROR(VLOOKUP($MV58,$AV$2:$BA$83,2,FALSE),"")</f>
        <v/>
      </c>
      <c r="NJ58" s="155">
        <f>IFERROR(VLOOKUP($MW58,$AV$2:$BA$83,2,FALSE),"")</f>
        <v/>
      </c>
      <c r="NK58" s="155">
        <f>IFERROR(VLOOKUP($MX58,$AV$2:$BA$83,2,FALSE),"")</f>
        <v/>
      </c>
      <c r="NL58" s="155">
        <f>IFERROR(VLOOKUP($MY58,$AV$2:$BA$83,2,FALSE),"")</f>
        <v/>
      </c>
      <c r="NM58" s="155">
        <f>IFERROR(VLOOKUP($MV58,$AV$2:$BA$83,3,FALSE),0)</f>
        <v/>
      </c>
      <c r="NN58" s="155">
        <f>IFERROR(VLOOKUP($MW58,$AV$2:$BA$83,3,FALSE),0)</f>
        <v/>
      </c>
      <c r="NO58" s="155">
        <f>IFERROR(VLOOKUP($MX58,$AV$2:$BA$83,3,FALSE),0)</f>
        <v/>
      </c>
      <c r="NP58" s="155">
        <f>IFERROR(VLOOKUP($MY58,$AV$2:$BA$83,3,FALSE),0)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IFERROR(VLOOKUP($MV58,$AV$2:$BA$83,4,FALSE),0)+IFERROR(VLOOKUP($MW58,$AV$2:$BA$83,4,FALSE),0)+IFERROR(VLOOKUP($MX58,$AV$2:$BA$83,4,FALSE),0)+IFERROR(VLOOKUP($MY58,$AV$2:$BA$83,4,FALSE),0)</f>
        <v/>
      </c>
      <c r="OB58" s="155">
        <f>IFERROR(VLOOKUP($MV58,$AV$2:$BA$83,6,FALSE),0)+IFERROR(VLOOKUP($MW58,$AV$2:$BA$83,6,FALSE),0)+IFERROR(VLOOKUP($MX58,$AV$2:$BA$83,6,FALSE),0)+IFERROR(VLOOKUP($MY58,$AV$2:$BA$83,6,FALSE),0)</f>
        <v/>
      </c>
      <c r="OC58" s="155">
        <f>TEXTJOIN(", ",TRUE,IF(IFERROR(VLOOKUP($MV58,$AV$2:$BA$83,5,FALSE),0)=1,$MV58,""),IF(IFERROR(VLOOKUP($MW58,$AV$2:$BA$83,5,FALSE),0)=1,$MW58,""),IF(IFERROR(VLOOKUP($MX58,$AV$2:$BA$83,5,FALSE),0)=1,$MX58,""),IF(IFERROR(VLOOKUP($MY58,$AV$2:$BA$83,5,FALSE),0)=1,$MY58,""))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MIN($OW58,$OU58-IF($NQ58=0,0,INDEX($I$2:$N$8,MAX(1,$MQ58),$NQ58)))</f>
        <v/>
      </c>
      <c r="OY58" s="155">
        <f>$OW58-$OX58</f>
        <v/>
      </c>
      <c r="OZ58" s="155">
        <f>IF($MQ58=0,0,INDEX($P$2:$P$8,MAX(1,$MQ58)))</f>
        <v/>
      </c>
      <c r="PA58" s="155">
        <f>$OZ58-$OU58+$OX58</f>
        <v/>
      </c>
      <c r="PB58" s="155">
        <f>IF($MQ58=0,MAX(0,$NE58-IF(AND($OS58&gt;0,COUNTIF($MZ58:$NA58,"?*")=0),1,0)),MAX(0,$PA58))</f>
        <v/>
      </c>
      <c r="PC58" s="155">
        <f>IF($MQ58=0,0,(IF(COUNTIF($MV58:$MY58,"Salto")&gt;0,1,0)+IF(COUNTIF($MV58:$MY58,"Queima")&gt;0,1,0)+IF(COUNTIF($MV58:$MY58,"Estilhaço")&gt;0,1,0))*FLOOR($PB58/2,1))</f>
        <v/>
      </c>
      <c r="PD58" s="155">
        <f>MAX(0,2-SUMPRODUCT($OK58:$OP58,$I$2:$N$2)+MIN(2,$OQ58*1+$OR58*1,SUMPRODUCT($OK58:$OP58,$I$2:$N$2)-IF($NQ58=0,0,INDEX($I$2:$N$2,1,$NQ58))))</f>
        <v/>
      </c>
      <c r="PE58" s="155">
        <f>MAX(0,4-SUMPRODUCT($OK58:$OP58,$I$3:$N$3)+MIN(4,$OQ58*1+$OR58*2,SUMPRODUCT($OK58:$OP58,$I$3:$N$3)-IF($NQ58=0,0,INDEX($I$3:$N$3,1,$NQ58))))</f>
        <v/>
      </c>
      <c r="PF58" s="155">
        <f>MAX(0,6-SUMPRODUCT($OK58:$OP58,$I$4:$N$4)+MIN(6,$OQ58*2+$OR58*3,SUMPRODUCT($OK58:$OP58,$I$4:$N$4)-IF($NQ58=0,0,INDEX($I$4:$N$4,1,$NQ58))))</f>
        <v/>
      </c>
      <c r="PG58" s="155">
        <f>MAX(0,9-SUMPRODUCT($OK58:$OP58,$I$5:$N$5)+MIN(8,$OQ58*2+$OR58*4,SUMPRODUCT($OK58:$OP58,$I$5:$N$5)-IF($NQ58=0,0,INDEX($I$5:$N$5,1,$NQ58))))</f>
        <v/>
      </c>
      <c r="PH58" s="155">
        <f>MAX(0,11-SUMPRODUCT($OK58:$OP58,$I$6:$N$6)+MIN(10,$OQ58*3+$OR58*5,SUMPRODUCT($OK58:$OP58,$I$6:$N$6)-IF($NQ58=0,0,INDEX($I$6:$N$6,1,$NQ58))))</f>
        <v/>
      </c>
      <c r="PI58" s="155">
        <f>MAX(0,13-SUMPRODUCT($OK58:$OP58,$I$7:$N$7)+MIN(12,$OQ58*3+$OR58*6,SUMPRODUCT($OK58:$OP58,$I$7:$N$7)-IF($NQ58=0,0,INDEX($I$7:$N$7,1,$NQ58))))</f>
        <v/>
      </c>
      <c r="PJ58" s="155">
        <f>MAX(0,16-SUMPRODUCT($OK58:$OP58,$I$8:$N$8)+MIN(14,$OQ58*4+$OR58*7,SUMPRODUCT($OK58:$OP58,$I$8:$N$8)-IF($NQ58=0,0,INDEX($I$8:$N$8,1,$NQ58))))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Melhoria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Rápido</t>
        </is>
      </c>
      <c r="AW59" s="153" t="inlineStr">
        <is>
          <t>Tempo</t>
        </is>
      </c>
      <c r="AX59" s="155" t="n">
        <v>3</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IFERROR(VLOOKUP($MV59,$AV$2:$BA$83,2,FALSE),"")</f>
        <v/>
      </c>
      <c r="NJ59" s="155">
        <f>IFERROR(VLOOKUP($MW59,$AV$2:$BA$83,2,FALSE),"")</f>
        <v/>
      </c>
      <c r="NK59" s="155">
        <f>IFERROR(VLOOKUP($MX59,$AV$2:$BA$83,2,FALSE),"")</f>
        <v/>
      </c>
      <c r="NL59" s="155">
        <f>IFERROR(VLOOKUP($MY59,$AV$2:$BA$83,2,FALSE),"")</f>
        <v/>
      </c>
      <c r="NM59" s="155">
        <f>IFERROR(VLOOKUP($MV59,$AV$2:$BA$83,3,FALSE),0)</f>
        <v/>
      </c>
      <c r="NN59" s="155">
        <f>IFERROR(VLOOKUP($MW59,$AV$2:$BA$83,3,FALSE),0)</f>
        <v/>
      </c>
      <c r="NO59" s="155">
        <f>IFERROR(VLOOKUP($MX59,$AV$2:$BA$83,3,FALSE),0)</f>
        <v/>
      </c>
      <c r="NP59" s="155">
        <f>IFERROR(VLOOKUP($MY59,$AV$2:$BA$83,3,FALSE),0)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IFERROR(VLOOKUP($MV59,$AV$2:$BA$83,4,FALSE),0)+IFERROR(VLOOKUP($MW59,$AV$2:$BA$83,4,FALSE),0)+IFERROR(VLOOKUP($MX59,$AV$2:$BA$83,4,FALSE),0)+IFERROR(VLOOKUP($MY59,$AV$2:$BA$83,4,FALSE),0)</f>
        <v/>
      </c>
      <c r="OB59" s="155">
        <f>IFERROR(VLOOKUP($MV59,$AV$2:$BA$83,6,FALSE),0)+IFERROR(VLOOKUP($MW59,$AV$2:$BA$83,6,FALSE),0)+IFERROR(VLOOKUP($MX59,$AV$2:$BA$83,6,FALSE),0)+IFERROR(VLOOKUP($MY59,$AV$2:$BA$83,6,FALSE),0)</f>
        <v/>
      </c>
      <c r="OC59" s="155">
        <f>TEXTJOIN(", ",TRUE,IF(IFERROR(VLOOKUP($MV59,$AV$2:$BA$83,5,FALSE),0)=1,$MV59,""),IF(IFERROR(VLOOKUP($MW59,$AV$2:$BA$83,5,FALSE),0)=1,$MW59,""),IF(IFERROR(VLOOKUP($MX59,$AV$2:$BA$83,5,FALSE),0)=1,$MX59,""),IF(IFERROR(VLOOKUP($MY59,$AV$2:$BA$83,5,FALSE),0)=1,$MY59,""))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MIN($OW59,$OU59-IF($NQ59=0,0,INDEX($I$2:$N$8,MAX(1,$MQ59),$NQ59)))</f>
        <v/>
      </c>
      <c r="OY59" s="155">
        <f>$OW59-$OX59</f>
        <v/>
      </c>
      <c r="OZ59" s="155">
        <f>IF($MQ59=0,0,INDEX($P$2:$P$8,MAX(1,$MQ59)))</f>
        <v/>
      </c>
      <c r="PA59" s="155">
        <f>$OZ59-$OU59+$OX59</f>
        <v/>
      </c>
      <c r="PB59" s="155">
        <f>IF($MQ59=0,MAX(0,$NE59-IF(AND($OS59&gt;0,COUNTIF($MZ59:$NA59,"?*")=0),1,0)),MAX(0,$PA59))</f>
        <v/>
      </c>
      <c r="PC59" s="155">
        <f>IF($MQ59=0,0,(IF(COUNTIF($MV59:$MY59,"Salto")&gt;0,1,0)+IF(COUNTIF($MV59:$MY59,"Queima")&gt;0,1,0)+IF(COUNTIF($MV59:$MY59,"Estilhaço")&gt;0,1,0))*FLOOR($PB59/2,1))</f>
        <v/>
      </c>
      <c r="PD59" s="155">
        <f>MAX(0,2-SUMPRODUCT($OK59:$OP59,$I$2:$N$2)+MIN(2,$OQ59*1+$OR59*1,SUMPRODUCT($OK59:$OP59,$I$2:$N$2)-IF($NQ59=0,0,INDEX($I$2:$N$2,1,$NQ59))))</f>
        <v/>
      </c>
      <c r="PE59" s="155">
        <f>MAX(0,4-SUMPRODUCT($OK59:$OP59,$I$3:$N$3)+MIN(4,$OQ59*1+$OR59*2,SUMPRODUCT($OK59:$OP59,$I$3:$N$3)-IF($NQ59=0,0,INDEX($I$3:$N$3,1,$NQ59))))</f>
        <v/>
      </c>
      <c r="PF59" s="155">
        <f>MAX(0,6-SUMPRODUCT($OK59:$OP59,$I$4:$N$4)+MIN(6,$OQ59*2+$OR59*3,SUMPRODUCT($OK59:$OP59,$I$4:$N$4)-IF($NQ59=0,0,INDEX($I$4:$N$4,1,$NQ59))))</f>
        <v/>
      </c>
      <c r="PG59" s="155">
        <f>MAX(0,9-SUMPRODUCT($OK59:$OP59,$I$5:$N$5)+MIN(8,$OQ59*2+$OR59*4,SUMPRODUCT($OK59:$OP59,$I$5:$N$5)-IF($NQ59=0,0,INDEX($I$5:$N$5,1,$NQ59))))</f>
        <v/>
      </c>
      <c r="PH59" s="155">
        <f>MAX(0,11-SUMPRODUCT($OK59:$OP59,$I$6:$N$6)+MIN(10,$OQ59*3+$OR59*5,SUMPRODUCT($OK59:$OP59,$I$6:$N$6)-IF($NQ59=0,0,INDEX($I$6:$N$6,1,$NQ59))))</f>
        <v/>
      </c>
      <c r="PI59" s="155">
        <f>MAX(0,13-SUMPRODUCT($OK59:$OP59,$I$7:$N$7)+MIN(12,$OQ59*3+$OR59*6,SUMPRODUCT($OK59:$OP59,$I$7:$N$7)-IF($NQ59=0,0,INDEX($I$7:$N$7,1,$NQ59))))</f>
        <v/>
      </c>
      <c r="PJ59" s="155">
        <f>MAX(0,16-SUMPRODUCT($OK59:$OP59,$I$8:$N$8)+MIN(14,$OQ59*4+$OR59*7,SUMPRODUCT($OK59:$OP59,$I$8:$N$8)-IF($NQ59=0,0,INDEX($I$8:$N$8,1,$NQ59))))</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Melhoria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Reação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IFERROR(VLOOKUP($MV60,$AV$2:$BA$83,2,FALSE),"")</f>
        <v/>
      </c>
      <c r="NJ60" s="155">
        <f>IFERROR(VLOOKUP($MW60,$AV$2:$BA$83,2,FALSE),"")</f>
        <v/>
      </c>
      <c r="NK60" s="155">
        <f>IFERROR(VLOOKUP($MX60,$AV$2:$BA$83,2,FALSE),"")</f>
        <v/>
      </c>
      <c r="NL60" s="155">
        <f>IFERROR(VLOOKUP($MY60,$AV$2:$BA$83,2,FALSE),"")</f>
        <v/>
      </c>
      <c r="NM60" s="155">
        <f>IFERROR(VLOOKUP($MV60,$AV$2:$BA$83,3,FALSE),0)</f>
        <v/>
      </c>
      <c r="NN60" s="155">
        <f>IFERROR(VLOOKUP($MW60,$AV$2:$BA$83,3,FALSE),0)</f>
        <v/>
      </c>
      <c r="NO60" s="155">
        <f>IFERROR(VLOOKUP($MX60,$AV$2:$BA$83,3,FALSE),0)</f>
        <v/>
      </c>
      <c r="NP60" s="155">
        <f>IFERROR(VLOOKUP($MY60,$AV$2:$BA$83,3,FALSE),0)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IFERROR(VLOOKUP($MV60,$AV$2:$BA$83,4,FALSE),0)+IFERROR(VLOOKUP($MW60,$AV$2:$BA$83,4,FALSE),0)+IFERROR(VLOOKUP($MX60,$AV$2:$BA$83,4,FALSE),0)+IFERROR(VLOOKUP($MY60,$AV$2:$BA$83,4,FALSE),0)</f>
        <v/>
      </c>
      <c r="OB60" s="155">
        <f>IFERROR(VLOOKUP($MV60,$AV$2:$BA$83,6,FALSE),0)+IFERROR(VLOOKUP($MW60,$AV$2:$BA$83,6,FALSE),0)+IFERROR(VLOOKUP($MX60,$AV$2:$BA$83,6,FALSE),0)+IFERROR(VLOOKUP($MY60,$AV$2:$BA$83,6,FALSE),0)</f>
        <v/>
      </c>
      <c r="OC60" s="155">
        <f>TEXTJOIN(", ",TRUE,IF(IFERROR(VLOOKUP($MV60,$AV$2:$BA$83,5,FALSE),0)=1,$MV60,""),IF(IFERROR(VLOOKUP($MW60,$AV$2:$BA$83,5,FALSE),0)=1,$MW60,""),IF(IFERROR(VLOOKUP($MX60,$AV$2:$BA$83,5,FALSE),0)=1,$MX60,""),IF(IFERROR(VLOOKUP($MY60,$AV$2:$BA$83,5,FALSE),0)=1,$MY60,""))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MIN($OW60,$OU60-IF($NQ60=0,0,INDEX($I$2:$N$8,MAX(1,$MQ60),$NQ60)))</f>
        <v/>
      </c>
      <c r="OY60" s="155">
        <f>$OW60-$OX60</f>
        <v/>
      </c>
      <c r="OZ60" s="155">
        <f>IF($MQ60=0,0,INDEX($P$2:$P$8,MAX(1,$MQ60)))</f>
        <v/>
      </c>
      <c r="PA60" s="155">
        <f>$OZ60-$OU60+$OX60</f>
        <v/>
      </c>
      <c r="PB60" s="155">
        <f>IF($MQ60=0,MAX(0,$NE60-IF(AND($OS60&gt;0,COUNTIF($MZ60:$NA60,"?*")=0),1,0)),MAX(0,$PA60))</f>
        <v/>
      </c>
      <c r="PC60" s="155">
        <f>IF($MQ60=0,0,(IF(COUNTIF($MV60:$MY60,"Salto")&gt;0,1,0)+IF(COUNTIF($MV60:$MY60,"Queima")&gt;0,1,0)+IF(COUNTIF($MV60:$MY60,"Estilhaço")&gt;0,1,0))*FLOOR($PB60/2,1))</f>
        <v/>
      </c>
      <c r="PD60" s="155">
        <f>MAX(0,2-SUMPRODUCT($OK60:$OP60,$I$2:$N$2)+MIN(2,$OQ60*1+$OR60*1,SUMPRODUCT($OK60:$OP60,$I$2:$N$2)-IF($NQ60=0,0,INDEX($I$2:$N$2,1,$NQ60))))</f>
        <v/>
      </c>
      <c r="PE60" s="155">
        <f>MAX(0,4-SUMPRODUCT($OK60:$OP60,$I$3:$N$3)+MIN(4,$OQ60*1+$OR60*2,SUMPRODUCT($OK60:$OP60,$I$3:$N$3)-IF($NQ60=0,0,INDEX($I$3:$N$3,1,$NQ60))))</f>
        <v/>
      </c>
      <c r="PF60" s="155">
        <f>MAX(0,6-SUMPRODUCT($OK60:$OP60,$I$4:$N$4)+MIN(6,$OQ60*2+$OR60*3,SUMPRODUCT($OK60:$OP60,$I$4:$N$4)-IF($NQ60=0,0,INDEX($I$4:$N$4,1,$NQ60))))</f>
        <v/>
      </c>
      <c r="PG60" s="155">
        <f>MAX(0,9-SUMPRODUCT($OK60:$OP60,$I$5:$N$5)+MIN(8,$OQ60*2+$OR60*4,SUMPRODUCT($OK60:$OP60,$I$5:$N$5)-IF($NQ60=0,0,INDEX($I$5:$N$5,1,$NQ60))))</f>
        <v/>
      </c>
      <c r="PH60" s="155">
        <f>MAX(0,11-SUMPRODUCT($OK60:$OP60,$I$6:$N$6)+MIN(10,$OQ60*3+$OR60*5,SUMPRODUCT($OK60:$OP60,$I$6:$N$6)-IF($NQ60=0,0,INDEX($I$6:$N$6,1,$NQ60))))</f>
        <v/>
      </c>
      <c r="PI60" s="155">
        <f>MAX(0,13-SUMPRODUCT($OK60:$OP60,$I$7:$N$7)+MIN(12,$OQ60*3+$OR60*6,SUMPRODUCT($OK60:$OP60,$I$7:$N$7)-IF($NQ60=0,0,INDEX($I$7:$N$7,1,$NQ60))))</f>
        <v/>
      </c>
      <c r="PJ60" s="155">
        <f>MAX(0,16-SUMPRODUCT($OK60:$OP60,$I$8:$N$8)+MIN(14,$OQ60*4+$OR60*7,SUMPRODUCT($OK60:$OP60,$I$8:$N$8)-IF($NQ60=0,0,INDEX($I$8:$N$8,1,$NQ60))))</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Melhoria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Armado</t>
        </is>
      </c>
      <c r="AW61" s="153" t="inlineStr">
        <is>
          <t>Tempo</t>
        </is>
      </c>
      <c r="AX61" s="155" t="n">
        <v>1</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IFERROR(VLOOKUP($MV61,$AV$2:$BA$83,2,FALSE),"")</f>
        <v/>
      </c>
      <c r="NJ61" s="155">
        <f>IFERROR(VLOOKUP($MW61,$AV$2:$BA$83,2,FALSE),"")</f>
        <v/>
      </c>
      <c r="NK61" s="155">
        <f>IFERROR(VLOOKUP($MX61,$AV$2:$BA$83,2,FALSE),"")</f>
        <v/>
      </c>
      <c r="NL61" s="155">
        <f>IFERROR(VLOOKUP($MY61,$AV$2:$BA$83,2,FALSE),"")</f>
        <v/>
      </c>
      <c r="NM61" s="155">
        <f>IFERROR(VLOOKUP($MV61,$AV$2:$BA$83,3,FALSE),0)</f>
        <v/>
      </c>
      <c r="NN61" s="155">
        <f>IFERROR(VLOOKUP($MW61,$AV$2:$BA$83,3,FALSE),0)</f>
        <v/>
      </c>
      <c r="NO61" s="155">
        <f>IFERROR(VLOOKUP($MX61,$AV$2:$BA$83,3,FALSE),0)</f>
        <v/>
      </c>
      <c r="NP61" s="155">
        <f>IFERROR(VLOOKUP($MY61,$AV$2:$BA$83,3,FALSE),0)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IFERROR(VLOOKUP($MV61,$AV$2:$BA$83,4,FALSE),0)+IFERROR(VLOOKUP($MW61,$AV$2:$BA$83,4,FALSE),0)+IFERROR(VLOOKUP($MX61,$AV$2:$BA$83,4,FALSE),0)+IFERROR(VLOOKUP($MY61,$AV$2:$BA$83,4,FALSE),0)</f>
        <v/>
      </c>
      <c r="OB61" s="155">
        <f>IFERROR(VLOOKUP($MV61,$AV$2:$BA$83,6,FALSE),0)+IFERROR(VLOOKUP($MW61,$AV$2:$BA$83,6,FALSE),0)+IFERROR(VLOOKUP($MX61,$AV$2:$BA$83,6,FALSE),0)+IFERROR(VLOOKUP($MY61,$AV$2:$BA$83,6,FALSE),0)</f>
        <v/>
      </c>
      <c r="OC61" s="155">
        <f>TEXTJOIN(", ",TRUE,IF(IFERROR(VLOOKUP($MV61,$AV$2:$BA$83,5,FALSE),0)=1,$MV61,""),IF(IFERROR(VLOOKUP($MW61,$AV$2:$BA$83,5,FALSE),0)=1,$MW61,""),IF(IFERROR(VLOOKUP($MX61,$AV$2:$BA$83,5,FALSE),0)=1,$MX61,""),IF(IFERROR(VLOOKUP($MY61,$AV$2:$BA$83,5,FALSE),0)=1,$MY61,""))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MIN($OW61,$OU61-IF($NQ61=0,0,INDEX($I$2:$N$8,MAX(1,$MQ61),$NQ61)))</f>
        <v/>
      </c>
      <c r="OY61" s="155">
        <f>$OW61-$OX61</f>
        <v/>
      </c>
      <c r="OZ61" s="155">
        <f>IF($MQ61=0,0,INDEX($P$2:$P$8,MAX(1,$MQ61)))</f>
        <v/>
      </c>
      <c r="PA61" s="155">
        <f>$OZ61-$OU61+$OX61</f>
        <v/>
      </c>
      <c r="PB61" s="155">
        <f>IF($MQ61=0,MAX(0,$NE61-IF(AND($OS61&gt;0,COUNTIF($MZ61:$NA61,"?*")=0),1,0)),MAX(0,$PA61))</f>
        <v/>
      </c>
      <c r="PC61" s="155">
        <f>IF($MQ61=0,0,(IF(COUNTIF($MV61:$MY61,"Salto")&gt;0,1,0)+IF(COUNTIF($MV61:$MY61,"Queima")&gt;0,1,0)+IF(COUNTIF($MV61:$MY61,"Estilhaço")&gt;0,1,0))*FLOOR($PB61/2,1))</f>
        <v/>
      </c>
      <c r="PD61" s="155">
        <f>MAX(0,2-SUMPRODUCT($OK61:$OP61,$I$2:$N$2)+MIN(2,$OQ61*1+$OR61*1,SUMPRODUCT($OK61:$OP61,$I$2:$N$2)-IF($NQ61=0,0,INDEX($I$2:$N$2,1,$NQ61))))</f>
        <v/>
      </c>
      <c r="PE61" s="155">
        <f>MAX(0,4-SUMPRODUCT($OK61:$OP61,$I$3:$N$3)+MIN(4,$OQ61*1+$OR61*2,SUMPRODUCT($OK61:$OP61,$I$3:$N$3)-IF($NQ61=0,0,INDEX($I$3:$N$3,1,$NQ61))))</f>
        <v/>
      </c>
      <c r="PF61" s="155">
        <f>MAX(0,6-SUMPRODUCT($OK61:$OP61,$I$4:$N$4)+MIN(6,$OQ61*2+$OR61*3,SUMPRODUCT($OK61:$OP61,$I$4:$N$4)-IF($NQ61=0,0,INDEX($I$4:$N$4,1,$NQ61))))</f>
        <v/>
      </c>
      <c r="PG61" s="155">
        <f>MAX(0,9-SUMPRODUCT($OK61:$OP61,$I$5:$N$5)+MIN(8,$OQ61*2+$OR61*4,SUMPRODUCT($OK61:$OP61,$I$5:$N$5)-IF($NQ61=0,0,INDEX($I$5:$N$5,1,$NQ61))))</f>
        <v/>
      </c>
      <c r="PH61" s="155">
        <f>MAX(0,11-SUMPRODUCT($OK61:$OP61,$I$6:$N$6)+MIN(10,$OQ61*3+$OR61*5,SUMPRODUCT($OK61:$OP61,$I$6:$N$6)-IF($NQ61=0,0,INDEX($I$6:$N$6,1,$NQ61))))</f>
        <v/>
      </c>
      <c r="PI61" s="155">
        <f>MAX(0,13-SUMPRODUCT($OK61:$OP61,$I$7:$N$7)+MIN(12,$OQ61*3+$OR61*6,SUMPRODUCT($OK61:$OP61,$I$7:$N$7)-IF($NQ61=0,0,INDEX($I$7:$N$7,1,$NQ61))))</f>
        <v/>
      </c>
      <c r="PJ61" s="155">
        <f>MAX(0,16-SUMPRODUCT($OK61:$OP61,$I$8:$N$8)+MIN(14,$OQ61*4+$OR61*7,SUMPRODUCT($OK61:$OP61,$I$8:$N$8)-IF($NQ61=0,0,INDEX($I$8:$N$8,1,$NQ61))))</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Melhoria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Silencioso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IFERROR(VLOOKUP($MV62,$AV$2:$BA$83,2,FALSE),"")</f>
        <v/>
      </c>
      <c r="NJ62" s="155">
        <f>IFERROR(VLOOKUP($MW62,$AV$2:$BA$83,2,FALSE),"")</f>
        <v/>
      </c>
      <c r="NK62" s="155">
        <f>IFERROR(VLOOKUP($MX62,$AV$2:$BA$83,2,FALSE),"")</f>
        <v/>
      </c>
      <c r="NL62" s="155">
        <f>IFERROR(VLOOKUP($MY62,$AV$2:$BA$83,2,FALSE),"")</f>
        <v/>
      </c>
      <c r="NM62" s="155">
        <f>IFERROR(VLOOKUP($MV62,$AV$2:$BA$83,3,FALSE),0)</f>
        <v/>
      </c>
      <c r="NN62" s="155">
        <f>IFERROR(VLOOKUP($MW62,$AV$2:$BA$83,3,FALSE),0)</f>
        <v/>
      </c>
      <c r="NO62" s="155">
        <f>IFERROR(VLOOKUP($MX62,$AV$2:$BA$83,3,FALSE),0)</f>
        <v/>
      </c>
      <c r="NP62" s="155">
        <f>IFERROR(VLOOKUP($MY62,$AV$2:$BA$83,3,FALSE),0)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IFERROR(VLOOKUP($MV62,$AV$2:$BA$83,4,FALSE),0)+IFERROR(VLOOKUP($MW62,$AV$2:$BA$83,4,FALSE),0)+IFERROR(VLOOKUP($MX62,$AV$2:$BA$83,4,FALSE),0)+IFERROR(VLOOKUP($MY62,$AV$2:$BA$83,4,FALSE),0)</f>
        <v/>
      </c>
      <c r="OB62" s="155">
        <f>IFERROR(VLOOKUP($MV62,$AV$2:$BA$83,6,FALSE),0)+IFERROR(VLOOKUP($MW62,$AV$2:$BA$83,6,FALSE),0)+IFERROR(VLOOKUP($MX62,$AV$2:$BA$83,6,FALSE),0)+IFERROR(VLOOKUP($MY62,$AV$2:$BA$83,6,FALSE),0)</f>
        <v/>
      </c>
      <c r="OC62" s="155">
        <f>TEXTJOIN(", ",TRUE,IF(IFERROR(VLOOKUP($MV62,$AV$2:$BA$83,5,FALSE),0)=1,$MV62,""),IF(IFERROR(VLOOKUP($MW62,$AV$2:$BA$83,5,FALSE),0)=1,$MW62,""),IF(IFERROR(VLOOKUP($MX62,$AV$2:$BA$83,5,FALSE),0)=1,$MX62,""),IF(IFERROR(VLOOKUP($MY62,$AV$2:$BA$83,5,FALSE),0)=1,$MY62,""))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MIN($OW62,$OU62-IF($NQ62=0,0,INDEX($I$2:$N$8,MAX(1,$MQ62),$NQ62)))</f>
        <v/>
      </c>
      <c r="OY62" s="155">
        <f>$OW62-$OX62</f>
        <v/>
      </c>
      <c r="OZ62" s="155">
        <f>IF($MQ62=0,0,INDEX($P$2:$P$8,MAX(1,$MQ62)))</f>
        <v/>
      </c>
      <c r="PA62" s="155">
        <f>$OZ62-$OU62+$OX62</f>
        <v/>
      </c>
      <c r="PB62" s="155">
        <f>IF($MQ62=0,MAX(0,$NE62-IF(AND($OS62&gt;0,COUNTIF($MZ62:$NA62,"?*")=0),1,0)),MAX(0,$PA62))</f>
        <v/>
      </c>
      <c r="PC62" s="155">
        <f>IF($MQ62=0,0,(IF(COUNTIF($MV62:$MY62,"Salto")&gt;0,1,0)+IF(COUNTIF($MV62:$MY62,"Queima")&gt;0,1,0)+IF(COUNTIF($MV62:$MY62,"Estilhaço")&gt;0,1,0))*FLOOR($PB62/2,1))</f>
        <v/>
      </c>
      <c r="PD62" s="155">
        <f>MAX(0,2-SUMPRODUCT($OK62:$OP62,$I$2:$N$2)+MIN(2,$OQ62*1+$OR62*1,SUMPRODUCT($OK62:$OP62,$I$2:$N$2)-IF($NQ62=0,0,INDEX($I$2:$N$2,1,$NQ62))))</f>
        <v/>
      </c>
      <c r="PE62" s="155">
        <f>MAX(0,4-SUMPRODUCT($OK62:$OP62,$I$3:$N$3)+MIN(4,$OQ62*1+$OR62*2,SUMPRODUCT($OK62:$OP62,$I$3:$N$3)-IF($NQ62=0,0,INDEX($I$3:$N$3,1,$NQ62))))</f>
        <v/>
      </c>
      <c r="PF62" s="155">
        <f>MAX(0,6-SUMPRODUCT($OK62:$OP62,$I$4:$N$4)+MIN(6,$OQ62*2+$OR62*3,SUMPRODUCT($OK62:$OP62,$I$4:$N$4)-IF($NQ62=0,0,INDEX($I$4:$N$4,1,$NQ62))))</f>
        <v/>
      </c>
      <c r="PG62" s="155">
        <f>MAX(0,9-SUMPRODUCT($OK62:$OP62,$I$5:$N$5)+MIN(8,$OQ62*2+$OR62*4,SUMPRODUCT($OK62:$OP62,$I$5:$N$5)-IF($NQ62=0,0,INDEX($I$5:$N$5,1,$NQ62))))</f>
        <v/>
      </c>
      <c r="PH62" s="155">
        <f>MAX(0,11-SUMPRODUCT($OK62:$OP62,$I$6:$N$6)+MIN(10,$OQ62*3+$OR62*5,SUMPRODUCT($OK62:$OP62,$I$6:$N$6)-IF($NQ62=0,0,INDEX($I$6:$N$6,1,$NQ62))))</f>
        <v/>
      </c>
      <c r="PI62" s="155">
        <f>MAX(0,13-SUMPRODUCT($OK62:$OP62,$I$7:$N$7)+MIN(12,$OQ62*3+$OR62*6,SUMPRODUCT($OK62:$OP62,$I$7:$N$7)-IF($NQ62=0,0,INDEX($I$7:$N$7,1,$NQ62))))</f>
        <v/>
      </c>
      <c r="PJ62" s="155">
        <f>MAX(0,16-SUMPRODUCT($OK62:$OP62,$I$8:$N$8)+MIN(14,$OQ62*4+$OR62*7,SUMPRODUCT($OK62:$OP62,$I$8:$N$8)-IF($NQ62=0,0,INDEX($I$8:$N$8,1,$NQ62))))</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Melhoria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Adianta</t>
        </is>
      </c>
      <c r="AW63" s="153" t="inlineStr">
        <is>
          <t>Tempo</t>
        </is>
      </c>
      <c r="AX63" s="155" t="n">
        <v>2</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IFERROR(VLOOKUP($MV63,$AV$2:$BA$83,2,FALSE),"")</f>
        <v/>
      </c>
      <c r="NJ63" s="155">
        <f>IFERROR(VLOOKUP($MW63,$AV$2:$BA$83,2,FALSE),"")</f>
        <v/>
      </c>
      <c r="NK63" s="155">
        <f>IFERROR(VLOOKUP($MX63,$AV$2:$BA$83,2,FALSE),"")</f>
        <v/>
      </c>
      <c r="NL63" s="155">
        <f>IFERROR(VLOOKUP($MY63,$AV$2:$BA$83,2,FALSE),"")</f>
        <v/>
      </c>
      <c r="NM63" s="155">
        <f>IFERROR(VLOOKUP($MV63,$AV$2:$BA$83,3,FALSE),0)</f>
        <v/>
      </c>
      <c r="NN63" s="155">
        <f>IFERROR(VLOOKUP($MW63,$AV$2:$BA$83,3,FALSE),0)</f>
        <v/>
      </c>
      <c r="NO63" s="155">
        <f>IFERROR(VLOOKUP($MX63,$AV$2:$BA$83,3,FALSE),0)</f>
        <v/>
      </c>
      <c r="NP63" s="155">
        <f>IFERROR(VLOOKUP($MY63,$AV$2:$BA$83,3,FALSE),0)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IFERROR(VLOOKUP($MV63,$AV$2:$BA$83,4,FALSE),0)+IFERROR(VLOOKUP($MW63,$AV$2:$BA$83,4,FALSE),0)+IFERROR(VLOOKUP($MX63,$AV$2:$BA$83,4,FALSE),0)+IFERROR(VLOOKUP($MY63,$AV$2:$BA$83,4,FALSE),0)</f>
        <v/>
      </c>
      <c r="OB63" s="155">
        <f>IFERROR(VLOOKUP($MV63,$AV$2:$BA$83,6,FALSE),0)+IFERROR(VLOOKUP($MW63,$AV$2:$BA$83,6,FALSE),0)+IFERROR(VLOOKUP($MX63,$AV$2:$BA$83,6,FALSE),0)+IFERROR(VLOOKUP($MY63,$AV$2:$BA$83,6,FALSE),0)</f>
        <v/>
      </c>
      <c r="OC63" s="155">
        <f>TEXTJOIN(", ",TRUE,IF(IFERROR(VLOOKUP($MV63,$AV$2:$BA$83,5,FALSE),0)=1,$MV63,""),IF(IFERROR(VLOOKUP($MW63,$AV$2:$BA$83,5,FALSE),0)=1,$MW63,""),IF(IFERROR(VLOOKUP($MX63,$AV$2:$BA$83,5,FALSE),0)=1,$MX63,""),IF(IFERROR(VLOOKUP($MY63,$AV$2:$BA$83,5,FALSE),0)=1,$MY63,""))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MIN($OW63,$OU63-IF($NQ63=0,0,INDEX($I$2:$N$8,MAX(1,$MQ63),$NQ63)))</f>
        <v/>
      </c>
      <c r="OY63" s="155">
        <f>$OW63-$OX63</f>
        <v/>
      </c>
      <c r="OZ63" s="155">
        <f>IF($MQ63=0,0,INDEX($P$2:$P$8,MAX(1,$MQ63)))</f>
        <v/>
      </c>
      <c r="PA63" s="155">
        <f>$OZ63-$OU63+$OX63</f>
        <v/>
      </c>
      <c r="PB63" s="155">
        <f>IF($MQ63=0,MAX(0,$NE63-IF(AND($OS63&gt;0,COUNTIF($MZ63:$NA63,"?*")=0),1,0)),MAX(0,$PA63))</f>
        <v/>
      </c>
      <c r="PC63" s="155">
        <f>IF($MQ63=0,0,(IF(COUNTIF($MV63:$MY63,"Salto")&gt;0,1,0)+IF(COUNTIF($MV63:$MY63,"Queima")&gt;0,1,0)+IF(COUNTIF($MV63:$MY63,"Estilhaço")&gt;0,1,0))*FLOOR($PB63/2,1))</f>
        <v/>
      </c>
      <c r="PD63" s="155">
        <f>MAX(0,2-SUMPRODUCT($OK63:$OP63,$I$2:$N$2)+MIN(2,$OQ63*1+$OR63*1,SUMPRODUCT($OK63:$OP63,$I$2:$N$2)-IF($NQ63=0,0,INDEX($I$2:$N$2,1,$NQ63))))</f>
        <v/>
      </c>
      <c r="PE63" s="155">
        <f>MAX(0,4-SUMPRODUCT($OK63:$OP63,$I$3:$N$3)+MIN(4,$OQ63*1+$OR63*2,SUMPRODUCT($OK63:$OP63,$I$3:$N$3)-IF($NQ63=0,0,INDEX($I$3:$N$3,1,$NQ63))))</f>
        <v/>
      </c>
      <c r="PF63" s="155">
        <f>MAX(0,6-SUMPRODUCT($OK63:$OP63,$I$4:$N$4)+MIN(6,$OQ63*2+$OR63*3,SUMPRODUCT($OK63:$OP63,$I$4:$N$4)-IF($NQ63=0,0,INDEX($I$4:$N$4,1,$NQ63))))</f>
        <v/>
      </c>
      <c r="PG63" s="155">
        <f>MAX(0,9-SUMPRODUCT($OK63:$OP63,$I$5:$N$5)+MIN(8,$OQ63*2+$OR63*4,SUMPRODUCT($OK63:$OP63,$I$5:$N$5)-IF($NQ63=0,0,INDEX($I$5:$N$5,1,$NQ63))))</f>
        <v/>
      </c>
      <c r="PH63" s="155">
        <f>MAX(0,11-SUMPRODUCT($OK63:$OP63,$I$6:$N$6)+MIN(10,$OQ63*3+$OR63*5,SUMPRODUCT($OK63:$OP63,$I$6:$N$6)-IF($NQ63=0,0,INDEX($I$6:$N$6,1,$NQ63))))</f>
        <v/>
      </c>
      <c r="PI63" s="155">
        <f>MAX(0,13-SUMPRODUCT($OK63:$OP63,$I$7:$N$7)+MIN(12,$OQ63*3+$OR63*6,SUMPRODUCT($OK63:$OP63,$I$7:$N$7)-IF($NQ63=0,0,INDEX($I$7:$N$7,1,$NQ63))))</f>
        <v/>
      </c>
      <c r="PJ63" s="155">
        <f>MAX(0,16-SUMPRODUCT($OK63:$OP63,$I$8:$N$8)+MIN(14,$OQ63*4+$OR63*7,SUMPRODUCT($OK63:$OP63,$I$8:$N$8)-IF($NQ63=0,0,INDEX($I$8:$N$8,1,$NQ63))))</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Melhoria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Segura</t>
        </is>
      </c>
      <c r="AW64" s="153" t="inlineStr">
        <is>
          <t>Tempo</t>
        </is>
      </c>
      <c r="AX64" s="155" t="n">
        <v>1</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IFERROR(VLOOKUP($MV64,$AV$2:$BA$83,2,FALSE),"")</f>
        <v/>
      </c>
      <c r="NJ64" s="155">
        <f>IFERROR(VLOOKUP($MW64,$AV$2:$BA$83,2,FALSE),"")</f>
        <v/>
      </c>
      <c r="NK64" s="155">
        <f>IFERROR(VLOOKUP($MX64,$AV$2:$BA$83,2,FALSE),"")</f>
        <v/>
      </c>
      <c r="NL64" s="155">
        <f>IFERROR(VLOOKUP($MY64,$AV$2:$BA$83,2,FALSE),"")</f>
        <v/>
      </c>
      <c r="NM64" s="155">
        <f>IFERROR(VLOOKUP($MV64,$AV$2:$BA$83,3,FALSE),0)</f>
        <v/>
      </c>
      <c r="NN64" s="155">
        <f>IFERROR(VLOOKUP($MW64,$AV$2:$BA$83,3,FALSE),0)</f>
        <v/>
      </c>
      <c r="NO64" s="155">
        <f>IFERROR(VLOOKUP($MX64,$AV$2:$BA$83,3,FALSE),0)</f>
        <v/>
      </c>
      <c r="NP64" s="155">
        <f>IFERROR(VLOOKUP($MY64,$AV$2:$BA$83,3,FALSE),0)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IFERROR(VLOOKUP($MV64,$AV$2:$BA$83,4,FALSE),0)+IFERROR(VLOOKUP($MW64,$AV$2:$BA$83,4,FALSE),0)+IFERROR(VLOOKUP($MX64,$AV$2:$BA$83,4,FALSE),0)+IFERROR(VLOOKUP($MY64,$AV$2:$BA$83,4,FALSE),0)</f>
        <v/>
      </c>
      <c r="OB64" s="155">
        <f>IFERROR(VLOOKUP($MV64,$AV$2:$BA$83,6,FALSE),0)+IFERROR(VLOOKUP($MW64,$AV$2:$BA$83,6,FALSE),0)+IFERROR(VLOOKUP($MX64,$AV$2:$BA$83,6,FALSE),0)+IFERROR(VLOOKUP($MY64,$AV$2:$BA$83,6,FALSE),0)</f>
        <v/>
      </c>
      <c r="OC64" s="155">
        <f>TEXTJOIN(", ",TRUE,IF(IFERROR(VLOOKUP($MV64,$AV$2:$BA$83,5,FALSE),0)=1,$MV64,""),IF(IFERROR(VLOOKUP($MW64,$AV$2:$BA$83,5,FALSE),0)=1,$MW64,""),IF(IFERROR(VLOOKUP($MX64,$AV$2:$BA$83,5,FALSE),0)=1,$MX64,""),IF(IFERROR(VLOOKUP($MY64,$AV$2:$BA$83,5,FALSE),0)=1,$MY64,""))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MIN($OW64,$OU64-IF($NQ64=0,0,INDEX($I$2:$N$8,MAX(1,$MQ64),$NQ64)))</f>
        <v/>
      </c>
      <c r="OY64" s="155">
        <f>$OW64-$OX64</f>
        <v/>
      </c>
      <c r="OZ64" s="155">
        <f>IF($MQ64=0,0,INDEX($P$2:$P$8,MAX(1,$MQ64)))</f>
        <v/>
      </c>
      <c r="PA64" s="155">
        <f>$OZ64-$OU64+$OX64</f>
        <v/>
      </c>
      <c r="PB64" s="155">
        <f>IF($MQ64=0,MAX(0,$NE64-IF(AND($OS64&gt;0,COUNTIF($MZ64:$NA64,"?*")=0),1,0)),MAX(0,$PA64))</f>
        <v/>
      </c>
      <c r="PC64" s="155">
        <f>IF($MQ64=0,0,(IF(COUNTIF($MV64:$MY64,"Salto")&gt;0,1,0)+IF(COUNTIF($MV64:$MY64,"Queima")&gt;0,1,0)+IF(COUNTIF($MV64:$MY64,"Estilhaço")&gt;0,1,0))*FLOOR($PB64/2,1))</f>
        <v/>
      </c>
      <c r="PD64" s="155">
        <f>MAX(0,2-SUMPRODUCT($OK64:$OP64,$I$2:$N$2)+MIN(2,$OQ64*1+$OR64*1,SUMPRODUCT($OK64:$OP64,$I$2:$N$2)-IF($NQ64=0,0,INDEX($I$2:$N$2,1,$NQ64))))</f>
        <v/>
      </c>
      <c r="PE64" s="155">
        <f>MAX(0,4-SUMPRODUCT($OK64:$OP64,$I$3:$N$3)+MIN(4,$OQ64*1+$OR64*2,SUMPRODUCT($OK64:$OP64,$I$3:$N$3)-IF($NQ64=0,0,INDEX($I$3:$N$3,1,$NQ64))))</f>
        <v/>
      </c>
      <c r="PF64" s="155">
        <f>MAX(0,6-SUMPRODUCT($OK64:$OP64,$I$4:$N$4)+MIN(6,$OQ64*2+$OR64*3,SUMPRODUCT($OK64:$OP64,$I$4:$N$4)-IF($NQ64=0,0,INDEX($I$4:$N$4,1,$NQ64))))</f>
        <v/>
      </c>
      <c r="PG64" s="155">
        <f>MAX(0,9-SUMPRODUCT($OK64:$OP64,$I$5:$N$5)+MIN(8,$OQ64*2+$OR64*4,SUMPRODUCT($OK64:$OP64,$I$5:$N$5)-IF($NQ64=0,0,INDEX($I$5:$N$5,1,$NQ64))))</f>
        <v/>
      </c>
      <c r="PH64" s="155">
        <f>MAX(0,11-SUMPRODUCT($OK64:$OP64,$I$6:$N$6)+MIN(10,$OQ64*3+$OR64*5,SUMPRODUCT($OK64:$OP64,$I$6:$N$6)-IF($NQ64=0,0,INDEX($I$6:$N$6,1,$NQ64))))</f>
        <v/>
      </c>
      <c r="PI64" s="155">
        <f>MAX(0,13-SUMPRODUCT($OK64:$OP64,$I$7:$N$7)+MIN(12,$OQ64*3+$OR64*6,SUMPRODUCT($OK64:$OP64,$I$7:$N$7)-IF($NQ64=0,0,INDEX($I$7:$N$7,1,$NQ64))))</f>
        <v/>
      </c>
      <c r="PJ64" s="155">
        <f>MAX(0,16-SUMPRODUCT($OK64:$OP64,$I$8:$N$8)+MIN(14,$OQ64*4+$OR64*7,SUMPRODUCT($OK64:$OP64,$I$8:$N$8)-IF($NQ64=0,0,INDEX($I$8:$N$8,1,$NQ64))))</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Melhoria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Concentrada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IFERROR(VLOOKUP($MV65,$AV$2:$BA$83,2,FALSE),"")</f>
        <v/>
      </c>
      <c r="NJ65" s="155">
        <f>IFERROR(VLOOKUP($MW65,$AV$2:$BA$83,2,FALSE),"")</f>
        <v/>
      </c>
      <c r="NK65" s="155">
        <f>IFERROR(VLOOKUP($MX65,$AV$2:$BA$83,2,FALSE),"")</f>
        <v/>
      </c>
      <c r="NL65" s="155">
        <f>IFERROR(VLOOKUP($MY65,$AV$2:$BA$83,2,FALSE),"")</f>
        <v/>
      </c>
      <c r="NM65" s="155">
        <f>IFERROR(VLOOKUP($MV65,$AV$2:$BA$83,3,FALSE),0)</f>
        <v/>
      </c>
      <c r="NN65" s="155">
        <f>IFERROR(VLOOKUP($MW65,$AV$2:$BA$83,3,FALSE),0)</f>
        <v/>
      </c>
      <c r="NO65" s="155">
        <f>IFERROR(VLOOKUP($MX65,$AV$2:$BA$83,3,FALSE),0)</f>
        <v/>
      </c>
      <c r="NP65" s="155">
        <f>IFERROR(VLOOKUP($MY65,$AV$2:$BA$83,3,FALSE),0)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IFERROR(VLOOKUP($MV65,$AV$2:$BA$83,4,FALSE),0)+IFERROR(VLOOKUP($MW65,$AV$2:$BA$83,4,FALSE),0)+IFERROR(VLOOKUP($MX65,$AV$2:$BA$83,4,FALSE),0)+IFERROR(VLOOKUP($MY65,$AV$2:$BA$83,4,FALSE),0)</f>
        <v/>
      </c>
      <c r="OB65" s="155">
        <f>IFERROR(VLOOKUP($MV65,$AV$2:$BA$83,6,FALSE),0)+IFERROR(VLOOKUP($MW65,$AV$2:$BA$83,6,FALSE),0)+IFERROR(VLOOKUP($MX65,$AV$2:$BA$83,6,FALSE),0)+IFERROR(VLOOKUP($MY65,$AV$2:$BA$83,6,FALSE),0)</f>
        <v/>
      </c>
      <c r="OC65" s="155">
        <f>TEXTJOIN(", ",TRUE,IF(IFERROR(VLOOKUP($MV65,$AV$2:$BA$83,5,FALSE),0)=1,$MV65,""),IF(IFERROR(VLOOKUP($MW65,$AV$2:$BA$83,5,FALSE),0)=1,$MW65,""),IF(IFERROR(VLOOKUP($MX65,$AV$2:$BA$83,5,FALSE),0)=1,$MX65,""),IF(IFERROR(VLOOKUP($MY65,$AV$2:$BA$83,5,FALSE),0)=1,$MY65,""))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MIN($OW65,$OU65-IF($NQ65=0,0,INDEX($I$2:$N$8,MAX(1,$MQ65),$NQ65)))</f>
        <v/>
      </c>
      <c r="OY65" s="155">
        <f>$OW65-$OX65</f>
        <v/>
      </c>
      <c r="OZ65" s="155">
        <f>IF($MQ65=0,0,INDEX($P$2:$P$8,MAX(1,$MQ65)))</f>
        <v/>
      </c>
      <c r="PA65" s="155">
        <f>$OZ65-$OU65+$OX65</f>
        <v/>
      </c>
      <c r="PB65" s="155">
        <f>IF($MQ65=0,MAX(0,$NE65-IF(AND($OS65&gt;0,COUNTIF($MZ65:$NA65,"?*")=0),1,0)),MAX(0,$PA65))</f>
        <v/>
      </c>
      <c r="PC65" s="155">
        <f>IF($MQ65=0,0,(IF(COUNTIF($MV65:$MY65,"Salto")&gt;0,1,0)+IF(COUNTIF($MV65:$MY65,"Queima")&gt;0,1,0)+IF(COUNTIF($MV65:$MY65,"Estilhaço")&gt;0,1,0))*FLOOR($PB65/2,1))</f>
        <v/>
      </c>
      <c r="PD65" s="155">
        <f>MAX(0,2-SUMPRODUCT($OK65:$OP65,$I$2:$N$2)+MIN(2,$OQ65*1+$OR65*1,SUMPRODUCT($OK65:$OP65,$I$2:$N$2)-IF($NQ65=0,0,INDEX($I$2:$N$2,1,$NQ65))))</f>
        <v/>
      </c>
      <c r="PE65" s="155">
        <f>MAX(0,4-SUMPRODUCT($OK65:$OP65,$I$3:$N$3)+MIN(4,$OQ65*1+$OR65*2,SUMPRODUCT($OK65:$OP65,$I$3:$N$3)-IF($NQ65=0,0,INDEX($I$3:$N$3,1,$NQ65))))</f>
        <v/>
      </c>
      <c r="PF65" s="155">
        <f>MAX(0,6-SUMPRODUCT($OK65:$OP65,$I$4:$N$4)+MIN(6,$OQ65*2+$OR65*3,SUMPRODUCT($OK65:$OP65,$I$4:$N$4)-IF($NQ65=0,0,INDEX($I$4:$N$4,1,$NQ65))))</f>
        <v/>
      </c>
      <c r="PG65" s="155">
        <f>MAX(0,9-SUMPRODUCT($OK65:$OP65,$I$5:$N$5)+MIN(8,$OQ65*2+$OR65*4,SUMPRODUCT($OK65:$OP65,$I$5:$N$5)-IF($NQ65=0,0,INDEX($I$5:$N$5,1,$NQ65))))</f>
        <v/>
      </c>
      <c r="PH65" s="155">
        <f>MAX(0,11-SUMPRODUCT($OK65:$OP65,$I$6:$N$6)+MIN(10,$OQ65*3+$OR65*5,SUMPRODUCT($OK65:$OP65,$I$6:$N$6)-IF($NQ65=0,0,INDEX($I$6:$N$6,1,$NQ65))))</f>
        <v/>
      </c>
      <c r="PI65" s="155">
        <f>MAX(0,13-SUMPRODUCT($OK65:$OP65,$I$7:$N$7)+MIN(12,$OQ65*3+$OR65*6,SUMPRODUCT($OK65:$OP65,$I$7:$N$7)-IF($NQ65=0,0,INDEX($I$7:$N$7,1,$NQ65))))</f>
        <v/>
      </c>
      <c r="PJ65" s="155">
        <f>MAX(0,16-SUMPRODUCT($OK65:$OP65,$I$8:$N$8)+MIN(14,$OQ65*4+$OR65*7,SUMPRODUCT($OK65:$OP65,$I$8:$N$8)-IF($NQ65=0,0,INDEX($I$8:$N$8,1,$NQ65))))</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Melhoria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Duradoura</t>
        </is>
      </c>
      <c r="AW66" s="153" t="inlineStr">
        <is>
          <t>Tempo</t>
        </is>
      </c>
      <c r="AX66" s="155" t="n">
        <v>2</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IFERROR(VLOOKUP($MV66,$AV$2:$BA$83,2,FALSE),"")</f>
        <v/>
      </c>
      <c r="NJ66" s="155">
        <f>IFERROR(VLOOKUP($MW66,$AV$2:$BA$83,2,FALSE),"")</f>
        <v/>
      </c>
      <c r="NK66" s="155">
        <f>IFERROR(VLOOKUP($MX66,$AV$2:$BA$83,2,FALSE),"")</f>
        <v/>
      </c>
      <c r="NL66" s="155">
        <f>IFERROR(VLOOKUP($MY66,$AV$2:$BA$83,2,FALSE),"")</f>
        <v/>
      </c>
      <c r="NM66" s="155">
        <f>IFERROR(VLOOKUP($MV66,$AV$2:$BA$83,3,FALSE),0)</f>
        <v/>
      </c>
      <c r="NN66" s="155">
        <f>IFERROR(VLOOKUP($MW66,$AV$2:$BA$83,3,FALSE),0)</f>
        <v/>
      </c>
      <c r="NO66" s="155">
        <f>IFERROR(VLOOKUP($MX66,$AV$2:$BA$83,3,FALSE),0)</f>
        <v/>
      </c>
      <c r="NP66" s="155">
        <f>IFERROR(VLOOKUP($MY66,$AV$2:$BA$83,3,FALSE),0)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IFERROR(VLOOKUP($MV66,$AV$2:$BA$83,4,FALSE),0)+IFERROR(VLOOKUP($MW66,$AV$2:$BA$83,4,FALSE),0)+IFERROR(VLOOKUP($MX66,$AV$2:$BA$83,4,FALSE),0)+IFERROR(VLOOKUP($MY66,$AV$2:$BA$83,4,FALSE),0)</f>
        <v/>
      </c>
      <c r="OB66" s="155">
        <f>IFERROR(VLOOKUP($MV66,$AV$2:$BA$83,6,FALSE),0)+IFERROR(VLOOKUP($MW66,$AV$2:$BA$83,6,FALSE),0)+IFERROR(VLOOKUP($MX66,$AV$2:$BA$83,6,FALSE),0)+IFERROR(VLOOKUP($MY66,$AV$2:$BA$83,6,FALSE),0)</f>
        <v/>
      </c>
      <c r="OC66" s="155">
        <f>TEXTJOIN(", ",TRUE,IF(IFERROR(VLOOKUP($MV66,$AV$2:$BA$83,5,FALSE),0)=1,$MV66,""),IF(IFERROR(VLOOKUP($MW66,$AV$2:$BA$83,5,FALSE),0)=1,$MW66,""),IF(IFERROR(VLOOKUP($MX66,$AV$2:$BA$83,5,FALSE),0)=1,$MX66,""),IF(IFERROR(VLOOKUP($MY66,$AV$2:$BA$83,5,FALSE),0)=1,$MY66,""))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MIN($OW66,$OU66-IF($NQ66=0,0,INDEX($I$2:$N$8,MAX(1,$MQ66),$NQ66)))</f>
        <v/>
      </c>
      <c r="OY66" s="155">
        <f>$OW66-$OX66</f>
        <v/>
      </c>
      <c r="OZ66" s="155">
        <f>IF($MQ66=0,0,INDEX($P$2:$P$8,MAX(1,$MQ66)))</f>
        <v/>
      </c>
      <c r="PA66" s="155">
        <f>$OZ66-$OU66+$OX66</f>
        <v/>
      </c>
      <c r="PB66" s="155">
        <f>IF($MQ66=0,MAX(0,$NE66-IF(AND($OS66&gt;0,COUNTIF($MZ66:$NA66,"?*")=0),1,0)),MAX(0,$PA66))</f>
        <v/>
      </c>
      <c r="PC66" s="155">
        <f>IF($MQ66=0,0,(IF(COUNTIF($MV66:$MY66,"Salto")&gt;0,1,0)+IF(COUNTIF($MV66:$MY66,"Queima")&gt;0,1,0)+IF(COUNTIF($MV66:$MY66,"Estilhaço")&gt;0,1,0))*FLOOR($PB66/2,1))</f>
        <v/>
      </c>
      <c r="PD66" s="155">
        <f>MAX(0,2-SUMPRODUCT($OK66:$OP66,$I$2:$N$2)+MIN(2,$OQ66*1+$OR66*1,SUMPRODUCT($OK66:$OP66,$I$2:$N$2)-IF($NQ66=0,0,INDEX($I$2:$N$2,1,$NQ66))))</f>
        <v/>
      </c>
      <c r="PE66" s="155">
        <f>MAX(0,4-SUMPRODUCT($OK66:$OP66,$I$3:$N$3)+MIN(4,$OQ66*1+$OR66*2,SUMPRODUCT($OK66:$OP66,$I$3:$N$3)-IF($NQ66=0,0,INDEX($I$3:$N$3,1,$NQ66))))</f>
        <v/>
      </c>
      <c r="PF66" s="155">
        <f>MAX(0,6-SUMPRODUCT($OK66:$OP66,$I$4:$N$4)+MIN(6,$OQ66*2+$OR66*3,SUMPRODUCT($OK66:$OP66,$I$4:$N$4)-IF($NQ66=0,0,INDEX($I$4:$N$4,1,$NQ66))))</f>
        <v/>
      </c>
      <c r="PG66" s="155">
        <f>MAX(0,9-SUMPRODUCT($OK66:$OP66,$I$5:$N$5)+MIN(8,$OQ66*2+$OR66*4,SUMPRODUCT($OK66:$OP66,$I$5:$N$5)-IF($NQ66=0,0,INDEX($I$5:$N$5,1,$NQ66))))</f>
        <v/>
      </c>
      <c r="PH66" s="155">
        <f>MAX(0,11-SUMPRODUCT($OK66:$OP66,$I$6:$N$6)+MIN(10,$OQ66*3+$OR66*5,SUMPRODUCT($OK66:$OP66,$I$6:$N$6)-IF($NQ66=0,0,INDEX($I$6:$N$6,1,$NQ66))))</f>
        <v/>
      </c>
      <c r="PI66" s="155">
        <f>MAX(0,13-SUMPRODUCT($OK66:$OP66,$I$7:$N$7)+MIN(12,$OQ66*3+$OR66*6,SUMPRODUCT($OK66:$OP66,$I$7:$N$7)-IF($NQ66=0,0,INDEX($I$7:$N$7,1,$NQ66))))</f>
        <v/>
      </c>
      <c r="PJ66" s="155">
        <f>MAX(0,16-SUMPRODUCT($OK66:$OP66,$I$8:$N$8)+MIN(14,$OQ66*4+$OR66*7,SUMPRODUCT($OK66:$OP66,$I$8:$N$8)-IF($NQ66=0,0,INDEX($I$8:$N$8,1,$NQ66))))</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Melhoria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Marca</t>
        </is>
      </c>
      <c r="AW67" s="153" t="inlineStr">
        <is>
          <t>Marca</t>
        </is>
      </c>
      <c r="AX67" s="155" t="n">
        <v>1</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IFERROR(VLOOKUP($MV67,$AV$2:$BA$83,2,FALSE),"")</f>
        <v/>
      </c>
      <c r="NJ67" s="155">
        <f>IFERROR(VLOOKUP($MW67,$AV$2:$BA$83,2,FALSE),"")</f>
        <v/>
      </c>
      <c r="NK67" s="155">
        <f>IFERROR(VLOOKUP($MX67,$AV$2:$BA$83,2,FALSE),"")</f>
        <v/>
      </c>
      <c r="NL67" s="155">
        <f>IFERROR(VLOOKUP($MY67,$AV$2:$BA$83,2,FALSE),"")</f>
        <v/>
      </c>
      <c r="NM67" s="155">
        <f>IFERROR(VLOOKUP($MV67,$AV$2:$BA$83,3,FALSE),0)</f>
        <v/>
      </c>
      <c r="NN67" s="155">
        <f>IFERROR(VLOOKUP($MW67,$AV$2:$BA$83,3,FALSE),0)</f>
        <v/>
      </c>
      <c r="NO67" s="155">
        <f>IFERROR(VLOOKUP($MX67,$AV$2:$BA$83,3,FALSE),0)</f>
        <v/>
      </c>
      <c r="NP67" s="155">
        <f>IFERROR(VLOOKUP($MY67,$AV$2:$BA$83,3,FALSE),0)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IFERROR(VLOOKUP($MV67,$AV$2:$BA$83,4,FALSE),0)+IFERROR(VLOOKUP($MW67,$AV$2:$BA$83,4,FALSE),0)+IFERROR(VLOOKUP($MX67,$AV$2:$BA$83,4,FALSE),0)+IFERROR(VLOOKUP($MY67,$AV$2:$BA$83,4,FALSE),0)</f>
        <v/>
      </c>
      <c r="OB67" s="155">
        <f>IFERROR(VLOOKUP($MV67,$AV$2:$BA$83,6,FALSE),0)+IFERROR(VLOOKUP($MW67,$AV$2:$BA$83,6,FALSE),0)+IFERROR(VLOOKUP($MX67,$AV$2:$BA$83,6,FALSE),0)+IFERROR(VLOOKUP($MY67,$AV$2:$BA$83,6,FALSE),0)</f>
        <v/>
      </c>
      <c r="OC67" s="155">
        <f>TEXTJOIN(", ",TRUE,IF(IFERROR(VLOOKUP($MV67,$AV$2:$BA$83,5,FALSE),0)=1,$MV67,""),IF(IFERROR(VLOOKUP($MW67,$AV$2:$BA$83,5,FALSE),0)=1,$MW67,""),IF(IFERROR(VLOOKUP($MX67,$AV$2:$BA$83,5,FALSE),0)=1,$MX67,""),IF(IFERROR(VLOOKUP($MY67,$AV$2:$BA$83,5,FALSE),0)=1,$MY67,""))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MIN($OW67,$OU67-IF($NQ67=0,0,INDEX($I$2:$N$8,MAX(1,$MQ67),$NQ67)))</f>
        <v/>
      </c>
      <c r="OY67" s="155">
        <f>$OW67-$OX67</f>
        <v/>
      </c>
      <c r="OZ67" s="155">
        <f>IF($MQ67=0,0,INDEX($P$2:$P$8,MAX(1,$MQ67)))</f>
        <v/>
      </c>
      <c r="PA67" s="155">
        <f>$OZ67-$OU67+$OX67</f>
        <v/>
      </c>
      <c r="PB67" s="155">
        <f>IF($MQ67=0,MAX(0,$NE67-IF(AND($OS67&gt;0,COUNTIF($MZ67:$NA67,"?*")=0),1,0)),MAX(0,$PA67))</f>
        <v/>
      </c>
      <c r="PC67" s="155">
        <f>IF($MQ67=0,0,(IF(COUNTIF($MV67:$MY67,"Salto")&gt;0,1,0)+IF(COUNTIF($MV67:$MY67,"Queima")&gt;0,1,0)+IF(COUNTIF($MV67:$MY67,"Estilhaço")&gt;0,1,0))*FLOOR($PB67/2,1))</f>
        <v/>
      </c>
      <c r="PD67" s="155">
        <f>MAX(0,2-SUMPRODUCT($OK67:$OP67,$I$2:$N$2)+MIN(2,$OQ67*1+$OR67*1,SUMPRODUCT($OK67:$OP67,$I$2:$N$2)-IF($NQ67=0,0,INDEX($I$2:$N$2,1,$NQ67))))</f>
        <v/>
      </c>
      <c r="PE67" s="155">
        <f>MAX(0,4-SUMPRODUCT($OK67:$OP67,$I$3:$N$3)+MIN(4,$OQ67*1+$OR67*2,SUMPRODUCT($OK67:$OP67,$I$3:$N$3)-IF($NQ67=0,0,INDEX($I$3:$N$3,1,$NQ67))))</f>
        <v/>
      </c>
      <c r="PF67" s="155">
        <f>MAX(0,6-SUMPRODUCT($OK67:$OP67,$I$4:$N$4)+MIN(6,$OQ67*2+$OR67*3,SUMPRODUCT($OK67:$OP67,$I$4:$N$4)-IF($NQ67=0,0,INDEX($I$4:$N$4,1,$NQ67))))</f>
        <v/>
      </c>
      <c r="PG67" s="155">
        <f>MAX(0,9-SUMPRODUCT($OK67:$OP67,$I$5:$N$5)+MIN(8,$OQ67*2+$OR67*4,SUMPRODUCT($OK67:$OP67,$I$5:$N$5)-IF($NQ67=0,0,INDEX($I$5:$N$5,1,$NQ67))))</f>
        <v/>
      </c>
      <c r="PH67" s="155">
        <f>MAX(0,11-SUMPRODUCT($OK67:$OP67,$I$6:$N$6)+MIN(10,$OQ67*3+$OR67*5,SUMPRODUCT($OK67:$OP67,$I$6:$N$6)-IF($NQ67=0,0,INDEX($I$6:$N$6,1,$NQ67))))</f>
        <v/>
      </c>
      <c r="PI67" s="155">
        <f>MAX(0,13-SUMPRODUCT($OK67:$OP67,$I$7:$N$7)+MIN(12,$OQ67*3+$OR67*6,SUMPRODUCT($OK67:$OP67,$I$7:$N$7)-IF($NQ67=0,0,INDEX($I$7:$N$7,1,$NQ67))))</f>
        <v/>
      </c>
      <c r="PJ67" s="155">
        <f>MAX(0,16-SUMPRODUCT($OK67:$OP67,$I$8:$N$8)+MIN(14,$OQ67*4+$OR67*7,SUMPRODUCT($OK67:$OP67,$I$8:$N$8)-IF($NQ67=0,0,INDEX($I$8:$N$8,1,$NQ67))))</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Melhoria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Alvo de Caça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IFERROR(VLOOKUP($MV68,$AV$2:$BA$83,2,FALSE),"")</f>
        <v/>
      </c>
      <c r="NJ68" s="155">
        <f>IFERROR(VLOOKUP($MW68,$AV$2:$BA$83,2,FALSE),"")</f>
        <v/>
      </c>
      <c r="NK68" s="155">
        <f>IFERROR(VLOOKUP($MX68,$AV$2:$BA$83,2,FALSE),"")</f>
        <v/>
      </c>
      <c r="NL68" s="155">
        <f>IFERROR(VLOOKUP($MY68,$AV$2:$BA$83,2,FALSE),"")</f>
        <v/>
      </c>
      <c r="NM68" s="155">
        <f>IFERROR(VLOOKUP($MV68,$AV$2:$BA$83,3,FALSE),0)</f>
        <v/>
      </c>
      <c r="NN68" s="155">
        <f>IFERROR(VLOOKUP($MW68,$AV$2:$BA$83,3,FALSE),0)</f>
        <v/>
      </c>
      <c r="NO68" s="155">
        <f>IFERROR(VLOOKUP($MX68,$AV$2:$BA$83,3,FALSE),0)</f>
        <v/>
      </c>
      <c r="NP68" s="155">
        <f>IFERROR(VLOOKUP($MY68,$AV$2:$BA$83,3,FALSE),0)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IFERROR(VLOOKUP($MV68,$AV$2:$BA$83,4,FALSE),0)+IFERROR(VLOOKUP($MW68,$AV$2:$BA$83,4,FALSE),0)+IFERROR(VLOOKUP($MX68,$AV$2:$BA$83,4,FALSE),0)+IFERROR(VLOOKUP($MY68,$AV$2:$BA$83,4,FALSE),0)</f>
        <v/>
      </c>
      <c r="OB68" s="155">
        <f>IFERROR(VLOOKUP($MV68,$AV$2:$BA$83,6,FALSE),0)+IFERROR(VLOOKUP($MW68,$AV$2:$BA$83,6,FALSE),0)+IFERROR(VLOOKUP($MX68,$AV$2:$BA$83,6,FALSE),0)+IFERROR(VLOOKUP($MY68,$AV$2:$BA$83,6,FALSE),0)</f>
        <v/>
      </c>
      <c r="OC68" s="155">
        <f>TEXTJOIN(", ",TRUE,IF(IFERROR(VLOOKUP($MV68,$AV$2:$BA$83,5,FALSE),0)=1,$MV68,""),IF(IFERROR(VLOOKUP($MW68,$AV$2:$BA$83,5,FALSE),0)=1,$MW68,""),IF(IFERROR(VLOOKUP($MX68,$AV$2:$BA$83,5,FALSE),0)=1,$MX68,""),IF(IFERROR(VLOOKUP($MY68,$AV$2:$BA$83,5,FALSE),0)=1,$MY68,""))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MIN($OW68,$OU68-IF($NQ68=0,0,INDEX($I$2:$N$8,MAX(1,$MQ68),$NQ68)))</f>
        <v/>
      </c>
      <c r="OY68" s="155">
        <f>$OW68-$OX68</f>
        <v/>
      </c>
      <c r="OZ68" s="155">
        <f>IF($MQ68=0,0,INDEX($P$2:$P$8,MAX(1,$MQ68)))</f>
        <v/>
      </c>
      <c r="PA68" s="155">
        <f>$OZ68-$OU68+$OX68</f>
        <v/>
      </c>
      <c r="PB68" s="155">
        <f>IF($MQ68=0,MAX(0,$NE68-IF(AND($OS68&gt;0,COUNTIF($MZ68:$NA68,"?*")=0),1,0)),MAX(0,$PA68))</f>
        <v/>
      </c>
      <c r="PC68" s="155">
        <f>IF($MQ68=0,0,(IF(COUNTIF($MV68:$MY68,"Salto")&gt;0,1,0)+IF(COUNTIF($MV68:$MY68,"Queima")&gt;0,1,0)+IF(COUNTIF($MV68:$MY68,"Estilhaço")&gt;0,1,0))*FLOOR($PB68/2,1))</f>
        <v/>
      </c>
      <c r="PD68" s="155">
        <f>MAX(0,2-SUMPRODUCT($OK68:$OP68,$I$2:$N$2)+MIN(2,$OQ68*1+$OR68*1,SUMPRODUCT($OK68:$OP68,$I$2:$N$2)-IF($NQ68=0,0,INDEX($I$2:$N$2,1,$NQ68))))</f>
        <v/>
      </c>
      <c r="PE68" s="155">
        <f>MAX(0,4-SUMPRODUCT($OK68:$OP68,$I$3:$N$3)+MIN(4,$OQ68*1+$OR68*2,SUMPRODUCT($OK68:$OP68,$I$3:$N$3)-IF($NQ68=0,0,INDEX($I$3:$N$3,1,$NQ68))))</f>
        <v/>
      </c>
      <c r="PF68" s="155">
        <f>MAX(0,6-SUMPRODUCT($OK68:$OP68,$I$4:$N$4)+MIN(6,$OQ68*2+$OR68*3,SUMPRODUCT($OK68:$OP68,$I$4:$N$4)-IF($NQ68=0,0,INDEX($I$4:$N$4,1,$NQ68))))</f>
        <v/>
      </c>
      <c r="PG68" s="155">
        <f>MAX(0,9-SUMPRODUCT($OK68:$OP68,$I$5:$N$5)+MIN(8,$OQ68*2+$OR68*4,SUMPRODUCT($OK68:$OP68,$I$5:$N$5)-IF($NQ68=0,0,INDEX($I$5:$N$5,1,$NQ68))))</f>
        <v/>
      </c>
      <c r="PH68" s="155">
        <f>MAX(0,11-SUMPRODUCT($OK68:$OP68,$I$6:$N$6)+MIN(10,$OQ68*3+$OR68*5,SUMPRODUCT($OK68:$OP68,$I$6:$N$6)-IF($NQ68=0,0,INDEX($I$6:$N$6,1,$NQ68))))</f>
        <v/>
      </c>
      <c r="PI68" s="155">
        <f>MAX(0,13-SUMPRODUCT($OK68:$OP68,$I$7:$N$7)+MIN(12,$OQ68*3+$OR68*6,SUMPRODUCT($OK68:$OP68,$I$7:$N$7)-IF($NQ68=0,0,INDEX($I$7:$N$7,1,$NQ68))))</f>
        <v/>
      </c>
      <c r="PJ68" s="155">
        <f>MAX(0,16-SUMPRODUCT($OK68:$OP68,$I$8:$N$8)+MIN(14,$OQ68*4+$OR68*7,SUMPRODUCT($OK68:$OP68,$I$8:$N$8)-IF($NQ68=0,0,INDEX($I$8:$N$8,1,$NQ68))))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Melhoria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Rastro</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IFERROR(VLOOKUP($MV69,$AV$2:$BA$83,2,FALSE),"")</f>
        <v/>
      </c>
      <c r="NJ69" s="155">
        <f>IFERROR(VLOOKUP($MW69,$AV$2:$BA$83,2,FALSE),"")</f>
        <v/>
      </c>
      <c r="NK69" s="155">
        <f>IFERROR(VLOOKUP($MX69,$AV$2:$BA$83,2,FALSE),"")</f>
        <v/>
      </c>
      <c r="NL69" s="155">
        <f>IFERROR(VLOOKUP($MY69,$AV$2:$BA$83,2,FALSE),"")</f>
        <v/>
      </c>
      <c r="NM69" s="155">
        <f>IFERROR(VLOOKUP($MV69,$AV$2:$BA$83,3,FALSE),0)</f>
        <v/>
      </c>
      <c r="NN69" s="155">
        <f>IFERROR(VLOOKUP($MW69,$AV$2:$BA$83,3,FALSE),0)</f>
        <v/>
      </c>
      <c r="NO69" s="155">
        <f>IFERROR(VLOOKUP($MX69,$AV$2:$BA$83,3,FALSE),0)</f>
        <v/>
      </c>
      <c r="NP69" s="155">
        <f>IFERROR(VLOOKUP($MY69,$AV$2:$BA$83,3,FALSE),0)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IFERROR(VLOOKUP($MV69,$AV$2:$BA$83,4,FALSE),0)+IFERROR(VLOOKUP($MW69,$AV$2:$BA$83,4,FALSE),0)+IFERROR(VLOOKUP($MX69,$AV$2:$BA$83,4,FALSE),0)+IFERROR(VLOOKUP($MY69,$AV$2:$BA$83,4,FALSE),0)</f>
        <v/>
      </c>
      <c r="OB69" s="155">
        <f>IFERROR(VLOOKUP($MV69,$AV$2:$BA$83,6,FALSE),0)+IFERROR(VLOOKUP($MW69,$AV$2:$BA$83,6,FALSE),0)+IFERROR(VLOOKUP($MX69,$AV$2:$BA$83,6,FALSE),0)+IFERROR(VLOOKUP($MY69,$AV$2:$BA$83,6,FALSE),0)</f>
        <v/>
      </c>
      <c r="OC69" s="155">
        <f>TEXTJOIN(", ",TRUE,IF(IFERROR(VLOOKUP($MV69,$AV$2:$BA$83,5,FALSE),0)=1,$MV69,""),IF(IFERROR(VLOOKUP($MW69,$AV$2:$BA$83,5,FALSE),0)=1,$MW69,""),IF(IFERROR(VLOOKUP($MX69,$AV$2:$BA$83,5,FALSE),0)=1,$MX69,""),IF(IFERROR(VLOOKUP($MY69,$AV$2:$BA$83,5,FALSE),0)=1,$MY69,""))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MIN($OW69,$OU69-IF($NQ69=0,0,INDEX($I$2:$N$8,MAX(1,$MQ69),$NQ69)))</f>
        <v/>
      </c>
      <c r="OY69" s="155">
        <f>$OW69-$OX69</f>
        <v/>
      </c>
      <c r="OZ69" s="155">
        <f>IF($MQ69=0,0,INDEX($P$2:$P$8,MAX(1,$MQ69)))</f>
        <v/>
      </c>
      <c r="PA69" s="155">
        <f>$OZ69-$OU69+$OX69</f>
        <v/>
      </c>
      <c r="PB69" s="155">
        <f>IF($MQ69=0,MAX(0,$NE69-IF(AND($OS69&gt;0,COUNTIF($MZ69:$NA69,"?*")=0),1,0)),MAX(0,$PA69))</f>
        <v/>
      </c>
      <c r="PC69" s="155">
        <f>IF($MQ69=0,0,(IF(COUNTIF($MV69:$MY69,"Salto")&gt;0,1,0)+IF(COUNTIF($MV69:$MY69,"Queima")&gt;0,1,0)+IF(COUNTIF($MV69:$MY69,"Estilhaço")&gt;0,1,0))*FLOOR($PB69/2,1))</f>
        <v/>
      </c>
      <c r="PD69" s="155">
        <f>MAX(0,2-SUMPRODUCT($OK69:$OP69,$I$2:$N$2)+MIN(2,$OQ69*1+$OR69*1,SUMPRODUCT($OK69:$OP69,$I$2:$N$2)-IF($NQ69=0,0,INDEX($I$2:$N$2,1,$NQ69))))</f>
        <v/>
      </c>
      <c r="PE69" s="155">
        <f>MAX(0,4-SUMPRODUCT($OK69:$OP69,$I$3:$N$3)+MIN(4,$OQ69*1+$OR69*2,SUMPRODUCT($OK69:$OP69,$I$3:$N$3)-IF($NQ69=0,0,INDEX($I$3:$N$3,1,$NQ69))))</f>
        <v/>
      </c>
      <c r="PF69" s="155">
        <f>MAX(0,6-SUMPRODUCT($OK69:$OP69,$I$4:$N$4)+MIN(6,$OQ69*2+$OR69*3,SUMPRODUCT($OK69:$OP69,$I$4:$N$4)-IF($NQ69=0,0,INDEX($I$4:$N$4,1,$NQ69))))</f>
        <v/>
      </c>
      <c r="PG69" s="155">
        <f>MAX(0,9-SUMPRODUCT($OK69:$OP69,$I$5:$N$5)+MIN(8,$OQ69*2+$OR69*4,SUMPRODUCT($OK69:$OP69,$I$5:$N$5)-IF($NQ69=0,0,INDEX($I$5:$N$5,1,$NQ69))))</f>
        <v/>
      </c>
      <c r="PH69" s="155">
        <f>MAX(0,11-SUMPRODUCT($OK69:$OP69,$I$6:$N$6)+MIN(10,$OQ69*3+$OR69*5,SUMPRODUCT($OK69:$OP69,$I$6:$N$6)-IF($NQ69=0,0,INDEX($I$6:$N$6,1,$NQ69))))</f>
        <v/>
      </c>
      <c r="PI69" s="155">
        <f>MAX(0,13-SUMPRODUCT($OK69:$OP69,$I$7:$N$7)+MIN(12,$OQ69*3+$OR69*6,SUMPRODUCT($OK69:$OP69,$I$7:$N$7)-IF($NQ69=0,0,INDEX($I$7:$N$7,1,$NQ69))))</f>
        <v/>
      </c>
      <c r="PJ69" s="155">
        <f>MAX(0,16-SUMPRODUCT($OK69:$OP69,$I$8:$N$8)+MIN(14,$OQ69*4+$OR69*7,SUMPRODUCT($OK69:$OP69,$I$8:$N$8)-IF($NQ69=0,0,INDEX($I$8:$N$8,1,$NQ69))))</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Melhoria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Isca</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IFERROR(VLOOKUP($MV70,$AV$2:$BA$83,2,FALSE),"")</f>
        <v/>
      </c>
      <c r="NJ70" s="155">
        <f>IFERROR(VLOOKUP($MW70,$AV$2:$BA$83,2,FALSE),"")</f>
        <v/>
      </c>
      <c r="NK70" s="155">
        <f>IFERROR(VLOOKUP($MX70,$AV$2:$BA$83,2,FALSE),"")</f>
        <v/>
      </c>
      <c r="NL70" s="155">
        <f>IFERROR(VLOOKUP($MY70,$AV$2:$BA$83,2,FALSE),"")</f>
        <v/>
      </c>
      <c r="NM70" s="155">
        <f>IFERROR(VLOOKUP($MV70,$AV$2:$BA$83,3,FALSE),0)</f>
        <v/>
      </c>
      <c r="NN70" s="155">
        <f>IFERROR(VLOOKUP($MW70,$AV$2:$BA$83,3,FALSE),0)</f>
        <v/>
      </c>
      <c r="NO70" s="155">
        <f>IFERROR(VLOOKUP($MX70,$AV$2:$BA$83,3,FALSE),0)</f>
        <v/>
      </c>
      <c r="NP70" s="155">
        <f>IFERROR(VLOOKUP($MY70,$AV$2:$BA$83,3,FALSE),0)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IFERROR(VLOOKUP($MV70,$AV$2:$BA$83,4,FALSE),0)+IFERROR(VLOOKUP($MW70,$AV$2:$BA$83,4,FALSE),0)+IFERROR(VLOOKUP($MX70,$AV$2:$BA$83,4,FALSE),0)+IFERROR(VLOOKUP($MY70,$AV$2:$BA$83,4,FALSE),0)</f>
        <v/>
      </c>
      <c r="OB70" s="155">
        <f>IFERROR(VLOOKUP($MV70,$AV$2:$BA$83,6,FALSE),0)+IFERROR(VLOOKUP($MW70,$AV$2:$BA$83,6,FALSE),0)+IFERROR(VLOOKUP($MX70,$AV$2:$BA$83,6,FALSE),0)+IFERROR(VLOOKUP($MY70,$AV$2:$BA$83,6,FALSE),0)</f>
        <v/>
      </c>
      <c r="OC70" s="155">
        <f>TEXTJOIN(", ",TRUE,IF(IFERROR(VLOOKUP($MV70,$AV$2:$BA$83,5,FALSE),0)=1,$MV70,""),IF(IFERROR(VLOOKUP($MW70,$AV$2:$BA$83,5,FALSE),0)=1,$MW70,""),IF(IFERROR(VLOOKUP($MX70,$AV$2:$BA$83,5,FALSE),0)=1,$MX70,""),IF(IFERROR(VLOOKUP($MY70,$AV$2:$BA$83,5,FALSE),0)=1,$MY70,""))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MIN($OW70,$OU70-IF($NQ70=0,0,INDEX($I$2:$N$8,MAX(1,$MQ70),$NQ70)))</f>
        <v/>
      </c>
      <c r="OY70" s="155">
        <f>$OW70-$OX70</f>
        <v/>
      </c>
      <c r="OZ70" s="155">
        <f>IF($MQ70=0,0,INDEX($P$2:$P$8,MAX(1,$MQ70)))</f>
        <v/>
      </c>
      <c r="PA70" s="155">
        <f>$OZ70-$OU70+$OX70</f>
        <v/>
      </c>
      <c r="PB70" s="155">
        <f>IF($MQ70=0,MAX(0,$NE70-IF(AND($OS70&gt;0,COUNTIF($MZ70:$NA70,"?*")=0),1,0)),MAX(0,$PA70))</f>
        <v/>
      </c>
      <c r="PC70" s="155">
        <f>IF($MQ70=0,0,(IF(COUNTIF($MV70:$MY70,"Salto")&gt;0,1,0)+IF(COUNTIF($MV70:$MY70,"Queima")&gt;0,1,0)+IF(COUNTIF($MV70:$MY70,"Estilhaço")&gt;0,1,0))*FLOOR($PB70/2,1))</f>
        <v/>
      </c>
      <c r="PD70" s="155">
        <f>MAX(0,2-SUMPRODUCT($OK70:$OP70,$I$2:$N$2)+MIN(2,$OQ70*1+$OR70*1,SUMPRODUCT($OK70:$OP70,$I$2:$N$2)-IF($NQ70=0,0,INDEX($I$2:$N$2,1,$NQ70))))</f>
        <v/>
      </c>
      <c r="PE70" s="155">
        <f>MAX(0,4-SUMPRODUCT($OK70:$OP70,$I$3:$N$3)+MIN(4,$OQ70*1+$OR70*2,SUMPRODUCT($OK70:$OP70,$I$3:$N$3)-IF($NQ70=0,0,INDEX($I$3:$N$3,1,$NQ70))))</f>
        <v/>
      </c>
      <c r="PF70" s="155">
        <f>MAX(0,6-SUMPRODUCT($OK70:$OP70,$I$4:$N$4)+MIN(6,$OQ70*2+$OR70*3,SUMPRODUCT($OK70:$OP70,$I$4:$N$4)-IF($NQ70=0,0,INDEX($I$4:$N$4,1,$NQ70))))</f>
        <v/>
      </c>
      <c r="PG70" s="155">
        <f>MAX(0,9-SUMPRODUCT($OK70:$OP70,$I$5:$N$5)+MIN(8,$OQ70*2+$OR70*4,SUMPRODUCT($OK70:$OP70,$I$5:$N$5)-IF($NQ70=0,0,INDEX($I$5:$N$5,1,$NQ70))))</f>
        <v/>
      </c>
      <c r="PH70" s="155">
        <f>MAX(0,11-SUMPRODUCT($OK70:$OP70,$I$6:$N$6)+MIN(10,$OQ70*3+$OR70*5,SUMPRODUCT($OK70:$OP70,$I$6:$N$6)-IF($NQ70=0,0,INDEX($I$6:$N$6,1,$NQ70))))</f>
        <v/>
      </c>
      <c r="PI70" s="155">
        <f>MAX(0,13-SUMPRODUCT($OK70:$OP70,$I$7:$N$7)+MIN(12,$OQ70*3+$OR70*6,SUMPRODUCT($OK70:$OP70,$I$7:$N$7)-IF($NQ70=0,0,INDEX($I$7:$N$7,1,$NQ70))))</f>
        <v/>
      </c>
      <c r="PJ70" s="155">
        <f>MAX(0,16-SUMPRODUCT($OK70:$OP70,$I$8:$N$8)+MIN(14,$OQ70*4+$OR70*7,SUMPRODUCT($OK70:$OP70,$I$8:$N$8)-IF($NQ70=0,0,INDEX($I$8:$N$8,1,$NQ70))))</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Melhoria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Sugar</t>
        </is>
      </c>
      <c r="AW71" s="153" t="inlineStr">
        <is>
          <t>Marca</t>
        </is>
      </c>
      <c r="AX71" s="155" t="n">
        <v>2</v>
      </c>
      <c r="AY71" s="155" t="n">
        <v>0</v>
      </c>
      <c r="AZ71" s="155" t="n">
        <v>1</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IFERROR(VLOOKUP($MV71,$AV$2:$BA$83,2,FALSE),"")</f>
        <v/>
      </c>
      <c r="NJ71" s="155">
        <f>IFERROR(VLOOKUP($MW71,$AV$2:$BA$83,2,FALSE),"")</f>
        <v/>
      </c>
      <c r="NK71" s="155">
        <f>IFERROR(VLOOKUP($MX71,$AV$2:$BA$83,2,FALSE),"")</f>
        <v/>
      </c>
      <c r="NL71" s="155">
        <f>IFERROR(VLOOKUP($MY71,$AV$2:$BA$83,2,FALSE),"")</f>
        <v/>
      </c>
      <c r="NM71" s="155">
        <f>IFERROR(VLOOKUP($MV71,$AV$2:$BA$83,3,FALSE),0)</f>
        <v/>
      </c>
      <c r="NN71" s="155">
        <f>IFERROR(VLOOKUP($MW71,$AV$2:$BA$83,3,FALSE),0)</f>
        <v/>
      </c>
      <c r="NO71" s="155">
        <f>IFERROR(VLOOKUP($MX71,$AV$2:$BA$83,3,FALSE),0)</f>
        <v/>
      </c>
      <c r="NP71" s="155">
        <f>IFERROR(VLOOKUP($MY71,$AV$2:$BA$83,3,FALSE),0)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IFERROR(VLOOKUP($MV71,$AV$2:$BA$83,4,FALSE),0)+IFERROR(VLOOKUP($MW71,$AV$2:$BA$83,4,FALSE),0)+IFERROR(VLOOKUP($MX71,$AV$2:$BA$83,4,FALSE),0)+IFERROR(VLOOKUP($MY71,$AV$2:$BA$83,4,FALSE),0)</f>
        <v/>
      </c>
      <c r="OB71" s="155">
        <f>IFERROR(VLOOKUP($MV71,$AV$2:$BA$83,6,FALSE),0)+IFERROR(VLOOKUP($MW71,$AV$2:$BA$83,6,FALSE),0)+IFERROR(VLOOKUP($MX71,$AV$2:$BA$83,6,FALSE),0)+IFERROR(VLOOKUP($MY71,$AV$2:$BA$83,6,FALSE),0)</f>
        <v/>
      </c>
      <c r="OC71" s="155">
        <f>TEXTJOIN(", ",TRUE,IF(IFERROR(VLOOKUP($MV71,$AV$2:$BA$83,5,FALSE),0)=1,$MV71,""),IF(IFERROR(VLOOKUP($MW71,$AV$2:$BA$83,5,FALSE),0)=1,$MW71,""),IF(IFERROR(VLOOKUP($MX71,$AV$2:$BA$83,5,FALSE),0)=1,$MX71,""),IF(IFERROR(VLOOKUP($MY71,$AV$2:$BA$83,5,FALSE),0)=1,$MY71,""))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MIN($OW71,$OU71-IF($NQ71=0,0,INDEX($I$2:$N$8,MAX(1,$MQ71),$NQ71)))</f>
        <v/>
      </c>
      <c r="OY71" s="155">
        <f>$OW71-$OX71</f>
        <v/>
      </c>
      <c r="OZ71" s="155">
        <f>IF($MQ71=0,0,INDEX($P$2:$P$8,MAX(1,$MQ71)))</f>
        <v/>
      </c>
      <c r="PA71" s="155">
        <f>$OZ71-$OU71+$OX71</f>
        <v/>
      </c>
      <c r="PB71" s="155">
        <f>IF($MQ71=0,MAX(0,$NE71-IF(AND($OS71&gt;0,COUNTIF($MZ71:$NA71,"?*")=0),1,0)),MAX(0,$PA71))</f>
        <v/>
      </c>
      <c r="PC71" s="155">
        <f>IF($MQ71=0,0,(IF(COUNTIF($MV71:$MY71,"Salto")&gt;0,1,0)+IF(COUNTIF($MV71:$MY71,"Queima")&gt;0,1,0)+IF(COUNTIF($MV71:$MY71,"Estilhaço")&gt;0,1,0))*FLOOR($PB71/2,1))</f>
        <v/>
      </c>
      <c r="PD71" s="155">
        <f>MAX(0,2-SUMPRODUCT($OK71:$OP71,$I$2:$N$2)+MIN(2,$OQ71*1+$OR71*1,SUMPRODUCT($OK71:$OP71,$I$2:$N$2)-IF($NQ71=0,0,INDEX($I$2:$N$2,1,$NQ71))))</f>
        <v/>
      </c>
      <c r="PE71" s="155">
        <f>MAX(0,4-SUMPRODUCT($OK71:$OP71,$I$3:$N$3)+MIN(4,$OQ71*1+$OR71*2,SUMPRODUCT($OK71:$OP71,$I$3:$N$3)-IF($NQ71=0,0,INDEX($I$3:$N$3,1,$NQ71))))</f>
        <v/>
      </c>
      <c r="PF71" s="155">
        <f>MAX(0,6-SUMPRODUCT($OK71:$OP71,$I$4:$N$4)+MIN(6,$OQ71*2+$OR71*3,SUMPRODUCT($OK71:$OP71,$I$4:$N$4)-IF($NQ71=0,0,INDEX($I$4:$N$4,1,$NQ71))))</f>
        <v/>
      </c>
      <c r="PG71" s="155">
        <f>MAX(0,9-SUMPRODUCT($OK71:$OP71,$I$5:$N$5)+MIN(8,$OQ71*2+$OR71*4,SUMPRODUCT($OK71:$OP71,$I$5:$N$5)-IF($NQ71=0,0,INDEX($I$5:$N$5,1,$NQ71))))</f>
        <v/>
      </c>
      <c r="PH71" s="155">
        <f>MAX(0,11-SUMPRODUCT($OK71:$OP71,$I$6:$N$6)+MIN(10,$OQ71*3+$OR71*5,SUMPRODUCT($OK71:$OP71,$I$6:$N$6)-IF($NQ71=0,0,INDEX($I$6:$N$6,1,$NQ71))))</f>
        <v/>
      </c>
      <c r="PI71" s="155">
        <f>MAX(0,13-SUMPRODUCT($OK71:$OP71,$I$7:$N$7)+MIN(12,$OQ71*3+$OR71*6,SUMPRODUCT($OK71:$OP71,$I$7:$N$7)-IF($NQ71=0,0,INDEX($I$7:$N$7,1,$NQ71))))</f>
        <v/>
      </c>
      <c r="PJ71" s="155">
        <f>MAX(0,16-SUMPRODUCT($OK71:$OP71,$I$8:$N$8)+MIN(14,$OQ71*4+$OR71*7,SUMPRODUCT($OK71:$OP71,$I$8:$N$8)-IF($NQ71=0,0,INDEX($I$8:$N$8,1,$NQ71))))</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Melhoria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Cobrança</t>
        </is>
      </c>
      <c r="AW72" s="153" t="inlineStr">
        <is>
          <t>Marca</t>
        </is>
      </c>
      <c r="AX72" s="155" t="n">
        <v>2</v>
      </c>
      <c r="AY72" s="155" t="n">
        <v>0</v>
      </c>
      <c r="AZ72" s="155" t="n">
        <v>0</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IFERROR(VLOOKUP($MV72,$AV$2:$BA$83,2,FALSE),"")</f>
        <v/>
      </c>
      <c r="NJ72" s="155">
        <f>IFERROR(VLOOKUP($MW72,$AV$2:$BA$83,2,FALSE),"")</f>
        <v/>
      </c>
      <c r="NK72" s="155">
        <f>IFERROR(VLOOKUP($MX72,$AV$2:$BA$83,2,FALSE),"")</f>
        <v/>
      </c>
      <c r="NL72" s="155">
        <f>IFERROR(VLOOKUP($MY72,$AV$2:$BA$83,2,FALSE),"")</f>
        <v/>
      </c>
      <c r="NM72" s="155">
        <f>IFERROR(VLOOKUP($MV72,$AV$2:$BA$83,3,FALSE),0)</f>
        <v/>
      </c>
      <c r="NN72" s="155">
        <f>IFERROR(VLOOKUP($MW72,$AV$2:$BA$83,3,FALSE),0)</f>
        <v/>
      </c>
      <c r="NO72" s="155">
        <f>IFERROR(VLOOKUP($MX72,$AV$2:$BA$83,3,FALSE),0)</f>
        <v/>
      </c>
      <c r="NP72" s="155">
        <f>IFERROR(VLOOKUP($MY72,$AV$2:$BA$83,3,FALSE),0)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IFERROR(VLOOKUP($MV72,$AV$2:$BA$83,4,FALSE),0)+IFERROR(VLOOKUP($MW72,$AV$2:$BA$83,4,FALSE),0)+IFERROR(VLOOKUP($MX72,$AV$2:$BA$83,4,FALSE),0)+IFERROR(VLOOKUP($MY72,$AV$2:$BA$83,4,FALSE),0)</f>
        <v/>
      </c>
      <c r="OB72" s="155">
        <f>IFERROR(VLOOKUP($MV72,$AV$2:$BA$83,6,FALSE),0)+IFERROR(VLOOKUP($MW72,$AV$2:$BA$83,6,FALSE),0)+IFERROR(VLOOKUP($MX72,$AV$2:$BA$83,6,FALSE),0)+IFERROR(VLOOKUP($MY72,$AV$2:$BA$83,6,FALSE),0)</f>
        <v/>
      </c>
      <c r="OC72" s="155">
        <f>TEXTJOIN(", ",TRUE,IF(IFERROR(VLOOKUP($MV72,$AV$2:$BA$83,5,FALSE),0)=1,$MV72,""),IF(IFERROR(VLOOKUP($MW72,$AV$2:$BA$83,5,FALSE),0)=1,$MW72,""),IF(IFERROR(VLOOKUP($MX72,$AV$2:$BA$83,5,FALSE),0)=1,$MX72,""),IF(IFERROR(VLOOKUP($MY72,$AV$2:$BA$83,5,FALSE),0)=1,$MY72,""))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MIN($OW72,$OU72-IF($NQ72=0,0,INDEX($I$2:$N$8,MAX(1,$MQ72),$NQ72)))</f>
        <v/>
      </c>
      <c r="OY72" s="155">
        <f>$OW72-$OX72</f>
        <v/>
      </c>
      <c r="OZ72" s="155">
        <f>IF($MQ72=0,0,INDEX($P$2:$P$8,MAX(1,$MQ72)))</f>
        <v/>
      </c>
      <c r="PA72" s="155">
        <f>$OZ72-$OU72+$OX72</f>
        <v/>
      </c>
      <c r="PB72" s="155">
        <f>IF($MQ72=0,MAX(0,$NE72-IF(AND($OS72&gt;0,COUNTIF($MZ72:$NA72,"?*")=0),1,0)),MAX(0,$PA72))</f>
        <v/>
      </c>
      <c r="PC72" s="155">
        <f>IF($MQ72=0,0,(IF(COUNTIF($MV72:$MY72,"Salto")&gt;0,1,0)+IF(COUNTIF($MV72:$MY72,"Queima")&gt;0,1,0)+IF(COUNTIF($MV72:$MY72,"Estilhaço")&gt;0,1,0))*FLOOR($PB72/2,1))</f>
        <v/>
      </c>
      <c r="PD72" s="155">
        <f>MAX(0,2-SUMPRODUCT($OK72:$OP72,$I$2:$N$2)+MIN(2,$OQ72*1+$OR72*1,SUMPRODUCT($OK72:$OP72,$I$2:$N$2)-IF($NQ72=0,0,INDEX($I$2:$N$2,1,$NQ72))))</f>
        <v/>
      </c>
      <c r="PE72" s="155">
        <f>MAX(0,4-SUMPRODUCT($OK72:$OP72,$I$3:$N$3)+MIN(4,$OQ72*1+$OR72*2,SUMPRODUCT($OK72:$OP72,$I$3:$N$3)-IF($NQ72=0,0,INDEX($I$3:$N$3,1,$NQ72))))</f>
        <v/>
      </c>
      <c r="PF72" s="155">
        <f>MAX(0,6-SUMPRODUCT($OK72:$OP72,$I$4:$N$4)+MIN(6,$OQ72*2+$OR72*3,SUMPRODUCT($OK72:$OP72,$I$4:$N$4)-IF($NQ72=0,0,INDEX($I$4:$N$4,1,$NQ72))))</f>
        <v/>
      </c>
      <c r="PG72" s="155">
        <f>MAX(0,9-SUMPRODUCT($OK72:$OP72,$I$5:$N$5)+MIN(8,$OQ72*2+$OR72*4,SUMPRODUCT($OK72:$OP72,$I$5:$N$5)-IF($NQ72=0,0,INDEX($I$5:$N$5,1,$NQ72))))</f>
        <v/>
      </c>
      <c r="PH72" s="155">
        <f>MAX(0,11-SUMPRODUCT($OK72:$OP72,$I$6:$N$6)+MIN(10,$OQ72*3+$OR72*5,SUMPRODUCT($OK72:$OP72,$I$6:$N$6)-IF($NQ72=0,0,INDEX($I$6:$N$6,1,$NQ72))))</f>
        <v/>
      </c>
      <c r="PI72" s="155">
        <f>MAX(0,13-SUMPRODUCT($OK72:$OP72,$I$7:$N$7)+MIN(12,$OQ72*3+$OR72*6,SUMPRODUCT($OK72:$OP72,$I$7:$N$7)-IF($NQ72=0,0,INDEX($I$7:$N$7,1,$NQ72))))</f>
        <v/>
      </c>
      <c r="PJ72" s="155">
        <f>MAX(0,16-SUMPRODUCT($OK72:$OP72,$I$8:$N$8)+MIN(14,$OQ72*4+$OR72*7,SUMPRODUCT($OK72:$OP72,$I$8:$N$8)-IF($NQ72=0,0,INDEX($I$8:$N$8,1,$NQ72))))</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Melhoria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Identificar Feitiço</t>
        </is>
      </c>
      <c r="AW73" s="153" t="inlineStr">
        <is>
          <t>Marca</t>
        </is>
      </c>
      <c r="AX73" s="155" t="n">
        <v>1</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IFERROR(VLOOKUP($MV73,$AV$2:$BA$83,2,FALSE),"")</f>
        <v/>
      </c>
      <c r="NJ73" s="155">
        <f>IFERROR(VLOOKUP($MW73,$AV$2:$BA$83,2,FALSE),"")</f>
        <v/>
      </c>
      <c r="NK73" s="155">
        <f>IFERROR(VLOOKUP($MX73,$AV$2:$BA$83,2,FALSE),"")</f>
        <v/>
      </c>
      <c r="NL73" s="155">
        <f>IFERROR(VLOOKUP($MY73,$AV$2:$BA$83,2,FALSE),"")</f>
        <v/>
      </c>
      <c r="NM73" s="155">
        <f>IFERROR(VLOOKUP($MV73,$AV$2:$BA$83,3,FALSE),0)</f>
        <v/>
      </c>
      <c r="NN73" s="155">
        <f>IFERROR(VLOOKUP($MW73,$AV$2:$BA$83,3,FALSE),0)</f>
        <v/>
      </c>
      <c r="NO73" s="155">
        <f>IFERROR(VLOOKUP($MX73,$AV$2:$BA$83,3,FALSE),0)</f>
        <v/>
      </c>
      <c r="NP73" s="155">
        <f>IFERROR(VLOOKUP($MY73,$AV$2:$BA$83,3,FALSE),0)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IFERROR(VLOOKUP($MV73,$AV$2:$BA$83,4,FALSE),0)+IFERROR(VLOOKUP($MW73,$AV$2:$BA$83,4,FALSE),0)+IFERROR(VLOOKUP($MX73,$AV$2:$BA$83,4,FALSE),0)+IFERROR(VLOOKUP($MY73,$AV$2:$BA$83,4,FALSE),0)</f>
        <v/>
      </c>
      <c r="OB73" s="155">
        <f>IFERROR(VLOOKUP($MV73,$AV$2:$BA$83,6,FALSE),0)+IFERROR(VLOOKUP($MW73,$AV$2:$BA$83,6,FALSE),0)+IFERROR(VLOOKUP($MX73,$AV$2:$BA$83,6,FALSE),0)+IFERROR(VLOOKUP($MY73,$AV$2:$BA$83,6,FALSE),0)</f>
        <v/>
      </c>
      <c r="OC73" s="155">
        <f>TEXTJOIN(", ",TRUE,IF(IFERROR(VLOOKUP($MV73,$AV$2:$BA$83,5,FALSE),0)=1,$MV73,""),IF(IFERROR(VLOOKUP($MW73,$AV$2:$BA$83,5,FALSE),0)=1,$MW73,""),IF(IFERROR(VLOOKUP($MX73,$AV$2:$BA$83,5,FALSE),0)=1,$MX73,""),IF(IFERROR(VLOOKUP($MY73,$AV$2:$BA$83,5,FALSE),0)=1,$MY73,""))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MIN($OW73,$OU73-IF($NQ73=0,0,INDEX($I$2:$N$8,MAX(1,$MQ73),$NQ73)))</f>
        <v/>
      </c>
      <c r="OY73" s="155">
        <f>$OW73-$OX73</f>
        <v/>
      </c>
      <c r="OZ73" s="155">
        <f>IF($MQ73=0,0,INDEX($P$2:$P$8,MAX(1,$MQ73)))</f>
        <v/>
      </c>
      <c r="PA73" s="155">
        <f>$OZ73-$OU73+$OX73</f>
        <v/>
      </c>
      <c r="PB73" s="155">
        <f>IF($MQ73=0,MAX(0,$NE73-IF(AND($OS73&gt;0,COUNTIF($MZ73:$NA73,"?*")=0),1,0)),MAX(0,$PA73))</f>
        <v/>
      </c>
      <c r="PC73" s="155">
        <f>IF($MQ73=0,0,(IF(COUNTIF($MV73:$MY73,"Salto")&gt;0,1,0)+IF(COUNTIF($MV73:$MY73,"Queima")&gt;0,1,0)+IF(COUNTIF($MV73:$MY73,"Estilhaço")&gt;0,1,0))*FLOOR($PB73/2,1))</f>
        <v/>
      </c>
      <c r="PD73" s="155">
        <f>MAX(0,2-SUMPRODUCT($OK73:$OP73,$I$2:$N$2)+MIN(2,$OQ73*1+$OR73*1,SUMPRODUCT($OK73:$OP73,$I$2:$N$2)-IF($NQ73=0,0,INDEX($I$2:$N$2,1,$NQ73))))</f>
        <v/>
      </c>
      <c r="PE73" s="155">
        <f>MAX(0,4-SUMPRODUCT($OK73:$OP73,$I$3:$N$3)+MIN(4,$OQ73*1+$OR73*2,SUMPRODUCT($OK73:$OP73,$I$3:$N$3)-IF($NQ73=0,0,INDEX($I$3:$N$3,1,$NQ73))))</f>
        <v/>
      </c>
      <c r="PF73" s="155">
        <f>MAX(0,6-SUMPRODUCT($OK73:$OP73,$I$4:$N$4)+MIN(6,$OQ73*2+$OR73*3,SUMPRODUCT($OK73:$OP73,$I$4:$N$4)-IF($NQ73=0,0,INDEX($I$4:$N$4,1,$NQ73))))</f>
        <v/>
      </c>
      <c r="PG73" s="155">
        <f>MAX(0,9-SUMPRODUCT($OK73:$OP73,$I$5:$N$5)+MIN(8,$OQ73*2+$OR73*4,SUMPRODUCT($OK73:$OP73,$I$5:$N$5)-IF($NQ73=0,0,INDEX($I$5:$N$5,1,$NQ73))))</f>
        <v/>
      </c>
      <c r="PH73" s="155">
        <f>MAX(0,11-SUMPRODUCT($OK73:$OP73,$I$6:$N$6)+MIN(10,$OQ73*3+$OR73*5,SUMPRODUCT($OK73:$OP73,$I$6:$N$6)-IF($NQ73=0,0,INDEX($I$6:$N$6,1,$NQ73))))</f>
        <v/>
      </c>
      <c r="PI73" s="155">
        <f>MAX(0,13-SUMPRODUCT($OK73:$OP73,$I$7:$N$7)+MIN(12,$OQ73*3+$OR73*6,SUMPRODUCT($OK73:$OP73,$I$7:$N$7)-IF($NQ73=0,0,INDEX($I$7:$N$7,1,$NQ73))))</f>
        <v/>
      </c>
      <c r="PJ73" s="155">
        <f>MAX(0,16-SUMPRODUCT($OK73:$OP73,$I$8:$N$8)+MIN(14,$OQ73*4+$OR73*7,SUMPRODUCT($OK73:$OP73,$I$8:$N$8)-IF($NQ73=0,0,INDEX($I$8:$N$8,1,$NQ73))))</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Melhoria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Limpa</t>
        </is>
      </c>
      <c r="AW74" s="153" t="inlineStr">
        <is>
          <t>Amparo</t>
        </is>
      </c>
      <c r="AX74" s="155" t="n">
        <v>2</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IFERROR(VLOOKUP($MV74,$AV$2:$BA$83,2,FALSE),"")</f>
        <v/>
      </c>
      <c r="NJ74" s="155">
        <f>IFERROR(VLOOKUP($MW74,$AV$2:$BA$83,2,FALSE),"")</f>
        <v/>
      </c>
      <c r="NK74" s="155">
        <f>IFERROR(VLOOKUP($MX74,$AV$2:$BA$83,2,FALSE),"")</f>
        <v/>
      </c>
      <c r="NL74" s="155">
        <f>IFERROR(VLOOKUP($MY74,$AV$2:$BA$83,2,FALSE),"")</f>
        <v/>
      </c>
      <c r="NM74" s="155">
        <f>IFERROR(VLOOKUP($MV74,$AV$2:$BA$83,3,FALSE),0)</f>
        <v/>
      </c>
      <c r="NN74" s="155">
        <f>IFERROR(VLOOKUP($MW74,$AV$2:$BA$83,3,FALSE),0)</f>
        <v/>
      </c>
      <c r="NO74" s="155">
        <f>IFERROR(VLOOKUP($MX74,$AV$2:$BA$83,3,FALSE),0)</f>
        <v/>
      </c>
      <c r="NP74" s="155">
        <f>IFERROR(VLOOKUP($MY74,$AV$2:$BA$83,3,FALSE),0)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IFERROR(VLOOKUP($MV74,$AV$2:$BA$83,4,FALSE),0)+IFERROR(VLOOKUP($MW74,$AV$2:$BA$83,4,FALSE),0)+IFERROR(VLOOKUP($MX74,$AV$2:$BA$83,4,FALSE),0)+IFERROR(VLOOKUP($MY74,$AV$2:$BA$83,4,FALSE),0)</f>
        <v/>
      </c>
      <c r="OB74" s="155">
        <f>IFERROR(VLOOKUP($MV74,$AV$2:$BA$83,6,FALSE),0)+IFERROR(VLOOKUP($MW74,$AV$2:$BA$83,6,FALSE),0)+IFERROR(VLOOKUP($MX74,$AV$2:$BA$83,6,FALSE),0)+IFERROR(VLOOKUP($MY74,$AV$2:$BA$83,6,FALSE),0)</f>
        <v/>
      </c>
      <c r="OC74" s="155">
        <f>TEXTJOIN(", ",TRUE,IF(IFERROR(VLOOKUP($MV74,$AV$2:$BA$83,5,FALSE),0)=1,$MV74,""),IF(IFERROR(VLOOKUP($MW74,$AV$2:$BA$83,5,FALSE),0)=1,$MW74,""),IF(IFERROR(VLOOKUP($MX74,$AV$2:$BA$83,5,FALSE),0)=1,$MX74,""),IF(IFERROR(VLOOKUP($MY74,$AV$2:$BA$83,5,FALSE),0)=1,$MY74,""))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MIN($OW74,$OU74-IF($NQ74=0,0,INDEX($I$2:$N$8,MAX(1,$MQ74),$NQ74)))</f>
        <v/>
      </c>
      <c r="OY74" s="155">
        <f>$OW74-$OX74</f>
        <v/>
      </c>
      <c r="OZ74" s="155">
        <f>IF($MQ74=0,0,INDEX($P$2:$P$8,MAX(1,$MQ74)))</f>
        <v/>
      </c>
      <c r="PA74" s="155">
        <f>$OZ74-$OU74+$OX74</f>
        <v/>
      </c>
      <c r="PB74" s="155">
        <f>IF($MQ74=0,MAX(0,$NE74-IF(AND($OS74&gt;0,COUNTIF($MZ74:$NA74,"?*")=0),1,0)),MAX(0,$PA74))</f>
        <v/>
      </c>
      <c r="PC74" s="155">
        <f>IF($MQ74=0,0,(IF(COUNTIF($MV74:$MY74,"Salto")&gt;0,1,0)+IF(COUNTIF($MV74:$MY74,"Queima")&gt;0,1,0)+IF(COUNTIF($MV74:$MY74,"Estilhaço")&gt;0,1,0))*FLOOR($PB74/2,1))</f>
        <v/>
      </c>
      <c r="PD74" s="155">
        <f>MAX(0,2-SUMPRODUCT($OK74:$OP74,$I$2:$N$2)+MIN(2,$OQ74*1+$OR74*1,SUMPRODUCT($OK74:$OP74,$I$2:$N$2)-IF($NQ74=0,0,INDEX($I$2:$N$2,1,$NQ74))))</f>
        <v/>
      </c>
      <c r="PE74" s="155">
        <f>MAX(0,4-SUMPRODUCT($OK74:$OP74,$I$3:$N$3)+MIN(4,$OQ74*1+$OR74*2,SUMPRODUCT($OK74:$OP74,$I$3:$N$3)-IF($NQ74=0,0,INDEX($I$3:$N$3,1,$NQ74))))</f>
        <v/>
      </c>
      <c r="PF74" s="155">
        <f>MAX(0,6-SUMPRODUCT($OK74:$OP74,$I$4:$N$4)+MIN(6,$OQ74*2+$OR74*3,SUMPRODUCT($OK74:$OP74,$I$4:$N$4)-IF($NQ74=0,0,INDEX($I$4:$N$4,1,$NQ74))))</f>
        <v/>
      </c>
      <c r="PG74" s="155">
        <f>MAX(0,9-SUMPRODUCT($OK74:$OP74,$I$5:$N$5)+MIN(8,$OQ74*2+$OR74*4,SUMPRODUCT($OK74:$OP74,$I$5:$N$5)-IF($NQ74=0,0,INDEX($I$5:$N$5,1,$NQ74))))</f>
        <v/>
      </c>
      <c r="PH74" s="155">
        <f>MAX(0,11-SUMPRODUCT($OK74:$OP74,$I$6:$N$6)+MIN(10,$OQ74*3+$OR74*5,SUMPRODUCT($OK74:$OP74,$I$6:$N$6)-IF($NQ74=0,0,INDEX($I$6:$N$6,1,$NQ74))))</f>
        <v/>
      </c>
      <c r="PI74" s="155">
        <f>MAX(0,13-SUMPRODUCT($OK74:$OP74,$I$7:$N$7)+MIN(12,$OQ74*3+$OR74*6,SUMPRODUCT($OK74:$OP74,$I$7:$N$7)-IF($NQ74=0,0,INDEX($I$7:$N$7,1,$NQ74))))</f>
        <v/>
      </c>
      <c r="PJ74" s="155">
        <f>MAX(0,16-SUMPRODUCT($OK74:$OP74,$I$8:$N$8)+MIN(14,$OQ74*4+$OR74*7,SUMPRODUCT($OK74:$OP74,$I$8:$N$8)-IF($NQ74=0,0,INDEX($I$8:$N$8,1,$NQ74))))</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Melhoria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 Fundo</t>
        </is>
      </c>
      <c r="AW75" s="153" t="inlineStr">
        <is>
          <t>Amparo</t>
        </is>
      </c>
      <c r="AX75" s="155" t="n">
        <v>3</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IFERROR(VLOOKUP($MV75,$AV$2:$BA$83,2,FALSE),"")</f>
        <v/>
      </c>
      <c r="NJ75" s="155">
        <f>IFERROR(VLOOKUP($MW75,$AV$2:$BA$83,2,FALSE),"")</f>
        <v/>
      </c>
      <c r="NK75" s="155">
        <f>IFERROR(VLOOKUP($MX75,$AV$2:$BA$83,2,FALSE),"")</f>
        <v/>
      </c>
      <c r="NL75" s="155">
        <f>IFERROR(VLOOKUP($MY75,$AV$2:$BA$83,2,FALSE),"")</f>
        <v/>
      </c>
      <c r="NM75" s="155">
        <f>IFERROR(VLOOKUP($MV75,$AV$2:$BA$83,3,FALSE),0)</f>
        <v/>
      </c>
      <c r="NN75" s="155">
        <f>IFERROR(VLOOKUP($MW75,$AV$2:$BA$83,3,FALSE),0)</f>
        <v/>
      </c>
      <c r="NO75" s="155">
        <f>IFERROR(VLOOKUP($MX75,$AV$2:$BA$83,3,FALSE),0)</f>
        <v/>
      </c>
      <c r="NP75" s="155">
        <f>IFERROR(VLOOKUP($MY75,$AV$2:$BA$83,3,FALSE),0)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IFERROR(VLOOKUP($MV75,$AV$2:$BA$83,4,FALSE),0)+IFERROR(VLOOKUP($MW75,$AV$2:$BA$83,4,FALSE),0)+IFERROR(VLOOKUP($MX75,$AV$2:$BA$83,4,FALSE),0)+IFERROR(VLOOKUP($MY75,$AV$2:$BA$83,4,FALSE),0)</f>
        <v/>
      </c>
      <c r="OB75" s="155">
        <f>IFERROR(VLOOKUP($MV75,$AV$2:$BA$83,6,FALSE),0)+IFERROR(VLOOKUP($MW75,$AV$2:$BA$83,6,FALSE),0)+IFERROR(VLOOKUP($MX75,$AV$2:$BA$83,6,FALSE),0)+IFERROR(VLOOKUP($MY75,$AV$2:$BA$83,6,FALSE),0)</f>
        <v/>
      </c>
      <c r="OC75" s="155">
        <f>TEXTJOIN(", ",TRUE,IF(IFERROR(VLOOKUP($MV75,$AV$2:$BA$83,5,FALSE),0)=1,$MV75,""),IF(IFERROR(VLOOKUP($MW75,$AV$2:$BA$83,5,FALSE),0)=1,$MW75,""),IF(IFERROR(VLOOKUP($MX75,$AV$2:$BA$83,5,FALSE),0)=1,$MX75,""),IF(IFERROR(VLOOKUP($MY75,$AV$2:$BA$83,5,FALSE),0)=1,$MY75,""))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MIN($OW75,$OU75-IF($NQ75=0,0,INDEX($I$2:$N$8,MAX(1,$MQ75),$NQ75)))</f>
        <v/>
      </c>
      <c r="OY75" s="155">
        <f>$OW75-$OX75</f>
        <v/>
      </c>
      <c r="OZ75" s="155">
        <f>IF($MQ75=0,0,INDEX($P$2:$P$8,MAX(1,$MQ75)))</f>
        <v/>
      </c>
      <c r="PA75" s="155">
        <f>$OZ75-$OU75+$OX75</f>
        <v/>
      </c>
      <c r="PB75" s="155">
        <f>IF($MQ75=0,MAX(0,$NE75-IF(AND($OS75&gt;0,COUNTIF($MZ75:$NA75,"?*")=0),1,0)),MAX(0,$PA75))</f>
        <v/>
      </c>
      <c r="PC75" s="155">
        <f>IF($MQ75=0,0,(IF(COUNTIF($MV75:$MY75,"Salto")&gt;0,1,0)+IF(COUNTIF($MV75:$MY75,"Queima")&gt;0,1,0)+IF(COUNTIF($MV75:$MY75,"Estilhaço")&gt;0,1,0))*FLOOR($PB75/2,1))</f>
        <v/>
      </c>
      <c r="PD75" s="155">
        <f>MAX(0,2-SUMPRODUCT($OK75:$OP75,$I$2:$N$2)+MIN(2,$OQ75*1+$OR75*1,SUMPRODUCT($OK75:$OP75,$I$2:$N$2)-IF($NQ75=0,0,INDEX($I$2:$N$2,1,$NQ75))))</f>
        <v/>
      </c>
      <c r="PE75" s="155">
        <f>MAX(0,4-SUMPRODUCT($OK75:$OP75,$I$3:$N$3)+MIN(4,$OQ75*1+$OR75*2,SUMPRODUCT($OK75:$OP75,$I$3:$N$3)-IF($NQ75=0,0,INDEX($I$3:$N$3,1,$NQ75))))</f>
        <v/>
      </c>
      <c r="PF75" s="155">
        <f>MAX(0,6-SUMPRODUCT($OK75:$OP75,$I$4:$N$4)+MIN(6,$OQ75*2+$OR75*3,SUMPRODUCT($OK75:$OP75,$I$4:$N$4)-IF($NQ75=0,0,INDEX($I$4:$N$4,1,$NQ75))))</f>
        <v/>
      </c>
      <c r="PG75" s="155">
        <f>MAX(0,9-SUMPRODUCT($OK75:$OP75,$I$5:$N$5)+MIN(8,$OQ75*2+$OR75*4,SUMPRODUCT($OK75:$OP75,$I$5:$N$5)-IF($NQ75=0,0,INDEX($I$5:$N$5,1,$NQ75))))</f>
        <v/>
      </c>
      <c r="PH75" s="155">
        <f>MAX(0,11-SUMPRODUCT($OK75:$OP75,$I$6:$N$6)+MIN(10,$OQ75*3+$OR75*5,SUMPRODUCT($OK75:$OP75,$I$6:$N$6)-IF($NQ75=0,0,INDEX($I$6:$N$6,1,$NQ75))))</f>
        <v/>
      </c>
      <c r="PI75" s="155">
        <f>MAX(0,13-SUMPRODUCT($OK75:$OP75,$I$7:$N$7)+MIN(12,$OQ75*3+$OR75*6,SUMPRODUCT($OK75:$OP75,$I$7:$N$7)-IF($NQ75=0,0,INDEX($I$7:$N$7,1,$NQ75))))</f>
        <v/>
      </c>
      <c r="PJ75" s="155">
        <f>MAX(0,16-SUMPRODUCT($OK75:$OP75,$I$8:$N$8)+MIN(14,$OQ75*4+$OR75*7,SUMPRODUCT($OK75:$OP75,$I$8:$N$8)-IF($NQ75=0,0,INDEX($I$8:$N$8,1,$NQ75))))</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Melhoria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Levanta</t>
        </is>
      </c>
      <c r="AW76" s="153" t="inlineStr">
        <is>
          <t>Amparo</t>
        </is>
      </c>
      <c r="AX76" s="155" t="n">
        <v>3</v>
      </c>
      <c r="AY76" s="155" t="n">
        <v>0</v>
      </c>
      <c r="AZ76" s="155" t="n">
        <v>1</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IFERROR(VLOOKUP($MV76,$AV$2:$BA$83,2,FALSE),"")</f>
        <v/>
      </c>
      <c r="NJ76" s="155">
        <f>IFERROR(VLOOKUP($MW76,$AV$2:$BA$83,2,FALSE),"")</f>
        <v/>
      </c>
      <c r="NK76" s="155">
        <f>IFERROR(VLOOKUP($MX76,$AV$2:$BA$83,2,FALSE),"")</f>
        <v/>
      </c>
      <c r="NL76" s="155">
        <f>IFERROR(VLOOKUP($MY76,$AV$2:$BA$83,2,FALSE),"")</f>
        <v/>
      </c>
      <c r="NM76" s="155">
        <f>IFERROR(VLOOKUP($MV76,$AV$2:$BA$83,3,FALSE),0)</f>
        <v/>
      </c>
      <c r="NN76" s="155">
        <f>IFERROR(VLOOKUP($MW76,$AV$2:$BA$83,3,FALSE),0)</f>
        <v/>
      </c>
      <c r="NO76" s="155">
        <f>IFERROR(VLOOKUP($MX76,$AV$2:$BA$83,3,FALSE),0)</f>
        <v/>
      </c>
      <c r="NP76" s="155">
        <f>IFERROR(VLOOKUP($MY76,$AV$2:$BA$83,3,FALSE),0)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IFERROR(VLOOKUP($MV76,$AV$2:$BA$83,4,FALSE),0)+IFERROR(VLOOKUP($MW76,$AV$2:$BA$83,4,FALSE),0)+IFERROR(VLOOKUP($MX76,$AV$2:$BA$83,4,FALSE),0)+IFERROR(VLOOKUP($MY76,$AV$2:$BA$83,4,FALSE),0)</f>
        <v/>
      </c>
      <c r="OB76" s="155">
        <f>IFERROR(VLOOKUP($MV76,$AV$2:$BA$83,6,FALSE),0)+IFERROR(VLOOKUP($MW76,$AV$2:$BA$83,6,FALSE),0)+IFERROR(VLOOKUP($MX76,$AV$2:$BA$83,6,FALSE),0)+IFERROR(VLOOKUP($MY76,$AV$2:$BA$83,6,FALSE),0)</f>
        <v/>
      </c>
      <c r="OC76" s="155">
        <f>TEXTJOIN(", ",TRUE,IF(IFERROR(VLOOKUP($MV76,$AV$2:$BA$83,5,FALSE),0)=1,$MV76,""),IF(IFERROR(VLOOKUP($MW76,$AV$2:$BA$83,5,FALSE),0)=1,$MW76,""),IF(IFERROR(VLOOKUP($MX76,$AV$2:$BA$83,5,FALSE),0)=1,$MX76,""),IF(IFERROR(VLOOKUP($MY76,$AV$2:$BA$83,5,FALSE),0)=1,$MY76,""))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MIN($OW76,$OU76-IF($NQ76=0,0,INDEX($I$2:$N$8,MAX(1,$MQ76),$NQ76)))</f>
        <v/>
      </c>
      <c r="OY76" s="155">
        <f>$OW76-$OX76</f>
        <v/>
      </c>
      <c r="OZ76" s="155">
        <f>IF($MQ76=0,0,INDEX($P$2:$P$8,MAX(1,$MQ76)))</f>
        <v/>
      </c>
      <c r="PA76" s="155">
        <f>$OZ76-$OU76+$OX76</f>
        <v/>
      </c>
      <c r="PB76" s="155">
        <f>IF($MQ76=0,MAX(0,$NE76-IF(AND($OS76&gt;0,COUNTIF($MZ76:$NA76,"?*")=0),1,0)),MAX(0,$PA76))</f>
        <v/>
      </c>
      <c r="PC76" s="155">
        <f>IF($MQ76=0,0,(IF(COUNTIF($MV76:$MY76,"Salto")&gt;0,1,0)+IF(COUNTIF($MV76:$MY76,"Queima")&gt;0,1,0)+IF(COUNTIF($MV76:$MY76,"Estilhaço")&gt;0,1,0))*FLOOR($PB76/2,1))</f>
        <v/>
      </c>
      <c r="PD76" s="155">
        <f>MAX(0,2-SUMPRODUCT($OK76:$OP76,$I$2:$N$2)+MIN(2,$OQ76*1+$OR76*1,SUMPRODUCT($OK76:$OP76,$I$2:$N$2)-IF($NQ76=0,0,INDEX($I$2:$N$2,1,$NQ76))))</f>
        <v/>
      </c>
      <c r="PE76" s="155">
        <f>MAX(0,4-SUMPRODUCT($OK76:$OP76,$I$3:$N$3)+MIN(4,$OQ76*1+$OR76*2,SUMPRODUCT($OK76:$OP76,$I$3:$N$3)-IF($NQ76=0,0,INDEX($I$3:$N$3,1,$NQ76))))</f>
        <v/>
      </c>
      <c r="PF76" s="155">
        <f>MAX(0,6-SUMPRODUCT($OK76:$OP76,$I$4:$N$4)+MIN(6,$OQ76*2+$OR76*3,SUMPRODUCT($OK76:$OP76,$I$4:$N$4)-IF($NQ76=0,0,INDEX($I$4:$N$4,1,$NQ76))))</f>
        <v/>
      </c>
      <c r="PG76" s="155">
        <f>MAX(0,9-SUMPRODUCT($OK76:$OP76,$I$5:$N$5)+MIN(8,$OQ76*2+$OR76*4,SUMPRODUCT($OK76:$OP76,$I$5:$N$5)-IF($NQ76=0,0,INDEX($I$5:$N$5,1,$NQ76))))</f>
        <v/>
      </c>
      <c r="PH76" s="155">
        <f>MAX(0,11-SUMPRODUCT($OK76:$OP76,$I$6:$N$6)+MIN(10,$OQ76*3+$OR76*5,SUMPRODUCT($OK76:$OP76,$I$6:$N$6)-IF($NQ76=0,0,INDEX($I$6:$N$6,1,$NQ76))))</f>
        <v/>
      </c>
      <c r="PI76" s="155">
        <f>MAX(0,13-SUMPRODUCT($OK76:$OP76,$I$7:$N$7)+MIN(12,$OQ76*3+$OR76*6,SUMPRODUCT($OK76:$OP76,$I$7:$N$7)-IF($NQ76=0,0,INDEX($I$7:$N$7,1,$NQ76))))</f>
        <v/>
      </c>
      <c r="PJ76" s="155">
        <f>MAX(0,16-SUMPRODUCT($OK76:$OP76,$I$8:$N$8)+MIN(14,$OQ76*4+$OR76*7,SUMPRODUCT($OK76:$OP76,$I$8:$N$8)-IF($NQ76=0,0,INDEX($I$8:$N$8,1,$NQ76))))</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Melhoria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Remenda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IFERROR(VLOOKUP($MV77,$AV$2:$BA$83,2,FALSE),"")</f>
        <v/>
      </c>
      <c r="NJ77" s="155">
        <f>IFERROR(VLOOKUP($MW77,$AV$2:$BA$83,2,FALSE),"")</f>
        <v/>
      </c>
      <c r="NK77" s="155">
        <f>IFERROR(VLOOKUP($MX77,$AV$2:$BA$83,2,FALSE),"")</f>
        <v/>
      </c>
      <c r="NL77" s="155">
        <f>IFERROR(VLOOKUP($MY77,$AV$2:$BA$83,2,FALSE),"")</f>
        <v/>
      </c>
      <c r="NM77" s="155">
        <f>IFERROR(VLOOKUP($MV77,$AV$2:$BA$83,3,FALSE),0)</f>
        <v/>
      </c>
      <c r="NN77" s="155">
        <f>IFERROR(VLOOKUP($MW77,$AV$2:$BA$83,3,FALSE),0)</f>
        <v/>
      </c>
      <c r="NO77" s="155">
        <f>IFERROR(VLOOKUP($MX77,$AV$2:$BA$83,3,FALSE),0)</f>
        <v/>
      </c>
      <c r="NP77" s="155">
        <f>IFERROR(VLOOKUP($MY77,$AV$2:$BA$83,3,FALSE),0)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IFERROR(VLOOKUP($MV77,$AV$2:$BA$83,4,FALSE),0)+IFERROR(VLOOKUP($MW77,$AV$2:$BA$83,4,FALSE),0)+IFERROR(VLOOKUP($MX77,$AV$2:$BA$83,4,FALSE),0)+IFERROR(VLOOKUP($MY77,$AV$2:$BA$83,4,FALSE),0)</f>
        <v/>
      </c>
      <c r="OB77" s="155">
        <f>IFERROR(VLOOKUP($MV77,$AV$2:$BA$83,6,FALSE),0)+IFERROR(VLOOKUP($MW77,$AV$2:$BA$83,6,FALSE),0)+IFERROR(VLOOKUP($MX77,$AV$2:$BA$83,6,FALSE),0)+IFERROR(VLOOKUP($MY77,$AV$2:$BA$83,6,FALSE),0)</f>
        <v/>
      </c>
      <c r="OC77" s="155">
        <f>TEXTJOIN(", ",TRUE,IF(IFERROR(VLOOKUP($MV77,$AV$2:$BA$83,5,FALSE),0)=1,$MV77,""),IF(IFERROR(VLOOKUP($MW77,$AV$2:$BA$83,5,FALSE),0)=1,$MW77,""),IF(IFERROR(VLOOKUP($MX77,$AV$2:$BA$83,5,FALSE),0)=1,$MX77,""),IF(IFERROR(VLOOKUP($MY77,$AV$2:$BA$83,5,FALSE),0)=1,$MY77,""))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MIN($OW77,$OU77-IF($NQ77=0,0,INDEX($I$2:$N$8,MAX(1,$MQ77),$NQ77)))</f>
        <v/>
      </c>
      <c r="OY77" s="155">
        <f>$OW77-$OX77</f>
        <v/>
      </c>
      <c r="OZ77" s="155">
        <f>IF($MQ77=0,0,INDEX($P$2:$P$8,MAX(1,$MQ77)))</f>
        <v/>
      </c>
      <c r="PA77" s="155">
        <f>$OZ77-$OU77+$OX77</f>
        <v/>
      </c>
      <c r="PB77" s="155">
        <f>IF($MQ77=0,MAX(0,$NE77-IF(AND($OS77&gt;0,COUNTIF($MZ77:$NA77,"?*")=0),1,0)),MAX(0,$PA77))</f>
        <v/>
      </c>
      <c r="PC77" s="155">
        <f>IF($MQ77=0,0,(IF(COUNTIF($MV77:$MY77,"Salto")&gt;0,1,0)+IF(COUNTIF($MV77:$MY77,"Queima")&gt;0,1,0)+IF(COUNTIF($MV77:$MY77,"Estilhaço")&gt;0,1,0))*FLOOR($PB77/2,1))</f>
        <v/>
      </c>
      <c r="PD77" s="155">
        <f>MAX(0,2-SUMPRODUCT($OK77:$OP77,$I$2:$N$2)+MIN(2,$OQ77*1+$OR77*1,SUMPRODUCT($OK77:$OP77,$I$2:$N$2)-IF($NQ77=0,0,INDEX($I$2:$N$2,1,$NQ77))))</f>
        <v/>
      </c>
      <c r="PE77" s="155">
        <f>MAX(0,4-SUMPRODUCT($OK77:$OP77,$I$3:$N$3)+MIN(4,$OQ77*1+$OR77*2,SUMPRODUCT($OK77:$OP77,$I$3:$N$3)-IF($NQ77=0,0,INDEX($I$3:$N$3,1,$NQ77))))</f>
        <v/>
      </c>
      <c r="PF77" s="155">
        <f>MAX(0,6-SUMPRODUCT($OK77:$OP77,$I$4:$N$4)+MIN(6,$OQ77*2+$OR77*3,SUMPRODUCT($OK77:$OP77,$I$4:$N$4)-IF($NQ77=0,0,INDEX($I$4:$N$4,1,$NQ77))))</f>
        <v/>
      </c>
      <c r="PG77" s="155">
        <f>MAX(0,9-SUMPRODUCT($OK77:$OP77,$I$5:$N$5)+MIN(8,$OQ77*2+$OR77*4,SUMPRODUCT($OK77:$OP77,$I$5:$N$5)-IF($NQ77=0,0,INDEX($I$5:$N$5,1,$NQ77))))</f>
        <v/>
      </c>
      <c r="PH77" s="155">
        <f>MAX(0,11-SUMPRODUCT($OK77:$OP77,$I$6:$N$6)+MIN(10,$OQ77*3+$OR77*5,SUMPRODUCT($OK77:$OP77,$I$6:$N$6)-IF($NQ77=0,0,INDEX($I$6:$N$6,1,$NQ77))))</f>
        <v/>
      </c>
      <c r="PI77" s="155">
        <f>MAX(0,13-SUMPRODUCT($OK77:$OP77,$I$7:$N$7)+MIN(12,$OQ77*3+$OR77*6,SUMPRODUCT($OK77:$OP77,$I$7:$N$7)-IF($NQ77=0,0,INDEX($I$7:$N$7,1,$NQ77))))</f>
        <v/>
      </c>
      <c r="PJ77" s="155">
        <f>MAX(0,16-SUMPRODUCT($OK77:$OP77,$I$8:$N$8)+MIN(14,$OQ77*4+$OR77*7,SUMPRODUCT($OK77:$OP77,$I$8:$N$8)-IF($NQ77=0,0,INDEX($I$8:$N$8,1,$NQ77))))</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Melhoria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Divide</t>
        </is>
      </c>
      <c r="AW78" s="153" t="inlineStr">
        <is>
          <t>Amparo</t>
        </is>
      </c>
      <c r="AX78" s="155" t="n">
        <v>2</v>
      </c>
      <c r="AY78" s="155" t="n">
        <v>0</v>
      </c>
      <c r="AZ78" s="155" t="n">
        <v>0</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IFERROR(VLOOKUP($MV78,$AV$2:$BA$83,2,FALSE),"")</f>
        <v/>
      </c>
      <c r="NJ78" s="155">
        <f>IFERROR(VLOOKUP($MW78,$AV$2:$BA$83,2,FALSE),"")</f>
        <v/>
      </c>
      <c r="NK78" s="155">
        <f>IFERROR(VLOOKUP($MX78,$AV$2:$BA$83,2,FALSE),"")</f>
        <v/>
      </c>
      <c r="NL78" s="155">
        <f>IFERROR(VLOOKUP($MY78,$AV$2:$BA$83,2,FALSE),"")</f>
        <v/>
      </c>
      <c r="NM78" s="155">
        <f>IFERROR(VLOOKUP($MV78,$AV$2:$BA$83,3,FALSE),0)</f>
        <v/>
      </c>
      <c r="NN78" s="155">
        <f>IFERROR(VLOOKUP($MW78,$AV$2:$BA$83,3,FALSE),0)</f>
        <v/>
      </c>
      <c r="NO78" s="155">
        <f>IFERROR(VLOOKUP($MX78,$AV$2:$BA$83,3,FALSE),0)</f>
        <v/>
      </c>
      <c r="NP78" s="155">
        <f>IFERROR(VLOOKUP($MY78,$AV$2:$BA$83,3,FALSE),0)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IFERROR(VLOOKUP($MV78,$AV$2:$BA$83,4,FALSE),0)+IFERROR(VLOOKUP($MW78,$AV$2:$BA$83,4,FALSE),0)+IFERROR(VLOOKUP($MX78,$AV$2:$BA$83,4,FALSE),0)+IFERROR(VLOOKUP($MY78,$AV$2:$BA$83,4,FALSE),0)</f>
        <v/>
      </c>
      <c r="OB78" s="155">
        <f>IFERROR(VLOOKUP($MV78,$AV$2:$BA$83,6,FALSE),0)+IFERROR(VLOOKUP($MW78,$AV$2:$BA$83,6,FALSE),0)+IFERROR(VLOOKUP($MX78,$AV$2:$BA$83,6,FALSE),0)+IFERROR(VLOOKUP($MY78,$AV$2:$BA$83,6,FALSE),0)</f>
        <v/>
      </c>
      <c r="OC78" s="155">
        <f>TEXTJOIN(", ",TRUE,IF(IFERROR(VLOOKUP($MV78,$AV$2:$BA$83,5,FALSE),0)=1,$MV78,""),IF(IFERROR(VLOOKUP($MW78,$AV$2:$BA$83,5,FALSE),0)=1,$MW78,""),IF(IFERROR(VLOOKUP($MX78,$AV$2:$BA$83,5,FALSE),0)=1,$MX78,""),IF(IFERROR(VLOOKUP($MY78,$AV$2:$BA$83,5,FALSE),0)=1,$MY78,""))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MIN($OW78,$OU78-IF($NQ78=0,0,INDEX($I$2:$N$8,MAX(1,$MQ78),$NQ78)))</f>
        <v/>
      </c>
      <c r="OY78" s="155">
        <f>$OW78-$OX78</f>
        <v/>
      </c>
      <c r="OZ78" s="155">
        <f>IF($MQ78=0,0,INDEX($P$2:$P$8,MAX(1,$MQ78)))</f>
        <v/>
      </c>
      <c r="PA78" s="155">
        <f>$OZ78-$OU78+$OX78</f>
        <v/>
      </c>
      <c r="PB78" s="155">
        <f>IF($MQ78=0,MAX(0,$NE78-IF(AND($OS78&gt;0,COUNTIF($MZ78:$NA78,"?*")=0),1,0)),MAX(0,$PA78))</f>
        <v/>
      </c>
      <c r="PC78" s="155">
        <f>IF($MQ78=0,0,(IF(COUNTIF($MV78:$MY78,"Salto")&gt;0,1,0)+IF(COUNTIF($MV78:$MY78,"Queima")&gt;0,1,0)+IF(COUNTIF($MV78:$MY78,"Estilhaço")&gt;0,1,0))*FLOOR($PB78/2,1))</f>
        <v/>
      </c>
      <c r="PD78" s="155">
        <f>MAX(0,2-SUMPRODUCT($OK78:$OP78,$I$2:$N$2)+MIN(2,$OQ78*1+$OR78*1,SUMPRODUCT($OK78:$OP78,$I$2:$N$2)-IF($NQ78=0,0,INDEX($I$2:$N$2,1,$NQ78))))</f>
        <v/>
      </c>
      <c r="PE78" s="155">
        <f>MAX(0,4-SUMPRODUCT($OK78:$OP78,$I$3:$N$3)+MIN(4,$OQ78*1+$OR78*2,SUMPRODUCT($OK78:$OP78,$I$3:$N$3)-IF($NQ78=0,0,INDEX($I$3:$N$3,1,$NQ78))))</f>
        <v/>
      </c>
      <c r="PF78" s="155">
        <f>MAX(0,6-SUMPRODUCT($OK78:$OP78,$I$4:$N$4)+MIN(6,$OQ78*2+$OR78*3,SUMPRODUCT($OK78:$OP78,$I$4:$N$4)-IF($NQ78=0,0,INDEX($I$4:$N$4,1,$NQ78))))</f>
        <v/>
      </c>
      <c r="PG78" s="155">
        <f>MAX(0,9-SUMPRODUCT($OK78:$OP78,$I$5:$N$5)+MIN(8,$OQ78*2+$OR78*4,SUMPRODUCT($OK78:$OP78,$I$5:$N$5)-IF($NQ78=0,0,INDEX($I$5:$N$5,1,$NQ78))))</f>
        <v/>
      </c>
      <c r="PH78" s="155">
        <f>MAX(0,11-SUMPRODUCT($OK78:$OP78,$I$6:$N$6)+MIN(10,$OQ78*3+$OR78*5,SUMPRODUCT($OK78:$OP78,$I$6:$N$6)-IF($NQ78=0,0,INDEX($I$6:$N$6,1,$NQ78))))</f>
        <v/>
      </c>
      <c r="PI78" s="155">
        <f>MAX(0,13-SUMPRODUCT($OK78:$OP78,$I$7:$N$7)+MIN(12,$OQ78*3+$OR78*6,SUMPRODUCT($OK78:$OP78,$I$7:$N$7)-IF($NQ78=0,0,INDEX($I$7:$N$7,1,$NQ78))))</f>
        <v/>
      </c>
      <c r="PJ78" s="155">
        <f>MAX(0,16-SUMPRODUCT($OK78:$OP78,$I$8:$N$8)+MIN(14,$OQ78*4+$OR78*7,SUMPRODUCT($OK78:$OP78,$I$8:$N$8)-IF($NQ78=0,0,INDEX($I$8:$N$8,1,$NQ78))))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Melhoria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Junto</t>
        </is>
      </c>
      <c r="AW79" s="153" t="inlineStr">
        <is>
          <t>Amparo</t>
        </is>
      </c>
      <c r="AX79" s="155" t="n">
        <v>1</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IFERROR(VLOOKUP($MV79,$AV$2:$BA$83,2,FALSE),"")</f>
        <v/>
      </c>
      <c r="NJ79" s="155">
        <f>IFERROR(VLOOKUP($MW79,$AV$2:$BA$83,2,FALSE),"")</f>
        <v/>
      </c>
      <c r="NK79" s="155">
        <f>IFERROR(VLOOKUP($MX79,$AV$2:$BA$83,2,FALSE),"")</f>
        <v/>
      </c>
      <c r="NL79" s="155">
        <f>IFERROR(VLOOKUP($MY79,$AV$2:$BA$83,2,FALSE),"")</f>
        <v/>
      </c>
      <c r="NM79" s="155">
        <f>IFERROR(VLOOKUP($MV79,$AV$2:$BA$83,3,FALSE),0)</f>
        <v/>
      </c>
      <c r="NN79" s="155">
        <f>IFERROR(VLOOKUP($MW79,$AV$2:$BA$83,3,FALSE),0)</f>
        <v/>
      </c>
      <c r="NO79" s="155">
        <f>IFERROR(VLOOKUP($MX79,$AV$2:$BA$83,3,FALSE),0)</f>
        <v/>
      </c>
      <c r="NP79" s="155">
        <f>IFERROR(VLOOKUP($MY79,$AV$2:$BA$83,3,FALSE),0)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IFERROR(VLOOKUP($MV79,$AV$2:$BA$83,4,FALSE),0)+IFERROR(VLOOKUP($MW79,$AV$2:$BA$83,4,FALSE),0)+IFERROR(VLOOKUP($MX79,$AV$2:$BA$83,4,FALSE),0)+IFERROR(VLOOKUP($MY79,$AV$2:$BA$83,4,FALSE),0)</f>
        <v/>
      </c>
      <c r="OB79" s="155">
        <f>IFERROR(VLOOKUP($MV79,$AV$2:$BA$83,6,FALSE),0)+IFERROR(VLOOKUP($MW79,$AV$2:$BA$83,6,FALSE),0)+IFERROR(VLOOKUP($MX79,$AV$2:$BA$83,6,FALSE),0)+IFERROR(VLOOKUP($MY79,$AV$2:$BA$83,6,FALSE),0)</f>
        <v/>
      </c>
      <c r="OC79" s="155">
        <f>TEXTJOIN(", ",TRUE,IF(IFERROR(VLOOKUP($MV79,$AV$2:$BA$83,5,FALSE),0)=1,$MV79,""),IF(IFERROR(VLOOKUP($MW79,$AV$2:$BA$83,5,FALSE),0)=1,$MW79,""),IF(IFERROR(VLOOKUP($MX79,$AV$2:$BA$83,5,FALSE),0)=1,$MX79,""),IF(IFERROR(VLOOKUP($MY79,$AV$2:$BA$83,5,FALSE),0)=1,$MY79,""))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MIN($OW79,$OU79-IF($NQ79=0,0,INDEX($I$2:$N$8,MAX(1,$MQ79),$NQ79)))</f>
        <v/>
      </c>
      <c r="OY79" s="155">
        <f>$OW79-$OX79</f>
        <v/>
      </c>
      <c r="OZ79" s="155">
        <f>IF($MQ79=0,0,INDEX($P$2:$P$8,MAX(1,$MQ79)))</f>
        <v/>
      </c>
      <c r="PA79" s="155">
        <f>$OZ79-$OU79+$OX79</f>
        <v/>
      </c>
      <c r="PB79" s="155">
        <f>IF($MQ79=0,MAX(0,$NE79-IF(AND($OS79&gt;0,COUNTIF($MZ79:$NA79,"?*")=0),1,0)),MAX(0,$PA79))</f>
        <v/>
      </c>
      <c r="PC79" s="155">
        <f>IF($MQ79=0,0,(IF(COUNTIF($MV79:$MY79,"Salto")&gt;0,1,0)+IF(COUNTIF($MV79:$MY79,"Queima")&gt;0,1,0)+IF(COUNTIF($MV79:$MY79,"Estilhaço")&gt;0,1,0))*FLOOR($PB79/2,1))</f>
        <v/>
      </c>
      <c r="PD79" s="155">
        <f>MAX(0,2-SUMPRODUCT($OK79:$OP79,$I$2:$N$2)+MIN(2,$OQ79*1+$OR79*1,SUMPRODUCT($OK79:$OP79,$I$2:$N$2)-IF($NQ79=0,0,INDEX($I$2:$N$2,1,$NQ79))))</f>
        <v/>
      </c>
      <c r="PE79" s="155">
        <f>MAX(0,4-SUMPRODUCT($OK79:$OP79,$I$3:$N$3)+MIN(4,$OQ79*1+$OR79*2,SUMPRODUCT($OK79:$OP79,$I$3:$N$3)-IF($NQ79=0,0,INDEX($I$3:$N$3,1,$NQ79))))</f>
        <v/>
      </c>
      <c r="PF79" s="155">
        <f>MAX(0,6-SUMPRODUCT($OK79:$OP79,$I$4:$N$4)+MIN(6,$OQ79*2+$OR79*3,SUMPRODUCT($OK79:$OP79,$I$4:$N$4)-IF($NQ79=0,0,INDEX($I$4:$N$4,1,$NQ79))))</f>
        <v/>
      </c>
      <c r="PG79" s="155">
        <f>MAX(0,9-SUMPRODUCT($OK79:$OP79,$I$5:$N$5)+MIN(8,$OQ79*2+$OR79*4,SUMPRODUCT($OK79:$OP79,$I$5:$N$5)-IF($NQ79=0,0,INDEX($I$5:$N$5,1,$NQ79))))</f>
        <v/>
      </c>
      <c r="PH79" s="155">
        <f>MAX(0,11-SUMPRODUCT($OK79:$OP79,$I$6:$N$6)+MIN(10,$OQ79*3+$OR79*5,SUMPRODUCT($OK79:$OP79,$I$6:$N$6)-IF($NQ79=0,0,INDEX($I$6:$N$6,1,$NQ79))))</f>
        <v/>
      </c>
      <c r="PI79" s="155">
        <f>MAX(0,13-SUMPRODUCT($OK79:$OP79,$I$7:$N$7)+MIN(12,$OQ79*3+$OR79*6,SUMPRODUCT($OK79:$OP79,$I$7:$N$7)-IF($NQ79=0,0,INDEX($I$7:$N$7,1,$NQ79))))</f>
        <v/>
      </c>
      <c r="PJ79" s="155">
        <f>MAX(0,16-SUMPRODUCT($OK79:$OP79,$I$8:$N$8)+MIN(14,$OQ79*4+$OR79*7,SUMPRODUCT($OK79:$OP79,$I$8:$N$8)-IF($NQ79=0,0,INDEX($I$8:$N$8,1,$NQ79))))</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Melhoria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Reserva</t>
        </is>
      </c>
      <c r="AW80" s="153" t="inlineStr">
        <is>
          <t>Amparo</t>
        </is>
      </c>
      <c r="AX80" s="155" t="n">
        <v>2</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IFERROR(VLOOKUP($MV80,$AV$2:$BA$83,2,FALSE),"")</f>
        <v/>
      </c>
      <c r="NJ80" s="155">
        <f>IFERROR(VLOOKUP($MW80,$AV$2:$BA$83,2,FALSE),"")</f>
        <v/>
      </c>
      <c r="NK80" s="155">
        <f>IFERROR(VLOOKUP($MX80,$AV$2:$BA$83,2,FALSE),"")</f>
        <v/>
      </c>
      <c r="NL80" s="155">
        <f>IFERROR(VLOOKUP($MY80,$AV$2:$BA$83,2,FALSE),"")</f>
        <v/>
      </c>
      <c r="NM80" s="155">
        <f>IFERROR(VLOOKUP($MV80,$AV$2:$BA$83,3,FALSE),0)</f>
        <v/>
      </c>
      <c r="NN80" s="155">
        <f>IFERROR(VLOOKUP($MW80,$AV$2:$BA$83,3,FALSE),0)</f>
        <v/>
      </c>
      <c r="NO80" s="155">
        <f>IFERROR(VLOOKUP($MX80,$AV$2:$BA$83,3,FALSE),0)</f>
        <v/>
      </c>
      <c r="NP80" s="155">
        <f>IFERROR(VLOOKUP($MY80,$AV$2:$BA$83,3,FALSE),0)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IFERROR(VLOOKUP($MV80,$AV$2:$BA$83,4,FALSE),0)+IFERROR(VLOOKUP($MW80,$AV$2:$BA$83,4,FALSE),0)+IFERROR(VLOOKUP($MX80,$AV$2:$BA$83,4,FALSE),0)+IFERROR(VLOOKUP($MY80,$AV$2:$BA$83,4,FALSE),0)</f>
        <v/>
      </c>
      <c r="OB80" s="155">
        <f>IFERROR(VLOOKUP($MV80,$AV$2:$BA$83,6,FALSE),0)+IFERROR(VLOOKUP($MW80,$AV$2:$BA$83,6,FALSE),0)+IFERROR(VLOOKUP($MX80,$AV$2:$BA$83,6,FALSE),0)+IFERROR(VLOOKUP($MY80,$AV$2:$BA$83,6,FALSE),0)</f>
        <v/>
      </c>
      <c r="OC80" s="155">
        <f>TEXTJOIN(", ",TRUE,IF(IFERROR(VLOOKUP($MV80,$AV$2:$BA$83,5,FALSE),0)=1,$MV80,""),IF(IFERROR(VLOOKUP($MW80,$AV$2:$BA$83,5,FALSE),0)=1,$MW80,""),IF(IFERROR(VLOOKUP($MX80,$AV$2:$BA$83,5,FALSE),0)=1,$MX80,""),IF(IFERROR(VLOOKUP($MY80,$AV$2:$BA$83,5,FALSE),0)=1,$MY80,""))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MIN($OW80,$OU80-IF($NQ80=0,0,INDEX($I$2:$N$8,MAX(1,$MQ80),$NQ80)))</f>
        <v/>
      </c>
      <c r="OY80" s="155">
        <f>$OW80-$OX80</f>
        <v/>
      </c>
      <c r="OZ80" s="155">
        <f>IF($MQ80=0,0,INDEX($P$2:$P$8,MAX(1,$MQ80)))</f>
        <v/>
      </c>
      <c r="PA80" s="155">
        <f>$OZ80-$OU80+$OX80</f>
        <v/>
      </c>
      <c r="PB80" s="155">
        <f>IF($MQ80=0,MAX(0,$NE80-IF(AND($OS80&gt;0,COUNTIF($MZ80:$NA80,"?*")=0),1,0)),MAX(0,$PA80))</f>
        <v/>
      </c>
      <c r="PC80" s="155">
        <f>IF($MQ80=0,0,(IF(COUNTIF($MV80:$MY80,"Salto")&gt;0,1,0)+IF(COUNTIF($MV80:$MY80,"Queima")&gt;0,1,0)+IF(COUNTIF($MV80:$MY80,"Estilhaço")&gt;0,1,0))*FLOOR($PB80/2,1))</f>
        <v/>
      </c>
      <c r="PD80" s="155">
        <f>MAX(0,2-SUMPRODUCT($OK80:$OP80,$I$2:$N$2)+MIN(2,$OQ80*1+$OR80*1,SUMPRODUCT($OK80:$OP80,$I$2:$N$2)-IF($NQ80=0,0,INDEX($I$2:$N$2,1,$NQ80))))</f>
        <v/>
      </c>
      <c r="PE80" s="155">
        <f>MAX(0,4-SUMPRODUCT($OK80:$OP80,$I$3:$N$3)+MIN(4,$OQ80*1+$OR80*2,SUMPRODUCT($OK80:$OP80,$I$3:$N$3)-IF($NQ80=0,0,INDEX($I$3:$N$3,1,$NQ80))))</f>
        <v/>
      </c>
      <c r="PF80" s="155">
        <f>MAX(0,6-SUMPRODUCT($OK80:$OP80,$I$4:$N$4)+MIN(6,$OQ80*2+$OR80*3,SUMPRODUCT($OK80:$OP80,$I$4:$N$4)-IF($NQ80=0,0,INDEX($I$4:$N$4,1,$NQ80))))</f>
        <v/>
      </c>
      <c r="PG80" s="155">
        <f>MAX(0,9-SUMPRODUCT($OK80:$OP80,$I$5:$N$5)+MIN(8,$OQ80*2+$OR80*4,SUMPRODUCT($OK80:$OP80,$I$5:$N$5)-IF($NQ80=0,0,INDEX($I$5:$N$5,1,$NQ80))))</f>
        <v/>
      </c>
      <c r="PH80" s="155">
        <f>MAX(0,11-SUMPRODUCT($OK80:$OP80,$I$6:$N$6)+MIN(10,$OQ80*3+$OR80*5,SUMPRODUCT($OK80:$OP80,$I$6:$N$6)-IF($NQ80=0,0,INDEX($I$6:$N$6,1,$NQ80))))</f>
        <v/>
      </c>
      <c r="PI80" s="155">
        <f>MAX(0,13-SUMPRODUCT($OK80:$OP80,$I$7:$N$7)+MIN(12,$OQ80*3+$OR80*6,SUMPRODUCT($OK80:$OP80,$I$7:$N$7)-IF($NQ80=0,0,INDEX($I$7:$N$7,1,$NQ80))))</f>
        <v/>
      </c>
      <c r="PJ80" s="155">
        <f>MAX(0,16-SUMPRODUCT($OK80:$OP80,$I$8:$N$8)+MIN(14,$OQ80*4+$OR80*7,SUMPRODUCT($OK80:$OP80,$I$8:$N$8)-IF($NQ80=0,0,INDEX($I$8:$N$8,1,$NQ80))))</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Melhoria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Efeito Próprio (Leve)</t>
        </is>
      </c>
      <c r="AW81" s="153" t="inlineStr"/>
      <c r="AX81" s="155" t="n">
        <v>1</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IFERROR(VLOOKUP($MV81,$AV$2:$BA$83,2,FALSE),"")</f>
        <v/>
      </c>
      <c r="NJ81" s="155">
        <f>IFERROR(VLOOKUP($MW81,$AV$2:$BA$83,2,FALSE),"")</f>
        <v/>
      </c>
      <c r="NK81" s="155">
        <f>IFERROR(VLOOKUP($MX81,$AV$2:$BA$83,2,FALSE),"")</f>
        <v/>
      </c>
      <c r="NL81" s="155">
        <f>IFERROR(VLOOKUP($MY81,$AV$2:$BA$83,2,FALSE),"")</f>
        <v/>
      </c>
      <c r="NM81" s="155">
        <f>IFERROR(VLOOKUP($MV81,$AV$2:$BA$83,3,FALSE),0)</f>
        <v/>
      </c>
      <c r="NN81" s="155">
        <f>IFERROR(VLOOKUP($MW81,$AV$2:$BA$83,3,FALSE),0)</f>
        <v/>
      </c>
      <c r="NO81" s="155">
        <f>IFERROR(VLOOKUP($MX81,$AV$2:$BA$83,3,FALSE),0)</f>
        <v/>
      </c>
      <c r="NP81" s="155">
        <f>IFERROR(VLOOKUP($MY81,$AV$2:$BA$83,3,FALSE),0)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IFERROR(VLOOKUP($MV81,$AV$2:$BA$83,4,FALSE),0)+IFERROR(VLOOKUP($MW81,$AV$2:$BA$83,4,FALSE),0)+IFERROR(VLOOKUP($MX81,$AV$2:$BA$83,4,FALSE),0)+IFERROR(VLOOKUP($MY81,$AV$2:$BA$83,4,FALSE),0)</f>
        <v/>
      </c>
      <c r="OB81" s="155">
        <f>IFERROR(VLOOKUP($MV81,$AV$2:$BA$83,6,FALSE),0)+IFERROR(VLOOKUP($MW81,$AV$2:$BA$83,6,FALSE),0)+IFERROR(VLOOKUP($MX81,$AV$2:$BA$83,6,FALSE),0)+IFERROR(VLOOKUP($MY81,$AV$2:$BA$83,6,FALSE),0)</f>
        <v/>
      </c>
      <c r="OC81" s="155">
        <f>TEXTJOIN(", ",TRUE,IF(IFERROR(VLOOKUP($MV81,$AV$2:$BA$83,5,FALSE),0)=1,$MV81,""),IF(IFERROR(VLOOKUP($MW81,$AV$2:$BA$83,5,FALSE),0)=1,$MW81,""),IF(IFERROR(VLOOKUP($MX81,$AV$2:$BA$83,5,FALSE),0)=1,$MX81,""),IF(IFERROR(VLOOKUP($MY81,$AV$2:$BA$83,5,FALSE),0)=1,$MY81,""))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MIN($OW81,$OU81-IF($NQ81=0,0,INDEX($I$2:$N$8,MAX(1,$MQ81),$NQ81)))</f>
        <v/>
      </c>
      <c r="OY81" s="155">
        <f>$OW81-$OX81</f>
        <v/>
      </c>
      <c r="OZ81" s="155">
        <f>IF($MQ81=0,0,INDEX($P$2:$P$8,MAX(1,$MQ81)))</f>
        <v/>
      </c>
      <c r="PA81" s="155">
        <f>$OZ81-$OU81+$OX81</f>
        <v/>
      </c>
      <c r="PB81" s="155">
        <f>IF($MQ81=0,MAX(0,$NE81-IF(AND($OS81&gt;0,COUNTIF($MZ81:$NA81,"?*")=0),1,0)),MAX(0,$PA81))</f>
        <v/>
      </c>
      <c r="PC81" s="155">
        <f>IF($MQ81=0,0,(IF(COUNTIF($MV81:$MY81,"Salto")&gt;0,1,0)+IF(COUNTIF($MV81:$MY81,"Queima")&gt;0,1,0)+IF(COUNTIF($MV81:$MY81,"Estilhaço")&gt;0,1,0))*FLOOR($PB81/2,1))</f>
        <v/>
      </c>
      <c r="PD81" s="155">
        <f>MAX(0,2-SUMPRODUCT($OK81:$OP81,$I$2:$N$2)+MIN(2,$OQ81*1+$OR81*1,SUMPRODUCT($OK81:$OP81,$I$2:$N$2)-IF($NQ81=0,0,INDEX($I$2:$N$2,1,$NQ81))))</f>
        <v/>
      </c>
      <c r="PE81" s="155">
        <f>MAX(0,4-SUMPRODUCT($OK81:$OP81,$I$3:$N$3)+MIN(4,$OQ81*1+$OR81*2,SUMPRODUCT($OK81:$OP81,$I$3:$N$3)-IF($NQ81=0,0,INDEX($I$3:$N$3,1,$NQ81))))</f>
        <v/>
      </c>
      <c r="PF81" s="155">
        <f>MAX(0,6-SUMPRODUCT($OK81:$OP81,$I$4:$N$4)+MIN(6,$OQ81*2+$OR81*3,SUMPRODUCT($OK81:$OP81,$I$4:$N$4)-IF($NQ81=0,0,INDEX($I$4:$N$4,1,$NQ81))))</f>
        <v/>
      </c>
      <c r="PG81" s="155">
        <f>MAX(0,9-SUMPRODUCT($OK81:$OP81,$I$5:$N$5)+MIN(8,$OQ81*2+$OR81*4,SUMPRODUCT($OK81:$OP81,$I$5:$N$5)-IF($NQ81=0,0,INDEX($I$5:$N$5,1,$NQ81))))</f>
        <v/>
      </c>
      <c r="PH81" s="155">
        <f>MAX(0,11-SUMPRODUCT($OK81:$OP81,$I$6:$N$6)+MIN(10,$OQ81*3+$OR81*5,SUMPRODUCT($OK81:$OP81,$I$6:$N$6)-IF($NQ81=0,0,INDEX($I$6:$N$6,1,$NQ81))))</f>
        <v/>
      </c>
      <c r="PI81" s="155">
        <f>MAX(0,13-SUMPRODUCT($OK81:$OP81,$I$7:$N$7)+MIN(12,$OQ81*3+$OR81*6,SUMPRODUCT($OK81:$OP81,$I$7:$N$7)-IF($NQ81=0,0,INDEX($I$7:$N$7,1,$NQ81))))</f>
        <v/>
      </c>
      <c r="PJ81" s="155">
        <f>MAX(0,16-SUMPRODUCT($OK81:$OP81,$I$8:$N$8)+MIN(14,$OQ81*4+$OR81*7,SUMPRODUCT($OK81:$OP81,$I$8:$N$8)-IF($NQ81=0,0,INDEX($I$8:$N$8,1,$NQ81))))</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Melhoria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(Média)</t>
        </is>
      </c>
      <c r="AW82" s="153" t="inlineStr"/>
      <c r="AX82" s="155" t="n">
        <v>2</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IFERROR(VLOOKUP($MV82,$AV$2:$BA$83,2,FALSE),"")</f>
        <v/>
      </c>
      <c r="NJ82" s="155">
        <f>IFERROR(VLOOKUP($MW82,$AV$2:$BA$83,2,FALSE),"")</f>
        <v/>
      </c>
      <c r="NK82" s="155">
        <f>IFERROR(VLOOKUP($MX82,$AV$2:$BA$83,2,FALSE),"")</f>
        <v/>
      </c>
      <c r="NL82" s="155">
        <f>IFERROR(VLOOKUP($MY82,$AV$2:$BA$83,2,FALSE),"")</f>
        <v/>
      </c>
      <c r="NM82" s="155">
        <f>IFERROR(VLOOKUP($MV82,$AV$2:$BA$83,3,FALSE),0)</f>
        <v/>
      </c>
      <c r="NN82" s="155">
        <f>IFERROR(VLOOKUP($MW82,$AV$2:$BA$83,3,FALSE),0)</f>
        <v/>
      </c>
      <c r="NO82" s="155">
        <f>IFERROR(VLOOKUP($MX82,$AV$2:$BA$83,3,FALSE),0)</f>
        <v/>
      </c>
      <c r="NP82" s="155">
        <f>IFERROR(VLOOKUP($MY82,$AV$2:$BA$83,3,FALSE),0)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IFERROR(VLOOKUP($MV82,$AV$2:$BA$83,4,FALSE),0)+IFERROR(VLOOKUP($MW82,$AV$2:$BA$83,4,FALSE),0)+IFERROR(VLOOKUP($MX82,$AV$2:$BA$83,4,FALSE),0)+IFERROR(VLOOKUP($MY82,$AV$2:$BA$83,4,FALSE),0)</f>
        <v/>
      </c>
      <c r="OB82" s="155">
        <f>IFERROR(VLOOKUP($MV82,$AV$2:$BA$83,6,FALSE),0)+IFERROR(VLOOKUP($MW82,$AV$2:$BA$83,6,FALSE),0)+IFERROR(VLOOKUP($MX82,$AV$2:$BA$83,6,FALSE),0)+IFERROR(VLOOKUP($MY82,$AV$2:$BA$83,6,FALSE),0)</f>
        <v/>
      </c>
      <c r="OC82" s="155">
        <f>TEXTJOIN(", ",TRUE,IF(IFERROR(VLOOKUP($MV82,$AV$2:$BA$83,5,FALSE),0)=1,$MV82,""),IF(IFERROR(VLOOKUP($MW82,$AV$2:$BA$83,5,FALSE),0)=1,$MW82,""),IF(IFERROR(VLOOKUP($MX82,$AV$2:$BA$83,5,FALSE),0)=1,$MX82,""),IF(IFERROR(VLOOKUP($MY82,$AV$2:$BA$83,5,FALSE),0)=1,$MY82,""))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MIN($OW82,$OU82-IF($NQ82=0,0,INDEX($I$2:$N$8,MAX(1,$MQ82),$NQ82)))</f>
        <v/>
      </c>
      <c r="OY82" s="155">
        <f>$OW82-$OX82</f>
        <v/>
      </c>
      <c r="OZ82" s="155">
        <f>IF($MQ82=0,0,INDEX($P$2:$P$8,MAX(1,$MQ82)))</f>
        <v/>
      </c>
      <c r="PA82" s="155">
        <f>$OZ82-$OU82+$OX82</f>
        <v/>
      </c>
      <c r="PB82" s="155">
        <f>IF($MQ82=0,MAX(0,$NE82-IF(AND($OS82&gt;0,COUNTIF($MZ82:$NA82,"?*")=0),1,0)),MAX(0,$PA82))</f>
        <v/>
      </c>
      <c r="PC82" s="155">
        <f>IF($MQ82=0,0,(IF(COUNTIF($MV82:$MY82,"Salto")&gt;0,1,0)+IF(COUNTIF($MV82:$MY82,"Queima")&gt;0,1,0)+IF(COUNTIF($MV82:$MY82,"Estilhaço")&gt;0,1,0))*FLOOR($PB82/2,1))</f>
        <v/>
      </c>
      <c r="PD82" s="155">
        <f>MAX(0,2-SUMPRODUCT($OK82:$OP82,$I$2:$N$2)+MIN(2,$OQ82*1+$OR82*1,SUMPRODUCT($OK82:$OP82,$I$2:$N$2)-IF($NQ82=0,0,INDEX($I$2:$N$2,1,$NQ82))))</f>
        <v/>
      </c>
      <c r="PE82" s="155">
        <f>MAX(0,4-SUMPRODUCT($OK82:$OP82,$I$3:$N$3)+MIN(4,$OQ82*1+$OR82*2,SUMPRODUCT($OK82:$OP82,$I$3:$N$3)-IF($NQ82=0,0,INDEX($I$3:$N$3,1,$NQ82))))</f>
        <v/>
      </c>
      <c r="PF82" s="155">
        <f>MAX(0,6-SUMPRODUCT($OK82:$OP82,$I$4:$N$4)+MIN(6,$OQ82*2+$OR82*3,SUMPRODUCT($OK82:$OP82,$I$4:$N$4)-IF($NQ82=0,0,INDEX($I$4:$N$4,1,$NQ82))))</f>
        <v/>
      </c>
      <c r="PG82" s="155">
        <f>MAX(0,9-SUMPRODUCT($OK82:$OP82,$I$5:$N$5)+MIN(8,$OQ82*2+$OR82*4,SUMPRODUCT($OK82:$OP82,$I$5:$N$5)-IF($NQ82=0,0,INDEX($I$5:$N$5,1,$NQ82))))</f>
        <v/>
      </c>
      <c r="PH82" s="155">
        <f>MAX(0,11-SUMPRODUCT($OK82:$OP82,$I$6:$N$6)+MIN(10,$OQ82*3+$OR82*5,SUMPRODUCT($OK82:$OP82,$I$6:$N$6)-IF($NQ82=0,0,INDEX($I$6:$N$6,1,$NQ82))))</f>
        <v/>
      </c>
      <c r="PI82" s="155">
        <f>MAX(0,13-SUMPRODUCT($OK82:$OP82,$I$7:$N$7)+MIN(12,$OQ82*3+$OR82*6,SUMPRODUCT($OK82:$OP82,$I$7:$N$7)-IF($NQ82=0,0,INDEX($I$7:$N$7,1,$NQ82))))</f>
        <v/>
      </c>
      <c r="PJ82" s="155">
        <f>MAX(0,16-SUMPRODUCT($OK82:$OP82,$I$8:$N$8)+MIN(14,$OQ82*4+$OR82*7,SUMPRODUCT($OK82:$OP82,$I$8:$N$8)-IF($NQ82=0,0,INDEX($I$8:$N$8,1,$NQ82))))</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Melhoria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(Pesada)</t>
        </is>
      </c>
      <c r="AW83" s="153" t="inlineStr"/>
      <c r="AX83" s="155" t="n">
        <v>3</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IFERROR(VLOOKUP($MV83,$AV$2:$BA$83,2,FALSE),"")</f>
        <v/>
      </c>
      <c r="NJ83" s="155">
        <f>IFERROR(VLOOKUP($MW83,$AV$2:$BA$83,2,FALSE),"")</f>
        <v/>
      </c>
      <c r="NK83" s="155">
        <f>IFERROR(VLOOKUP($MX83,$AV$2:$BA$83,2,FALSE),"")</f>
        <v/>
      </c>
      <c r="NL83" s="155">
        <f>IFERROR(VLOOKUP($MY83,$AV$2:$BA$83,2,FALSE),"")</f>
        <v/>
      </c>
      <c r="NM83" s="155">
        <f>IFERROR(VLOOKUP($MV83,$AV$2:$BA$83,3,FALSE),0)</f>
        <v/>
      </c>
      <c r="NN83" s="155">
        <f>IFERROR(VLOOKUP($MW83,$AV$2:$BA$83,3,FALSE),0)</f>
        <v/>
      </c>
      <c r="NO83" s="155">
        <f>IFERROR(VLOOKUP($MX83,$AV$2:$BA$83,3,FALSE),0)</f>
        <v/>
      </c>
      <c r="NP83" s="155">
        <f>IFERROR(VLOOKUP($MY83,$AV$2:$BA$83,3,FALSE),0)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IFERROR(VLOOKUP($MV83,$AV$2:$BA$83,4,FALSE),0)+IFERROR(VLOOKUP($MW83,$AV$2:$BA$83,4,FALSE),0)+IFERROR(VLOOKUP($MX83,$AV$2:$BA$83,4,FALSE),0)+IFERROR(VLOOKUP($MY83,$AV$2:$BA$83,4,FALSE),0)</f>
        <v/>
      </c>
      <c r="OB83" s="155">
        <f>IFERROR(VLOOKUP($MV83,$AV$2:$BA$83,6,FALSE),0)+IFERROR(VLOOKUP($MW83,$AV$2:$BA$83,6,FALSE),0)+IFERROR(VLOOKUP($MX83,$AV$2:$BA$83,6,FALSE),0)+IFERROR(VLOOKUP($MY83,$AV$2:$BA$83,6,FALSE),0)</f>
        <v/>
      </c>
      <c r="OC83" s="155">
        <f>TEXTJOIN(", ",TRUE,IF(IFERROR(VLOOKUP($MV83,$AV$2:$BA$83,5,FALSE),0)=1,$MV83,""),IF(IFERROR(VLOOKUP($MW83,$AV$2:$BA$83,5,FALSE),0)=1,$MW83,""),IF(IFERROR(VLOOKUP($MX83,$AV$2:$BA$83,5,FALSE),0)=1,$MX83,""),IF(IFERROR(VLOOKUP($MY83,$AV$2:$BA$83,5,FALSE),0)=1,$MY83,""))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MIN($OW83,$OU83-IF($NQ83=0,0,INDEX($I$2:$N$8,MAX(1,$MQ83),$NQ83)))</f>
        <v/>
      </c>
      <c r="OY83" s="155">
        <f>$OW83-$OX83</f>
        <v/>
      </c>
      <c r="OZ83" s="155">
        <f>IF($MQ83=0,0,INDEX($P$2:$P$8,MAX(1,$MQ83)))</f>
        <v/>
      </c>
      <c r="PA83" s="155">
        <f>$OZ83-$OU83+$OX83</f>
        <v/>
      </c>
      <c r="PB83" s="155">
        <f>IF($MQ83=0,MAX(0,$NE83-IF(AND($OS83&gt;0,COUNTIF($MZ83:$NA83,"?*")=0),1,0)),MAX(0,$PA83))</f>
        <v/>
      </c>
      <c r="PC83" s="155">
        <f>IF($MQ83=0,0,(IF(COUNTIF($MV83:$MY83,"Salto")&gt;0,1,0)+IF(COUNTIF($MV83:$MY83,"Queima")&gt;0,1,0)+IF(COUNTIF($MV83:$MY83,"Estilhaço")&gt;0,1,0))*FLOOR($PB83/2,1))</f>
        <v/>
      </c>
      <c r="PD83" s="155">
        <f>MAX(0,2-SUMPRODUCT($OK83:$OP83,$I$2:$N$2)+MIN(2,$OQ83*1+$OR83*1,SUMPRODUCT($OK83:$OP83,$I$2:$N$2)-IF($NQ83=0,0,INDEX($I$2:$N$2,1,$NQ83))))</f>
        <v/>
      </c>
      <c r="PE83" s="155">
        <f>MAX(0,4-SUMPRODUCT($OK83:$OP83,$I$3:$N$3)+MIN(4,$OQ83*1+$OR83*2,SUMPRODUCT($OK83:$OP83,$I$3:$N$3)-IF($NQ83=0,0,INDEX($I$3:$N$3,1,$NQ83))))</f>
        <v/>
      </c>
      <c r="PF83" s="155">
        <f>MAX(0,6-SUMPRODUCT($OK83:$OP83,$I$4:$N$4)+MIN(6,$OQ83*2+$OR83*3,SUMPRODUCT($OK83:$OP83,$I$4:$N$4)-IF($NQ83=0,0,INDEX($I$4:$N$4,1,$NQ83))))</f>
        <v/>
      </c>
      <c r="PG83" s="155">
        <f>MAX(0,9-SUMPRODUCT($OK83:$OP83,$I$5:$N$5)+MIN(8,$OQ83*2+$OR83*4,SUMPRODUCT($OK83:$OP83,$I$5:$N$5)-IF($NQ83=0,0,INDEX($I$5:$N$5,1,$NQ83))))</f>
        <v/>
      </c>
      <c r="PH83" s="155">
        <f>MAX(0,11-SUMPRODUCT($OK83:$OP83,$I$6:$N$6)+MIN(10,$OQ83*3+$OR83*5,SUMPRODUCT($OK83:$OP83,$I$6:$N$6)-IF($NQ83=0,0,INDEX($I$6:$N$6,1,$NQ83))))</f>
        <v/>
      </c>
      <c r="PI83" s="155">
        <f>MAX(0,13-SUMPRODUCT($OK83:$OP83,$I$7:$N$7)+MIN(12,$OQ83*3+$OR83*6,SUMPRODUCT($OK83:$OP83,$I$7:$N$7)-IF($NQ83=0,0,INDEX($I$7:$N$7,1,$NQ83))))</f>
        <v/>
      </c>
      <c r="PJ83" s="155">
        <f>MAX(0,16-SUMPRODUCT($OK83:$OP83,$I$8:$N$8)+MIN(14,$OQ83*4+$OR83*7,SUMPRODUCT($OK83:$OP83,$I$8:$N$8)-IF($NQ83=0,0,INDEX($I$8:$N$8,1,$NQ83))))</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Melhoria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IFERROR(VLOOKUP($MV84,$AV$2:$BA$83,2,FALSE),"")</f>
        <v/>
      </c>
      <c r="NJ84" s="155">
        <f>IFERROR(VLOOKUP($MW84,$AV$2:$BA$83,2,FALSE),"")</f>
        <v/>
      </c>
      <c r="NK84" s="155">
        <f>IFERROR(VLOOKUP($MX84,$AV$2:$BA$83,2,FALSE),"")</f>
        <v/>
      </c>
      <c r="NL84" s="155">
        <f>IFERROR(VLOOKUP($MY84,$AV$2:$BA$83,2,FALSE),"")</f>
        <v/>
      </c>
      <c r="NM84" s="155">
        <f>IFERROR(VLOOKUP($MV84,$AV$2:$BA$83,3,FALSE),0)</f>
        <v/>
      </c>
      <c r="NN84" s="155">
        <f>IFERROR(VLOOKUP($MW84,$AV$2:$BA$83,3,FALSE),0)</f>
        <v/>
      </c>
      <c r="NO84" s="155">
        <f>IFERROR(VLOOKUP($MX84,$AV$2:$BA$83,3,FALSE),0)</f>
        <v/>
      </c>
      <c r="NP84" s="155">
        <f>IFERROR(VLOOKUP($MY84,$AV$2:$BA$83,3,FALSE),0)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IFERROR(VLOOKUP($MV84,$AV$2:$BA$83,4,FALSE),0)+IFERROR(VLOOKUP($MW84,$AV$2:$BA$83,4,FALSE),0)+IFERROR(VLOOKUP($MX84,$AV$2:$BA$83,4,FALSE),0)+IFERROR(VLOOKUP($MY84,$AV$2:$BA$83,4,FALSE),0)</f>
        <v/>
      </c>
      <c r="OB84" s="155">
        <f>IFERROR(VLOOKUP($MV84,$AV$2:$BA$83,6,FALSE),0)+IFERROR(VLOOKUP($MW84,$AV$2:$BA$83,6,FALSE),0)+IFERROR(VLOOKUP($MX84,$AV$2:$BA$83,6,FALSE),0)+IFERROR(VLOOKUP($MY84,$AV$2:$BA$83,6,FALSE),0)</f>
        <v/>
      </c>
      <c r="OC84" s="155">
        <f>TEXTJOIN(", ",TRUE,IF(IFERROR(VLOOKUP($MV84,$AV$2:$BA$83,5,FALSE),0)=1,$MV84,""),IF(IFERROR(VLOOKUP($MW84,$AV$2:$BA$83,5,FALSE),0)=1,$MW84,""),IF(IFERROR(VLOOKUP($MX84,$AV$2:$BA$83,5,FALSE),0)=1,$MX84,""),IF(IFERROR(VLOOKUP($MY84,$AV$2:$BA$83,5,FALSE),0)=1,$MY84,""))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MIN($OW84,$OU84-IF($NQ84=0,0,INDEX($I$2:$N$8,MAX(1,$MQ84),$NQ84)))</f>
        <v/>
      </c>
      <c r="OY84" s="155">
        <f>$OW84-$OX84</f>
        <v/>
      </c>
      <c r="OZ84" s="155">
        <f>IF($MQ84=0,0,INDEX($P$2:$P$8,MAX(1,$MQ84)))</f>
        <v/>
      </c>
      <c r="PA84" s="155">
        <f>$OZ84-$OU84+$OX84</f>
        <v/>
      </c>
      <c r="PB84" s="155">
        <f>IF($MQ84=0,MAX(0,$NE84-IF(AND($OS84&gt;0,COUNTIF($MZ84:$NA84,"?*")=0),1,0)),MAX(0,$PA84))</f>
        <v/>
      </c>
      <c r="PC84" s="155">
        <f>IF($MQ84=0,0,(IF(COUNTIF($MV84:$MY84,"Salto")&gt;0,1,0)+IF(COUNTIF($MV84:$MY84,"Queima")&gt;0,1,0)+IF(COUNTIF($MV84:$MY84,"Estilhaço")&gt;0,1,0))*FLOOR($PB84/2,1))</f>
        <v/>
      </c>
      <c r="PD84" s="155">
        <f>MAX(0,2-SUMPRODUCT($OK84:$OP84,$I$2:$N$2)+MIN(2,$OQ84*1+$OR84*1,SUMPRODUCT($OK84:$OP84,$I$2:$N$2)-IF($NQ84=0,0,INDEX($I$2:$N$2,1,$NQ84))))</f>
        <v/>
      </c>
      <c r="PE84" s="155">
        <f>MAX(0,4-SUMPRODUCT($OK84:$OP84,$I$3:$N$3)+MIN(4,$OQ84*1+$OR84*2,SUMPRODUCT($OK84:$OP84,$I$3:$N$3)-IF($NQ84=0,0,INDEX($I$3:$N$3,1,$NQ84))))</f>
        <v/>
      </c>
      <c r="PF84" s="155">
        <f>MAX(0,6-SUMPRODUCT($OK84:$OP84,$I$4:$N$4)+MIN(6,$OQ84*2+$OR84*3,SUMPRODUCT($OK84:$OP84,$I$4:$N$4)-IF($NQ84=0,0,INDEX($I$4:$N$4,1,$NQ84))))</f>
        <v/>
      </c>
      <c r="PG84" s="155">
        <f>MAX(0,9-SUMPRODUCT($OK84:$OP84,$I$5:$N$5)+MIN(8,$OQ84*2+$OR84*4,SUMPRODUCT($OK84:$OP84,$I$5:$N$5)-IF($NQ84=0,0,INDEX($I$5:$N$5,1,$NQ84))))</f>
        <v/>
      </c>
      <c r="PH84" s="155">
        <f>MAX(0,11-SUMPRODUCT($OK84:$OP84,$I$6:$N$6)+MIN(10,$OQ84*3+$OR84*5,SUMPRODUCT($OK84:$OP84,$I$6:$N$6)-IF($NQ84=0,0,INDEX($I$6:$N$6,1,$NQ84))))</f>
        <v/>
      </c>
      <c r="PI84" s="155">
        <f>MAX(0,13-SUMPRODUCT($OK84:$OP84,$I$7:$N$7)+MIN(12,$OQ84*3+$OR84*6,SUMPRODUCT($OK84:$OP84,$I$7:$N$7)-IF($NQ84=0,0,INDEX($I$7:$N$7,1,$NQ84))))</f>
        <v/>
      </c>
      <c r="PJ84" s="155">
        <f>MAX(0,16-SUMPRODUCT($OK84:$OP84,$I$8:$N$8)+MIN(14,$OQ84*4+$OR84*7,SUMPRODUCT($OK84:$OP84,$I$8:$N$8)-IF($NQ84=0,0,INDEX($I$8:$N$8,1,$NQ84))))</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Melhoria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IFERROR(VLOOKUP($MV85,$AV$2:$BA$83,2,FALSE),"")</f>
        <v/>
      </c>
      <c r="NJ85" s="155">
        <f>IFERROR(VLOOKUP($MW85,$AV$2:$BA$83,2,FALSE),"")</f>
        <v/>
      </c>
      <c r="NK85" s="155">
        <f>IFERROR(VLOOKUP($MX85,$AV$2:$BA$83,2,FALSE),"")</f>
        <v/>
      </c>
      <c r="NL85" s="155">
        <f>IFERROR(VLOOKUP($MY85,$AV$2:$BA$83,2,FALSE),"")</f>
        <v/>
      </c>
      <c r="NM85" s="155">
        <f>IFERROR(VLOOKUP($MV85,$AV$2:$BA$83,3,FALSE),0)</f>
        <v/>
      </c>
      <c r="NN85" s="155">
        <f>IFERROR(VLOOKUP($MW85,$AV$2:$BA$83,3,FALSE),0)</f>
        <v/>
      </c>
      <c r="NO85" s="155">
        <f>IFERROR(VLOOKUP($MX85,$AV$2:$BA$83,3,FALSE),0)</f>
        <v/>
      </c>
      <c r="NP85" s="155">
        <f>IFERROR(VLOOKUP($MY85,$AV$2:$BA$83,3,FALSE),0)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IFERROR(VLOOKUP($MV85,$AV$2:$BA$83,4,FALSE),0)+IFERROR(VLOOKUP($MW85,$AV$2:$BA$83,4,FALSE),0)+IFERROR(VLOOKUP($MX85,$AV$2:$BA$83,4,FALSE),0)+IFERROR(VLOOKUP($MY85,$AV$2:$BA$83,4,FALSE),0)</f>
        <v/>
      </c>
      <c r="OB85" s="155">
        <f>IFERROR(VLOOKUP($MV85,$AV$2:$BA$83,6,FALSE),0)+IFERROR(VLOOKUP($MW85,$AV$2:$BA$83,6,FALSE),0)+IFERROR(VLOOKUP($MX85,$AV$2:$BA$83,6,FALSE),0)+IFERROR(VLOOKUP($MY85,$AV$2:$BA$83,6,FALSE),0)</f>
        <v/>
      </c>
      <c r="OC85" s="155">
        <f>TEXTJOIN(", ",TRUE,IF(IFERROR(VLOOKUP($MV85,$AV$2:$BA$83,5,FALSE),0)=1,$MV85,""),IF(IFERROR(VLOOKUP($MW85,$AV$2:$BA$83,5,FALSE),0)=1,$MW85,""),IF(IFERROR(VLOOKUP($MX85,$AV$2:$BA$83,5,FALSE),0)=1,$MX85,""),IF(IFERROR(VLOOKUP($MY85,$AV$2:$BA$83,5,FALSE),0)=1,$MY85,""))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MIN($OW85,$OU85-IF($NQ85=0,0,INDEX($I$2:$N$8,MAX(1,$MQ85),$NQ85)))</f>
        <v/>
      </c>
      <c r="OY85" s="155">
        <f>$OW85-$OX85</f>
        <v/>
      </c>
      <c r="OZ85" s="155">
        <f>IF($MQ85=0,0,INDEX($P$2:$P$8,MAX(1,$MQ85)))</f>
        <v/>
      </c>
      <c r="PA85" s="155">
        <f>$OZ85-$OU85+$OX85</f>
        <v/>
      </c>
      <c r="PB85" s="155">
        <f>IF($MQ85=0,MAX(0,$NE85-IF(AND($OS85&gt;0,COUNTIF($MZ85:$NA85,"?*")=0),1,0)),MAX(0,$PA85))</f>
        <v/>
      </c>
      <c r="PC85" s="155">
        <f>IF($MQ85=0,0,(IF(COUNTIF($MV85:$MY85,"Salto")&gt;0,1,0)+IF(COUNTIF($MV85:$MY85,"Queima")&gt;0,1,0)+IF(COUNTIF($MV85:$MY85,"Estilhaço")&gt;0,1,0))*FLOOR($PB85/2,1))</f>
        <v/>
      </c>
      <c r="PD85" s="155">
        <f>MAX(0,2-SUMPRODUCT($OK85:$OP85,$I$2:$N$2)+MIN(2,$OQ85*1+$OR85*1,SUMPRODUCT($OK85:$OP85,$I$2:$N$2)-IF($NQ85=0,0,INDEX($I$2:$N$2,1,$NQ85))))</f>
        <v/>
      </c>
      <c r="PE85" s="155">
        <f>MAX(0,4-SUMPRODUCT($OK85:$OP85,$I$3:$N$3)+MIN(4,$OQ85*1+$OR85*2,SUMPRODUCT($OK85:$OP85,$I$3:$N$3)-IF($NQ85=0,0,INDEX($I$3:$N$3,1,$NQ85))))</f>
        <v/>
      </c>
      <c r="PF85" s="155">
        <f>MAX(0,6-SUMPRODUCT($OK85:$OP85,$I$4:$N$4)+MIN(6,$OQ85*2+$OR85*3,SUMPRODUCT($OK85:$OP85,$I$4:$N$4)-IF($NQ85=0,0,INDEX($I$4:$N$4,1,$NQ85))))</f>
        <v/>
      </c>
      <c r="PG85" s="155">
        <f>MAX(0,9-SUMPRODUCT($OK85:$OP85,$I$5:$N$5)+MIN(8,$OQ85*2+$OR85*4,SUMPRODUCT($OK85:$OP85,$I$5:$N$5)-IF($NQ85=0,0,INDEX($I$5:$N$5,1,$NQ85))))</f>
        <v/>
      </c>
      <c r="PH85" s="155">
        <f>MAX(0,11-SUMPRODUCT($OK85:$OP85,$I$6:$N$6)+MIN(10,$OQ85*3+$OR85*5,SUMPRODUCT($OK85:$OP85,$I$6:$N$6)-IF($NQ85=0,0,INDEX($I$6:$N$6,1,$NQ85))))</f>
        <v/>
      </c>
      <c r="PI85" s="155">
        <f>MAX(0,13-SUMPRODUCT($OK85:$OP85,$I$7:$N$7)+MIN(12,$OQ85*3+$OR85*6,SUMPRODUCT($OK85:$OP85,$I$7:$N$7)-IF($NQ85=0,0,INDEX($I$7:$N$7,1,$NQ85))))</f>
        <v/>
      </c>
      <c r="PJ85" s="155">
        <f>MAX(0,16-SUMPRODUCT($OK85:$OP85,$I$8:$N$8)+MIN(14,$OQ85*4+$OR85*7,SUMPRODUCT($OK85:$OP85,$I$8:$N$8)-IF($NQ85=0,0,INDEX($I$8:$N$8,1,$NQ85))))</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Melhoria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IFERROR(VLOOKUP($MV86,$AV$2:$BA$83,2,FALSE),"")</f>
        <v/>
      </c>
      <c r="NJ86" s="155">
        <f>IFERROR(VLOOKUP($MW86,$AV$2:$BA$83,2,FALSE),"")</f>
        <v/>
      </c>
      <c r="NK86" s="155">
        <f>IFERROR(VLOOKUP($MX86,$AV$2:$BA$83,2,FALSE),"")</f>
        <v/>
      </c>
      <c r="NL86" s="155">
        <f>IFERROR(VLOOKUP($MY86,$AV$2:$BA$83,2,FALSE),"")</f>
        <v/>
      </c>
      <c r="NM86" s="155">
        <f>IFERROR(VLOOKUP($MV86,$AV$2:$BA$83,3,FALSE),0)</f>
        <v/>
      </c>
      <c r="NN86" s="155">
        <f>IFERROR(VLOOKUP($MW86,$AV$2:$BA$83,3,FALSE),0)</f>
        <v/>
      </c>
      <c r="NO86" s="155">
        <f>IFERROR(VLOOKUP($MX86,$AV$2:$BA$83,3,FALSE),0)</f>
        <v/>
      </c>
      <c r="NP86" s="155">
        <f>IFERROR(VLOOKUP($MY86,$AV$2:$BA$83,3,FALSE),0)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IFERROR(VLOOKUP($MV86,$AV$2:$BA$83,4,FALSE),0)+IFERROR(VLOOKUP($MW86,$AV$2:$BA$83,4,FALSE),0)+IFERROR(VLOOKUP($MX86,$AV$2:$BA$83,4,FALSE),0)+IFERROR(VLOOKUP($MY86,$AV$2:$BA$83,4,FALSE),0)</f>
        <v/>
      </c>
      <c r="OB86" s="155">
        <f>IFERROR(VLOOKUP($MV86,$AV$2:$BA$83,6,FALSE),0)+IFERROR(VLOOKUP($MW86,$AV$2:$BA$83,6,FALSE),0)+IFERROR(VLOOKUP($MX86,$AV$2:$BA$83,6,FALSE),0)+IFERROR(VLOOKUP($MY86,$AV$2:$BA$83,6,FALSE),0)</f>
        <v/>
      </c>
      <c r="OC86" s="155">
        <f>TEXTJOIN(", ",TRUE,IF(IFERROR(VLOOKUP($MV86,$AV$2:$BA$83,5,FALSE),0)=1,$MV86,""),IF(IFERROR(VLOOKUP($MW86,$AV$2:$BA$83,5,FALSE),0)=1,$MW86,""),IF(IFERROR(VLOOKUP($MX86,$AV$2:$BA$83,5,FALSE),0)=1,$MX86,""),IF(IFERROR(VLOOKUP($MY86,$AV$2:$BA$83,5,FALSE),0)=1,$MY86,""))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MIN($OW86,$OU86-IF($NQ86=0,0,INDEX($I$2:$N$8,MAX(1,$MQ86),$NQ86)))</f>
        <v/>
      </c>
      <c r="OY86" s="155">
        <f>$OW86-$OX86</f>
        <v/>
      </c>
      <c r="OZ86" s="155">
        <f>IF($MQ86=0,0,INDEX($P$2:$P$8,MAX(1,$MQ86)))</f>
        <v/>
      </c>
      <c r="PA86" s="155">
        <f>$OZ86-$OU86+$OX86</f>
        <v/>
      </c>
      <c r="PB86" s="155">
        <f>IF($MQ86=0,MAX(0,$NE86-IF(AND($OS86&gt;0,COUNTIF($MZ86:$NA86,"?*")=0),1,0)),MAX(0,$PA86))</f>
        <v/>
      </c>
      <c r="PC86" s="155">
        <f>IF($MQ86=0,0,(IF(COUNTIF($MV86:$MY86,"Salto")&gt;0,1,0)+IF(COUNTIF($MV86:$MY86,"Queima")&gt;0,1,0)+IF(COUNTIF($MV86:$MY86,"Estilhaço")&gt;0,1,0))*FLOOR($PB86/2,1))</f>
        <v/>
      </c>
      <c r="PD86" s="155">
        <f>MAX(0,2-SUMPRODUCT($OK86:$OP86,$I$2:$N$2)+MIN(2,$OQ86*1+$OR86*1,SUMPRODUCT($OK86:$OP86,$I$2:$N$2)-IF($NQ86=0,0,INDEX($I$2:$N$2,1,$NQ86))))</f>
        <v/>
      </c>
      <c r="PE86" s="155">
        <f>MAX(0,4-SUMPRODUCT($OK86:$OP86,$I$3:$N$3)+MIN(4,$OQ86*1+$OR86*2,SUMPRODUCT($OK86:$OP86,$I$3:$N$3)-IF($NQ86=0,0,INDEX($I$3:$N$3,1,$NQ86))))</f>
        <v/>
      </c>
      <c r="PF86" s="155">
        <f>MAX(0,6-SUMPRODUCT($OK86:$OP86,$I$4:$N$4)+MIN(6,$OQ86*2+$OR86*3,SUMPRODUCT($OK86:$OP86,$I$4:$N$4)-IF($NQ86=0,0,INDEX($I$4:$N$4,1,$NQ86))))</f>
        <v/>
      </c>
      <c r="PG86" s="155">
        <f>MAX(0,9-SUMPRODUCT($OK86:$OP86,$I$5:$N$5)+MIN(8,$OQ86*2+$OR86*4,SUMPRODUCT($OK86:$OP86,$I$5:$N$5)-IF($NQ86=0,0,INDEX($I$5:$N$5,1,$NQ86))))</f>
        <v/>
      </c>
      <c r="PH86" s="155">
        <f>MAX(0,11-SUMPRODUCT($OK86:$OP86,$I$6:$N$6)+MIN(10,$OQ86*3+$OR86*5,SUMPRODUCT($OK86:$OP86,$I$6:$N$6)-IF($NQ86=0,0,INDEX($I$6:$N$6,1,$NQ86))))</f>
        <v/>
      </c>
      <c r="PI86" s="155">
        <f>MAX(0,13-SUMPRODUCT($OK86:$OP86,$I$7:$N$7)+MIN(12,$OQ86*3+$OR86*6,SUMPRODUCT($OK86:$OP86,$I$7:$N$7)-IF($NQ86=0,0,INDEX($I$7:$N$7,1,$NQ86))))</f>
        <v/>
      </c>
      <c r="PJ86" s="155">
        <f>MAX(0,16-SUMPRODUCT($OK86:$OP86,$I$8:$N$8)+MIN(14,$OQ86*4+$OR86*7,SUMPRODUCT($OK86:$OP86,$I$8:$N$8)-IF($NQ86=0,0,INDEX($I$8:$N$8,1,$NQ86))))</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Melhoria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IFERROR(VLOOKUP($MV87,$AV$2:$BA$83,2,FALSE),"")</f>
        <v/>
      </c>
      <c r="NJ87" s="155">
        <f>IFERROR(VLOOKUP($MW87,$AV$2:$BA$83,2,FALSE),"")</f>
        <v/>
      </c>
      <c r="NK87" s="155">
        <f>IFERROR(VLOOKUP($MX87,$AV$2:$BA$83,2,FALSE),"")</f>
        <v/>
      </c>
      <c r="NL87" s="155">
        <f>IFERROR(VLOOKUP($MY87,$AV$2:$BA$83,2,FALSE),"")</f>
        <v/>
      </c>
      <c r="NM87" s="155">
        <f>IFERROR(VLOOKUP($MV87,$AV$2:$BA$83,3,FALSE),0)</f>
        <v/>
      </c>
      <c r="NN87" s="155">
        <f>IFERROR(VLOOKUP($MW87,$AV$2:$BA$83,3,FALSE),0)</f>
        <v/>
      </c>
      <c r="NO87" s="155">
        <f>IFERROR(VLOOKUP($MX87,$AV$2:$BA$83,3,FALSE),0)</f>
        <v/>
      </c>
      <c r="NP87" s="155">
        <f>IFERROR(VLOOKUP($MY87,$AV$2:$BA$83,3,FALSE),0)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IFERROR(VLOOKUP($MV87,$AV$2:$BA$83,4,FALSE),0)+IFERROR(VLOOKUP($MW87,$AV$2:$BA$83,4,FALSE),0)+IFERROR(VLOOKUP($MX87,$AV$2:$BA$83,4,FALSE),0)+IFERROR(VLOOKUP($MY87,$AV$2:$BA$83,4,FALSE),0)</f>
        <v/>
      </c>
      <c r="OB87" s="155">
        <f>IFERROR(VLOOKUP($MV87,$AV$2:$BA$83,6,FALSE),0)+IFERROR(VLOOKUP($MW87,$AV$2:$BA$83,6,FALSE),0)+IFERROR(VLOOKUP($MX87,$AV$2:$BA$83,6,FALSE),0)+IFERROR(VLOOKUP($MY87,$AV$2:$BA$83,6,FALSE),0)</f>
        <v/>
      </c>
      <c r="OC87" s="155">
        <f>TEXTJOIN(", ",TRUE,IF(IFERROR(VLOOKUP($MV87,$AV$2:$BA$83,5,FALSE),0)=1,$MV87,""),IF(IFERROR(VLOOKUP($MW87,$AV$2:$BA$83,5,FALSE),0)=1,$MW87,""),IF(IFERROR(VLOOKUP($MX87,$AV$2:$BA$83,5,FALSE),0)=1,$MX87,""),IF(IFERROR(VLOOKUP($MY87,$AV$2:$BA$83,5,FALSE),0)=1,$MY87,""))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MIN($OW87,$OU87-IF($NQ87=0,0,INDEX($I$2:$N$8,MAX(1,$MQ87),$NQ87)))</f>
        <v/>
      </c>
      <c r="OY87" s="155">
        <f>$OW87-$OX87</f>
        <v/>
      </c>
      <c r="OZ87" s="155">
        <f>IF($MQ87=0,0,INDEX($P$2:$P$8,MAX(1,$MQ87)))</f>
        <v/>
      </c>
      <c r="PA87" s="155">
        <f>$OZ87-$OU87+$OX87</f>
        <v/>
      </c>
      <c r="PB87" s="155">
        <f>IF($MQ87=0,MAX(0,$NE87-IF(AND($OS87&gt;0,COUNTIF($MZ87:$NA87,"?*")=0),1,0)),MAX(0,$PA87))</f>
        <v/>
      </c>
      <c r="PC87" s="155">
        <f>IF($MQ87=0,0,(IF(COUNTIF($MV87:$MY87,"Salto")&gt;0,1,0)+IF(COUNTIF($MV87:$MY87,"Queima")&gt;0,1,0)+IF(COUNTIF($MV87:$MY87,"Estilhaço")&gt;0,1,0))*FLOOR($PB87/2,1))</f>
        <v/>
      </c>
      <c r="PD87" s="155">
        <f>MAX(0,2-SUMPRODUCT($OK87:$OP87,$I$2:$N$2)+MIN(2,$OQ87*1+$OR87*1,SUMPRODUCT($OK87:$OP87,$I$2:$N$2)-IF($NQ87=0,0,INDEX($I$2:$N$2,1,$NQ87))))</f>
        <v/>
      </c>
      <c r="PE87" s="155">
        <f>MAX(0,4-SUMPRODUCT($OK87:$OP87,$I$3:$N$3)+MIN(4,$OQ87*1+$OR87*2,SUMPRODUCT($OK87:$OP87,$I$3:$N$3)-IF($NQ87=0,0,INDEX($I$3:$N$3,1,$NQ87))))</f>
        <v/>
      </c>
      <c r="PF87" s="155">
        <f>MAX(0,6-SUMPRODUCT($OK87:$OP87,$I$4:$N$4)+MIN(6,$OQ87*2+$OR87*3,SUMPRODUCT($OK87:$OP87,$I$4:$N$4)-IF($NQ87=0,0,INDEX($I$4:$N$4,1,$NQ87))))</f>
        <v/>
      </c>
      <c r="PG87" s="155">
        <f>MAX(0,9-SUMPRODUCT($OK87:$OP87,$I$5:$N$5)+MIN(8,$OQ87*2+$OR87*4,SUMPRODUCT($OK87:$OP87,$I$5:$N$5)-IF($NQ87=0,0,INDEX($I$5:$N$5,1,$NQ87))))</f>
        <v/>
      </c>
      <c r="PH87" s="155">
        <f>MAX(0,11-SUMPRODUCT($OK87:$OP87,$I$6:$N$6)+MIN(10,$OQ87*3+$OR87*5,SUMPRODUCT($OK87:$OP87,$I$6:$N$6)-IF($NQ87=0,0,INDEX($I$6:$N$6,1,$NQ87))))</f>
        <v/>
      </c>
      <c r="PI87" s="155">
        <f>MAX(0,13-SUMPRODUCT($OK87:$OP87,$I$7:$N$7)+MIN(12,$OQ87*3+$OR87*6,SUMPRODUCT($OK87:$OP87,$I$7:$N$7)-IF($NQ87=0,0,INDEX($I$7:$N$7,1,$NQ87))))</f>
        <v/>
      </c>
      <c r="PJ87" s="155">
        <f>MAX(0,16-SUMPRODUCT($OK87:$OP87,$I$8:$N$8)+MIN(14,$OQ87*4+$OR87*7,SUMPRODUCT($OK87:$OP87,$I$8:$N$8)-IF($NQ87=0,0,INDEX($I$8:$N$8,1,$NQ87))))</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Melhoria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IFERROR(VLOOKUP($MV88,$AV$2:$BA$83,2,FALSE),"")</f>
        <v/>
      </c>
      <c r="NJ88" s="155">
        <f>IFERROR(VLOOKUP($MW88,$AV$2:$BA$83,2,FALSE),"")</f>
        <v/>
      </c>
      <c r="NK88" s="155">
        <f>IFERROR(VLOOKUP($MX88,$AV$2:$BA$83,2,FALSE),"")</f>
        <v/>
      </c>
      <c r="NL88" s="155">
        <f>IFERROR(VLOOKUP($MY88,$AV$2:$BA$83,2,FALSE),"")</f>
        <v/>
      </c>
      <c r="NM88" s="155">
        <f>IFERROR(VLOOKUP($MV88,$AV$2:$BA$83,3,FALSE),0)</f>
        <v/>
      </c>
      <c r="NN88" s="155">
        <f>IFERROR(VLOOKUP($MW88,$AV$2:$BA$83,3,FALSE),0)</f>
        <v/>
      </c>
      <c r="NO88" s="155">
        <f>IFERROR(VLOOKUP($MX88,$AV$2:$BA$83,3,FALSE),0)</f>
        <v/>
      </c>
      <c r="NP88" s="155">
        <f>IFERROR(VLOOKUP($MY88,$AV$2:$BA$83,3,FALSE),0)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IFERROR(VLOOKUP($MV88,$AV$2:$BA$83,4,FALSE),0)+IFERROR(VLOOKUP($MW88,$AV$2:$BA$83,4,FALSE),0)+IFERROR(VLOOKUP($MX88,$AV$2:$BA$83,4,FALSE),0)+IFERROR(VLOOKUP($MY88,$AV$2:$BA$83,4,FALSE),0)</f>
        <v/>
      </c>
      <c r="OB88" s="155">
        <f>IFERROR(VLOOKUP($MV88,$AV$2:$BA$83,6,FALSE),0)+IFERROR(VLOOKUP($MW88,$AV$2:$BA$83,6,FALSE),0)+IFERROR(VLOOKUP($MX88,$AV$2:$BA$83,6,FALSE),0)+IFERROR(VLOOKUP($MY88,$AV$2:$BA$83,6,FALSE),0)</f>
        <v/>
      </c>
      <c r="OC88" s="155">
        <f>TEXTJOIN(", ",TRUE,IF(IFERROR(VLOOKUP($MV88,$AV$2:$BA$83,5,FALSE),0)=1,$MV88,""),IF(IFERROR(VLOOKUP($MW88,$AV$2:$BA$83,5,FALSE),0)=1,$MW88,""),IF(IFERROR(VLOOKUP($MX88,$AV$2:$BA$83,5,FALSE),0)=1,$MX88,""),IF(IFERROR(VLOOKUP($MY88,$AV$2:$BA$83,5,FALSE),0)=1,$MY88,""))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MIN($OW88,$OU88-IF($NQ88=0,0,INDEX($I$2:$N$8,MAX(1,$MQ88),$NQ88)))</f>
        <v/>
      </c>
      <c r="OY88" s="155">
        <f>$OW88-$OX88</f>
        <v/>
      </c>
      <c r="OZ88" s="155">
        <f>IF($MQ88=0,0,INDEX($P$2:$P$8,MAX(1,$MQ88)))</f>
        <v/>
      </c>
      <c r="PA88" s="155">
        <f>$OZ88-$OU88+$OX88</f>
        <v/>
      </c>
      <c r="PB88" s="155">
        <f>IF($MQ88=0,MAX(0,$NE88-IF(AND($OS88&gt;0,COUNTIF($MZ88:$NA88,"?*")=0),1,0)),MAX(0,$PA88))</f>
        <v/>
      </c>
      <c r="PC88" s="155">
        <f>IF($MQ88=0,0,(IF(COUNTIF($MV88:$MY88,"Salto")&gt;0,1,0)+IF(COUNTIF($MV88:$MY88,"Queima")&gt;0,1,0)+IF(COUNTIF($MV88:$MY88,"Estilhaço")&gt;0,1,0))*FLOOR($PB88/2,1))</f>
        <v/>
      </c>
      <c r="PD88" s="155">
        <f>MAX(0,2-SUMPRODUCT($OK88:$OP88,$I$2:$N$2)+MIN(2,$OQ88*1+$OR88*1,SUMPRODUCT($OK88:$OP88,$I$2:$N$2)-IF($NQ88=0,0,INDEX($I$2:$N$2,1,$NQ88))))</f>
        <v/>
      </c>
      <c r="PE88" s="155">
        <f>MAX(0,4-SUMPRODUCT($OK88:$OP88,$I$3:$N$3)+MIN(4,$OQ88*1+$OR88*2,SUMPRODUCT($OK88:$OP88,$I$3:$N$3)-IF($NQ88=0,0,INDEX($I$3:$N$3,1,$NQ88))))</f>
        <v/>
      </c>
      <c r="PF88" s="155">
        <f>MAX(0,6-SUMPRODUCT($OK88:$OP88,$I$4:$N$4)+MIN(6,$OQ88*2+$OR88*3,SUMPRODUCT($OK88:$OP88,$I$4:$N$4)-IF($NQ88=0,0,INDEX($I$4:$N$4,1,$NQ88))))</f>
        <v/>
      </c>
      <c r="PG88" s="155">
        <f>MAX(0,9-SUMPRODUCT($OK88:$OP88,$I$5:$N$5)+MIN(8,$OQ88*2+$OR88*4,SUMPRODUCT($OK88:$OP88,$I$5:$N$5)-IF($NQ88=0,0,INDEX($I$5:$N$5,1,$NQ88))))</f>
        <v/>
      </c>
      <c r="PH88" s="155">
        <f>MAX(0,11-SUMPRODUCT($OK88:$OP88,$I$6:$N$6)+MIN(10,$OQ88*3+$OR88*5,SUMPRODUCT($OK88:$OP88,$I$6:$N$6)-IF($NQ88=0,0,INDEX($I$6:$N$6,1,$NQ88))))</f>
        <v/>
      </c>
      <c r="PI88" s="155">
        <f>MAX(0,13-SUMPRODUCT($OK88:$OP88,$I$7:$N$7)+MIN(12,$OQ88*3+$OR88*6,SUMPRODUCT($OK88:$OP88,$I$7:$N$7)-IF($NQ88=0,0,INDEX($I$7:$N$7,1,$NQ88))))</f>
        <v/>
      </c>
      <c r="PJ88" s="155">
        <f>MAX(0,16-SUMPRODUCT($OK88:$OP88,$I$8:$N$8)+MIN(14,$OQ88*4+$OR88*7,SUMPRODUCT($OK88:$OP88,$I$8:$N$8)-IF($NQ88=0,0,INDEX($I$8:$N$8,1,$NQ88))))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Melhoria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IFERROR(VLOOKUP($MV89,$AV$2:$BA$83,2,FALSE),"")</f>
        <v/>
      </c>
      <c r="NJ89" s="155">
        <f>IFERROR(VLOOKUP($MW89,$AV$2:$BA$83,2,FALSE),"")</f>
        <v/>
      </c>
      <c r="NK89" s="155">
        <f>IFERROR(VLOOKUP($MX89,$AV$2:$BA$83,2,FALSE),"")</f>
        <v/>
      </c>
      <c r="NL89" s="155">
        <f>IFERROR(VLOOKUP($MY89,$AV$2:$BA$83,2,FALSE),"")</f>
        <v/>
      </c>
      <c r="NM89" s="155">
        <f>IFERROR(VLOOKUP($MV89,$AV$2:$BA$83,3,FALSE),0)</f>
        <v/>
      </c>
      <c r="NN89" s="155">
        <f>IFERROR(VLOOKUP($MW89,$AV$2:$BA$83,3,FALSE),0)</f>
        <v/>
      </c>
      <c r="NO89" s="155">
        <f>IFERROR(VLOOKUP($MX89,$AV$2:$BA$83,3,FALSE),0)</f>
        <v/>
      </c>
      <c r="NP89" s="155">
        <f>IFERROR(VLOOKUP($MY89,$AV$2:$BA$83,3,FALSE),0)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IFERROR(VLOOKUP($MV89,$AV$2:$BA$83,4,FALSE),0)+IFERROR(VLOOKUP($MW89,$AV$2:$BA$83,4,FALSE),0)+IFERROR(VLOOKUP($MX89,$AV$2:$BA$83,4,FALSE),0)+IFERROR(VLOOKUP($MY89,$AV$2:$BA$83,4,FALSE),0)</f>
        <v/>
      </c>
      <c r="OB89" s="155">
        <f>IFERROR(VLOOKUP($MV89,$AV$2:$BA$83,6,FALSE),0)+IFERROR(VLOOKUP($MW89,$AV$2:$BA$83,6,FALSE),0)+IFERROR(VLOOKUP($MX89,$AV$2:$BA$83,6,FALSE),0)+IFERROR(VLOOKUP($MY89,$AV$2:$BA$83,6,FALSE),0)</f>
        <v/>
      </c>
      <c r="OC89" s="155">
        <f>TEXTJOIN(", ",TRUE,IF(IFERROR(VLOOKUP($MV89,$AV$2:$BA$83,5,FALSE),0)=1,$MV89,""),IF(IFERROR(VLOOKUP($MW89,$AV$2:$BA$83,5,FALSE),0)=1,$MW89,""),IF(IFERROR(VLOOKUP($MX89,$AV$2:$BA$83,5,FALSE),0)=1,$MX89,""),IF(IFERROR(VLOOKUP($MY89,$AV$2:$BA$83,5,FALSE),0)=1,$MY89,""))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MIN($OW89,$OU89-IF($NQ89=0,0,INDEX($I$2:$N$8,MAX(1,$MQ89),$NQ89)))</f>
        <v/>
      </c>
      <c r="OY89" s="155">
        <f>$OW89-$OX89</f>
        <v/>
      </c>
      <c r="OZ89" s="155">
        <f>IF($MQ89=0,0,INDEX($P$2:$P$8,MAX(1,$MQ89)))</f>
        <v/>
      </c>
      <c r="PA89" s="155">
        <f>$OZ89-$OU89+$OX89</f>
        <v/>
      </c>
      <c r="PB89" s="155">
        <f>IF($MQ89=0,MAX(0,$NE89-IF(AND($OS89&gt;0,COUNTIF($MZ89:$NA89,"?*")=0),1,0)),MAX(0,$PA89))</f>
        <v/>
      </c>
      <c r="PC89" s="155">
        <f>IF($MQ89=0,0,(IF(COUNTIF($MV89:$MY89,"Salto")&gt;0,1,0)+IF(COUNTIF($MV89:$MY89,"Queima")&gt;0,1,0)+IF(COUNTIF($MV89:$MY89,"Estilhaço")&gt;0,1,0))*FLOOR($PB89/2,1))</f>
        <v/>
      </c>
      <c r="PD89" s="155">
        <f>MAX(0,2-SUMPRODUCT($OK89:$OP89,$I$2:$N$2)+MIN(2,$OQ89*1+$OR89*1,SUMPRODUCT($OK89:$OP89,$I$2:$N$2)-IF($NQ89=0,0,INDEX($I$2:$N$2,1,$NQ89))))</f>
        <v/>
      </c>
      <c r="PE89" s="155">
        <f>MAX(0,4-SUMPRODUCT($OK89:$OP89,$I$3:$N$3)+MIN(4,$OQ89*1+$OR89*2,SUMPRODUCT($OK89:$OP89,$I$3:$N$3)-IF($NQ89=0,0,INDEX($I$3:$N$3,1,$NQ89))))</f>
        <v/>
      </c>
      <c r="PF89" s="155">
        <f>MAX(0,6-SUMPRODUCT($OK89:$OP89,$I$4:$N$4)+MIN(6,$OQ89*2+$OR89*3,SUMPRODUCT($OK89:$OP89,$I$4:$N$4)-IF($NQ89=0,0,INDEX($I$4:$N$4,1,$NQ89))))</f>
        <v/>
      </c>
      <c r="PG89" s="155">
        <f>MAX(0,9-SUMPRODUCT($OK89:$OP89,$I$5:$N$5)+MIN(8,$OQ89*2+$OR89*4,SUMPRODUCT($OK89:$OP89,$I$5:$N$5)-IF($NQ89=0,0,INDEX($I$5:$N$5,1,$NQ89))))</f>
        <v/>
      </c>
      <c r="PH89" s="155">
        <f>MAX(0,11-SUMPRODUCT($OK89:$OP89,$I$6:$N$6)+MIN(10,$OQ89*3+$OR89*5,SUMPRODUCT($OK89:$OP89,$I$6:$N$6)-IF($NQ89=0,0,INDEX($I$6:$N$6,1,$NQ89))))</f>
        <v/>
      </c>
      <c r="PI89" s="155">
        <f>MAX(0,13-SUMPRODUCT($OK89:$OP89,$I$7:$N$7)+MIN(12,$OQ89*3+$OR89*6,SUMPRODUCT($OK89:$OP89,$I$7:$N$7)-IF($NQ89=0,0,INDEX($I$7:$N$7,1,$NQ89))))</f>
        <v/>
      </c>
      <c r="PJ89" s="155">
        <f>MAX(0,16-SUMPRODUCT($OK89:$OP89,$I$8:$N$8)+MIN(14,$OQ89*4+$OR89*7,SUMPRODUCT($OK89:$OP89,$I$8:$N$8)-IF($NQ89=0,0,INDEX($I$8:$N$8,1,$NQ89))))</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Melhoria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IFERROR(VLOOKUP($MV90,$AV$2:$BA$83,2,FALSE),"")</f>
        <v/>
      </c>
      <c r="NJ90" s="155">
        <f>IFERROR(VLOOKUP($MW90,$AV$2:$BA$83,2,FALSE),"")</f>
        <v/>
      </c>
      <c r="NK90" s="155">
        <f>IFERROR(VLOOKUP($MX90,$AV$2:$BA$83,2,FALSE),"")</f>
        <v/>
      </c>
      <c r="NL90" s="155">
        <f>IFERROR(VLOOKUP($MY90,$AV$2:$BA$83,2,FALSE),"")</f>
        <v/>
      </c>
      <c r="NM90" s="155">
        <f>IFERROR(VLOOKUP($MV90,$AV$2:$BA$83,3,FALSE),0)</f>
        <v/>
      </c>
      <c r="NN90" s="155">
        <f>IFERROR(VLOOKUP($MW90,$AV$2:$BA$83,3,FALSE),0)</f>
        <v/>
      </c>
      <c r="NO90" s="155">
        <f>IFERROR(VLOOKUP($MX90,$AV$2:$BA$83,3,FALSE),0)</f>
        <v/>
      </c>
      <c r="NP90" s="155">
        <f>IFERROR(VLOOKUP($MY90,$AV$2:$BA$83,3,FALSE),0)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IFERROR(VLOOKUP($MV90,$AV$2:$BA$83,4,FALSE),0)+IFERROR(VLOOKUP($MW90,$AV$2:$BA$83,4,FALSE),0)+IFERROR(VLOOKUP($MX90,$AV$2:$BA$83,4,FALSE),0)+IFERROR(VLOOKUP($MY90,$AV$2:$BA$83,4,FALSE),0)</f>
        <v/>
      </c>
      <c r="OB90" s="155">
        <f>IFERROR(VLOOKUP($MV90,$AV$2:$BA$83,6,FALSE),0)+IFERROR(VLOOKUP($MW90,$AV$2:$BA$83,6,FALSE),0)+IFERROR(VLOOKUP($MX90,$AV$2:$BA$83,6,FALSE),0)+IFERROR(VLOOKUP($MY90,$AV$2:$BA$83,6,FALSE),0)</f>
        <v/>
      </c>
      <c r="OC90" s="155">
        <f>TEXTJOIN(", ",TRUE,IF(IFERROR(VLOOKUP($MV90,$AV$2:$BA$83,5,FALSE),0)=1,$MV90,""),IF(IFERROR(VLOOKUP($MW90,$AV$2:$BA$83,5,FALSE),0)=1,$MW90,""),IF(IFERROR(VLOOKUP($MX90,$AV$2:$BA$83,5,FALSE),0)=1,$MX90,""),IF(IFERROR(VLOOKUP($MY90,$AV$2:$BA$83,5,FALSE),0)=1,$MY90,""))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MIN($OW90,$OU90-IF($NQ90=0,0,INDEX($I$2:$N$8,MAX(1,$MQ90),$NQ90)))</f>
        <v/>
      </c>
      <c r="OY90" s="155">
        <f>$OW90-$OX90</f>
        <v/>
      </c>
      <c r="OZ90" s="155">
        <f>IF($MQ90=0,0,INDEX($P$2:$P$8,MAX(1,$MQ90)))</f>
        <v/>
      </c>
      <c r="PA90" s="155">
        <f>$OZ90-$OU90+$OX90</f>
        <v/>
      </c>
      <c r="PB90" s="155">
        <f>IF($MQ90=0,MAX(0,$NE90-IF(AND($OS90&gt;0,COUNTIF($MZ90:$NA90,"?*")=0),1,0)),MAX(0,$PA90))</f>
        <v/>
      </c>
      <c r="PC90" s="155">
        <f>IF($MQ90=0,0,(IF(COUNTIF($MV90:$MY90,"Salto")&gt;0,1,0)+IF(COUNTIF($MV90:$MY90,"Queima")&gt;0,1,0)+IF(COUNTIF($MV90:$MY90,"Estilhaço")&gt;0,1,0))*FLOOR($PB90/2,1))</f>
        <v/>
      </c>
      <c r="PD90" s="155">
        <f>MAX(0,2-SUMPRODUCT($OK90:$OP90,$I$2:$N$2)+MIN(2,$OQ90*1+$OR90*1,SUMPRODUCT($OK90:$OP90,$I$2:$N$2)-IF($NQ90=0,0,INDEX($I$2:$N$2,1,$NQ90))))</f>
        <v/>
      </c>
      <c r="PE90" s="155">
        <f>MAX(0,4-SUMPRODUCT($OK90:$OP90,$I$3:$N$3)+MIN(4,$OQ90*1+$OR90*2,SUMPRODUCT($OK90:$OP90,$I$3:$N$3)-IF($NQ90=0,0,INDEX($I$3:$N$3,1,$NQ90))))</f>
        <v/>
      </c>
      <c r="PF90" s="155">
        <f>MAX(0,6-SUMPRODUCT($OK90:$OP90,$I$4:$N$4)+MIN(6,$OQ90*2+$OR90*3,SUMPRODUCT($OK90:$OP90,$I$4:$N$4)-IF($NQ90=0,0,INDEX($I$4:$N$4,1,$NQ90))))</f>
        <v/>
      </c>
      <c r="PG90" s="155">
        <f>MAX(0,9-SUMPRODUCT($OK90:$OP90,$I$5:$N$5)+MIN(8,$OQ90*2+$OR90*4,SUMPRODUCT($OK90:$OP90,$I$5:$N$5)-IF($NQ90=0,0,INDEX($I$5:$N$5,1,$NQ90))))</f>
        <v/>
      </c>
      <c r="PH90" s="155">
        <f>MAX(0,11-SUMPRODUCT($OK90:$OP90,$I$6:$N$6)+MIN(10,$OQ90*3+$OR90*5,SUMPRODUCT($OK90:$OP90,$I$6:$N$6)-IF($NQ90=0,0,INDEX($I$6:$N$6,1,$NQ90))))</f>
        <v/>
      </c>
      <c r="PI90" s="155">
        <f>MAX(0,13-SUMPRODUCT($OK90:$OP90,$I$7:$N$7)+MIN(12,$OQ90*3+$OR90*6,SUMPRODUCT($OK90:$OP90,$I$7:$N$7)-IF($NQ90=0,0,INDEX($I$7:$N$7,1,$NQ90))))</f>
        <v/>
      </c>
      <c r="PJ90" s="155">
        <f>MAX(0,16-SUMPRODUCT($OK90:$OP90,$I$8:$N$8)+MIN(14,$OQ90*4+$OR90*7,SUMPRODUCT($OK90:$OP90,$I$8:$N$8)-IF($NQ90=0,0,INDEX($I$8:$N$8,1,$NQ90))))</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Melhoria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IFERROR(VLOOKUP($MV91,$AV$2:$BA$83,2,FALSE),"")</f>
        <v/>
      </c>
      <c r="NJ91" s="155">
        <f>IFERROR(VLOOKUP($MW91,$AV$2:$BA$83,2,FALSE),"")</f>
        <v/>
      </c>
      <c r="NK91" s="155">
        <f>IFERROR(VLOOKUP($MX91,$AV$2:$BA$83,2,FALSE),"")</f>
        <v/>
      </c>
      <c r="NL91" s="155">
        <f>IFERROR(VLOOKUP($MY91,$AV$2:$BA$83,2,FALSE),"")</f>
        <v/>
      </c>
      <c r="NM91" s="155">
        <f>IFERROR(VLOOKUP($MV91,$AV$2:$BA$83,3,FALSE),0)</f>
        <v/>
      </c>
      <c r="NN91" s="155">
        <f>IFERROR(VLOOKUP($MW91,$AV$2:$BA$83,3,FALSE),0)</f>
        <v/>
      </c>
      <c r="NO91" s="155">
        <f>IFERROR(VLOOKUP($MX91,$AV$2:$BA$83,3,FALSE),0)</f>
        <v/>
      </c>
      <c r="NP91" s="155">
        <f>IFERROR(VLOOKUP($MY91,$AV$2:$BA$83,3,FALSE),0)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IFERROR(VLOOKUP($MV91,$AV$2:$BA$83,4,FALSE),0)+IFERROR(VLOOKUP($MW91,$AV$2:$BA$83,4,FALSE),0)+IFERROR(VLOOKUP($MX91,$AV$2:$BA$83,4,FALSE),0)+IFERROR(VLOOKUP($MY91,$AV$2:$BA$83,4,FALSE),0)</f>
        <v/>
      </c>
      <c r="OB91" s="155">
        <f>IFERROR(VLOOKUP($MV91,$AV$2:$BA$83,6,FALSE),0)+IFERROR(VLOOKUP($MW91,$AV$2:$BA$83,6,FALSE),0)+IFERROR(VLOOKUP($MX91,$AV$2:$BA$83,6,FALSE),0)+IFERROR(VLOOKUP($MY91,$AV$2:$BA$83,6,FALSE),0)</f>
        <v/>
      </c>
      <c r="OC91" s="155">
        <f>TEXTJOIN(", ",TRUE,IF(IFERROR(VLOOKUP($MV91,$AV$2:$BA$83,5,FALSE),0)=1,$MV91,""),IF(IFERROR(VLOOKUP($MW91,$AV$2:$BA$83,5,FALSE),0)=1,$MW91,""),IF(IFERROR(VLOOKUP($MX91,$AV$2:$BA$83,5,FALSE),0)=1,$MX91,""),IF(IFERROR(VLOOKUP($MY91,$AV$2:$BA$83,5,FALSE),0)=1,$MY91,""))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MIN($OW91,$OU91-IF($NQ91=0,0,INDEX($I$2:$N$8,MAX(1,$MQ91),$NQ91)))</f>
        <v/>
      </c>
      <c r="OY91" s="155">
        <f>$OW91-$OX91</f>
        <v/>
      </c>
      <c r="OZ91" s="155">
        <f>IF($MQ91=0,0,INDEX($P$2:$P$8,MAX(1,$MQ91)))</f>
        <v/>
      </c>
      <c r="PA91" s="155">
        <f>$OZ91-$OU91+$OX91</f>
        <v/>
      </c>
      <c r="PB91" s="155">
        <f>IF($MQ91=0,MAX(0,$NE91-IF(AND($OS91&gt;0,COUNTIF($MZ91:$NA91,"?*")=0),1,0)),MAX(0,$PA91))</f>
        <v/>
      </c>
      <c r="PC91" s="155">
        <f>IF($MQ91=0,0,(IF(COUNTIF($MV91:$MY91,"Salto")&gt;0,1,0)+IF(COUNTIF($MV91:$MY91,"Queima")&gt;0,1,0)+IF(COUNTIF($MV91:$MY91,"Estilhaço")&gt;0,1,0))*FLOOR($PB91/2,1))</f>
        <v/>
      </c>
      <c r="PD91" s="155">
        <f>MAX(0,2-SUMPRODUCT($OK91:$OP91,$I$2:$N$2)+MIN(2,$OQ91*1+$OR91*1,SUMPRODUCT($OK91:$OP91,$I$2:$N$2)-IF($NQ91=0,0,INDEX($I$2:$N$2,1,$NQ91))))</f>
        <v/>
      </c>
      <c r="PE91" s="155">
        <f>MAX(0,4-SUMPRODUCT($OK91:$OP91,$I$3:$N$3)+MIN(4,$OQ91*1+$OR91*2,SUMPRODUCT($OK91:$OP91,$I$3:$N$3)-IF($NQ91=0,0,INDEX($I$3:$N$3,1,$NQ91))))</f>
        <v/>
      </c>
      <c r="PF91" s="155">
        <f>MAX(0,6-SUMPRODUCT($OK91:$OP91,$I$4:$N$4)+MIN(6,$OQ91*2+$OR91*3,SUMPRODUCT($OK91:$OP91,$I$4:$N$4)-IF($NQ91=0,0,INDEX($I$4:$N$4,1,$NQ91))))</f>
        <v/>
      </c>
      <c r="PG91" s="155">
        <f>MAX(0,9-SUMPRODUCT($OK91:$OP91,$I$5:$N$5)+MIN(8,$OQ91*2+$OR91*4,SUMPRODUCT($OK91:$OP91,$I$5:$N$5)-IF($NQ91=0,0,INDEX($I$5:$N$5,1,$NQ91))))</f>
        <v/>
      </c>
      <c r="PH91" s="155">
        <f>MAX(0,11-SUMPRODUCT($OK91:$OP91,$I$6:$N$6)+MIN(10,$OQ91*3+$OR91*5,SUMPRODUCT($OK91:$OP91,$I$6:$N$6)-IF($NQ91=0,0,INDEX($I$6:$N$6,1,$NQ91))))</f>
        <v/>
      </c>
      <c r="PI91" s="155">
        <f>MAX(0,13-SUMPRODUCT($OK91:$OP91,$I$7:$N$7)+MIN(12,$OQ91*3+$OR91*6,SUMPRODUCT($OK91:$OP91,$I$7:$N$7)-IF($NQ91=0,0,INDEX($I$7:$N$7,1,$NQ91))))</f>
        <v/>
      </c>
      <c r="PJ91" s="155">
        <f>MAX(0,16-SUMPRODUCT($OK91:$OP91,$I$8:$N$8)+MIN(14,$OQ91*4+$OR91*7,SUMPRODUCT($OK91:$OP91,$I$8:$N$8)-IF($NQ91=0,0,INDEX($I$8:$N$8,1,$NQ91))))</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Melhoria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IFERROR(VLOOKUP($MV92,$AV$2:$BA$83,2,FALSE),"")</f>
        <v/>
      </c>
      <c r="NJ92" s="155">
        <f>IFERROR(VLOOKUP($MW92,$AV$2:$BA$83,2,FALSE),"")</f>
        <v/>
      </c>
      <c r="NK92" s="155">
        <f>IFERROR(VLOOKUP($MX92,$AV$2:$BA$83,2,FALSE),"")</f>
        <v/>
      </c>
      <c r="NL92" s="155">
        <f>IFERROR(VLOOKUP($MY92,$AV$2:$BA$83,2,FALSE),"")</f>
        <v/>
      </c>
      <c r="NM92" s="155">
        <f>IFERROR(VLOOKUP($MV92,$AV$2:$BA$83,3,FALSE),0)</f>
        <v/>
      </c>
      <c r="NN92" s="155">
        <f>IFERROR(VLOOKUP($MW92,$AV$2:$BA$83,3,FALSE),0)</f>
        <v/>
      </c>
      <c r="NO92" s="155">
        <f>IFERROR(VLOOKUP($MX92,$AV$2:$BA$83,3,FALSE),0)</f>
        <v/>
      </c>
      <c r="NP92" s="155">
        <f>IFERROR(VLOOKUP($MY92,$AV$2:$BA$83,3,FALSE),0)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IFERROR(VLOOKUP($MV92,$AV$2:$BA$83,4,FALSE),0)+IFERROR(VLOOKUP($MW92,$AV$2:$BA$83,4,FALSE),0)+IFERROR(VLOOKUP($MX92,$AV$2:$BA$83,4,FALSE),0)+IFERROR(VLOOKUP($MY92,$AV$2:$BA$83,4,FALSE),0)</f>
        <v/>
      </c>
      <c r="OB92" s="155">
        <f>IFERROR(VLOOKUP($MV92,$AV$2:$BA$83,6,FALSE),0)+IFERROR(VLOOKUP($MW92,$AV$2:$BA$83,6,FALSE),0)+IFERROR(VLOOKUP($MX92,$AV$2:$BA$83,6,FALSE),0)+IFERROR(VLOOKUP($MY92,$AV$2:$BA$83,6,FALSE),0)</f>
        <v/>
      </c>
      <c r="OC92" s="155">
        <f>TEXTJOIN(", ",TRUE,IF(IFERROR(VLOOKUP($MV92,$AV$2:$BA$83,5,FALSE),0)=1,$MV92,""),IF(IFERROR(VLOOKUP($MW92,$AV$2:$BA$83,5,FALSE),0)=1,$MW92,""),IF(IFERROR(VLOOKUP($MX92,$AV$2:$BA$83,5,FALSE),0)=1,$MX92,""),IF(IFERROR(VLOOKUP($MY92,$AV$2:$BA$83,5,FALSE),0)=1,$MY92,""))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MIN($OW92,$OU92-IF($NQ92=0,0,INDEX($I$2:$N$8,MAX(1,$MQ92),$NQ92)))</f>
        <v/>
      </c>
      <c r="OY92" s="155">
        <f>$OW92-$OX92</f>
        <v/>
      </c>
      <c r="OZ92" s="155">
        <f>IF($MQ92=0,0,INDEX($P$2:$P$8,MAX(1,$MQ92)))</f>
        <v/>
      </c>
      <c r="PA92" s="155">
        <f>$OZ92-$OU92+$OX92</f>
        <v/>
      </c>
      <c r="PB92" s="155">
        <f>IF($MQ92=0,MAX(0,$NE92-IF(AND($OS92&gt;0,COUNTIF($MZ92:$NA92,"?*")=0),1,0)),MAX(0,$PA92))</f>
        <v/>
      </c>
      <c r="PC92" s="155">
        <f>IF($MQ92=0,0,(IF(COUNTIF($MV92:$MY92,"Salto")&gt;0,1,0)+IF(COUNTIF($MV92:$MY92,"Queima")&gt;0,1,0)+IF(COUNTIF($MV92:$MY92,"Estilhaço")&gt;0,1,0))*FLOOR($PB92/2,1))</f>
        <v/>
      </c>
      <c r="PD92" s="155">
        <f>MAX(0,2-SUMPRODUCT($OK92:$OP92,$I$2:$N$2)+MIN(2,$OQ92*1+$OR92*1,SUMPRODUCT($OK92:$OP92,$I$2:$N$2)-IF($NQ92=0,0,INDEX($I$2:$N$2,1,$NQ92))))</f>
        <v/>
      </c>
      <c r="PE92" s="155">
        <f>MAX(0,4-SUMPRODUCT($OK92:$OP92,$I$3:$N$3)+MIN(4,$OQ92*1+$OR92*2,SUMPRODUCT($OK92:$OP92,$I$3:$N$3)-IF($NQ92=0,0,INDEX($I$3:$N$3,1,$NQ92))))</f>
        <v/>
      </c>
      <c r="PF92" s="155">
        <f>MAX(0,6-SUMPRODUCT($OK92:$OP92,$I$4:$N$4)+MIN(6,$OQ92*2+$OR92*3,SUMPRODUCT($OK92:$OP92,$I$4:$N$4)-IF($NQ92=0,0,INDEX($I$4:$N$4,1,$NQ92))))</f>
        <v/>
      </c>
      <c r="PG92" s="155">
        <f>MAX(0,9-SUMPRODUCT($OK92:$OP92,$I$5:$N$5)+MIN(8,$OQ92*2+$OR92*4,SUMPRODUCT($OK92:$OP92,$I$5:$N$5)-IF($NQ92=0,0,INDEX($I$5:$N$5,1,$NQ92))))</f>
        <v/>
      </c>
      <c r="PH92" s="155">
        <f>MAX(0,11-SUMPRODUCT($OK92:$OP92,$I$6:$N$6)+MIN(10,$OQ92*3+$OR92*5,SUMPRODUCT($OK92:$OP92,$I$6:$N$6)-IF($NQ92=0,0,INDEX($I$6:$N$6,1,$NQ92))))</f>
        <v/>
      </c>
      <c r="PI92" s="155">
        <f>MAX(0,13-SUMPRODUCT($OK92:$OP92,$I$7:$N$7)+MIN(12,$OQ92*3+$OR92*6,SUMPRODUCT($OK92:$OP92,$I$7:$N$7)-IF($NQ92=0,0,INDEX($I$7:$N$7,1,$NQ92))))</f>
        <v/>
      </c>
      <c r="PJ92" s="155">
        <f>MAX(0,16-SUMPRODUCT($OK92:$OP92,$I$8:$N$8)+MIN(14,$OQ92*4+$OR92*7,SUMPRODUCT($OK92:$OP92,$I$8:$N$8)-IF($NQ92=0,0,INDEX($I$8:$N$8,1,$NQ92))))</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Melhoria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IFERROR(VLOOKUP($MV93,$AV$2:$BA$83,2,FALSE),"")</f>
        <v/>
      </c>
      <c r="NJ93" s="155">
        <f>IFERROR(VLOOKUP($MW93,$AV$2:$BA$83,2,FALSE),"")</f>
        <v/>
      </c>
      <c r="NK93" s="155">
        <f>IFERROR(VLOOKUP($MX93,$AV$2:$BA$83,2,FALSE),"")</f>
        <v/>
      </c>
      <c r="NL93" s="155">
        <f>IFERROR(VLOOKUP($MY93,$AV$2:$BA$83,2,FALSE),"")</f>
        <v/>
      </c>
      <c r="NM93" s="155">
        <f>IFERROR(VLOOKUP($MV93,$AV$2:$BA$83,3,FALSE),0)</f>
        <v/>
      </c>
      <c r="NN93" s="155">
        <f>IFERROR(VLOOKUP($MW93,$AV$2:$BA$83,3,FALSE),0)</f>
        <v/>
      </c>
      <c r="NO93" s="155">
        <f>IFERROR(VLOOKUP($MX93,$AV$2:$BA$83,3,FALSE),0)</f>
        <v/>
      </c>
      <c r="NP93" s="155">
        <f>IFERROR(VLOOKUP($MY93,$AV$2:$BA$83,3,FALSE),0)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IFERROR(VLOOKUP($MV93,$AV$2:$BA$83,4,FALSE),0)+IFERROR(VLOOKUP($MW93,$AV$2:$BA$83,4,FALSE),0)+IFERROR(VLOOKUP($MX93,$AV$2:$BA$83,4,FALSE),0)+IFERROR(VLOOKUP($MY93,$AV$2:$BA$83,4,FALSE),0)</f>
        <v/>
      </c>
      <c r="OB93" s="155">
        <f>IFERROR(VLOOKUP($MV93,$AV$2:$BA$83,6,FALSE),0)+IFERROR(VLOOKUP($MW93,$AV$2:$BA$83,6,FALSE),0)+IFERROR(VLOOKUP($MX93,$AV$2:$BA$83,6,FALSE),0)+IFERROR(VLOOKUP($MY93,$AV$2:$BA$83,6,FALSE),0)</f>
        <v/>
      </c>
      <c r="OC93" s="155">
        <f>TEXTJOIN(", ",TRUE,IF(IFERROR(VLOOKUP($MV93,$AV$2:$BA$83,5,FALSE),0)=1,$MV93,""),IF(IFERROR(VLOOKUP($MW93,$AV$2:$BA$83,5,FALSE),0)=1,$MW93,""),IF(IFERROR(VLOOKUP($MX93,$AV$2:$BA$83,5,FALSE),0)=1,$MX93,""),IF(IFERROR(VLOOKUP($MY93,$AV$2:$BA$83,5,FALSE),0)=1,$MY93,""))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MIN($OW93,$OU93-IF($NQ93=0,0,INDEX($I$2:$N$8,MAX(1,$MQ93),$NQ93)))</f>
        <v/>
      </c>
      <c r="OY93" s="155">
        <f>$OW93-$OX93</f>
        <v/>
      </c>
      <c r="OZ93" s="155">
        <f>IF($MQ93=0,0,INDEX($P$2:$P$8,MAX(1,$MQ93)))</f>
        <v/>
      </c>
      <c r="PA93" s="155">
        <f>$OZ93-$OU93+$OX93</f>
        <v/>
      </c>
      <c r="PB93" s="155">
        <f>IF($MQ93=0,MAX(0,$NE93-IF(AND($OS93&gt;0,COUNTIF($MZ93:$NA93,"?*")=0),1,0)),MAX(0,$PA93))</f>
        <v/>
      </c>
      <c r="PC93" s="155">
        <f>IF($MQ93=0,0,(IF(COUNTIF($MV93:$MY93,"Salto")&gt;0,1,0)+IF(COUNTIF($MV93:$MY93,"Queima")&gt;0,1,0)+IF(COUNTIF($MV93:$MY93,"Estilhaço")&gt;0,1,0))*FLOOR($PB93/2,1))</f>
        <v/>
      </c>
      <c r="PD93" s="155">
        <f>MAX(0,2-SUMPRODUCT($OK93:$OP93,$I$2:$N$2)+MIN(2,$OQ93*1+$OR93*1,SUMPRODUCT($OK93:$OP93,$I$2:$N$2)-IF($NQ93=0,0,INDEX($I$2:$N$2,1,$NQ93))))</f>
        <v/>
      </c>
      <c r="PE93" s="155">
        <f>MAX(0,4-SUMPRODUCT($OK93:$OP93,$I$3:$N$3)+MIN(4,$OQ93*1+$OR93*2,SUMPRODUCT($OK93:$OP93,$I$3:$N$3)-IF($NQ93=0,0,INDEX($I$3:$N$3,1,$NQ93))))</f>
        <v/>
      </c>
      <c r="PF93" s="155">
        <f>MAX(0,6-SUMPRODUCT($OK93:$OP93,$I$4:$N$4)+MIN(6,$OQ93*2+$OR93*3,SUMPRODUCT($OK93:$OP93,$I$4:$N$4)-IF($NQ93=0,0,INDEX($I$4:$N$4,1,$NQ93))))</f>
        <v/>
      </c>
      <c r="PG93" s="155">
        <f>MAX(0,9-SUMPRODUCT($OK93:$OP93,$I$5:$N$5)+MIN(8,$OQ93*2+$OR93*4,SUMPRODUCT($OK93:$OP93,$I$5:$N$5)-IF($NQ93=0,0,INDEX($I$5:$N$5,1,$NQ93))))</f>
        <v/>
      </c>
      <c r="PH93" s="155">
        <f>MAX(0,11-SUMPRODUCT($OK93:$OP93,$I$6:$N$6)+MIN(10,$OQ93*3+$OR93*5,SUMPRODUCT($OK93:$OP93,$I$6:$N$6)-IF($NQ93=0,0,INDEX($I$6:$N$6,1,$NQ93))))</f>
        <v/>
      </c>
      <c r="PI93" s="155">
        <f>MAX(0,13-SUMPRODUCT($OK93:$OP93,$I$7:$N$7)+MIN(12,$OQ93*3+$OR93*6,SUMPRODUCT($OK93:$OP93,$I$7:$N$7)-IF($NQ93=0,0,INDEX($I$7:$N$7,1,$NQ93))))</f>
        <v/>
      </c>
      <c r="PJ93" s="155">
        <f>MAX(0,16-SUMPRODUCT($OK93:$OP93,$I$8:$N$8)+MIN(14,$OQ93*4+$OR93*7,SUMPRODUCT($OK93:$OP93,$I$8:$N$8)-IF($NQ93=0,0,INDEX($I$8:$N$8,1,$NQ93))))</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Melhoria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IFERROR(VLOOKUP($MV94,$AV$2:$BA$83,2,FALSE),"")</f>
        <v/>
      </c>
      <c r="NJ94" s="155">
        <f>IFERROR(VLOOKUP($MW94,$AV$2:$BA$83,2,FALSE),"")</f>
        <v/>
      </c>
      <c r="NK94" s="155">
        <f>IFERROR(VLOOKUP($MX94,$AV$2:$BA$83,2,FALSE),"")</f>
        <v/>
      </c>
      <c r="NL94" s="155">
        <f>IFERROR(VLOOKUP($MY94,$AV$2:$BA$83,2,FALSE),"")</f>
        <v/>
      </c>
      <c r="NM94" s="155">
        <f>IFERROR(VLOOKUP($MV94,$AV$2:$BA$83,3,FALSE),0)</f>
        <v/>
      </c>
      <c r="NN94" s="155">
        <f>IFERROR(VLOOKUP($MW94,$AV$2:$BA$83,3,FALSE),0)</f>
        <v/>
      </c>
      <c r="NO94" s="155">
        <f>IFERROR(VLOOKUP($MX94,$AV$2:$BA$83,3,FALSE),0)</f>
        <v/>
      </c>
      <c r="NP94" s="155">
        <f>IFERROR(VLOOKUP($MY94,$AV$2:$BA$83,3,FALSE),0)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IFERROR(VLOOKUP($MV94,$AV$2:$BA$83,4,FALSE),0)+IFERROR(VLOOKUP($MW94,$AV$2:$BA$83,4,FALSE),0)+IFERROR(VLOOKUP($MX94,$AV$2:$BA$83,4,FALSE),0)+IFERROR(VLOOKUP($MY94,$AV$2:$BA$83,4,FALSE),0)</f>
        <v/>
      </c>
      <c r="OB94" s="155">
        <f>IFERROR(VLOOKUP($MV94,$AV$2:$BA$83,6,FALSE),0)+IFERROR(VLOOKUP($MW94,$AV$2:$BA$83,6,FALSE),0)+IFERROR(VLOOKUP($MX94,$AV$2:$BA$83,6,FALSE),0)+IFERROR(VLOOKUP($MY94,$AV$2:$BA$83,6,FALSE),0)</f>
        <v/>
      </c>
      <c r="OC94" s="155">
        <f>TEXTJOIN(", ",TRUE,IF(IFERROR(VLOOKUP($MV94,$AV$2:$BA$83,5,FALSE),0)=1,$MV94,""),IF(IFERROR(VLOOKUP($MW94,$AV$2:$BA$83,5,FALSE),0)=1,$MW94,""),IF(IFERROR(VLOOKUP($MX94,$AV$2:$BA$83,5,FALSE),0)=1,$MX94,""),IF(IFERROR(VLOOKUP($MY94,$AV$2:$BA$83,5,FALSE),0)=1,$MY94,""))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MIN($OW94,$OU94-IF($NQ94=0,0,INDEX($I$2:$N$8,MAX(1,$MQ94),$NQ94)))</f>
        <v/>
      </c>
      <c r="OY94" s="155">
        <f>$OW94-$OX94</f>
        <v/>
      </c>
      <c r="OZ94" s="155">
        <f>IF($MQ94=0,0,INDEX($P$2:$P$8,MAX(1,$MQ94)))</f>
        <v/>
      </c>
      <c r="PA94" s="155">
        <f>$OZ94-$OU94+$OX94</f>
        <v/>
      </c>
      <c r="PB94" s="155">
        <f>IF($MQ94=0,MAX(0,$NE94-IF(AND($OS94&gt;0,COUNTIF($MZ94:$NA94,"?*")=0),1,0)),MAX(0,$PA94))</f>
        <v/>
      </c>
      <c r="PC94" s="155">
        <f>IF($MQ94=0,0,(IF(COUNTIF($MV94:$MY94,"Salto")&gt;0,1,0)+IF(COUNTIF($MV94:$MY94,"Queima")&gt;0,1,0)+IF(COUNTIF($MV94:$MY94,"Estilhaço")&gt;0,1,0))*FLOOR($PB94/2,1))</f>
        <v/>
      </c>
      <c r="PD94" s="155">
        <f>MAX(0,2-SUMPRODUCT($OK94:$OP94,$I$2:$N$2)+MIN(2,$OQ94*1+$OR94*1,SUMPRODUCT($OK94:$OP94,$I$2:$N$2)-IF($NQ94=0,0,INDEX($I$2:$N$2,1,$NQ94))))</f>
        <v/>
      </c>
      <c r="PE94" s="155">
        <f>MAX(0,4-SUMPRODUCT($OK94:$OP94,$I$3:$N$3)+MIN(4,$OQ94*1+$OR94*2,SUMPRODUCT($OK94:$OP94,$I$3:$N$3)-IF($NQ94=0,0,INDEX($I$3:$N$3,1,$NQ94))))</f>
        <v/>
      </c>
      <c r="PF94" s="155">
        <f>MAX(0,6-SUMPRODUCT($OK94:$OP94,$I$4:$N$4)+MIN(6,$OQ94*2+$OR94*3,SUMPRODUCT($OK94:$OP94,$I$4:$N$4)-IF($NQ94=0,0,INDEX($I$4:$N$4,1,$NQ94))))</f>
        <v/>
      </c>
      <c r="PG94" s="155">
        <f>MAX(0,9-SUMPRODUCT($OK94:$OP94,$I$5:$N$5)+MIN(8,$OQ94*2+$OR94*4,SUMPRODUCT($OK94:$OP94,$I$5:$N$5)-IF($NQ94=0,0,INDEX($I$5:$N$5,1,$NQ94))))</f>
        <v/>
      </c>
      <c r="PH94" s="155">
        <f>MAX(0,11-SUMPRODUCT($OK94:$OP94,$I$6:$N$6)+MIN(10,$OQ94*3+$OR94*5,SUMPRODUCT($OK94:$OP94,$I$6:$N$6)-IF($NQ94=0,0,INDEX($I$6:$N$6,1,$NQ94))))</f>
        <v/>
      </c>
      <c r="PI94" s="155">
        <f>MAX(0,13-SUMPRODUCT($OK94:$OP94,$I$7:$N$7)+MIN(12,$OQ94*3+$OR94*6,SUMPRODUCT($OK94:$OP94,$I$7:$N$7)-IF($NQ94=0,0,INDEX($I$7:$N$7,1,$NQ94))))</f>
        <v/>
      </c>
      <c r="PJ94" s="155">
        <f>MAX(0,16-SUMPRODUCT($OK94:$OP94,$I$8:$N$8)+MIN(14,$OQ94*4+$OR94*7,SUMPRODUCT($OK94:$OP94,$I$8:$N$8)-IF($NQ94=0,0,INDEX($I$8:$N$8,1,$NQ94))))</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Melhoria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IFERROR(VLOOKUP($MV95,$AV$2:$BA$83,2,FALSE),"")</f>
        <v/>
      </c>
      <c r="NJ95" s="155">
        <f>IFERROR(VLOOKUP($MW95,$AV$2:$BA$83,2,FALSE),"")</f>
        <v/>
      </c>
      <c r="NK95" s="155">
        <f>IFERROR(VLOOKUP($MX95,$AV$2:$BA$83,2,FALSE),"")</f>
        <v/>
      </c>
      <c r="NL95" s="155">
        <f>IFERROR(VLOOKUP($MY95,$AV$2:$BA$83,2,FALSE),"")</f>
        <v/>
      </c>
      <c r="NM95" s="155">
        <f>IFERROR(VLOOKUP($MV95,$AV$2:$BA$83,3,FALSE),0)</f>
        <v/>
      </c>
      <c r="NN95" s="155">
        <f>IFERROR(VLOOKUP($MW95,$AV$2:$BA$83,3,FALSE),0)</f>
        <v/>
      </c>
      <c r="NO95" s="155">
        <f>IFERROR(VLOOKUP($MX95,$AV$2:$BA$83,3,FALSE),0)</f>
        <v/>
      </c>
      <c r="NP95" s="155">
        <f>IFERROR(VLOOKUP($MY95,$AV$2:$BA$83,3,FALSE),0)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IFERROR(VLOOKUP($MV95,$AV$2:$BA$83,4,FALSE),0)+IFERROR(VLOOKUP($MW95,$AV$2:$BA$83,4,FALSE),0)+IFERROR(VLOOKUP($MX95,$AV$2:$BA$83,4,FALSE),0)+IFERROR(VLOOKUP($MY95,$AV$2:$BA$83,4,FALSE),0)</f>
        <v/>
      </c>
      <c r="OB95" s="155">
        <f>IFERROR(VLOOKUP($MV95,$AV$2:$BA$83,6,FALSE),0)+IFERROR(VLOOKUP($MW95,$AV$2:$BA$83,6,FALSE),0)+IFERROR(VLOOKUP($MX95,$AV$2:$BA$83,6,FALSE),0)+IFERROR(VLOOKUP($MY95,$AV$2:$BA$83,6,FALSE),0)</f>
        <v/>
      </c>
      <c r="OC95" s="155">
        <f>TEXTJOIN(", ",TRUE,IF(IFERROR(VLOOKUP($MV95,$AV$2:$BA$83,5,FALSE),0)=1,$MV95,""),IF(IFERROR(VLOOKUP($MW95,$AV$2:$BA$83,5,FALSE),0)=1,$MW95,""),IF(IFERROR(VLOOKUP($MX95,$AV$2:$BA$83,5,FALSE),0)=1,$MX95,""),IF(IFERROR(VLOOKUP($MY95,$AV$2:$BA$83,5,FALSE),0)=1,$MY95,""))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MIN($OW95,$OU95-IF($NQ95=0,0,INDEX($I$2:$N$8,MAX(1,$MQ95),$NQ95)))</f>
        <v/>
      </c>
      <c r="OY95" s="155">
        <f>$OW95-$OX95</f>
        <v/>
      </c>
      <c r="OZ95" s="155">
        <f>IF($MQ95=0,0,INDEX($P$2:$P$8,MAX(1,$MQ95)))</f>
        <v/>
      </c>
      <c r="PA95" s="155">
        <f>$OZ95-$OU95+$OX95</f>
        <v/>
      </c>
      <c r="PB95" s="155">
        <f>IF($MQ95=0,MAX(0,$NE95-IF(AND($OS95&gt;0,COUNTIF($MZ95:$NA95,"?*")=0),1,0)),MAX(0,$PA95))</f>
        <v/>
      </c>
      <c r="PC95" s="155">
        <f>IF($MQ95=0,0,(IF(COUNTIF($MV95:$MY95,"Salto")&gt;0,1,0)+IF(COUNTIF($MV95:$MY95,"Queima")&gt;0,1,0)+IF(COUNTIF($MV95:$MY95,"Estilhaço")&gt;0,1,0))*FLOOR($PB95/2,1))</f>
        <v/>
      </c>
      <c r="PD95" s="155">
        <f>MAX(0,2-SUMPRODUCT($OK95:$OP95,$I$2:$N$2)+MIN(2,$OQ95*1+$OR95*1,SUMPRODUCT($OK95:$OP95,$I$2:$N$2)-IF($NQ95=0,0,INDEX($I$2:$N$2,1,$NQ95))))</f>
        <v/>
      </c>
      <c r="PE95" s="155">
        <f>MAX(0,4-SUMPRODUCT($OK95:$OP95,$I$3:$N$3)+MIN(4,$OQ95*1+$OR95*2,SUMPRODUCT($OK95:$OP95,$I$3:$N$3)-IF($NQ95=0,0,INDEX($I$3:$N$3,1,$NQ95))))</f>
        <v/>
      </c>
      <c r="PF95" s="155">
        <f>MAX(0,6-SUMPRODUCT($OK95:$OP95,$I$4:$N$4)+MIN(6,$OQ95*2+$OR95*3,SUMPRODUCT($OK95:$OP95,$I$4:$N$4)-IF($NQ95=0,0,INDEX($I$4:$N$4,1,$NQ95))))</f>
        <v/>
      </c>
      <c r="PG95" s="155">
        <f>MAX(0,9-SUMPRODUCT($OK95:$OP95,$I$5:$N$5)+MIN(8,$OQ95*2+$OR95*4,SUMPRODUCT($OK95:$OP95,$I$5:$N$5)-IF($NQ95=0,0,INDEX($I$5:$N$5,1,$NQ95))))</f>
        <v/>
      </c>
      <c r="PH95" s="155">
        <f>MAX(0,11-SUMPRODUCT($OK95:$OP95,$I$6:$N$6)+MIN(10,$OQ95*3+$OR95*5,SUMPRODUCT($OK95:$OP95,$I$6:$N$6)-IF($NQ95=0,0,INDEX($I$6:$N$6,1,$NQ95))))</f>
        <v/>
      </c>
      <c r="PI95" s="155">
        <f>MAX(0,13-SUMPRODUCT($OK95:$OP95,$I$7:$N$7)+MIN(12,$OQ95*3+$OR95*6,SUMPRODUCT($OK95:$OP95,$I$7:$N$7)-IF($NQ95=0,0,INDEX($I$7:$N$7,1,$NQ95))))</f>
        <v/>
      </c>
      <c r="PJ95" s="155">
        <f>MAX(0,16-SUMPRODUCT($OK95:$OP95,$I$8:$N$8)+MIN(14,$OQ95*4+$OR95*7,SUMPRODUCT($OK95:$OP95,$I$8:$N$8)-IF($NQ95=0,0,INDEX($I$8:$N$8,1,$NQ95))))</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Melhoria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IFERROR(VLOOKUP($MV96,$AV$2:$BA$83,2,FALSE),"")</f>
        <v/>
      </c>
      <c r="NJ96" s="155">
        <f>IFERROR(VLOOKUP($MW96,$AV$2:$BA$83,2,FALSE),"")</f>
        <v/>
      </c>
      <c r="NK96" s="155">
        <f>IFERROR(VLOOKUP($MX96,$AV$2:$BA$83,2,FALSE),"")</f>
        <v/>
      </c>
      <c r="NL96" s="155">
        <f>IFERROR(VLOOKUP($MY96,$AV$2:$BA$83,2,FALSE),"")</f>
        <v/>
      </c>
      <c r="NM96" s="155">
        <f>IFERROR(VLOOKUP($MV96,$AV$2:$BA$83,3,FALSE),0)</f>
        <v/>
      </c>
      <c r="NN96" s="155">
        <f>IFERROR(VLOOKUP($MW96,$AV$2:$BA$83,3,FALSE),0)</f>
        <v/>
      </c>
      <c r="NO96" s="155">
        <f>IFERROR(VLOOKUP($MX96,$AV$2:$BA$83,3,FALSE),0)</f>
        <v/>
      </c>
      <c r="NP96" s="155">
        <f>IFERROR(VLOOKUP($MY96,$AV$2:$BA$83,3,FALSE),0)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IFERROR(VLOOKUP($MV96,$AV$2:$BA$83,4,FALSE),0)+IFERROR(VLOOKUP($MW96,$AV$2:$BA$83,4,FALSE),0)+IFERROR(VLOOKUP($MX96,$AV$2:$BA$83,4,FALSE),0)+IFERROR(VLOOKUP($MY96,$AV$2:$BA$83,4,FALSE),0)</f>
        <v/>
      </c>
      <c r="OB96" s="155">
        <f>IFERROR(VLOOKUP($MV96,$AV$2:$BA$83,6,FALSE),0)+IFERROR(VLOOKUP($MW96,$AV$2:$BA$83,6,FALSE),0)+IFERROR(VLOOKUP($MX96,$AV$2:$BA$83,6,FALSE),0)+IFERROR(VLOOKUP($MY96,$AV$2:$BA$83,6,FALSE),0)</f>
        <v/>
      </c>
      <c r="OC96" s="155">
        <f>TEXTJOIN(", ",TRUE,IF(IFERROR(VLOOKUP($MV96,$AV$2:$BA$83,5,FALSE),0)=1,$MV96,""),IF(IFERROR(VLOOKUP($MW96,$AV$2:$BA$83,5,FALSE),0)=1,$MW96,""),IF(IFERROR(VLOOKUP($MX96,$AV$2:$BA$83,5,FALSE),0)=1,$MX96,""),IF(IFERROR(VLOOKUP($MY96,$AV$2:$BA$83,5,FALSE),0)=1,$MY96,""))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MIN($OW96,$OU96-IF($NQ96=0,0,INDEX($I$2:$N$8,MAX(1,$MQ96),$NQ96)))</f>
        <v/>
      </c>
      <c r="OY96" s="155">
        <f>$OW96-$OX96</f>
        <v/>
      </c>
      <c r="OZ96" s="155">
        <f>IF($MQ96=0,0,INDEX($P$2:$P$8,MAX(1,$MQ96)))</f>
        <v/>
      </c>
      <c r="PA96" s="155">
        <f>$OZ96-$OU96+$OX96</f>
        <v/>
      </c>
      <c r="PB96" s="155">
        <f>IF($MQ96=0,MAX(0,$NE96-IF(AND($OS96&gt;0,COUNTIF($MZ96:$NA96,"?*")=0),1,0)),MAX(0,$PA96))</f>
        <v/>
      </c>
      <c r="PC96" s="155">
        <f>IF($MQ96=0,0,(IF(COUNTIF($MV96:$MY96,"Salto")&gt;0,1,0)+IF(COUNTIF($MV96:$MY96,"Queima")&gt;0,1,0)+IF(COUNTIF($MV96:$MY96,"Estilhaço")&gt;0,1,0))*FLOOR($PB96/2,1))</f>
        <v/>
      </c>
      <c r="PD96" s="155">
        <f>MAX(0,2-SUMPRODUCT($OK96:$OP96,$I$2:$N$2)+MIN(2,$OQ96*1+$OR96*1,SUMPRODUCT($OK96:$OP96,$I$2:$N$2)-IF($NQ96=0,0,INDEX($I$2:$N$2,1,$NQ96))))</f>
        <v/>
      </c>
      <c r="PE96" s="155">
        <f>MAX(0,4-SUMPRODUCT($OK96:$OP96,$I$3:$N$3)+MIN(4,$OQ96*1+$OR96*2,SUMPRODUCT($OK96:$OP96,$I$3:$N$3)-IF($NQ96=0,0,INDEX($I$3:$N$3,1,$NQ96))))</f>
        <v/>
      </c>
      <c r="PF96" s="155">
        <f>MAX(0,6-SUMPRODUCT($OK96:$OP96,$I$4:$N$4)+MIN(6,$OQ96*2+$OR96*3,SUMPRODUCT($OK96:$OP96,$I$4:$N$4)-IF($NQ96=0,0,INDEX($I$4:$N$4,1,$NQ96))))</f>
        <v/>
      </c>
      <c r="PG96" s="155">
        <f>MAX(0,9-SUMPRODUCT($OK96:$OP96,$I$5:$N$5)+MIN(8,$OQ96*2+$OR96*4,SUMPRODUCT($OK96:$OP96,$I$5:$N$5)-IF($NQ96=0,0,INDEX($I$5:$N$5,1,$NQ96))))</f>
        <v/>
      </c>
      <c r="PH96" s="155">
        <f>MAX(0,11-SUMPRODUCT($OK96:$OP96,$I$6:$N$6)+MIN(10,$OQ96*3+$OR96*5,SUMPRODUCT($OK96:$OP96,$I$6:$N$6)-IF($NQ96=0,0,INDEX($I$6:$N$6,1,$NQ96))))</f>
        <v/>
      </c>
      <c r="PI96" s="155">
        <f>MAX(0,13-SUMPRODUCT($OK96:$OP96,$I$7:$N$7)+MIN(12,$OQ96*3+$OR96*6,SUMPRODUCT($OK96:$OP96,$I$7:$N$7)-IF($NQ96=0,0,INDEX($I$7:$N$7,1,$NQ96))))</f>
        <v/>
      </c>
      <c r="PJ96" s="155">
        <f>MAX(0,16-SUMPRODUCT($OK96:$OP96,$I$8:$N$8)+MIN(14,$OQ96*4+$OR96*7,SUMPRODUCT($OK96:$OP96,$I$8:$N$8)-IF($NQ96=0,0,INDEX($I$8:$N$8,1,$NQ96))))</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Melhoria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IFERROR(VLOOKUP($MV97,$AV$2:$BA$83,2,FALSE),"")</f>
        <v/>
      </c>
      <c r="NJ97" s="155">
        <f>IFERROR(VLOOKUP($MW97,$AV$2:$BA$83,2,FALSE),"")</f>
        <v/>
      </c>
      <c r="NK97" s="155">
        <f>IFERROR(VLOOKUP($MX97,$AV$2:$BA$83,2,FALSE),"")</f>
        <v/>
      </c>
      <c r="NL97" s="155">
        <f>IFERROR(VLOOKUP($MY97,$AV$2:$BA$83,2,FALSE),"")</f>
        <v/>
      </c>
      <c r="NM97" s="155">
        <f>IFERROR(VLOOKUP($MV97,$AV$2:$BA$83,3,FALSE),0)</f>
        <v/>
      </c>
      <c r="NN97" s="155">
        <f>IFERROR(VLOOKUP($MW97,$AV$2:$BA$83,3,FALSE),0)</f>
        <v/>
      </c>
      <c r="NO97" s="155">
        <f>IFERROR(VLOOKUP($MX97,$AV$2:$BA$83,3,FALSE),0)</f>
        <v/>
      </c>
      <c r="NP97" s="155">
        <f>IFERROR(VLOOKUP($MY97,$AV$2:$BA$83,3,FALSE),0)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IFERROR(VLOOKUP($MV97,$AV$2:$BA$83,4,FALSE),0)+IFERROR(VLOOKUP($MW97,$AV$2:$BA$83,4,FALSE),0)+IFERROR(VLOOKUP($MX97,$AV$2:$BA$83,4,FALSE),0)+IFERROR(VLOOKUP($MY97,$AV$2:$BA$83,4,FALSE),0)</f>
        <v/>
      </c>
      <c r="OB97" s="155">
        <f>IFERROR(VLOOKUP($MV97,$AV$2:$BA$83,6,FALSE),0)+IFERROR(VLOOKUP($MW97,$AV$2:$BA$83,6,FALSE),0)+IFERROR(VLOOKUP($MX97,$AV$2:$BA$83,6,FALSE),0)+IFERROR(VLOOKUP($MY97,$AV$2:$BA$83,6,FALSE),0)</f>
        <v/>
      </c>
      <c r="OC97" s="155">
        <f>TEXTJOIN(", ",TRUE,IF(IFERROR(VLOOKUP($MV97,$AV$2:$BA$83,5,FALSE),0)=1,$MV97,""),IF(IFERROR(VLOOKUP($MW97,$AV$2:$BA$83,5,FALSE),0)=1,$MW97,""),IF(IFERROR(VLOOKUP($MX97,$AV$2:$BA$83,5,FALSE),0)=1,$MX97,""),IF(IFERROR(VLOOKUP($MY97,$AV$2:$BA$83,5,FALSE),0)=1,$MY97,""))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MIN($OW97,$OU97-IF($NQ97=0,0,INDEX($I$2:$N$8,MAX(1,$MQ97),$NQ97)))</f>
        <v/>
      </c>
      <c r="OY97" s="155">
        <f>$OW97-$OX97</f>
        <v/>
      </c>
      <c r="OZ97" s="155">
        <f>IF($MQ97=0,0,INDEX($P$2:$P$8,MAX(1,$MQ97)))</f>
        <v/>
      </c>
      <c r="PA97" s="155">
        <f>$OZ97-$OU97+$OX97</f>
        <v/>
      </c>
      <c r="PB97" s="155">
        <f>IF($MQ97=0,MAX(0,$NE97-IF(AND($OS97&gt;0,COUNTIF($MZ97:$NA97,"?*")=0),1,0)),MAX(0,$PA97))</f>
        <v/>
      </c>
      <c r="PC97" s="155">
        <f>IF($MQ97=0,0,(IF(COUNTIF($MV97:$MY97,"Salto")&gt;0,1,0)+IF(COUNTIF($MV97:$MY97,"Queima")&gt;0,1,0)+IF(COUNTIF($MV97:$MY97,"Estilhaço")&gt;0,1,0))*FLOOR($PB97/2,1))</f>
        <v/>
      </c>
      <c r="PD97" s="155">
        <f>MAX(0,2-SUMPRODUCT($OK97:$OP97,$I$2:$N$2)+MIN(2,$OQ97*1+$OR97*1,SUMPRODUCT($OK97:$OP97,$I$2:$N$2)-IF($NQ97=0,0,INDEX($I$2:$N$2,1,$NQ97))))</f>
        <v/>
      </c>
      <c r="PE97" s="155">
        <f>MAX(0,4-SUMPRODUCT($OK97:$OP97,$I$3:$N$3)+MIN(4,$OQ97*1+$OR97*2,SUMPRODUCT($OK97:$OP97,$I$3:$N$3)-IF($NQ97=0,0,INDEX($I$3:$N$3,1,$NQ97))))</f>
        <v/>
      </c>
      <c r="PF97" s="155">
        <f>MAX(0,6-SUMPRODUCT($OK97:$OP97,$I$4:$N$4)+MIN(6,$OQ97*2+$OR97*3,SUMPRODUCT($OK97:$OP97,$I$4:$N$4)-IF($NQ97=0,0,INDEX($I$4:$N$4,1,$NQ97))))</f>
        <v/>
      </c>
      <c r="PG97" s="155">
        <f>MAX(0,9-SUMPRODUCT($OK97:$OP97,$I$5:$N$5)+MIN(8,$OQ97*2+$OR97*4,SUMPRODUCT($OK97:$OP97,$I$5:$N$5)-IF($NQ97=0,0,INDEX($I$5:$N$5,1,$NQ97))))</f>
        <v/>
      </c>
      <c r="PH97" s="155">
        <f>MAX(0,11-SUMPRODUCT($OK97:$OP97,$I$6:$N$6)+MIN(10,$OQ97*3+$OR97*5,SUMPRODUCT($OK97:$OP97,$I$6:$N$6)-IF($NQ97=0,0,INDEX($I$6:$N$6,1,$NQ97))))</f>
        <v/>
      </c>
      <c r="PI97" s="155">
        <f>MAX(0,13-SUMPRODUCT($OK97:$OP97,$I$7:$N$7)+MIN(12,$OQ97*3+$OR97*6,SUMPRODUCT($OK97:$OP97,$I$7:$N$7)-IF($NQ97=0,0,INDEX($I$7:$N$7,1,$NQ97))))</f>
        <v/>
      </c>
      <c r="PJ97" s="155">
        <f>MAX(0,16-SUMPRODUCT($OK97:$OP97,$I$8:$N$8)+MIN(14,$OQ97*4+$OR97*7,SUMPRODUCT($OK97:$OP97,$I$8:$N$8)-IF($NQ97=0,0,INDEX($I$8:$N$8,1,$NQ97))))</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Melhoria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IFERROR(VLOOKUP($MV98,$AV$2:$BA$83,2,FALSE),"")</f>
        <v/>
      </c>
      <c r="NJ98" s="155">
        <f>IFERROR(VLOOKUP($MW98,$AV$2:$BA$83,2,FALSE),"")</f>
        <v/>
      </c>
      <c r="NK98" s="155">
        <f>IFERROR(VLOOKUP($MX98,$AV$2:$BA$83,2,FALSE),"")</f>
        <v/>
      </c>
      <c r="NL98" s="155">
        <f>IFERROR(VLOOKUP($MY98,$AV$2:$BA$83,2,FALSE),"")</f>
        <v/>
      </c>
      <c r="NM98" s="155">
        <f>IFERROR(VLOOKUP($MV98,$AV$2:$BA$83,3,FALSE),0)</f>
        <v/>
      </c>
      <c r="NN98" s="155">
        <f>IFERROR(VLOOKUP($MW98,$AV$2:$BA$83,3,FALSE),0)</f>
        <v/>
      </c>
      <c r="NO98" s="155">
        <f>IFERROR(VLOOKUP($MX98,$AV$2:$BA$83,3,FALSE),0)</f>
        <v/>
      </c>
      <c r="NP98" s="155">
        <f>IFERROR(VLOOKUP($MY98,$AV$2:$BA$83,3,FALSE),0)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IFERROR(VLOOKUP($MV98,$AV$2:$BA$83,4,FALSE),0)+IFERROR(VLOOKUP($MW98,$AV$2:$BA$83,4,FALSE),0)+IFERROR(VLOOKUP($MX98,$AV$2:$BA$83,4,FALSE),0)+IFERROR(VLOOKUP($MY98,$AV$2:$BA$83,4,FALSE),0)</f>
        <v/>
      </c>
      <c r="OB98" s="155">
        <f>IFERROR(VLOOKUP($MV98,$AV$2:$BA$83,6,FALSE),0)+IFERROR(VLOOKUP($MW98,$AV$2:$BA$83,6,FALSE),0)+IFERROR(VLOOKUP($MX98,$AV$2:$BA$83,6,FALSE),0)+IFERROR(VLOOKUP($MY98,$AV$2:$BA$83,6,FALSE),0)</f>
        <v/>
      </c>
      <c r="OC98" s="155">
        <f>TEXTJOIN(", ",TRUE,IF(IFERROR(VLOOKUP($MV98,$AV$2:$BA$83,5,FALSE),0)=1,$MV98,""),IF(IFERROR(VLOOKUP($MW98,$AV$2:$BA$83,5,FALSE),0)=1,$MW98,""),IF(IFERROR(VLOOKUP($MX98,$AV$2:$BA$83,5,FALSE),0)=1,$MX98,""),IF(IFERROR(VLOOKUP($MY98,$AV$2:$BA$83,5,FALSE),0)=1,$MY98,""))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MIN($OW98,$OU98-IF($NQ98=0,0,INDEX($I$2:$N$8,MAX(1,$MQ98),$NQ98)))</f>
        <v/>
      </c>
      <c r="OY98" s="155">
        <f>$OW98-$OX98</f>
        <v/>
      </c>
      <c r="OZ98" s="155">
        <f>IF($MQ98=0,0,INDEX($P$2:$P$8,MAX(1,$MQ98)))</f>
        <v/>
      </c>
      <c r="PA98" s="155">
        <f>$OZ98-$OU98+$OX98</f>
        <v/>
      </c>
      <c r="PB98" s="155">
        <f>IF($MQ98=0,MAX(0,$NE98-IF(AND($OS98&gt;0,COUNTIF($MZ98:$NA98,"?*")=0),1,0)),MAX(0,$PA98))</f>
        <v/>
      </c>
      <c r="PC98" s="155">
        <f>IF($MQ98=0,0,(IF(COUNTIF($MV98:$MY98,"Salto")&gt;0,1,0)+IF(COUNTIF($MV98:$MY98,"Queima")&gt;0,1,0)+IF(COUNTIF($MV98:$MY98,"Estilhaço")&gt;0,1,0))*FLOOR($PB98/2,1))</f>
        <v/>
      </c>
      <c r="PD98" s="155">
        <f>MAX(0,2-SUMPRODUCT($OK98:$OP98,$I$2:$N$2)+MIN(2,$OQ98*1+$OR98*1,SUMPRODUCT($OK98:$OP98,$I$2:$N$2)-IF($NQ98=0,0,INDEX($I$2:$N$2,1,$NQ98))))</f>
        <v/>
      </c>
      <c r="PE98" s="155">
        <f>MAX(0,4-SUMPRODUCT($OK98:$OP98,$I$3:$N$3)+MIN(4,$OQ98*1+$OR98*2,SUMPRODUCT($OK98:$OP98,$I$3:$N$3)-IF($NQ98=0,0,INDEX($I$3:$N$3,1,$NQ98))))</f>
        <v/>
      </c>
      <c r="PF98" s="155">
        <f>MAX(0,6-SUMPRODUCT($OK98:$OP98,$I$4:$N$4)+MIN(6,$OQ98*2+$OR98*3,SUMPRODUCT($OK98:$OP98,$I$4:$N$4)-IF($NQ98=0,0,INDEX($I$4:$N$4,1,$NQ98))))</f>
        <v/>
      </c>
      <c r="PG98" s="155">
        <f>MAX(0,9-SUMPRODUCT($OK98:$OP98,$I$5:$N$5)+MIN(8,$OQ98*2+$OR98*4,SUMPRODUCT($OK98:$OP98,$I$5:$N$5)-IF($NQ98=0,0,INDEX($I$5:$N$5,1,$NQ98))))</f>
        <v/>
      </c>
      <c r="PH98" s="155">
        <f>MAX(0,11-SUMPRODUCT($OK98:$OP98,$I$6:$N$6)+MIN(10,$OQ98*3+$OR98*5,SUMPRODUCT($OK98:$OP98,$I$6:$N$6)-IF($NQ98=0,0,INDEX($I$6:$N$6,1,$NQ98))))</f>
        <v/>
      </c>
      <c r="PI98" s="155">
        <f>MAX(0,13-SUMPRODUCT($OK98:$OP98,$I$7:$N$7)+MIN(12,$OQ98*3+$OR98*6,SUMPRODUCT($OK98:$OP98,$I$7:$N$7)-IF($NQ98=0,0,INDEX($I$7:$N$7,1,$NQ98))))</f>
        <v/>
      </c>
      <c r="PJ98" s="155">
        <f>MAX(0,16-SUMPRODUCT($OK98:$OP98,$I$8:$N$8)+MIN(14,$OQ98*4+$OR98*7,SUMPRODUCT($OK98:$OP98,$I$8:$N$8)-IF($NQ98=0,0,INDEX($I$8:$N$8,1,$NQ98))))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Melhoria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IFERROR(VLOOKUP($MV99,$AV$2:$BA$83,2,FALSE),"")</f>
        <v/>
      </c>
      <c r="NJ99" s="155">
        <f>IFERROR(VLOOKUP($MW99,$AV$2:$BA$83,2,FALSE),"")</f>
        <v/>
      </c>
      <c r="NK99" s="155">
        <f>IFERROR(VLOOKUP($MX99,$AV$2:$BA$83,2,FALSE),"")</f>
        <v/>
      </c>
      <c r="NL99" s="155">
        <f>IFERROR(VLOOKUP($MY99,$AV$2:$BA$83,2,FALSE),"")</f>
        <v/>
      </c>
      <c r="NM99" s="155">
        <f>IFERROR(VLOOKUP($MV99,$AV$2:$BA$83,3,FALSE),0)</f>
        <v/>
      </c>
      <c r="NN99" s="155">
        <f>IFERROR(VLOOKUP($MW99,$AV$2:$BA$83,3,FALSE),0)</f>
        <v/>
      </c>
      <c r="NO99" s="155">
        <f>IFERROR(VLOOKUP($MX99,$AV$2:$BA$83,3,FALSE),0)</f>
        <v/>
      </c>
      <c r="NP99" s="155">
        <f>IFERROR(VLOOKUP($MY99,$AV$2:$BA$83,3,FALSE),0)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IFERROR(VLOOKUP($MV99,$AV$2:$BA$83,4,FALSE),0)+IFERROR(VLOOKUP($MW99,$AV$2:$BA$83,4,FALSE),0)+IFERROR(VLOOKUP($MX99,$AV$2:$BA$83,4,FALSE),0)+IFERROR(VLOOKUP($MY99,$AV$2:$BA$83,4,FALSE),0)</f>
        <v/>
      </c>
      <c r="OB99" s="155">
        <f>IFERROR(VLOOKUP($MV99,$AV$2:$BA$83,6,FALSE),0)+IFERROR(VLOOKUP($MW99,$AV$2:$BA$83,6,FALSE),0)+IFERROR(VLOOKUP($MX99,$AV$2:$BA$83,6,FALSE),0)+IFERROR(VLOOKUP($MY99,$AV$2:$BA$83,6,FALSE),0)</f>
        <v/>
      </c>
      <c r="OC99" s="155">
        <f>TEXTJOIN(", ",TRUE,IF(IFERROR(VLOOKUP($MV99,$AV$2:$BA$83,5,FALSE),0)=1,$MV99,""),IF(IFERROR(VLOOKUP($MW99,$AV$2:$BA$83,5,FALSE),0)=1,$MW99,""),IF(IFERROR(VLOOKUP($MX99,$AV$2:$BA$83,5,FALSE),0)=1,$MX99,""),IF(IFERROR(VLOOKUP($MY99,$AV$2:$BA$83,5,FALSE),0)=1,$MY99,""))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MIN($OW99,$OU99-IF($NQ99=0,0,INDEX($I$2:$N$8,MAX(1,$MQ99),$NQ99)))</f>
        <v/>
      </c>
      <c r="OY99" s="155">
        <f>$OW99-$OX99</f>
        <v/>
      </c>
      <c r="OZ99" s="155">
        <f>IF($MQ99=0,0,INDEX($P$2:$P$8,MAX(1,$MQ99)))</f>
        <v/>
      </c>
      <c r="PA99" s="155">
        <f>$OZ99-$OU99+$OX99</f>
        <v/>
      </c>
      <c r="PB99" s="155">
        <f>IF($MQ99=0,MAX(0,$NE99-IF(AND($OS99&gt;0,COUNTIF($MZ99:$NA99,"?*")=0),1,0)),MAX(0,$PA99))</f>
        <v/>
      </c>
      <c r="PC99" s="155">
        <f>IF($MQ99=0,0,(IF(COUNTIF($MV99:$MY99,"Salto")&gt;0,1,0)+IF(COUNTIF($MV99:$MY99,"Queima")&gt;0,1,0)+IF(COUNTIF($MV99:$MY99,"Estilhaço")&gt;0,1,0))*FLOOR($PB99/2,1))</f>
        <v/>
      </c>
      <c r="PD99" s="155">
        <f>MAX(0,2-SUMPRODUCT($OK99:$OP99,$I$2:$N$2)+MIN(2,$OQ99*1+$OR99*1,SUMPRODUCT($OK99:$OP99,$I$2:$N$2)-IF($NQ99=0,0,INDEX($I$2:$N$2,1,$NQ99))))</f>
        <v/>
      </c>
      <c r="PE99" s="155">
        <f>MAX(0,4-SUMPRODUCT($OK99:$OP99,$I$3:$N$3)+MIN(4,$OQ99*1+$OR99*2,SUMPRODUCT($OK99:$OP99,$I$3:$N$3)-IF($NQ99=0,0,INDEX($I$3:$N$3,1,$NQ99))))</f>
        <v/>
      </c>
      <c r="PF99" s="155">
        <f>MAX(0,6-SUMPRODUCT($OK99:$OP99,$I$4:$N$4)+MIN(6,$OQ99*2+$OR99*3,SUMPRODUCT($OK99:$OP99,$I$4:$N$4)-IF($NQ99=0,0,INDEX($I$4:$N$4,1,$NQ99))))</f>
        <v/>
      </c>
      <c r="PG99" s="155">
        <f>MAX(0,9-SUMPRODUCT($OK99:$OP99,$I$5:$N$5)+MIN(8,$OQ99*2+$OR99*4,SUMPRODUCT($OK99:$OP99,$I$5:$N$5)-IF($NQ99=0,0,INDEX($I$5:$N$5,1,$NQ99))))</f>
        <v/>
      </c>
      <c r="PH99" s="155">
        <f>MAX(0,11-SUMPRODUCT($OK99:$OP99,$I$6:$N$6)+MIN(10,$OQ99*3+$OR99*5,SUMPRODUCT($OK99:$OP99,$I$6:$N$6)-IF($NQ99=0,0,INDEX($I$6:$N$6,1,$NQ99))))</f>
        <v/>
      </c>
      <c r="PI99" s="155">
        <f>MAX(0,13-SUMPRODUCT($OK99:$OP99,$I$7:$N$7)+MIN(12,$OQ99*3+$OR99*6,SUMPRODUCT($OK99:$OP99,$I$7:$N$7)-IF($NQ99=0,0,INDEX($I$7:$N$7,1,$NQ99))))</f>
        <v/>
      </c>
      <c r="PJ99" s="155">
        <f>MAX(0,16-SUMPRODUCT($OK99:$OP99,$I$8:$N$8)+MIN(14,$OQ99*4+$OR99*7,SUMPRODUCT($OK99:$OP99,$I$8:$N$8)-IF($NQ99=0,0,INDEX($I$8:$N$8,1,$NQ99))))</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Melhoria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IFERROR(VLOOKUP($MV100,$AV$2:$BA$83,2,FALSE),"")</f>
        <v/>
      </c>
      <c r="NJ100" s="155">
        <f>IFERROR(VLOOKUP($MW100,$AV$2:$BA$83,2,FALSE),"")</f>
        <v/>
      </c>
      <c r="NK100" s="155">
        <f>IFERROR(VLOOKUP($MX100,$AV$2:$BA$83,2,FALSE),"")</f>
        <v/>
      </c>
      <c r="NL100" s="155">
        <f>IFERROR(VLOOKUP($MY100,$AV$2:$BA$83,2,FALSE),"")</f>
        <v/>
      </c>
      <c r="NM100" s="155">
        <f>IFERROR(VLOOKUP($MV100,$AV$2:$BA$83,3,FALSE),0)</f>
        <v/>
      </c>
      <c r="NN100" s="155">
        <f>IFERROR(VLOOKUP($MW100,$AV$2:$BA$83,3,FALSE),0)</f>
        <v/>
      </c>
      <c r="NO100" s="155">
        <f>IFERROR(VLOOKUP($MX100,$AV$2:$BA$83,3,FALSE),0)</f>
        <v/>
      </c>
      <c r="NP100" s="155">
        <f>IFERROR(VLOOKUP($MY100,$AV$2:$BA$83,3,FALSE),0)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IFERROR(VLOOKUP($MV100,$AV$2:$BA$83,4,FALSE),0)+IFERROR(VLOOKUP($MW100,$AV$2:$BA$83,4,FALSE),0)+IFERROR(VLOOKUP($MX100,$AV$2:$BA$83,4,FALSE),0)+IFERROR(VLOOKUP($MY100,$AV$2:$BA$83,4,FALSE),0)</f>
        <v/>
      </c>
      <c r="OB100" s="155">
        <f>IFERROR(VLOOKUP($MV100,$AV$2:$BA$83,6,FALSE),0)+IFERROR(VLOOKUP($MW100,$AV$2:$BA$83,6,FALSE),0)+IFERROR(VLOOKUP($MX100,$AV$2:$BA$83,6,FALSE),0)+IFERROR(VLOOKUP($MY100,$AV$2:$BA$83,6,FALSE),0)</f>
        <v/>
      </c>
      <c r="OC100" s="155">
        <f>TEXTJOIN(", ",TRUE,IF(IFERROR(VLOOKUP($MV100,$AV$2:$BA$83,5,FALSE),0)=1,$MV100,""),IF(IFERROR(VLOOKUP($MW100,$AV$2:$BA$83,5,FALSE),0)=1,$MW100,""),IF(IFERROR(VLOOKUP($MX100,$AV$2:$BA$83,5,FALSE),0)=1,$MX100,""),IF(IFERROR(VLOOKUP($MY100,$AV$2:$BA$83,5,FALSE),0)=1,$MY100,""))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MIN($OW100,$OU100-IF($NQ100=0,0,INDEX($I$2:$N$8,MAX(1,$MQ100),$NQ100)))</f>
        <v/>
      </c>
      <c r="OY100" s="155">
        <f>$OW100-$OX100</f>
        <v/>
      </c>
      <c r="OZ100" s="155">
        <f>IF($MQ100=0,0,INDEX($P$2:$P$8,MAX(1,$MQ100)))</f>
        <v/>
      </c>
      <c r="PA100" s="155">
        <f>$OZ100-$OU100+$OX100</f>
        <v/>
      </c>
      <c r="PB100" s="155">
        <f>IF($MQ100=0,MAX(0,$NE100-IF(AND($OS100&gt;0,COUNTIF($MZ100:$NA100,"?*")=0),1,0)),MAX(0,$PA100))</f>
        <v/>
      </c>
      <c r="PC100" s="155">
        <f>IF($MQ100=0,0,(IF(COUNTIF($MV100:$MY100,"Salto")&gt;0,1,0)+IF(COUNTIF($MV100:$MY100,"Queima")&gt;0,1,0)+IF(COUNTIF($MV100:$MY100,"Estilhaço")&gt;0,1,0))*FLOOR($PB100/2,1))</f>
        <v/>
      </c>
      <c r="PD100" s="155">
        <f>MAX(0,2-SUMPRODUCT($OK100:$OP100,$I$2:$N$2)+MIN(2,$OQ100*1+$OR100*1,SUMPRODUCT($OK100:$OP100,$I$2:$N$2)-IF($NQ100=0,0,INDEX($I$2:$N$2,1,$NQ100))))</f>
        <v/>
      </c>
      <c r="PE100" s="155">
        <f>MAX(0,4-SUMPRODUCT($OK100:$OP100,$I$3:$N$3)+MIN(4,$OQ100*1+$OR100*2,SUMPRODUCT($OK100:$OP100,$I$3:$N$3)-IF($NQ100=0,0,INDEX($I$3:$N$3,1,$NQ100))))</f>
        <v/>
      </c>
      <c r="PF100" s="155">
        <f>MAX(0,6-SUMPRODUCT($OK100:$OP100,$I$4:$N$4)+MIN(6,$OQ100*2+$OR100*3,SUMPRODUCT($OK100:$OP100,$I$4:$N$4)-IF($NQ100=0,0,INDEX($I$4:$N$4,1,$NQ100))))</f>
        <v/>
      </c>
      <c r="PG100" s="155">
        <f>MAX(0,9-SUMPRODUCT($OK100:$OP100,$I$5:$N$5)+MIN(8,$OQ100*2+$OR100*4,SUMPRODUCT($OK100:$OP100,$I$5:$N$5)-IF($NQ100=0,0,INDEX($I$5:$N$5,1,$NQ100))))</f>
        <v/>
      </c>
      <c r="PH100" s="155">
        <f>MAX(0,11-SUMPRODUCT($OK100:$OP100,$I$6:$N$6)+MIN(10,$OQ100*3+$OR100*5,SUMPRODUCT($OK100:$OP100,$I$6:$N$6)-IF($NQ100=0,0,INDEX($I$6:$N$6,1,$NQ100))))</f>
        <v/>
      </c>
      <c r="PI100" s="155">
        <f>MAX(0,13-SUMPRODUCT($OK100:$OP100,$I$7:$N$7)+MIN(12,$OQ100*3+$OR100*6,SUMPRODUCT($OK100:$OP100,$I$7:$N$7)-IF($NQ100=0,0,INDEX($I$7:$N$7,1,$NQ100))))</f>
        <v/>
      </c>
      <c r="PJ100" s="155">
        <f>MAX(0,16-SUMPRODUCT($OK100:$OP100,$I$8:$N$8)+MIN(14,$OQ100*4+$OR100*7,SUMPRODUCT($OK100:$OP100,$I$8:$N$8)-IF($NQ100=0,0,INDEX($I$8:$N$8,1,$NQ100))))</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Melhoria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IFERROR(VLOOKUP($MV101,$AV$2:$BA$83,2,FALSE),"")</f>
        <v/>
      </c>
      <c r="NJ101" s="155">
        <f>IFERROR(VLOOKUP($MW101,$AV$2:$BA$83,2,FALSE),"")</f>
        <v/>
      </c>
      <c r="NK101" s="155">
        <f>IFERROR(VLOOKUP($MX101,$AV$2:$BA$83,2,FALSE),"")</f>
        <v/>
      </c>
      <c r="NL101" s="155">
        <f>IFERROR(VLOOKUP($MY101,$AV$2:$BA$83,2,FALSE),"")</f>
        <v/>
      </c>
      <c r="NM101" s="155">
        <f>IFERROR(VLOOKUP($MV101,$AV$2:$BA$83,3,FALSE),0)</f>
        <v/>
      </c>
      <c r="NN101" s="155">
        <f>IFERROR(VLOOKUP($MW101,$AV$2:$BA$83,3,FALSE),0)</f>
        <v/>
      </c>
      <c r="NO101" s="155">
        <f>IFERROR(VLOOKUP($MX101,$AV$2:$BA$83,3,FALSE),0)</f>
        <v/>
      </c>
      <c r="NP101" s="155">
        <f>IFERROR(VLOOKUP($MY101,$AV$2:$BA$83,3,FALSE),0)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IFERROR(VLOOKUP($MV101,$AV$2:$BA$83,4,FALSE),0)+IFERROR(VLOOKUP($MW101,$AV$2:$BA$83,4,FALSE),0)+IFERROR(VLOOKUP($MX101,$AV$2:$BA$83,4,FALSE),0)+IFERROR(VLOOKUP($MY101,$AV$2:$BA$83,4,FALSE),0)</f>
        <v/>
      </c>
      <c r="OB101" s="155">
        <f>IFERROR(VLOOKUP($MV101,$AV$2:$BA$83,6,FALSE),0)+IFERROR(VLOOKUP($MW101,$AV$2:$BA$83,6,FALSE),0)+IFERROR(VLOOKUP($MX101,$AV$2:$BA$83,6,FALSE),0)+IFERROR(VLOOKUP($MY101,$AV$2:$BA$83,6,FALSE),0)</f>
        <v/>
      </c>
      <c r="OC101" s="155">
        <f>TEXTJOIN(", ",TRUE,IF(IFERROR(VLOOKUP($MV101,$AV$2:$BA$83,5,FALSE),0)=1,$MV101,""),IF(IFERROR(VLOOKUP($MW101,$AV$2:$BA$83,5,FALSE),0)=1,$MW101,""),IF(IFERROR(VLOOKUP($MX101,$AV$2:$BA$83,5,FALSE),0)=1,$MX101,""),IF(IFERROR(VLOOKUP($MY101,$AV$2:$BA$83,5,FALSE),0)=1,$MY101,""))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MIN($OW101,$OU101-IF($NQ101=0,0,INDEX($I$2:$N$8,MAX(1,$MQ101),$NQ101)))</f>
        <v/>
      </c>
      <c r="OY101" s="155">
        <f>$OW101-$OX101</f>
        <v/>
      </c>
      <c r="OZ101" s="155">
        <f>IF($MQ101=0,0,INDEX($P$2:$P$8,MAX(1,$MQ101)))</f>
        <v/>
      </c>
      <c r="PA101" s="155">
        <f>$OZ101-$OU101+$OX101</f>
        <v/>
      </c>
      <c r="PB101" s="155">
        <f>IF($MQ101=0,MAX(0,$NE101-IF(AND($OS101&gt;0,COUNTIF($MZ101:$NA101,"?*")=0),1,0)),MAX(0,$PA101))</f>
        <v/>
      </c>
      <c r="PC101" s="155">
        <f>IF($MQ101=0,0,(IF(COUNTIF($MV101:$MY101,"Salto")&gt;0,1,0)+IF(COUNTIF($MV101:$MY101,"Queima")&gt;0,1,0)+IF(COUNTIF($MV101:$MY101,"Estilhaço")&gt;0,1,0))*FLOOR($PB101/2,1))</f>
        <v/>
      </c>
      <c r="PD101" s="155">
        <f>MAX(0,2-SUMPRODUCT($OK101:$OP101,$I$2:$N$2)+MIN(2,$OQ101*1+$OR101*1,SUMPRODUCT($OK101:$OP101,$I$2:$N$2)-IF($NQ101=0,0,INDEX($I$2:$N$2,1,$NQ101))))</f>
        <v/>
      </c>
      <c r="PE101" s="155">
        <f>MAX(0,4-SUMPRODUCT($OK101:$OP101,$I$3:$N$3)+MIN(4,$OQ101*1+$OR101*2,SUMPRODUCT($OK101:$OP101,$I$3:$N$3)-IF($NQ101=0,0,INDEX($I$3:$N$3,1,$NQ101))))</f>
        <v/>
      </c>
      <c r="PF101" s="155">
        <f>MAX(0,6-SUMPRODUCT($OK101:$OP101,$I$4:$N$4)+MIN(6,$OQ101*2+$OR101*3,SUMPRODUCT($OK101:$OP101,$I$4:$N$4)-IF($NQ101=0,0,INDEX($I$4:$N$4,1,$NQ101))))</f>
        <v/>
      </c>
      <c r="PG101" s="155">
        <f>MAX(0,9-SUMPRODUCT($OK101:$OP101,$I$5:$N$5)+MIN(8,$OQ101*2+$OR101*4,SUMPRODUCT($OK101:$OP101,$I$5:$N$5)-IF($NQ101=0,0,INDEX($I$5:$N$5,1,$NQ101))))</f>
        <v/>
      </c>
      <c r="PH101" s="155">
        <f>MAX(0,11-SUMPRODUCT($OK101:$OP101,$I$6:$N$6)+MIN(10,$OQ101*3+$OR101*5,SUMPRODUCT($OK101:$OP101,$I$6:$N$6)-IF($NQ101=0,0,INDEX($I$6:$N$6,1,$NQ101))))</f>
        <v/>
      </c>
      <c r="PI101" s="155">
        <f>MAX(0,13-SUMPRODUCT($OK101:$OP101,$I$7:$N$7)+MIN(12,$OQ101*3+$OR101*6,SUMPRODUCT($OK101:$OP101,$I$7:$N$7)-IF($NQ101=0,0,INDEX($I$7:$N$7,1,$NQ101))))</f>
        <v/>
      </c>
      <c r="PJ101" s="155">
        <f>MAX(0,16-SUMPRODUCT($OK101:$OP101,$I$8:$N$8)+MIN(14,$OQ101*4+$OR101*7,SUMPRODUCT($OK101:$OP101,$I$8:$N$8)-IF($NQ101=0,0,INDEX($I$8:$N$8,1,$NQ101))))</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Melhoria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IFERROR(VLOOKUP($MV102,$AV$2:$BA$83,2,FALSE),"")</f>
        <v/>
      </c>
      <c r="NJ102" s="155">
        <f>IFERROR(VLOOKUP($MW102,$AV$2:$BA$83,2,FALSE),"")</f>
        <v/>
      </c>
      <c r="NK102" s="155">
        <f>IFERROR(VLOOKUP($MX102,$AV$2:$BA$83,2,FALSE),"")</f>
        <v/>
      </c>
      <c r="NL102" s="155">
        <f>IFERROR(VLOOKUP($MY102,$AV$2:$BA$83,2,FALSE),"")</f>
        <v/>
      </c>
      <c r="NM102" s="155">
        <f>IFERROR(VLOOKUP($MV102,$AV$2:$BA$83,3,FALSE),0)</f>
        <v/>
      </c>
      <c r="NN102" s="155">
        <f>IFERROR(VLOOKUP($MW102,$AV$2:$BA$83,3,FALSE),0)</f>
        <v/>
      </c>
      <c r="NO102" s="155">
        <f>IFERROR(VLOOKUP($MX102,$AV$2:$BA$83,3,FALSE),0)</f>
        <v/>
      </c>
      <c r="NP102" s="155">
        <f>IFERROR(VLOOKUP($MY102,$AV$2:$BA$83,3,FALSE),0)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IFERROR(VLOOKUP($MV102,$AV$2:$BA$83,4,FALSE),0)+IFERROR(VLOOKUP($MW102,$AV$2:$BA$83,4,FALSE),0)+IFERROR(VLOOKUP($MX102,$AV$2:$BA$83,4,FALSE),0)+IFERROR(VLOOKUP($MY102,$AV$2:$BA$83,4,FALSE),0)</f>
        <v/>
      </c>
      <c r="OB102" s="155">
        <f>IFERROR(VLOOKUP($MV102,$AV$2:$BA$83,6,FALSE),0)+IFERROR(VLOOKUP($MW102,$AV$2:$BA$83,6,FALSE),0)+IFERROR(VLOOKUP($MX102,$AV$2:$BA$83,6,FALSE),0)+IFERROR(VLOOKUP($MY102,$AV$2:$BA$83,6,FALSE),0)</f>
        <v/>
      </c>
      <c r="OC102" s="155">
        <f>TEXTJOIN(", ",TRUE,IF(IFERROR(VLOOKUP($MV102,$AV$2:$BA$83,5,FALSE),0)=1,$MV102,""),IF(IFERROR(VLOOKUP($MW102,$AV$2:$BA$83,5,FALSE),0)=1,$MW102,""),IF(IFERROR(VLOOKUP($MX102,$AV$2:$BA$83,5,FALSE),0)=1,$MX102,""),IF(IFERROR(VLOOKUP($MY102,$AV$2:$BA$83,5,FALSE),0)=1,$MY102,""))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MIN($OW102,$OU102-IF($NQ102=0,0,INDEX($I$2:$N$8,MAX(1,$MQ102),$NQ102)))</f>
        <v/>
      </c>
      <c r="OY102" s="155">
        <f>$OW102-$OX102</f>
        <v/>
      </c>
      <c r="OZ102" s="155">
        <f>IF($MQ102=0,0,INDEX($P$2:$P$8,MAX(1,$MQ102)))</f>
        <v/>
      </c>
      <c r="PA102" s="155">
        <f>$OZ102-$OU102+$OX102</f>
        <v/>
      </c>
      <c r="PB102" s="155">
        <f>IF($MQ102=0,MAX(0,$NE102-IF(AND($OS102&gt;0,COUNTIF($MZ102:$NA102,"?*")=0),1,0)),MAX(0,$PA102))</f>
        <v/>
      </c>
      <c r="PC102" s="155">
        <f>IF($MQ102=0,0,(IF(COUNTIF($MV102:$MY102,"Salto")&gt;0,1,0)+IF(COUNTIF($MV102:$MY102,"Queima")&gt;0,1,0)+IF(COUNTIF($MV102:$MY102,"Estilhaço")&gt;0,1,0))*FLOOR($PB102/2,1))</f>
        <v/>
      </c>
      <c r="PD102" s="155">
        <f>MAX(0,2-SUMPRODUCT($OK102:$OP102,$I$2:$N$2)+MIN(2,$OQ102*1+$OR102*1,SUMPRODUCT($OK102:$OP102,$I$2:$N$2)-IF($NQ102=0,0,INDEX($I$2:$N$2,1,$NQ102))))</f>
        <v/>
      </c>
      <c r="PE102" s="155">
        <f>MAX(0,4-SUMPRODUCT($OK102:$OP102,$I$3:$N$3)+MIN(4,$OQ102*1+$OR102*2,SUMPRODUCT($OK102:$OP102,$I$3:$N$3)-IF($NQ102=0,0,INDEX($I$3:$N$3,1,$NQ102))))</f>
        <v/>
      </c>
      <c r="PF102" s="155">
        <f>MAX(0,6-SUMPRODUCT($OK102:$OP102,$I$4:$N$4)+MIN(6,$OQ102*2+$OR102*3,SUMPRODUCT($OK102:$OP102,$I$4:$N$4)-IF($NQ102=0,0,INDEX($I$4:$N$4,1,$NQ102))))</f>
        <v/>
      </c>
      <c r="PG102" s="155">
        <f>MAX(0,9-SUMPRODUCT($OK102:$OP102,$I$5:$N$5)+MIN(8,$OQ102*2+$OR102*4,SUMPRODUCT($OK102:$OP102,$I$5:$N$5)-IF($NQ102=0,0,INDEX($I$5:$N$5,1,$NQ102))))</f>
        <v/>
      </c>
      <c r="PH102" s="155">
        <f>MAX(0,11-SUMPRODUCT($OK102:$OP102,$I$6:$N$6)+MIN(10,$OQ102*3+$OR102*5,SUMPRODUCT($OK102:$OP102,$I$6:$N$6)-IF($NQ102=0,0,INDEX($I$6:$N$6,1,$NQ102))))</f>
        <v/>
      </c>
      <c r="PI102" s="155">
        <f>MAX(0,13-SUMPRODUCT($OK102:$OP102,$I$7:$N$7)+MIN(12,$OQ102*3+$OR102*6,SUMPRODUCT($OK102:$OP102,$I$7:$N$7)-IF($NQ102=0,0,INDEX($I$7:$N$7,1,$NQ102))))</f>
        <v/>
      </c>
      <c r="PJ102" s="155">
        <f>MAX(0,16-SUMPRODUCT($OK102:$OP102,$I$8:$N$8)+MIN(14,$OQ102*4+$OR102*7,SUMPRODUCT($OK102:$OP102,$I$8:$N$8)-IF($NQ102=0,0,INDEX($I$8:$N$8,1,$NQ102))))</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Melhoria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IFERROR(VLOOKUP($MV103,$AV$2:$BA$83,2,FALSE),"")</f>
        <v/>
      </c>
      <c r="NJ103" s="155">
        <f>IFERROR(VLOOKUP($MW103,$AV$2:$BA$83,2,FALSE),"")</f>
        <v/>
      </c>
      <c r="NK103" s="155">
        <f>IFERROR(VLOOKUP($MX103,$AV$2:$BA$83,2,FALSE),"")</f>
        <v/>
      </c>
      <c r="NL103" s="155">
        <f>IFERROR(VLOOKUP($MY103,$AV$2:$BA$83,2,FALSE),"")</f>
        <v/>
      </c>
      <c r="NM103" s="155">
        <f>IFERROR(VLOOKUP($MV103,$AV$2:$BA$83,3,FALSE),0)</f>
        <v/>
      </c>
      <c r="NN103" s="155">
        <f>IFERROR(VLOOKUP($MW103,$AV$2:$BA$83,3,FALSE),0)</f>
        <v/>
      </c>
      <c r="NO103" s="155">
        <f>IFERROR(VLOOKUP($MX103,$AV$2:$BA$83,3,FALSE),0)</f>
        <v/>
      </c>
      <c r="NP103" s="155">
        <f>IFERROR(VLOOKUP($MY103,$AV$2:$BA$83,3,FALSE),0)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IFERROR(VLOOKUP($MV103,$AV$2:$BA$83,4,FALSE),0)+IFERROR(VLOOKUP($MW103,$AV$2:$BA$83,4,FALSE),0)+IFERROR(VLOOKUP($MX103,$AV$2:$BA$83,4,FALSE),0)+IFERROR(VLOOKUP($MY103,$AV$2:$BA$83,4,FALSE),0)</f>
        <v/>
      </c>
      <c r="OB103" s="155">
        <f>IFERROR(VLOOKUP($MV103,$AV$2:$BA$83,6,FALSE),0)+IFERROR(VLOOKUP($MW103,$AV$2:$BA$83,6,FALSE),0)+IFERROR(VLOOKUP($MX103,$AV$2:$BA$83,6,FALSE),0)+IFERROR(VLOOKUP($MY103,$AV$2:$BA$83,6,FALSE),0)</f>
        <v/>
      </c>
      <c r="OC103" s="155">
        <f>TEXTJOIN(", ",TRUE,IF(IFERROR(VLOOKUP($MV103,$AV$2:$BA$83,5,FALSE),0)=1,$MV103,""),IF(IFERROR(VLOOKUP($MW103,$AV$2:$BA$83,5,FALSE),0)=1,$MW103,""),IF(IFERROR(VLOOKUP($MX103,$AV$2:$BA$83,5,FALSE),0)=1,$MX103,""),IF(IFERROR(VLOOKUP($MY103,$AV$2:$BA$83,5,FALSE),0)=1,$MY103,""))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MIN($OW103,$OU103-IF($NQ103=0,0,INDEX($I$2:$N$8,MAX(1,$MQ103),$NQ103)))</f>
        <v/>
      </c>
      <c r="OY103" s="155">
        <f>$OW103-$OX103</f>
        <v/>
      </c>
      <c r="OZ103" s="155">
        <f>IF($MQ103=0,0,INDEX($P$2:$P$8,MAX(1,$MQ103)))</f>
        <v/>
      </c>
      <c r="PA103" s="155">
        <f>$OZ103-$OU103+$OX103</f>
        <v/>
      </c>
      <c r="PB103" s="155">
        <f>IF($MQ103=0,MAX(0,$NE103-IF(AND($OS103&gt;0,COUNTIF($MZ103:$NA103,"?*")=0),1,0)),MAX(0,$PA103))</f>
        <v/>
      </c>
      <c r="PC103" s="155">
        <f>IF($MQ103=0,0,(IF(COUNTIF($MV103:$MY103,"Salto")&gt;0,1,0)+IF(COUNTIF($MV103:$MY103,"Queima")&gt;0,1,0)+IF(COUNTIF($MV103:$MY103,"Estilhaço")&gt;0,1,0))*FLOOR($PB103/2,1))</f>
        <v/>
      </c>
      <c r="PD103" s="155">
        <f>MAX(0,2-SUMPRODUCT($OK103:$OP103,$I$2:$N$2)+MIN(2,$OQ103*1+$OR103*1,SUMPRODUCT($OK103:$OP103,$I$2:$N$2)-IF($NQ103=0,0,INDEX($I$2:$N$2,1,$NQ103))))</f>
        <v/>
      </c>
      <c r="PE103" s="155">
        <f>MAX(0,4-SUMPRODUCT($OK103:$OP103,$I$3:$N$3)+MIN(4,$OQ103*1+$OR103*2,SUMPRODUCT($OK103:$OP103,$I$3:$N$3)-IF($NQ103=0,0,INDEX($I$3:$N$3,1,$NQ103))))</f>
        <v/>
      </c>
      <c r="PF103" s="155">
        <f>MAX(0,6-SUMPRODUCT($OK103:$OP103,$I$4:$N$4)+MIN(6,$OQ103*2+$OR103*3,SUMPRODUCT($OK103:$OP103,$I$4:$N$4)-IF($NQ103=0,0,INDEX($I$4:$N$4,1,$NQ103))))</f>
        <v/>
      </c>
      <c r="PG103" s="155">
        <f>MAX(0,9-SUMPRODUCT($OK103:$OP103,$I$5:$N$5)+MIN(8,$OQ103*2+$OR103*4,SUMPRODUCT($OK103:$OP103,$I$5:$N$5)-IF($NQ103=0,0,INDEX($I$5:$N$5,1,$NQ103))))</f>
        <v/>
      </c>
      <c r="PH103" s="155">
        <f>MAX(0,11-SUMPRODUCT($OK103:$OP103,$I$6:$N$6)+MIN(10,$OQ103*3+$OR103*5,SUMPRODUCT($OK103:$OP103,$I$6:$N$6)-IF($NQ103=0,0,INDEX($I$6:$N$6,1,$NQ103))))</f>
        <v/>
      </c>
      <c r="PI103" s="155">
        <f>MAX(0,13-SUMPRODUCT($OK103:$OP103,$I$7:$N$7)+MIN(12,$OQ103*3+$OR103*6,SUMPRODUCT($OK103:$OP103,$I$7:$N$7)-IF($NQ103=0,0,INDEX($I$7:$N$7,1,$NQ103))))</f>
        <v/>
      </c>
      <c r="PJ103" s="155">
        <f>MAX(0,16-SUMPRODUCT($OK103:$OP103,$I$8:$N$8)+MIN(14,$OQ103*4+$OR103*7,SUMPRODUCT($OK103:$OP103,$I$8:$N$8)-IF($NQ103=0,0,INDEX($I$8:$N$8,1,$NQ103))))</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Melhoria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IFERROR(VLOOKUP($MV104,$AV$2:$BA$83,2,FALSE),"")</f>
        <v/>
      </c>
      <c r="NJ104" s="155">
        <f>IFERROR(VLOOKUP($MW104,$AV$2:$BA$83,2,FALSE),"")</f>
        <v/>
      </c>
      <c r="NK104" s="155">
        <f>IFERROR(VLOOKUP($MX104,$AV$2:$BA$83,2,FALSE),"")</f>
        <v/>
      </c>
      <c r="NL104" s="155">
        <f>IFERROR(VLOOKUP($MY104,$AV$2:$BA$83,2,FALSE),"")</f>
        <v/>
      </c>
      <c r="NM104" s="155">
        <f>IFERROR(VLOOKUP($MV104,$AV$2:$BA$83,3,FALSE),0)</f>
        <v/>
      </c>
      <c r="NN104" s="155">
        <f>IFERROR(VLOOKUP($MW104,$AV$2:$BA$83,3,FALSE),0)</f>
        <v/>
      </c>
      <c r="NO104" s="155">
        <f>IFERROR(VLOOKUP($MX104,$AV$2:$BA$83,3,FALSE),0)</f>
        <v/>
      </c>
      <c r="NP104" s="155">
        <f>IFERROR(VLOOKUP($MY104,$AV$2:$BA$83,3,FALSE),0)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IFERROR(VLOOKUP($MV104,$AV$2:$BA$83,4,FALSE),0)+IFERROR(VLOOKUP($MW104,$AV$2:$BA$83,4,FALSE),0)+IFERROR(VLOOKUP($MX104,$AV$2:$BA$83,4,FALSE),0)+IFERROR(VLOOKUP($MY104,$AV$2:$BA$83,4,FALSE),0)</f>
        <v/>
      </c>
      <c r="OB104" s="155">
        <f>IFERROR(VLOOKUP($MV104,$AV$2:$BA$83,6,FALSE),0)+IFERROR(VLOOKUP($MW104,$AV$2:$BA$83,6,FALSE),0)+IFERROR(VLOOKUP($MX104,$AV$2:$BA$83,6,FALSE),0)+IFERROR(VLOOKUP($MY104,$AV$2:$BA$83,6,FALSE),0)</f>
        <v/>
      </c>
      <c r="OC104" s="155">
        <f>TEXTJOIN(", ",TRUE,IF(IFERROR(VLOOKUP($MV104,$AV$2:$BA$83,5,FALSE),0)=1,$MV104,""),IF(IFERROR(VLOOKUP($MW104,$AV$2:$BA$83,5,FALSE),0)=1,$MW104,""),IF(IFERROR(VLOOKUP($MX104,$AV$2:$BA$83,5,FALSE),0)=1,$MX104,""),IF(IFERROR(VLOOKUP($MY104,$AV$2:$BA$83,5,FALSE),0)=1,$MY104,""))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MIN($OW104,$OU104-IF($NQ104=0,0,INDEX($I$2:$N$8,MAX(1,$MQ104),$NQ104)))</f>
        <v/>
      </c>
      <c r="OY104" s="155">
        <f>$OW104-$OX104</f>
        <v/>
      </c>
      <c r="OZ104" s="155">
        <f>IF($MQ104=0,0,INDEX($P$2:$P$8,MAX(1,$MQ104)))</f>
        <v/>
      </c>
      <c r="PA104" s="155">
        <f>$OZ104-$OU104+$OX104</f>
        <v/>
      </c>
      <c r="PB104" s="155">
        <f>IF($MQ104=0,MAX(0,$NE104-IF(AND($OS104&gt;0,COUNTIF($MZ104:$NA104,"?*")=0),1,0)),MAX(0,$PA104))</f>
        <v/>
      </c>
      <c r="PC104" s="155">
        <f>IF($MQ104=0,0,(IF(COUNTIF($MV104:$MY104,"Salto")&gt;0,1,0)+IF(COUNTIF($MV104:$MY104,"Queima")&gt;0,1,0)+IF(COUNTIF($MV104:$MY104,"Estilhaço")&gt;0,1,0))*FLOOR($PB104/2,1))</f>
        <v/>
      </c>
      <c r="PD104" s="155">
        <f>MAX(0,2-SUMPRODUCT($OK104:$OP104,$I$2:$N$2)+MIN(2,$OQ104*1+$OR104*1,SUMPRODUCT($OK104:$OP104,$I$2:$N$2)-IF($NQ104=0,0,INDEX($I$2:$N$2,1,$NQ104))))</f>
        <v/>
      </c>
      <c r="PE104" s="155">
        <f>MAX(0,4-SUMPRODUCT($OK104:$OP104,$I$3:$N$3)+MIN(4,$OQ104*1+$OR104*2,SUMPRODUCT($OK104:$OP104,$I$3:$N$3)-IF($NQ104=0,0,INDEX($I$3:$N$3,1,$NQ104))))</f>
        <v/>
      </c>
      <c r="PF104" s="155">
        <f>MAX(0,6-SUMPRODUCT($OK104:$OP104,$I$4:$N$4)+MIN(6,$OQ104*2+$OR104*3,SUMPRODUCT($OK104:$OP104,$I$4:$N$4)-IF($NQ104=0,0,INDEX($I$4:$N$4,1,$NQ104))))</f>
        <v/>
      </c>
      <c r="PG104" s="155">
        <f>MAX(0,9-SUMPRODUCT($OK104:$OP104,$I$5:$N$5)+MIN(8,$OQ104*2+$OR104*4,SUMPRODUCT($OK104:$OP104,$I$5:$N$5)-IF($NQ104=0,0,INDEX($I$5:$N$5,1,$NQ104))))</f>
        <v/>
      </c>
      <c r="PH104" s="155">
        <f>MAX(0,11-SUMPRODUCT($OK104:$OP104,$I$6:$N$6)+MIN(10,$OQ104*3+$OR104*5,SUMPRODUCT($OK104:$OP104,$I$6:$N$6)-IF($NQ104=0,0,INDEX($I$6:$N$6,1,$NQ104))))</f>
        <v/>
      </c>
      <c r="PI104" s="155">
        <f>MAX(0,13-SUMPRODUCT($OK104:$OP104,$I$7:$N$7)+MIN(12,$OQ104*3+$OR104*6,SUMPRODUCT($OK104:$OP104,$I$7:$N$7)-IF($NQ104=0,0,INDEX($I$7:$N$7,1,$NQ104))))</f>
        <v/>
      </c>
      <c r="PJ104" s="155">
        <f>MAX(0,16-SUMPRODUCT($OK104:$OP104,$I$8:$N$8)+MIN(14,$OQ104*4+$OR104*7,SUMPRODUCT($OK104:$OP104,$I$8:$N$8)-IF($NQ104=0,0,INDEX($I$8:$N$8,1,$NQ104))))</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Melhoria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IFERROR(VLOOKUP($MV105,$AV$2:$BA$83,2,FALSE),"")</f>
        <v/>
      </c>
      <c r="NJ105" s="155">
        <f>IFERROR(VLOOKUP($MW105,$AV$2:$BA$83,2,FALSE),"")</f>
        <v/>
      </c>
      <c r="NK105" s="155">
        <f>IFERROR(VLOOKUP($MX105,$AV$2:$BA$83,2,FALSE),"")</f>
        <v/>
      </c>
      <c r="NL105" s="155">
        <f>IFERROR(VLOOKUP($MY105,$AV$2:$BA$83,2,FALSE),"")</f>
        <v/>
      </c>
      <c r="NM105" s="155">
        <f>IFERROR(VLOOKUP($MV105,$AV$2:$BA$83,3,FALSE),0)</f>
        <v/>
      </c>
      <c r="NN105" s="155">
        <f>IFERROR(VLOOKUP($MW105,$AV$2:$BA$83,3,FALSE),0)</f>
        <v/>
      </c>
      <c r="NO105" s="155">
        <f>IFERROR(VLOOKUP($MX105,$AV$2:$BA$83,3,FALSE),0)</f>
        <v/>
      </c>
      <c r="NP105" s="155">
        <f>IFERROR(VLOOKUP($MY105,$AV$2:$BA$83,3,FALSE),0)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IFERROR(VLOOKUP($MV105,$AV$2:$BA$83,4,FALSE),0)+IFERROR(VLOOKUP($MW105,$AV$2:$BA$83,4,FALSE),0)+IFERROR(VLOOKUP($MX105,$AV$2:$BA$83,4,FALSE),0)+IFERROR(VLOOKUP($MY105,$AV$2:$BA$83,4,FALSE),0)</f>
        <v/>
      </c>
      <c r="OB105" s="155">
        <f>IFERROR(VLOOKUP($MV105,$AV$2:$BA$83,6,FALSE),0)+IFERROR(VLOOKUP($MW105,$AV$2:$BA$83,6,FALSE),0)+IFERROR(VLOOKUP($MX105,$AV$2:$BA$83,6,FALSE),0)+IFERROR(VLOOKUP($MY105,$AV$2:$BA$83,6,FALSE),0)</f>
        <v/>
      </c>
      <c r="OC105" s="155">
        <f>TEXTJOIN(", ",TRUE,IF(IFERROR(VLOOKUP($MV105,$AV$2:$BA$83,5,FALSE),0)=1,$MV105,""),IF(IFERROR(VLOOKUP($MW105,$AV$2:$BA$83,5,FALSE),0)=1,$MW105,""),IF(IFERROR(VLOOKUP($MX105,$AV$2:$BA$83,5,FALSE),0)=1,$MX105,""),IF(IFERROR(VLOOKUP($MY105,$AV$2:$BA$83,5,FALSE),0)=1,$MY105,""))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MIN($OW105,$OU105-IF($NQ105=0,0,INDEX($I$2:$N$8,MAX(1,$MQ105),$NQ105)))</f>
        <v/>
      </c>
      <c r="OY105" s="155">
        <f>$OW105-$OX105</f>
        <v/>
      </c>
      <c r="OZ105" s="155">
        <f>IF($MQ105=0,0,INDEX($P$2:$P$8,MAX(1,$MQ105)))</f>
        <v/>
      </c>
      <c r="PA105" s="155">
        <f>$OZ105-$OU105+$OX105</f>
        <v/>
      </c>
      <c r="PB105" s="155">
        <f>IF($MQ105=0,MAX(0,$NE105-IF(AND($OS105&gt;0,COUNTIF($MZ105:$NA105,"?*")=0),1,0)),MAX(0,$PA105))</f>
        <v/>
      </c>
      <c r="PC105" s="155">
        <f>IF($MQ105=0,0,(IF(COUNTIF($MV105:$MY105,"Salto")&gt;0,1,0)+IF(COUNTIF($MV105:$MY105,"Queima")&gt;0,1,0)+IF(COUNTIF($MV105:$MY105,"Estilhaço")&gt;0,1,0))*FLOOR($PB105/2,1))</f>
        <v/>
      </c>
      <c r="PD105" s="155">
        <f>MAX(0,2-SUMPRODUCT($OK105:$OP105,$I$2:$N$2)+MIN(2,$OQ105*1+$OR105*1,SUMPRODUCT($OK105:$OP105,$I$2:$N$2)-IF($NQ105=0,0,INDEX($I$2:$N$2,1,$NQ105))))</f>
        <v/>
      </c>
      <c r="PE105" s="155">
        <f>MAX(0,4-SUMPRODUCT($OK105:$OP105,$I$3:$N$3)+MIN(4,$OQ105*1+$OR105*2,SUMPRODUCT($OK105:$OP105,$I$3:$N$3)-IF($NQ105=0,0,INDEX($I$3:$N$3,1,$NQ105))))</f>
        <v/>
      </c>
      <c r="PF105" s="155">
        <f>MAX(0,6-SUMPRODUCT($OK105:$OP105,$I$4:$N$4)+MIN(6,$OQ105*2+$OR105*3,SUMPRODUCT($OK105:$OP105,$I$4:$N$4)-IF($NQ105=0,0,INDEX($I$4:$N$4,1,$NQ105))))</f>
        <v/>
      </c>
      <c r="PG105" s="155">
        <f>MAX(0,9-SUMPRODUCT($OK105:$OP105,$I$5:$N$5)+MIN(8,$OQ105*2+$OR105*4,SUMPRODUCT($OK105:$OP105,$I$5:$N$5)-IF($NQ105=0,0,INDEX($I$5:$N$5,1,$NQ105))))</f>
        <v/>
      </c>
      <c r="PH105" s="155">
        <f>MAX(0,11-SUMPRODUCT($OK105:$OP105,$I$6:$N$6)+MIN(10,$OQ105*3+$OR105*5,SUMPRODUCT($OK105:$OP105,$I$6:$N$6)-IF($NQ105=0,0,INDEX($I$6:$N$6,1,$NQ105))))</f>
        <v/>
      </c>
      <c r="PI105" s="155">
        <f>MAX(0,13-SUMPRODUCT($OK105:$OP105,$I$7:$N$7)+MIN(12,$OQ105*3+$OR105*6,SUMPRODUCT($OK105:$OP105,$I$7:$N$7)-IF($NQ105=0,0,INDEX($I$7:$N$7,1,$NQ105))))</f>
        <v/>
      </c>
      <c r="PJ105" s="155">
        <f>MAX(0,16-SUMPRODUCT($OK105:$OP105,$I$8:$N$8)+MIN(14,$OQ105*4+$OR105*7,SUMPRODUCT($OK105:$OP105,$I$8:$N$8)-IF($NQ105=0,0,INDEX($I$8:$N$8,1,$NQ105))))</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Melhoria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IFERROR(VLOOKUP($MV106,$AV$2:$BA$83,2,FALSE),"")</f>
        <v/>
      </c>
      <c r="NJ106" s="155">
        <f>IFERROR(VLOOKUP($MW106,$AV$2:$BA$83,2,FALSE),"")</f>
        <v/>
      </c>
      <c r="NK106" s="155">
        <f>IFERROR(VLOOKUP($MX106,$AV$2:$BA$83,2,FALSE),"")</f>
        <v/>
      </c>
      <c r="NL106" s="155">
        <f>IFERROR(VLOOKUP($MY106,$AV$2:$BA$83,2,FALSE),"")</f>
        <v/>
      </c>
      <c r="NM106" s="155">
        <f>IFERROR(VLOOKUP($MV106,$AV$2:$BA$83,3,FALSE),0)</f>
        <v/>
      </c>
      <c r="NN106" s="155">
        <f>IFERROR(VLOOKUP($MW106,$AV$2:$BA$83,3,FALSE),0)</f>
        <v/>
      </c>
      <c r="NO106" s="155">
        <f>IFERROR(VLOOKUP($MX106,$AV$2:$BA$83,3,FALSE),0)</f>
        <v/>
      </c>
      <c r="NP106" s="155">
        <f>IFERROR(VLOOKUP($MY106,$AV$2:$BA$83,3,FALSE),0)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IFERROR(VLOOKUP($MV106,$AV$2:$BA$83,4,FALSE),0)+IFERROR(VLOOKUP($MW106,$AV$2:$BA$83,4,FALSE),0)+IFERROR(VLOOKUP($MX106,$AV$2:$BA$83,4,FALSE),0)+IFERROR(VLOOKUP($MY106,$AV$2:$BA$83,4,FALSE),0)</f>
        <v/>
      </c>
      <c r="OB106" s="155">
        <f>IFERROR(VLOOKUP($MV106,$AV$2:$BA$83,6,FALSE),0)+IFERROR(VLOOKUP($MW106,$AV$2:$BA$83,6,FALSE),0)+IFERROR(VLOOKUP($MX106,$AV$2:$BA$83,6,FALSE),0)+IFERROR(VLOOKUP($MY106,$AV$2:$BA$83,6,FALSE),0)</f>
        <v/>
      </c>
      <c r="OC106" s="155">
        <f>TEXTJOIN(", ",TRUE,IF(IFERROR(VLOOKUP($MV106,$AV$2:$BA$83,5,FALSE),0)=1,$MV106,""),IF(IFERROR(VLOOKUP($MW106,$AV$2:$BA$83,5,FALSE),0)=1,$MW106,""),IF(IFERROR(VLOOKUP($MX106,$AV$2:$BA$83,5,FALSE),0)=1,$MX106,""),IF(IFERROR(VLOOKUP($MY106,$AV$2:$BA$83,5,FALSE),0)=1,$MY106,""))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MIN($OW106,$OU106-IF($NQ106=0,0,INDEX($I$2:$N$8,MAX(1,$MQ106),$NQ106)))</f>
        <v/>
      </c>
      <c r="OY106" s="155">
        <f>$OW106-$OX106</f>
        <v/>
      </c>
      <c r="OZ106" s="155">
        <f>IF($MQ106=0,0,INDEX($P$2:$P$8,MAX(1,$MQ106)))</f>
        <v/>
      </c>
      <c r="PA106" s="155">
        <f>$OZ106-$OU106+$OX106</f>
        <v/>
      </c>
      <c r="PB106" s="155">
        <f>IF($MQ106=0,MAX(0,$NE106-IF(AND($OS106&gt;0,COUNTIF($MZ106:$NA106,"?*")=0),1,0)),MAX(0,$PA106))</f>
        <v/>
      </c>
      <c r="PC106" s="155">
        <f>IF($MQ106=0,0,(IF(COUNTIF($MV106:$MY106,"Salto")&gt;0,1,0)+IF(COUNTIF($MV106:$MY106,"Queima")&gt;0,1,0)+IF(COUNTIF($MV106:$MY106,"Estilhaço")&gt;0,1,0))*FLOOR($PB106/2,1))</f>
        <v/>
      </c>
      <c r="PD106" s="155">
        <f>MAX(0,2-SUMPRODUCT($OK106:$OP106,$I$2:$N$2)+MIN(2,$OQ106*1+$OR106*1,SUMPRODUCT($OK106:$OP106,$I$2:$N$2)-IF($NQ106=0,0,INDEX($I$2:$N$2,1,$NQ106))))</f>
        <v/>
      </c>
      <c r="PE106" s="155">
        <f>MAX(0,4-SUMPRODUCT($OK106:$OP106,$I$3:$N$3)+MIN(4,$OQ106*1+$OR106*2,SUMPRODUCT($OK106:$OP106,$I$3:$N$3)-IF($NQ106=0,0,INDEX($I$3:$N$3,1,$NQ106))))</f>
        <v/>
      </c>
      <c r="PF106" s="155">
        <f>MAX(0,6-SUMPRODUCT($OK106:$OP106,$I$4:$N$4)+MIN(6,$OQ106*2+$OR106*3,SUMPRODUCT($OK106:$OP106,$I$4:$N$4)-IF($NQ106=0,0,INDEX($I$4:$N$4,1,$NQ106))))</f>
        <v/>
      </c>
      <c r="PG106" s="155">
        <f>MAX(0,9-SUMPRODUCT($OK106:$OP106,$I$5:$N$5)+MIN(8,$OQ106*2+$OR106*4,SUMPRODUCT($OK106:$OP106,$I$5:$N$5)-IF($NQ106=0,0,INDEX($I$5:$N$5,1,$NQ106))))</f>
        <v/>
      </c>
      <c r="PH106" s="155">
        <f>MAX(0,11-SUMPRODUCT($OK106:$OP106,$I$6:$N$6)+MIN(10,$OQ106*3+$OR106*5,SUMPRODUCT($OK106:$OP106,$I$6:$N$6)-IF($NQ106=0,0,INDEX($I$6:$N$6,1,$NQ106))))</f>
        <v/>
      </c>
      <c r="PI106" s="155">
        <f>MAX(0,13-SUMPRODUCT($OK106:$OP106,$I$7:$N$7)+MIN(12,$OQ106*3+$OR106*6,SUMPRODUCT($OK106:$OP106,$I$7:$N$7)-IF($NQ106=0,0,INDEX($I$7:$N$7,1,$NQ106))))</f>
        <v/>
      </c>
      <c r="PJ106" s="155">
        <f>MAX(0,16-SUMPRODUCT($OK106:$OP106,$I$8:$N$8)+MIN(14,$OQ106*4+$OR106*7,SUMPRODUCT($OK106:$OP106,$I$8:$N$8)-IF($NQ106=0,0,INDEX($I$8:$N$8,1,$NQ106))))</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Melhoria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IFERROR(VLOOKUP($MV107,$AV$2:$BA$83,2,FALSE),"")</f>
        <v/>
      </c>
      <c r="NJ107" s="155">
        <f>IFERROR(VLOOKUP($MW107,$AV$2:$BA$83,2,FALSE),"")</f>
        <v/>
      </c>
      <c r="NK107" s="155">
        <f>IFERROR(VLOOKUP($MX107,$AV$2:$BA$83,2,FALSE),"")</f>
        <v/>
      </c>
      <c r="NL107" s="155">
        <f>IFERROR(VLOOKUP($MY107,$AV$2:$BA$83,2,FALSE),"")</f>
        <v/>
      </c>
      <c r="NM107" s="155">
        <f>IFERROR(VLOOKUP($MV107,$AV$2:$BA$83,3,FALSE),0)</f>
        <v/>
      </c>
      <c r="NN107" s="155">
        <f>IFERROR(VLOOKUP($MW107,$AV$2:$BA$83,3,FALSE),0)</f>
        <v/>
      </c>
      <c r="NO107" s="155">
        <f>IFERROR(VLOOKUP($MX107,$AV$2:$BA$83,3,FALSE),0)</f>
        <v/>
      </c>
      <c r="NP107" s="155">
        <f>IFERROR(VLOOKUP($MY107,$AV$2:$BA$83,3,FALSE),0)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IFERROR(VLOOKUP($MV107,$AV$2:$BA$83,4,FALSE),0)+IFERROR(VLOOKUP($MW107,$AV$2:$BA$83,4,FALSE),0)+IFERROR(VLOOKUP($MX107,$AV$2:$BA$83,4,FALSE),0)+IFERROR(VLOOKUP($MY107,$AV$2:$BA$83,4,FALSE),0)</f>
        <v/>
      </c>
      <c r="OB107" s="155">
        <f>IFERROR(VLOOKUP($MV107,$AV$2:$BA$83,6,FALSE),0)+IFERROR(VLOOKUP($MW107,$AV$2:$BA$83,6,FALSE),0)+IFERROR(VLOOKUP($MX107,$AV$2:$BA$83,6,FALSE),0)+IFERROR(VLOOKUP($MY107,$AV$2:$BA$83,6,FALSE),0)</f>
        <v/>
      </c>
      <c r="OC107" s="155">
        <f>TEXTJOIN(", ",TRUE,IF(IFERROR(VLOOKUP($MV107,$AV$2:$BA$83,5,FALSE),0)=1,$MV107,""),IF(IFERROR(VLOOKUP($MW107,$AV$2:$BA$83,5,FALSE),0)=1,$MW107,""),IF(IFERROR(VLOOKUP($MX107,$AV$2:$BA$83,5,FALSE),0)=1,$MX107,""),IF(IFERROR(VLOOKUP($MY107,$AV$2:$BA$83,5,FALSE),0)=1,$MY107,""))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MIN($OW107,$OU107-IF($NQ107=0,0,INDEX($I$2:$N$8,MAX(1,$MQ107),$NQ107)))</f>
        <v/>
      </c>
      <c r="OY107" s="155">
        <f>$OW107-$OX107</f>
        <v/>
      </c>
      <c r="OZ107" s="155">
        <f>IF($MQ107=0,0,INDEX($P$2:$P$8,MAX(1,$MQ107)))</f>
        <v/>
      </c>
      <c r="PA107" s="155">
        <f>$OZ107-$OU107+$OX107</f>
        <v/>
      </c>
      <c r="PB107" s="155">
        <f>IF($MQ107=0,MAX(0,$NE107-IF(AND($OS107&gt;0,COUNTIF($MZ107:$NA107,"?*")=0),1,0)),MAX(0,$PA107))</f>
        <v/>
      </c>
      <c r="PC107" s="155">
        <f>IF($MQ107=0,0,(IF(COUNTIF($MV107:$MY107,"Salto")&gt;0,1,0)+IF(COUNTIF($MV107:$MY107,"Queima")&gt;0,1,0)+IF(COUNTIF($MV107:$MY107,"Estilhaço")&gt;0,1,0))*FLOOR($PB107/2,1))</f>
        <v/>
      </c>
      <c r="PD107" s="155">
        <f>MAX(0,2-SUMPRODUCT($OK107:$OP107,$I$2:$N$2)+MIN(2,$OQ107*1+$OR107*1,SUMPRODUCT($OK107:$OP107,$I$2:$N$2)-IF($NQ107=0,0,INDEX($I$2:$N$2,1,$NQ107))))</f>
        <v/>
      </c>
      <c r="PE107" s="155">
        <f>MAX(0,4-SUMPRODUCT($OK107:$OP107,$I$3:$N$3)+MIN(4,$OQ107*1+$OR107*2,SUMPRODUCT($OK107:$OP107,$I$3:$N$3)-IF($NQ107=0,0,INDEX($I$3:$N$3,1,$NQ107))))</f>
        <v/>
      </c>
      <c r="PF107" s="155">
        <f>MAX(0,6-SUMPRODUCT($OK107:$OP107,$I$4:$N$4)+MIN(6,$OQ107*2+$OR107*3,SUMPRODUCT($OK107:$OP107,$I$4:$N$4)-IF($NQ107=0,0,INDEX($I$4:$N$4,1,$NQ107))))</f>
        <v/>
      </c>
      <c r="PG107" s="155">
        <f>MAX(0,9-SUMPRODUCT($OK107:$OP107,$I$5:$N$5)+MIN(8,$OQ107*2+$OR107*4,SUMPRODUCT($OK107:$OP107,$I$5:$N$5)-IF($NQ107=0,0,INDEX($I$5:$N$5,1,$NQ107))))</f>
        <v/>
      </c>
      <c r="PH107" s="155">
        <f>MAX(0,11-SUMPRODUCT($OK107:$OP107,$I$6:$N$6)+MIN(10,$OQ107*3+$OR107*5,SUMPRODUCT($OK107:$OP107,$I$6:$N$6)-IF($NQ107=0,0,INDEX($I$6:$N$6,1,$NQ107))))</f>
        <v/>
      </c>
      <c r="PI107" s="155">
        <f>MAX(0,13-SUMPRODUCT($OK107:$OP107,$I$7:$N$7)+MIN(12,$OQ107*3+$OR107*6,SUMPRODUCT($OK107:$OP107,$I$7:$N$7)-IF($NQ107=0,0,INDEX($I$7:$N$7,1,$NQ107))))</f>
        <v/>
      </c>
      <c r="PJ107" s="155">
        <f>MAX(0,16-SUMPRODUCT($OK107:$OP107,$I$8:$N$8)+MIN(14,$OQ107*4+$OR107*7,SUMPRODUCT($OK107:$OP107,$I$8:$N$8)-IF($NQ107=0,0,INDEX($I$8:$N$8,1,$NQ107))))</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Melhoria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IFERROR(VLOOKUP($MV108,$AV$2:$BA$83,2,FALSE),"")</f>
        <v/>
      </c>
      <c r="NJ108" s="155">
        <f>IFERROR(VLOOKUP($MW108,$AV$2:$BA$83,2,FALSE),"")</f>
        <v/>
      </c>
      <c r="NK108" s="155">
        <f>IFERROR(VLOOKUP($MX108,$AV$2:$BA$83,2,FALSE),"")</f>
        <v/>
      </c>
      <c r="NL108" s="155">
        <f>IFERROR(VLOOKUP($MY108,$AV$2:$BA$83,2,FALSE),"")</f>
        <v/>
      </c>
      <c r="NM108" s="155">
        <f>IFERROR(VLOOKUP($MV108,$AV$2:$BA$83,3,FALSE),0)</f>
        <v/>
      </c>
      <c r="NN108" s="155">
        <f>IFERROR(VLOOKUP($MW108,$AV$2:$BA$83,3,FALSE),0)</f>
        <v/>
      </c>
      <c r="NO108" s="155">
        <f>IFERROR(VLOOKUP($MX108,$AV$2:$BA$83,3,FALSE),0)</f>
        <v/>
      </c>
      <c r="NP108" s="155">
        <f>IFERROR(VLOOKUP($MY108,$AV$2:$BA$83,3,FALSE),0)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IFERROR(VLOOKUP($MV108,$AV$2:$BA$83,4,FALSE),0)+IFERROR(VLOOKUP($MW108,$AV$2:$BA$83,4,FALSE),0)+IFERROR(VLOOKUP($MX108,$AV$2:$BA$83,4,FALSE),0)+IFERROR(VLOOKUP($MY108,$AV$2:$BA$83,4,FALSE),0)</f>
        <v/>
      </c>
      <c r="OB108" s="155">
        <f>IFERROR(VLOOKUP($MV108,$AV$2:$BA$83,6,FALSE),0)+IFERROR(VLOOKUP($MW108,$AV$2:$BA$83,6,FALSE),0)+IFERROR(VLOOKUP($MX108,$AV$2:$BA$83,6,FALSE),0)+IFERROR(VLOOKUP($MY108,$AV$2:$BA$83,6,FALSE),0)</f>
        <v/>
      </c>
      <c r="OC108" s="155">
        <f>TEXTJOIN(", ",TRUE,IF(IFERROR(VLOOKUP($MV108,$AV$2:$BA$83,5,FALSE),0)=1,$MV108,""),IF(IFERROR(VLOOKUP($MW108,$AV$2:$BA$83,5,FALSE),0)=1,$MW108,""),IF(IFERROR(VLOOKUP($MX108,$AV$2:$BA$83,5,FALSE),0)=1,$MX108,""),IF(IFERROR(VLOOKUP($MY108,$AV$2:$BA$83,5,FALSE),0)=1,$MY108,""))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MIN($OW108,$OU108-IF($NQ108=0,0,INDEX($I$2:$N$8,MAX(1,$MQ108),$NQ108)))</f>
        <v/>
      </c>
      <c r="OY108" s="155">
        <f>$OW108-$OX108</f>
        <v/>
      </c>
      <c r="OZ108" s="155">
        <f>IF($MQ108=0,0,INDEX($P$2:$P$8,MAX(1,$MQ108)))</f>
        <v/>
      </c>
      <c r="PA108" s="155">
        <f>$OZ108-$OU108+$OX108</f>
        <v/>
      </c>
      <c r="PB108" s="155">
        <f>IF($MQ108=0,MAX(0,$NE108-IF(AND($OS108&gt;0,COUNTIF($MZ108:$NA108,"?*")=0),1,0)),MAX(0,$PA108))</f>
        <v/>
      </c>
      <c r="PC108" s="155">
        <f>IF($MQ108=0,0,(IF(COUNTIF($MV108:$MY108,"Salto")&gt;0,1,0)+IF(COUNTIF($MV108:$MY108,"Queima")&gt;0,1,0)+IF(COUNTIF($MV108:$MY108,"Estilhaço")&gt;0,1,0))*FLOOR($PB108/2,1))</f>
        <v/>
      </c>
      <c r="PD108" s="155">
        <f>MAX(0,2-SUMPRODUCT($OK108:$OP108,$I$2:$N$2)+MIN(2,$OQ108*1+$OR108*1,SUMPRODUCT($OK108:$OP108,$I$2:$N$2)-IF($NQ108=0,0,INDEX($I$2:$N$2,1,$NQ108))))</f>
        <v/>
      </c>
      <c r="PE108" s="155">
        <f>MAX(0,4-SUMPRODUCT($OK108:$OP108,$I$3:$N$3)+MIN(4,$OQ108*1+$OR108*2,SUMPRODUCT($OK108:$OP108,$I$3:$N$3)-IF($NQ108=0,0,INDEX($I$3:$N$3,1,$NQ108))))</f>
        <v/>
      </c>
      <c r="PF108" s="155">
        <f>MAX(0,6-SUMPRODUCT($OK108:$OP108,$I$4:$N$4)+MIN(6,$OQ108*2+$OR108*3,SUMPRODUCT($OK108:$OP108,$I$4:$N$4)-IF($NQ108=0,0,INDEX($I$4:$N$4,1,$NQ108))))</f>
        <v/>
      </c>
      <c r="PG108" s="155">
        <f>MAX(0,9-SUMPRODUCT($OK108:$OP108,$I$5:$N$5)+MIN(8,$OQ108*2+$OR108*4,SUMPRODUCT($OK108:$OP108,$I$5:$N$5)-IF($NQ108=0,0,INDEX($I$5:$N$5,1,$NQ108))))</f>
        <v/>
      </c>
      <c r="PH108" s="155">
        <f>MAX(0,11-SUMPRODUCT($OK108:$OP108,$I$6:$N$6)+MIN(10,$OQ108*3+$OR108*5,SUMPRODUCT($OK108:$OP108,$I$6:$N$6)-IF($NQ108=0,0,INDEX($I$6:$N$6,1,$NQ108))))</f>
        <v/>
      </c>
      <c r="PI108" s="155">
        <f>MAX(0,13-SUMPRODUCT($OK108:$OP108,$I$7:$N$7)+MIN(12,$OQ108*3+$OR108*6,SUMPRODUCT($OK108:$OP108,$I$7:$N$7)-IF($NQ108=0,0,INDEX($I$7:$N$7,1,$NQ108))))</f>
        <v/>
      </c>
      <c r="PJ108" s="155">
        <f>MAX(0,16-SUMPRODUCT($OK108:$OP108,$I$8:$N$8)+MIN(14,$OQ108*4+$OR108*7,SUMPRODUCT($OK108:$OP108,$I$8:$N$8)-IF($NQ108=0,0,INDEX($I$8:$N$8,1,$NQ108))))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Melhoria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IFERROR(VLOOKUP($MV109,$AV$2:$BA$83,2,FALSE),"")</f>
        <v/>
      </c>
      <c r="NJ109" s="155">
        <f>IFERROR(VLOOKUP($MW109,$AV$2:$BA$83,2,FALSE),"")</f>
        <v/>
      </c>
      <c r="NK109" s="155">
        <f>IFERROR(VLOOKUP($MX109,$AV$2:$BA$83,2,FALSE),"")</f>
        <v/>
      </c>
      <c r="NL109" s="155">
        <f>IFERROR(VLOOKUP($MY109,$AV$2:$BA$83,2,FALSE),"")</f>
        <v/>
      </c>
      <c r="NM109" s="155">
        <f>IFERROR(VLOOKUP($MV109,$AV$2:$BA$83,3,FALSE),0)</f>
        <v/>
      </c>
      <c r="NN109" s="155">
        <f>IFERROR(VLOOKUP($MW109,$AV$2:$BA$83,3,FALSE),0)</f>
        <v/>
      </c>
      <c r="NO109" s="155">
        <f>IFERROR(VLOOKUP($MX109,$AV$2:$BA$83,3,FALSE),0)</f>
        <v/>
      </c>
      <c r="NP109" s="155">
        <f>IFERROR(VLOOKUP($MY109,$AV$2:$BA$83,3,FALSE),0)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IFERROR(VLOOKUP($MV109,$AV$2:$BA$83,4,FALSE),0)+IFERROR(VLOOKUP($MW109,$AV$2:$BA$83,4,FALSE),0)+IFERROR(VLOOKUP($MX109,$AV$2:$BA$83,4,FALSE),0)+IFERROR(VLOOKUP($MY109,$AV$2:$BA$83,4,FALSE),0)</f>
        <v/>
      </c>
      <c r="OB109" s="155">
        <f>IFERROR(VLOOKUP($MV109,$AV$2:$BA$83,6,FALSE),0)+IFERROR(VLOOKUP($MW109,$AV$2:$BA$83,6,FALSE),0)+IFERROR(VLOOKUP($MX109,$AV$2:$BA$83,6,FALSE),0)+IFERROR(VLOOKUP($MY109,$AV$2:$BA$83,6,FALSE),0)</f>
        <v/>
      </c>
      <c r="OC109" s="155">
        <f>TEXTJOIN(", ",TRUE,IF(IFERROR(VLOOKUP($MV109,$AV$2:$BA$83,5,FALSE),0)=1,$MV109,""),IF(IFERROR(VLOOKUP($MW109,$AV$2:$BA$83,5,FALSE),0)=1,$MW109,""),IF(IFERROR(VLOOKUP($MX109,$AV$2:$BA$83,5,FALSE),0)=1,$MX109,""),IF(IFERROR(VLOOKUP($MY109,$AV$2:$BA$83,5,FALSE),0)=1,$MY109,""))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MIN($OW109,$OU109-IF($NQ109=0,0,INDEX($I$2:$N$8,MAX(1,$MQ109),$NQ109)))</f>
        <v/>
      </c>
      <c r="OY109" s="155">
        <f>$OW109-$OX109</f>
        <v/>
      </c>
      <c r="OZ109" s="155">
        <f>IF($MQ109=0,0,INDEX($P$2:$P$8,MAX(1,$MQ109)))</f>
        <v/>
      </c>
      <c r="PA109" s="155">
        <f>$OZ109-$OU109+$OX109</f>
        <v/>
      </c>
      <c r="PB109" s="155">
        <f>IF($MQ109=0,MAX(0,$NE109-IF(AND($OS109&gt;0,COUNTIF($MZ109:$NA109,"?*")=0),1,0)),MAX(0,$PA109))</f>
        <v/>
      </c>
      <c r="PC109" s="155">
        <f>IF($MQ109=0,0,(IF(COUNTIF($MV109:$MY109,"Salto")&gt;0,1,0)+IF(COUNTIF($MV109:$MY109,"Queima")&gt;0,1,0)+IF(COUNTIF($MV109:$MY109,"Estilhaço")&gt;0,1,0))*FLOOR($PB109/2,1))</f>
        <v/>
      </c>
      <c r="PD109" s="155">
        <f>MAX(0,2-SUMPRODUCT($OK109:$OP109,$I$2:$N$2)+MIN(2,$OQ109*1+$OR109*1,SUMPRODUCT($OK109:$OP109,$I$2:$N$2)-IF($NQ109=0,0,INDEX($I$2:$N$2,1,$NQ109))))</f>
        <v/>
      </c>
      <c r="PE109" s="155">
        <f>MAX(0,4-SUMPRODUCT($OK109:$OP109,$I$3:$N$3)+MIN(4,$OQ109*1+$OR109*2,SUMPRODUCT($OK109:$OP109,$I$3:$N$3)-IF($NQ109=0,0,INDEX($I$3:$N$3,1,$NQ109))))</f>
        <v/>
      </c>
      <c r="PF109" s="155">
        <f>MAX(0,6-SUMPRODUCT($OK109:$OP109,$I$4:$N$4)+MIN(6,$OQ109*2+$OR109*3,SUMPRODUCT($OK109:$OP109,$I$4:$N$4)-IF($NQ109=0,0,INDEX($I$4:$N$4,1,$NQ109))))</f>
        <v/>
      </c>
      <c r="PG109" s="155">
        <f>MAX(0,9-SUMPRODUCT($OK109:$OP109,$I$5:$N$5)+MIN(8,$OQ109*2+$OR109*4,SUMPRODUCT($OK109:$OP109,$I$5:$N$5)-IF($NQ109=0,0,INDEX($I$5:$N$5,1,$NQ109))))</f>
        <v/>
      </c>
      <c r="PH109" s="155">
        <f>MAX(0,11-SUMPRODUCT($OK109:$OP109,$I$6:$N$6)+MIN(10,$OQ109*3+$OR109*5,SUMPRODUCT($OK109:$OP109,$I$6:$N$6)-IF($NQ109=0,0,INDEX($I$6:$N$6,1,$NQ109))))</f>
        <v/>
      </c>
      <c r="PI109" s="155">
        <f>MAX(0,13-SUMPRODUCT($OK109:$OP109,$I$7:$N$7)+MIN(12,$OQ109*3+$OR109*6,SUMPRODUCT($OK109:$OP109,$I$7:$N$7)-IF($NQ109=0,0,INDEX($I$7:$N$7,1,$NQ109))))</f>
        <v/>
      </c>
      <c r="PJ109" s="155">
        <f>MAX(0,16-SUMPRODUCT($OK109:$OP109,$I$8:$N$8)+MIN(14,$OQ109*4+$OR109*7,SUMPRODUCT($OK109:$OP109,$I$8:$N$8)-IF($NQ109=0,0,INDEX($I$8:$N$8,1,$NQ109))))</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Melhoria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IFERROR(VLOOKUP($MV110,$AV$2:$BA$83,2,FALSE),"")</f>
        <v/>
      </c>
      <c r="NJ110" s="155">
        <f>IFERROR(VLOOKUP($MW110,$AV$2:$BA$83,2,FALSE),"")</f>
        <v/>
      </c>
      <c r="NK110" s="155">
        <f>IFERROR(VLOOKUP($MX110,$AV$2:$BA$83,2,FALSE),"")</f>
        <v/>
      </c>
      <c r="NL110" s="155">
        <f>IFERROR(VLOOKUP($MY110,$AV$2:$BA$83,2,FALSE),"")</f>
        <v/>
      </c>
      <c r="NM110" s="155">
        <f>IFERROR(VLOOKUP($MV110,$AV$2:$BA$83,3,FALSE),0)</f>
        <v/>
      </c>
      <c r="NN110" s="155">
        <f>IFERROR(VLOOKUP($MW110,$AV$2:$BA$83,3,FALSE),0)</f>
        <v/>
      </c>
      <c r="NO110" s="155">
        <f>IFERROR(VLOOKUP($MX110,$AV$2:$BA$83,3,FALSE),0)</f>
        <v/>
      </c>
      <c r="NP110" s="155">
        <f>IFERROR(VLOOKUP($MY110,$AV$2:$BA$83,3,FALSE),0)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IFERROR(VLOOKUP($MV110,$AV$2:$BA$83,4,FALSE),0)+IFERROR(VLOOKUP($MW110,$AV$2:$BA$83,4,FALSE),0)+IFERROR(VLOOKUP($MX110,$AV$2:$BA$83,4,FALSE),0)+IFERROR(VLOOKUP($MY110,$AV$2:$BA$83,4,FALSE),0)</f>
        <v/>
      </c>
      <c r="OB110" s="155">
        <f>IFERROR(VLOOKUP($MV110,$AV$2:$BA$83,6,FALSE),0)+IFERROR(VLOOKUP($MW110,$AV$2:$BA$83,6,FALSE),0)+IFERROR(VLOOKUP($MX110,$AV$2:$BA$83,6,FALSE),0)+IFERROR(VLOOKUP($MY110,$AV$2:$BA$83,6,FALSE),0)</f>
        <v/>
      </c>
      <c r="OC110" s="155">
        <f>TEXTJOIN(", ",TRUE,IF(IFERROR(VLOOKUP($MV110,$AV$2:$BA$83,5,FALSE),0)=1,$MV110,""),IF(IFERROR(VLOOKUP($MW110,$AV$2:$BA$83,5,FALSE),0)=1,$MW110,""),IF(IFERROR(VLOOKUP($MX110,$AV$2:$BA$83,5,FALSE),0)=1,$MX110,""),IF(IFERROR(VLOOKUP($MY110,$AV$2:$BA$83,5,FALSE),0)=1,$MY110,""))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MIN($OW110,$OU110-IF($NQ110=0,0,INDEX($I$2:$N$8,MAX(1,$MQ110),$NQ110)))</f>
        <v/>
      </c>
      <c r="OY110" s="155">
        <f>$OW110-$OX110</f>
        <v/>
      </c>
      <c r="OZ110" s="155">
        <f>IF($MQ110=0,0,INDEX($P$2:$P$8,MAX(1,$MQ110)))</f>
        <v/>
      </c>
      <c r="PA110" s="155">
        <f>$OZ110-$OU110+$OX110</f>
        <v/>
      </c>
      <c r="PB110" s="155">
        <f>IF($MQ110=0,MAX(0,$NE110-IF(AND($OS110&gt;0,COUNTIF($MZ110:$NA110,"?*")=0),1,0)),MAX(0,$PA110))</f>
        <v/>
      </c>
      <c r="PC110" s="155">
        <f>IF($MQ110=0,0,(IF(COUNTIF($MV110:$MY110,"Salto")&gt;0,1,0)+IF(COUNTIF($MV110:$MY110,"Queima")&gt;0,1,0)+IF(COUNTIF($MV110:$MY110,"Estilhaço")&gt;0,1,0))*FLOOR($PB110/2,1))</f>
        <v/>
      </c>
      <c r="PD110" s="155">
        <f>MAX(0,2-SUMPRODUCT($OK110:$OP110,$I$2:$N$2)+MIN(2,$OQ110*1+$OR110*1,SUMPRODUCT($OK110:$OP110,$I$2:$N$2)-IF($NQ110=0,0,INDEX($I$2:$N$2,1,$NQ110))))</f>
        <v/>
      </c>
      <c r="PE110" s="155">
        <f>MAX(0,4-SUMPRODUCT($OK110:$OP110,$I$3:$N$3)+MIN(4,$OQ110*1+$OR110*2,SUMPRODUCT($OK110:$OP110,$I$3:$N$3)-IF($NQ110=0,0,INDEX($I$3:$N$3,1,$NQ110))))</f>
        <v/>
      </c>
      <c r="PF110" s="155">
        <f>MAX(0,6-SUMPRODUCT($OK110:$OP110,$I$4:$N$4)+MIN(6,$OQ110*2+$OR110*3,SUMPRODUCT($OK110:$OP110,$I$4:$N$4)-IF($NQ110=0,0,INDEX($I$4:$N$4,1,$NQ110))))</f>
        <v/>
      </c>
      <c r="PG110" s="155">
        <f>MAX(0,9-SUMPRODUCT($OK110:$OP110,$I$5:$N$5)+MIN(8,$OQ110*2+$OR110*4,SUMPRODUCT($OK110:$OP110,$I$5:$N$5)-IF($NQ110=0,0,INDEX($I$5:$N$5,1,$NQ110))))</f>
        <v/>
      </c>
      <c r="PH110" s="155">
        <f>MAX(0,11-SUMPRODUCT($OK110:$OP110,$I$6:$N$6)+MIN(10,$OQ110*3+$OR110*5,SUMPRODUCT($OK110:$OP110,$I$6:$N$6)-IF($NQ110=0,0,INDEX($I$6:$N$6,1,$NQ110))))</f>
        <v/>
      </c>
      <c r="PI110" s="155">
        <f>MAX(0,13-SUMPRODUCT($OK110:$OP110,$I$7:$N$7)+MIN(12,$OQ110*3+$OR110*6,SUMPRODUCT($OK110:$OP110,$I$7:$N$7)-IF($NQ110=0,0,INDEX($I$7:$N$7,1,$NQ110))))</f>
        <v/>
      </c>
      <c r="PJ110" s="155">
        <f>MAX(0,16-SUMPRODUCT($OK110:$OP110,$I$8:$N$8)+MIN(14,$OQ110*4+$OR110*7,SUMPRODUCT($OK110:$OP110,$I$8:$N$8)-IF($NQ110=0,0,INDEX($I$8:$N$8,1,$NQ110))))</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Melhoria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IFERROR(VLOOKUP($MV111,$AV$2:$BA$83,2,FALSE),"")</f>
        <v/>
      </c>
      <c r="NJ111" s="155">
        <f>IFERROR(VLOOKUP($MW111,$AV$2:$BA$83,2,FALSE),"")</f>
        <v/>
      </c>
      <c r="NK111" s="155">
        <f>IFERROR(VLOOKUP($MX111,$AV$2:$BA$83,2,FALSE),"")</f>
        <v/>
      </c>
      <c r="NL111" s="155">
        <f>IFERROR(VLOOKUP($MY111,$AV$2:$BA$83,2,FALSE),"")</f>
        <v/>
      </c>
      <c r="NM111" s="155">
        <f>IFERROR(VLOOKUP($MV111,$AV$2:$BA$83,3,FALSE),0)</f>
        <v/>
      </c>
      <c r="NN111" s="155">
        <f>IFERROR(VLOOKUP($MW111,$AV$2:$BA$83,3,FALSE),0)</f>
        <v/>
      </c>
      <c r="NO111" s="155">
        <f>IFERROR(VLOOKUP($MX111,$AV$2:$BA$83,3,FALSE),0)</f>
        <v/>
      </c>
      <c r="NP111" s="155">
        <f>IFERROR(VLOOKUP($MY111,$AV$2:$BA$83,3,FALSE),0)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IFERROR(VLOOKUP($MV111,$AV$2:$BA$83,4,FALSE),0)+IFERROR(VLOOKUP($MW111,$AV$2:$BA$83,4,FALSE),0)+IFERROR(VLOOKUP($MX111,$AV$2:$BA$83,4,FALSE),0)+IFERROR(VLOOKUP($MY111,$AV$2:$BA$83,4,FALSE),0)</f>
        <v/>
      </c>
      <c r="OB111" s="155">
        <f>IFERROR(VLOOKUP($MV111,$AV$2:$BA$83,6,FALSE),0)+IFERROR(VLOOKUP($MW111,$AV$2:$BA$83,6,FALSE),0)+IFERROR(VLOOKUP($MX111,$AV$2:$BA$83,6,FALSE),0)+IFERROR(VLOOKUP($MY111,$AV$2:$BA$83,6,FALSE),0)</f>
        <v/>
      </c>
      <c r="OC111" s="155">
        <f>TEXTJOIN(", ",TRUE,IF(IFERROR(VLOOKUP($MV111,$AV$2:$BA$83,5,FALSE),0)=1,$MV111,""),IF(IFERROR(VLOOKUP($MW111,$AV$2:$BA$83,5,FALSE),0)=1,$MW111,""),IF(IFERROR(VLOOKUP($MX111,$AV$2:$BA$83,5,FALSE),0)=1,$MX111,""),IF(IFERROR(VLOOKUP($MY111,$AV$2:$BA$83,5,FALSE),0)=1,$MY111,""))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MIN($OW111,$OU111-IF($NQ111=0,0,INDEX($I$2:$N$8,MAX(1,$MQ111),$NQ111)))</f>
        <v/>
      </c>
      <c r="OY111" s="155">
        <f>$OW111-$OX111</f>
        <v/>
      </c>
      <c r="OZ111" s="155">
        <f>IF($MQ111=0,0,INDEX($P$2:$P$8,MAX(1,$MQ111)))</f>
        <v/>
      </c>
      <c r="PA111" s="155">
        <f>$OZ111-$OU111+$OX111</f>
        <v/>
      </c>
      <c r="PB111" s="155">
        <f>IF($MQ111=0,MAX(0,$NE111-IF(AND($OS111&gt;0,COUNTIF($MZ111:$NA111,"?*")=0),1,0)),MAX(0,$PA111))</f>
        <v/>
      </c>
      <c r="PC111" s="155">
        <f>IF($MQ111=0,0,(IF(COUNTIF($MV111:$MY111,"Salto")&gt;0,1,0)+IF(COUNTIF($MV111:$MY111,"Queima")&gt;0,1,0)+IF(COUNTIF($MV111:$MY111,"Estilhaço")&gt;0,1,0))*FLOOR($PB111/2,1))</f>
        <v/>
      </c>
      <c r="PD111" s="155">
        <f>MAX(0,2-SUMPRODUCT($OK111:$OP111,$I$2:$N$2)+MIN(2,$OQ111*1+$OR111*1,SUMPRODUCT($OK111:$OP111,$I$2:$N$2)-IF($NQ111=0,0,INDEX($I$2:$N$2,1,$NQ111))))</f>
        <v/>
      </c>
      <c r="PE111" s="155">
        <f>MAX(0,4-SUMPRODUCT($OK111:$OP111,$I$3:$N$3)+MIN(4,$OQ111*1+$OR111*2,SUMPRODUCT($OK111:$OP111,$I$3:$N$3)-IF($NQ111=0,0,INDEX($I$3:$N$3,1,$NQ111))))</f>
        <v/>
      </c>
      <c r="PF111" s="155">
        <f>MAX(0,6-SUMPRODUCT($OK111:$OP111,$I$4:$N$4)+MIN(6,$OQ111*2+$OR111*3,SUMPRODUCT($OK111:$OP111,$I$4:$N$4)-IF($NQ111=0,0,INDEX($I$4:$N$4,1,$NQ111))))</f>
        <v/>
      </c>
      <c r="PG111" s="155">
        <f>MAX(0,9-SUMPRODUCT($OK111:$OP111,$I$5:$N$5)+MIN(8,$OQ111*2+$OR111*4,SUMPRODUCT($OK111:$OP111,$I$5:$N$5)-IF($NQ111=0,0,INDEX($I$5:$N$5,1,$NQ111))))</f>
        <v/>
      </c>
      <c r="PH111" s="155">
        <f>MAX(0,11-SUMPRODUCT($OK111:$OP111,$I$6:$N$6)+MIN(10,$OQ111*3+$OR111*5,SUMPRODUCT($OK111:$OP111,$I$6:$N$6)-IF($NQ111=0,0,INDEX($I$6:$N$6,1,$NQ111))))</f>
        <v/>
      </c>
      <c r="PI111" s="155">
        <f>MAX(0,13-SUMPRODUCT($OK111:$OP111,$I$7:$N$7)+MIN(12,$OQ111*3+$OR111*6,SUMPRODUCT($OK111:$OP111,$I$7:$N$7)-IF($NQ111=0,0,INDEX($I$7:$N$7,1,$NQ111))))</f>
        <v/>
      </c>
      <c r="PJ111" s="155">
        <f>MAX(0,16-SUMPRODUCT($OK111:$OP111,$I$8:$N$8)+MIN(14,$OQ111*4+$OR111*7,SUMPRODUCT($OK111:$OP111,$I$8:$N$8)-IF($NQ111=0,0,INDEX($I$8:$N$8,1,$NQ111))))</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Melhoria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IFERROR(VLOOKUP($MV112,$AV$2:$BA$83,2,FALSE),"")</f>
        <v/>
      </c>
      <c r="NJ112" s="155">
        <f>IFERROR(VLOOKUP($MW112,$AV$2:$BA$83,2,FALSE),"")</f>
        <v/>
      </c>
      <c r="NK112" s="155">
        <f>IFERROR(VLOOKUP($MX112,$AV$2:$BA$83,2,FALSE),"")</f>
        <v/>
      </c>
      <c r="NL112" s="155">
        <f>IFERROR(VLOOKUP($MY112,$AV$2:$BA$83,2,FALSE),"")</f>
        <v/>
      </c>
      <c r="NM112" s="155">
        <f>IFERROR(VLOOKUP($MV112,$AV$2:$BA$83,3,FALSE),0)</f>
        <v/>
      </c>
      <c r="NN112" s="155">
        <f>IFERROR(VLOOKUP($MW112,$AV$2:$BA$83,3,FALSE),0)</f>
        <v/>
      </c>
      <c r="NO112" s="155">
        <f>IFERROR(VLOOKUP($MX112,$AV$2:$BA$83,3,FALSE),0)</f>
        <v/>
      </c>
      <c r="NP112" s="155">
        <f>IFERROR(VLOOKUP($MY112,$AV$2:$BA$83,3,FALSE),0)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IFERROR(VLOOKUP($MV112,$AV$2:$BA$83,4,FALSE),0)+IFERROR(VLOOKUP($MW112,$AV$2:$BA$83,4,FALSE),0)+IFERROR(VLOOKUP($MX112,$AV$2:$BA$83,4,FALSE),0)+IFERROR(VLOOKUP($MY112,$AV$2:$BA$83,4,FALSE),0)</f>
        <v/>
      </c>
      <c r="OB112" s="155">
        <f>IFERROR(VLOOKUP($MV112,$AV$2:$BA$83,6,FALSE),0)+IFERROR(VLOOKUP($MW112,$AV$2:$BA$83,6,FALSE),0)+IFERROR(VLOOKUP($MX112,$AV$2:$BA$83,6,FALSE),0)+IFERROR(VLOOKUP($MY112,$AV$2:$BA$83,6,FALSE),0)</f>
        <v/>
      </c>
      <c r="OC112" s="155">
        <f>TEXTJOIN(", ",TRUE,IF(IFERROR(VLOOKUP($MV112,$AV$2:$BA$83,5,FALSE),0)=1,$MV112,""),IF(IFERROR(VLOOKUP($MW112,$AV$2:$BA$83,5,FALSE),0)=1,$MW112,""),IF(IFERROR(VLOOKUP($MX112,$AV$2:$BA$83,5,FALSE),0)=1,$MX112,""),IF(IFERROR(VLOOKUP($MY112,$AV$2:$BA$83,5,FALSE),0)=1,$MY112,""))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MIN($OW112,$OU112-IF($NQ112=0,0,INDEX($I$2:$N$8,MAX(1,$MQ112),$NQ112)))</f>
        <v/>
      </c>
      <c r="OY112" s="155">
        <f>$OW112-$OX112</f>
        <v/>
      </c>
      <c r="OZ112" s="155">
        <f>IF($MQ112=0,0,INDEX($P$2:$P$8,MAX(1,$MQ112)))</f>
        <v/>
      </c>
      <c r="PA112" s="155">
        <f>$OZ112-$OU112+$OX112</f>
        <v/>
      </c>
      <c r="PB112" s="155">
        <f>IF($MQ112=0,MAX(0,$NE112-IF(AND($OS112&gt;0,COUNTIF($MZ112:$NA112,"?*")=0),1,0)),MAX(0,$PA112))</f>
        <v/>
      </c>
      <c r="PC112" s="155">
        <f>IF($MQ112=0,0,(IF(COUNTIF($MV112:$MY112,"Salto")&gt;0,1,0)+IF(COUNTIF($MV112:$MY112,"Queima")&gt;0,1,0)+IF(COUNTIF($MV112:$MY112,"Estilhaço")&gt;0,1,0))*FLOOR($PB112/2,1))</f>
        <v/>
      </c>
      <c r="PD112" s="155">
        <f>MAX(0,2-SUMPRODUCT($OK112:$OP112,$I$2:$N$2)+MIN(2,$OQ112*1+$OR112*1,SUMPRODUCT($OK112:$OP112,$I$2:$N$2)-IF($NQ112=0,0,INDEX($I$2:$N$2,1,$NQ112))))</f>
        <v/>
      </c>
      <c r="PE112" s="155">
        <f>MAX(0,4-SUMPRODUCT($OK112:$OP112,$I$3:$N$3)+MIN(4,$OQ112*1+$OR112*2,SUMPRODUCT($OK112:$OP112,$I$3:$N$3)-IF($NQ112=0,0,INDEX($I$3:$N$3,1,$NQ112))))</f>
        <v/>
      </c>
      <c r="PF112" s="155">
        <f>MAX(0,6-SUMPRODUCT($OK112:$OP112,$I$4:$N$4)+MIN(6,$OQ112*2+$OR112*3,SUMPRODUCT($OK112:$OP112,$I$4:$N$4)-IF($NQ112=0,0,INDEX($I$4:$N$4,1,$NQ112))))</f>
        <v/>
      </c>
      <c r="PG112" s="155">
        <f>MAX(0,9-SUMPRODUCT($OK112:$OP112,$I$5:$N$5)+MIN(8,$OQ112*2+$OR112*4,SUMPRODUCT($OK112:$OP112,$I$5:$N$5)-IF($NQ112=0,0,INDEX($I$5:$N$5,1,$NQ112))))</f>
        <v/>
      </c>
      <c r="PH112" s="155">
        <f>MAX(0,11-SUMPRODUCT($OK112:$OP112,$I$6:$N$6)+MIN(10,$OQ112*3+$OR112*5,SUMPRODUCT($OK112:$OP112,$I$6:$N$6)-IF($NQ112=0,0,INDEX($I$6:$N$6,1,$NQ112))))</f>
        <v/>
      </c>
      <c r="PI112" s="155">
        <f>MAX(0,13-SUMPRODUCT($OK112:$OP112,$I$7:$N$7)+MIN(12,$OQ112*3+$OR112*6,SUMPRODUCT($OK112:$OP112,$I$7:$N$7)-IF($NQ112=0,0,INDEX($I$7:$N$7,1,$NQ112))))</f>
        <v/>
      </c>
      <c r="PJ112" s="155">
        <f>MAX(0,16-SUMPRODUCT($OK112:$OP112,$I$8:$N$8)+MIN(14,$OQ112*4+$OR112*7,SUMPRODUCT($OK112:$OP112,$I$8:$N$8)-IF($NQ112=0,0,INDEX($I$8:$N$8,1,$NQ112))))</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Melhoria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IFERROR(VLOOKUP($MV113,$AV$2:$BA$83,2,FALSE),"")</f>
        <v/>
      </c>
      <c r="NJ113" s="155">
        <f>IFERROR(VLOOKUP($MW113,$AV$2:$BA$83,2,FALSE),"")</f>
        <v/>
      </c>
      <c r="NK113" s="155">
        <f>IFERROR(VLOOKUP($MX113,$AV$2:$BA$83,2,FALSE),"")</f>
        <v/>
      </c>
      <c r="NL113" s="155">
        <f>IFERROR(VLOOKUP($MY113,$AV$2:$BA$83,2,FALSE),"")</f>
        <v/>
      </c>
      <c r="NM113" s="155">
        <f>IFERROR(VLOOKUP($MV113,$AV$2:$BA$83,3,FALSE),0)</f>
        <v/>
      </c>
      <c r="NN113" s="155">
        <f>IFERROR(VLOOKUP($MW113,$AV$2:$BA$83,3,FALSE),0)</f>
        <v/>
      </c>
      <c r="NO113" s="155">
        <f>IFERROR(VLOOKUP($MX113,$AV$2:$BA$83,3,FALSE),0)</f>
        <v/>
      </c>
      <c r="NP113" s="155">
        <f>IFERROR(VLOOKUP($MY113,$AV$2:$BA$83,3,FALSE),0)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IFERROR(VLOOKUP($MV113,$AV$2:$BA$83,4,FALSE),0)+IFERROR(VLOOKUP($MW113,$AV$2:$BA$83,4,FALSE),0)+IFERROR(VLOOKUP($MX113,$AV$2:$BA$83,4,FALSE),0)+IFERROR(VLOOKUP($MY113,$AV$2:$BA$83,4,FALSE),0)</f>
        <v/>
      </c>
      <c r="OB113" s="155">
        <f>IFERROR(VLOOKUP($MV113,$AV$2:$BA$83,6,FALSE),0)+IFERROR(VLOOKUP($MW113,$AV$2:$BA$83,6,FALSE),0)+IFERROR(VLOOKUP($MX113,$AV$2:$BA$83,6,FALSE),0)+IFERROR(VLOOKUP($MY113,$AV$2:$BA$83,6,FALSE),0)</f>
        <v/>
      </c>
      <c r="OC113" s="155">
        <f>TEXTJOIN(", ",TRUE,IF(IFERROR(VLOOKUP($MV113,$AV$2:$BA$83,5,FALSE),0)=1,$MV113,""),IF(IFERROR(VLOOKUP($MW113,$AV$2:$BA$83,5,FALSE),0)=1,$MW113,""),IF(IFERROR(VLOOKUP($MX113,$AV$2:$BA$83,5,FALSE),0)=1,$MX113,""),IF(IFERROR(VLOOKUP($MY113,$AV$2:$BA$83,5,FALSE),0)=1,$MY113,""))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MIN($OW113,$OU113-IF($NQ113=0,0,INDEX($I$2:$N$8,MAX(1,$MQ113),$NQ113)))</f>
        <v/>
      </c>
      <c r="OY113" s="155">
        <f>$OW113-$OX113</f>
        <v/>
      </c>
      <c r="OZ113" s="155">
        <f>IF($MQ113=0,0,INDEX($P$2:$P$8,MAX(1,$MQ113)))</f>
        <v/>
      </c>
      <c r="PA113" s="155">
        <f>$OZ113-$OU113+$OX113</f>
        <v/>
      </c>
      <c r="PB113" s="155">
        <f>IF($MQ113=0,MAX(0,$NE113-IF(AND($OS113&gt;0,COUNTIF($MZ113:$NA113,"?*")=0),1,0)),MAX(0,$PA113))</f>
        <v/>
      </c>
      <c r="PC113" s="155">
        <f>IF($MQ113=0,0,(IF(COUNTIF($MV113:$MY113,"Salto")&gt;0,1,0)+IF(COUNTIF($MV113:$MY113,"Queima")&gt;0,1,0)+IF(COUNTIF($MV113:$MY113,"Estilhaço")&gt;0,1,0))*FLOOR($PB113/2,1))</f>
        <v/>
      </c>
      <c r="PD113" s="155">
        <f>MAX(0,2-SUMPRODUCT($OK113:$OP113,$I$2:$N$2)+MIN(2,$OQ113*1+$OR113*1,SUMPRODUCT($OK113:$OP113,$I$2:$N$2)-IF($NQ113=0,0,INDEX($I$2:$N$2,1,$NQ113))))</f>
        <v/>
      </c>
      <c r="PE113" s="155">
        <f>MAX(0,4-SUMPRODUCT($OK113:$OP113,$I$3:$N$3)+MIN(4,$OQ113*1+$OR113*2,SUMPRODUCT($OK113:$OP113,$I$3:$N$3)-IF($NQ113=0,0,INDEX($I$3:$N$3,1,$NQ113))))</f>
        <v/>
      </c>
      <c r="PF113" s="155">
        <f>MAX(0,6-SUMPRODUCT($OK113:$OP113,$I$4:$N$4)+MIN(6,$OQ113*2+$OR113*3,SUMPRODUCT($OK113:$OP113,$I$4:$N$4)-IF($NQ113=0,0,INDEX($I$4:$N$4,1,$NQ113))))</f>
        <v/>
      </c>
      <c r="PG113" s="155">
        <f>MAX(0,9-SUMPRODUCT($OK113:$OP113,$I$5:$N$5)+MIN(8,$OQ113*2+$OR113*4,SUMPRODUCT($OK113:$OP113,$I$5:$N$5)-IF($NQ113=0,0,INDEX($I$5:$N$5,1,$NQ113))))</f>
        <v/>
      </c>
      <c r="PH113" s="155">
        <f>MAX(0,11-SUMPRODUCT($OK113:$OP113,$I$6:$N$6)+MIN(10,$OQ113*3+$OR113*5,SUMPRODUCT($OK113:$OP113,$I$6:$N$6)-IF($NQ113=0,0,INDEX($I$6:$N$6,1,$NQ113))))</f>
        <v/>
      </c>
      <c r="PI113" s="155">
        <f>MAX(0,13-SUMPRODUCT($OK113:$OP113,$I$7:$N$7)+MIN(12,$OQ113*3+$OR113*6,SUMPRODUCT($OK113:$OP113,$I$7:$N$7)-IF($NQ113=0,0,INDEX($I$7:$N$7,1,$NQ113))))</f>
        <v/>
      </c>
      <c r="PJ113" s="155">
        <f>MAX(0,16-SUMPRODUCT($OK113:$OP113,$I$8:$N$8)+MIN(14,$OQ113*4+$OR113*7,SUMPRODUCT($OK113:$OP113,$I$8:$N$8)-IF($NQ113=0,0,INDEX($I$8:$N$8,1,$NQ113))))</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Melhoria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IFERROR(VLOOKUP($MV114,$AV$2:$BA$83,2,FALSE),"")</f>
        <v/>
      </c>
      <c r="NJ114" s="155">
        <f>IFERROR(VLOOKUP($MW114,$AV$2:$BA$83,2,FALSE),"")</f>
        <v/>
      </c>
      <c r="NK114" s="155">
        <f>IFERROR(VLOOKUP($MX114,$AV$2:$BA$83,2,FALSE),"")</f>
        <v/>
      </c>
      <c r="NL114" s="155">
        <f>IFERROR(VLOOKUP($MY114,$AV$2:$BA$83,2,FALSE),"")</f>
        <v/>
      </c>
      <c r="NM114" s="155">
        <f>IFERROR(VLOOKUP($MV114,$AV$2:$BA$83,3,FALSE),0)</f>
        <v/>
      </c>
      <c r="NN114" s="155">
        <f>IFERROR(VLOOKUP($MW114,$AV$2:$BA$83,3,FALSE),0)</f>
        <v/>
      </c>
      <c r="NO114" s="155">
        <f>IFERROR(VLOOKUP($MX114,$AV$2:$BA$83,3,FALSE),0)</f>
        <v/>
      </c>
      <c r="NP114" s="155">
        <f>IFERROR(VLOOKUP($MY114,$AV$2:$BA$83,3,FALSE),0)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IFERROR(VLOOKUP($MV114,$AV$2:$BA$83,4,FALSE),0)+IFERROR(VLOOKUP($MW114,$AV$2:$BA$83,4,FALSE),0)+IFERROR(VLOOKUP($MX114,$AV$2:$BA$83,4,FALSE),0)+IFERROR(VLOOKUP($MY114,$AV$2:$BA$83,4,FALSE),0)</f>
        <v/>
      </c>
      <c r="OB114" s="155">
        <f>IFERROR(VLOOKUP($MV114,$AV$2:$BA$83,6,FALSE),0)+IFERROR(VLOOKUP($MW114,$AV$2:$BA$83,6,FALSE),0)+IFERROR(VLOOKUP($MX114,$AV$2:$BA$83,6,FALSE),0)+IFERROR(VLOOKUP($MY114,$AV$2:$BA$83,6,FALSE),0)</f>
        <v/>
      </c>
      <c r="OC114" s="155">
        <f>TEXTJOIN(", ",TRUE,IF(IFERROR(VLOOKUP($MV114,$AV$2:$BA$83,5,FALSE),0)=1,$MV114,""),IF(IFERROR(VLOOKUP($MW114,$AV$2:$BA$83,5,FALSE),0)=1,$MW114,""),IF(IFERROR(VLOOKUP($MX114,$AV$2:$BA$83,5,FALSE),0)=1,$MX114,""),IF(IFERROR(VLOOKUP($MY114,$AV$2:$BA$83,5,FALSE),0)=1,$MY114,""))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MIN($OW114,$OU114-IF($NQ114=0,0,INDEX($I$2:$N$8,MAX(1,$MQ114),$NQ114)))</f>
        <v/>
      </c>
      <c r="OY114" s="155">
        <f>$OW114-$OX114</f>
        <v/>
      </c>
      <c r="OZ114" s="155">
        <f>IF($MQ114=0,0,INDEX($P$2:$P$8,MAX(1,$MQ114)))</f>
        <v/>
      </c>
      <c r="PA114" s="155">
        <f>$OZ114-$OU114+$OX114</f>
        <v/>
      </c>
      <c r="PB114" s="155">
        <f>IF($MQ114=0,MAX(0,$NE114-IF(AND($OS114&gt;0,COUNTIF($MZ114:$NA114,"?*")=0),1,0)),MAX(0,$PA114))</f>
        <v/>
      </c>
      <c r="PC114" s="155">
        <f>IF($MQ114=0,0,(IF(COUNTIF($MV114:$MY114,"Salto")&gt;0,1,0)+IF(COUNTIF($MV114:$MY114,"Queima")&gt;0,1,0)+IF(COUNTIF($MV114:$MY114,"Estilhaço")&gt;0,1,0))*FLOOR($PB114/2,1))</f>
        <v/>
      </c>
      <c r="PD114" s="155">
        <f>MAX(0,2-SUMPRODUCT($OK114:$OP114,$I$2:$N$2)+MIN(2,$OQ114*1+$OR114*1,SUMPRODUCT($OK114:$OP114,$I$2:$N$2)-IF($NQ114=0,0,INDEX($I$2:$N$2,1,$NQ114))))</f>
        <v/>
      </c>
      <c r="PE114" s="155">
        <f>MAX(0,4-SUMPRODUCT($OK114:$OP114,$I$3:$N$3)+MIN(4,$OQ114*1+$OR114*2,SUMPRODUCT($OK114:$OP114,$I$3:$N$3)-IF($NQ114=0,0,INDEX($I$3:$N$3,1,$NQ114))))</f>
        <v/>
      </c>
      <c r="PF114" s="155">
        <f>MAX(0,6-SUMPRODUCT($OK114:$OP114,$I$4:$N$4)+MIN(6,$OQ114*2+$OR114*3,SUMPRODUCT($OK114:$OP114,$I$4:$N$4)-IF($NQ114=0,0,INDEX($I$4:$N$4,1,$NQ114))))</f>
        <v/>
      </c>
      <c r="PG114" s="155">
        <f>MAX(0,9-SUMPRODUCT($OK114:$OP114,$I$5:$N$5)+MIN(8,$OQ114*2+$OR114*4,SUMPRODUCT($OK114:$OP114,$I$5:$N$5)-IF($NQ114=0,0,INDEX($I$5:$N$5,1,$NQ114))))</f>
        <v/>
      </c>
      <c r="PH114" s="155">
        <f>MAX(0,11-SUMPRODUCT($OK114:$OP114,$I$6:$N$6)+MIN(10,$OQ114*3+$OR114*5,SUMPRODUCT($OK114:$OP114,$I$6:$N$6)-IF($NQ114=0,0,INDEX($I$6:$N$6,1,$NQ114))))</f>
        <v/>
      </c>
      <c r="PI114" s="155">
        <f>MAX(0,13-SUMPRODUCT($OK114:$OP114,$I$7:$N$7)+MIN(12,$OQ114*3+$OR114*6,SUMPRODUCT($OK114:$OP114,$I$7:$N$7)-IF($NQ114=0,0,INDEX($I$7:$N$7,1,$NQ114))))</f>
        <v/>
      </c>
      <c r="PJ114" s="155">
        <f>MAX(0,16-SUMPRODUCT($OK114:$OP114,$I$8:$N$8)+MIN(14,$OQ114*4+$OR114*7,SUMPRODUCT($OK114:$OP114,$I$8:$N$8)-IF($NQ114=0,0,INDEX($I$8:$N$8,1,$NQ114))))</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Melhoria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IFERROR(VLOOKUP($MV115,$AV$2:$BA$83,2,FALSE),"")</f>
        <v/>
      </c>
      <c r="NJ115" s="155">
        <f>IFERROR(VLOOKUP($MW115,$AV$2:$BA$83,2,FALSE),"")</f>
        <v/>
      </c>
      <c r="NK115" s="155">
        <f>IFERROR(VLOOKUP($MX115,$AV$2:$BA$83,2,FALSE),"")</f>
        <v/>
      </c>
      <c r="NL115" s="155">
        <f>IFERROR(VLOOKUP($MY115,$AV$2:$BA$83,2,FALSE),"")</f>
        <v/>
      </c>
      <c r="NM115" s="155">
        <f>IFERROR(VLOOKUP($MV115,$AV$2:$BA$83,3,FALSE),0)</f>
        <v/>
      </c>
      <c r="NN115" s="155">
        <f>IFERROR(VLOOKUP($MW115,$AV$2:$BA$83,3,FALSE),0)</f>
        <v/>
      </c>
      <c r="NO115" s="155">
        <f>IFERROR(VLOOKUP($MX115,$AV$2:$BA$83,3,FALSE),0)</f>
        <v/>
      </c>
      <c r="NP115" s="155">
        <f>IFERROR(VLOOKUP($MY115,$AV$2:$BA$83,3,FALSE),0)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IFERROR(VLOOKUP($MV115,$AV$2:$BA$83,4,FALSE),0)+IFERROR(VLOOKUP($MW115,$AV$2:$BA$83,4,FALSE),0)+IFERROR(VLOOKUP($MX115,$AV$2:$BA$83,4,FALSE),0)+IFERROR(VLOOKUP($MY115,$AV$2:$BA$83,4,FALSE),0)</f>
        <v/>
      </c>
      <c r="OB115" s="155">
        <f>IFERROR(VLOOKUP($MV115,$AV$2:$BA$83,6,FALSE),0)+IFERROR(VLOOKUP($MW115,$AV$2:$BA$83,6,FALSE),0)+IFERROR(VLOOKUP($MX115,$AV$2:$BA$83,6,FALSE),0)+IFERROR(VLOOKUP($MY115,$AV$2:$BA$83,6,FALSE),0)</f>
        <v/>
      </c>
      <c r="OC115" s="155">
        <f>TEXTJOIN(", ",TRUE,IF(IFERROR(VLOOKUP($MV115,$AV$2:$BA$83,5,FALSE),0)=1,$MV115,""),IF(IFERROR(VLOOKUP($MW115,$AV$2:$BA$83,5,FALSE),0)=1,$MW115,""),IF(IFERROR(VLOOKUP($MX115,$AV$2:$BA$83,5,FALSE),0)=1,$MX115,""),IF(IFERROR(VLOOKUP($MY115,$AV$2:$BA$83,5,FALSE),0)=1,$MY115,""))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MIN($OW115,$OU115-IF($NQ115=0,0,INDEX($I$2:$N$8,MAX(1,$MQ115),$NQ115)))</f>
        <v/>
      </c>
      <c r="OY115" s="155">
        <f>$OW115-$OX115</f>
        <v/>
      </c>
      <c r="OZ115" s="155">
        <f>IF($MQ115=0,0,INDEX($P$2:$P$8,MAX(1,$MQ115)))</f>
        <v/>
      </c>
      <c r="PA115" s="155">
        <f>$OZ115-$OU115+$OX115</f>
        <v/>
      </c>
      <c r="PB115" s="155">
        <f>IF($MQ115=0,MAX(0,$NE115-IF(AND($OS115&gt;0,COUNTIF($MZ115:$NA115,"?*")=0),1,0)),MAX(0,$PA115))</f>
        <v/>
      </c>
      <c r="PC115" s="155">
        <f>IF($MQ115=0,0,(IF(COUNTIF($MV115:$MY115,"Salto")&gt;0,1,0)+IF(COUNTIF($MV115:$MY115,"Queima")&gt;0,1,0)+IF(COUNTIF($MV115:$MY115,"Estilhaço")&gt;0,1,0))*FLOOR($PB115/2,1))</f>
        <v/>
      </c>
      <c r="PD115" s="155">
        <f>MAX(0,2-SUMPRODUCT($OK115:$OP115,$I$2:$N$2)+MIN(2,$OQ115*1+$OR115*1,SUMPRODUCT($OK115:$OP115,$I$2:$N$2)-IF($NQ115=0,0,INDEX($I$2:$N$2,1,$NQ115))))</f>
        <v/>
      </c>
      <c r="PE115" s="155">
        <f>MAX(0,4-SUMPRODUCT($OK115:$OP115,$I$3:$N$3)+MIN(4,$OQ115*1+$OR115*2,SUMPRODUCT($OK115:$OP115,$I$3:$N$3)-IF($NQ115=0,0,INDEX($I$3:$N$3,1,$NQ115))))</f>
        <v/>
      </c>
      <c r="PF115" s="155">
        <f>MAX(0,6-SUMPRODUCT($OK115:$OP115,$I$4:$N$4)+MIN(6,$OQ115*2+$OR115*3,SUMPRODUCT($OK115:$OP115,$I$4:$N$4)-IF($NQ115=0,0,INDEX($I$4:$N$4,1,$NQ115))))</f>
        <v/>
      </c>
      <c r="PG115" s="155">
        <f>MAX(0,9-SUMPRODUCT($OK115:$OP115,$I$5:$N$5)+MIN(8,$OQ115*2+$OR115*4,SUMPRODUCT($OK115:$OP115,$I$5:$N$5)-IF($NQ115=0,0,INDEX($I$5:$N$5,1,$NQ115))))</f>
        <v/>
      </c>
      <c r="PH115" s="155">
        <f>MAX(0,11-SUMPRODUCT($OK115:$OP115,$I$6:$N$6)+MIN(10,$OQ115*3+$OR115*5,SUMPRODUCT($OK115:$OP115,$I$6:$N$6)-IF($NQ115=0,0,INDEX($I$6:$N$6,1,$NQ115))))</f>
        <v/>
      </c>
      <c r="PI115" s="155">
        <f>MAX(0,13-SUMPRODUCT($OK115:$OP115,$I$7:$N$7)+MIN(12,$OQ115*3+$OR115*6,SUMPRODUCT($OK115:$OP115,$I$7:$N$7)-IF($NQ115=0,0,INDEX($I$7:$N$7,1,$NQ115))))</f>
        <v/>
      </c>
      <c r="PJ115" s="155">
        <f>MAX(0,16-SUMPRODUCT($OK115:$OP115,$I$8:$N$8)+MIN(14,$OQ115*4+$OR115*7,SUMPRODUCT($OK115:$OP115,$I$8:$N$8)-IF($NQ115=0,0,INDEX($I$8:$N$8,1,$NQ115))))</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Melhoria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IFERROR(VLOOKUP($MV116,$AV$2:$BA$83,2,FALSE),"")</f>
        <v/>
      </c>
      <c r="NJ116" s="155">
        <f>IFERROR(VLOOKUP($MW116,$AV$2:$BA$83,2,FALSE),"")</f>
        <v/>
      </c>
      <c r="NK116" s="155">
        <f>IFERROR(VLOOKUP($MX116,$AV$2:$BA$83,2,FALSE),"")</f>
        <v/>
      </c>
      <c r="NL116" s="155">
        <f>IFERROR(VLOOKUP($MY116,$AV$2:$BA$83,2,FALSE),"")</f>
        <v/>
      </c>
      <c r="NM116" s="155">
        <f>IFERROR(VLOOKUP($MV116,$AV$2:$BA$83,3,FALSE),0)</f>
        <v/>
      </c>
      <c r="NN116" s="155">
        <f>IFERROR(VLOOKUP($MW116,$AV$2:$BA$83,3,FALSE),0)</f>
        <v/>
      </c>
      <c r="NO116" s="155">
        <f>IFERROR(VLOOKUP($MX116,$AV$2:$BA$83,3,FALSE),0)</f>
        <v/>
      </c>
      <c r="NP116" s="155">
        <f>IFERROR(VLOOKUP($MY116,$AV$2:$BA$83,3,FALSE),0)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IFERROR(VLOOKUP($MV116,$AV$2:$BA$83,4,FALSE),0)+IFERROR(VLOOKUP($MW116,$AV$2:$BA$83,4,FALSE),0)+IFERROR(VLOOKUP($MX116,$AV$2:$BA$83,4,FALSE),0)+IFERROR(VLOOKUP($MY116,$AV$2:$BA$83,4,FALSE),0)</f>
        <v/>
      </c>
      <c r="OB116" s="155">
        <f>IFERROR(VLOOKUP($MV116,$AV$2:$BA$83,6,FALSE),0)+IFERROR(VLOOKUP($MW116,$AV$2:$BA$83,6,FALSE),0)+IFERROR(VLOOKUP($MX116,$AV$2:$BA$83,6,FALSE),0)+IFERROR(VLOOKUP($MY116,$AV$2:$BA$83,6,FALSE),0)</f>
        <v/>
      </c>
      <c r="OC116" s="155">
        <f>TEXTJOIN(", ",TRUE,IF(IFERROR(VLOOKUP($MV116,$AV$2:$BA$83,5,FALSE),0)=1,$MV116,""),IF(IFERROR(VLOOKUP($MW116,$AV$2:$BA$83,5,FALSE),0)=1,$MW116,""),IF(IFERROR(VLOOKUP($MX116,$AV$2:$BA$83,5,FALSE),0)=1,$MX116,""),IF(IFERROR(VLOOKUP($MY116,$AV$2:$BA$83,5,FALSE),0)=1,$MY116,""))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MIN($OW116,$OU116-IF($NQ116=0,0,INDEX($I$2:$N$8,MAX(1,$MQ116),$NQ116)))</f>
        <v/>
      </c>
      <c r="OY116" s="155">
        <f>$OW116-$OX116</f>
        <v/>
      </c>
      <c r="OZ116" s="155">
        <f>IF($MQ116=0,0,INDEX($P$2:$P$8,MAX(1,$MQ116)))</f>
        <v/>
      </c>
      <c r="PA116" s="155">
        <f>$OZ116-$OU116+$OX116</f>
        <v/>
      </c>
      <c r="PB116" s="155">
        <f>IF($MQ116=0,MAX(0,$NE116-IF(AND($OS116&gt;0,COUNTIF($MZ116:$NA116,"?*")=0),1,0)),MAX(0,$PA116))</f>
        <v/>
      </c>
      <c r="PC116" s="155">
        <f>IF($MQ116=0,0,(IF(COUNTIF($MV116:$MY116,"Salto")&gt;0,1,0)+IF(COUNTIF($MV116:$MY116,"Queima")&gt;0,1,0)+IF(COUNTIF($MV116:$MY116,"Estilhaço")&gt;0,1,0))*FLOOR($PB116/2,1))</f>
        <v/>
      </c>
      <c r="PD116" s="155">
        <f>MAX(0,2-SUMPRODUCT($OK116:$OP116,$I$2:$N$2)+MIN(2,$OQ116*1+$OR116*1,SUMPRODUCT($OK116:$OP116,$I$2:$N$2)-IF($NQ116=0,0,INDEX($I$2:$N$2,1,$NQ116))))</f>
        <v/>
      </c>
      <c r="PE116" s="155">
        <f>MAX(0,4-SUMPRODUCT($OK116:$OP116,$I$3:$N$3)+MIN(4,$OQ116*1+$OR116*2,SUMPRODUCT($OK116:$OP116,$I$3:$N$3)-IF($NQ116=0,0,INDEX($I$3:$N$3,1,$NQ116))))</f>
        <v/>
      </c>
      <c r="PF116" s="155">
        <f>MAX(0,6-SUMPRODUCT($OK116:$OP116,$I$4:$N$4)+MIN(6,$OQ116*2+$OR116*3,SUMPRODUCT($OK116:$OP116,$I$4:$N$4)-IF($NQ116=0,0,INDEX($I$4:$N$4,1,$NQ116))))</f>
        <v/>
      </c>
      <c r="PG116" s="155">
        <f>MAX(0,9-SUMPRODUCT($OK116:$OP116,$I$5:$N$5)+MIN(8,$OQ116*2+$OR116*4,SUMPRODUCT($OK116:$OP116,$I$5:$N$5)-IF($NQ116=0,0,INDEX($I$5:$N$5,1,$NQ116))))</f>
        <v/>
      </c>
      <c r="PH116" s="155">
        <f>MAX(0,11-SUMPRODUCT($OK116:$OP116,$I$6:$N$6)+MIN(10,$OQ116*3+$OR116*5,SUMPRODUCT($OK116:$OP116,$I$6:$N$6)-IF($NQ116=0,0,INDEX($I$6:$N$6,1,$NQ116))))</f>
        <v/>
      </c>
      <c r="PI116" s="155">
        <f>MAX(0,13-SUMPRODUCT($OK116:$OP116,$I$7:$N$7)+MIN(12,$OQ116*3+$OR116*6,SUMPRODUCT($OK116:$OP116,$I$7:$N$7)-IF($NQ116=0,0,INDEX($I$7:$N$7,1,$NQ116))))</f>
        <v/>
      </c>
      <c r="PJ116" s="155">
        <f>MAX(0,16-SUMPRODUCT($OK116:$OP116,$I$8:$N$8)+MIN(14,$OQ116*4+$OR116*7,SUMPRODUCT($OK116:$OP116,$I$8:$N$8)-IF($NQ116=0,0,INDEX($I$8:$N$8,1,$NQ116))))</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Melhoria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IFERROR(VLOOKUP($MV117,$AV$2:$BA$83,2,FALSE),"")</f>
        <v/>
      </c>
      <c r="NJ117" s="155">
        <f>IFERROR(VLOOKUP($MW117,$AV$2:$BA$83,2,FALSE),"")</f>
        <v/>
      </c>
      <c r="NK117" s="155">
        <f>IFERROR(VLOOKUP($MX117,$AV$2:$BA$83,2,FALSE),"")</f>
        <v/>
      </c>
      <c r="NL117" s="155">
        <f>IFERROR(VLOOKUP($MY117,$AV$2:$BA$83,2,FALSE),"")</f>
        <v/>
      </c>
      <c r="NM117" s="155">
        <f>IFERROR(VLOOKUP($MV117,$AV$2:$BA$83,3,FALSE),0)</f>
        <v/>
      </c>
      <c r="NN117" s="155">
        <f>IFERROR(VLOOKUP($MW117,$AV$2:$BA$83,3,FALSE),0)</f>
        <v/>
      </c>
      <c r="NO117" s="155">
        <f>IFERROR(VLOOKUP($MX117,$AV$2:$BA$83,3,FALSE),0)</f>
        <v/>
      </c>
      <c r="NP117" s="155">
        <f>IFERROR(VLOOKUP($MY117,$AV$2:$BA$83,3,FALSE),0)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IFERROR(VLOOKUP($MV117,$AV$2:$BA$83,4,FALSE),0)+IFERROR(VLOOKUP($MW117,$AV$2:$BA$83,4,FALSE),0)+IFERROR(VLOOKUP($MX117,$AV$2:$BA$83,4,FALSE),0)+IFERROR(VLOOKUP($MY117,$AV$2:$BA$83,4,FALSE),0)</f>
        <v/>
      </c>
      <c r="OB117" s="155">
        <f>IFERROR(VLOOKUP($MV117,$AV$2:$BA$83,6,FALSE),0)+IFERROR(VLOOKUP($MW117,$AV$2:$BA$83,6,FALSE),0)+IFERROR(VLOOKUP($MX117,$AV$2:$BA$83,6,FALSE),0)+IFERROR(VLOOKUP($MY117,$AV$2:$BA$83,6,FALSE),0)</f>
        <v/>
      </c>
      <c r="OC117" s="155">
        <f>TEXTJOIN(", ",TRUE,IF(IFERROR(VLOOKUP($MV117,$AV$2:$BA$83,5,FALSE),0)=1,$MV117,""),IF(IFERROR(VLOOKUP($MW117,$AV$2:$BA$83,5,FALSE),0)=1,$MW117,""),IF(IFERROR(VLOOKUP($MX117,$AV$2:$BA$83,5,FALSE),0)=1,$MX117,""),IF(IFERROR(VLOOKUP($MY117,$AV$2:$BA$83,5,FALSE),0)=1,$MY117,""))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MIN($OW117,$OU117-IF($NQ117=0,0,INDEX($I$2:$N$8,MAX(1,$MQ117),$NQ117)))</f>
        <v/>
      </c>
      <c r="OY117" s="155">
        <f>$OW117-$OX117</f>
        <v/>
      </c>
      <c r="OZ117" s="155">
        <f>IF($MQ117=0,0,INDEX($P$2:$P$8,MAX(1,$MQ117)))</f>
        <v/>
      </c>
      <c r="PA117" s="155">
        <f>$OZ117-$OU117+$OX117</f>
        <v/>
      </c>
      <c r="PB117" s="155">
        <f>IF($MQ117=0,MAX(0,$NE117-IF(AND($OS117&gt;0,COUNTIF($MZ117:$NA117,"?*")=0),1,0)),MAX(0,$PA117))</f>
        <v/>
      </c>
      <c r="PC117" s="155">
        <f>IF($MQ117=0,0,(IF(COUNTIF($MV117:$MY117,"Salto")&gt;0,1,0)+IF(COUNTIF($MV117:$MY117,"Queima")&gt;0,1,0)+IF(COUNTIF($MV117:$MY117,"Estilhaço")&gt;0,1,0))*FLOOR($PB117/2,1))</f>
        <v/>
      </c>
      <c r="PD117" s="155">
        <f>MAX(0,2-SUMPRODUCT($OK117:$OP117,$I$2:$N$2)+MIN(2,$OQ117*1+$OR117*1,SUMPRODUCT($OK117:$OP117,$I$2:$N$2)-IF($NQ117=0,0,INDEX($I$2:$N$2,1,$NQ117))))</f>
        <v/>
      </c>
      <c r="PE117" s="155">
        <f>MAX(0,4-SUMPRODUCT($OK117:$OP117,$I$3:$N$3)+MIN(4,$OQ117*1+$OR117*2,SUMPRODUCT($OK117:$OP117,$I$3:$N$3)-IF($NQ117=0,0,INDEX($I$3:$N$3,1,$NQ117))))</f>
        <v/>
      </c>
      <c r="PF117" s="155">
        <f>MAX(0,6-SUMPRODUCT($OK117:$OP117,$I$4:$N$4)+MIN(6,$OQ117*2+$OR117*3,SUMPRODUCT($OK117:$OP117,$I$4:$N$4)-IF($NQ117=0,0,INDEX($I$4:$N$4,1,$NQ117))))</f>
        <v/>
      </c>
      <c r="PG117" s="155">
        <f>MAX(0,9-SUMPRODUCT($OK117:$OP117,$I$5:$N$5)+MIN(8,$OQ117*2+$OR117*4,SUMPRODUCT($OK117:$OP117,$I$5:$N$5)-IF($NQ117=0,0,INDEX($I$5:$N$5,1,$NQ117))))</f>
        <v/>
      </c>
      <c r="PH117" s="155">
        <f>MAX(0,11-SUMPRODUCT($OK117:$OP117,$I$6:$N$6)+MIN(10,$OQ117*3+$OR117*5,SUMPRODUCT($OK117:$OP117,$I$6:$N$6)-IF($NQ117=0,0,INDEX($I$6:$N$6,1,$NQ117))))</f>
        <v/>
      </c>
      <c r="PI117" s="155">
        <f>MAX(0,13-SUMPRODUCT($OK117:$OP117,$I$7:$N$7)+MIN(12,$OQ117*3+$OR117*6,SUMPRODUCT($OK117:$OP117,$I$7:$N$7)-IF($NQ117=0,0,INDEX($I$7:$N$7,1,$NQ117))))</f>
        <v/>
      </c>
      <c r="PJ117" s="155">
        <f>MAX(0,16-SUMPRODUCT($OK117:$OP117,$I$8:$N$8)+MIN(14,$OQ117*4+$OR117*7,SUMPRODUCT($OK117:$OP117,$I$8:$N$8)-IF($NQ117=0,0,INDEX($I$8:$N$8,1,$NQ117))))</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Melhoria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IFERROR(VLOOKUP($MV118,$AV$2:$BA$83,2,FALSE),"")</f>
        <v/>
      </c>
      <c r="NJ118" s="155">
        <f>IFERROR(VLOOKUP($MW118,$AV$2:$BA$83,2,FALSE),"")</f>
        <v/>
      </c>
      <c r="NK118" s="155">
        <f>IFERROR(VLOOKUP($MX118,$AV$2:$BA$83,2,FALSE),"")</f>
        <v/>
      </c>
      <c r="NL118" s="155">
        <f>IFERROR(VLOOKUP($MY118,$AV$2:$BA$83,2,FALSE),"")</f>
        <v/>
      </c>
      <c r="NM118" s="155">
        <f>IFERROR(VLOOKUP($MV118,$AV$2:$BA$83,3,FALSE),0)</f>
        <v/>
      </c>
      <c r="NN118" s="155">
        <f>IFERROR(VLOOKUP($MW118,$AV$2:$BA$83,3,FALSE),0)</f>
        <v/>
      </c>
      <c r="NO118" s="155">
        <f>IFERROR(VLOOKUP($MX118,$AV$2:$BA$83,3,FALSE),0)</f>
        <v/>
      </c>
      <c r="NP118" s="155">
        <f>IFERROR(VLOOKUP($MY118,$AV$2:$BA$83,3,FALSE),0)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IFERROR(VLOOKUP($MV118,$AV$2:$BA$83,4,FALSE),0)+IFERROR(VLOOKUP($MW118,$AV$2:$BA$83,4,FALSE),0)+IFERROR(VLOOKUP($MX118,$AV$2:$BA$83,4,FALSE),0)+IFERROR(VLOOKUP($MY118,$AV$2:$BA$83,4,FALSE),0)</f>
        <v/>
      </c>
      <c r="OB118" s="155">
        <f>IFERROR(VLOOKUP($MV118,$AV$2:$BA$83,6,FALSE),0)+IFERROR(VLOOKUP($MW118,$AV$2:$BA$83,6,FALSE),0)+IFERROR(VLOOKUP($MX118,$AV$2:$BA$83,6,FALSE),0)+IFERROR(VLOOKUP($MY118,$AV$2:$BA$83,6,FALSE),0)</f>
        <v/>
      </c>
      <c r="OC118" s="155">
        <f>TEXTJOIN(", ",TRUE,IF(IFERROR(VLOOKUP($MV118,$AV$2:$BA$83,5,FALSE),0)=1,$MV118,""),IF(IFERROR(VLOOKUP($MW118,$AV$2:$BA$83,5,FALSE),0)=1,$MW118,""),IF(IFERROR(VLOOKUP($MX118,$AV$2:$BA$83,5,FALSE),0)=1,$MX118,""),IF(IFERROR(VLOOKUP($MY118,$AV$2:$BA$83,5,FALSE),0)=1,$MY118,""))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MIN($OW118,$OU118-IF($NQ118=0,0,INDEX($I$2:$N$8,MAX(1,$MQ118),$NQ118)))</f>
        <v/>
      </c>
      <c r="OY118" s="155">
        <f>$OW118-$OX118</f>
        <v/>
      </c>
      <c r="OZ118" s="155">
        <f>IF($MQ118=0,0,INDEX($P$2:$P$8,MAX(1,$MQ118)))</f>
        <v/>
      </c>
      <c r="PA118" s="155">
        <f>$OZ118-$OU118+$OX118</f>
        <v/>
      </c>
      <c r="PB118" s="155">
        <f>IF($MQ118=0,MAX(0,$NE118-IF(AND($OS118&gt;0,COUNTIF($MZ118:$NA118,"?*")=0),1,0)),MAX(0,$PA118))</f>
        <v/>
      </c>
      <c r="PC118" s="155">
        <f>IF($MQ118=0,0,(IF(COUNTIF($MV118:$MY118,"Salto")&gt;0,1,0)+IF(COUNTIF($MV118:$MY118,"Queima")&gt;0,1,0)+IF(COUNTIF($MV118:$MY118,"Estilhaço")&gt;0,1,0))*FLOOR($PB118/2,1))</f>
        <v/>
      </c>
      <c r="PD118" s="155">
        <f>MAX(0,2-SUMPRODUCT($OK118:$OP118,$I$2:$N$2)+MIN(2,$OQ118*1+$OR118*1,SUMPRODUCT($OK118:$OP118,$I$2:$N$2)-IF($NQ118=0,0,INDEX($I$2:$N$2,1,$NQ118))))</f>
        <v/>
      </c>
      <c r="PE118" s="155">
        <f>MAX(0,4-SUMPRODUCT($OK118:$OP118,$I$3:$N$3)+MIN(4,$OQ118*1+$OR118*2,SUMPRODUCT($OK118:$OP118,$I$3:$N$3)-IF($NQ118=0,0,INDEX($I$3:$N$3,1,$NQ118))))</f>
        <v/>
      </c>
      <c r="PF118" s="155">
        <f>MAX(0,6-SUMPRODUCT($OK118:$OP118,$I$4:$N$4)+MIN(6,$OQ118*2+$OR118*3,SUMPRODUCT($OK118:$OP118,$I$4:$N$4)-IF($NQ118=0,0,INDEX($I$4:$N$4,1,$NQ118))))</f>
        <v/>
      </c>
      <c r="PG118" s="155">
        <f>MAX(0,9-SUMPRODUCT($OK118:$OP118,$I$5:$N$5)+MIN(8,$OQ118*2+$OR118*4,SUMPRODUCT($OK118:$OP118,$I$5:$N$5)-IF($NQ118=0,0,INDEX($I$5:$N$5,1,$NQ118))))</f>
        <v/>
      </c>
      <c r="PH118" s="155">
        <f>MAX(0,11-SUMPRODUCT($OK118:$OP118,$I$6:$N$6)+MIN(10,$OQ118*3+$OR118*5,SUMPRODUCT($OK118:$OP118,$I$6:$N$6)-IF($NQ118=0,0,INDEX($I$6:$N$6,1,$NQ118))))</f>
        <v/>
      </c>
      <c r="PI118" s="155">
        <f>MAX(0,13-SUMPRODUCT($OK118:$OP118,$I$7:$N$7)+MIN(12,$OQ118*3+$OR118*6,SUMPRODUCT($OK118:$OP118,$I$7:$N$7)-IF($NQ118=0,0,INDEX($I$7:$N$7,1,$NQ118))))</f>
        <v/>
      </c>
      <c r="PJ118" s="155">
        <f>MAX(0,16-SUMPRODUCT($OK118:$OP118,$I$8:$N$8)+MIN(14,$OQ118*4+$OR118*7,SUMPRODUCT($OK118:$OP118,$I$8:$N$8)-IF($NQ118=0,0,INDEX($I$8:$N$8,1,$NQ118))))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Melhoria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IFERROR(VLOOKUP($MV119,$AV$2:$BA$83,2,FALSE),"")</f>
        <v/>
      </c>
      <c r="NJ119" s="155">
        <f>IFERROR(VLOOKUP($MW119,$AV$2:$BA$83,2,FALSE),"")</f>
        <v/>
      </c>
      <c r="NK119" s="155">
        <f>IFERROR(VLOOKUP($MX119,$AV$2:$BA$83,2,FALSE),"")</f>
        <v/>
      </c>
      <c r="NL119" s="155">
        <f>IFERROR(VLOOKUP($MY119,$AV$2:$BA$83,2,FALSE),"")</f>
        <v/>
      </c>
      <c r="NM119" s="155">
        <f>IFERROR(VLOOKUP($MV119,$AV$2:$BA$83,3,FALSE),0)</f>
        <v/>
      </c>
      <c r="NN119" s="155">
        <f>IFERROR(VLOOKUP($MW119,$AV$2:$BA$83,3,FALSE),0)</f>
        <v/>
      </c>
      <c r="NO119" s="155">
        <f>IFERROR(VLOOKUP($MX119,$AV$2:$BA$83,3,FALSE),0)</f>
        <v/>
      </c>
      <c r="NP119" s="155">
        <f>IFERROR(VLOOKUP($MY119,$AV$2:$BA$83,3,FALSE),0)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IFERROR(VLOOKUP($MV119,$AV$2:$BA$83,4,FALSE),0)+IFERROR(VLOOKUP($MW119,$AV$2:$BA$83,4,FALSE),0)+IFERROR(VLOOKUP($MX119,$AV$2:$BA$83,4,FALSE),0)+IFERROR(VLOOKUP($MY119,$AV$2:$BA$83,4,FALSE),0)</f>
        <v/>
      </c>
      <c r="OB119" s="155">
        <f>IFERROR(VLOOKUP($MV119,$AV$2:$BA$83,6,FALSE),0)+IFERROR(VLOOKUP($MW119,$AV$2:$BA$83,6,FALSE),0)+IFERROR(VLOOKUP($MX119,$AV$2:$BA$83,6,FALSE),0)+IFERROR(VLOOKUP($MY119,$AV$2:$BA$83,6,FALSE),0)</f>
        <v/>
      </c>
      <c r="OC119" s="155">
        <f>TEXTJOIN(", ",TRUE,IF(IFERROR(VLOOKUP($MV119,$AV$2:$BA$83,5,FALSE),0)=1,$MV119,""),IF(IFERROR(VLOOKUP($MW119,$AV$2:$BA$83,5,FALSE),0)=1,$MW119,""),IF(IFERROR(VLOOKUP($MX119,$AV$2:$BA$83,5,FALSE),0)=1,$MX119,""),IF(IFERROR(VLOOKUP($MY119,$AV$2:$BA$83,5,FALSE),0)=1,$MY119,""))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MIN($OW119,$OU119-IF($NQ119=0,0,INDEX($I$2:$N$8,MAX(1,$MQ119),$NQ119)))</f>
        <v/>
      </c>
      <c r="OY119" s="155">
        <f>$OW119-$OX119</f>
        <v/>
      </c>
      <c r="OZ119" s="155">
        <f>IF($MQ119=0,0,INDEX($P$2:$P$8,MAX(1,$MQ119)))</f>
        <v/>
      </c>
      <c r="PA119" s="155">
        <f>$OZ119-$OU119+$OX119</f>
        <v/>
      </c>
      <c r="PB119" s="155">
        <f>IF($MQ119=0,MAX(0,$NE119-IF(AND($OS119&gt;0,COUNTIF($MZ119:$NA119,"?*")=0),1,0)),MAX(0,$PA119))</f>
        <v/>
      </c>
      <c r="PC119" s="155">
        <f>IF($MQ119=0,0,(IF(COUNTIF($MV119:$MY119,"Salto")&gt;0,1,0)+IF(COUNTIF($MV119:$MY119,"Queima")&gt;0,1,0)+IF(COUNTIF($MV119:$MY119,"Estilhaço")&gt;0,1,0))*FLOOR($PB119/2,1))</f>
        <v/>
      </c>
      <c r="PD119" s="155">
        <f>MAX(0,2-SUMPRODUCT($OK119:$OP119,$I$2:$N$2)+MIN(2,$OQ119*1+$OR119*1,SUMPRODUCT($OK119:$OP119,$I$2:$N$2)-IF($NQ119=0,0,INDEX($I$2:$N$2,1,$NQ119))))</f>
        <v/>
      </c>
      <c r="PE119" s="155">
        <f>MAX(0,4-SUMPRODUCT($OK119:$OP119,$I$3:$N$3)+MIN(4,$OQ119*1+$OR119*2,SUMPRODUCT($OK119:$OP119,$I$3:$N$3)-IF($NQ119=0,0,INDEX($I$3:$N$3,1,$NQ119))))</f>
        <v/>
      </c>
      <c r="PF119" s="155">
        <f>MAX(0,6-SUMPRODUCT($OK119:$OP119,$I$4:$N$4)+MIN(6,$OQ119*2+$OR119*3,SUMPRODUCT($OK119:$OP119,$I$4:$N$4)-IF($NQ119=0,0,INDEX($I$4:$N$4,1,$NQ119))))</f>
        <v/>
      </c>
      <c r="PG119" s="155">
        <f>MAX(0,9-SUMPRODUCT($OK119:$OP119,$I$5:$N$5)+MIN(8,$OQ119*2+$OR119*4,SUMPRODUCT($OK119:$OP119,$I$5:$N$5)-IF($NQ119=0,0,INDEX($I$5:$N$5,1,$NQ119))))</f>
        <v/>
      </c>
      <c r="PH119" s="155">
        <f>MAX(0,11-SUMPRODUCT($OK119:$OP119,$I$6:$N$6)+MIN(10,$OQ119*3+$OR119*5,SUMPRODUCT($OK119:$OP119,$I$6:$N$6)-IF($NQ119=0,0,INDEX($I$6:$N$6,1,$NQ119))))</f>
        <v/>
      </c>
      <c r="PI119" s="155">
        <f>MAX(0,13-SUMPRODUCT($OK119:$OP119,$I$7:$N$7)+MIN(12,$OQ119*3+$OR119*6,SUMPRODUCT($OK119:$OP119,$I$7:$N$7)-IF($NQ119=0,0,INDEX($I$7:$N$7,1,$NQ119))))</f>
        <v/>
      </c>
      <c r="PJ119" s="155">
        <f>MAX(0,16-SUMPRODUCT($OK119:$OP119,$I$8:$N$8)+MIN(14,$OQ119*4+$OR119*7,SUMPRODUCT($OK119:$OP119,$I$8:$N$8)-IF($NQ119=0,0,INDEX($I$8:$N$8,1,$NQ119))))</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Melhoria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IFERROR(VLOOKUP($MV120,$AV$2:$BA$83,2,FALSE),"")</f>
        <v/>
      </c>
      <c r="NJ120" s="155">
        <f>IFERROR(VLOOKUP($MW120,$AV$2:$BA$83,2,FALSE),"")</f>
        <v/>
      </c>
      <c r="NK120" s="155">
        <f>IFERROR(VLOOKUP($MX120,$AV$2:$BA$83,2,FALSE),"")</f>
        <v/>
      </c>
      <c r="NL120" s="155">
        <f>IFERROR(VLOOKUP($MY120,$AV$2:$BA$83,2,FALSE),"")</f>
        <v/>
      </c>
      <c r="NM120" s="155">
        <f>IFERROR(VLOOKUP($MV120,$AV$2:$BA$83,3,FALSE),0)</f>
        <v/>
      </c>
      <c r="NN120" s="155">
        <f>IFERROR(VLOOKUP($MW120,$AV$2:$BA$83,3,FALSE),0)</f>
        <v/>
      </c>
      <c r="NO120" s="155">
        <f>IFERROR(VLOOKUP($MX120,$AV$2:$BA$83,3,FALSE),0)</f>
        <v/>
      </c>
      <c r="NP120" s="155">
        <f>IFERROR(VLOOKUP($MY120,$AV$2:$BA$83,3,FALSE),0)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IFERROR(VLOOKUP($MV120,$AV$2:$BA$83,4,FALSE),0)+IFERROR(VLOOKUP($MW120,$AV$2:$BA$83,4,FALSE),0)+IFERROR(VLOOKUP($MX120,$AV$2:$BA$83,4,FALSE),0)+IFERROR(VLOOKUP($MY120,$AV$2:$BA$83,4,FALSE),0)</f>
        <v/>
      </c>
      <c r="OB120" s="155">
        <f>IFERROR(VLOOKUP($MV120,$AV$2:$BA$83,6,FALSE),0)+IFERROR(VLOOKUP($MW120,$AV$2:$BA$83,6,FALSE),0)+IFERROR(VLOOKUP($MX120,$AV$2:$BA$83,6,FALSE),0)+IFERROR(VLOOKUP($MY120,$AV$2:$BA$83,6,FALSE),0)</f>
        <v/>
      </c>
      <c r="OC120" s="155">
        <f>TEXTJOIN(", ",TRUE,IF(IFERROR(VLOOKUP($MV120,$AV$2:$BA$83,5,FALSE),0)=1,$MV120,""),IF(IFERROR(VLOOKUP($MW120,$AV$2:$BA$83,5,FALSE),0)=1,$MW120,""),IF(IFERROR(VLOOKUP($MX120,$AV$2:$BA$83,5,FALSE),0)=1,$MX120,""),IF(IFERROR(VLOOKUP($MY120,$AV$2:$BA$83,5,FALSE),0)=1,$MY120,""))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MIN($OW120,$OU120-IF($NQ120=0,0,INDEX($I$2:$N$8,MAX(1,$MQ120),$NQ120)))</f>
        <v/>
      </c>
      <c r="OY120" s="155">
        <f>$OW120-$OX120</f>
        <v/>
      </c>
      <c r="OZ120" s="155">
        <f>IF($MQ120=0,0,INDEX($P$2:$P$8,MAX(1,$MQ120)))</f>
        <v/>
      </c>
      <c r="PA120" s="155">
        <f>$OZ120-$OU120+$OX120</f>
        <v/>
      </c>
      <c r="PB120" s="155">
        <f>IF($MQ120=0,MAX(0,$NE120-IF(AND($OS120&gt;0,COUNTIF($MZ120:$NA120,"?*")=0),1,0)),MAX(0,$PA120))</f>
        <v/>
      </c>
      <c r="PC120" s="155">
        <f>IF($MQ120=0,0,(IF(COUNTIF($MV120:$MY120,"Salto")&gt;0,1,0)+IF(COUNTIF($MV120:$MY120,"Queima")&gt;0,1,0)+IF(COUNTIF($MV120:$MY120,"Estilhaço")&gt;0,1,0))*FLOOR($PB120/2,1))</f>
        <v/>
      </c>
      <c r="PD120" s="155">
        <f>MAX(0,2-SUMPRODUCT($OK120:$OP120,$I$2:$N$2)+MIN(2,$OQ120*1+$OR120*1,SUMPRODUCT($OK120:$OP120,$I$2:$N$2)-IF($NQ120=0,0,INDEX($I$2:$N$2,1,$NQ120))))</f>
        <v/>
      </c>
      <c r="PE120" s="155">
        <f>MAX(0,4-SUMPRODUCT($OK120:$OP120,$I$3:$N$3)+MIN(4,$OQ120*1+$OR120*2,SUMPRODUCT($OK120:$OP120,$I$3:$N$3)-IF($NQ120=0,0,INDEX($I$3:$N$3,1,$NQ120))))</f>
        <v/>
      </c>
      <c r="PF120" s="155">
        <f>MAX(0,6-SUMPRODUCT($OK120:$OP120,$I$4:$N$4)+MIN(6,$OQ120*2+$OR120*3,SUMPRODUCT($OK120:$OP120,$I$4:$N$4)-IF($NQ120=0,0,INDEX($I$4:$N$4,1,$NQ120))))</f>
        <v/>
      </c>
      <c r="PG120" s="155">
        <f>MAX(0,9-SUMPRODUCT($OK120:$OP120,$I$5:$N$5)+MIN(8,$OQ120*2+$OR120*4,SUMPRODUCT($OK120:$OP120,$I$5:$N$5)-IF($NQ120=0,0,INDEX($I$5:$N$5,1,$NQ120))))</f>
        <v/>
      </c>
      <c r="PH120" s="155">
        <f>MAX(0,11-SUMPRODUCT($OK120:$OP120,$I$6:$N$6)+MIN(10,$OQ120*3+$OR120*5,SUMPRODUCT($OK120:$OP120,$I$6:$N$6)-IF($NQ120=0,0,INDEX($I$6:$N$6,1,$NQ120))))</f>
        <v/>
      </c>
      <c r="PI120" s="155">
        <f>MAX(0,13-SUMPRODUCT($OK120:$OP120,$I$7:$N$7)+MIN(12,$OQ120*3+$OR120*6,SUMPRODUCT($OK120:$OP120,$I$7:$N$7)-IF($NQ120=0,0,INDEX($I$7:$N$7,1,$NQ120))))</f>
        <v/>
      </c>
      <c r="PJ120" s="155">
        <f>MAX(0,16-SUMPRODUCT($OK120:$OP120,$I$8:$N$8)+MIN(14,$OQ120*4+$OR120*7,SUMPRODUCT($OK120:$OP120,$I$8:$N$8)-IF($NQ120=0,0,INDEX($I$8:$N$8,1,$NQ120))))</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Melhoria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IFERROR(VLOOKUP($MV121,$AV$2:$BA$83,2,FALSE),"")</f>
        <v/>
      </c>
      <c r="NJ121" s="155">
        <f>IFERROR(VLOOKUP($MW121,$AV$2:$BA$83,2,FALSE),"")</f>
        <v/>
      </c>
      <c r="NK121" s="155">
        <f>IFERROR(VLOOKUP($MX121,$AV$2:$BA$83,2,FALSE),"")</f>
        <v/>
      </c>
      <c r="NL121" s="155">
        <f>IFERROR(VLOOKUP($MY121,$AV$2:$BA$83,2,FALSE),"")</f>
        <v/>
      </c>
      <c r="NM121" s="155">
        <f>IFERROR(VLOOKUP($MV121,$AV$2:$BA$83,3,FALSE),0)</f>
        <v/>
      </c>
      <c r="NN121" s="155">
        <f>IFERROR(VLOOKUP($MW121,$AV$2:$BA$83,3,FALSE),0)</f>
        <v/>
      </c>
      <c r="NO121" s="155">
        <f>IFERROR(VLOOKUP($MX121,$AV$2:$BA$83,3,FALSE),0)</f>
        <v/>
      </c>
      <c r="NP121" s="155">
        <f>IFERROR(VLOOKUP($MY121,$AV$2:$BA$83,3,FALSE),0)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IFERROR(VLOOKUP($MV121,$AV$2:$BA$83,4,FALSE),0)+IFERROR(VLOOKUP($MW121,$AV$2:$BA$83,4,FALSE),0)+IFERROR(VLOOKUP($MX121,$AV$2:$BA$83,4,FALSE),0)+IFERROR(VLOOKUP($MY121,$AV$2:$BA$83,4,FALSE),0)</f>
        <v/>
      </c>
      <c r="OB121" s="155">
        <f>IFERROR(VLOOKUP($MV121,$AV$2:$BA$83,6,FALSE),0)+IFERROR(VLOOKUP($MW121,$AV$2:$BA$83,6,FALSE),0)+IFERROR(VLOOKUP($MX121,$AV$2:$BA$83,6,FALSE),0)+IFERROR(VLOOKUP($MY121,$AV$2:$BA$83,6,FALSE),0)</f>
        <v/>
      </c>
      <c r="OC121" s="155">
        <f>TEXTJOIN(", ",TRUE,IF(IFERROR(VLOOKUP($MV121,$AV$2:$BA$83,5,FALSE),0)=1,$MV121,""),IF(IFERROR(VLOOKUP($MW121,$AV$2:$BA$83,5,FALSE),0)=1,$MW121,""),IF(IFERROR(VLOOKUP($MX121,$AV$2:$BA$83,5,FALSE),0)=1,$MX121,""),IF(IFERROR(VLOOKUP($MY121,$AV$2:$BA$83,5,FALSE),0)=1,$MY121,""))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MIN($OW121,$OU121-IF($NQ121=0,0,INDEX($I$2:$N$8,MAX(1,$MQ121),$NQ121)))</f>
        <v/>
      </c>
      <c r="OY121" s="155">
        <f>$OW121-$OX121</f>
        <v/>
      </c>
      <c r="OZ121" s="155">
        <f>IF($MQ121=0,0,INDEX($P$2:$P$8,MAX(1,$MQ121)))</f>
        <v/>
      </c>
      <c r="PA121" s="155">
        <f>$OZ121-$OU121+$OX121</f>
        <v/>
      </c>
      <c r="PB121" s="155">
        <f>IF($MQ121=0,MAX(0,$NE121-IF(AND($OS121&gt;0,COUNTIF($MZ121:$NA121,"?*")=0),1,0)),MAX(0,$PA121))</f>
        <v/>
      </c>
      <c r="PC121" s="155">
        <f>IF($MQ121=0,0,(IF(COUNTIF($MV121:$MY121,"Salto")&gt;0,1,0)+IF(COUNTIF($MV121:$MY121,"Queima")&gt;0,1,0)+IF(COUNTIF($MV121:$MY121,"Estilhaço")&gt;0,1,0))*FLOOR($PB121/2,1))</f>
        <v/>
      </c>
      <c r="PD121" s="155">
        <f>MAX(0,2-SUMPRODUCT($OK121:$OP121,$I$2:$N$2)+MIN(2,$OQ121*1+$OR121*1,SUMPRODUCT($OK121:$OP121,$I$2:$N$2)-IF($NQ121=0,0,INDEX($I$2:$N$2,1,$NQ121))))</f>
        <v/>
      </c>
      <c r="PE121" s="155">
        <f>MAX(0,4-SUMPRODUCT($OK121:$OP121,$I$3:$N$3)+MIN(4,$OQ121*1+$OR121*2,SUMPRODUCT($OK121:$OP121,$I$3:$N$3)-IF($NQ121=0,0,INDEX($I$3:$N$3,1,$NQ121))))</f>
        <v/>
      </c>
      <c r="PF121" s="155">
        <f>MAX(0,6-SUMPRODUCT($OK121:$OP121,$I$4:$N$4)+MIN(6,$OQ121*2+$OR121*3,SUMPRODUCT($OK121:$OP121,$I$4:$N$4)-IF($NQ121=0,0,INDEX($I$4:$N$4,1,$NQ121))))</f>
        <v/>
      </c>
      <c r="PG121" s="155">
        <f>MAX(0,9-SUMPRODUCT($OK121:$OP121,$I$5:$N$5)+MIN(8,$OQ121*2+$OR121*4,SUMPRODUCT($OK121:$OP121,$I$5:$N$5)-IF($NQ121=0,0,INDEX($I$5:$N$5,1,$NQ121))))</f>
        <v/>
      </c>
      <c r="PH121" s="155">
        <f>MAX(0,11-SUMPRODUCT($OK121:$OP121,$I$6:$N$6)+MIN(10,$OQ121*3+$OR121*5,SUMPRODUCT($OK121:$OP121,$I$6:$N$6)-IF($NQ121=0,0,INDEX($I$6:$N$6,1,$NQ121))))</f>
        <v/>
      </c>
      <c r="PI121" s="155">
        <f>MAX(0,13-SUMPRODUCT($OK121:$OP121,$I$7:$N$7)+MIN(12,$OQ121*3+$OR121*6,SUMPRODUCT($OK121:$OP121,$I$7:$N$7)-IF($NQ121=0,0,INDEX($I$7:$N$7,1,$NQ121))))</f>
        <v/>
      </c>
      <c r="PJ121" s="155">
        <f>MAX(0,16-SUMPRODUCT($OK121:$OP121,$I$8:$N$8)+MIN(14,$OQ121*4+$OR121*7,SUMPRODUCT($OK121:$OP121,$I$8:$N$8)-IF($NQ121=0,0,INDEX($I$8:$N$8,1,$NQ121))))</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Melhoria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IFERROR(VLOOKUP($MV122,$AV$2:$BA$83,2,FALSE),"")</f>
        <v/>
      </c>
      <c r="NJ122" s="155">
        <f>IFERROR(VLOOKUP($MW122,$AV$2:$BA$83,2,FALSE),"")</f>
        <v/>
      </c>
      <c r="NK122" s="155">
        <f>IFERROR(VLOOKUP($MX122,$AV$2:$BA$83,2,FALSE),"")</f>
        <v/>
      </c>
      <c r="NL122" s="155">
        <f>IFERROR(VLOOKUP($MY122,$AV$2:$BA$83,2,FALSE),"")</f>
        <v/>
      </c>
      <c r="NM122" s="155">
        <f>IFERROR(VLOOKUP($MV122,$AV$2:$BA$83,3,FALSE),0)</f>
        <v/>
      </c>
      <c r="NN122" s="155">
        <f>IFERROR(VLOOKUP($MW122,$AV$2:$BA$83,3,FALSE),0)</f>
        <v/>
      </c>
      <c r="NO122" s="155">
        <f>IFERROR(VLOOKUP($MX122,$AV$2:$BA$83,3,FALSE),0)</f>
        <v/>
      </c>
      <c r="NP122" s="155">
        <f>IFERROR(VLOOKUP($MY122,$AV$2:$BA$83,3,FALSE),0)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IFERROR(VLOOKUP($MV122,$AV$2:$BA$83,4,FALSE),0)+IFERROR(VLOOKUP($MW122,$AV$2:$BA$83,4,FALSE),0)+IFERROR(VLOOKUP($MX122,$AV$2:$BA$83,4,FALSE),0)+IFERROR(VLOOKUP($MY122,$AV$2:$BA$83,4,FALSE),0)</f>
        <v/>
      </c>
      <c r="OB122" s="155">
        <f>IFERROR(VLOOKUP($MV122,$AV$2:$BA$83,6,FALSE),0)+IFERROR(VLOOKUP($MW122,$AV$2:$BA$83,6,FALSE),0)+IFERROR(VLOOKUP($MX122,$AV$2:$BA$83,6,FALSE),0)+IFERROR(VLOOKUP($MY122,$AV$2:$BA$83,6,FALSE),0)</f>
        <v/>
      </c>
      <c r="OC122" s="155">
        <f>TEXTJOIN(", ",TRUE,IF(IFERROR(VLOOKUP($MV122,$AV$2:$BA$83,5,FALSE),0)=1,$MV122,""),IF(IFERROR(VLOOKUP($MW122,$AV$2:$BA$83,5,FALSE),0)=1,$MW122,""),IF(IFERROR(VLOOKUP($MX122,$AV$2:$BA$83,5,FALSE),0)=1,$MX122,""),IF(IFERROR(VLOOKUP($MY122,$AV$2:$BA$83,5,FALSE),0)=1,$MY122,""))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MIN($OW122,$OU122-IF($NQ122=0,0,INDEX($I$2:$N$8,MAX(1,$MQ122),$NQ122)))</f>
        <v/>
      </c>
      <c r="OY122" s="155">
        <f>$OW122-$OX122</f>
        <v/>
      </c>
      <c r="OZ122" s="155">
        <f>IF($MQ122=0,0,INDEX($P$2:$P$8,MAX(1,$MQ122)))</f>
        <v/>
      </c>
      <c r="PA122" s="155">
        <f>$OZ122-$OU122+$OX122</f>
        <v/>
      </c>
      <c r="PB122" s="155">
        <f>IF($MQ122=0,MAX(0,$NE122-IF(AND($OS122&gt;0,COUNTIF($MZ122:$NA122,"?*")=0),1,0)),MAX(0,$PA122))</f>
        <v/>
      </c>
      <c r="PC122" s="155">
        <f>IF($MQ122=0,0,(IF(COUNTIF($MV122:$MY122,"Salto")&gt;0,1,0)+IF(COUNTIF($MV122:$MY122,"Queima")&gt;0,1,0)+IF(COUNTIF($MV122:$MY122,"Estilhaço")&gt;0,1,0))*FLOOR($PB122/2,1))</f>
        <v/>
      </c>
      <c r="PD122" s="155">
        <f>MAX(0,2-SUMPRODUCT($OK122:$OP122,$I$2:$N$2)+MIN(2,$OQ122*1+$OR122*1,SUMPRODUCT($OK122:$OP122,$I$2:$N$2)-IF($NQ122=0,0,INDEX($I$2:$N$2,1,$NQ122))))</f>
        <v/>
      </c>
      <c r="PE122" s="155">
        <f>MAX(0,4-SUMPRODUCT($OK122:$OP122,$I$3:$N$3)+MIN(4,$OQ122*1+$OR122*2,SUMPRODUCT($OK122:$OP122,$I$3:$N$3)-IF($NQ122=0,0,INDEX($I$3:$N$3,1,$NQ122))))</f>
        <v/>
      </c>
      <c r="PF122" s="155">
        <f>MAX(0,6-SUMPRODUCT($OK122:$OP122,$I$4:$N$4)+MIN(6,$OQ122*2+$OR122*3,SUMPRODUCT($OK122:$OP122,$I$4:$N$4)-IF($NQ122=0,0,INDEX($I$4:$N$4,1,$NQ122))))</f>
        <v/>
      </c>
      <c r="PG122" s="155">
        <f>MAX(0,9-SUMPRODUCT($OK122:$OP122,$I$5:$N$5)+MIN(8,$OQ122*2+$OR122*4,SUMPRODUCT($OK122:$OP122,$I$5:$N$5)-IF($NQ122=0,0,INDEX($I$5:$N$5,1,$NQ122))))</f>
        <v/>
      </c>
      <c r="PH122" s="155">
        <f>MAX(0,11-SUMPRODUCT($OK122:$OP122,$I$6:$N$6)+MIN(10,$OQ122*3+$OR122*5,SUMPRODUCT($OK122:$OP122,$I$6:$N$6)-IF($NQ122=0,0,INDEX($I$6:$N$6,1,$NQ122))))</f>
        <v/>
      </c>
      <c r="PI122" s="155">
        <f>MAX(0,13-SUMPRODUCT($OK122:$OP122,$I$7:$N$7)+MIN(12,$OQ122*3+$OR122*6,SUMPRODUCT($OK122:$OP122,$I$7:$N$7)-IF($NQ122=0,0,INDEX($I$7:$N$7,1,$NQ122))))</f>
        <v/>
      </c>
      <c r="PJ122" s="155">
        <f>MAX(0,16-SUMPRODUCT($OK122:$OP122,$I$8:$N$8)+MIN(14,$OQ122*4+$OR122*7,SUMPRODUCT($OK122:$OP122,$I$8:$N$8)-IF($NQ122=0,0,INDEX($I$8:$N$8,1,$NQ122))))</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Melhoria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IFERROR(VLOOKUP($MV123,$AV$2:$BA$83,2,FALSE),"")</f>
        <v/>
      </c>
      <c r="NJ123" s="155">
        <f>IFERROR(VLOOKUP($MW123,$AV$2:$BA$83,2,FALSE),"")</f>
        <v/>
      </c>
      <c r="NK123" s="155">
        <f>IFERROR(VLOOKUP($MX123,$AV$2:$BA$83,2,FALSE),"")</f>
        <v/>
      </c>
      <c r="NL123" s="155">
        <f>IFERROR(VLOOKUP($MY123,$AV$2:$BA$83,2,FALSE),"")</f>
        <v/>
      </c>
      <c r="NM123" s="155">
        <f>IFERROR(VLOOKUP($MV123,$AV$2:$BA$83,3,FALSE),0)</f>
        <v/>
      </c>
      <c r="NN123" s="155">
        <f>IFERROR(VLOOKUP($MW123,$AV$2:$BA$83,3,FALSE),0)</f>
        <v/>
      </c>
      <c r="NO123" s="155">
        <f>IFERROR(VLOOKUP($MX123,$AV$2:$BA$83,3,FALSE),0)</f>
        <v/>
      </c>
      <c r="NP123" s="155">
        <f>IFERROR(VLOOKUP($MY123,$AV$2:$BA$83,3,FALSE),0)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IFERROR(VLOOKUP($MV123,$AV$2:$BA$83,4,FALSE),0)+IFERROR(VLOOKUP($MW123,$AV$2:$BA$83,4,FALSE),0)+IFERROR(VLOOKUP($MX123,$AV$2:$BA$83,4,FALSE),0)+IFERROR(VLOOKUP($MY123,$AV$2:$BA$83,4,FALSE),0)</f>
        <v/>
      </c>
      <c r="OB123" s="155">
        <f>IFERROR(VLOOKUP($MV123,$AV$2:$BA$83,6,FALSE),0)+IFERROR(VLOOKUP($MW123,$AV$2:$BA$83,6,FALSE),0)+IFERROR(VLOOKUP($MX123,$AV$2:$BA$83,6,FALSE),0)+IFERROR(VLOOKUP($MY123,$AV$2:$BA$83,6,FALSE),0)</f>
        <v/>
      </c>
      <c r="OC123" s="155">
        <f>TEXTJOIN(", ",TRUE,IF(IFERROR(VLOOKUP($MV123,$AV$2:$BA$83,5,FALSE),0)=1,$MV123,""),IF(IFERROR(VLOOKUP($MW123,$AV$2:$BA$83,5,FALSE),0)=1,$MW123,""),IF(IFERROR(VLOOKUP($MX123,$AV$2:$BA$83,5,FALSE),0)=1,$MX123,""),IF(IFERROR(VLOOKUP($MY123,$AV$2:$BA$83,5,FALSE),0)=1,$MY123,""))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MIN($OW123,$OU123-IF($NQ123=0,0,INDEX($I$2:$N$8,MAX(1,$MQ123),$NQ123)))</f>
        <v/>
      </c>
      <c r="OY123" s="155">
        <f>$OW123-$OX123</f>
        <v/>
      </c>
      <c r="OZ123" s="155">
        <f>IF($MQ123=0,0,INDEX($P$2:$P$8,MAX(1,$MQ123)))</f>
        <v/>
      </c>
      <c r="PA123" s="155">
        <f>$OZ123-$OU123+$OX123</f>
        <v/>
      </c>
      <c r="PB123" s="155">
        <f>IF($MQ123=0,MAX(0,$NE123-IF(AND($OS123&gt;0,COUNTIF($MZ123:$NA123,"?*")=0),1,0)),MAX(0,$PA123))</f>
        <v/>
      </c>
      <c r="PC123" s="155">
        <f>IF($MQ123=0,0,(IF(COUNTIF($MV123:$MY123,"Salto")&gt;0,1,0)+IF(COUNTIF($MV123:$MY123,"Queima")&gt;0,1,0)+IF(COUNTIF($MV123:$MY123,"Estilhaço")&gt;0,1,0))*FLOOR($PB123/2,1))</f>
        <v/>
      </c>
      <c r="PD123" s="155">
        <f>MAX(0,2-SUMPRODUCT($OK123:$OP123,$I$2:$N$2)+MIN(2,$OQ123*1+$OR123*1,SUMPRODUCT($OK123:$OP123,$I$2:$N$2)-IF($NQ123=0,0,INDEX($I$2:$N$2,1,$NQ123))))</f>
        <v/>
      </c>
      <c r="PE123" s="155">
        <f>MAX(0,4-SUMPRODUCT($OK123:$OP123,$I$3:$N$3)+MIN(4,$OQ123*1+$OR123*2,SUMPRODUCT($OK123:$OP123,$I$3:$N$3)-IF($NQ123=0,0,INDEX($I$3:$N$3,1,$NQ123))))</f>
        <v/>
      </c>
      <c r="PF123" s="155">
        <f>MAX(0,6-SUMPRODUCT($OK123:$OP123,$I$4:$N$4)+MIN(6,$OQ123*2+$OR123*3,SUMPRODUCT($OK123:$OP123,$I$4:$N$4)-IF($NQ123=0,0,INDEX($I$4:$N$4,1,$NQ123))))</f>
        <v/>
      </c>
      <c r="PG123" s="155">
        <f>MAX(0,9-SUMPRODUCT($OK123:$OP123,$I$5:$N$5)+MIN(8,$OQ123*2+$OR123*4,SUMPRODUCT($OK123:$OP123,$I$5:$N$5)-IF($NQ123=0,0,INDEX($I$5:$N$5,1,$NQ123))))</f>
        <v/>
      </c>
      <c r="PH123" s="155">
        <f>MAX(0,11-SUMPRODUCT($OK123:$OP123,$I$6:$N$6)+MIN(10,$OQ123*3+$OR123*5,SUMPRODUCT($OK123:$OP123,$I$6:$N$6)-IF($NQ123=0,0,INDEX($I$6:$N$6,1,$NQ123))))</f>
        <v/>
      </c>
      <c r="PI123" s="155">
        <f>MAX(0,13-SUMPRODUCT($OK123:$OP123,$I$7:$N$7)+MIN(12,$OQ123*3+$OR123*6,SUMPRODUCT($OK123:$OP123,$I$7:$N$7)-IF($NQ123=0,0,INDEX($I$7:$N$7,1,$NQ123))))</f>
        <v/>
      </c>
      <c r="PJ123" s="155">
        <f>MAX(0,16-SUMPRODUCT($OK123:$OP123,$I$8:$N$8)+MIN(14,$OQ123*4+$OR123*7,SUMPRODUCT($OK123:$OP123,$I$8:$N$8)-IF($NQ123=0,0,INDEX($I$8:$N$8,1,$NQ123))))</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Melhoria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IFERROR(VLOOKUP($MV124,$AV$2:$BA$83,2,FALSE),"")</f>
        <v/>
      </c>
      <c r="NJ124" s="155">
        <f>IFERROR(VLOOKUP($MW124,$AV$2:$BA$83,2,FALSE),"")</f>
        <v/>
      </c>
      <c r="NK124" s="155">
        <f>IFERROR(VLOOKUP($MX124,$AV$2:$BA$83,2,FALSE),"")</f>
        <v/>
      </c>
      <c r="NL124" s="155">
        <f>IFERROR(VLOOKUP($MY124,$AV$2:$BA$83,2,FALSE),"")</f>
        <v/>
      </c>
      <c r="NM124" s="155">
        <f>IFERROR(VLOOKUP($MV124,$AV$2:$BA$83,3,FALSE),0)</f>
        <v/>
      </c>
      <c r="NN124" s="155">
        <f>IFERROR(VLOOKUP($MW124,$AV$2:$BA$83,3,FALSE),0)</f>
        <v/>
      </c>
      <c r="NO124" s="155">
        <f>IFERROR(VLOOKUP($MX124,$AV$2:$BA$83,3,FALSE),0)</f>
        <v/>
      </c>
      <c r="NP124" s="155">
        <f>IFERROR(VLOOKUP($MY124,$AV$2:$BA$83,3,FALSE),0)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IFERROR(VLOOKUP($MV124,$AV$2:$BA$83,4,FALSE),0)+IFERROR(VLOOKUP($MW124,$AV$2:$BA$83,4,FALSE),0)+IFERROR(VLOOKUP($MX124,$AV$2:$BA$83,4,FALSE),0)+IFERROR(VLOOKUP($MY124,$AV$2:$BA$83,4,FALSE),0)</f>
        <v/>
      </c>
      <c r="OB124" s="155">
        <f>IFERROR(VLOOKUP($MV124,$AV$2:$BA$83,6,FALSE),0)+IFERROR(VLOOKUP($MW124,$AV$2:$BA$83,6,FALSE),0)+IFERROR(VLOOKUP($MX124,$AV$2:$BA$83,6,FALSE),0)+IFERROR(VLOOKUP($MY124,$AV$2:$BA$83,6,FALSE),0)</f>
        <v/>
      </c>
      <c r="OC124" s="155">
        <f>TEXTJOIN(", ",TRUE,IF(IFERROR(VLOOKUP($MV124,$AV$2:$BA$83,5,FALSE),0)=1,$MV124,""),IF(IFERROR(VLOOKUP($MW124,$AV$2:$BA$83,5,FALSE),0)=1,$MW124,""),IF(IFERROR(VLOOKUP($MX124,$AV$2:$BA$83,5,FALSE),0)=1,$MX124,""),IF(IFERROR(VLOOKUP($MY124,$AV$2:$BA$83,5,FALSE),0)=1,$MY124,""))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MIN($OW124,$OU124-IF($NQ124=0,0,INDEX($I$2:$N$8,MAX(1,$MQ124),$NQ124)))</f>
        <v/>
      </c>
      <c r="OY124" s="155">
        <f>$OW124-$OX124</f>
        <v/>
      </c>
      <c r="OZ124" s="155">
        <f>IF($MQ124=0,0,INDEX($P$2:$P$8,MAX(1,$MQ124)))</f>
        <v/>
      </c>
      <c r="PA124" s="155">
        <f>$OZ124-$OU124+$OX124</f>
        <v/>
      </c>
      <c r="PB124" s="155">
        <f>IF($MQ124=0,MAX(0,$NE124-IF(AND($OS124&gt;0,COUNTIF($MZ124:$NA124,"?*")=0),1,0)),MAX(0,$PA124))</f>
        <v/>
      </c>
      <c r="PC124" s="155">
        <f>IF($MQ124=0,0,(IF(COUNTIF($MV124:$MY124,"Salto")&gt;0,1,0)+IF(COUNTIF($MV124:$MY124,"Queima")&gt;0,1,0)+IF(COUNTIF($MV124:$MY124,"Estilhaço")&gt;0,1,0))*FLOOR($PB124/2,1))</f>
        <v/>
      </c>
      <c r="PD124" s="155">
        <f>MAX(0,2-SUMPRODUCT($OK124:$OP124,$I$2:$N$2)+MIN(2,$OQ124*1+$OR124*1,SUMPRODUCT($OK124:$OP124,$I$2:$N$2)-IF($NQ124=0,0,INDEX($I$2:$N$2,1,$NQ124))))</f>
        <v/>
      </c>
      <c r="PE124" s="155">
        <f>MAX(0,4-SUMPRODUCT($OK124:$OP124,$I$3:$N$3)+MIN(4,$OQ124*1+$OR124*2,SUMPRODUCT($OK124:$OP124,$I$3:$N$3)-IF($NQ124=0,0,INDEX($I$3:$N$3,1,$NQ124))))</f>
        <v/>
      </c>
      <c r="PF124" s="155">
        <f>MAX(0,6-SUMPRODUCT($OK124:$OP124,$I$4:$N$4)+MIN(6,$OQ124*2+$OR124*3,SUMPRODUCT($OK124:$OP124,$I$4:$N$4)-IF($NQ124=0,0,INDEX($I$4:$N$4,1,$NQ124))))</f>
        <v/>
      </c>
      <c r="PG124" s="155">
        <f>MAX(0,9-SUMPRODUCT($OK124:$OP124,$I$5:$N$5)+MIN(8,$OQ124*2+$OR124*4,SUMPRODUCT($OK124:$OP124,$I$5:$N$5)-IF($NQ124=0,0,INDEX($I$5:$N$5,1,$NQ124))))</f>
        <v/>
      </c>
      <c r="PH124" s="155">
        <f>MAX(0,11-SUMPRODUCT($OK124:$OP124,$I$6:$N$6)+MIN(10,$OQ124*3+$OR124*5,SUMPRODUCT($OK124:$OP124,$I$6:$N$6)-IF($NQ124=0,0,INDEX($I$6:$N$6,1,$NQ124))))</f>
        <v/>
      </c>
      <c r="PI124" s="155">
        <f>MAX(0,13-SUMPRODUCT($OK124:$OP124,$I$7:$N$7)+MIN(12,$OQ124*3+$OR124*6,SUMPRODUCT($OK124:$OP124,$I$7:$N$7)-IF($NQ124=0,0,INDEX($I$7:$N$7,1,$NQ124))))</f>
        <v/>
      </c>
      <c r="PJ124" s="155">
        <f>MAX(0,16-SUMPRODUCT($OK124:$OP124,$I$8:$N$8)+MIN(14,$OQ124*4+$OR124*7,SUMPRODUCT($OK124:$OP124,$I$8:$N$8)-IF($NQ124=0,0,INDEX($I$8:$N$8,1,$NQ124))))</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Melhoria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IFERROR(VLOOKUP($MV125,$AV$2:$BA$83,2,FALSE),"")</f>
        <v/>
      </c>
      <c r="NJ125" s="155">
        <f>IFERROR(VLOOKUP($MW125,$AV$2:$BA$83,2,FALSE),"")</f>
        <v/>
      </c>
      <c r="NK125" s="155">
        <f>IFERROR(VLOOKUP($MX125,$AV$2:$BA$83,2,FALSE),"")</f>
        <v/>
      </c>
      <c r="NL125" s="155">
        <f>IFERROR(VLOOKUP($MY125,$AV$2:$BA$83,2,FALSE),"")</f>
        <v/>
      </c>
      <c r="NM125" s="155">
        <f>IFERROR(VLOOKUP($MV125,$AV$2:$BA$83,3,FALSE),0)</f>
        <v/>
      </c>
      <c r="NN125" s="155">
        <f>IFERROR(VLOOKUP($MW125,$AV$2:$BA$83,3,FALSE),0)</f>
        <v/>
      </c>
      <c r="NO125" s="155">
        <f>IFERROR(VLOOKUP($MX125,$AV$2:$BA$83,3,FALSE),0)</f>
        <v/>
      </c>
      <c r="NP125" s="155">
        <f>IFERROR(VLOOKUP($MY125,$AV$2:$BA$83,3,FALSE),0)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IFERROR(VLOOKUP($MV125,$AV$2:$BA$83,4,FALSE),0)+IFERROR(VLOOKUP($MW125,$AV$2:$BA$83,4,FALSE),0)+IFERROR(VLOOKUP($MX125,$AV$2:$BA$83,4,FALSE),0)+IFERROR(VLOOKUP($MY125,$AV$2:$BA$83,4,FALSE),0)</f>
        <v/>
      </c>
      <c r="OB125" s="155">
        <f>IFERROR(VLOOKUP($MV125,$AV$2:$BA$83,6,FALSE),0)+IFERROR(VLOOKUP($MW125,$AV$2:$BA$83,6,FALSE),0)+IFERROR(VLOOKUP($MX125,$AV$2:$BA$83,6,FALSE),0)+IFERROR(VLOOKUP($MY125,$AV$2:$BA$83,6,FALSE),0)</f>
        <v/>
      </c>
      <c r="OC125" s="155">
        <f>TEXTJOIN(", ",TRUE,IF(IFERROR(VLOOKUP($MV125,$AV$2:$BA$83,5,FALSE),0)=1,$MV125,""),IF(IFERROR(VLOOKUP($MW125,$AV$2:$BA$83,5,FALSE),0)=1,$MW125,""),IF(IFERROR(VLOOKUP($MX125,$AV$2:$BA$83,5,FALSE),0)=1,$MX125,""),IF(IFERROR(VLOOKUP($MY125,$AV$2:$BA$83,5,FALSE),0)=1,$MY125,""))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MIN($OW125,$OU125-IF($NQ125=0,0,INDEX($I$2:$N$8,MAX(1,$MQ125),$NQ125)))</f>
        <v/>
      </c>
      <c r="OY125" s="155">
        <f>$OW125-$OX125</f>
        <v/>
      </c>
      <c r="OZ125" s="155">
        <f>IF($MQ125=0,0,INDEX($P$2:$P$8,MAX(1,$MQ125)))</f>
        <v/>
      </c>
      <c r="PA125" s="155">
        <f>$OZ125-$OU125+$OX125</f>
        <v/>
      </c>
      <c r="PB125" s="155">
        <f>IF($MQ125=0,MAX(0,$NE125-IF(AND($OS125&gt;0,COUNTIF($MZ125:$NA125,"?*")=0),1,0)),MAX(0,$PA125))</f>
        <v/>
      </c>
      <c r="PC125" s="155">
        <f>IF($MQ125=0,0,(IF(COUNTIF($MV125:$MY125,"Salto")&gt;0,1,0)+IF(COUNTIF($MV125:$MY125,"Queima")&gt;0,1,0)+IF(COUNTIF($MV125:$MY125,"Estilhaço")&gt;0,1,0))*FLOOR($PB125/2,1))</f>
        <v/>
      </c>
      <c r="PD125" s="155">
        <f>MAX(0,2-SUMPRODUCT($OK125:$OP125,$I$2:$N$2)+MIN(2,$OQ125*1+$OR125*1,SUMPRODUCT($OK125:$OP125,$I$2:$N$2)-IF($NQ125=0,0,INDEX($I$2:$N$2,1,$NQ125))))</f>
        <v/>
      </c>
      <c r="PE125" s="155">
        <f>MAX(0,4-SUMPRODUCT($OK125:$OP125,$I$3:$N$3)+MIN(4,$OQ125*1+$OR125*2,SUMPRODUCT($OK125:$OP125,$I$3:$N$3)-IF($NQ125=0,0,INDEX($I$3:$N$3,1,$NQ125))))</f>
        <v/>
      </c>
      <c r="PF125" s="155">
        <f>MAX(0,6-SUMPRODUCT($OK125:$OP125,$I$4:$N$4)+MIN(6,$OQ125*2+$OR125*3,SUMPRODUCT($OK125:$OP125,$I$4:$N$4)-IF($NQ125=0,0,INDEX($I$4:$N$4,1,$NQ125))))</f>
        <v/>
      </c>
      <c r="PG125" s="155">
        <f>MAX(0,9-SUMPRODUCT($OK125:$OP125,$I$5:$N$5)+MIN(8,$OQ125*2+$OR125*4,SUMPRODUCT($OK125:$OP125,$I$5:$N$5)-IF($NQ125=0,0,INDEX($I$5:$N$5,1,$NQ125))))</f>
        <v/>
      </c>
      <c r="PH125" s="155">
        <f>MAX(0,11-SUMPRODUCT($OK125:$OP125,$I$6:$N$6)+MIN(10,$OQ125*3+$OR125*5,SUMPRODUCT($OK125:$OP125,$I$6:$N$6)-IF($NQ125=0,0,INDEX($I$6:$N$6,1,$NQ125))))</f>
        <v/>
      </c>
      <c r="PI125" s="155">
        <f>MAX(0,13-SUMPRODUCT($OK125:$OP125,$I$7:$N$7)+MIN(12,$OQ125*3+$OR125*6,SUMPRODUCT($OK125:$OP125,$I$7:$N$7)-IF($NQ125=0,0,INDEX($I$7:$N$7,1,$NQ125))))</f>
        <v/>
      </c>
      <c r="PJ125" s="155">
        <f>MAX(0,16-SUMPRODUCT($OK125:$OP125,$I$8:$N$8)+MIN(14,$OQ125*4+$OR125*7,SUMPRODUCT($OK125:$OP125,$I$8:$N$8)-IF($NQ125=0,0,INDEX($I$8:$N$8,1,$NQ125))))</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Melhoria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IFERROR(VLOOKUP($MV126,$AV$2:$BA$83,2,FALSE),"")</f>
        <v/>
      </c>
      <c r="NJ126" s="155">
        <f>IFERROR(VLOOKUP($MW126,$AV$2:$BA$83,2,FALSE),"")</f>
        <v/>
      </c>
      <c r="NK126" s="155">
        <f>IFERROR(VLOOKUP($MX126,$AV$2:$BA$83,2,FALSE),"")</f>
        <v/>
      </c>
      <c r="NL126" s="155">
        <f>IFERROR(VLOOKUP($MY126,$AV$2:$BA$83,2,FALSE),"")</f>
        <v/>
      </c>
      <c r="NM126" s="155">
        <f>IFERROR(VLOOKUP($MV126,$AV$2:$BA$83,3,FALSE),0)</f>
        <v/>
      </c>
      <c r="NN126" s="155">
        <f>IFERROR(VLOOKUP($MW126,$AV$2:$BA$83,3,FALSE),0)</f>
        <v/>
      </c>
      <c r="NO126" s="155">
        <f>IFERROR(VLOOKUP($MX126,$AV$2:$BA$83,3,FALSE),0)</f>
        <v/>
      </c>
      <c r="NP126" s="155">
        <f>IFERROR(VLOOKUP($MY126,$AV$2:$BA$83,3,FALSE),0)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IFERROR(VLOOKUP($MV126,$AV$2:$BA$83,4,FALSE),0)+IFERROR(VLOOKUP($MW126,$AV$2:$BA$83,4,FALSE),0)+IFERROR(VLOOKUP($MX126,$AV$2:$BA$83,4,FALSE),0)+IFERROR(VLOOKUP($MY126,$AV$2:$BA$83,4,FALSE),0)</f>
        <v/>
      </c>
      <c r="OB126" s="155">
        <f>IFERROR(VLOOKUP($MV126,$AV$2:$BA$83,6,FALSE),0)+IFERROR(VLOOKUP($MW126,$AV$2:$BA$83,6,FALSE),0)+IFERROR(VLOOKUP($MX126,$AV$2:$BA$83,6,FALSE),0)+IFERROR(VLOOKUP($MY126,$AV$2:$BA$83,6,FALSE),0)</f>
        <v/>
      </c>
      <c r="OC126" s="155">
        <f>TEXTJOIN(", ",TRUE,IF(IFERROR(VLOOKUP($MV126,$AV$2:$BA$83,5,FALSE),0)=1,$MV126,""),IF(IFERROR(VLOOKUP($MW126,$AV$2:$BA$83,5,FALSE),0)=1,$MW126,""),IF(IFERROR(VLOOKUP($MX126,$AV$2:$BA$83,5,FALSE),0)=1,$MX126,""),IF(IFERROR(VLOOKUP($MY126,$AV$2:$BA$83,5,FALSE),0)=1,$MY126,""))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MIN($OW126,$OU126-IF($NQ126=0,0,INDEX($I$2:$N$8,MAX(1,$MQ126),$NQ126)))</f>
        <v/>
      </c>
      <c r="OY126" s="155">
        <f>$OW126-$OX126</f>
        <v/>
      </c>
      <c r="OZ126" s="155">
        <f>IF($MQ126=0,0,INDEX($P$2:$P$8,MAX(1,$MQ126)))</f>
        <v/>
      </c>
      <c r="PA126" s="155">
        <f>$OZ126-$OU126+$OX126</f>
        <v/>
      </c>
      <c r="PB126" s="155">
        <f>IF($MQ126=0,MAX(0,$NE126-IF(AND($OS126&gt;0,COUNTIF($MZ126:$NA126,"?*")=0),1,0)),MAX(0,$PA126))</f>
        <v/>
      </c>
      <c r="PC126" s="155">
        <f>IF($MQ126=0,0,(IF(COUNTIF($MV126:$MY126,"Salto")&gt;0,1,0)+IF(COUNTIF($MV126:$MY126,"Queima")&gt;0,1,0)+IF(COUNTIF($MV126:$MY126,"Estilhaço")&gt;0,1,0))*FLOOR($PB126/2,1))</f>
        <v/>
      </c>
      <c r="PD126" s="155">
        <f>MAX(0,2-SUMPRODUCT($OK126:$OP126,$I$2:$N$2)+MIN(2,$OQ126*1+$OR126*1,SUMPRODUCT($OK126:$OP126,$I$2:$N$2)-IF($NQ126=0,0,INDEX($I$2:$N$2,1,$NQ126))))</f>
        <v/>
      </c>
      <c r="PE126" s="155">
        <f>MAX(0,4-SUMPRODUCT($OK126:$OP126,$I$3:$N$3)+MIN(4,$OQ126*1+$OR126*2,SUMPRODUCT($OK126:$OP126,$I$3:$N$3)-IF($NQ126=0,0,INDEX($I$3:$N$3,1,$NQ126))))</f>
        <v/>
      </c>
      <c r="PF126" s="155">
        <f>MAX(0,6-SUMPRODUCT($OK126:$OP126,$I$4:$N$4)+MIN(6,$OQ126*2+$OR126*3,SUMPRODUCT($OK126:$OP126,$I$4:$N$4)-IF($NQ126=0,0,INDEX($I$4:$N$4,1,$NQ126))))</f>
        <v/>
      </c>
      <c r="PG126" s="155">
        <f>MAX(0,9-SUMPRODUCT($OK126:$OP126,$I$5:$N$5)+MIN(8,$OQ126*2+$OR126*4,SUMPRODUCT($OK126:$OP126,$I$5:$N$5)-IF($NQ126=0,0,INDEX($I$5:$N$5,1,$NQ126))))</f>
        <v/>
      </c>
      <c r="PH126" s="155">
        <f>MAX(0,11-SUMPRODUCT($OK126:$OP126,$I$6:$N$6)+MIN(10,$OQ126*3+$OR126*5,SUMPRODUCT($OK126:$OP126,$I$6:$N$6)-IF($NQ126=0,0,INDEX($I$6:$N$6,1,$NQ126))))</f>
        <v/>
      </c>
      <c r="PI126" s="155">
        <f>MAX(0,13-SUMPRODUCT($OK126:$OP126,$I$7:$N$7)+MIN(12,$OQ126*3+$OR126*6,SUMPRODUCT($OK126:$OP126,$I$7:$N$7)-IF($NQ126=0,0,INDEX($I$7:$N$7,1,$NQ126))))</f>
        <v/>
      </c>
      <c r="PJ126" s="155">
        <f>MAX(0,16-SUMPRODUCT($OK126:$OP126,$I$8:$N$8)+MIN(14,$OQ126*4+$OR126*7,SUMPRODUCT($OK126:$OP126,$I$8:$N$8)-IF($NQ126=0,0,INDEX($I$8:$N$8,1,$NQ126))))</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Melhoria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IFERROR(VLOOKUP($MV127,$AV$2:$BA$83,2,FALSE),"")</f>
        <v/>
      </c>
      <c r="NJ127" s="155">
        <f>IFERROR(VLOOKUP($MW127,$AV$2:$BA$83,2,FALSE),"")</f>
        <v/>
      </c>
      <c r="NK127" s="155">
        <f>IFERROR(VLOOKUP($MX127,$AV$2:$BA$83,2,FALSE),"")</f>
        <v/>
      </c>
      <c r="NL127" s="155">
        <f>IFERROR(VLOOKUP($MY127,$AV$2:$BA$83,2,FALSE),"")</f>
        <v/>
      </c>
      <c r="NM127" s="155">
        <f>IFERROR(VLOOKUP($MV127,$AV$2:$BA$83,3,FALSE),0)</f>
        <v/>
      </c>
      <c r="NN127" s="155">
        <f>IFERROR(VLOOKUP($MW127,$AV$2:$BA$83,3,FALSE),0)</f>
        <v/>
      </c>
      <c r="NO127" s="155">
        <f>IFERROR(VLOOKUP($MX127,$AV$2:$BA$83,3,FALSE),0)</f>
        <v/>
      </c>
      <c r="NP127" s="155">
        <f>IFERROR(VLOOKUP($MY127,$AV$2:$BA$83,3,FALSE),0)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IFERROR(VLOOKUP($MV127,$AV$2:$BA$83,4,FALSE),0)+IFERROR(VLOOKUP($MW127,$AV$2:$BA$83,4,FALSE),0)+IFERROR(VLOOKUP($MX127,$AV$2:$BA$83,4,FALSE),0)+IFERROR(VLOOKUP($MY127,$AV$2:$BA$83,4,FALSE),0)</f>
        <v/>
      </c>
      <c r="OB127" s="155">
        <f>IFERROR(VLOOKUP($MV127,$AV$2:$BA$83,6,FALSE),0)+IFERROR(VLOOKUP($MW127,$AV$2:$BA$83,6,FALSE),0)+IFERROR(VLOOKUP($MX127,$AV$2:$BA$83,6,FALSE),0)+IFERROR(VLOOKUP($MY127,$AV$2:$BA$83,6,FALSE),0)</f>
        <v/>
      </c>
      <c r="OC127" s="155">
        <f>TEXTJOIN(", ",TRUE,IF(IFERROR(VLOOKUP($MV127,$AV$2:$BA$83,5,FALSE),0)=1,$MV127,""),IF(IFERROR(VLOOKUP($MW127,$AV$2:$BA$83,5,FALSE),0)=1,$MW127,""),IF(IFERROR(VLOOKUP($MX127,$AV$2:$BA$83,5,FALSE),0)=1,$MX127,""),IF(IFERROR(VLOOKUP($MY127,$AV$2:$BA$83,5,FALSE),0)=1,$MY127,""))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MIN($OW127,$OU127-IF($NQ127=0,0,INDEX($I$2:$N$8,MAX(1,$MQ127),$NQ127)))</f>
        <v/>
      </c>
      <c r="OY127" s="155">
        <f>$OW127-$OX127</f>
        <v/>
      </c>
      <c r="OZ127" s="155">
        <f>IF($MQ127=0,0,INDEX($P$2:$P$8,MAX(1,$MQ127)))</f>
        <v/>
      </c>
      <c r="PA127" s="155">
        <f>$OZ127-$OU127+$OX127</f>
        <v/>
      </c>
      <c r="PB127" s="155">
        <f>IF($MQ127=0,MAX(0,$NE127-IF(AND($OS127&gt;0,COUNTIF($MZ127:$NA127,"?*")=0),1,0)),MAX(0,$PA127))</f>
        <v/>
      </c>
      <c r="PC127" s="155">
        <f>IF($MQ127=0,0,(IF(COUNTIF($MV127:$MY127,"Salto")&gt;0,1,0)+IF(COUNTIF($MV127:$MY127,"Queima")&gt;0,1,0)+IF(COUNTIF($MV127:$MY127,"Estilhaço")&gt;0,1,0))*FLOOR($PB127/2,1))</f>
        <v/>
      </c>
      <c r="PD127" s="155">
        <f>MAX(0,2-SUMPRODUCT($OK127:$OP127,$I$2:$N$2)+MIN(2,$OQ127*1+$OR127*1,SUMPRODUCT($OK127:$OP127,$I$2:$N$2)-IF($NQ127=0,0,INDEX($I$2:$N$2,1,$NQ127))))</f>
        <v/>
      </c>
      <c r="PE127" s="155">
        <f>MAX(0,4-SUMPRODUCT($OK127:$OP127,$I$3:$N$3)+MIN(4,$OQ127*1+$OR127*2,SUMPRODUCT($OK127:$OP127,$I$3:$N$3)-IF($NQ127=0,0,INDEX($I$3:$N$3,1,$NQ127))))</f>
        <v/>
      </c>
      <c r="PF127" s="155">
        <f>MAX(0,6-SUMPRODUCT($OK127:$OP127,$I$4:$N$4)+MIN(6,$OQ127*2+$OR127*3,SUMPRODUCT($OK127:$OP127,$I$4:$N$4)-IF($NQ127=0,0,INDEX($I$4:$N$4,1,$NQ127))))</f>
        <v/>
      </c>
      <c r="PG127" s="155">
        <f>MAX(0,9-SUMPRODUCT($OK127:$OP127,$I$5:$N$5)+MIN(8,$OQ127*2+$OR127*4,SUMPRODUCT($OK127:$OP127,$I$5:$N$5)-IF($NQ127=0,0,INDEX($I$5:$N$5,1,$NQ127))))</f>
        <v/>
      </c>
      <c r="PH127" s="155">
        <f>MAX(0,11-SUMPRODUCT($OK127:$OP127,$I$6:$N$6)+MIN(10,$OQ127*3+$OR127*5,SUMPRODUCT($OK127:$OP127,$I$6:$N$6)-IF($NQ127=0,0,INDEX($I$6:$N$6,1,$NQ127))))</f>
        <v/>
      </c>
      <c r="PI127" s="155">
        <f>MAX(0,13-SUMPRODUCT($OK127:$OP127,$I$7:$N$7)+MIN(12,$OQ127*3+$OR127*6,SUMPRODUCT($OK127:$OP127,$I$7:$N$7)-IF($NQ127=0,0,INDEX($I$7:$N$7,1,$NQ127))))</f>
        <v/>
      </c>
      <c r="PJ127" s="155">
        <f>MAX(0,16-SUMPRODUCT($OK127:$OP127,$I$8:$N$8)+MIN(14,$OQ127*4+$OR127*7,SUMPRODUCT($OK127:$OP127,$I$8:$N$8)-IF($NQ127=0,0,INDEX($I$8:$N$8,1,$NQ127))))</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Melhoria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IFERROR(VLOOKUP($MV128,$AV$2:$BA$83,2,FALSE),"")</f>
        <v/>
      </c>
      <c r="NJ128" s="155">
        <f>IFERROR(VLOOKUP($MW128,$AV$2:$BA$83,2,FALSE),"")</f>
        <v/>
      </c>
      <c r="NK128" s="155">
        <f>IFERROR(VLOOKUP($MX128,$AV$2:$BA$83,2,FALSE),"")</f>
        <v/>
      </c>
      <c r="NL128" s="155">
        <f>IFERROR(VLOOKUP($MY128,$AV$2:$BA$83,2,FALSE),"")</f>
        <v/>
      </c>
      <c r="NM128" s="155">
        <f>IFERROR(VLOOKUP($MV128,$AV$2:$BA$83,3,FALSE),0)</f>
        <v/>
      </c>
      <c r="NN128" s="155">
        <f>IFERROR(VLOOKUP($MW128,$AV$2:$BA$83,3,FALSE),0)</f>
        <v/>
      </c>
      <c r="NO128" s="155">
        <f>IFERROR(VLOOKUP($MX128,$AV$2:$BA$83,3,FALSE),0)</f>
        <v/>
      </c>
      <c r="NP128" s="155">
        <f>IFERROR(VLOOKUP($MY128,$AV$2:$BA$83,3,FALSE),0)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IFERROR(VLOOKUP($MV128,$AV$2:$BA$83,4,FALSE),0)+IFERROR(VLOOKUP($MW128,$AV$2:$BA$83,4,FALSE),0)+IFERROR(VLOOKUP($MX128,$AV$2:$BA$83,4,FALSE),0)+IFERROR(VLOOKUP($MY128,$AV$2:$BA$83,4,FALSE),0)</f>
        <v/>
      </c>
      <c r="OB128" s="155">
        <f>IFERROR(VLOOKUP($MV128,$AV$2:$BA$83,6,FALSE),0)+IFERROR(VLOOKUP($MW128,$AV$2:$BA$83,6,FALSE),0)+IFERROR(VLOOKUP($MX128,$AV$2:$BA$83,6,FALSE),0)+IFERROR(VLOOKUP($MY128,$AV$2:$BA$83,6,FALSE),0)</f>
        <v/>
      </c>
      <c r="OC128" s="155">
        <f>TEXTJOIN(", ",TRUE,IF(IFERROR(VLOOKUP($MV128,$AV$2:$BA$83,5,FALSE),0)=1,$MV128,""),IF(IFERROR(VLOOKUP($MW128,$AV$2:$BA$83,5,FALSE),0)=1,$MW128,""),IF(IFERROR(VLOOKUP($MX128,$AV$2:$BA$83,5,FALSE),0)=1,$MX128,""),IF(IFERROR(VLOOKUP($MY128,$AV$2:$BA$83,5,FALSE),0)=1,$MY128,""))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MIN($OW128,$OU128-IF($NQ128=0,0,INDEX($I$2:$N$8,MAX(1,$MQ128),$NQ128)))</f>
        <v/>
      </c>
      <c r="OY128" s="155">
        <f>$OW128-$OX128</f>
        <v/>
      </c>
      <c r="OZ128" s="155">
        <f>IF($MQ128=0,0,INDEX($P$2:$P$8,MAX(1,$MQ128)))</f>
        <v/>
      </c>
      <c r="PA128" s="155">
        <f>$OZ128-$OU128+$OX128</f>
        <v/>
      </c>
      <c r="PB128" s="155">
        <f>IF($MQ128=0,MAX(0,$NE128-IF(AND($OS128&gt;0,COUNTIF($MZ128:$NA128,"?*")=0),1,0)),MAX(0,$PA128))</f>
        <v/>
      </c>
      <c r="PC128" s="155">
        <f>IF($MQ128=0,0,(IF(COUNTIF($MV128:$MY128,"Salto")&gt;0,1,0)+IF(COUNTIF($MV128:$MY128,"Queima")&gt;0,1,0)+IF(COUNTIF($MV128:$MY128,"Estilhaço")&gt;0,1,0))*FLOOR($PB128/2,1))</f>
        <v/>
      </c>
      <c r="PD128" s="155">
        <f>MAX(0,2-SUMPRODUCT($OK128:$OP128,$I$2:$N$2)+MIN(2,$OQ128*1+$OR128*1,SUMPRODUCT($OK128:$OP128,$I$2:$N$2)-IF($NQ128=0,0,INDEX($I$2:$N$2,1,$NQ128))))</f>
        <v/>
      </c>
      <c r="PE128" s="155">
        <f>MAX(0,4-SUMPRODUCT($OK128:$OP128,$I$3:$N$3)+MIN(4,$OQ128*1+$OR128*2,SUMPRODUCT($OK128:$OP128,$I$3:$N$3)-IF($NQ128=0,0,INDEX($I$3:$N$3,1,$NQ128))))</f>
        <v/>
      </c>
      <c r="PF128" s="155">
        <f>MAX(0,6-SUMPRODUCT($OK128:$OP128,$I$4:$N$4)+MIN(6,$OQ128*2+$OR128*3,SUMPRODUCT($OK128:$OP128,$I$4:$N$4)-IF($NQ128=0,0,INDEX($I$4:$N$4,1,$NQ128))))</f>
        <v/>
      </c>
      <c r="PG128" s="155">
        <f>MAX(0,9-SUMPRODUCT($OK128:$OP128,$I$5:$N$5)+MIN(8,$OQ128*2+$OR128*4,SUMPRODUCT($OK128:$OP128,$I$5:$N$5)-IF($NQ128=0,0,INDEX($I$5:$N$5,1,$NQ128))))</f>
        <v/>
      </c>
      <c r="PH128" s="155">
        <f>MAX(0,11-SUMPRODUCT($OK128:$OP128,$I$6:$N$6)+MIN(10,$OQ128*3+$OR128*5,SUMPRODUCT($OK128:$OP128,$I$6:$N$6)-IF($NQ128=0,0,INDEX($I$6:$N$6,1,$NQ128))))</f>
        <v/>
      </c>
      <c r="PI128" s="155">
        <f>MAX(0,13-SUMPRODUCT($OK128:$OP128,$I$7:$N$7)+MIN(12,$OQ128*3+$OR128*6,SUMPRODUCT($OK128:$OP128,$I$7:$N$7)-IF($NQ128=0,0,INDEX($I$7:$N$7,1,$NQ128))))</f>
        <v/>
      </c>
      <c r="PJ128" s="155">
        <f>MAX(0,16-SUMPRODUCT($OK128:$OP128,$I$8:$N$8)+MIN(14,$OQ128*4+$OR128*7,SUMPRODUCT($OK128:$OP128,$I$8:$N$8)-IF($NQ128=0,0,INDEX($I$8:$N$8,1,$NQ128))))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Melhoria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IFERROR(VLOOKUP($MV129,$AV$2:$BA$83,2,FALSE),"")</f>
        <v/>
      </c>
      <c r="NJ129" s="155">
        <f>IFERROR(VLOOKUP($MW129,$AV$2:$BA$83,2,FALSE),"")</f>
        <v/>
      </c>
      <c r="NK129" s="155">
        <f>IFERROR(VLOOKUP($MX129,$AV$2:$BA$83,2,FALSE),"")</f>
        <v/>
      </c>
      <c r="NL129" s="155">
        <f>IFERROR(VLOOKUP($MY129,$AV$2:$BA$83,2,FALSE),"")</f>
        <v/>
      </c>
      <c r="NM129" s="155">
        <f>IFERROR(VLOOKUP($MV129,$AV$2:$BA$83,3,FALSE),0)</f>
        <v/>
      </c>
      <c r="NN129" s="155">
        <f>IFERROR(VLOOKUP($MW129,$AV$2:$BA$83,3,FALSE),0)</f>
        <v/>
      </c>
      <c r="NO129" s="155">
        <f>IFERROR(VLOOKUP($MX129,$AV$2:$BA$83,3,FALSE),0)</f>
        <v/>
      </c>
      <c r="NP129" s="155">
        <f>IFERROR(VLOOKUP($MY129,$AV$2:$BA$83,3,FALSE),0)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IFERROR(VLOOKUP($MV129,$AV$2:$BA$83,4,FALSE),0)+IFERROR(VLOOKUP($MW129,$AV$2:$BA$83,4,FALSE),0)+IFERROR(VLOOKUP($MX129,$AV$2:$BA$83,4,FALSE),0)+IFERROR(VLOOKUP($MY129,$AV$2:$BA$83,4,FALSE),0)</f>
        <v/>
      </c>
      <c r="OB129" s="155">
        <f>IFERROR(VLOOKUP($MV129,$AV$2:$BA$83,6,FALSE),0)+IFERROR(VLOOKUP($MW129,$AV$2:$BA$83,6,FALSE),0)+IFERROR(VLOOKUP($MX129,$AV$2:$BA$83,6,FALSE),0)+IFERROR(VLOOKUP($MY129,$AV$2:$BA$83,6,FALSE),0)</f>
        <v/>
      </c>
      <c r="OC129" s="155">
        <f>TEXTJOIN(", ",TRUE,IF(IFERROR(VLOOKUP($MV129,$AV$2:$BA$83,5,FALSE),0)=1,$MV129,""),IF(IFERROR(VLOOKUP($MW129,$AV$2:$BA$83,5,FALSE),0)=1,$MW129,""),IF(IFERROR(VLOOKUP($MX129,$AV$2:$BA$83,5,FALSE),0)=1,$MX129,""),IF(IFERROR(VLOOKUP($MY129,$AV$2:$BA$83,5,FALSE),0)=1,$MY129,""))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MIN($OW129,$OU129-IF($NQ129=0,0,INDEX($I$2:$N$8,MAX(1,$MQ129),$NQ129)))</f>
        <v/>
      </c>
      <c r="OY129" s="155">
        <f>$OW129-$OX129</f>
        <v/>
      </c>
      <c r="OZ129" s="155">
        <f>IF($MQ129=0,0,INDEX($P$2:$P$8,MAX(1,$MQ129)))</f>
        <v/>
      </c>
      <c r="PA129" s="155">
        <f>$OZ129-$OU129+$OX129</f>
        <v/>
      </c>
      <c r="PB129" s="155">
        <f>IF($MQ129=0,MAX(0,$NE129-IF(AND($OS129&gt;0,COUNTIF($MZ129:$NA129,"?*")=0),1,0)),MAX(0,$PA129))</f>
        <v/>
      </c>
      <c r="PC129" s="155">
        <f>IF($MQ129=0,0,(IF(COUNTIF($MV129:$MY129,"Salto")&gt;0,1,0)+IF(COUNTIF($MV129:$MY129,"Queima")&gt;0,1,0)+IF(COUNTIF($MV129:$MY129,"Estilhaço")&gt;0,1,0))*FLOOR($PB129/2,1))</f>
        <v/>
      </c>
      <c r="PD129" s="155">
        <f>MAX(0,2-SUMPRODUCT($OK129:$OP129,$I$2:$N$2)+MIN(2,$OQ129*1+$OR129*1,SUMPRODUCT($OK129:$OP129,$I$2:$N$2)-IF($NQ129=0,0,INDEX($I$2:$N$2,1,$NQ129))))</f>
        <v/>
      </c>
      <c r="PE129" s="155">
        <f>MAX(0,4-SUMPRODUCT($OK129:$OP129,$I$3:$N$3)+MIN(4,$OQ129*1+$OR129*2,SUMPRODUCT($OK129:$OP129,$I$3:$N$3)-IF($NQ129=0,0,INDEX($I$3:$N$3,1,$NQ129))))</f>
        <v/>
      </c>
      <c r="PF129" s="155">
        <f>MAX(0,6-SUMPRODUCT($OK129:$OP129,$I$4:$N$4)+MIN(6,$OQ129*2+$OR129*3,SUMPRODUCT($OK129:$OP129,$I$4:$N$4)-IF($NQ129=0,0,INDEX($I$4:$N$4,1,$NQ129))))</f>
        <v/>
      </c>
      <c r="PG129" s="155">
        <f>MAX(0,9-SUMPRODUCT($OK129:$OP129,$I$5:$N$5)+MIN(8,$OQ129*2+$OR129*4,SUMPRODUCT($OK129:$OP129,$I$5:$N$5)-IF($NQ129=0,0,INDEX($I$5:$N$5,1,$NQ129))))</f>
        <v/>
      </c>
      <c r="PH129" s="155">
        <f>MAX(0,11-SUMPRODUCT($OK129:$OP129,$I$6:$N$6)+MIN(10,$OQ129*3+$OR129*5,SUMPRODUCT($OK129:$OP129,$I$6:$N$6)-IF($NQ129=0,0,INDEX($I$6:$N$6,1,$NQ129))))</f>
        <v/>
      </c>
      <c r="PI129" s="155">
        <f>MAX(0,13-SUMPRODUCT($OK129:$OP129,$I$7:$N$7)+MIN(12,$OQ129*3+$OR129*6,SUMPRODUCT($OK129:$OP129,$I$7:$N$7)-IF($NQ129=0,0,INDEX($I$7:$N$7,1,$NQ129))))</f>
        <v/>
      </c>
      <c r="PJ129" s="155">
        <f>MAX(0,16-SUMPRODUCT($OK129:$OP129,$I$8:$N$8)+MIN(14,$OQ129*4+$OR129*7,SUMPRODUCT($OK129:$OP129,$I$8:$N$8)-IF($NQ129=0,0,INDEX($I$8:$N$8,1,$NQ129))))</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Melhoria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IFERROR(VLOOKUP($MV130,$AV$2:$BA$83,2,FALSE),"")</f>
        <v/>
      </c>
      <c r="NJ130" s="155">
        <f>IFERROR(VLOOKUP($MW130,$AV$2:$BA$83,2,FALSE),"")</f>
        <v/>
      </c>
      <c r="NK130" s="155">
        <f>IFERROR(VLOOKUP($MX130,$AV$2:$BA$83,2,FALSE),"")</f>
        <v/>
      </c>
      <c r="NL130" s="155">
        <f>IFERROR(VLOOKUP($MY130,$AV$2:$BA$83,2,FALSE),"")</f>
        <v/>
      </c>
      <c r="NM130" s="155">
        <f>IFERROR(VLOOKUP($MV130,$AV$2:$BA$83,3,FALSE),0)</f>
        <v/>
      </c>
      <c r="NN130" s="155">
        <f>IFERROR(VLOOKUP($MW130,$AV$2:$BA$83,3,FALSE),0)</f>
        <v/>
      </c>
      <c r="NO130" s="155">
        <f>IFERROR(VLOOKUP($MX130,$AV$2:$BA$83,3,FALSE),0)</f>
        <v/>
      </c>
      <c r="NP130" s="155">
        <f>IFERROR(VLOOKUP($MY130,$AV$2:$BA$83,3,FALSE),0)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IFERROR(VLOOKUP($MV130,$AV$2:$BA$83,4,FALSE),0)+IFERROR(VLOOKUP($MW130,$AV$2:$BA$83,4,FALSE),0)+IFERROR(VLOOKUP($MX130,$AV$2:$BA$83,4,FALSE),0)+IFERROR(VLOOKUP($MY130,$AV$2:$BA$83,4,FALSE),0)</f>
        <v/>
      </c>
      <c r="OB130" s="155">
        <f>IFERROR(VLOOKUP($MV130,$AV$2:$BA$83,6,FALSE),0)+IFERROR(VLOOKUP($MW130,$AV$2:$BA$83,6,FALSE),0)+IFERROR(VLOOKUP($MX130,$AV$2:$BA$83,6,FALSE),0)+IFERROR(VLOOKUP($MY130,$AV$2:$BA$83,6,FALSE),0)</f>
        <v/>
      </c>
      <c r="OC130" s="155">
        <f>TEXTJOIN(", ",TRUE,IF(IFERROR(VLOOKUP($MV130,$AV$2:$BA$83,5,FALSE),0)=1,$MV130,""),IF(IFERROR(VLOOKUP($MW130,$AV$2:$BA$83,5,FALSE),0)=1,$MW130,""),IF(IFERROR(VLOOKUP($MX130,$AV$2:$BA$83,5,FALSE),0)=1,$MX130,""),IF(IFERROR(VLOOKUP($MY130,$AV$2:$BA$83,5,FALSE),0)=1,$MY130,""))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MIN($OW130,$OU130-IF($NQ130=0,0,INDEX($I$2:$N$8,MAX(1,$MQ130),$NQ130)))</f>
        <v/>
      </c>
      <c r="OY130" s="155">
        <f>$OW130-$OX130</f>
        <v/>
      </c>
      <c r="OZ130" s="155">
        <f>IF($MQ130=0,0,INDEX($P$2:$P$8,MAX(1,$MQ130)))</f>
        <v/>
      </c>
      <c r="PA130" s="155">
        <f>$OZ130-$OU130+$OX130</f>
        <v/>
      </c>
      <c r="PB130" s="155">
        <f>IF($MQ130=0,MAX(0,$NE130-IF(AND($OS130&gt;0,COUNTIF($MZ130:$NA130,"?*")=0),1,0)),MAX(0,$PA130))</f>
        <v/>
      </c>
      <c r="PC130" s="155">
        <f>IF($MQ130=0,0,(IF(COUNTIF($MV130:$MY130,"Salto")&gt;0,1,0)+IF(COUNTIF($MV130:$MY130,"Queima")&gt;0,1,0)+IF(COUNTIF($MV130:$MY130,"Estilhaço")&gt;0,1,0))*FLOOR($PB130/2,1))</f>
        <v/>
      </c>
      <c r="PD130" s="155">
        <f>MAX(0,2-SUMPRODUCT($OK130:$OP130,$I$2:$N$2)+MIN(2,$OQ130*1+$OR130*1,SUMPRODUCT($OK130:$OP130,$I$2:$N$2)-IF($NQ130=0,0,INDEX($I$2:$N$2,1,$NQ130))))</f>
        <v/>
      </c>
      <c r="PE130" s="155">
        <f>MAX(0,4-SUMPRODUCT($OK130:$OP130,$I$3:$N$3)+MIN(4,$OQ130*1+$OR130*2,SUMPRODUCT($OK130:$OP130,$I$3:$N$3)-IF($NQ130=0,0,INDEX($I$3:$N$3,1,$NQ130))))</f>
        <v/>
      </c>
      <c r="PF130" s="155">
        <f>MAX(0,6-SUMPRODUCT($OK130:$OP130,$I$4:$N$4)+MIN(6,$OQ130*2+$OR130*3,SUMPRODUCT($OK130:$OP130,$I$4:$N$4)-IF($NQ130=0,0,INDEX($I$4:$N$4,1,$NQ130))))</f>
        <v/>
      </c>
      <c r="PG130" s="155">
        <f>MAX(0,9-SUMPRODUCT($OK130:$OP130,$I$5:$N$5)+MIN(8,$OQ130*2+$OR130*4,SUMPRODUCT($OK130:$OP130,$I$5:$N$5)-IF($NQ130=0,0,INDEX($I$5:$N$5,1,$NQ130))))</f>
        <v/>
      </c>
      <c r="PH130" s="155">
        <f>MAX(0,11-SUMPRODUCT($OK130:$OP130,$I$6:$N$6)+MIN(10,$OQ130*3+$OR130*5,SUMPRODUCT($OK130:$OP130,$I$6:$N$6)-IF($NQ130=0,0,INDEX($I$6:$N$6,1,$NQ130))))</f>
        <v/>
      </c>
      <c r="PI130" s="155">
        <f>MAX(0,13-SUMPRODUCT($OK130:$OP130,$I$7:$N$7)+MIN(12,$OQ130*3+$OR130*6,SUMPRODUCT($OK130:$OP130,$I$7:$N$7)-IF($NQ130=0,0,INDEX($I$7:$N$7,1,$NQ130))))</f>
        <v/>
      </c>
      <c r="PJ130" s="155">
        <f>MAX(0,16-SUMPRODUCT($OK130:$OP130,$I$8:$N$8)+MIN(14,$OQ130*4+$OR130*7,SUMPRODUCT($OK130:$OP130,$I$8:$N$8)-IF($NQ130=0,0,INDEX($I$8:$N$8,1,$NQ130))))</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Melhoria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IFERROR(VLOOKUP($MV131,$AV$2:$BA$83,2,FALSE),"")</f>
        <v/>
      </c>
      <c r="NJ131" s="155">
        <f>IFERROR(VLOOKUP($MW131,$AV$2:$BA$83,2,FALSE),"")</f>
        <v/>
      </c>
      <c r="NK131" s="155">
        <f>IFERROR(VLOOKUP($MX131,$AV$2:$BA$83,2,FALSE),"")</f>
        <v/>
      </c>
      <c r="NL131" s="155">
        <f>IFERROR(VLOOKUP($MY131,$AV$2:$BA$83,2,FALSE),"")</f>
        <v/>
      </c>
      <c r="NM131" s="155">
        <f>IFERROR(VLOOKUP($MV131,$AV$2:$BA$83,3,FALSE),0)</f>
        <v/>
      </c>
      <c r="NN131" s="155">
        <f>IFERROR(VLOOKUP($MW131,$AV$2:$BA$83,3,FALSE),0)</f>
        <v/>
      </c>
      <c r="NO131" s="155">
        <f>IFERROR(VLOOKUP($MX131,$AV$2:$BA$83,3,FALSE),0)</f>
        <v/>
      </c>
      <c r="NP131" s="155">
        <f>IFERROR(VLOOKUP($MY131,$AV$2:$BA$83,3,FALSE),0)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IFERROR(VLOOKUP($MV131,$AV$2:$BA$83,4,FALSE),0)+IFERROR(VLOOKUP($MW131,$AV$2:$BA$83,4,FALSE),0)+IFERROR(VLOOKUP($MX131,$AV$2:$BA$83,4,FALSE),0)+IFERROR(VLOOKUP($MY131,$AV$2:$BA$83,4,FALSE),0)</f>
        <v/>
      </c>
      <c r="OB131" s="155">
        <f>IFERROR(VLOOKUP($MV131,$AV$2:$BA$83,6,FALSE),0)+IFERROR(VLOOKUP($MW131,$AV$2:$BA$83,6,FALSE),0)+IFERROR(VLOOKUP($MX131,$AV$2:$BA$83,6,FALSE),0)+IFERROR(VLOOKUP($MY131,$AV$2:$BA$83,6,FALSE),0)</f>
        <v/>
      </c>
      <c r="OC131" s="155">
        <f>TEXTJOIN(", ",TRUE,IF(IFERROR(VLOOKUP($MV131,$AV$2:$BA$83,5,FALSE),0)=1,$MV131,""),IF(IFERROR(VLOOKUP($MW131,$AV$2:$BA$83,5,FALSE),0)=1,$MW131,""),IF(IFERROR(VLOOKUP($MX131,$AV$2:$BA$83,5,FALSE),0)=1,$MX131,""),IF(IFERROR(VLOOKUP($MY131,$AV$2:$BA$83,5,FALSE),0)=1,$MY131,""))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MIN($OW131,$OU131-IF($NQ131=0,0,INDEX($I$2:$N$8,MAX(1,$MQ131),$NQ131)))</f>
        <v/>
      </c>
      <c r="OY131" s="155">
        <f>$OW131-$OX131</f>
        <v/>
      </c>
      <c r="OZ131" s="155">
        <f>IF($MQ131=0,0,INDEX($P$2:$P$8,MAX(1,$MQ131)))</f>
        <v/>
      </c>
      <c r="PA131" s="155">
        <f>$OZ131-$OU131+$OX131</f>
        <v/>
      </c>
      <c r="PB131" s="155">
        <f>IF($MQ131=0,MAX(0,$NE131-IF(AND($OS131&gt;0,COUNTIF($MZ131:$NA131,"?*")=0),1,0)),MAX(0,$PA131))</f>
        <v/>
      </c>
      <c r="PC131" s="155">
        <f>IF($MQ131=0,0,(IF(COUNTIF($MV131:$MY131,"Salto")&gt;0,1,0)+IF(COUNTIF($MV131:$MY131,"Queima")&gt;0,1,0)+IF(COUNTIF($MV131:$MY131,"Estilhaço")&gt;0,1,0))*FLOOR($PB131/2,1))</f>
        <v/>
      </c>
      <c r="PD131" s="155">
        <f>MAX(0,2-SUMPRODUCT($OK131:$OP131,$I$2:$N$2)+MIN(2,$OQ131*1+$OR131*1,SUMPRODUCT($OK131:$OP131,$I$2:$N$2)-IF($NQ131=0,0,INDEX($I$2:$N$2,1,$NQ131))))</f>
        <v/>
      </c>
      <c r="PE131" s="155">
        <f>MAX(0,4-SUMPRODUCT($OK131:$OP131,$I$3:$N$3)+MIN(4,$OQ131*1+$OR131*2,SUMPRODUCT($OK131:$OP131,$I$3:$N$3)-IF($NQ131=0,0,INDEX($I$3:$N$3,1,$NQ131))))</f>
        <v/>
      </c>
      <c r="PF131" s="155">
        <f>MAX(0,6-SUMPRODUCT($OK131:$OP131,$I$4:$N$4)+MIN(6,$OQ131*2+$OR131*3,SUMPRODUCT($OK131:$OP131,$I$4:$N$4)-IF($NQ131=0,0,INDEX($I$4:$N$4,1,$NQ131))))</f>
        <v/>
      </c>
      <c r="PG131" s="155">
        <f>MAX(0,9-SUMPRODUCT($OK131:$OP131,$I$5:$N$5)+MIN(8,$OQ131*2+$OR131*4,SUMPRODUCT($OK131:$OP131,$I$5:$N$5)-IF($NQ131=0,0,INDEX($I$5:$N$5,1,$NQ131))))</f>
        <v/>
      </c>
      <c r="PH131" s="155">
        <f>MAX(0,11-SUMPRODUCT($OK131:$OP131,$I$6:$N$6)+MIN(10,$OQ131*3+$OR131*5,SUMPRODUCT($OK131:$OP131,$I$6:$N$6)-IF($NQ131=0,0,INDEX($I$6:$N$6,1,$NQ131))))</f>
        <v/>
      </c>
      <c r="PI131" s="155">
        <f>MAX(0,13-SUMPRODUCT($OK131:$OP131,$I$7:$N$7)+MIN(12,$OQ131*3+$OR131*6,SUMPRODUCT($OK131:$OP131,$I$7:$N$7)-IF($NQ131=0,0,INDEX($I$7:$N$7,1,$NQ131))))</f>
        <v/>
      </c>
      <c r="PJ131" s="155">
        <f>MAX(0,16-SUMPRODUCT($OK131:$OP131,$I$8:$N$8)+MIN(14,$OQ131*4+$OR131*7,SUMPRODUCT($OK131:$OP131,$I$8:$N$8)-IF($NQ131=0,0,INDEX($I$8:$N$8,1,$NQ131))))</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Melhoria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IFERROR(VLOOKUP($MV132,$AV$2:$BA$83,2,FALSE),"")</f>
        <v/>
      </c>
      <c r="NJ132" s="155">
        <f>IFERROR(VLOOKUP($MW132,$AV$2:$BA$83,2,FALSE),"")</f>
        <v/>
      </c>
      <c r="NK132" s="155">
        <f>IFERROR(VLOOKUP($MX132,$AV$2:$BA$83,2,FALSE),"")</f>
        <v/>
      </c>
      <c r="NL132" s="155">
        <f>IFERROR(VLOOKUP($MY132,$AV$2:$BA$83,2,FALSE),"")</f>
        <v/>
      </c>
      <c r="NM132" s="155">
        <f>IFERROR(VLOOKUP($MV132,$AV$2:$BA$83,3,FALSE),0)</f>
        <v/>
      </c>
      <c r="NN132" s="155">
        <f>IFERROR(VLOOKUP($MW132,$AV$2:$BA$83,3,FALSE),0)</f>
        <v/>
      </c>
      <c r="NO132" s="155">
        <f>IFERROR(VLOOKUP($MX132,$AV$2:$BA$83,3,FALSE),0)</f>
        <v/>
      </c>
      <c r="NP132" s="155">
        <f>IFERROR(VLOOKUP($MY132,$AV$2:$BA$83,3,FALSE),0)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IFERROR(VLOOKUP($MV132,$AV$2:$BA$83,4,FALSE),0)+IFERROR(VLOOKUP($MW132,$AV$2:$BA$83,4,FALSE),0)+IFERROR(VLOOKUP($MX132,$AV$2:$BA$83,4,FALSE),0)+IFERROR(VLOOKUP($MY132,$AV$2:$BA$83,4,FALSE),0)</f>
        <v/>
      </c>
      <c r="OB132" s="155">
        <f>IFERROR(VLOOKUP($MV132,$AV$2:$BA$83,6,FALSE),0)+IFERROR(VLOOKUP($MW132,$AV$2:$BA$83,6,FALSE),0)+IFERROR(VLOOKUP($MX132,$AV$2:$BA$83,6,FALSE),0)+IFERROR(VLOOKUP($MY132,$AV$2:$BA$83,6,FALSE),0)</f>
        <v/>
      </c>
      <c r="OC132" s="155">
        <f>TEXTJOIN(", ",TRUE,IF(IFERROR(VLOOKUP($MV132,$AV$2:$BA$83,5,FALSE),0)=1,$MV132,""),IF(IFERROR(VLOOKUP($MW132,$AV$2:$BA$83,5,FALSE),0)=1,$MW132,""),IF(IFERROR(VLOOKUP($MX132,$AV$2:$BA$83,5,FALSE),0)=1,$MX132,""),IF(IFERROR(VLOOKUP($MY132,$AV$2:$BA$83,5,FALSE),0)=1,$MY132,""))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MIN($OW132,$OU132-IF($NQ132=0,0,INDEX($I$2:$N$8,MAX(1,$MQ132),$NQ132)))</f>
        <v/>
      </c>
      <c r="OY132" s="155">
        <f>$OW132-$OX132</f>
        <v/>
      </c>
      <c r="OZ132" s="155">
        <f>IF($MQ132=0,0,INDEX($P$2:$P$8,MAX(1,$MQ132)))</f>
        <v/>
      </c>
      <c r="PA132" s="155">
        <f>$OZ132-$OU132+$OX132</f>
        <v/>
      </c>
      <c r="PB132" s="155">
        <f>IF($MQ132=0,MAX(0,$NE132-IF(AND($OS132&gt;0,COUNTIF($MZ132:$NA132,"?*")=0),1,0)),MAX(0,$PA132))</f>
        <v/>
      </c>
      <c r="PC132" s="155">
        <f>IF($MQ132=0,0,(IF(COUNTIF($MV132:$MY132,"Salto")&gt;0,1,0)+IF(COUNTIF($MV132:$MY132,"Queima")&gt;0,1,0)+IF(COUNTIF($MV132:$MY132,"Estilhaço")&gt;0,1,0))*FLOOR($PB132/2,1))</f>
        <v/>
      </c>
      <c r="PD132" s="155">
        <f>MAX(0,2-SUMPRODUCT($OK132:$OP132,$I$2:$N$2)+MIN(2,$OQ132*1+$OR132*1,SUMPRODUCT($OK132:$OP132,$I$2:$N$2)-IF($NQ132=0,0,INDEX($I$2:$N$2,1,$NQ132))))</f>
        <v/>
      </c>
      <c r="PE132" s="155">
        <f>MAX(0,4-SUMPRODUCT($OK132:$OP132,$I$3:$N$3)+MIN(4,$OQ132*1+$OR132*2,SUMPRODUCT($OK132:$OP132,$I$3:$N$3)-IF($NQ132=0,0,INDEX($I$3:$N$3,1,$NQ132))))</f>
        <v/>
      </c>
      <c r="PF132" s="155">
        <f>MAX(0,6-SUMPRODUCT($OK132:$OP132,$I$4:$N$4)+MIN(6,$OQ132*2+$OR132*3,SUMPRODUCT($OK132:$OP132,$I$4:$N$4)-IF($NQ132=0,0,INDEX($I$4:$N$4,1,$NQ132))))</f>
        <v/>
      </c>
      <c r="PG132" s="155">
        <f>MAX(0,9-SUMPRODUCT($OK132:$OP132,$I$5:$N$5)+MIN(8,$OQ132*2+$OR132*4,SUMPRODUCT($OK132:$OP132,$I$5:$N$5)-IF($NQ132=0,0,INDEX($I$5:$N$5,1,$NQ132))))</f>
        <v/>
      </c>
      <c r="PH132" s="155">
        <f>MAX(0,11-SUMPRODUCT($OK132:$OP132,$I$6:$N$6)+MIN(10,$OQ132*3+$OR132*5,SUMPRODUCT($OK132:$OP132,$I$6:$N$6)-IF($NQ132=0,0,INDEX($I$6:$N$6,1,$NQ132))))</f>
        <v/>
      </c>
      <c r="PI132" s="155">
        <f>MAX(0,13-SUMPRODUCT($OK132:$OP132,$I$7:$N$7)+MIN(12,$OQ132*3+$OR132*6,SUMPRODUCT($OK132:$OP132,$I$7:$N$7)-IF($NQ132=0,0,INDEX($I$7:$N$7,1,$NQ132))))</f>
        <v/>
      </c>
      <c r="PJ132" s="155">
        <f>MAX(0,16-SUMPRODUCT($OK132:$OP132,$I$8:$N$8)+MIN(14,$OQ132*4+$OR132*7,SUMPRODUCT($OK132:$OP132,$I$8:$N$8)-IF($NQ132=0,0,INDEX($I$8:$N$8,1,$NQ132))))</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Melhoria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IFERROR(VLOOKUP($MV133,$AV$2:$BA$83,2,FALSE),"")</f>
        <v/>
      </c>
      <c r="NJ133" s="155">
        <f>IFERROR(VLOOKUP($MW133,$AV$2:$BA$83,2,FALSE),"")</f>
        <v/>
      </c>
      <c r="NK133" s="155">
        <f>IFERROR(VLOOKUP($MX133,$AV$2:$BA$83,2,FALSE),"")</f>
        <v/>
      </c>
      <c r="NL133" s="155">
        <f>IFERROR(VLOOKUP($MY133,$AV$2:$BA$83,2,FALSE),"")</f>
        <v/>
      </c>
      <c r="NM133" s="155">
        <f>IFERROR(VLOOKUP($MV133,$AV$2:$BA$83,3,FALSE),0)</f>
        <v/>
      </c>
      <c r="NN133" s="155">
        <f>IFERROR(VLOOKUP($MW133,$AV$2:$BA$83,3,FALSE),0)</f>
        <v/>
      </c>
      <c r="NO133" s="155">
        <f>IFERROR(VLOOKUP($MX133,$AV$2:$BA$83,3,FALSE),0)</f>
        <v/>
      </c>
      <c r="NP133" s="155">
        <f>IFERROR(VLOOKUP($MY133,$AV$2:$BA$83,3,FALSE),0)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IFERROR(VLOOKUP($MV133,$AV$2:$BA$83,4,FALSE),0)+IFERROR(VLOOKUP($MW133,$AV$2:$BA$83,4,FALSE),0)+IFERROR(VLOOKUP($MX133,$AV$2:$BA$83,4,FALSE),0)+IFERROR(VLOOKUP($MY133,$AV$2:$BA$83,4,FALSE),0)</f>
        <v/>
      </c>
      <c r="OB133" s="155">
        <f>IFERROR(VLOOKUP($MV133,$AV$2:$BA$83,6,FALSE),0)+IFERROR(VLOOKUP($MW133,$AV$2:$BA$83,6,FALSE),0)+IFERROR(VLOOKUP($MX133,$AV$2:$BA$83,6,FALSE),0)+IFERROR(VLOOKUP($MY133,$AV$2:$BA$83,6,FALSE),0)</f>
        <v/>
      </c>
      <c r="OC133" s="155">
        <f>TEXTJOIN(", ",TRUE,IF(IFERROR(VLOOKUP($MV133,$AV$2:$BA$83,5,FALSE),0)=1,$MV133,""),IF(IFERROR(VLOOKUP($MW133,$AV$2:$BA$83,5,FALSE),0)=1,$MW133,""),IF(IFERROR(VLOOKUP($MX133,$AV$2:$BA$83,5,FALSE),0)=1,$MX133,""),IF(IFERROR(VLOOKUP($MY133,$AV$2:$BA$83,5,FALSE),0)=1,$MY133,""))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MIN($OW133,$OU133-IF($NQ133=0,0,INDEX($I$2:$N$8,MAX(1,$MQ133),$NQ133)))</f>
        <v/>
      </c>
      <c r="OY133" s="155">
        <f>$OW133-$OX133</f>
        <v/>
      </c>
      <c r="OZ133" s="155">
        <f>IF($MQ133=0,0,INDEX($P$2:$P$8,MAX(1,$MQ133)))</f>
        <v/>
      </c>
      <c r="PA133" s="155">
        <f>$OZ133-$OU133+$OX133</f>
        <v/>
      </c>
      <c r="PB133" s="155">
        <f>IF($MQ133=0,MAX(0,$NE133-IF(AND($OS133&gt;0,COUNTIF($MZ133:$NA133,"?*")=0),1,0)),MAX(0,$PA133))</f>
        <v/>
      </c>
      <c r="PC133" s="155">
        <f>IF($MQ133=0,0,(IF(COUNTIF($MV133:$MY133,"Salto")&gt;0,1,0)+IF(COUNTIF($MV133:$MY133,"Queima")&gt;0,1,0)+IF(COUNTIF($MV133:$MY133,"Estilhaço")&gt;0,1,0))*FLOOR($PB133/2,1))</f>
        <v/>
      </c>
      <c r="PD133" s="155">
        <f>MAX(0,2-SUMPRODUCT($OK133:$OP133,$I$2:$N$2)+MIN(2,$OQ133*1+$OR133*1,SUMPRODUCT($OK133:$OP133,$I$2:$N$2)-IF($NQ133=0,0,INDEX($I$2:$N$2,1,$NQ133))))</f>
        <v/>
      </c>
      <c r="PE133" s="155">
        <f>MAX(0,4-SUMPRODUCT($OK133:$OP133,$I$3:$N$3)+MIN(4,$OQ133*1+$OR133*2,SUMPRODUCT($OK133:$OP133,$I$3:$N$3)-IF($NQ133=0,0,INDEX($I$3:$N$3,1,$NQ133))))</f>
        <v/>
      </c>
      <c r="PF133" s="155">
        <f>MAX(0,6-SUMPRODUCT($OK133:$OP133,$I$4:$N$4)+MIN(6,$OQ133*2+$OR133*3,SUMPRODUCT($OK133:$OP133,$I$4:$N$4)-IF($NQ133=0,0,INDEX($I$4:$N$4,1,$NQ133))))</f>
        <v/>
      </c>
      <c r="PG133" s="155">
        <f>MAX(0,9-SUMPRODUCT($OK133:$OP133,$I$5:$N$5)+MIN(8,$OQ133*2+$OR133*4,SUMPRODUCT($OK133:$OP133,$I$5:$N$5)-IF($NQ133=0,0,INDEX($I$5:$N$5,1,$NQ133))))</f>
        <v/>
      </c>
      <c r="PH133" s="155">
        <f>MAX(0,11-SUMPRODUCT($OK133:$OP133,$I$6:$N$6)+MIN(10,$OQ133*3+$OR133*5,SUMPRODUCT($OK133:$OP133,$I$6:$N$6)-IF($NQ133=0,0,INDEX($I$6:$N$6,1,$NQ133))))</f>
        <v/>
      </c>
      <c r="PI133" s="155">
        <f>MAX(0,13-SUMPRODUCT($OK133:$OP133,$I$7:$N$7)+MIN(12,$OQ133*3+$OR133*6,SUMPRODUCT($OK133:$OP133,$I$7:$N$7)-IF($NQ133=0,0,INDEX($I$7:$N$7,1,$NQ133))))</f>
        <v/>
      </c>
      <c r="PJ133" s="155">
        <f>MAX(0,16-SUMPRODUCT($OK133:$OP133,$I$8:$N$8)+MIN(14,$OQ133*4+$OR133*7,SUMPRODUCT($OK133:$OP133,$I$8:$N$8)-IF($NQ133=0,0,INDEX($I$8:$N$8,1,$NQ133))))</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Melhoria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IFERROR(VLOOKUP($MV134,$AV$2:$BA$83,2,FALSE),"")</f>
        <v/>
      </c>
      <c r="NJ134" s="155">
        <f>IFERROR(VLOOKUP($MW134,$AV$2:$BA$83,2,FALSE),"")</f>
        <v/>
      </c>
      <c r="NK134" s="155">
        <f>IFERROR(VLOOKUP($MX134,$AV$2:$BA$83,2,FALSE),"")</f>
        <v/>
      </c>
      <c r="NL134" s="155">
        <f>IFERROR(VLOOKUP($MY134,$AV$2:$BA$83,2,FALSE),"")</f>
        <v/>
      </c>
      <c r="NM134" s="155">
        <f>IFERROR(VLOOKUP($MV134,$AV$2:$BA$83,3,FALSE),0)</f>
        <v/>
      </c>
      <c r="NN134" s="155">
        <f>IFERROR(VLOOKUP($MW134,$AV$2:$BA$83,3,FALSE),0)</f>
        <v/>
      </c>
      <c r="NO134" s="155">
        <f>IFERROR(VLOOKUP($MX134,$AV$2:$BA$83,3,FALSE),0)</f>
        <v/>
      </c>
      <c r="NP134" s="155">
        <f>IFERROR(VLOOKUP($MY134,$AV$2:$BA$83,3,FALSE),0)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IFERROR(VLOOKUP($MV134,$AV$2:$BA$83,4,FALSE),0)+IFERROR(VLOOKUP($MW134,$AV$2:$BA$83,4,FALSE),0)+IFERROR(VLOOKUP($MX134,$AV$2:$BA$83,4,FALSE),0)+IFERROR(VLOOKUP($MY134,$AV$2:$BA$83,4,FALSE),0)</f>
        <v/>
      </c>
      <c r="OB134" s="155">
        <f>IFERROR(VLOOKUP($MV134,$AV$2:$BA$83,6,FALSE),0)+IFERROR(VLOOKUP($MW134,$AV$2:$BA$83,6,FALSE),0)+IFERROR(VLOOKUP($MX134,$AV$2:$BA$83,6,FALSE),0)+IFERROR(VLOOKUP($MY134,$AV$2:$BA$83,6,FALSE),0)</f>
        <v/>
      </c>
      <c r="OC134" s="155">
        <f>TEXTJOIN(", ",TRUE,IF(IFERROR(VLOOKUP($MV134,$AV$2:$BA$83,5,FALSE),0)=1,$MV134,""),IF(IFERROR(VLOOKUP($MW134,$AV$2:$BA$83,5,FALSE),0)=1,$MW134,""),IF(IFERROR(VLOOKUP($MX134,$AV$2:$BA$83,5,FALSE),0)=1,$MX134,""),IF(IFERROR(VLOOKUP($MY134,$AV$2:$BA$83,5,FALSE),0)=1,$MY134,""))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MIN($OW134,$OU134-IF($NQ134=0,0,INDEX($I$2:$N$8,MAX(1,$MQ134),$NQ134)))</f>
        <v/>
      </c>
      <c r="OY134" s="155">
        <f>$OW134-$OX134</f>
        <v/>
      </c>
      <c r="OZ134" s="155">
        <f>IF($MQ134=0,0,INDEX($P$2:$P$8,MAX(1,$MQ134)))</f>
        <v/>
      </c>
      <c r="PA134" s="155">
        <f>$OZ134-$OU134+$OX134</f>
        <v/>
      </c>
      <c r="PB134" s="155">
        <f>IF($MQ134=0,MAX(0,$NE134-IF(AND($OS134&gt;0,COUNTIF($MZ134:$NA134,"?*")=0),1,0)),MAX(0,$PA134))</f>
        <v/>
      </c>
      <c r="PC134" s="155">
        <f>IF($MQ134=0,0,(IF(COUNTIF($MV134:$MY134,"Salto")&gt;0,1,0)+IF(COUNTIF($MV134:$MY134,"Queima")&gt;0,1,0)+IF(COUNTIF($MV134:$MY134,"Estilhaço")&gt;0,1,0))*FLOOR($PB134/2,1))</f>
        <v/>
      </c>
      <c r="PD134" s="155">
        <f>MAX(0,2-SUMPRODUCT($OK134:$OP134,$I$2:$N$2)+MIN(2,$OQ134*1+$OR134*1,SUMPRODUCT($OK134:$OP134,$I$2:$N$2)-IF($NQ134=0,0,INDEX($I$2:$N$2,1,$NQ134))))</f>
        <v/>
      </c>
      <c r="PE134" s="155">
        <f>MAX(0,4-SUMPRODUCT($OK134:$OP134,$I$3:$N$3)+MIN(4,$OQ134*1+$OR134*2,SUMPRODUCT($OK134:$OP134,$I$3:$N$3)-IF($NQ134=0,0,INDEX($I$3:$N$3,1,$NQ134))))</f>
        <v/>
      </c>
      <c r="PF134" s="155">
        <f>MAX(0,6-SUMPRODUCT($OK134:$OP134,$I$4:$N$4)+MIN(6,$OQ134*2+$OR134*3,SUMPRODUCT($OK134:$OP134,$I$4:$N$4)-IF($NQ134=0,0,INDEX($I$4:$N$4,1,$NQ134))))</f>
        <v/>
      </c>
      <c r="PG134" s="155">
        <f>MAX(0,9-SUMPRODUCT($OK134:$OP134,$I$5:$N$5)+MIN(8,$OQ134*2+$OR134*4,SUMPRODUCT($OK134:$OP134,$I$5:$N$5)-IF($NQ134=0,0,INDEX($I$5:$N$5,1,$NQ134))))</f>
        <v/>
      </c>
      <c r="PH134" s="155">
        <f>MAX(0,11-SUMPRODUCT($OK134:$OP134,$I$6:$N$6)+MIN(10,$OQ134*3+$OR134*5,SUMPRODUCT($OK134:$OP134,$I$6:$N$6)-IF($NQ134=0,0,INDEX($I$6:$N$6,1,$NQ134))))</f>
        <v/>
      </c>
      <c r="PI134" s="155">
        <f>MAX(0,13-SUMPRODUCT($OK134:$OP134,$I$7:$N$7)+MIN(12,$OQ134*3+$OR134*6,SUMPRODUCT($OK134:$OP134,$I$7:$N$7)-IF($NQ134=0,0,INDEX($I$7:$N$7,1,$NQ134))))</f>
        <v/>
      </c>
      <c r="PJ134" s="155">
        <f>MAX(0,16-SUMPRODUCT($OK134:$OP134,$I$8:$N$8)+MIN(14,$OQ134*4+$OR134*7,SUMPRODUCT($OK134:$OP134,$I$8:$N$8)-IF($NQ134=0,0,INDEX($I$8:$N$8,1,$NQ134))))</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Melhoria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IFERROR(VLOOKUP($MV135,$AV$2:$BA$83,2,FALSE),"")</f>
        <v/>
      </c>
      <c r="NJ135" s="155">
        <f>IFERROR(VLOOKUP($MW135,$AV$2:$BA$83,2,FALSE),"")</f>
        <v/>
      </c>
      <c r="NK135" s="155">
        <f>IFERROR(VLOOKUP($MX135,$AV$2:$BA$83,2,FALSE),"")</f>
        <v/>
      </c>
      <c r="NL135" s="155">
        <f>IFERROR(VLOOKUP($MY135,$AV$2:$BA$83,2,FALSE),"")</f>
        <v/>
      </c>
      <c r="NM135" s="155">
        <f>IFERROR(VLOOKUP($MV135,$AV$2:$BA$83,3,FALSE),0)</f>
        <v/>
      </c>
      <c r="NN135" s="155">
        <f>IFERROR(VLOOKUP($MW135,$AV$2:$BA$83,3,FALSE),0)</f>
        <v/>
      </c>
      <c r="NO135" s="155">
        <f>IFERROR(VLOOKUP($MX135,$AV$2:$BA$83,3,FALSE),0)</f>
        <v/>
      </c>
      <c r="NP135" s="155">
        <f>IFERROR(VLOOKUP($MY135,$AV$2:$BA$83,3,FALSE),0)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IFERROR(VLOOKUP($MV135,$AV$2:$BA$83,4,FALSE),0)+IFERROR(VLOOKUP($MW135,$AV$2:$BA$83,4,FALSE),0)+IFERROR(VLOOKUP($MX135,$AV$2:$BA$83,4,FALSE),0)+IFERROR(VLOOKUP($MY135,$AV$2:$BA$83,4,FALSE),0)</f>
        <v/>
      </c>
      <c r="OB135" s="155">
        <f>IFERROR(VLOOKUP($MV135,$AV$2:$BA$83,6,FALSE),0)+IFERROR(VLOOKUP($MW135,$AV$2:$BA$83,6,FALSE),0)+IFERROR(VLOOKUP($MX135,$AV$2:$BA$83,6,FALSE),0)+IFERROR(VLOOKUP($MY135,$AV$2:$BA$83,6,FALSE),0)</f>
        <v/>
      </c>
      <c r="OC135" s="155">
        <f>TEXTJOIN(", ",TRUE,IF(IFERROR(VLOOKUP($MV135,$AV$2:$BA$83,5,FALSE),0)=1,$MV135,""),IF(IFERROR(VLOOKUP($MW135,$AV$2:$BA$83,5,FALSE),0)=1,$MW135,""),IF(IFERROR(VLOOKUP($MX135,$AV$2:$BA$83,5,FALSE),0)=1,$MX135,""),IF(IFERROR(VLOOKUP($MY135,$AV$2:$BA$83,5,FALSE),0)=1,$MY135,""))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MIN($OW135,$OU135-IF($NQ135=0,0,INDEX($I$2:$N$8,MAX(1,$MQ135),$NQ135)))</f>
        <v/>
      </c>
      <c r="OY135" s="155">
        <f>$OW135-$OX135</f>
        <v/>
      </c>
      <c r="OZ135" s="155">
        <f>IF($MQ135=0,0,INDEX($P$2:$P$8,MAX(1,$MQ135)))</f>
        <v/>
      </c>
      <c r="PA135" s="155">
        <f>$OZ135-$OU135+$OX135</f>
        <v/>
      </c>
      <c r="PB135" s="155">
        <f>IF($MQ135=0,MAX(0,$NE135-IF(AND($OS135&gt;0,COUNTIF($MZ135:$NA135,"?*")=0),1,0)),MAX(0,$PA135))</f>
        <v/>
      </c>
      <c r="PC135" s="155">
        <f>IF($MQ135=0,0,(IF(COUNTIF($MV135:$MY135,"Salto")&gt;0,1,0)+IF(COUNTIF($MV135:$MY135,"Queima")&gt;0,1,0)+IF(COUNTIF($MV135:$MY135,"Estilhaço")&gt;0,1,0))*FLOOR($PB135/2,1))</f>
        <v/>
      </c>
      <c r="PD135" s="155">
        <f>MAX(0,2-SUMPRODUCT($OK135:$OP135,$I$2:$N$2)+MIN(2,$OQ135*1+$OR135*1,SUMPRODUCT($OK135:$OP135,$I$2:$N$2)-IF($NQ135=0,0,INDEX($I$2:$N$2,1,$NQ135))))</f>
        <v/>
      </c>
      <c r="PE135" s="155">
        <f>MAX(0,4-SUMPRODUCT($OK135:$OP135,$I$3:$N$3)+MIN(4,$OQ135*1+$OR135*2,SUMPRODUCT($OK135:$OP135,$I$3:$N$3)-IF($NQ135=0,0,INDEX($I$3:$N$3,1,$NQ135))))</f>
        <v/>
      </c>
      <c r="PF135" s="155">
        <f>MAX(0,6-SUMPRODUCT($OK135:$OP135,$I$4:$N$4)+MIN(6,$OQ135*2+$OR135*3,SUMPRODUCT($OK135:$OP135,$I$4:$N$4)-IF($NQ135=0,0,INDEX($I$4:$N$4,1,$NQ135))))</f>
        <v/>
      </c>
      <c r="PG135" s="155">
        <f>MAX(0,9-SUMPRODUCT($OK135:$OP135,$I$5:$N$5)+MIN(8,$OQ135*2+$OR135*4,SUMPRODUCT($OK135:$OP135,$I$5:$N$5)-IF($NQ135=0,0,INDEX($I$5:$N$5,1,$NQ135))))</f>
        <v/>
      </c>
      <c r="PH135" s="155">
        <f>MAX(0,11-SUMPRODUCT($OK135:$OP135,$I$6:$N$6)+MIN(10,$OQ135*3+$OR135*5,SUMPRODUCT($OK135:$OP135,$I$6:$N$6)-IF($NQ135=0,0,INDEX($I$6:$N$6,1,$NQ135))))</f>
        <v/>
      </c>
      <c r="PI135" s="155">
        <f>MAX(0,13-SUMPRODUCT($OK135:$OP135,$I$7:$N$7)+MIN(12,$OQ135*3+$OR135*6,SUMPRODUCT($OK135:$OP135,$I$7:$N$7)-IF($NQ135=0,0,INDEX($I$7:$N$7,1,$NQ135))))</f>
        <v/>
      </c>
      <c r="PJ135" s="155">
        <f>MAX(0,16-SUMPRODUCT($OK135:$OP135,$I$8:$N$8)+MIN(14,$OQ135*4+$OR135*7,SUMPRODUCT($OK135:$OP135,$I$8:$N$8)-IF($NQ135=0,0,INDEX($I$8:$N$8,1,$NQ135))))</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Melhoria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IFERROR(VLOOKUP($MV136,$AV$2:$BA$83,2,FALSE),"")</f>
        <v/>
      </c>
      <c r="NJ136" s="155">
        <f>IFERROR(VLOOKUP($MW136,$AV$2:$BA$83,2,FALSE),"")</f>
        <v/>
      </c>
      <c r="NK136" s="155">
        <f>IFERROR(VLOOKUP($MX136,$AV$2:$BA$83,2,FALSE),"")</f>
        <v/>
      </c>
      <c r="NL136" s="155">
        <f>IFERROR(VLOOKUP($MY136,$AV$2:$BA$83,2,FALSE),"")</f>
        <v/>
      </c>
      <c r="NM136" s="155">
        <f>IFERROR(VLOOKUP($MV136,$AV$2:$BA$83,3,FALSE),0)</f>
        <v/>
      </c>
      <c r="NN136" s="155">
        <f>IFERROR(VLOOKUP($MW136,$AV$2:$BA$83,3,FALSE),0)</f>
        <v/>
      </c>
      <c r="NO136" s="155">
        <f>IFERROR(VLOOKUP($MX136,$AV$2:$BA$83,3,FALSE),0)</f>
        <v/>
      </c>
      <c r="NP136" s="155">
        <f>IFERROR(VLOOKUP($MY136,$AV$2:$BA$83,3,FALSE),0)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IFERROR(VLOOKUP($MV136,$AV$2:$BA$83,4,FALSE),0)+IFERROR(VLOOKUP($MW136,$AV$2:$BA$83,4,FALSE),0)+IFERROR(VLOOKUP($MX136,$AV$2:$BA$83,4,FALSE),0)+IFERROR(VLOOKUP($MY136,$AV$2:$BA$83,4,FALSE),0)</f>
        <v/>
      </c>
      <c r="OB136" s="155">
        <f>IFERROR(VLOOKUP($MV136,$AV$2:$BA$83,6,FALSE),0)+IFERROR(VLOOKUP($MW136,$AV$2:$BA$83,6,FALSE),0)+IFERROR(VLOOKUP($MX136,$AV$2:$BA$83,6,FALSE),0)+IFERROR(VLOOKUP($MY136,$AV$2:$BA$83,6,FALSE),0)</f>
        <v/>
      </c>
      <c r="OC136" s="155">
        <f>TEXTJOIN(", ",TRUE,IF(IFERROR(VLOOKUP($MV136,$AV$2:$BA$83,5,FALSE),0)=1,$MV136,""),IF(IFERROR(VLOOKUP($MW136,$AV$2:$BA$83,5,FALSE),0)=1,$MW136,""),IF(IFERROR(VLOOKUP($MX136,$AV$2:$BA$83,5,FALSE),0)=1,$MX136,""),IF(IFERROR(VLOOKUP($MY136,$AV$2:$BA$83,5,FALSE),0)=1,$MY136,""))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MIN($OW136,$OU136-IF($NQ136=0,0,INDEX($I$2:$N$8,MAX(1,$MQ136),$NQ136)))</f>
        <v/>
      </c>
      <c r="OY136" s="155">
        <f>$OW136-$OX136</f>
        <v/>
      </c>
      <c r="OZ136" s="155">
        <f>IF($MQ136=0,0,INDEX($P$2:$P$8,MAX(1,$MQ136)))</f>
        <v/>
      </c>
      <c r="PA136" s="155">
        <f>$OZ136-$OU136+$OX136</f>
        <v/>
      </c>
      <c r="PB136" s="155">
        <f>IF($MQ136=0,MAX(0,$NE136-IF(AND($OS136&gt;0,COUNTIF($MZ136:$NA136,"?*")=0),1,0)),MAX(0,$PA136))</f>
        <v/>
      </c>
      <c r="PC136" s="155">
        <f>IF($MQ136=0,0,(IF(COUNTIF($MV136:$MY136,"Salto")&gt;0,1,0)+IF(COUNTIF($MV136:$MY136,"Queima")&gt;0,1,0)+IF(COUNTIF($MV136:$MY136,"Estilhaço")&gt;0,1,0))*FLOOR($PB136/2,1))</f>
        <v/>
      </c>
      <c r="PD136" s="155">
        <f>MAX(0,2-SUMPRODUCT($OK136:$OP136,$I$2:$N$2)+MIN(2,$OQ136*1+$OR136*1,SUMPRODUCT($OK136:$OP136,$I$2:$N$2)-IF($NQ136=0,0,INDEX($I$2:$N$2,1,$NQ136))))</f>
        <v/>
      </c>
      <c r="PE136" s="155">
        <f>MAX(0,4-SUMPRODUCT($OK136:$OP136,$I$3:$N$3)+MIN(4,$OQ136*1+$OR136*2,SUMPRODUCT($OK136:$OP136,$I$3:$N$3)-IF($NQ136=0,0,INDEX($I$3:$N$3,1,$NQ136))))</f>
        <v/>
      </c>
      <c r="PF136" s="155">
        <f>MAX(0,6-SUMPRODUCT($OK136:$OP136,$I$4:$N$4)+MIN(6,$OQ136*2+$OR136*3,SUMPRODUCT($OK136:$OP136,$I$4:$N$4)-IF($NQ136=0,0,INDEX($I$4:$N$4,1,$NQ136))))</f>
        <v/>
      </c>
      <c r="PG136" s="155">
        <f>MAX(0,9-SUMPRODUCT($OK136:$OP136,$I$5:$N$5)+MIN(8,$OQ136*2+$OR136*4,SUMPRODUCT($OK136:$OP136,$I$5:$N$5)-IF($NQ136=0,0,INDEX($I$5:$N$5,1,$NQ136))))</f>
        <v/>
      </c>
      <c r="PH136" s="155">
        <f>MAX(0,11-SUMPRODUCT($OK136:$OP136,$I$6:$N$6)+MIN(10,$OQ136*3+$OR136*5,SUMPRODUCT($OK136:$OP136,$I$6:$N$6)-IF($NQ136=0,0,INDEX($I$6:$N$6,1,$NQ136))))</f>
        <v/>
      </c>
      <c r="PI136" s="155">
        <f>MAX(0,13-SUMPRODUCT($OK136:$OP136,$I$7:$N$7)+MIN(12,$OQ136*3+$OR136*6,SUMPRODUCT($OK136:$OP136,$I$7:$N$7)-IF($NQ136=0,0,INDEX($I$7:$N$7,1,$NQ136))))</f>
        <v/>
      </c>
      <c r="PJ136" s="155">
        <f>MAX(0,16-SUMPRODUCT($OK136:$OP136,$I$8:$N$8)+MIN(14,$OQ136*4+$OR136*7,SUMPRODUCT($OK136:$OP136,$I$8:$N$8)-IF($NQ136=0,0,INDEX($I$8:$N$8,1,$NQ136))))</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Melhoria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IFERROR(VLOOKUP($MV137,$AV$2:$BA$83,2,FALSE),"")</f>
        <v/>
      </c>
      <c r="NJ137" s="155">
        <f>IFERROR(VLOOKUP($MW137,$AV$2:$BA$83,2,FALSE),"")</f>
        <v/>
      </c>
      <c r="NK137" s="155">
        <f>IFERROR(VLOOKUP($MX137,$AV$2:$BA$83,2,FALSE),"")</f>
        <v/>
      </c>
      <c r="NL137" s="155">
        <f>IFERROR(VLOOKUP($MY137,$AV$2:$BA$83,2,FALSE),"")</f>
        <v/>
      </c>
      <c r="NM137" s="155">
        <f>IFERROR(VLOOKUP($MV137,$AV$2:$BA$83,3,FALSE),0)</f>
        <v/>
      </c>
      <c r="NN137" s="155">
        <f>IFERROR(VLOOKUP($MW137,$AV$2:$BA$83,3,FALSE),0)</f>
        <v/>
      </c>
      <c r="NO137" s="155">
        <f>IFERROR(VLOOKUP($MX137,$AV$2:$BA$83,3,FALSE),0)</f>
        <v/>
      </c>
      <c r="NP137" s="155">
        <f>IFERROR(VLOOKUP($MY137,$AV$2:$BA$83,3,FALSE),0)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IFERROR(VLOOKUP($MV137,$AV$2:$BA$83,4,FALSE),0)+IFERROR(VLOOKUP($MW137,$AV$2:$BA$83,4,FALSE),0)+IFERROR(VLOOKUP($MX137,$AV$2:$BA$83,4,FALSE),0)+IFERROR(VLOOKUP($MY137,$AV$2:$BA$83,4,FALSE),0)</f>
        <v/>
      </c>
      <c r="OB137" s="155">
        <f>IFERROR(VLOOKUP($MV137,$AV$2:$BA$83,6,FALSE),0)+IFERROR(VLOOKUP($MW137,$AV$2:$BA$83,6,FALSE),0)+IFERROR(VLOOKUP($MX137,$AV$2:$BA$83,6,FALSE),0)+IFERROR(VLOOKUP($MY137,$AV$2:$BA$83,6,FALSE),0)</f>
        <v/>
      </c>
      <c r="OC137" s="155">
        <f>TEXTJOIN(", ",TRUE,IF(IFERROR(VLOOKUP($MV137,$AV$2:$BA$83,5,FALSE),0)=1,$MV137,""),IF(IFERROR(VLOOKUP($MW137,$AV$2:$BA$83,5,FALSE),0)=1,$MW137,""),IF(IFERROR(VLOOKUP($MX137,$AV$2:$BA$83,5,FALSE),0)=1,$MX137,""),IF(IFERROR(VLOOKUP($MY137,$AV$2:$BA$83,5,FALSE),0)=1,$MY137,""))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MIN($OW137,$OU137-IF($NQ137=0,0,INDEX($I$2:$N$8,MAX(1,$MQ137),$NQ137)))</f>
        <v/>
      </c>
      <c r="OY137" s="155">
        <f>$OW137-$OX137</f>
        <v/>
      </c>
      <c r="OZ137" s="155">
        <f>IF($MQ137=0,0,INDEX($P$2:$P$8,MAX(1,$MQ137)))</f>
        <v/>
      </c>
      <c r="PA137" s="155">
        <f>$OZ137-$OU137+$OX137</f>
        <v/>
      </c>
      <c r="PB137" s="155">
        <f>IF($MQ137=0,MAX(0,$NE137-IF(AND($OS137&gt;0,COUNTIF($MZ137:$NA137,"?*")=0),1,0)),MAX(0,$PA137))</f>
        <v/>
      </c>
      <c r="PC137" s="155">
        <f>IF($MQ137=0,0,(IF(COUNTIF($MV137:$MY137,"Salto")&gt;0,1,0)+IF(COUNTIF($MV137:$MY137,"Queima")&gt;0,1,0)+IF(COUNTIF($MV137:$MY137,"Estilhaço")&gt;0,1,0))*FLOOR($PB137/2,1))</f>
        <v/>
      </c>
      <c r="PD137" s="155">
        <f>MAX(0,2-SUMPRODUCT($OK137:$OP137,$I$2:$N$2)+MIN(2,$OQ137*1+$OR137*1,SUMPRODUCT($OK137:$OP137,$I$2:$N$2)-IF($NQ137=0,0,INDEX($I$2:$N$2,1,$NQ137))))</f>
        <v/>
      </c>
      <c r="PE137" s="155">
        <f>MAX(0,4-SUMPRODUCT($OK137:$OP137,$I$3:$N$3)+MIN(4,$OQ137*1+$OR137*2,SUMPRODUCT($OK137:$OP137,$I$3:$N$3)-IF($NQ137=0,0,INDEX($I$3:$N$3,1,$NQ137))))</f>
        <v/>
      </c>
      <c r="PF137" s="155">
        <f>MAX(0,6-SUMPRODUCT($OK137:$OP137,$I$4:$N$4)+MIN(6,$OQ137*2+$OR137*3,SUMPRODUCT($OK137:$OP137,$I$4:$N$4)-IF($NQ137=0,0,INDEX($I$4:$N$4,1,$NQ137))))</f>
        <v/>
      </c>
      <c r="PG137" s="155">
        <f>MAX(0,9-SUMPRODUCT($OK137:$OP137,$I$5:$N$5)+MIN(8,$OQ137*2+$OR137*4,SUMPRODUCT($OK137:$OP137,$I$5:$N$5)-IF($NQ137=0,0,INDEX($I$5:$N$5,1,$NQ137))))</f>
        <v/>
      </c>
      <c r="PH137" s="155">
        <f>MAX(0,11-SUMPRODUCT($OK137:$OP137,$I$6:$N$6)+MIN(10,$OQ137*3+$OR137*5,SUMPRODUCT($OK137:$OP137,$I$6:$N$6)-IF($NQ137=0,0,INDEX($I$6:$N$6,1,$NQ137))))</f>
        <v/>
      </c>
      <c r="PI137" s="155">
        <f>MAX(0,13-SUMPRODUCT($OK137:$OP137,$I$7:$N$7)+MIN(12,$OQ137*3+$OR137*6,SUMPRODUCT($OK137:$OP137,$I$7:$N$7)-IF($NQ137=0,0,INDEX($I$7:$N$7,1,$NQ137))))</f>
        <v/>
      </c>
      <c r="PJ137" s="155">
        <f>MAX(0,16-SUMPRODUCT($OK137:$OP137,$I$8:$N$8)+MIN(14,$OQ137*4+$OR137*7,SUMPRODUCT($OK137:$OP137,$I$8:$N$8)-IF($NQ137=0,0,INDEX($I$8:$N$8,1,$NQ137))))</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Melhoria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IFERROR(VLOOKUP($MV138,$AV$2:$BA$83,2,FALSE),"")</f>
        <v/>
      </c>
      <c r="NJ138" s="155">
        <f>IFERROR(VLOOKUP($MW138,$AV$2:$BA$83,2,FALSE),"")</f>
        <v/>
      </c>
      <c r="NK138" s="155">
        <f>IFERROR(VLOOKUP($MX138,$AV$2:$BA$83,2,FALSE),"")</f>
        <v/>
      </c>
      <c r="NL138" s="155">
        <f>IFERROR(VLOOKUP($MY138,$AV$2:$BA$83,2,FALSE),"")</f>
        <v/>
      </c>
      <c r="NM138" s="155">
        <f>IFERROR(VLOOKUP($MV138,$AV$2:$BA$83,3,FALSE),0)</f>
        <v/>
      </c>
      <c r="NN138" s="155">
        <f>IFERROR(VLOOKUP($MW138,$AV$2:$BA$83,3,FALSE),0)</f>
        <v/>
      </c>
      <c r="NO138" s="155">
        <f>IFERROR(VLOOKUP($MX138,$AV$2:$BA$83,3,FALSE),0)</f>
        <v/>
      </c>
      <c r="NP138" s="155">
        <f>IFERROR(VLOOKUP($MY138,$AV$2:$BA$83,3,FALSE),0)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IFERROR(VLOOKUP($MV138,$AV$2:$BA$83,4,FALSE),0)+IFERROR(VLOOKUP($MW138,$AV$2:$BA$83,4,FALSE),0)+IFERROR(VLOOKUP($MX138,$AV$2:$BA$83,4,FALSE),0)+IFERROR(VLOOKUP($MY138,$AV$2:$BA$83,4,FALSE),0)</f>
        <v/>
      </c>
      <c r="OB138" s="155">
        <f>IFERROR(VLOOKUP($MV138,$AV$2:$BA$83,6,FALSE),0)+IFERROR(VLOOKUP($MW138,$AV$2:$BA$83,6,FALSE),0)+IFERROR(VLOOKUP($MX138,$AV$2:$BA$83,6,FALSE),0)+IFERROR(VLOOKUP($MY138,$AV$2:$BA$83,6,FALSE),0)</f>
        <v/>
      </c>
      <c r="OC138" s="155">
        <f>TEXTJOIN(", ",TRUE,IF(IFERROR(VLOOKUP($MV138,$AV$2:$BA$83,5,FALSE),0)=1,$MV138,""),IF(IFERROR(VLOOKUP($MW138,$AV$2:$BA$83,5,FALSE),0)=1,$MW138,""),IF(IFERROR(VLOOKUP($MX138,$AV$2:$BA$83,5,FALSE),0)=1,$MX138,""),IF(IFERROR(VLOOKUP($MY138,$AV$2:$BA$83,5,FALSE),0)=1,$MY138,""))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MIN($OW138,$OU138-IF($NQ138=0,0,INDEX($I$2:$N$8,MAX(1,$MQ138),$NQ138)))</f>
        <v/>
      </c>
      <c r="OY138" s="155">
        <f>$OW138-$OX138</f>
        <v/>
      </c>
      <c r="OZ138" s="155">
        <f>IF($MQ138=0,0,INDEX($P$2:$P$8,MAX(1,$MQ138)))</f>
        <v/>
      </c>
      <c r="PA138" s="155">
        <f>$OZ138-$OU138+$OX138</f>
        <v/>
      </c>
      <c r="PB138" s="155">
        <f>IF($MQ138=0,MAX(0,$NE138-IF(AND($OS138&gt;0,COUNTIF($MZ138:$NA138,"?*")=0),1,0)),MAX(0,$PA138))</f>
        <v/>
      </c>
      <c r="PC138" s="155">
        <f>IF($MQ138=0,0,(IF(COUNTIF($MV138:$MY138,"Salto")&gt;0,1,0)+IF(COUNTIF($MV138:$MY138,"Queima")&gt;0,1,0)+IF(COUNTIF($MV138:$MY138,"Estilhaço")&gt;0,1,0))*FLOOR($PB138/2,1))</f>
        <v/>
      </c>
      <c r="PD138" s="155">
        <f>MAX(0,2-SUMPRODUCT($OK138:$OP138,$I$2:$N$2)+MIN(2,$OQ138*1+$OR138*1,SUMPRODUCT($OK138:$OP138,$I$2:$N$2)-IF($NQ138=0,0,INDEX($I$2:$N$2,1,$NQ138))))</f>
        <v/>
      </c>
      <c r="PE138" s="155">
        <f>MAX(0,4-SUMPRODUCT($OK138:$OP138,$I$3:$N$3)+MIN(4,$OQ138*1+$OR138*2,SUMPRODUCT($OK138:$OP138,$I$3:$N$3)-IF($NQ138=0,0,INDEX($I$3:$N$3,1,$NQ138))))</f>
        <v/>
      </c>
      <c r="PF138" s="155">
        <f>MAX(0,6-SUMPRODUCT($OK138:$OP138,$I$4:$N$4)+MIN(6,$OQ138*2+$OR138*3,SUMPRODUCT($OK138:$OP138,$I$4:$N$4)-IF($NQ138=0,0,INDEX($I$4:$N$4,1,$NQ138))))</f>
        <v/>
      </c>
      <c r="PG138" s="155">
        <f>MAX(0,9-SUMPRODUCT($OK138:$OP138,$I$5:$N$5)+MIN(8,$OQ138*2+$OR138*4,SUMPRODUCT($OK138:$OP138,$I$5:$N$5)-IF($NQ138=0,0,INDEX($I$5:$N$5,1,$NQ138))))</f>
        <v/>
      </c>
      <c r="PH138" s="155">
        <f>MAX(0,11-SUMPRODUCT($OK138:$OP138,$I$6:$N$6)+MIN(10,$OQ138*3+$OR138*5,SUMPRODUCT($OK138:$OP138,$I$6:$N$6)-IF($NQ138=0,0,INDEX($I$6:$N$6,1,$NQ138))))</f>
        <v/>
      </c>
      <c r="PI138" s="155">
        <f>MAX(0,13-SUMPRODUCT($OK138:$OP138,$I$7:$N$7)+MIN(12,$OQ138*3+$OR138*6,SUMPRODUCT($OK138:$OP138,$I$7:$N$7)-IF($NQ138=0,0,INDEX($I$7:$N$7,1,$NQ138))))</f>
        <v/>
      </c>
      <c r="PJ138" s="155">
        <f>MAX(0,16-SUMPRODUCT($OK138:$OP138,$I$8:$N$8)+MIN(14,$OQ138*4+$OR138*7,SUMPRODUCT($OK138:$OP138,$I$8:$N$8)-IF($NQ138=0,0,INDEX($I$8:$N$8,1,$NQ138))))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Melhoria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IFERROR(VLOOKUP($MV139,$AV$2:$BA$83,2,FALSE),"")</f>
        <v/>
      </c>
      <c r="NJ139" s="155">
        <f>IFERROR(VLOOKUP($MW139,$AV$2:$BA$83,2,FALSE),"")</f>
        <v/>
      </c>
      <c r="NK139" s="155">
        <f>IFERROR(VLOOKUP($MX139,$AV$2:$BA$83,2,FALSE),"")</f>
        <v/>
      </c>
      <c r="NL139" s="155">
        <f>IFERROR(VLOOKUP($MY139,$AV$2:$BA$83,2,FALSE),"")</f>
        <v/>
      </c>
      <c r="NM139" s="155">
        <f>IFERROR(VLOOKUP($MV139,$AV$2:$BA$83,3,FALSE),0)</f>
        <v/>
      </c>
      <c r="NN139" s="155">
        <f>IFERROR(VLOOKUP($MW139,$AV$2:$BA$83,3,FALSE),0)</f>
        <v/>
      </c>
      <c r="NO139" s="155">
        <f>IFERROR(VLOOKUP($MX139,$AV$2:$BA$83,3,FALSE),0)</f>
        <v/>
      </c>
      <c r="NP139" s="155">
        <f>IFERROR(VLOOKUP($MY139,$AV$2:$BA$83,3,FALSE),0)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IFERROR(VLOOKUP($MV139,$AV$2:$BA$83,4,FALSE),0)+IFERROR(VLOOKUP($MW139,$AV$2:$BA$83,4,FALSE),0)+IFERROR(VLOOKUP($MX139,$AV$2:$BA$83,4,FALSE),0)+IFERROR(VLOOKUP($MY139,$AV$2:$BA$83,4,FALSE),0)</f>
        <v/>
      </c>
      <c r="OB139" s="155">
        <f>IFERROR(VLOOKUP($MV139,$AV$2:$BA$83,6,FALSE),0)+IFERROR(VLOOKUP($MW139,$AV$2:$BA$83,6,FALSE),0)+IFERROR(VLOOKUP($MX139,$AV$2:$BA$83,6,FALSE),0)+IFERROR(VLOOKUP($MY139,$AV$2:$BA$83,6,FALSE),0)</f>
        <v/>
      </c>
      <c r="OC139" s="155">
        <f>TEXTJOIN(", ",TRUE,IF(IFERROR(VLOOKUP($MV139,$AV$2:$BA$83,5,FALSE),0)=1,$MV139,""),IF(IFERROR(VLOOKUP($MW139,$AV$2:$BA$83,5,FALSE),0)=1,$MW139,""),IF(IFERROR(VLOOKUP($MX139,$AV$2:$BA$83,5,FALSE),0)=1,$MX139,""),IF(IFERROR(VLOOKUP($MY139,$AV$2:$BA$83,5,FALSE),0)=1,$MY139,""))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MIN($OW139,$OU139-IF($NQ139=0,0,INDEX($I$2:$N$8,MAX(1,$MQ139),$NQ139)))</f>
        <v/>
      </c>
      <c r="OY139" s="155">
        <f>$OW139-$OX139</f>
        <v/>
      </c>
      <c r="OZ139" s="155">
        <f>IF($MQ139=0,0,INDEX($P$2:$P$8,MAX(1,$MQ139)))</f>
        <v/>
      </c>
      <c r="PA139" s="155">
        <f>$OZ139-$OU139+$OX139</f>
        <v/>
      </c>
      <c r="PB139" s="155">
        <f>IF($MQ139=0,MAX(0,$NE139-IF(AND($OS139&gt;0,COUNTIF($MZ139:$NA139,"?*")=0),1,0)),MAX(0,$PA139))</f>
        <v/>
      </c>
      <c r="PC139" s="155">
        <f>IF($MQ139=0,0,(IF(COUNTIF($MV139:$MY139,"Salto")&gt;0,1,0)+IF(COUNTIF($MV139:$MY139,"Queima")&gt;0,1,0)+IF(COUNTIF($MV139:$MY139,"Estilhaço")&gt;0,1,0))*FLOOR($PB139/2,1))</f>
        <v/>
      </c>
      <c r="PD139" s="155">
        <f>MAX(0,2-SUMPRODUCT($OK139:$OP139,$I$2:$N$2)+MIN(2,$OQ139*1+$OR139*1,SUMPRODUCT($OK139:$OP139,$I$2:$N$2)-IF($NQ139=0,0,INDEX($I$2:$N$2,1,$NQ139))))</f>
        <v/>
      </c>
      <c r="PE139" s="155">
        <f>MAX(0,4-SUMPRODUCT($OK139:$OP139,$I$3:$N$3)+MIN(4,$OQ139*1+$OR139*2,SUMPRODUCT($OK139:$OP139,$I$3:$N$3)-IF($NQ139=0,0,INDEX($I$3:$N$3,1,$NQ139))))</f>
        <v/>
      </c>
      <c r="PF139" s="155">
        <f>MAX(0,6-SUMPRODUCT($OK139:$OP139,$I$4:$N$4)+MIN(6,$OQ139*2+$OR139*3,SUMPRODUCT($OK139:$OP139,$I$4:$N$4)-IF($NQ139=0,0,INDEX($I$4:$N$4,1,$NQ139))))</f>
        <v/>
      </c>
      <c r="PG139" s="155">
        <f>MAX(0,9-SUMPRODUCT($OK139:$OP139,$I$5:$N$5)+MIN(8,$OQ139*2+$OR139*4,SUMPRODUCT($OK139:$OP139,$I$5:$N$5)-IF($NQ139=0,0,INDEX($I$5:$N$5,1,$NQ139))))</f>
        <v/>
      </c>
      <c r="PH139" s="155">
        <f>MAX(0,11-SUMPRODUCT($OK139:$OP139,$I$6:$N$6)+MIN(10,$OQ139*3+$OR139*5,SUMPRODUCT($OK139:$OP139,$I$6:$N$6)-IF($NQ139=0,0,INDEX($I$6:$N$6,1,$NQ139))))</f>
        <v/>
      </c>
      <c r="PI139" s="155">
        <f>MAX(0,13-SUMPRODUCT($OK139:$OP139,$I$7:$N$7)+MIN(12,$OQ139*3+$OR139*6,SUMPRODUCT($OK139:$OP139,$I$7:$N$7)-IF($NQ139=0,0,INDEX($I$7:$N$7,1,$NQ139))))</f>
        <v/>
      </c>
      <c r="PJ139" s="155">
        <f>MAX(0,16-SUMPRODUCT($OK139:$OP139,$I$8:$N$8)+MIN(14,$OQ139*4+$OR139*7,SUMPRODUCT($OK139:$OP139,$I$8:$N$8)-IF($NQ139=0,0,INDEX($I$8:$N$8,1,$NQ139))))</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Melhoria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IFERROR(VLOOKUP($MV140,$AV$2:$BA$83,2,FALSE),"")</f>
        <v/>
      </c>
      <c r="NJ140" s="155">
        <f>IFERROR(VLOOKUP($MW140,$AV$2:$BA$83,2,FALSE),"")</f>
        <v/>
      </c>
      <c r="NK140" s="155">
        <f>IFERROR(VLOOKUP($MX140,$AV$2:$BA$83,2,FALSE),"")</f>
        <v/>
      </c>
      <c r="NL140" s="155">
        <f>IFERROR(VLOOKUP($MY140,$AV$2:$BA$83,2,FALSE),"")</f>
        <v/>
      </c>
      <c r="NM140" s="155">
        <f>IFERROR(VLOOKUP($MV140,$AV$2:$BA$83,3,FALSE),0)</f>
        <v/>
      </c>
      <c r="NN140" s="155">
        <f>IFERROR(VLOOKUP($MW140,$AV$2:$BA$83,3,FALSE),0)</f>
        <v/>
      </c>
      <c r="NO140" s="155">
        <f>IFERROR(VLOOKUP($MX140,$AV$2:$BA$83,3,FALSE),0)</f>
        <v/>
      </c>
      <c r="NP140" s="155">
        <f>IFERROR(VLOOKUP($MY140,$AV$2:$BA$83,3,FALSE),0)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IFERROR(VLOOKUP($MV140,$AV$2:$BA$83,4,FALSE),0)+IFERROR(VLOOKUP($MW140,$AV$2:$BA$83,4,FALSE),0)+IFERROR(VLOOKUP($MX140,$AV$2:$BA$83,4,FALSE),0)+IFERROR(VLOOKUP($MY140,$AV$2:$BA$83,4,FALSE),0)</f>
        <v/>
      </c>
      <c r="OB140" s="155">
        <f>IFERROR(VLOOKUP($MV140,$AV$2:$BA$83,6,FALSE),0)+IFERROR(VLOOKUP($MW140,$AV$2:$BA$83,6,FALSE),0)+IFERROR(VLOOKUP($MX140,$AV$2:$BA$83,6,FALSE),0)+IFERROR(VLOOKUP($MY140,$AV$2:$BA$83,6,FALSE),0)</f>
        <v/>
      </c>
      <c r="OC140" s="155">
        <f>TEXTJOIN(", ",TRUE,IF(IFERROR(VLOOKUP($MV140,$AV$2:$BA$83,5,FALSE),0)=1,$MV140,""),IF(IFERROR(VLOOKUP($MW140,$AV$2:$BA$83,5,FALSE),0)=1,$MW140,""),IF(IFERROR(VLOOKUP($MX140,$AV$2:$BA$83,5,FALSE),0)=1,$MX140,""),IF(IFERROR(VLOOKUP($MY140,$AV$2:$BA$83,5,FALSE),0)=1,$MY140,""))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MIN($OW140,$OU140-IF($NQ140=0,0,INDEX($I$2:$N$8,MAX(1,$MQ140),$NQ140)))</f>
        <v/>
      </c>
      <c r="OY140" s="155">
        <f>$OW140-$OX140</f>
        <v/>
      </c>
      <c r="OZ140" s="155">
        <f>IF($MQ140=0,0,INDEX($P$2:$P$8,MAX(1,$MQ140)))</f>
        <v/>
      </c>
      <c r="PA140" s="155">
        <f>$OZ140-$OU140+$OX140</f>
        <v/>
      </c>
      <c r="PB140" s="155">
        <f>IF($MQ140=0,MAX(0,$NE140-IF(AND($OS140&gt;0,COUNTIF($MZ140:$NA140,"?*")=0),1,0)),MAX(0,$PA140))</f>
        <v/>
      </c>
      <c r="PC140" s="155">
        <f>IF($MQ140=0,0,(IF(COUNTIF($MV140:$MY140,"Salto")&gt;0,1,0)+IF(COUNTIF($MV140:$MY140,"Queima")&gt;0,1,0)+IF(COUNTIF($MV140:$MY140,"Estilhaço")&gt;0,1,0))*FLOOR($PB140/2,1))</f>
        <v/>
      </c>
      <c r="PD140" s="155">
        <f>MAX(0,2-SUMPRODUCT($OK140:$OP140,$I$2:$N$2)+MIN(2,$OQ140*1+$OR140*1,SUMPRODUCT($OK140:$OP140,$I$2:$N$2)-IF($NQ140=0,0,INDEX($I$2:$N$2,1,$NQ140))))</f>
        <v/>
      </c>
      <c r="PE140" s="155">
        <f>MAX(0,4-SUMPRODUCT($OK140:$OP140,$I$3:$N$3)+MIN(4,$OQ140*1+$OR140*2,SUMPRODUCT($OK140:$OP140,$I$3:$N$3)-IF($NQ140=0,0,INDEX($I$3:$N$3,1,$NQ140))))</f>
        <v/>
      </c>
      <c r="PF140" s="155">
        <f>MAX(0,6-SUMPRODUCT($OK140:$OP140,$I$4:$N$4)+MIN(6,$OQ140*2+$OR140*3,SUMPRODUCT($OK140:$OP140,$I$4:$N$4)-IF($NQ140=0,0,INDEX($I$4:$N$4,1,$NQ140))))</f>
        <v/>
      </c>
      <c r="PG140" s="155">
        <f>MAX(0,9-SUMPRODUCT($OK140:$OP140,$I$5:$N$5)+MIN(8,$OQ140*2+$OR140*4,SUMPRODUCT($OK140:$OP140,$I$5:$N$5)-IF($NQ140=0,0,INDEX($I$5:$N$5,1,$NQ140))))</f>
        <v/>
      </c>
      <c r="PH140" s="155">
        <f>MAX(0,11-SUMPRODUCT($OK140:$OP140,$I$6:$N$6)+MIN(10,$OQ140*3+$OR140*5,SUMPRODUCT($OK140:$OP140,$I$6:$N$6)-IF($NQ140=0,0,INDEX($I$6:$N$6,1,$NQ140))))</f>
        <v/>
      </c>
      <c r="PI140" s="155">
        <f>MAX(0,13-SUMPRODUCT($OK140:$OP140,$I$7:$N$7)+MIN(12,$OQ140*3+$OR140*6,SUMPRODUCT($OK140:$OP140,$I$7:$N$7)-IF($NQ140=0,0,INDEX($I$7:$N$7,1,$NQ140))))</f>
        <v/>
      </c>
      <c r="PJ140" s="155">
        <f>MAX(0,16-SUMPRODUCT($OK140:$OP140,$I$8:$N$8)+MIN(14,$OQ140*4+$OR140*7,SUMPRODUCT($OK140:$OP140,$I$8:$N$8)-IF($NQ140=0,0,INDEX($I$8:$N$8,1,$NQ140))))</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Melhoria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IFERROR(VLOOKUP($MV141,$AV$2:$BA$83,2,FALSE),"")</f>
        <v/>
      </c>
      <c r="NJ141" s="155">
        <f>IFERROR(VLOOKUP($MW141,$AV$2:$BA$83,2,FALSE),"")</f>
        <v/>
      </c>
      <c r="NK141" s="155">
        <f>IFERROR(VLOOKUP($MX141,$AV$2:$BA$83,2,FALSE),"")</f>
        <v/>
      </c>
      <c r="NL141" s="155">
        <f>IFERROR(VLOOKUP($MY141,$AV$2:$BA$83,2,FALSE),"")</f>
        <v/>
      </c>
      <c r="NM141" s="155">
        <f>IFERROR(VLOOKUP($MV141,$AV$2:$BA$83,3,FALSE),0)</f>
        <v/>
      </c>
      <c r="NN141" s="155">
        <f>IFERROR(VLOOKUP($MW141,$AV$2:$BA$83,3,FALSE),0)</f>
        <v/>
      </c>
      <c r="NO141" s="155">
        <f>IFERROR(VLOOKUP($MX141,$AV$2:$BA$83,3,FALSE),0)</f>
        <v/>
      </c>
      <c r="NP141" s="155">
        <f>IFERROR(VLOOKUP($MY141,$AV$2:$BA$83,3,FALSE),0)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IFERROR(VLOOKUP($MV141,$AV$2:$BA$83,4,FALSE),0)+IFERROR(VLOOKUP($MW141,$AV$2:$BA$83,4,FALSE),0)+IFERROR(VLOOKUP($MX141,$AV$2:$BA$83,4,FALSE),0)+IFERROR(VLOOKUP($MY141,$AV$2:$BA$83,4,FALSE),0)</f>
        <v/>
      </c>
      <c r="OB141" s="155">
        <f>IFERROR(VLOOKUP($MV141,$AV$2:$BA$83,6,FALSE),0)+IFERROR(VLOOKUP($MW141,$AV$2:$BA$83,6,FALSE),0)+IFERROR(VLOOKUP($MX141,$AV$2:$BA$83,6,FALSE),0)+IFERROR(VLOOKUP($MY141,$AV$2:$BA$83,6,FALSE),0)</f>
        <v/>
      </c>
      <c r="OC141" s="155">
        <f>TEXTJOIN(", ",TRUE,IF(IFERROR(VLOOKUP($MV141,$AV$2:$BA$83,5,FALSE),0)=1,$MV141,""),IF(IFERROR(VLOOKUP($MW141,$AV$2:$BA$83,5,FALSE),0)=1,$MW141,""),IF(IFERROR(VLOOKUP($MX141,$AV$2:$BA$83,5,FALSE),0)=1,$MX141,""),IF(IFERROR(VLOOKUP($MY141,$AV$2:$BA$83,5,FALSE),0)=1,$MY141,""))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MIN($OW141,$OU141-IF($NQ141=0,0,INDEX($I$2:$N$8,MAX(1,$MQ141),$NQ141)))</f>
        <v/>
      </c>
      <c r="OY141" s="155">
        <f>$OW141-$OX141</f>
        <v/>
      </c>
      <c r="OZ141" s="155">
        <f>IF($MQ141=0,0,INDEX($P$2:$P$8,MAX(1,$MQ141)))</f>
        <v/>
      </c>
      <c r="PA141" s="155">
        <f>$OZ141-$OU141+$OX141</f>
        <v/>
      </c>
      <c r="PB141" s="155">
        <f>IF($MQ141=0,MAX(0,$NE141-IF(AND($OS141&gt;0,COUNTIF($MZ141:$NA141,"?*")=0),1,0)),MAX(0,$PA141))</f>
        <v/>
      </c>
      <c r="PC141" s="155">
        <f>IF($MQ141=0,0,(IF(COUNTIF($MV141:$MY141,"Salto")&gt;0,1,0)+IF(COUNTIF($MV141:$MY141,"Queima")&gt;0,1,0)+IF(COUNTIF($MV141:$MY141,"Estilhaço")&gt;0,1,0))*FLOOR($PB141/2,1))</f>
        <v/>
      </c>
      <c r="PD141" s="155">
        <f>MAX(0,2-SUMPRODUCT($OK141:$OP141,$I$2:$N$2)+MIN(2,$OQ141*1+$OR141*1,SUMPRODUCT($OK141:$OP141,$I$2:$N$2)-IF($NQ141=0,0,INDEX($I$2:$N$2,1,$NQ141))))</f>
        <v/>
      </c>
      <c r="PE141" s="155">
        <f>MAX(0,4-SUMPRODUCT($OK141:$OP141,$I$3:$N$3)+MIN(4,$OQ141*1+$OR141*2,SUMPRODUCT($OK141:$OP141,$I$3:$N$3)-IF($NQ141=0,0,INDEX($I$3:$N$3,1,$NQ141))))</f>
        <v/>
      </c>
      <c r="PF141" s="155">
        <f>MAX(0,6-SUMPRODUCT($OK141:$OP141,$I$4:$N$4)+MIN(6,$OQ141*2+$OR141*3,SUMPRODUCT($OK141:$OP141,$I$4:$N$4)-IF($NQ141=0,0,INDEX($I$4:$N$4,1,$NQ141))))</f>
        <v/>
      </c>
      <c r="PG141" s="155">
        <f>MAX(0,9-SUMPRODUCT($OK141:$OP141,$I$5:$N$5)+MIN(8,$OQ141*2+$OR141*4,SUMPRODUCT($OK141:$OP141,$I$5:$N$5)-IF($NQ141=0,0,INDEX($I$5:$N$5,1,$NQ141))))</f>
        <v/>
      </c>
      <c r="PH141" s="155">
        <f>MAX(0,11-SUMPRODUCT($OK141:$OP141,$I$6:$N$6)+MIN(10,$OQ141*3+$OR141*5,SUMPRODUCT($OK141:$OP141,$I$6:$N$6)-IF($NQ141=0,0,INDEX($I$6:$N$6,1,$NQ141))))</f>
        <v/>
      </c>
      <c r="PI141" s="155">
        <f>MAX(0,13-SUMPRODUCT($OK141:$OP141,$I$7:$N$7)+MIN(12,$OQ141*3+$OR141*6,SUMPRODUCT($OK141:$OP141,$I$7:$N$7)-IF($NQ141=0,0,INDEX($I$7:$N$7,1,$NQ141))))</f>
        <v/>
      </c>
      <c r="PJ141" s="155">
        <f>MAX(0,16-SUMPRODUCT($OK141:$OP141,$I$8:$N$8)+MIN(14,$OQ141*4+$OR141*7,SUMPRODUCT($OK141:$OP141,$I$8:$N$8)-IF($NQ141=0,0,INDEX($I$8:$N$8,1,$NQ141))))</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Melhoria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IFERROR(VLOOKUP($MV142,$AV$2:$BA$83,2,FALSE),"")</f>
        <v/>
      </c>
      <c r="NJ142" s="155">
        <f>IFERROR(VLOOKUP($MW142,$AV$2:$BA$83,2,FALSE),"")</f>
        <v/>
      </c>
      <c r="NK142" s="155">
        <f>IFERROR(VLOOKUP($MX142,$AV$2:$BA$83,2,FALSE),"")</f>
        <v/>
      </c>
      <c r="NL142" s="155">
        <f>IFERROR(VLOOKUP($MY142,$AV$2:$BA$83,2,FALSE),"")</f>
        <v/>
      </c>
      <c r="NM142" s="155">
        <f>IFERROR(VLOOKUP($MV142,$AV$2:$BA$83,3,FALSE),0)</f>
        <v/>
      </c>
      <c r="NN142" s="155">
        <f>IFERROR(VLOOKUP($MW142,$AV$2:$BA$83,3,FALSE),0)</f>
        <v/>
      </c>
      <c r="NO142" s="155">
        <f>IFERROR(VLOOKUP($MX142,$AV$2:$BA$83,3,FALSE),0)</f>
        <v/>
      </c>
      <c r="NP142" s="155">
        <f>IFERROR(VLOOKUP($MY142,$AV$2:$BA$83,3,FALSE),0)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IFERROR(VLOOKUP($MV142,$AV$2:$BA$83,4,FALSE),0)+IFERROR(VLOOKUP($MW142,$AV$2:$BA$83,4,FALSE),0)+IFERROR(VLOOKUP($MX142,$AV$2:$BA$83,4,FALSE),0)+IFERROR(VLOOKUP($MY142,$AV$2:$BA$83,4,FALSE),0)</f>
        <v/>
      </c>
      <c r="OB142" s="155">
        <f>IFERROR(VLOOKUP($MV142,$AV$2:$BA$83,6,FALSE),0)+IFERROR(VLOOKUP($MW142,$AV$2:$BA$83,6,FALSE),0)+IFERROR(VLOOKUP($MX142,$AV$2:$BA$83,6,FALSE),0)+IFERROR(VLOOKUP($MY142,$AV$2:$BA$83,6,FALSE),0)</f>
        <v/>
      </c>
      <c r="OC142" s="155">
        <f>TEXTJOIN(", ",TRUE,IF(IFERROR(VLOOKUP($MV142,$AV$2:$BA$83,5,FALSE),0)=1,$MV142,""),IF(IFERROR(VLOOKUP($MW142,$AV$2:$BA$83,5,FALSE),0)=1,$MW142,""),IF(IFERROR(VLOOKUP($MX142,$AV$2:$BA$83,5,FALSE),0)=1,$MX142,""),IF(IFERROR(VLOOKUP($MY142,$AV$2:$BA$83,5,FALSE),0)=1,$MY142,""))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MIN($OW142,$OU142-IF($NQ142=0,0,INDEX($I$2:$N$8,MAX(1,$MQ142),$NQ142)))</f>
        <v/>
      </c>
      <c r="OY142" s="155">
        <f>$OW142-$OX142</f>
        <v/>
      </c>
      <c r="OZ142" s="155">
        <f>IF($MQ142=0,0,INDEX($P$2:$P$8,MAX(1,$MQ142)))</f>
        <v/>
      </c>
      <c r="PA142" s="155">
        <f>$OZ142-$OU142+$OX142</f>
        <v/>
      </c>
      <c r="PB142" s="155">
        <f>IF($MQ142=0,MAX(0,$NE142-IF(AND($OS142&gt;0,COUNTIF($MZ142:$NA142,"?*")=0),1,0)),MAX(0,$PA142))</f>
        <v/>
      </c>
      <c r="PC142" s="155">
        <f>IF($MQ142=0,0,(IF(COUNTIF($MV142:$MY142,"Salto")&gt;0,1,0)+IF(COUNTIF($MV142:$MY142,"Queima")&gt;0,1,0)+IF(COUNTIF($MV142:$MY142,"Estilhaço")&gt;0,1,0))*FLOOR($PB142/2,1))</f>
        <v/>
      </c>
      <c r="PD142" s="155">
        <f>MAX(0,2-SUMPRODUCT($OK142:$OP142,$I$2:$N$2)+MIN(2,$OQ142*1+$OR142*1,SUMPRODUCT($OK142:$OP142,$I$2:$N$2)-IF($NQ142=0,0,INDEX($I$2:$N$2,1,$NQ142))))</f>
        <v/>
      </c>
      <c r="PE142" s="155">
        <f>MAX(0,4-SUMPRODUCT($OK142:$OP142,$I$3:$N$3)+MIN(4,$OQ142*1+$OR142*2,SUMPRODUCT($OK142:$OP142,$I$3:$N$3)-IF($NQ142=0,0,INDEX($I$3:$N$3,1,$NQ142))))</f>
        <v/>
      </c>
      <c r="PF142" s="155">
        <f>MAX(0,6-SUMPRODUCT($OK142:$OP142,$I$4:$N$4)+MIN(6,$OQ142*2+$OR142*3,SUMPRODUCT($OK142:$OP142,$I$4:$N$4)-IF($NQ142=0,0,INDEX($I$4:$N$4,1,$NQ142))))</f>
        <v/>
      </c>
      <c r="PG142" s="155">
        <f>MAX(0,9-SUMPRODUCT($OK142:$OP142,$I$5:$N$5)+MIN(8,$OQ142*2+$OR142*4,SUMPRODUCT($OK142:$OP142,$I$5:$N$5)-IF($NQ142=0,0,INDEX($I$5:$N$5,1,$NQ142))))</f>
        <v/>
      </c>
      <c r="PH142" s="155">
        <f>MAX(0,11-SUMPRODUCT($OK142:$OP142,$I$6:$N$6)+MIN(10,$OQ142*3+$OR142*5,SUMPRODUCT($OK142:$OP142,$I$6:$N$6)-IF($NQ142=0,0,INDEX($I$6:$N$6,1,$NQ142))))</f>
        <v/>
      </c>
      <c r="PI142" s="155">
        <f>MAX(0,13-SUMPRODUCT($OK142:$OP142,$I$7:$N$7)+MIN(12,$OQ142*3+$OR142*6,SUMPRODUCT($OK142:$OP142,$I$7:$N$7)-IF($NQ142=0,0,INDEX($I$7:$N$7,1,$NQ142))))</f>
        <v/>
      </c>
      <c r="PJ142" s="155">
        <f>MAX(0,16-SUMPRODUCT($OK142:$OP142,$I$8:$N$8)+MIN(14,$OQ142*4+$OR142*7,SUMPRODUCT($OK142:$OP142,$I$8:$N$8)-IF($NQ142=0,0,INDEX($I$8:$N$8,1,$NQ142))))</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Melhoria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IFERROR(VLOOKUP($MV143,$AV$2:$BA$83,2,FALSE),"")</f>
        <v/>
      </c>
      <c r="NJ143" s="155">
        <f>IFERROR(VLOOKUP($MW143,$AV$2:$BA$83,2,FALSE),"")</f>
        <v/>
      </c>
      <c r="NK143" s="155">
        <f>IFERROR(VLOOKUP($MX143,$AV$2:$BA$83,2,FALSE),"")</f>
        <v/>
      </c>
      <c r="NL143" s="155">
        <f>IFERROR(VLOOKUP($MY143,$AV$2:$BA$83,2,FALSE),"")</f>
        <v/>
      </c>
      <c r="NM143" s="155">
        <f>IFERROR(VLOOKUP($MV143,$AV$2:$BA$83,3,FALSE),0)</f>
        <v/>
      </c>
      <c r="NN143" s="155">
        <f>IFERROR(VLOOKUP($MW143,$AV$2:$BA$83,3,FALSE),0)</f>
        <v/>
      </c>
      <c r="NO143" s="155">
        <f>IFERROR(VLOOKUP($MX143,$AV$2:$BA$83,3,FALSE),0)</f>
        <v/>
      </c>
      <c r="NP143" s="155">
        <f>IFERROR(VLOOKUP($MY143,$AV$2:$BA$83,3,FALSE),0)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IFERROR(VLOOKUP($MV143,$AV$2:$BA$83,4,FALSE),0)+IFERROR(VLOOKUP($MW143,$AV$2:$BA$83,4,FALSE),0)+IFERROR(VLOOKUP($MX143,$AV$2:$BA$83,4,FALSE),0)+IFERROR(VLOOKUP($MY143,$AV$2:$BA$83,4,FALSE),0)</f>
        <v/>
      </c>
      <c r="OB143" s="155">
        <f>IFERROR(VLOOKUP($MV143,$AV$2:$BA$83,6,FALSE),0)+IFERROR(VLOOKUP($MW143,$AV$2:$BA$83,6,FALSE),0)+IFERROR(VLOOKUP($MX143,$AV$2:$BA$83,6,FALSE),0)+IFERROR(VLOOKUP($MY143,$AV$2:$BA$83,6,FALSE),0)</f>
        <v/>
      </c>
      <c r="OC143" s="155">
        <f>TEXTJOIN(", ",TRUE,IF(IFERROR(VLOOKUP($MV143,$AV$2:$BA$83,5,FALSE),0)=1,$MV143,""),IF(IFERROR(VLOOKUP($MW143,$AV$2:$BA$83,5,FALSE),0)=1,$MW143,""),IF(IFERROR(VLOOKUP($MX143,$AV$2:$BA$83,5,FALSE),0)=1,$MX143,""),IF(IFERROR(VLOOKUP($MY143,$AV$2:$BA$83,5,FALSE),0)=1,$MY143,""))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MIN($OW143,$OU143-IF($NQ143=0,0,INDEX($I$2:$N$8,MAX(1,$MQ143),$NQ143)))</f>
        <v/>
      </c>
      <c r="OY143" s="155">
        <f>$OW143-$OX143</f>
        <v/>
      </c>
      <c r="OZ143" s="155">
        <f>IF($MQ143=0,0,INDEX($P$2:$P$8,MAX(1,$MQ143)))</f>
        <v/>
      </c>
      <c r="PA143" s="155">
        <f>$OZ143-$OU143+$OX143</f>
        <v/>
      </c>
      <c r="PB143" s="155">
        <f>IF($MQ143=0,MAX(0,$NE143-IF(AND($OS143&gt;0,COUNTIF($MZ143:$NA143,"?*")=0),1,0)),MAX(0,$PA143))</f>
        <v/>
      </c>
      <c r="PC143" s="155">
        <f>IF($MQ143=0,0,(IF(COUNTIF($MV143:$MY143,"Salto")&gt;0,1,0)+IF(COUNTIF($MV143:$MY143,"Queima")&gt;0,1,0)+IF(COUNTIF($MV143:$MY143,"Estilhaço")&gt;0,1,0))*FLOOR($PB143/2,1))</f>
        <v/>
      </c>
      <c r="PD143" s="155">
        <f>MAX(0,2-SUMPRODUCT($OK143:$OP143,$I$2:$N$2)+MIN(2,$OQ143*1+$OR143*1,SUMPRODUCT($OK143:$OP143,$I$2:$N$2)-IF($NQ143=0,0,INDEX($I$2:$N$2,1,$NQ143))))</f>
        <v/>
      </c>
      <c r="PE143" s="155">
        <f>MAX(0,4-SUMPRODUCT($OK143:$OP143,$I$3:$N$3)+MIN(4,$OQ143*1+$OR143*2,SUMPRODUCT($OK143:$OP143,$I$3:$N$3)-IF($NQ143=0,0,INDEX($I$3:$N$3,1,$NQ143))))</f>
        <v/>
      </c>
      <c r="PF143" s="155">
        <f>MAX(0,6-SUMPRODUCT($OK143:$OP143,$I$4:$N$4)+MIN(6,$OQ143*2+$OR143*3,SUMPRODUCT($OK143:$OP143,$I$4:$N$4)-IF($NQ143=0,0,INDEX($I$4:$N$4,1,$NQ143))))</f>
        <v/>
      </c>
      <c r="PG143" s="155">
        <f>MAX(0,9-SUMPRODUCT($OK143:$OP143,$I$5:$N$5)+MIN(8,$OQ143*2+$OR143*4,SUMPRODUCT($OK143:$OP143,$I$5:$N$5)-IF($NQ143=0,0,INDEX($I$5:$N$5,1,$NQ143))))</f>
        <v/>
      </c>
      <c r="PH143" s="155">
        <f>MAX(0,11-SUMPRODUCT($OK143:$OP143,$I$6:$N$6)+MIN(10,$OQ143*3+$OR143*5,SUMPRODUCT($OK143:$OP143,$I$6:$N$6)-IF($NQ143=0,0,INDEX($I$6:$N$6,1,$NQ143))))</f>
        <v/>
      </c>
      <c r="PI143" s="155">
        <f>MAX(0,13-SUMPRODUCT($OK143:$OP143,$I$7:$N$7)+MIN(12,$OQ143*3+$OR143*6,SUMPRODUCT($OK143:$OP143,$I$7:$N$7)-IF($NQ143=0,0,INDEX($I$7:$N$7,1,$NQ143))))</f>
        <v/>
      </c>
      <c r="PJ143" s="155">
        <f>MAX(0,16-SUMPRODUCT($OK143:$OP143,$I$8:$N$8)+MIN(14,$OQ143*4+$OR143*7,SUMPRODUCT($OK143:$OP143,$I$8:$N$8)-IF($NQ143=0,0,INDEX($I$8:$N$8,1,$NQ143))))</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Melhoria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IFERROR(VLOOKUP($MV144,$AV$2:$BA$83,2,FALSE),"")</f>
        <v/>
      </c>
      <c r="NJ144" s="155">
        <f>IFERROR(VLOOKUP($MW144,$AV$2:$BA$83,2,FALSE),"")</f>
        <v/>
      </c>
      <c r="NK144" s="155">
        <f>IFERROR(VLOOKUP($MX144,$AV$2:$BA$83,2,FALSE),"")</f>
        <v/>
      </c>
      <c r="NL144" s="155">
        <f>IFERROR(VLOOKUP($MY144,$AV$2:$BA$83,2,FALSE),"")</f>
        <v/>
      </c>
      <c r="NM144" s="155">
        <f>IFERROR(VLOOKUP($MV144,$AV$2:$BA$83,3,FALSE),0)</f>
        <v/>
      </c>
      <c r="NN144" s="155">
        <f>IFERROR(VLOOKUP($MW144,$AV$2:$BA$83,3,FALSE),0)</f>
        <v/>
      </c>
      <c r="NO144" s="155">
        <f>IFERROR(VLOOKUP($MX144,$AV$2:$BA$83,3,FALSE),0)</f>
        <v/>
      </c>
      <c r="NP144" s="155">
        <f>IFERROR(VLOOKUP($MY144,$AV$2:$BA$83,3,FALSE),0)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IFERROR(VLOOKUP($MV144,$AV$2:$BA$83,4,FALSE),0)+IFERROR(VLOOKUP($MW144,$AV$2:$BA$83,4,FALSE),0)+IFERROR(VLOOKUP($MX144,$AV$2:$BA$83,4,FALSE),0)+IFERROR(VLOOKUP($MY144,$AV$2:$BA$83,4,FALSE),0)</f>
        <v/>
      </c>
      <c r="OB144" s="155">
        <f>IFERROR(VLOOKUP($MV144,$AV$2:$BA$83,6,FALSE),0)+IFERROR(VLOOKUP($MW144,$AV$2:$BA$83,6,FALSE),0)+IFERROR(VLOOKUP($MX144,$AV$2:$BA$83,6,FALSE),0)+IFERROR(VLOOKUP($MY144,$AV$2:$BA$83,6,FALSE),0)</f>
        <v/>
      </c>
      <c r="OC144" s="155">
        <f>TEXTJOIN(", ",TRUE,IF(IFERROR(VLOOKUP($MV144,$AV$2:$BA$83,5,FALSE),0)=1,$MV144,""),IF(IFERROR(VLOOKUP($MW144,$AV$2:$BA$83,5,FALSE),0)=1,$MW144,""),IF(IFERROR(VLOOKUP($MX144,$AV$2:$BA$83,5,FALSE),0)=1,$MX144,""),IF(IFERROR(VLOOKUP($MY144,$AV$2:$BA$83,5,FALSE),0)=1,$MY144,""))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MIN($OW144,$OU144-IF($NQ144=0,0,INDEX($I$2:$N$8,MAX(1,$MQ144),$NQ144)))</f>
        <v/>
      </c>
      <c r="OY144" s="155">
        <f>$OW144-$OX144</f>
        <v/>
      </c>
      <c r="OZ144" s="155">
        <f>IF($MQ144=0,0,INDEX($P$2:$P$8,MAX(1,$MQ144)))</f>
        <v/>
      </c>
      <c r="PA144" s="155">
        <f>$OZ144-$OU144+$OX144</f>
        <v/>
      </c>
      <c r="PB144" s="155">
        <f>IF($MQ144=0,MAX(0,$NE144-IF(AND($OS144&gt;0,COUNTIF($MZ144:$NA144,"?*")=0),1,0)),MAX(0,$PA144))</f>
        <v/>
      </c>
      <c r="PC144" s="155">
        <f>IF($MQ144=0,0,(IF(COUNTIF($MV144:$MY144,"Salto")&gt;0,1,0)+IF(COUNTIF($MV144:$MY144,"Queima")&gt;0,1,0)+IF(COUNTIF($MV144:$MY144,"Estilhaço")&gt;0,1,0))*FLOOR($PB144/2,1))</f>
        <v/>
      </c>
      <c r="PD144" s="155">
        <f>MAX(0,2-SUMPRODUCT($OK144:$OP144,$I$2:$N$2)+MIN(2,$OQ144*1+$OR144*1,SUMPRODUCT($OK144:$OP144,$I$2:$N$2)-IF($NQ144=0,0,INDEX($I$2:$N$2,1,$NQ144))))</f>
        <v/>
      </c>
      <c r="PE144" s="155">
        <f>MAX(0,4-SUMPRODUCT($OK144:$OP144,$I$3:$N$3)+MIN(4,$OQ144*1+$OR144*2,SUMPRODUCT($OK144:$OP144,$I$3:$N$3)-IF($NQ144=0,0,INDEX($I$3:$N$3,1,$NQ144))))</f>
        <v/>
      </c>
      <c r="PF144" s="155">
        <f>MAX(0,6-SUMPRODUCT($OK144:$OP144,$I$4:$N$4)+MIN(6,$OQ144*2+$OR144*3,SUMPRODUCT($OK144:$OP144,$I$4:$N$4)-IF($NQ144=0,0,INDEX($I$4:$N$4,1,$NQ144))))</f>
        <v/>
      </c>
      <c r="PG144" s="155">
        <f>MAX(0,9-SUMPRODUCT($OK144:$OP144,$I$5:$N$5)+MIN(8,$OQ144*2+$OR144*4,SUMPRODUCT($OK144:$OP144,$I$5:$N$5)-IF($NQ144=0,0,INDEX($I$5:$N$5,1,$NQ144))))</f>
        <v/>
      </c>
      <c r="PH144" s="155">
        <f>MAX(0,11-SUMPRODUCT($OK144:$OP144,$I$6:$N$6)+MIN(10,$OQ144*3+$OR144*5,SUMPRODUCT($OK144:$OP144,$I$6:$N$6)-IF($NQ144=0,0,INDEX($I$6:$N$6,1,$NQ144))))</f>
        <v/>
      </c>
      <c r="PI144" s="155">
        <f>MAX(0,13-SUMPRODUCT($OK144:$OP144,$I$7:$N$7)+MIN(12,$OQ144*3+$OR144*6,SUMPRODUCT($OK144:$OP144,$I$7:$N$7)-IF($NQ144=0,0,INDEX($I$7:$N$7,1,$NQ144))))</f>
        <v/>
      </c>
      <c r="PJ144" s="155">
        <f>MAX(0,16-SUMPRODUCT($OK144:$OP144,$I$8:$N$8)+MIN(14,$OQ144*4+$OR144*7,SUMPRODUCT($OK144:$OP144,$I$8:$N$8)-IF($NQ144=0,0,INDEX($I$8:$N$8,1,$NQ144))))</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Melhoria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IFERROR(VLOOKUP($MV145,$AV$2:$BA$83,2,FALSE),"")</f>
        <v/>
      </c>
      <c r="NJ145" s="155">
        <f>IFERROR(VLOOKUP($MW145,$AV$2:$BA$83,2,FALSE),"")</f>
        <v/>
      </c>
      <c r="NK145" s="155">
        <f>IFERROR(VLOOKUP($MX145,$AV$2:$BA$83,2,FALSE),"")</f>
        <v/>
      </c>
      <c r="NL145" s="155">
        <f>IFERROR(VLOOKUP($MY145,$AV$2:$BA$83,2,FALSE),"")</f>
        <v/>
      </c>
      <c r="NM145" s="155">
        <f>IFERROR(VLOOKUP($MV145,$AV$2:$BA$83,3,FALSE),0)</f>
        <v/>
      </c>
      <c r="NN145" s="155">
        <f>IFERROR(VLOOKUP($MW145,$AV$2:$BA$83,3,FALSE),0)</f>
        <v/>
      </c>
      <c r="NO145" s="155">
        <f>IFERROR(VLOOKUP($MX145,$AV$2:$BA$83,3,FALSE),0)</f>
        <v/>
      </c>
      <c r="NP145" s="155">
        <f>IFERROR(VLOOKUP($MY145,$AV$2:$BA$83,3,FALSE),0)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IFERROR(VLOOKUP($MV145,$AV$2:$BA$83,4,FALSE),0)+IFERROR(VLOOKUP($MW145,$AV$2:$BA$83,4,FALSE),0)+IFERROR(VLOOKUP($MX145,$AV$2:$BA$83,4,FALSE),0)+IFERROR(VLOOKUP($MY145,$AV$2:$BA$83,4,FALSE),0)</f>
        <v/>
      </c>
      <c r="OB145" s="155">
        <f>IFERROR(VLOOKUP($MV145,$AV$2:$BA$83,6,FALSE),0)+IFERROR(VLOOKUP($MW145,$AV$2:$BA$83,6,FALSE),0)+IFERROR(VLOOKUP($MX145,$AV$2:$BA$83,6,FALSE),0)+IFERROR(VLOOKUP($MY145,$AV$2:$BA$83,6,FALSE),0)</f>
        <v/>
      </c>
      <c r="OC145" s="155">
        <f>TEXTJOIN(", ",TRUE,IF(IFERROR(VLOOKUP($MV145,$AV$2:$BA$83,5,FALSE),0)=1,$MV145,""),IF(IFERROR(VLOOKUP($MW145,$AV$2:$BA$83,5,FALSE),0)=1,$MW145,""),IF(IFERROR(VLOOKUP($MX145,$AV$2:$BA$83,5,FALSE),0)=1,$MX145,""),IF(IFERROR(VLOOKUP($MY145,$AV$2:$BA$83,5,FALSE),0)=1,$MY145,""))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MIN($OW145,$OU145-IF($NQ145=0,0,INDEX($I$2:$N$8,MAX(1,$MQ145),$NQ145)))</f>
        <v/>
      </c>
      <c r="OY145" s="155">
        <f>$OW145-$OX145</f>
        <v/>
      </c>
      <c r="OZ145" s="155">
        <f>IF($MQ145=0,0,INDEX($P$2:$P$8,MAX(1,$MQ145)))</f>
        <v/>
      </c>
      <c r="PA145" s="155">
        <f>$OZ145-$OU145+$OX145</f>
        <v/>
      </c>
      <c r="PB145" s="155">
        <f>IF($MQ145=0,MAX(0,$NE145-IF(AND($OS145&gt;0,COUNTIF($MZ145:$NA145,"?*")=0),1,0)),MAX(0,$PA145))</f>
        <v/>
      </c>
      <c r="PC145" s="155">
        <f>IF($MQ145=0,0,(IF(COUNTIF($MV145:$MY145,"Salto")&gt;0,1,0)+IF(COUNTIF($MV145:$MY145,"Queima")&gt;0,1,0)+IF(COUNTIF($MV145:$MY145,"Estilhaço")&gt;0,1,0))*FLOOR($PB145/2,1))</f>
        <v/>
      </c>
      <c r="PD145" s="155">
        <f>MAX(0,2-SUMPRODUCT($OK145:$OP145,$I$2:$N$2)+MIN(2,$OQ145*1+$OR145*1,SUMPRODUCT($OK145:$OP145,$I$2:$N$2)-IF($NQ145=0,0,INDEX($I$2:$N$2,1,$NQ145))))</f>
        <v/>
      </c>
      <c r="PE145" s="155">
        <f>MAX(0,4-SUMPRODUCT($OK145:$OP145,$I$3:$N$3)+MIN(4,$OQ145*1+$OR145*2,SUMPRODUCT($OK145:$OP145,$I$3:$N$3)-IF($NQ145=0,0,INDEX($I$3:$N$3,1,$NQ145))))</f>
        <v/>
      </c>
      <c r="PF145" s="155">
        <f>MAX(0,6-SUMPRODUCT($OK145:$OP145,$I$4:$N$4)+MIN(6,$OQ145*2+$OR145*3,SUMPRODUCT($OK145:$OP145,$I$4:$N$4)-IF($NQ145=0,0,INDEX($I$4:$N$4,1,$NQ145))))</f>
        <v/>
      </c>
      <c r="PG145" s="155">
        <f>MAX(0,9-SUMPRODUCT($OK145:$OP145,$I$5:$N$5)+MIN(8,$OQ145*2+$OR145*4,SUMPRODUCT($OK145:$OP145,$I$5:$N$5)-IF($NQ145=0,0,INDEX($I$5:$N$5,1,$NQ145))))</f>
        <v/>
      </c>
      <c r="PH145" s="155">
        <f>MAX(0,11-SUMPRODUCT($OK145:$OP145,$I$6:$N$6)+MIN(10,$OQ145*3+$OR145*5,SUMPRODUCT($OK145:$OP145,$I$6:$N$6)-IF($NQ145=0,0,INDEX($I$6:$N$6,1,$NQ145))))</f>
        <v/>
      </c>
      <c r="PI145" s="155">
        <f>MAX(0,13-SUMPRODUCT($OK145:$OP145,$I$7:$N$7)+MIN(12,$OQ145*3+$OR145*6,SUMPRODUCT($OK145:$OP145,$I$7:$N$7)-IF($NQ145=0,0,INDEX($I$7:$N$7,1,$NQ145))))</f>
        <v/>
      </c>
      <c r="PJ145" s="155">
        <f>MAX(0,16-SUMPRODUCT($OK145:$OP145,$I$8:$N$8)+MIN(14,$OQ145*4+$OR145*7,SUMPRODUCT($OK145:$OP145,$I$8:$N$8)-IF($NQ145=0,0,INDEX($I$8:$N$8,1,$NQ145))))</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Melhoria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IFERROR(VLOOKUP($MV146,$AV$2:$BA$83,2,FALSE),"")</f>
        <v/>
      </c>
      <c r="NJ146" s="155">
        <f>IFERROR(VLOOKUP($MW146,$AV$2:$BA$83,2,FALSE),"")</f>
        <v/>
      </c>
      <c r="NK146" s="155">
        <f>IFERROR(VLOOKUP($MX146,$AV$2:$BA$83,2,FALSE),"")</f>
        <v/>
      </c>
      <c r="NL146" s="155">
        <f>IFERROR(VLOOKUP($MY146,$AV$2:$BA$83,2,FALSE),"")</f>
        <v/>
      </c>
      <c r="NM146" s="155">
        <f>IFERROR(VLOOKUP($MV146,$AV$2:$BA$83,3,FALSE),0)</f>
        <v/>
      </c>
      <c r="NN146" s="155">
        <f>IFERROR(VLOOKUP($MW146,$AV$2:$BA$83,3,FALSE),0)</f>
        <v/>
      </c>
      <c r="NO146" s="155">
        <f>IFERROR(VLOOKUP($MX146,$AV$2:$BA$83,3,FALSE),0)</f>
        <v/>
      </c>
      <c r="NP146" s="155">
        <f>IFERROR(VLOOKUP($MY146,$AV$2:$BA$83,3,FALSE),0)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IFERROR(VLOOKUP($MV146,$AV$2:$BA$83,4,FALSE),0)+IFERROR(VLOOKUP($MW146,$AV$2:$BA$83,4,FALSE),0)+IFERROR(VLOOKUP($MX146,$AV$2:$BA$83,4,FALSE),0)+IFERROR(VLOOKUP($MY146,$AV$2:$BA$83,4,FALSE),0)</f>
        <v/>
      </c>
      <c r="OB146" s="155">
        <f>IFERROR(VLOOKUP($MV146,$AV$2:$BA$83,6,FALSE),0)+IFERROR(VLOOKUP($MW146,$AV$2:$BA$83,6,FALSE),0)+IFERROR(VLOOKUP($MX146,$AV$2:$BA$83,6,FALSE),0)+IFERROR(VLOOKUP($MY146,$AV$2:$BA$83,6,FALSE),0)</f>
        <v/>
      </c>
      <c r="OC146" s="155">
        <f>TEXTJOIN(", ",TRUE,IF(IFERROR(VLOOKUP($MV146,$AV$2:$BA$83,5,FALSE),0)=1,$MV146,""),IF(IFERROR(VLOOKUP($MW146,$AV$2:$BA$83,5,FALSE),0)=1,$MW146,""),IF(IFERROR(VLOOKUP($MX146,$AV$2:$BA$83,5,FALSE),0)=1,$MX146,""),IF(IFERROR(VLOOKUP($MY146,$AV$2:$BA$83,5,FALSE),0)=1,$MY146,""))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MIN($OW146,$OU146-IF($NQ146=0,0,INDEX($I$2:$N$8,MAX(1,$MQ146),$NQ146)))</f>
        <v/>
      </c>
      <c r="OY146" s="155">
        <f>$OW146-$OX146</f>
        <v/>
      </c>
      <c r="OZ146" s="155">
        <f>IF($MQ146=0,0,INDEX($P$2:$P$8,MAX(1,$MQ146)))</f>
        <v/>
      </c>
      <c r="PA146" s="155">
        <f>$OZ146-$OU146+$OX146</f>
        <v/>
      </c>
      <c r="PB146" s="155">
        <f>IF($MQ146=0,MAX(0,$NE146-IF(AND($OS146&gt;0,COUNTIF($MZ146:$NA146,"?*")=0),1,0)),MAX(0,$PA146))</f>
        <v/>
      </c>
      <c r="PC146" s="155">
        <f>IF($MQ146=0,0,(IF(COUNTIF($MV146:$MY146,"Salto")&gt;0,1,0)+IF(COUNTIF($MV146:$MY146,"Queima")&gt;0,1,0)+IF(COUNTIF($MV146:$MY146,"Estilhaço")&gt;0,1,0))*FLOOR($PB146/2,1))</f>
        <v/>
      </c>
      <c r="PD146" s="155">
        <f>MAX(0,2-SUMPRODUCT($OK146:$OP146,$I$2:$N$2)+MIN(2,$OQ146*1+$OR146*1,SUMPRODUCT($OK146:$OP146,$I$2:$N$2)-IF($NQ146=0,0,INDEX($I$2:$N$2,1,$NQ146))))</f>
        <v/>
      </c>
      <c r="PE146" s="155">
        <f>MAX(0,4-SUMPRODUCT($OK146:$OP146,$I$3:$N$3)+MIN(4,$OQ146*1+$OR146*2,SUMPRODUCT($OK146:$OP146,$I$3:$N$3)-IF($NQ146=0,0,INDEX($I$3:$N$3,1,$NQ146))))</f>
        <v/>
      </c>
      <c r="PF146" s="155">
        <f>MAX(0,6-SUMPRODUCT($OK146:$OP146,$I$4:$N$4)+MIN(6,$OQ146*2+$OR146*3,SUMPRODUCT($OK146:$OP146,$I$4:$N$4)-IF($NQ146=0,0,INDEX($I$4:$N$4,1,$NQ146))))</f>
        <v/>
      </c>
      <c r="PG146" s="155">
        <f>MAX(0,9-SUMPRODUCT($OK146:$OP146,$I$5:$N$5)+MIN(8,$OQ146*2+$OR146*4,SUMPRODUCT($OK146:$OP146,$I$5:$N$5)-IF($NQ146=0,0,INDEX($I$5:$N$5,1,$NQ146))))</f>
        <v/>
      </c>
      <c r="PH146" s="155">
        <f>MAX(0,11-SUMPRODUCT($OK146:$OP146,$I$6:$N$6)+MIN(10,$OQ146*3+$OR146*5,SUMPRODUCT($OK146:$OP146,$I$6:$N$6)-IF($NQ146=0,0,INDEX($I$6:$N$6,1,$NQ146))))</f>
        <v/>
      </c>
      <c r="PI146" s="155">
        <f>MAX(0,13-SUMPRODUCT($OK146:$OP146,$I$7:$N$7)+MIN(12,$OQ146*3+$OR146*6,SUMPRODUCT($OK146:$OP146,$I$7:$N$7)-IF($NQ146=0,0,INDEX($I$7:$N$7,1,$NQ146))))</f>
        <v/>
      </c>
      <c r="PJ146" s="155">
        <f>MAX(0,16-SUMPRODUCT($OK146:$OP146,$I$8:$N$8)+MIN(14,$OQ146*4+$OR146*7,SUMPRODUCT($OK146:$OP146,$I$8:$N$8)-IF($NQ146=0,0,INDEX($I$8:$N$8,1,$NQ146))))</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Melhoria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IFERROR(VLOOKUP($MV147,$AV$2:$BA$83,2,FALSE),"")</f>
        <v/>
      </c>
      <c r="NJ147" s="155">
        <f>IFERROR(VLOOKUP($MW147,$AV$2:$BA$83,2,FALSE),"")</f>
        <v/>
      </c>
      <c r="NK147" s="155">
        <f>IFERROR(VLOOKUP($MX147,$AV$2:$BA$83,2,FALSE),"")</f>
        <v/>
      </c>
      <c r="NL147" s="155">
        <f>IFERROR(VLOOKUP($MY147,$AV$2:$BA$83,2,FALSE),"")</f>
        <v/>
      </c>
      <c r="NM147" s="155">
        <f>IFERROR(VLOOKUP($MV147,$AV$2:$BA$83,3,FALSE),0)</f>
        <v/>
      </c>
      <c r="NN147" s="155">
        <f>IFERROR(VLOOKUP($MW147,$AV$2:$BA$83,3,FALSE),0)</f>
        <v/>
      </c>
      <c r="NO147" s="155">
        <f>IFERROR(VLOOKUP($MX147,$AV$2:$BA$83,3,FALSE),0)</f>
        <v/>
      </c>
      <c r="NP147" s="155">
        <f>IFERROR(VLOOKUP($MY147,$AV$2:$BA$83,3,FALSE),0)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IFERROR(VLOOKUP($MV147,$AV$2:$BA$83,4,FALSE),0)+IFERROR(VLOOKUP($MW147,$AV$2:$BA$83,4,FALSE),0)+IFERROR(VLOOKUP($MX147,$AV$2:$BA$83,4,FALSE),0)+IFERROR(VLOOKUP($MY147,$AV$2:$BA$83,4,FALSE),0)</f>
        <v/>
      </c>
      <c r="OB147" s="155">
        <f>IFERROR(VLOOKUP($MV147,$AV$2:$BA$83,6,FALSE),0)+IFERROR(VLOOKUP($MW147,$AV$2:$BA$83,6,FALSE),0)+IFERROR(VLOOKUP($MX147,$AV$2:$BA$83,6,FALSE),0)+IFERROR(VLOOKUP($MY147,$AV$2:$BA$83,6,FALSE),0)</f>
        <v/>
      </c>
      <c r="OC147" s="155">
        <f>TEXTJOIN(", ",TRUE,IF(IFERROR(VLOOKUP($MV147,$AV$2:$BA$83,5,FALSE),0)=1,$MV147,""),IF(IFERROR(VLOOKUP($MW147,$AV$2:$BA$83,5,FALSE),0)=1,$MW147,""),IF(IFERROR(VLOOKUP($MX147,$AV$2:$BA$83,5,FALSE),0)=1,$MX147,""),IF(IFERROR(VLOOKUP($MY147,$AV$2:$BA$83,5,FALSE),0)=1,$MY147,""))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MIN($OW147,$OU147-IF($NQ147=0,0,INDEX($I$2:$N$8,MAX(1,$MQ147),$NQ147)))</f>
        <v/>
      </c>
      <c r="OY147" s="155">
        <f>$OW147-$OX147</f>
        <v/>
      </c>
      <c r="OZ147" s="155">
        <f>IF($MQ147=0,0,INDEX($P$2:$P$8,MAX(1,$MQ147)))</f>
        <v/>
      </c>
      <c r="PA147" s="155">
        <f>$OZ147-$OU147+$OX147</f>
        <v/>
      </c>
      <c r="PB147" s="155">
        <f>IF($MQ147=0,MAX(0,$NE147-IF(AND($OS147&gt;0,COUNTIF($MZ147:$NA147,"?*")=0),1,0)),MAX(0,$PA147))</f>
        <v/>
      </c>
      <c r="PC147" s="155">
        <f>IF($MQ147=0,0,(IF(COUNTIF($MV147:$MY147,"Salto")&gt;0,1,0)+IF(COUNTIF($MV147:$MY147,"Queima")&gt;0,1,0)+IF(COUNTIF($MV147:$MY147,"Estilhaço")&gt;0,1,0))*FLOOR($PB147/2,1))</f>
        <v/>
      </c>
      <c r="PD147" s="155">
        <f>MAX(0,2-SUMPRODUCT($OK147:$OP147,$I$2:$N$2)+MIN(2,$OQ147*1+$OR147*1,SUMPRODUCT($OK147:$OP147,$I$2:$N$2)-IF($NQ147=0,0,INDEX($I$2:$N$2,1,$NQ147))))</f>
        <v/>
      </c>
      <c r="PE147" s="155">
        <f>MAX(0,4-SUMPRODUCT($OK147:$OP147,$I$3:$N$3)+MIN(4,$OQ147*1+$OR147*2,SUMPRODUCT($OK147:$OP147,$I$3:$N$3)-IF($NQ147=0,0,INDEX($I$3:$N$3,1,$NQ147))))</f>
        <v/>
      </c>
      <c r="PF147" s="155">
        <f>MAX(0,6-SUMPRODUCT($OK147:$OP147,$I$4:$N$4)+MIN(6,$OQ147*2+$OR147*3,SUMPRODUCT($OK147:$OP147,$I$4:$N$4)-IF($NQ147=0,0,INDEX($I$4:$N$4,1,$NQ147))))</f>
        <v/>
      </c>
      <c r="PG147" s="155">
        <f>MAX(0,9-SUMPRODUCT($OK147:$OP147,$I$5:$N$5)+MIN(8,$OQ147*2+$OR147*4,SUMPRODUCT($OK147:$OP147,$I$5:$N$5)-IF($NQ147=0,0,INDEX($I$5:$N$5,1,$NQ147))))</f>
        <v/>
      </c>
      <c r="PH147" s="155">
        <f>MAX(0,11-SUMPRODUCT($OK147:$OP147,$I$6:$N$6)+MIN(10,$OQ147*3+$OR147*5,SUMPRODUCT($OK147:$OP147,$I$6:$N$6)-IF($NQ147=0,0,INDEX($I$6:$N$6,1,$NQ147))))</f>
        <v/>
      </c>
      <c r="PI147" s="155">
        <f>MAX(0,13-SUMPRODUCT($OK147:$OP147,$I$7:$N$7)+MIN(12,$OQ147*3+$OR147*6,SUMPRODUCT($OK147:$OP147,$I$7:$N$7)-IF($NQ147=0,0,INDEX($I$7:$N$7,1,$NQ147))))</f>
        <v/>
      </c>
      <c r="PJ147" s="155">
        <f>MAX(0,16-SUMPRODUCT($OK147:$OP147,$I$8:$N$8)+MIN(14,$OQ147*4+$OR147*7,SUMPRODUCT($OK147:$OP147,$I$8:$N$8)-IF($NQ147=0,0,INDEX($I$8:$N$8,1,$NQ147))))</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Melhoria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IFERROR(VLOOKUP($MV148,$AV$2:$BA$83,2,FALSE),"")</f>
        <v/>
      </c>
      <c r="NJ148" s="155">
        <f>IFERROR(VLOOKUP($MW148,$AV$2:$BA$83,2,FALSE),"")</f>
        <v/>
      </c>
      <c r="NK148" s="155">
        <f>IFERROR(VLOOKUP($MX148,$AV$2:$BA$83,2,FALSE),"")</f>
        <v/>
      </c>
      <c r="NL148" s="155">
        <f>IFERROR(VLOOKUP($MY148,$AV$2:$BA$83,2,FALSE),"")</f>
        <v/>
      </c>
      <c r="NM148" s="155">
        <f>IFERROR(VLOOKUP($MV148,$AV$2:$BA$83,3,FALSE),0)</f>
        <v/>
      </c>
      <c r="NN148" s="155">
        <f>IFERROR(VLOOKUP($MW148,$AV$2:$BA$83,3,FALSE),0)</f>
        <v/>
      </c>
      <c r="NO148" s="155">
        <f>IFERROR(VLOOKUP($MX148,$AV$2:$BA$83,3,FALSE),0)</f>
        <v/>
      </c>
      <c r="NP148" s="155">
        <f>IFERROR(VLOOKUP($MY148,$AV$2:$BA$83,3,FALSE),0)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IFERROR(VLOOKUP($MV148,$AV$2:$BA$83,4,FALSE),0)+IFERROR(VLOOKUP($MW148,$AV$2:$BA$83,4,FALSE),0)+IFERROR(VLOOKUP($MX148,$AV$2:$BA$83,4,FALSE),0)+IFERROR(VLOOKUP($MY148,$AV$2:$BA$83,4,FALSE),0)</f>
        <v/>
      </c>
      <c r="OB148" s="155">
        <f>IFERROR(VLOOKUP($MV148,$AV$2:$BA$83,6,FALSE),0)+IFERROR(VLOOKUP($MW148,$AV$2:$BA$83,6,FALSE),0)+IFERROR(VLOOKUP($MX148,$AV$2:$BA$83,6,FALSE),0)+IFERROR(VLOOKUP($MY148,$AV$2:$BA$83,6,FALSE),0)</f>
        <v/>
      </c>
      <c r="OC148" s="155">
        <f>TEXTJOIN(", ",TRUE,IF(IFERROR(VLOOKUP($MV148,$AV$2:$BA$83,5,FALSE),0)=1,$MV148,""),IF(IFERROR(VLOOKUP($MW148,$AV$2:$BA$83,5,FALSE),0)=1,$MW148,""),IF(IFERROR(VLOOKUP($MX148,$AV$2:$BA$83,5,FALSE),0)=1,$MX148,""),IF(IFERROR(VLOOKUP($MY148,$AV$2:$BA$83,5,FALSE),0)=1,$MY148,""))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MIN($OW148,$OU148-IF($NQ148=0,0,INDEX($I$2:$N$8,MAX(1,$MQ148),$NQ148)))</f>
        <v/>
      </c>
      <c r="OY148" s="155">
        <f>$OW148-$OX148</f>
        <v/>
      </c>
      <c r="OZ148" s="155">
        <f>IF($MQ148=0,0,INDEX($P$2:$P$8,MAX(1,$MQ148)))</f>
        <v/>
      </c>
      <c r="PA148" s="155">
        <f>$OZ148-$OU148+$OX148</f>
        <v/>
      </c>
      <c r="PB148" s="155">
        <f>IF($MQ148=0,MAX(0,$NE148-IF(AND($OS148&gt;0,COUNTIF($MZ148:$NA148,"?*")=0),1,0)),MAX(0,$PA148))</f>
        <v/>
      </c>
      <c r="PC148" s="155">
        <f>IF($MQ148=0,0,(IF(COUNTIF($MV148:$MY148,"Salto")&gt;0,1,0)+IF(COUNTIF($MV148:$MY148,"Queima")&gt;0,1,0)+IF(COUNTIF($MV148:$MY148,"Estilhaço")&gt;0,1,0))*FLOOR($PB148/2,1))</f>
        <v/>
      </c>
      <c r="PD148" s="155">
        <f>MAX(0,2-SUMPRODUCT($OK148:$OP148,$I$2:$N$2)+MIN(2,$OQ148*1+$OR148*1,SUMPRODUCT($OK148:$OP148,$I$2:$N$2)-IF($NQ148=0,0,INDEX($I$2:$N$2,1,$NQ148))))</f>
        <v/>
      </c>
      <c r="PE148" s="155">
        <f>MAX(0,4-SUMPRODUCT($OK148:$OP148,$I$3:$N$3)+MIN(4,$OQ148*1+$OR148*2,SUMPRODUCT($OK148:$OP148,$I$3:$N$3)-IF($NQ148=0,0,INDEX($I$3:$N$3,1,$NQ148))))</f>
        <v/>
      </c>
      <c r="PF148" s="155">
        <f>MAX(0,6-SUMPRODUCT($OK148:$OP148,$I$4:$N$4)+MIN(6,$OQ148*2+$OR148*3,SUMPRODUCT($OK148:$OP148,$I$4:$N$4)-IF($NQ148=0,0,INDEX($I$4:$N$4,1,$NQ148))))</f>
        <v/>
      </c>
      <c r="PG148" s="155">
        <f>MAX(0,9-SUMPRODUCT($OK148:$OP148,$I$5:$N$5)+MIN(8,$OQ148*2+$OR148*4,SUMPRODUCT($OK148:$OP148,$I$5:$N$5)-IF($NQ148=0,0,INDEX($I$5:$N$5,1,$NQ148))))</f>
        <v/>
      </c>
      <c r="PH148" s="155">
        <f>MAX(0,11-SUMPRODUCT($OK148:$OP148,$I$6:$N$6)+MIN(10,$OQ148*3+$OR148*5,SUMPRODUCT($OK148:$OP148,$I$6:$N$6)-IF($NQ148=0,0,INDEX($I$6:$N$6,1,$NQ148))))</f>
        <v/>
      </c>
      <c r="PI148" s="155">
        <f>MAX(0,13-SUMPRODUCT($OK148:$OP148,$I$7:$N$7)+MIN(12,$OQ148*3+$OR148*6,SUMPRODUCT($OK148:$OP148,$I$7:$N$7)-IF($NQ148=0,0,INDEX($I$7:$N$7,1,$NQ148))))</f>
        <v/>
      </c>
      <c r="PJ148" s="155">
        <f>MAX(0,16-SUMPRODUCT($OK148:$OP148,$I$8:$N$8)+MIN(14,$OQ148*4+$OR148*7,SUMPRODUCT($OK148:$OP148,$I$8:$N$8)-IF($NQ148=0,0,INDEX($I$8:$N$8,1,$NQ148))))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Melhoria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IFERROR(VLOOKUP($MV149,$AV$2:$BA$83,2,FALSE),"")</f>
        <v/>
      </c>
      <c r="NJ149" s="155">
        <f>IFERROR(VLOOKUP($MW149,$AV$2:$BA$83,2,FALSE),"")</f>
        <v/>
      </c>
      <c r="NK149" s="155">
        <f>IFERROR(VLOOKUP($MX149,$AV$2:$BA$83,2,FALSE),"")</f>
        <v/>
      </c>
      <c r="NL149" s="155">
        <f>IFERROR(VLOOKUP($MY149,$AV$2:$BA$83,2,FALSE),"")</f>
        <v/>
      </c>
      <c r="NM149" s="155">
        <f>IFERROR(VLOOKUP($MV149,$AV$2:$BA$83,3,FALSE),0)</f>
        <v/>
      </c>
      <c r="NN149" s="155">
        <f>IFERROR(VLOOKUP($MW149,$AV$2:$BA$83,3,FALSE),0)</f>
        <v/>
      </c>
      <c r="NO149" s="155">
        <f>IFERROR(VLOOKUP($MX149,$AV$2:$BA$83,3,FALSE),0)</f>
        <v/>
      </c>
      <c r="NP149" s="155">
        <f>IFERROR(VLOOKUP($MY149,$AV$2:$BA$83,3,FALSE),0)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IFERROR(VLOOKUP($MV149,$AV$2:$BA$83,4,FALSE),0)+IFERROR(VLOOKUP($MW149,$AV$2:$BA$83,4,FALSE),0)+IFERROR(VLOOKUP($MX149,$AV$2:$BA$83,4,FALSE),0)+IFERROR(VLOOKUP($MY149,$AV$2:$BA$83,4,FALSE),0)</f>
        <v/>
      </c>
      <c r="OB149" s="155">
        <f>IFERROR(VLOOKUP($MV149,$AV$2:$BA$83,6,FALSE),0)+IFERROR(VLOOKUP($MW149,$AV$2:$BA$83,6,FALSE),0)+IFERROR(VLOOKUP($MX149,$AV$2:$BA$83,6,FALSE),0)+IFERROR(VLOOKUP($MY149,$AV$2:$BA$83,6,FALSE),0)</f>
        <v/>
      </c>
      <c r="OC149" s="155">
        <f>TEXTJOIN(", ",TRUE,IF(IFERROR(VLOOKUP($MV149,$AV$2:$BA$83,5,FALSE),0)=1,$MV149,""),IF(IFERROR(VLOOKUP($MW149,$AV$2:$BA$83,5,FALSE),0)=1,$MW149,""),IF(IFERROR(VLOOKUP($MX149,$AV$2:$BA$83,5,FALSE),0)=1,$MX149,""),IF(IFERROR(VLOOKUP($MY149,$AV$2:$BA$83,5,FALSE),0)=1,$MY149,""))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MIN($OW149,$OU149-IF($NQ149=0,0,INDEX($I$2:$N$8,MAX(1,$MQ149),$NQ149)))</f>
        <v/>
      </c>
      <c r="OY149" s="155">
        <f>$OW149-$OX149</f>
        <v/>
      </c>
      <c r="OZ149" s="155">
        <f>IF($MQ149=0,0,INDEX($P$2:$P$8,MAX(1,$MQ149)))</f>
        <v/>
      </c>
      <c r="PA149" s="155">
        <f>$OZ149-$OU149+$OX149</f>
        <v/>
      </c>
      <c r="PB149" s="155">
        <f>IF($MQ149=0,MAX(0,$NE149-IF(AND($OS149&gt;0,COUNTIF($MZ149:$NA149,"?*")=0),1,0)),MAX(0,$PA149))</f>
        <v/>
      </c>
      <c r="PC149" s="155">
        <f>IF($MQ149=0,0,(IF(COUNTIF($MV149:$MY149,"Salto")&gt;0,1,0)+IF(COUNTIF($MV149:$MY149,"Queima")&gt;0,1,0)+IF(COUNTIF($MV149:$MY149,"Estilhaço")&gt;0,1,0))*FLOOR($PB149/2,1))</f>
        <v/>
      </c>
      <c r="PD149" s="155">
        <f>MAX(0,2-SUMPRODUCT($OK149:$OP149,$I$2:$N$2)+MIN(2,$OQ149*1+$OR149*1,SUMPRODUCT($OK149:$OP149,$I$2:$N$2)-IF($NQ149=0,0,INDEX($I$2:$N$2,1,$NQ149))))</f>
        <v/>
      </c>
      <c r="PE149" s="155">
        <f>MAX(0,4-SUMPRODUCT($OK149:$OP149,$I$3:$N$3)+MIN(4,$OQ149*1+$OR149*2,SUMPRODUCT($OK149:$OP149,$I$3:$N$3)-IF($NQ149=0,0,INDEX($I$3:$N$3,1,$NQ149))))</f>
        <v/>
      </c>
      <c r="PF149" s="155">
        <f>MAX(0,6-SUMPRODUCT($OK149:$OP149,$I$4:$N$4)+MIN(6,$OQ149*2+$OR149*3,SUMPRODUCT($OK149:$OP149,$I$4:$N$4)-IF($NQ149=0,0,INDEX($I$4:$N$4,1,$NQ149))))</f>
        <v/>
      </c>
      <c r="PG149" s="155">
        <f>MAX(0,9-SUMPRODUCT($OK149:$OP149,$I$5:$N$5)+MIN(8,$OQ149*2+$OR149*4,SUMPRODUCT($OK149:$OP149,$I$5:$N$5)-IF($NQ149=0,0,INDEX($I$5:$N$5,1,$NQ149))))</f>
        <v/>
      </c>
      <c r="PH149" s="155">
        <f>MAX(0,11-SUMPRODUCT($OK149:$OP149,$I$6:$N$6)+MIN(10,$OQ149*3+$OR149*5,SUMPRODUCT($OK149:$OP149,$I$6:$N$6)-IF($NQ149=0,0,INDEX($I$6:$N$6,1,$NQ149))))</f>
        <v/>
      </c>
      <c r="PI149" s="155">
        <f>MAX(0,13-SUMPRODUCT($OK149:$OP149,$I$7:$N$7)+MIN(12,$OQ149*3+$OR149*6,SUMPRODUCT($OK149:$OP149,$I$7:$N$7)-IF($NQ149=0,0,INDEX($I$7:$N$7,1,$NQ149))))</f>
        <v/>
      </c>
      <c r="PJ149" s="155">
        <f>MAX(0,16-SUMPRODUCT($OK149:$OP149,$I$8:$N$8)+MIN(14,$OQ149*4+$OR149*7,SUMPRODUCT($OK149:$OP149,$I$8:$N$8)-IF($NQ149=0,0,INDEX($I$8:$N$8,1,$NQ149))))</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Melhoria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IFERROR(VLOOKUP($MV150,$AV$2:$BA$83,2,FALSE),"")</f>
        <v/>
      </c>
      <c r="NJ150" s="155">
        <f>IFERROR(VLOOKUP($MW150,$AV$2:$BA$83,2,FALSE),"")</f>
        <v/>
      </c>
      <c r="NK150" s="155">
        <f>IFERROR(VLOOKUP($MX150,$AV$2:$BA$83,2,FALSE),"")</f>
        <v/>
      </c>
      <c r="NL150" s="155">
        <f>IFERROR(VLOOKUP($MY150,$AV$2:$BA$83,2,FALSE),"")</f>
        <v/>
      </c>
      <c r="NM150" s="155">
        <f>IFERROR(VLOOKUP($MV150,$AV$2:$BA$83,3,FALSE),0)</f>
        <v/>
      </c>
      <c r="NN150" s="155">
        <f>IFERROR(VLOOKUP($MW150,$AV$2:$BA$83,3,FALSE),0)</f>
        <v/>
      </c>
      <c r="NO150" s="155">
        <f>IFERROR(VLOOKUP($MX150,$AV$2:$BA$83,3,FALSE),0)</f>
        <v/>
      </c>
      <c r="NP150" s="155">
        <f>IFERROR(VLOOKUP($MY150,$AV$2:$BA$83,3,FALSE),0)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IFERROR(VLOOKUP($MV150,$AV$2:$BA$83,4,FALSE),0)+IFERROR(VLOOKUP($MW150,$AV$2:$BA$83,4,FALSE),0)+IFERROR(VLOOKUP($MX150,$AV$2:$BA$83,4,FALSE),0)+IFERROR(VLOOKUP($MY150,$AV$2:$BA$83,4,FALSE),0)</f>
        <v/>
      </c>
      <c r="OB150" s="155">
        <f>IFERROR(VLOOKUP($MV150,$AV$2:$BA$83,6,FALSE),0)+IFERROR(VLOOKUP($MW150,$AV$2:$BA$83,6,FALSE),0)+IFERROR(VLOOKUP($MX150,$AV$2:$BA$83,6,FALSE),0)+IFERROR(VLOOKUP($MY150,$AV$2:$BA$83,6,FALSE),0)</f>
        <v/>
      </c>
      <c r="OC150" s="155">
        <f>TEXTJOIN(", ",TRUE,IF(IFERROR(VLOOKUP($MV150,$AV$2:$BA$83,5,FALSE),0)=1,$MV150,""),IF(IFERROR(VLOOKUP($MW150,$AV$2:$BA$83,5,FALSE),0)=1,$MW150,""),IF(IFERROR(VLOOKUP($MX150,$AV$2:$BA$83,5,FALSE),0)=1,$MX150,""),IF(IFERROR(VLOOKUP($MY150,$AV$2:$BA$83,5,FALSE),0)=1,$MY150,""))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MIN($OW150,$OU150-IF($NQ150=0,0,INDEX($I$2:$N$8,MAX(1,$MQ150),$NQ150)))</f>
        <v/>
      </c>
      <c r="OY150" s="155">
        <f>$OW150-$OX150</f>
        <v/>
      </c>
      <c r="OZ150" s="155">
        <f>IF($MQ150=0,0,INDEX($P$2:$P$8,MAX(1,$MQ150)))</f>
        <v/>
      </c>
      <c r="PA150" s="155">
        <f>$OZ150-$OU150+$OX150</f>
        <v/>
      </c>
      <c r="PB150" s="155">
        <f>IF($MQ150=0,MAX(0,$NE150-IF(AND($OS150&gt;0,COUNTIF($MZ150:$NA150,"?*")=0),1,0)),MAX(0,$PA150))</f>
        <v/>
      </c>
      <c r="PC150" s="155">
        <f>IF($MQ150=0,0,(IF(COUNTIF($MV150:$MY150,"Salto")&gt;0,1,0)+IF(COUNTIF($MV150:$MY150,"Queima")&gt;0,1,0)+IF(COUNTIF($MV150:$MY150,"Estilhaço")&gt;0,1,0))*FLOOR($PB150/2,1))</f>
        <v/>
      </c>
      <c r="PD150" s="155">
        <f>MAX(0,2-SUMPRODUCT($OK150:$OP150,$I$2:$N$2)+MIN(2,$OQ150*1+$OR150*1,SUMPRODUCT($OK150:$OP150,$I$2:$N$2)-IF($NQ150=0,0,INDEX($I$2:$N$2,1,$NQ150))))</f>
        <v/>
      </c>
      <c r="PE150" s="155">
        <f>MAX(0,4-SUMPRODUCT($OK150:$OP150,$I$3:$N$3)+MIN(4,$OQ150*1+$OR150*2,SUMPRODUCT($OK150:$OP150,$I$3:$N$3)-IF($NQ150=0,0,INDEX($I$3:$N$3,1,$NQ150))))</f>
        <v/>
      </c>
      <c r="PF150" s="155">
        <f>MAX(0,6-SUMPRODUCT($OK150:$OP150,$I$4:$N$4)+MIN(6,$OQ150*2+$OR150*3,SUMPRODUCT($OK150:$OP150,$I$4:$N$4)-IF($NQ150=0,0,INDEX($I$4:$N$4,1,$NQ150))))</f>
        <v/>
      </c>
      <c r="PG150" s="155">
        <f>MAX(0,9-SUMPRODUCT($OK150:$OP150,$I$5:$N$5)+MIN(8,$OQ150*2+$OR150*4,SUMPRODUCT($OK150:$OP150,$I$5:$N$5)-IF($NQ150=0,0,INDEX($I$5:$N$5,1,$NQ150))))</f>
        <v/>
      </c>
      <c r="PH150" s="155">
        <f>MAX(0,11-SUMPRODUCT($OK150:$OP150,$I$6:$N$6)+MIN(10,$OQ150*3+$OR150*5,SUMPRODUCT($OK150:$OP150,$I$6:$N$6)-IF($NQ150=0,0,INDEX($I$6:$N$6,1,$NQ150))))</f>
        <v/>
      </c>
      <c r="PI150" s="155">
        <f>MAX(0,13-SUMPRODUCT($OK150:$OP150,$I$7:$N$7)+MIN(12,$OQ150*3+$OR150*6,SUMPRODUCT($OK150:$OP150,$I$7:$N$7)-IF($NQ150=0,0,INDEX($I$7:$N$7,1,$NQ150))))</f>
        <v/>
      </c>
      <c r="PJ150" s="155">
        <f>MAX(0,16-SUMPRODUCT($OK150:$OP150,$I$8:$N$8)+MIN(14,$OQ150*4+$OR150*7,SUMPRODUCT($OK150:$OP150,$I$8:$N$8)-IF($NQ150=0,0,INDEX($I$8:$N$8,1,$NQ150))))</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Melhoria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IFERROR(VLOOKUP($MV151,$AV$2:$BA$83,2,FALSE),"")</f>
        <v/>
      </c>
      <c r="NJ151" s="155">
        <f>IFERROR(VLOOKUP($MW151,$AV$2:$BA$83,2,FALSE),"")</f>
        <v/>
      </c>
      <c r="NK151" s="155">
        <f>IFERROR(VLOOKUP($MX151,$AV$2:$BA$83,2,FALSE),"")</f>
        <v/>
      </c>
      <c r="NL151" s="155">
        <f>IFERROR(VLOOKUP($MY151,$AV$2:$BA$83,2,FALSE),"")</f>
        <v/>
      </c>
      <c r="NM151" s="155">
        <f>IFERROR(VLOOKUP($MV151,$AV$2:$BA$83,3,FALSE),0)</f>
        <v/>
      </c>
      <c r="NN151" s="155">
        <f>IFERROR(VLOOKUP($MW151,$AV$2:$BA$83,3,FALSE),0)</f>
        <v/>
      </c>
      <c r="NO151" s="155">
        <f>IFERROR(VLOOKUP($MX151,$AV$2:$BA$83,3,FALSE),0)</f>
        <v/>
      </c>
      <c r="NP151" s="155">
        <f>IFERROR(VLOOKUP($MY151,$AV$2:$BA$83,3,FALSE),0)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IFERROR(VLOOKUP($MV151,$AV$2:$BA$83,4,FALSE),0)+IFERROR(VLOOKUP($MW151,$AV$2:$BA$83,4,FALSE),0)+IFERROR(VLOOKUP($MX151,$AV$2:$BA$83,4,FALSE),0)+IFERROR(VLOOKUP($MY151,$AV$2:$BA$83,4,FALSE),0)</f>
        <v/>
      </c>
      <c r="OB151" s="155">
        <f>IFERROR(VLOOKUP($MV151,$AV$2:$BA$83,6,FALSE),0)+IFERROR(VLOOKUP($MW151,$AV$2:$BA$83,6,FALSE),0)+IFERROR(VLOOKUP($MX151,$AV$2:$BA$83,6,FALSE),0)+IFERROR(VLOOKUP($MY151,$AV$2:$BA$83,6,FALSE),0)</f>
        <v/>
      </c>
      <c r="OC151" s="155">
        <f>TEXTJOIN(", ",TRUE,IF(IFERROR(VLOOKUP($MV151,$AV$2:$BA$83,5,FALSE),0)=1,$MV151,""),IF(IFERROR(VLOOKUP($MW151,$AV$2:$BA$83,5,FALSE),0)=1,$MW151,""),IF(IFERROR(VLOOKUP($MX151,$AV$2:$BA$83,5,FALSE),0)=1,$MX151,""),IF(IFERROR(VLOOKUP($MY151,$AV$2:$BA$83,5,FALSE),0)=1,$MY151,""))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MIN($OW151,$OU151-IF($NQ151=0,0,INDEX($I$2:$N$8,MAX(1,$MQ151),$NQ151)))</f>
        <v/>
      </c>
      <c r="OY151" s="155">
        <f>$OW151-$OX151</f>
        <v/>
      </c>
      <c r="OZ151" s="155">
        <f>IF($MQ151=0,0,INDEX($P$2:$P$8,MAX(1,$MQ151)))</f>
        <v/>
      </c>
      <c r="PA151" s="155">
        <f>$OZ151-$OU151+$OX151</f>
        <v/>
      </c>
      <c r="PB151" s="155">
        <f>IF($MQ151=0,MAX(0,$NE151-IF(AND($OS151&gt;0,COUNTIF($MZ151:$NA151,"?*")=0),1,0)),MAX(0,$PA151))</f>
        <v/>
      </c>
      <c r="PC151" s="155">
        <f>IF($MQ151=0,0,(IF(COUNTIF($MV151:$MY151,"Salto")&gt;0,1,0)+IF(COUNTIF($MV151:$MY151,"Queima")&gt;0,1,0)+IF(COUNTIF($MV151:$MY151,"Estilhaço")&gt;0,1,0))*FLOOR($PB151/2,1))</f>
        <v/>
      </c>
      <c r="PD151" s="155">
        <f>MAX(0,2-SUMPRODUCT($OK151:$OP151,$I$2:$N$2)+MIN(2,$OQ151*1+$OR151*1,SUMPRODUCT($OK151:$OP151,$I$2:$N$2)-IF($NQ151=0,0,INDEX($I$2:$N$2,1,$NQ151))))</f>
        <v/>
      </c>
      <c r="PE151" s="155">
        <f>MAX(0,4-SUMPRODUCT($OK151:$OP151,$I$3:$N$3)+MIN(4,$OQ151*1+$OR151*2,SUMPRODUCT($OK151:$OP151,$I$3:$N$3)-IF($NQ151=0,0,INDEX($I$3:$N$3,1,$NQ151))))</f>
        <v/>
      </c>
      <c r="PF151" s="155">
        <f>MAX(0,6-SUMPRODUCT($OK151:$OP151,$I$4:$N$4)+MIN(6,$OQ151*2+$OR151*3,SUMPRODUCT($OK151:$OP151,$I$4:$N$4)-IF($NQ151=0,0,INDEX($I$4:$N$4,1,$NQ151))))</f>
        <v/>
      </c>
      <c r="PG151" s="155">
        <f>MAX(0,9-SUMPRODUCT($OK151:$OP151,$I$5:$N$5)+MIN(8,$OQ151*2+$OR151*4,SUMPRODUCT($OK151:$OP151,$I$5:$N$5)-IF($NQ151=0,0,INDEX($I$5:$N$5,1,$NQ151))))</f>
        <v/>
      </c>
      <c r="PH151" s="155">
        <f>MAX(0,11-SUMPRODUCT($OK151:$OP151,$I$6:$N$6)+MIN(10,$OQ151*3+$OR151*5,SUMPRODUCT($OK151:$OP151,$I$6:$N$6)-IF($NQ151=0,0,INDEX($I$6:$N$6,1,$NQ151))))</f>
        <v/>
      </c>
      <c r="PI151" s="155">
        <f>MAX(0,13-SUMPRODUCT($OK151:$OP151,$I$7:$N$7)+MIN(12,$OQ151*3+$OR151*6,SUMPRODUCT($OK151:$OP151,$I$7:$N$7)-IF($NQ151=0,0,INDEX($I$7:$N$7,1,$NQ151))))</f>
        <v/>
      </c>
      <c r="PJ151" s="155">
        <f>MAX(0,16-SUMPRODUCT($OK151:$OP151,$I$8:$N$8)+MIN(14,$OQ151*4+$OR151*7,SUMPRODUCT($OK151:$OP151,$I$8:$N$8)-IF($NQ151=0,0,INDEX($I$8:$N$8,1,$NQ151))))</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Melhoria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IFERROR(VLOOKUP($MV152,$AV$2:$BA$83,2,FALSE),"")</f>
        <v/>
      </c>
      <c r="NJ152" s="155">
        <f>IFERROR(VLOOKUP($MW152,$AV$2:$BA$83,2,FALSE),"")</f>
        <v/>
      </c>
      <c r="NK152" s="155">
        <f>IFERROR(VLOOKUP($MX152,$AV$2:$BA$83,2,FALSE),"")</f>
        <v/>
      </c>
      <c r="NL152" s="155">
        <f>IFERROR(VLOOKUP($MY152,$AV$2:$BA$83,2,FALSE),"")</f>
        <v/>
      </c>
      <c r="NM152" s="155">
        <f>IFERROR(VLOOKUP($MV152,$AV$2:$BA$83,3,FALSE),0)</f>
        <v/>
      </c>
      <c r="NN152" s="155">
        <f>IFERROR(VLOOKUP($MW152,$AV$2:$BA$83,3,FALSE),0)</f>
        <v/>
      </c>
      <c r="NO152" s="155">
        <f>IFERROR(VLOOKUP($MX152,$AV$2:$BA$83,3,FALSE),0)</f>
        <v/>
      </c>
      <c r="NP152" s="155">
        <f>IFERROR(VLOOKUP($MY152,$AV$2:$BA$83,3,FALSE),0)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IFERROR(VLOOKUP($MV152,$AV$2:$BA$83,4,FALSE),0)+IFERROR(VLOOKUP($MW152,$AV$2:$BA$83,4,FALSE),0)+IFERROR(VLOOKUP($MX152,$AV$2:$BA$83,4,FALSE),0)+IFERROR(VLOOKUP($MY152,$AV$2:$BA$83,4,FALSE),0)</f>
        <v/>
      </c>
      <c r="OB152" s="155">
        <f>IFERROR(VLOOKUP($MV152,$AV$2:$BA$83,6,FALSE),0)+IFERROR(VLOOKUP($MW152,$AV$2:$BA$83,6,FALSE),0)+IFERROR(VLOOKUP($MX152,$AV$2:$BA$83,6,FALSE),0)+IFERROR(VLOOKUP($MY152,$AV$2:$BA$83,6,FALSE),0)</f>
        <v/>
      </c>
      <c r="OC152" s="155">
        <f>TEXTJOIN(", ",TRUE,IF(IFERROR(VLOOKUP($MV152,$AV$2:$BA$83,5,FALSE),0)=1,$MV152,""),IF(IFERROR(VLOOKUP($MW152,$AV$2:$BA$83,5,FALSE),0)=1,$MW152,""),IF(IFERROR(VLOOKUP($MX152,$AV$2:$BA$83,5,FALSE),0)=1,$MX152,""),IF(IFERROR(VLOOKUP($MY152,$AV$2:$BA$83,5,FALSE),0)=1,$MY152,""))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MIN($OW152,$OU152-IF($NQ152=0,0,INDEX($I$2:$N$8,MAX(1,$MQ152),$NQ152)))</f>
        <v/>
      </c>
      <c r="OY152" s="155">
        <f>$OW152-$OX152</f>
        <v/>
      </c>
      <c r="OZ152" s="155">
        <f>IF($MQ152=0,0,INDEX($P$2:$P$8,MAX(1,$MQ152)))</f>
        <v/>
      </c>
      <c r="PA152" s="155">
        <f>$OZ152-$OU152+$OX152</f>
        <v/>
      </c>
      <c r="PB152" s="155">
        <f>IF($MQ152=0,MAX(0,$NE152-IF(AND($OS152&gt;0,COUNTIF($MZ152:$NA152,"?*")=0),1,0)),MAX(0,$PA152))</f>
        <v/>
      </c>
      <c r="PC152" s="155">
        <f>IF($MQ152=0,0,(IF(COUNTIF($MV152:$MY152,"Salto")&gt;0,1,0)+IF(COUNTIF($MV152:$MY152,"Queima")&gt;0,1,0)+IF(COUNTIF($MV152:$MY152,"Estilhaço")&gt;0,1,0))*FLOOR($PB152/2,1))</f>
        <v/>
      </c>
      <c r="PD152" s="155">
        <f>MAX(0,2-SUMPRODUCT($OK152:$OP152,$I$2:$N$2)+MIN(2,$OQ152*1+$OR152*1,SUMPRODUCT($OK152:$OP152,$I$2:$N$2)-IF($NQ152=0,0,INDEX($I$2:$N$2,1,$NQ152))))</f>
        <v/>
      </c>
      <c r="PE152" s="155">
        <f>MAX(0,4-SUMPRODUCT($OK152:$OP152,$I$3:$N$3)+MIN(4,$OQ152*1+$OR152*2,SUMPRODUCT($OK152:$OP152,$I$3:$N$3)-IF($NQ152=0,0,INDEX($I$3:$N$3,1,$NQ152))))</f>
        <v/>
      </c>
      <c r="PF152" s="155">
        <f>MAX(0,6-SUMPRODUCT($OK152:$OP152,$I$4:$N$4)+MIN(6,$OQ152*2+$OR152*3,SUMPRODUCT($OK152:$OP152,$I$4:$N$4)-IF($NQ152=0,0,INDEX($I$4:$N$4,1,$NQ152))))</f>
        <v/>
      </c>
      <c r="PG152" s="155">
        <f>MAX(0,9-SUMPRODUCT($OK152:$OP152,$I$5:$N$5)+MIN(8,$OQ152*2+$OR152*4,SUMPRODUCT($OK152:$OP152,$I$5:$N$5)-IF($NQ152=0,0,INDEX($I$5:$N$5,1,$NQ152))))</f>
        <v/>
      </c>
      <c r="PH152" s="155">
        <f>MAX(0,11-SUMPRODUCT($OK152:$OP152,$I$6:$N$6)+MIN(10,$OQ152*3+$OR152*5,SUMPRODUCT($OK152:$OP152,$I$6:$N$6)-IF($NQ152=0,0,INDEX($I$6:$N$6,1,$NQ152))))</f>
        <v/>
      </c>
      <c r="PI152" s="155">
        <f>MAX(0,13-SUMPRODUCT($OK152:$OP152,$I$7:$N$7)+MIN(12,$OQ152*3+$OR152*6,SUMPRODUCT($OK152:$OP152,$I$7:$N$7)-IF($NQ152=0,0,INDEX($I$7:$N$7,1,$NQ152))))</f>
        <v/>
      </c>
      <c r="PJ152" s="155">
        <f>MAX(0,16-SUMPRODUCT($OK152:$OP152,$I$8:$N$8)+MIN(14,$OQ152*4+$OR152*7,SUMPRODUCT($OK152:$OP152,$I$8:$N$8)-IF($NQ152=0,0,INDEX($I$8:$N$8,1,$NQ152))))</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Melhoria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IFERROR(VLOOKUP($MV153,$AV$2:$BA$83,2,FALSE),"")</f>
        <v/>
      </c>
      <c r="NJ153" s="155">
        <f>IFERROR(VLOOKUP($MW153,$AV$2:$BA$83,2,FALSE),"")</f>
        <v/>
      </c>
      <c r="NK153" s="155">
        <f>IFERROR(VLOOKUP($MX153,$AV$2:$BA$83,2,FALSE),"")</f>
        <v/>
      </c>
      <c r="NL153" s="155">
        <f>IFERROR(VLOOKUP($MY153,$AV$2:$BA$83,2,FALSE),"")</f>
        <v/>
      </c>
      <c r="NM153" s="155">
        <f>IFERROR(VLOOKUP($MV153,$AV$2:$BA$83,3,FALSE),0)</f>
        <v/>
      </c>
      <c r="NN153" s="155">
        <f>IFERROR(VLOOKUP($MW153,$AV$2:$BA$83,3,FALSE),0)</f>
        <v/>
      </c>
      <c r="NO153" s="155">
        <f>IFERROR(VLOOKUP($MX153,$AV$2:$BA$83,3,FALSE),0)</f>
        <v/>
      </c>
      <c r="NP153" s="155">
        <f>IFERROR(VLOOKUP($MY153,$AV$2:$BA$83,3,FALSE),0)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IFERROR(VLOOKUP($MV153,$AV$2:$BA$83,4,FALSE),0)+IFERROR(VLOOKUP($MW153,$AV$2:$BA$83,4,FALSE),0)+IFERROR(VLOOKUP($MX153,$AV$2:$BA$83,4,FALSE),0)+IFERROR(VLOOKUP($MY153,$AV$2:$BA$83,4,FALSE),0)</f>
        <v/>
      </c>
      <c r="OB153" s="155">
        <f>IFERROR(VLOOKUP($MV153,$AV$2:$BA$83,6,FALSE),0)+IFERROR(VLOOKUP($MW153,$AV$2:$BA$83,6,FALSE),0)+IFERROR(VLOOKUP($MX153,$AV$2:$BA$83,6,FALSE),0)+IFERROR(VLOOKUP($MY153,$AV$2:$BA$83,6,FALSE),0)</f>
        <v/>
      </c>
      <c r="OC153" s="155">
        <f>TEXTJOIN(", ",TRUE,IF(IFERROR(VLOOKUP($MV153,$AV$2:$BA$83,5,FALSE),0)=1,$MV153,""),IF(IFERROR(VLOOKUP($MW153,$AV$2:$BA$83,5,FALSE),0)=1,$MW153,""),IF(IFERROR(VLOOKUP($MX153,$AV$2:$BA$83,5,FALSE),0)=1,$MX153,""),IF(IFERROR(VLOOKUP($MY153,$AV$2:$BA$83,5,FALSE),0)=1,$MY153,""))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MIN($OW153,$OU153-IF($NQ153=0,0,INDEX($I$2:$N$8,MAX(1,$MQ153),$NQ153)))</f>
        <v/>
      </c>
      <c r="OY153" s="155">
        <f>$OW153-$OX153</f>
        <v/>
      </c>
      <c r="OZ153" s="155">
        <f>IF($MQ153=0,0,INDEX($P$2:$P$8,MAX(1,$MQ153)))</f>
        <v/>
      </c>
      <c r="PA153" s="155">
        <f>$OZ153-$OU153+$OX153</f>
        <v/>
      </c>
      <c r="PB153" s="155">
        <f>IF($MQ153=0,MAX(0,$NE153-IF(AND($OS153&gt;0,COUNTIF($MZ153:$NA153,"?*")=0),1,0)),MAX(0,$PA153))</f>
        <v/>
      </c>
      <c r="PC153" s="155">
        <f>IF($MQ153=0,0,(IF(COUNTIF($MV153:$MY153,"Salto")&gt;0,1,0)+IF(COUNTIF($MV153:$MY153,"Queima")&gt;0,1,0)+IF(COUNTIF($MV153:$MY153,"Estilhaço")&gt;0,1,0))*FLOOR($PB153/2,1))</f>
        <v/>
      </c>
      <c r="PD153" s="155">
        <f>MAX(0,2-SUMPRODUCT($OK153:$OP153,$I$2:$N$2)+MIN(2,$OQ153*1+$OR153*1,SUMPRODUCT($OK153:$OP153,$I$2:$N$2)-IF($NQ153=0,0,INDEX($I$2:$N$2,1,$NQ153))))</f>
        <v/>
      </c>
      <c r="PE153" s="155">
        <f>MAX(0,4-SUMPRODUCT($OK153:$OP153,$I$3:$N$3)+MIN(4,$OQ153*1+$OR153*2,SUMPRODUCT($OK153:$OP153,$I$3:$N$3)-IF($NQ153=0,0,INDEX($I$3:$N$3,1,$NQ153))))</f>
        <v/>
      </c>
      <c r="PF153" s="155">
        <f>MAX(0,6-SUMPRODUCT($OK153:$OP153,$I$4:$N$4)+MIN(6,$OQ153*2+$OR153*3,SUMPRODUCT($OK153:$OP153,$I$4:$N$4)-IF($NQ153=0,0,INDEX($I$4:$N$4,1,$NQ153))))</f>
        <v/>
      </c>
      <c r="PG153" s="155">
        <f>MAX(0,9-SUMPRODUCT($OK153:$OP153,$I$5:$N$5)+MIN(8,$OQ153*2+$OR153*4,SUMPRODUCT($OK153:$OP153,$I$5:$N$5)-IF($NQ153=0,0,INDEX($I$5:$N$5,1,$NQ153))))</f>
        <v/>
      </c>
      <c r="PH153" s="155">
        <f>MAX(0,11-SUMPRODUCT($OK153:$OP153,$I$6:$N$6)+MIN(10,$OQ153*3+$OR153*5,SUMPRODUCT($OK153:$OP153,$I$6:$N$6)-IF($NQ153=0,0,INDEX($I$6:$N$6,1,$NQ153))))</f>
        <v/>
      </c>
      <c r="PI153" s="155">
        <f>MAX(0,13-SUMPRODUCT($OK153:$OP153,$I$7:$N$7)+MIN(12,$OQ153*3+$OR153*6,SUMPRODUCT($OK153:$OP153,$I$7:$N$7)-IF($NQ153=0,0,INDEX($I$7:$N$7,1,$NQ153))))</f>
        <v/>
      </c>
      <c r="PJ153" s="155">
        <f>MAX(0,16-SUMPRODUCT($OK153:$OP153,$I$8:$N$8)+MIN(14,$OQ153*4+$OR153*7,SUMPRODUCT($OK153:$OP153,$I$8:$N$8)-IF($NQ153=0,0,INDEX($I$8:$N$8,1,$NQ153))))</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Melhoria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IFERROR(VLOOKUP($MV154,$AV$2:$BA$83,2,FALSE),"")</f>
        <v/>
      </c>
      <c r="NJ154" s="155">
        <f>IFERROR(VLOOKUP($MW154,$AV$2:$BA$83,2,FALSE),"")</f>
        <v/>
      </c>
      <c r="NK154" s="155">
        <f>IFERROR(VLOOKUP($MX154,$AV$2:$BA$83,2,FALSE),"")</f>
        <v/>
      </c>
      <c r="NL154" s="155">
        <f>IFERROR(VLOOKUP($MY154,$AV$2:$BA$83,2,FALSE),"")</f>
        <v/>
      </c>
      <c r="NM154" s="155">
        <f>IFERROR(VLOOKUP($MV154,$AV$2:$BA$83,3,FALSE),0)</f>
        <v/>
      </c>
      <c r="NN154" s="155">
        <f>IFERROR(VLOOKUP($MW154,$AV$2:$BA$83,3,FALSE),0)</f>
        <v/>
      </c>
      <c r="NO154" s="155">
        <f>IFERROR(VLOOKUP($MX154,$AV$2:$BA$83,3,FALSE),0)</f>
        <v/>
      </c>
      <c r="NP154" s="155">
        <f>IFERROR(VLOOKUP($MY154,$AV$2:$BA$83,3,FALSE),0)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IFERROR(VLOOKUP($MV154,$AV$2:$BA$83,4,FALSE),0)+IFERROR(VLOOKUP($MW154,$AV$2:$BA$83,4,FALSE),0)+IFERROR(VLOOKUP($MX154,$AV$2:$BA$83,4,FALSE),0)+IFERROR(VLOOKUP($MY154,$AV$2:$BA$83,4,FALSE),0)</f>
        <v/>
      </c>
      <c r="OB154" s="155">
        <f>IFERROR(VLOOKUP($MV154,$AV$2:$BA$83,6,FALSE),0)+IFERROR(VLOOKUP($MW154,$AV$2:$BA$83,6,FALSE),0)+IFERROR(VLOOKUP($MX154,$AV$2:$BA$83,6,FALSE),0)+IFERROR(VLOOKUP($MY154,$AV$2:$BA$83,6,FALSE),0)</f>
        <v/>
      </c>
      <c r="OC154" s="155">
        <f>TEXTJOIN(", ",TRUE,IF(IFERROR(VLOOKUP($MV154,$AV$2:$BA$83,5,FALSE),0)=1,$MV154,""),IF(IFERROR(VLOOKUP($MW154,$AV$2:$BA$83,5,FALSE),0)=1,$MW154,""),IF(IFERROR(VLOOKUP($MX154,$AV$2:$BA$83,5,FALSE),0)=1,$MX154,""),IF(IFERROR(VLOOKUP($MY154,$AV$2:$BA$83,5,FALSE),0)=1,$MY154,""))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MIN($OW154,$OU154-IF($NQ154=0,0,INDEX($I$2:$N$8,MAX(1,$MQ154),$NQ154)))</f>
        <v/>
      </c>
      <c r="OY154" s="155">
        <f>$OW154-$OX154</f>
        <v/>
      </c>
      <c r="OZ154" s="155">
        <f>IF($MQ154=0,0,INDEX($P$2:$P$8,MAX(1,$MQ154)))</f>
        <v/>
      </c>
      <c r="PA154" s="155">
        <f>$OZ154-$OU154+$OX154</f>
        <v/>
      </c>
      <c r="PB154" s="155">
        <f>IF($MQ154=0,MAX(0,$NE154-IF(AND($OS154&gt;0,COUNTIF($MZ154:$NA154,"?*")=0),1,0)),MAX(0,$PA154))</f>
        <v/>
      </c>
      <c r="PC154" s="155">
        <f>IF($MQ154=0,0,(IF(COUNTIF($MV154:$MY154,"Salto")&gt;0,1,0)+IF(COUNTIF($MV154:$MY154,"Queima")&gt;0,1,0)+IF(COUNTIF($MV154:$MY154,"Estilhaço")&gt;0,1,0))*FLOOR($PB154/2,1))</f>
        <v/>
      </c>
      <c r="PD154" s="155">
        <f>MAX(0,2-SUMPRODUCT($OK154:$OP154,$I$2:$N$2)+MIN(2,$OQ154*1+$OR154*1,SUMPRODUCT($OK154:$OP154,$I$2:$N$2)-IF($NQ154=0,0,INDEX($I$2:$N$2,1,$NQ154))))</f>
        <v/>
      </c>
      <c r="PE154" s="155">
        <f>MAX(0,4-SUMPRODUCT($OK154:$OP154,$I$3:$N$3)+MIN(4,$OQ154*1+$OR154*2,SUMPRODUCT($OK154:$OP154,$I$3:$N$3)-IF($NQ154=0,0,INDEX($I$3:$N$3,1,$NQ154))))</f>
        <v/>
      </c>
      <c r="PF154" s="155">
        <f>MAX(0,6-SUMPRODUCT($OK154:$OP154,$I$4:$N$4)+MIN(6,$OQ154*2+$OR154*3,SUMPRODUCT($OK154:$OP154,$I$4:$N$4)-IF($NQ154=0,0,INDEX($I$4:$N$4,1,$NQ154))))</f>
        <v/>
      </c>
      <c r="PG154" s="155">
        <f>MAX(0,9-SUMPRODUCT($OK154:$OP154,$I$5:$N$5)+MIN(8,$OQ154*2+$OR154*4,SUMPRODUCT($OK154:$OP154,$I$5:$N$5)-IF($NQ154=0,0,INDEX($I$5:$N$5,1,$NQ154))))</f>
        <v/>
      </c>
      <c r="PH154" s="155">
        <f>MAX(0,11-SUMPRODUCT($OK154:$OP154,$I$6:$N$6)+MIN(10,$OQ154*3+$OR154*5,SUMPRODUCT($OK154:$OP154,$I$6:$N$6)-IF($NQ154=0,0,INDEX($I$6:$N$6,1,$NQ154))))</f>
        <v/>
      </c>
      <c r="PI154" s="155">
        <f>MAX(0,13-SUMPRODUCT($OK154:$OP154,$I$7:$N$7)+MIN(12,$OQ154*3+$OR154*6,SUMPRODUCT($OK154:$OP154,$I$7:$N$7)-IF($NQ154=0,0,INDEX($I$7:$N$7,1,$NQ154))))</f>
        <v/>
      </c>
      <c r="PJ154" s="155">
        <f>MAX(0,16-SUMPRODUCT($OK154:$OP154,$I$8:$N$8)+MIN(14,$OQ154*4+$OR154*7,SUMPRODUCT($OK154:$OP154,$I$8:$N$8)-IF($NQ154=0,0,INDEX($I$8:$N$8,1,$NQ154))))</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Melhoria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IFERROR(VLOOKUP($MV155,$AV$2:$BA$83,2,FALSE),"")</f>
        <v/>
      </c>
      <c r="NJ155" s="155">
        <f>IFERROR(VLOOKUP($MW155,$AV$2:$BA$83,2,FALSE),"")</f>
        <v/>
      </c>
      <c r="NK155" s="155">
        <f>IFERROR(VLOOKUP($MX155,$AV$2:$BA$83,2,FALSE),"")</f>
        <v/>
      </c>
      <c r="NL155" s="155">
        <f>IFERROR(VLOOKUP($MY155,$AV$2:$BA$83,2,FALSE),"")</f>
        <v/>
      </c>
      <c r="NM155" s="155">
        <f>IFERROR(VLOOKUP($MV155,$AV$2:$BA$83,3,FALSE),0)</f>
        <v/>
      </c>
      <c r="NN155" s="155">
        <f>IFERROR(VLOOKUP($MW155,$AV$2:$BA$83,3,FALSE),0)</f>
        <v/>
      </c>
      <c r="NO155" s="155">
        <f>IFERROR(VLOOKUP($MX155,$AV$2:$BA$83,3,FALSE),0)</f>
        <v/>
      </c>
      <c r="NP155" s="155">
        <f>IFERROR(VLOOKUP($MY155,$AV$2:$BA$83,3,FALSE),0)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IFERROR(VLOOKUP($MV155,$AV$2:$BA$83,4,FALSE),0)+IFERROR(VLOOKUP($MW155,$AV$2:$BA$83,4,FALSE),0)+IFERROR(VLOOKUP($MX155,$AV$2:$BA$83,4,FALSE),0)+IFERROR(VLOOKUP($MY155,$AV$2:$BA$83,4,FALSE),0)</f>
        <v/>
      </c>
      <c r="OB155" s="155">
        <f>IFERROR(VLOOKUP($MV155,$AV$2:$BA$83,6,FALSE),0)+IFERROR(VLOOKUP($MW155,$AV$2:$BA$83,6,FALSE),0)+IFERROR(VLOOKUP($MX155,$AV$2:$BA$83,6,FALSE),0)+IFERROR(VLOOKUP($MY155,$AV$2:$BA$83,6,FALSE),0)</f>
        <v/>
      </c>
      <c r="OC155" s="155">
        <f>TEXTJOIN(", ",TRUE,IF(IFERROR(VLOOKUP($MV155,$AV$2:$BA$83,5,FALSE),0)=1,$MV155,""),IF(IFERROR(VLOOKUP($MW155,$AV$2:$BA$83,5,FALSE),0)=1,$MW155,""),IF(IFERROR(VLOOKUP($MX155,$AV$2:$BA$83,5,FALSE),0)=1,$MX155,""),IF(IFERROR(VLOOKUP($MY155,$AV$2:$BA$83,5,FALSE),0)=1,$MY155,""))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MIN($OW155,$OU155-IF($NQ155=0,0,INDEX($I$2:$N$8,MAX(1,$MQ155),$NQ155)))</f>
        <v/>
      </c>
      <c r="OY155" s="155">
        <f>$OW155-$OX155</f>
        <v/>
      </c>
      <c r="OZ155" s="155">
        <f>IF($MQ155=0,0,INDEX($P$2:$P$8,MAX(1,$MQ155)))</f>
        <v/>
      </c>
      <c r="PA155" s="155">
        <f>$OZ155-$OU155+$OX155</f>
        <v/>
      </c>
      <c r="PB155" s="155">
        <f>IF($MQ155=0,MAX(0,$NE155-IF(AND($OS155&gt;0,COUNTIF($MZ155:$NA155,"?*")=0),1,0)),MAX(0,$PA155))</f>
        <v/>
      </c>
      <c r="PC155" s="155">
        <f>IF($MQ155=0,0,(IF(COUNTIF($MV155:$MY155,"Salto")&gt;0,1,0)+IF(COUNTIF($MV155:$MY155,"Queima")&gt;0,1,0)+IF(COUNTIF($MV155:$MY155,"Estilhaço")&gt;0,1,0))*FLOOR($PB155/2,1))</f>
        <v/>
      </c>
      <c r="PD155" s="155">
        <f>MAX(0,2-SUMPRODUCT($OK155:$OP155,$I$2:$N$2)+MIN(2,$OQ155*1+$OR155*1,SUMPRODUCT($OK155:$OP155,$I$2:$N$2)-IF($NQ155=0,0,INDEX($I$2:$N$2,1,$NQ155))))</f>
        <v/>
      </c>
      <c r="PE155" s="155">
        <f>MAX(0,4-SUMPRODUCT($OK155:$OP155,$I$3:$N$3)+MIN(4,$OQ155*1+$OR155*2,SUMPRODUCT($OK155:$OP155,$I$3:$N$3)-IF($NQ155=0,0,INDEX($I$3:$N$3,1,$NQ155))))</f>
        <v/>
      </c>
      <c r="PF155" s="155">
        <f>MAX(0,6-SUMPRODUCT($OK155:$OP155,$I$4:$N$4)+MIN(6,$OQ155*2+$OR155*3,SUMPRODUCT($OK155:$OP155,$I$4:$N$4)-IF($NQ155=0,0,INDEX($I$4:$N$4,1,$NQ155))))</f>
        <v/>
      </c>
      <c r="PG155" s="155">
        <f>MAX(0,9-SUMPRODUCT($OK155:$OP155,$I$5:$N$5)+MIN(8,$OQ155*2+$OR155*4,SUMPRODUCT($OK155:$OP155,$I$5:$N$5)-IF($NQ155=0,0,INDEX($I$5:$N$5,1,$NQ155))))</f>
        <v/>
      </c>
      <c r="PH155" s="155">
        <f>MAX(0,11-SUMPRODUCT($OK155:$OP155,$I$6:$N$6)+MIN(10,$OQ155*3+$OR155*5,SUMPRODUCT($OK155:$OP155,$I$6:$N$6)-IF($NQ155=0,0,INDEX($I$6:$N$6,1,$NQ155))))</f>
        <v/>
      </c>
      <c r="PI155" s="155">
        <f>MAX(0,13-SUMPRODUCT($OK155:$OP155,$I$7:$N$7)+MIN(12,$OQ155*3+$OR155*6,SUMPRODUCT($OK155:$OP155,$I$7:$N$7)-IF($NQ155=0,0,INDEX($I$7:$N$7,1,$NQ155))))</f>
        <v/>
      </c>
      <c r="PJ155" s="155">
        <f>MAX(0,16-SUMPRODUCT($OK155:$OP155,$I$8:$N$8)+MIN(14,$OQ155*4+$OR155*7,SUMPRODUCT($OK155:$OP155,$I$8:$N$8)-IF($NQ155=0,0,INDEX($I$8:$N$8,1,$NQ155))))</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Melhoria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IFERROR(VLOOKUP($MV156,$AV$2:$BA$83,2,FALSE),"")</f>
        <v/>
      </c>
      <c r="NJ156" s="155">
        <f>IFERROR(VLOOKUP($MW156,$AV$2:$BA$83,2,FALSE),"")</f>
        <v/>
      </c>
      <c r="NK156" s="155">
        <f>IFERROR(VLOOKUP($MX156,$AV$2:$BA$83,2,FALSE),"")</f>
        <v/>
      </c>
      <c r="NL156" s="155">
        <f>IFERROR(VLOOKUP($MY156,$AV$2:$BA$83,2,FALSE),"")</f>
        <v/>
      </c>
      <c r="NM156" s="155">
        <f>IFERROR(VLOOKUP($MV156,$AV$2:$BA$83,3,FALSE),0)</f>
        <v/>
      </c>
      <c r="NN156" s="155">
        <f>IFERROR(VLOOKUP($MW156,$AV$2:$BA$83,3,FALSE),0)</f>
        <v/>
      </c>
      <c r="NO156" s="155">
        <f>IFERROR(VLOOKUP($MX156,$AV$2:$BA$83,3,FALSE),0)</f>
        <v/>
      </c>
      <c r="NP156" s="155">
        <f>IFERROR(VLOOKUP($MY156,$AV$2:$BA$83,3,FALSE),0)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IFERROR(VLOOKUP($MV156,$AV$2:$BA$83,4,FALSE),0)+IFERROR(VLOOKUP($MW156,$AV$2:$BA$83,4,FALSE),0)+IFERROR(VLOOKUP($MX156,$AV$2:$BA$83,4,FALSE),0)+IFERROR(VLOOKUP($MY156,$AV$2:$BA$83,4,FALSE),0)</f>
        <v/>
      </c>
      <c r="OB156" s="155">
        <f>IFERROR(VLOOKUP($MV156,$AV$2:$BA$83,6,FALSE),0)+IFERROR(VLOOKUP($MW156,$AV$2:$BA$83,6,FALSE),0)+IFERROR(VLOOKUP($MX156,$AV$2:$BA$83,6,FALSE),0)+IFERROR(VLOOKUP($MY156,$AV$2:$BA$83,6,FALSE),0)</f>
        <v/>
      </c>
      <c r="OC156" s="155">
        <f>TEXTJOIN(", ",TRUE,IF(IFERROR(VLOOKUP($MV156,$AV$2:$BA$83,5,FALSE),0)=1,$MV156,""),IF(IFERROR(VLOOKUP($MW156,$AV$2:$BA$83,5,FALSE),0)=1,$MW156,""),IF(IFERROR(VLOOKUP($MX156,$AV$2:$BA$83,5,FALSE),0)=1,$MX156,""),IF(IFERROR(VLOOKUP($MY156,$AV$2:$BA$83,5,FALSE),0)=1,$MY156,""))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MIN($OW156,$OU156-IF($NQ156=0,0,INDEX($I$2:$N$8,MAX(1,$MQ156),$NQ156)))</f>
        <v/>
      </c>
      <c r="OY156" s="155">
        <f>$OW156-$OX156</f>
        <v/>
      </c>
      <c r="OZ156" s="155">
        <f>IF($MQ156=0,0,INDEX($P$2:$P$8,MAX(1,$MQ156)))</f>
        <v/>
      </c>
      <c r="PA156" s="155">
        <f>$OZ156-$OU156+$OX156</f>
        <v/>
      </c>
      <c r="PB156" s="155">
        <f>IF($MQ156=0,MAX(0,$NE156-IF(AND($OS156&gt;0,COUNTIF($MZ156:$NA156,"?*")=0),1,0)),MAX(0,$PA156))</f>
        <v/>
      </c>
      <c r="PC156" s="155">
        <f>IF($MQ156=0,0,(IF(COUNTIF($MV156:$MY156,"Salto")&gt;0,1,0)+IF(COUNTIF($MV156:$MY156,"Queima")&gt;0,1,0)+IF(COUNTIF($MV156:$MY156,"Estilhaço")&gt;0,1,0))*FLOOR($PB156/2,1))</f>
        <v/>
      </c>
      <c r="PD156" s="155">
        <f>MAX(0,2-SUMPRODUCT($OK156:$OP156,$I$2:$N$2)+MIN(2,$OQ156*1+$OR156*1,SUMPRODUCT($OK156:$OP156,$I$2:$N$2)-IF($NQ156=0,0,INDEX($I$2:$N$2,1,$NQ156))))</f>
        <v/>
      </c>
      <c r="PE156" s="155">
        <f>MAX(0,4-SUMPRODUCT($OK156:$OP156,$I$3:$N$3)+MIN(4,$OQ156*1+$OR156*2,SUMPRODUCT($OK156:$OP156,$I$3:$N$3)-IF($NQ156=0,0,INDEX($I$3:$N$3,1,$NQ156))))</f>
        <v/>
      </c>
      <c r="PF156" s="155">
        <f>MAX(0,6-SUMPRODUCT($OK156:$OP156,$I$4:$N$4)+MIN(6,$OQ156*2+$OR156*3,SUMPRODUCT($OK156:$OP156,$I$4:$N$4)-IF($NQ156=0,0,INDEX($I$4:$N$4,1,$NQ156))))</f>
        <v/>
      </c>
      <c r="PG156" s="155">
        <f>MAX(0,9-SUMPRODUCT($OK156:$OP156,$I$5:$N$5)+MIN(8,$OQ156*2+$OR156*4,SUMPRODUCT($OK156:$OP156,$I$5:$N$5)-IF($NQ156=0,0,INDEX($I$5:$N$5,1,$NQ156))))</f>
        <v/>
      </c>
      <c r="PH156" s="155">
        <f>MAX(0,11-SUMPRODUCT($OK156:$OP156,$I$6:$N$6)+MIN(10,$OQ156*3+$OR156*5,SUMPRODUCT($OK156:$OP156,$I$6:$N$6)-IF($NQ156=0,0,INDEX($I$6:$N$6,1,$NQ156))))</f>
        <v/>
      </c>
      <c r="PI156" s="155">
        <f>MAX(0,13-SUMPRODUCT($OK156:$OP156,$I$7:$N$7)+MIN(12,$OQ156*3+$OR156*6,SUMPRODUCT($OK156:$OP156,$I$7:$N$7)-IF($NQ156=0,0,INDEX($I$7:$N$7,1,$NQ156))))</f>
        <v/>
      </c>
      <c r="PJ156" s="155">
        <f>MAX(0,16-SUMPRODUCT($OK156:$OP156,$I$8:$N$8)+MIN(14,$OQ156*4+$OR156*7,SUMPRODUCT($OK156:$OP156,$I$8:$N$8)-IF($NQ156=0,0,INDEX($I$8:$N$8,1,$NQ156))))</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Melhoria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IFERROR(VLOOKUP($MV157,$AV$2:$BA$83,2,FALSE),"")</f>
        <v/>
      </c>
      <c r="NJ157" s="155">
        <f>IFERROR(VLOOKUP($MW157,$AV$2:$BA$83,2,FALSE),"")</f>
        <v/>
      </c>
      <c r="NK157" s="155">
        <f>IFERROR(VLOOKUP($MX157,$AV$2:$BA$83,2,FALSE),"")</f>
        <v/>
      </c>
      <c r="NL157" s="155">
        <f>IFERROR(VLOOKUP($MY157,$AV$2:$BA$83,2,FALSE),"")</f>
        <v/>
      </c>
      <c r="NM157" s="155">
        <f>IFERROR(VLOOKUP($MV157,$AV$2:$BA$83,3,FALSE),0)</f>
        <v/>
      </c>
      <c r="NN157" s="155">
        <f>IFERROR(VLOOKUP($MW157,$AV$2:$BA$83,3,FALSE),0)</f>
        <v/>
      </c>
      <c r="NO157" s="155">
        <f>IFERROR(VLOOKUP($MX157,$AV$2:$BA$83,3,FALSE),0)</f>
        <v/>
      </c>
      <c r="NP157" s="155">
        <f>IFERROR(VLOOKUP($MY157,$AV$2:$BA$83,3,FALSE),0)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IFERROR(VLOOKUP($MV157,$AV$2:$BA$83,4,FALSE),0)+IFERROR(VLOOKUP($MW157,$AV$2:$BA$83,4,FALSE),0)+IFERROR(VLOOKUP($MX157,$AV$2:$BA$83,4,FALSE),0)+IFERROR(VLOOKUP($MY157,$AV$2:$BA$83,4,FALSE),0)</f>
        <v/>
      </c>
      <c r="OB157" s="155">
        <f>IFERROR(VLOOKUP($MV157,$AV$2:$BA$83,6,FALSE),0)+IFERROR(VLOOKUP($MW157,$AV$2:$BA$83,6,FALSE),0)+IFERROR(VLOOKUP($MX157,$AV$2:$BA$83,6,FALSE),0)+IFERROR(VLOOKUP($MY157,$AV$2:$BA$83,6,FALSE),0)</f>
        <v/>
      </c>
      <c r="OC157" s="155">
        <f>TEXTJOIN(", ",TRUE,IF(IFERROR(VLOOKUP($MV157,$AV$2:$BA$83,5,FALSE),0)=1,$MV157,""),IF(IFERROR(VLOOKUP($MW157,$AV$2:$BA$83,5,FALSE),0)=1,$MW157,""),IF(IFERROR(VLOOKUP($MX157,$AV$2:$BA$83,5,FALSE),0)=1,$MX157,""),IF(IFERROR(VLOOKUP($MY157,$AV$2:$BA$83,5,FALSE),0)=1,$MY157,""))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MIN($OW157,$OU157-IF($NQ157=0,0,INDEX($I$2:$N$8,MAX(1,$MQ157),$NQ157)))</f>
        <v/>
      </c>
      <c r="OY157" s="155">
        <f>$OW157-$OX157</f>
        <v/>
      </c>
      <c r="OZ157" s="155">
        <f>IF($MQ157=0,0,INDEX($P$2:$P$8,MAX(1,$MQ157)))</f>
        <v/>
      </c>
      <c r="PA157" s="155">
        <f>$OZ157-$OU157+$OX157</f>
        <v/>
      </c>
      <c r="PB157" s="155">
        <f>IF($MQ157=0,MAX(0,$NE157-IF(AND($OS157&gt;0,COUNTIF($MZ157:$NA157,"?*")=0),1,0)),MAX(0,$PA157))</f>
        <v/>
      </c>
      <c r="PC157" s="155">
        <f>IF($MQ157=0,0,(IF(COUNTIF($MV157:$MY157,"Salto")&gt;0,1,0)+IF(COUNTIF($MV157:$MY157,"Queima")&gt;0,1,0)+IF(COUNTIF($MV157:$MY157,"Estilhaço")&gt;0,1,0))*FLOOR($PB157/2,1))</f>
        <v/>
      </c>
      <c r="PD157" s="155">
        <f>MAX(0,2-SUMPRODUCT($OK157:$OP157,$I$2:$N$2)+MIN(2,$OQ157*1+$OR157*1,SUMPRODUCT($OK157:$OP157,$I$2:$N$2)-IF($NQ157=0,0,INDEX($I$2:$N$2,1,$NQ157))))</f>
        <v/>
      </c>
      <c r="PE157" s="155">
        <f>MAX(0,4-SUMPRODUCT($OK157:$OP157,$I$3:$N$3)+MIN(4,$OQ157*1+$OR157*2,SUMPRODUCT($OK157:$OP157,$I$3:$N$3)-IF($NQ157=0,0,INDEX($I$3:$N$3,1,$NQ157))))</f>
        <v/>
      </c>
      <c r="PF157" s="155">
        <f>MAX(0,6-SUMPRODUCT($OK157:$OP157,$I$4:$N$4)+MIN(6,$OQ157*2+$OR157*3,SUMPRODUCT($OK157:$OP157,$I$4:$N$4)-IF($NQ157=0,0,INDEX($I$4:$N$4,1,$NQ157))))</f>
        <v/>
      </c>
      <c r="PG157" s="155">
        <f>MAX(0,9-SUMPRODUCT($OK157:$OP157,$I$5:$N$5)+MIN(8,$OQ157*2+$OR157*4,SUMPRODUCT($OK157:$OP157,$I$5:$N$5)-IF($NQ157=0,0,INDEX($I$5:$N$5,1,$NQ157))))</f>
        <v/>
      </c>
      <c r="PH157" s="155">
        <f>MAX(0,11-SUMPRODUCT($OK157:$OP157,$I$6:$N$6)+MIN(10,$OQ157*3+$OR157*5,SUMPRODUCT($OK157:$OP157,$I$6:$N$6)-IF($NQ157=0,0,INDEX($I$6:$N$6,1,$NQ157))))</f>
        <v/>
      </c>
      <c r="PI157" s="155">
        <f>MAX(0,13-SUMPRODUCT($OK157:$OP157,$I$7:$N$7)+MIN(12,$OQ157*3+$OR157*6,SUMPRODUCT($OK157:$OP157,$I$7:$N$7)-IF($NQ157=0,0,INDEX($I$7:$N$7,1,$NQ157))))</f>
        <v/>
      </c>
      <c r="PJ157" s="155">
        <f>MAX(0,16-SUMPRODUCT($OK157:$OP157,$I$8:$N$8)+MIN(14,$OQ157*4+$OR157*7,SUMPRODUCT($OK157:$OP157,$I$8:$N$8)-IF($NQ157=0,0,INDEX($I$8:$N$8,1,$NQ157))))</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Melhoria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5"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5" t="n"/>
    </row>
    <row r="2" ht="16" customHeight="1">
      <c r="A2" s="125"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5" t="n"/>
    </row>
    <row r="3">
      <c r="A3" s="125" t="n"/>
      <c r="AH3" s="125" t="n"/>
    </row>
    <row r="4">
      <c r="A4" s="125"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5" t="n"/>
    </row>
    <row r="5">
      <c r="A5" s="125"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5" t="n"/>
    </row>
    <row r="6" ht="30" customHeight="1">
      <c r="A6" s="125" t="n"/>
      <c r="B6" s="81"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5" t="n"/>
    </row>
    <row r="7" ht="30" customHeight="1">
      <c r="A7" s="125"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5" t="n"/>
    </row>
    <row r="8" ht="30" customHeight="1">
      <c r="A8" s="125" t="n"/>
      <c r="B8" s="81"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5" t="n"/>
    </row>
    <row r="9" ht="30" customHeight="1">
      <c r="A9" s="125"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5" t="n"/>
    </row>
    <row r="10" ht="30" customHeight="1">
      <c r="A10" s="125" t="n"/>
      <c r="B10" s="81"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5" t="n"/>
    </row>
    <row r="11">
      <c r="A11" s="125" t="n"/>
      <c r="AH11" s="125" t="n"/>
    </row>
    <row r="12">
      <c r="A12" s="125"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5" t="n"/>
    </row>
    <row r="13">
      <c r="A13" s="125"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5" t="n"/>
    </row>
    <row r="14" ht="30" customHeight="1">
      <c r="A14" s="125" t="n"/>
      <c r="B14" s="81"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5" t="n"/>
    </row>
    <row r="15" ht="30" customHeight="1">
      <c r="A15" s="125"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5" t="n"/>
    </row>
    <row r="16" ht="30" customHeight="1">
      <c r="A16" s="125" t="n"/>
      <c r="B16" s="81"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5" t="n"/>
    </row>
    <row r="17" ht="30" customHeight="1">
      <c r="A17" s="125"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5" t="n"/>
    </row>
    <row r="18" ht="30" customHeight="1">
      <c r="A18" s="125" t="n"/>
      <c r="B18" s="81"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5" t="n"/>
    </row>
    <row r="19" ht="30" customHeight="1">
      <c r="A19" s="125"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5" t="n"/>
    </row>
    <row r="20" ht="30" customHeight="1">
      <c r="A20" s="125" t="n"/>
      <c r="B20" s="81"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5" t="n"/>
    </row>
    <row r="21" ht="30" customHeight="1">
      <c r="A21" s="125"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5" t="n"/>
    </row>
    <row r="22" ht="30" customHeight="1">
      <c r="A22" s="125" t="n"/>
      <c r="B22" s="81"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5" t="n"/>
    </row>
    <row r="23" ht="30" customHeight="1">
      <c r="A23" s="125"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5" t="n"/>
    </row>
    <row r="24" ht="30" customHeight="1">
      <c r="A24" s="125" t="n"/>
      <c r="B24" s="81"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5" t="n"/>
    </row>
    <row r="25" ht="30" customHeight="1">
      <c r="A25" s="125"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5" t="n"/>
    </row>
    <row r="26" ht="30" customHeight="1">
      <c r="A26" s="125" t="n"/>
      <c r="B26" s="81"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5" t="n"/>
    </row>
    <row r="27" ht="30" customHeight="1">
      <c r="A27" s="125"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5" t="n"/>
    </row>
    <row r="28" ht="30" customHeight="1">
      <c r="A28" s="125" t="n"/>
      <c r="B28" s="81"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5" t="n"/>
    </row>
    <row r="29" ht="30" customHeight="1">
      <c r="A29" s="125"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5" t="n"/>
    </row>
    <row r="30" ht="30" customHeight="1">
      <c r="A30" s="125" t="n"/>
      <c r="B30" s="81"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5" t="n"/>
    </row>
    <row r="31" ht="30" customHeight="1">
      <c r="A31" s="125"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5" t="n"/>
    </row>
    <row r="32" ht="30" customHeight="1">
      <c r="A32" s="125" t="n"/>
      <c r="B32" s="81"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5" t="n"/>
    </row>
    <row r="33" ht="30" customHeight="1">
      <c r="A33" s="125"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5" t="n"/>
    </row>
    <row r="34" ht="30" customHeight="1">
      <c r="A34" s="125" t="n"/>
      <c r="B34" s="81"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5" t="n"/>
    </row>
    <row r="35" ht="30" customHeight="1">
      <c r="A35" s="125"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5" t="n"/>
    </row>
    <row r="36" ht="30" customHeight="1">
      <c r="A36" s="125" t="n"/>
      <c r="B36" s="81"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5" t="n"/>
    </row>
    <row r="37">
      <c r="A37" s="125" t="n"/>
      <c r="AH37" s="125" t="n"/>
    </row>
    <row r="38">
      <c r="A38" s="125"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5" t="n"/>
    </row>
    <row r="39">
      <c r="A39" s="125"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5" t="n"/>
    </row>
    <row r="40" ht="30" customHeight="1">
      <c r="A40" s="125" t="n"/>
      <c r="B40" s="81"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5" t="n"/>
    </row>
    <row r="41" ht="30" customHeight="1">
      <c r="A41" s="125"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5" t="n"/>
    </row>
    <row r="42" ht="30" customHeight="1">
      <c r="A42" s="125" t="n"/>
      <c r="B42" s="81"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5" t="n"/>
    </row>
    <row r="43" ht="30" customHeight="1">
      <c r="A43" s="125"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5" t="n"/>
    </row>
    <row r="44" ht="30" customHeight="1">
      <c r="A44" s="125" t="n"/>
      <c r="B44" s="81"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5" t="n"/>
    </row>
    <row r="45" ht="30" customHeight="1">
      <c r="A45" s="125"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5" t="n"/>
    </row>
    <row r="46" ht="30" customHeight="1">
      <c r="A46" s="125" t="n"/>
      <c r="B46" s="81"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5" t="n"/>
    </row>
    <row r="47" ht="30" customHeight="1">
      <c r="A47" s="125"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5" t="n"/>
    </row>
    <row r="48" ht="30" customHeight="1">
      <c r="A48" s="125" t="n"/>
      <c r="B48" s="81"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5" t="n"/>
    </row>
    <row r="49" ht="30" customHeight="1">
      <c r="A49" s="125"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5" t="n"/>
    </row>
    <row r="50" ht="30" customHeight="1">
      <c r="A50" s="125" t="n"/>
      <c r="B50" s="81"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5" t="n"/>
    </row>
    <row r="51">
      <c r="A51" s="125" t="n"/>
      <c r="AH51" s="125" t="n"/>
    </row>
    <row r="52">
      <c r="A52" s="125" t="n"/>
      <c r="B52" s="158" t="inlineStr">
        <is>
          <t>CONCEITOS</t>
        </is>
      </c>
      <c r="C52" s="16" t="n"/>
      <c r="D52" s="16" t="n"/>
      <c r="E52" s="16" t="n"/>
      <c r="F52" s="16" t="n"/>
      <c r="G52" s="16" t="n"/>
      <c r="H52" s="16" t="n"/>
      <c r="I52" s="16" t="n"/>
      <c r="J52" s="16" t="n"/>
      <c r="K52" s="16" t="n"/>
      <c r="L52" s="17" t="n"/>
      <c r="AH52" s="125" t="n"/>
    </row>
    <row r="53">
      <c r="A53" s="125"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5" t="n"/>
    </row>
    <row r="54" ht="30" customHeight="1">
      <c r="A54" s="125" t="n"/>
      <c r="B54" s="81"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5" t="n"/>
    </row>
    <row r="55" ht="30" customHeight="1">
      <c r="A55" s="125"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5" t="n"/>
    </row>
    <row r="56" ht="30" customHeight="1">
      <c r="A56" s="125" t="n"/>
      <c r="B56" s="81"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5" t="n"/>
    </row>
    <row r="57">
      <c r="A57" s="125" t="n"/>
      <c r="AH57" s="12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2026-10-11T15:31:08Z</dcterms:created>
  <dcterms:modified xmlns:dcterms="http://purl.org/dc/terms/" xmlns:xsi="http://www.w3.org/2001/XMLSchema-instance" xsi:type="dcterms:W3CDTF">2026-10-11T15:31:46Z</dcterms:modified>
</cp:coreProperties>
</file>
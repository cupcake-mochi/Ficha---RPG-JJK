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Oswald"/>
      <color rgb="FF998BA9"/>
      <sz val="8"/>
    </font>
    <font>
      <name val="Castoro"/>
      <color rgb="FFF4F1F7"/>
      <sz val="15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0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10"/>
    </font>
    <font>
      <name val="Oswald"/>
      <color rgb="FFE8DCD4"/>
      <sz val="10"/>
    </font>
    <font>
      <name val="Oswald"/>
      <color rgb="FFE8DCD4"/>
      <sz val="9"/>
    </font>
    <font>
      <name val="Castoro"/>
      <color rgb="FFE8DCD4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1B142F"/>
        <bgColor rgb="FF1B142F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right style="thin">
        <color rgb="FFFFFFFF"/>
      </right>
    </border>
    <border>
      <left/>
      <right style="thin">
        <color rgb="FFFFFFFF"/>
      </right>
      <top/>
      <bottom/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" fillId="5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8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9" fillId="5" borderId="14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8" fillId="4" borderId="15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0" fontId="26" fillId="5" borderId="1" applyAlignment="1" pivotButton="0" quotePrefix="0" xfId="0">
      <alignment horizontal="center" vertical="center"/>
    </xf>
    <xf numFmtId="0" fontId="27" fillId="5" borderId="3" applyAlignment="1" pivotButton="0" quotePrefix="0" xfId="0">
      <alignment horizontal="center" vertical="center"/>
    </xf>
    <xf numFmtId="0" fontId="26" fillId="5" borderId="28" applyAlignment="1" pivotButton="0" quotePrefix="0" xfId="0">
      <alignment horizontal="center" vertical="center"/>
    </xf>
    <xf numFmtId="0" fontId="0" fillId="0" borderId="29" pivotButton="0" quotePrefix="0" xfId="0"/>
    <xf numFmtId="0" fontId="18" fillId="5" borderId="7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/>
    </xf>
    <xf numFmtId="0" fontId="30" fillId="5" borderId="1" applyAlignment="1" pivotButton="0" quotePrefix="0" xfId="0">
      <alignment horizontal="center" vertical="center"/>
    </xf>
    <xf numFmtId="0" fontId="30" fillId="5" borderId="0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0" fontId="31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1" fillId="5" borderId="3" applyAlignment="1" pivotButton="0" quotePrefix="0" xfId="0">
      <alignment horizontal="center" vertical="center" wrapText="1"/>
    </xf>
    <xf numFmtId="0" fontId="33" fillId="5" borderId="1" applyAlignment="1" pivotButton="0" quotePrefix="0" xfId="0">
      <alignment horizontal="center" vertical="center"/>
    </xf>
    <xf numFmtId="0" fontId="32" fillId="5" borderId="0" applyAlignment="1" pivotButton="0" quotePrefix="0" xfId="0">
      <alignment horizontal="center" vertical="center"/>
    </xf>
    <xf numFmtId="0" fontId="34" fillId="5" borderId="1" pivotButton="0" quotePrefix="0" xfId="0"/>
    <xf numFmtId="0" fontId="35" fillId="4" borderId="1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6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42</col>
      <colOff>0</colOff>
      <row>80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3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3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4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5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4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6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6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7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8" t="n"/>
      <c r="AE38" s="7" t="n"/>
      <c r="AF38" s="7" t="n"/>
      <c r="AG38" s="7" t="n"/>
      <c r="AH38" s="39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5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1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7" t="inlineStr">
        <is>
          <t>CATÁLOGO</t>
        </is>
      </c>
      <c r="AU2" s="37" t="n"/>
    </row>
    <row r="3" ht="30.75" customHeight="1">
      <c r="A3" s="7" t="n"/>
      <c r="B3" s="7" t="n"/>
      <c r="C3" s="7" t="n"/>
      <c r="D3" s="42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3">
        <f>IF(DADOS!$B$1=DADOS!$D$1,"v"&amp;DADOS!$B$1&amp;" · em dia","⚠ v"&amp;DADOS!$B$1&amp;" · a atual é a v"&amp;DADOS!$D$1)</f>
        <v/>
      </c>
      <c r="AU3" s="43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6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</row>
    <row r="7">
      <c r="A7" s="7" t="n"/>
      <c r="B7" s="7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</row>
    <row r="8" ht="27" customHeight="1">
      <c r="A8" s="44" t="inlineStr">
        <is>
          <t>PROJETO M</t>
        </is>
      </c>
      <c r="C8" s="40" t="n"/>
      <c r="D8" s="45" t="n">
        <v>1</v>
      </c>
      <c r="E8" s="13" t="n"/>
      <c r="F8" s="14" t="n"/>
      <c r="G8" s="46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  <c r="AQ8" s="47" t="n"/>
      <c r="AR8" s="47" t="n"/>
      <c r="AS8" s="47" t="n"/>
      <c r="AT8" s="47" t="n"/>
      <c r="AU8" s="47" t="n"/>
    </row>
    <row r="9">
      <c r="C9" s="40" t="n"/>
      <c r="D9" s="17" t="n"/>
      <c r="E9" s="18" t="n"/>
      <c r="F9" s="19" t="n"/>
      <c r="G9" s="48" t="n"/>
      <c r="H9" s="48" t="n"/>
      <c r="I9" s="48" t="n"/>
      <c r="J9" s="48" t="n"/>
      <c r="K9" s="48" t="n"/>
      <c r="L9" s="48" t="n"/>
      <c r="M9" s="48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8" t="n"/>
      <c r="X9" s="49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50" t="n"/>
      <c r="AI9" s="50" t="n"/>
      <c r="AJ9" s="50" t="n"/>
      <c r="AK9" s="50" t="n"/>
      <c r="AL9" s="50" t="n"/>
      <c r="AM9" s="47" t="n"/>
      <c r="AN9" s="50" t="n"/>
      <c r="AO9" s="50" t="n"/>
      <c r="AP9" s="50" t="n"/>
      <c r="AQ9" s="50" t="n"/>
      <c r="AR9" s="50" t="n"/>
      <c r="AS9" s="50" t="n"/>
      <c r="AT9" s="50" t="n"/>
      <c r="AU9" s="47" t="n"/>
    </row>
    <row r="10">
      <c r="C10" s="40" t="n"/>
      <c r="D10" s="51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2" t="n"/>
      <c r="N10" s="53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2" t="n"/>
      <c r="X10" s="51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2" t="n"/>
      <c r="AH10" s="53" t="inlineStr">
        <is>
          <t>NÍVEL</t>
        </is>
      </c>
      <c r="AI10" s="18" t="n"/>
      <c r="AJ10" s="18" t="n"/>
      <c r="AK10" s="18" t="n"/>
      <c r="AL10" s="19" t="n"/>
      <c r="AM10" s="54" t="n"/>
      <c r="AN10" s="55" t="inlineStr">
        <is>
          <t>XP</t>
        </is>
      </c>
      <c r="AO10" s="18" t="n"/>
      <c r="AP10" s="18" t="n"/>
      <c r="AQ10" s="18" t="n"/>
      <c r="AR10" s="18" t="n"/>
      <c r="AS10" s="18" t="n"/>
      <c r="AT10" s="19" t="n"/>
      <c r="AU10" s="56" t="n"/>
    </row>
    <row r="11" ht="24.75" customHeight="1">
      <c r="C11" s="40" t="n"/>
      <c r="D11" s="57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4" t="n"/>
      <c r="N11" s="58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4" t="n"/>
      <c r="X11" s="58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4" t="n"/>
      <c r="AH11" s="59" t="n">
        <v>2</v>
      </c>
      <c r="AI11" s="13" t="n"/>
      <c r="AJ11" s="13" t="n"/>
      <c r="AK11" s="13" t="n"/>
      <c r="AL11" s="14" t="n"/>
      <c r="AM11" s="54" t="n"/>
      <c r="AN11" s="60" t="n">
        <v>0</v>
      </c>
      <c r="AO11" s="13" t="n"/>
      <c r="AP11" s="13" t="n"/>
      <c r="AQ11" s="13" t="n"/>
      <c r="AR11" s="13" t="n"/>
      <c r="AS11" s="13" t="n"/>
      <c r="AT11" s="14" t="n"/>
      <c r="AU11" s="61" t="n"/>
    </row>
    <row r="12">
      <c r="C12" s="40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7" t="n"/>
      <c r="N12" s="48" t="n"/>
      <c r="O12" s="48" t="n"/>
      <c r="P12" s="48" t="n"/>
      <c r="Q12" s="48" t="n"/>
      <c r="R12" s="62" t="n"/>
      <c r="S12" s="48" t="n"/>
      <c r="T12" s="48" t="n"/>
      <c r="U12" s="48" t="n"/>
      <c r="V12" s="48" t="n"/>
      <c r="W12" s="47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7" t="n"/>
      <c r="AH12" s="48" t="n"/>
      <c r="AI12" s="48" t="n"/>
      <c r="AJ12" s="48" t="n"/>
      <c r="AK12" s="48" t="n"/>
      <c r="AL12" s="48" t="n"/>
      <c r="AM12" s="47" t="n"/>
      <c r="AN12" s="48" t="n"/>
      <c r="AO12" s="48" t="n"/>
      <c r="AP12" s="48" t="n"/>
      <c r="AQ12" s="48" t="n"/>
      <c r="AR12" s="48" t="n"/>
      <c r="AS12" s="48" t="n"/>
      <c r="AT12" s="48" t="n"/>
      <c r="AU12" s="47" t="n"/>
    </row>
    <row r="13">
      <c r="C13" s="40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  <c r="AU13" s="47" t="n"/>
    </row>
    <row r="14" ht="27" customHeight="1">
      <c r="C14" s="40" t="n"/>
      <c r="D14" s="63" t="n">
        <v>2</v>
      </c>
      <c r="E14" s="13" t="n"/>
      <c r="F14" s="14" t="n"/>
      <c r="G14" s="46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4" t="n"/>
      <c r="Z14" s="47" t="n"/>
      <c r="AA14" s="47" t="n"/>
      <c r="AB14" s="47" t="n"/>
      <c r="AC14" s="47" t="n"/>
      <c r="AD14" s="47" t="n"/>
      <c r="AE14" s="47" t="n"/>
      <c r="AF14" s="47" t="n"/>
      <c r="AG14" s="47" t="n"/>
      <c r="AH14" s="47" t="n"/>
      <c r="AI14" s="47" t="n"/>
      <c r="AJ14" s="47" t="n"/>
      <c r="AK14" s="47" t="n"/>
      <c r="AL14" s="47" t="n"/>
      <c r="AM14" s="47" t="n"/>
      <c r="AN14" s="47" t="n"/>
      <c r="AO14" s="47" t="n"/>
      <c r="AP14" s="47" t="n"/>
      <c r="AQ14" s="47" t="n"/>
      <c r="AR14" s="47" t="n"/>
      <c r="AS14" s="47" t="n"/>
      <c r="AT14" s="47" t="n"/>
      <c r="AU14" s="47" t="n"/>
    </row>
    <row r="15">
      <c r="C15" s="40" t="n"/>
      <c r="D15" s="17" t="n"/>
      <c r="E15" s="18" t="n"/>
      <c r="F15" s="19" t="n"/>
      <c r="G15" s="48" t="n"/>
      <c r="H15" s="48" t="n"/>
      <c r="I15" s="48" t="n"/>
      <c r="J15" s="48" t="n"/>
      <c r="K15" s="48" t="n"/>
      <c r="L15" s="49" t="n"/>
      <c r="M15" s="49" t="n"/>
      <c r="N15" s="49" t="n"/>
      <c r="O15" s="49" t="n"/>
      <c r="P15" s="49" t="n"/>
      <c r="Q15" s="49" t="n"/>
      <c r="R15" s="49" t="n"/>
      <c r="S15" s="48" t="n"/>
      <c r="T15" s="49" t="n"/>
      <c r="U15" s="49" t="n"/>
      <c r="V15" s="49" t="n"/>
      <c r="W15" s="49" t="n"/>
      <c r="X15" s="49" t="n"/>
      <c r="Y15" s="50" t="n"/>
      <c r="Z15" s="50" t="n"/>
      <c r="AA15" s="47" t="n"/>
      <c r="AB15" s="50" t="n"/>
      <c r="AC15" s="50" t="n"/>
      <c r="AD15" s="50" t="n"/>
      <c r="AE15" s="50" t="n"/>
      <c r="AF15" s="50" t="n"/>
      <c r="AG15" s="50" t="n"/>
      <c r="AH15" s="50" t="n"/>
      <c r="AI15" s="47" t="n"/>
      <c r="AJ15" s="50" t="n"/>
      <c r="AK15" s="50" t="n"/>
      <c r="AL15" s="50" t="n"/>
      <c r="AM15" s="50" t="n"/>
      <c r="AN15" s="50" t="n"/>
      <c r="AO15" s="50" t="n"/>
      <c r="AP15" s="50" t="n"/>
      <c r="AQ15" s="47" t="n"/>
      <c r="AR15" s="47" t="n"/>
      <c r="AS15" s="47" t="n"/>
      <c r="AT15" s="47" t="n"/>
      <c r="AU15" s="47" t="n"/>
    </row>
    <row r="16">
      <c r="C16" s="40" t="n"/>
      <c r="D16" s="51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2" t="n"/>
      <c r="L16" s="53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4" t="n"/>
      <c r="T16" s="55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4" t="n"/>
      <c r="AB16" s="55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4" t="n"/>
      <c r="AJ16" s="55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7" t="n"/>
      <c r="AR16" s="65" t="n"/>
      <c r="AS16" s="47" t="n"/>
      <c r="AT16" s="47" t="n"/>
      <c r="AU16" s="47" t="n"/>
    </row>
    <row r="17" ht="29.25" customHeight="1">
      <c r="C17" s="40" t="n"/>
      <c r="D17" s="66" t="n">
        <v>0</v>
      </c>
      <c r="E17" s="13" t="n"/>
      <c r="F17" s="13" t="n"/>
      <c r="G17" s="13" t="n"/>
      <c r="H17" s="13" t="n"/>
      <c r="I17" s="13" t="n"/>
      <c r="J17" s="14" t="n"/>
      <c r="K17" s="54" t="n"/>
      <c r="L17" s="67" t="n">
        <v>0</v>
      </c>
      <c r="M17" s="13" t="n"/>
      <c r="N17" s="13" t="n"/>
      <c r="O17" s="13" t="n"/>
      <c r="P17" s="13" t="n"/>
      <c r="Q17" s="13" t="n"/>
      <c r="R17" s="14" t="n"/>
      <c r="S17" s="54" t="n"/>
      <c r="T17" s="67" t="n">
        <v>0</v>
      </c>
      <c r="U17" s="13" t="n"/>
      <c r="V17" s="13" t="n"/>
      <c r="W17" s="13" t="n"/>
      <c r="X17" s="13" t="n"/>
      <c r="Y17" s="13" t="n"/>
      <c r="Z17" s="14" t="n"/>
      <c r="AA17" s="54" t="n"/>
      <c r="AB17" s="67" t="n">
        <v>0</v>
      </c>
      <c r="AC17" s="13" t="n"/>
      <c r="AD17" s="13" t="n"/>
      <c r="AE17" s="13" t="n"/>
      <c r="AF17" s="13" t="n"/>
      <c r="AG17" s="13" t="n"/>
      <c r="AH17" s="14" t="n"/>
      <c r="AI17" s="54" t="n"/>
      <c r="AJ17" s="67" t="n">
        <v>0</v>
      </c>
      <c r="AK17" s="13" t="n"/>
      <c r="AL17" s="13" t="n"/>
      <c r="AM17" s="13" t="n"/>
      <c r="AN17" s="13" t="n"/>
      <c r="AO17" s="13" t="n"/>
      <c r="AP17" s="14" t="n"/>
      <c r="AQ17" s="47" t="n"/>
      <c r="AR17" s="47" t="n"/>
      <c r="AS17" s="47" t="n"/>
      <c r="AT17" s="47" t="n"/>
      <c r="AU17" s="47" t="n"/>
    </row>
    <row r="18">
      <c r="C18" s="40" t="n"/>
      <c r="D18" s="17" t="n"/>
      <c r="E18" s="18" t="n"/>
      <c r="F18" s="18" t="n"/>
      <c r="G18" s="18" t="n"/>
      <c r="H18" s="18" t="n"/>
      <c r="I18" s="18" t="n"/>
      <c r="J18" s="19" t="n"/>
      <c r="K18" s="54" t="n"/>
      <c r="L18" s="18" t="n"/>
      <c r="M18" s="18" t="n"/>
      <c r="N18" s="18" t="n"/>
      <c r="O18" s="18" t="n"/>
      <c r="P18" s="18" t="n"/>
      <c r="Q18" s="18" t="n"/>
      <c r="R18" s="19" t="n"/>
      <c r="S18" s="54" t="n"/>
      <c r="T18" s="18" t="n"/>
      <c r="U18" s="18" t="n"/>
      <c r="V18" s="18" t="n"/>
      <c r="W18" s="18" t="n"/>
      <c r="X18" s="18" t="n"/>
      <c r="Y18" s="18" t="n"/>
      <c r="Z18" s="19" t="n"/>
      <c r="AA18" s="54" t="n"/>
      <c r="AB18" s="18" t="n"/>
      <c r="AC18" s="18" t="n"/>
      <c r="AD18" s="18" t="n"/>
      <c r="AE18" s="18" t="n"/>
      <c r="AF18" s="18" t="n"/>
      <c r="AG18" s="18" t="n"/>
      <c r="AH18" s="19" t="n"/>
      <c r="AI18" s="54" t="n"/>
      <c r="AJ18" s="18" t="n"/>
      <c r="AK18" s="18" t="n"/>
      <c r="AL18" s="18" t="n"/>
      <c r="AM18" s="18" t="n"/>
      <c r="AN18" s="18" t="n"/>
      <c r="AO18" s="18" t="n"/>
      <c r="AP18" s="19" t="n"/>
      <c r="AQ18" s="47" t="n"/>
      <c r="AR18" s="47" t="n"/>
      <c r="AS18" s="47" t="n"/>
      <c r="AT18" s="47" t="n"/>
      <c r="AU18" s="47" t="n"/>
    </row>
    <row r="19">
      <c r="C19" s="40" t="n"/>
      <c r="D19" s="68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4" t="n"/>
      <c r="L19" s="69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4" t="n"/>
      <c r="T19" s="69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4" t="n"/>
      <c r="AB19" s="69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4" t="n"/>
      <c r="AJ19" s="69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7" t="n"/>
      <c r="AR19" s="47" t="n"/>
      <c r="AS19" s="47" t="n"/>
      <c r="AT19" s="47" t="n"/>
      <c r="AU19" s="47" t="n"/>
    </row>
    <row r="20">
      <c r="C20" s="40" t="n"/>
      <c r="D20" s="47" t="n"/>
      <c r="E20" s="47" t="n"/>
      <c r="F20" s="48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  <c r="AQ20" s="47" t="n"/>
      <c r="AR20" s="47" t="n"/>
      <c r="AS20" s="47" t="n"/>
      <c r="AT20" s="47" t="n"/>
      <c r="AU20" s="47" t="n"/>
    </row>
    <row r="21">
      <c r="C21" s="40" t="n"/>
      <c r="D21" s="47" t="n"/>
      <c r="E21" s="47" t="n"/>
      <c r="F21" s="47" t="n"/>
      <c r="G21" s="47" t="n"/>
      <c r="H21" s="47" t="n"/>
      <c r="I21" s="47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  <c r="AQ21" s="47" t="n"/>
      <c r="AR21" s="47" t="n"/>
      <c r="AS21" s="47" t="n"/>
      <c r="AT21" s="47" t="n"/>
      <c r="AU21" s="47" t="n"/>
    </row>
    <row r="22">
      <c r="C22" s="40" t="n"/>
      <c r="D22" s="51" t="inlineStr">
        <is>
          <t>VIDA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  <c r="AA22" s="47" t="n"/>
      <c r="AB22" s="47" t="n"/>
      <c r="AC22" s="47" t="n"/>
      <c r="AD22" s="47" t="n"/>
      <c r="AE22" s="47" t="n"/>
      <c r="AF22" s="51" t="inlineStr">
        <is>
          <t>TEMP</t>
        </is>
      </c>
      <c r="AG22" s="10" t="n"/>
      <c r="AH22" s="10" t="n"/>
      <c r="AI22" s="10" t="n"/>
      <c r="AJ22" s="10" t="n"/>
      <c r="AK22" s="11" t="n"/>
      <c r="AL22" s="54" t="n"/>
      <c r="AM22" s="70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7" t="n"/>
      <c r="AT22" s="47" t="n"/>
      <c r="AU22" s="47" t="n"/>
    </row>
    <row r="23" ht="27" customHeight="1">
      <c r="C23" s="40" t="n"/>
      <c r="D23" s="71">
        <f>J23</f>
        <v/>
      </c>
      <c r="E23" s="13" t="n"/>
      <c r="F23" s="13" t="n"/>
      <c r="G23" s="13" t="n"/>
      <c r="H23" s="14" t="n"/>
      <c r="I23" s="47" t="n"/>
      <c r="J23" s="72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7" t="n"/>
      <c r="P23" s="73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7" t="n"/>
      <c r="AF23" s="74" t="n"/>
      <c r="AG23" s="18" t="n"/>
      <c r="AH23" s="18" t="n"/>
      <c r="AI23" s="18" t="n"/>
      <c r="AJ23" s="18" t="n"/>
      <c r="AK23" s="19" t="n"/>
      <c r="AL23" s="47" t="n"/>
      <c r="AM23" s="75" t="n"/>
      <c r="AN23" s="10" t="n"/>
      <c r="AO23" s="10" t="n"/>
      <c r="AP23" s="10" t="n"/>
      <c r="AQ23" s="10" t="n"/>
      <c r="AR23" s="11" t="n"/>
      <c r="AS23" s="47" t="n"/>
      <c r="AT23" s="47" t="n"/>
      <c r="AU23" s="47" t="n"/>
    </row>
    <row r="24">
      <c r="C24" s="40" t="n"/>
      <c r="D24" s="17" t="n"/>
      <c r="E24" s="18" t="n"/>
      <c r="F24" s="18" t="n"/>
      <c r="G24" s="18" t="n"/>
      <c r="H24" s="19" t="n"/>
      <c r="I24" s="47" t="n"/>
      <c r="J24" s="17" t="n"/>
      <c r="K24" s="18" t="n"/>
      <c r="L24" s="18" t="n"/>
      <c r="M24" s="18" t="n"/>
      <c r="N24" s="19" t="n"/>
      <c r="O24" s="47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  <c r="AQ24" s="47" t="n"/>
      <c r="AR24" s="48" t="n"/>
      <c r="AS24" s="47" t="n"/>
      <c r="AT24" s="47" t="n"/>
      <c r="AU24" s="47" t="n"/>
    </row>
    <row r="25">
      <c r="C25" s="4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  <c r="AQ25" s="47" t="n"/>
      <c r="AR25" s="50" t="n"/>
      <c r="AS25" s="47" t="n"/>
      <c r="AT25" s="47" t="n"/>
      <c r="AU25" s="47" t="n"/>
    </row>
    <row r="26">
      <c r="C26" s="40" t="n"/>
      <c r="D26" s="53" t="inlineStr">
        <is>
          <t>ENERGIA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  <c r="AA26" s="47" t="n"/>
      <c r="AB26" s="47" t="n"/>
      <c r="AC26" s="47" t="n"/>
      <c r="AD26" s="47" t="n"/>
      <c r="AE26" s="47" t="n"/>
      <c r="AF26" s="51" t="inlineStr">
        <is>
          <t>TEMP</t>
        </is>
      </c>
      <c r="AG26" s="10" t="n"/>
      <c r="AH26" s="10" t="n"/>
      <c r="AI26" s="10" t="n"/>
      <c r="AJ26" s="10" t="n"/>
      <c r="AK26" s="11" t="n"/>
      <c r="AL26" s="54" t="n"/>
      <c r="AM26" s="70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7" t="n"/>
      <c r="AT26" s="47" t="n"/>
      <c r="AU26" s="47" t="n"/>
    </row>
    <row r="27" ht="27" customHeight="1">
      <c r="A27" s="7" t="n"/>
      <c r="B27" s="7" t="n"/>
      <c r="C27" s="40" t="n"/>
      <c r="D27" s="71">
        <f>J27</f>
        <v/>
      </c>
      <c r="E27" s="13" t="n"/>
      <c r="F27" s="13" t="n"/>
      <c r="G27" s="13" t="n"/>
      <c r="H27" s="14" t="n"/>
      <c r="I27" s="47" t="n"/>
      <c r="J27" s="76">
        <f>IF($D$11="","",VLOOKUP($D$11,DADOS!$N$5:$U$9,5,FALSE)*$AH$11)</f>
        <v/>
      </c>
      <c r="K27" s="13" t="n"/>
      <c r="L27" s="13" t="n"/>
      <c r="M27" s="13" t="n"/>
      <c r="N27" s="14" t="n"/>
      <c r="O27" s="47" t="n"/>
      <c r="P27" s="77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7" t="n"/>
      <c r="AF27" s="78" t="n"/>
      <c r="AG27" s="10" t="n"/>
      <c r="AH27" s="10" t="n"/>
      <c r="AI27" s="10" t="n"/>
      <c r="AJ27" s="10" t="n"/>
      <c r="AK27" s="11" t="n"/>
      <c r="AL27" s="47" t="n"/>
      <c r="AM27" s="75" t="n"/>
      <c r="AN27" s="10" t="n"/>
      <c r="AO27" s="10" t="n"/>
      <c r="AP27" s="10" t="n"/>
      <c r="AQ27" s="10" t="n"/>
      <c r="AR27" s="11" t="n"/>
      <c r="AS27" s="47" t="n"/>
      <c r="AT27" s="47" t="n"/>
      <c r="AU27" s="47" t="n"/>
    </row>
    <row r="28">
      <c r="A28" s="7" t="n"/>
      <c r="B28" s="7" t="n"/>
      <c r="C28" s="40" t="n"/>
      <c r="D28" s="17" t="n"/>
      <c r="E28" s="18" t="n"/>
      <c r="F28" s="18" t="n"/>
      <c r="G28" s="18" t="n"/>
      <c r="H28" s="19" t="n"/>
      <c r="I28" s="47" t="n"/>
      <c r="J28" s="17" t="n"/>
      <c r="K28" s="18" t="n"/>
      <c r="L28" s="18" t="n"/>
      <c r="M28" s="18" t="n"/>
      <c r="N28" s="19" t="n"/>
      <c r="O28" s="47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  <c r="AQ28" s="47" t="n"/>
      <c r="AR28" s="48" t="n"/>
      <c r="AS28" s="47" t="n"/>
      <c r="AT28" s="47" t="n"/>
      <c r="AU28" s="47" t="n"/>
    </row>
    <row r="29">
      <c r="A29" s="7" t="n"/>
      <c r="B29" s="7" t="n"/>
      <c r="C29" s="4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50" t="n"/>
      <c r="AS29" s="47" t="n"/>
      <c r="AT29" s="47" t="n"/>
      <c r="AU29" s="47" t="n"/>
    </row>
    <row r="30">
      <c r="A30" s="44" t="inlineStr">
        <is>
          <t>FICHA DE REGISTRO</t>
        </is>
      </c>
      <c r="C30" s="40" t="n"/>
      <c r="D30" s="53" t="inlineStr">
        <is>
          <t>INTEGRIDADE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  <c r="AA30" s="47" t="n"/>
      <c r="AB30" s="47" t="n"/>
      <c r="AC30" s="47" t="n"/>
      <c r="AD30" s="47" t="n"/>
      <c r="AE30" s="47" t="n"/>
      <c r="AF30" s="51" t="inlineStr">
        <is>
          <t>TEMP</t>
        </is>
      </c>
      <c r="AG30" s="10" t="n"/>
      <c r="AH30" s="10" t="n"/>
      <c r="AI30" s="10" t="n"/>
      <c r="AJ30" s="10" t="n"/>
      <c r="AK30" s="11" t="n"/>
      <c r="AL30" s="54" t="n"/>
      <c r="AM30" s="70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7" t="n"/>
      <c r="AT30" s="47" t="n"/>
      <c r="AU30" s="47" t="n"/>
    </row>
    <row r="31" ht="27" customHeight="1">
      <c r="C31" s="40" t="n"/>
      <c r="D31" s="71">
        <f>J31</f>
        <v/>
      </c>
      <c r="E31" s="13" t="n"/>
      <c r="F31" s="13" t="n"/>
      <c r="G31" s="13" t="n"/>
      <c r="H31" s="14" t="n"/>
      <c r="I31" s="52" t="n"/>
      <c r="J31" s="79">
        <f>20+(AJ17+5)*($AH$11-1)</f>
        <v/>
      </c>
      <c r="K31" s="13" t="n"/>
      <c r="L31" s="13" t="n"/>
      <c r="M31" s="13" t="n"/>
      <c r="N31" s="14" t="n"/>
      <c r="O31" s="47" t="n"/>
      <c r="P31" s="77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4" t="n"/>
      <c r="AF31" s="80" t="n"/>
      <c r="AK31" s="81" t="n"/>
      <c r="AL31" s="52" t="n"/>
      <c r="AM31" s="82" t="n"/>
      <c r="AR31" s="16" t="n"/>
      <c r="AS31" s="47" t="n"/>
      <c r="AT31" s="47" t="n"/>
      <c r="AU31" s="47" t="n"/>
    </row>
    <row r="32">
      <c r="C32" s="40" t="n"/>
      <c r="D32" s="17" t="n"/>
      <c r="E32" s="18" t="n"/>
      <c r="F32" s="18" t="n"/>
      <c r="G32" s="18" t="n"/>
      <c r="H32" s="19" t="n"/>
      <c r="I32" s="52" t="n"/>
      <c r="J32" s="18" t="n"/>
      <c r="K32" s="18" t="n"/>
      <c r="L32" s="18" t="n"/>
      <c r="M32" s="18" t="n"/>
      <c r="N32" s="19" t="n"/>
      <c r="O32" s="47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7" t="n"/>
      <c r="AF32" s="48" t="n"/>
      <c r="AG32" s="48" t="n"/>
      <c r="AH32" s="48" t="n"/>
      <c r="AI32" s="48" t="n"/>
      <c r="AJ32" s="48" t="n"/>
      <c r="AK32" s="48" t="n"/>
      <c r="AL32" s="47" t="n"/>
      <c r="AM32" s="48" t="n"/>
      <c r="AN32" s="48" t="n"/>
      <c r="AO32" s="48" t="n"/>
      <c r="AP32" s="48" t="n"/>
      <c r="AQ32" s="48" t="n"/>
      <c r="AR32" s="48" t="n"/>
      <c r="AS32" s="47" t="n"/>
      <c r="AT32" s="47" t="n"/>
      <c r="AU32" s="47" t="n"/>
    </row>
    <row r="33">
      <c r="C33" s="40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  <c r="AQ33" s="47" t="n"/>
      <c r="AR33" s="47" t="n"/>
      <c r="AS33" s="47" t="n"/>
      <c r="AT33" s="47" t="n"/>
      <c r="AU33" s="47" t="n"/>
    </row>
    <row r="34">
      <c r="C34" s="40" t="n"/>
      <c r="D34" s="83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84" t="n"/>
    </row>
    <row r="35">
      <c r="C35" s="40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  <c r="AQ35" s="47" t="n"/>
      <c r="AR35" s="47" t="n"/>
      <c r="AS35" s="47" t="n"/>
      <c r="AT35" s="47" t="n"/>
      <c r="AU35" s="47" t="n"/>
    </row>
    <row r="36">
      <c r="C36" s="40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  <c r="AQ36" s="47" t="n"/>
      <c r="AR36" s="47" t="n"/>
      <c r="AS36" s="47" t="n"/>
      <c r="AT36" s="47" t="n"/>
      <c r="AU36" s="47" t="n"/>
    </row>
    <row r="37" ht="27" customHeight="1">
      <c r="C37" s="40" t="n"/>
      <c r="D37" s="63" t="n">
        <v>3</v>
      </c>
      <c r="E37" s="13" t="n"/>
      <c r="F37" s="14" t="n"/>
      <c r="G37" s="85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7" t="n"/>
      <c r="Z37" s="47" t="n"/>
      <c r="AA37" s="47" t="n"/>
      <c r="AB37" s="47" t="n"/>
      <c r="AC37" s="47" t="n"/>
      <c r="AD37" s="47" t="n"/>
      <c r="AE37" s="47" t="n"/>
      <c r="AF37" s="47" t="n"/>
      <c r="AG37" s="47" t="n"/>
      <c r="AH37" s="47" t="n"/>
      <c r="AI37" s="47" t="n"/>
      <c r="AJ37" s="65" t="n"/>
      <c r="AK37" s="47" t="n"/>
      <c r="AL37" s="47" t="n"/>
      <c r="AM37" s="47" t="n"/>
      <c r="AN37" s="47" t="n"/>
      <c r="AO37" s="47" t="n"/>
      <c r="AP37" s="47" t="n"/>
      <c r="AQ37" s="47" t="n"/>
      <c r="AR37" s="47" t="n"/>
      <c r="AS37" s="47" t="n"/>
      <c r="AT37" s="47" t="n"/>
      <c r="AU37" s="47" t="n"/>
    </row>
    <row r="38">
      <c r="C38" s="40" t="n"/>
      <c r="D38" s="17" t="n"/>
      <c r="E38" s="18" t="n"/>
      <c r="F38" s="19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  <c r="AQ38" s="47" t="n"/>
      <c r="AR38" s="47" t="n"/>
      <c r="AS38" s="47" t="n"/>
      <c r="AT38" s="47" t="n"/>
      <c r="AU38" s="47" t="n"/>
    </row>
    <row r="39">
      <c r="C39" s="40" t="n"/>
      <c r="D39" s="51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7" t="n"/>
      <c r="O39" s="51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7" t="n"/>
      <c r="Z39" s="51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7" t="n"/>
      <c r="AK39" s="51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  <c r="AU39" s="56" t="n"/>
    </row>
    <row r="40" ht="21" customHeight="1">
      <c r="C40" s="40" t="n"/>
      <c r="D40" s="86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7" t="n"/>
      <c r="O40" s="86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7" t="n"/>
      <c r="Z40" s="75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7" t="n"/>
      <c r="AK40" s="86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87" t="n"/>
    </row>
    <row r="41">
      <c r="C41" s="40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  <c r="AU41" s="47" t="n"/>
    </row>
    <row r="42">
      <c r="C42" s="40" t="n"/>
      <c r="D42" s="47" t="n"/>
      <c r="E42" s="47" t="n"/>
      <c r="F42" s="47" t="n"/>
      <c r="G42" s="47" t="n"/>
      <c r="H42" s="47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  <c r="AB42" s="47" t="n"/>
      <c r="AC42" s="47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  <c r="AQ42" s="47" t="n"/>
      <c r="AR42" s="47" t="n"/>
      <c r="AS42" s="47" t="n"/>
      <c r="AT42" s="47" t="n"/>
      <c r="AU42" s="47" t="n"/>
    </row>
    <row r="43">
      <c r="C43" s="40" t="n"/>
      <c r="D43" s="51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7" t="n"/>
      <c r="O43" s="51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7" t="n"/>
      <c r="Z43" s="51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7" t="n"/>
      <c r="AK43" s="51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56" t="n"/>
    </row>
    <row r="44" ht="21" customHeight="1">
      <c r="C44" s="40" t="n"/>
      <c r="D44" s="86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7" t="n"/>
      <c r="O44" s="86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7" t="n"/>
      <c r="Z44" s="86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7" t="n"/>
      <c r="AK44" s="86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  <c r="AU44" s="87" t="n"/>
    </row>
    <row r="45">
      <c r="C45" s="40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  <c r="AQ45" s="47" t="n"/>
      <c r="AR45" s="47" t="n"/>
      <c r="AS45" s="47" t="n"/>
      <c r="AT45" s="47" t="n"/>
      <c r="AU45" s="47" t="n"/>
    </row>
    <row r="46">
      <c r="C46" s="40" t="n"/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  <c r="AC46" s="47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  <c r="AQ46" s="47" t="n"/>
      <c r="AR46" s="47" t="n"/>
      <c r="AS46" s="47" t="n"/>
      <c r="AT46" s="47" t="n"/>
      <c r="AU46" s="47" t="n"/>
    </row>
    <row r="47">
      <c r="C47" s="40" t="n"/>
      <c r="D47" s="51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7" t="n"/>
      <c r="O47" s="51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7" t="n"/>
      <c r="Z47" s="51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7" t="n"/>
      <c r="AK47" s="51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56" t="n"/>
    </row>
    <row r="48" ht="21" customHeight="1">
      <c r="C48" s="40" t="n"/>
      <c r="D48" s="86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7" t="n"/>
      <c r="O48" s="86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40" t="n"/>
      <c r="Z48" s="86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7" t="n"/>
      <c r="AK48" s="86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87" t="n"/>
    </row>
    <row r="49">
      <c r="A49" s="7" t="n"/>
      <c r="B49" s="7" t="n"/>
      <c r="C49" s="40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0" t="n"/>
      <c r="Z49" s="47" t="n"/>
      <c r="AA49" s="47" t="n"/>
      <c r="AB49" s="47" t="n"/>
      <c r="AC49" s="47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  <c r="AQ49" s="47" t="n"/>
      <c r="AR49" s="47" t="n"/>
      <c r="AS49" s="47" t="n"/>
      <c r="AT49" s="47" t="n"/>
      <c r="AU49" s="47" t="n"/>
    </row>
    <row r="50">
      <c r="A50" s="7" t="n"/>
      <c r="B50" s="7" t="n"/>
      <c r="C50" s="40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0" t="n"/>
      <c r="Z50" s="47" t="n"/>
      <c r="AA50" s="47" t="n"/>
      <c r="AB50" s="47" t="n"/>
      <c r="AC50" s="47" t="n"/>
      <c r="AD50" s="47" t="n"/>
      <c r="AE50" s="51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7" t="n"/>
      <c r="AQ50" s="47" t="n"/>
      <c r="AR50" s="47" t="n"/>
      <c r="AS50" s="47" t="n"/>
      <c r="AT50" s="47" t="n"/>
      <c r="AU50" s="47" t="n"/>
    </row>
    <row r="51" ht="27" customHeight="1">
      <c r="A51" s="7" t="n"/>
      <c r="B51" s="7" t="n"/>
      <c r="C51" s="40" t="n"/>
      <c r="D51" s="63" t="n">
        <v>4</v>
      </c>
      <c r="E51" s="13" t="n"/>
      <c r="F51" s="14" t="n"/>
      <c r="G51" s="85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40" t="n"/>
      <c r="Z51" s="47" t="n"/>
      <c r="AA51" s="47" t="n"/>
      <c r="AB51" s="47" t="n"/>
      <c r="AC51" s="47" t="n"/>
      <c r="AD51" s="47" t="n"/>
      <c r="AE51" s="86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7" t="n"/>
      <c r="AQ51" s="47" t="n"/>
      <c r="AR51" s="47" t="n"/>
      <c r="AS51" s="47" t="n"/>
      <c r="AT51" s="47" t="n"/>
      <c r="AU51" s="47" t="n"/>
    </row>
    <row r="52">
      <c r="A52" s="7" t="n"/>
      <c r="B52" s="7" t="n"/>
      <c r="C52" s="40" t="n"/>
      <c r="D52" s="17" t="n"/>
      <c r="E52" s="18" t="n"/>
      <c r="F52" s="19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0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  <c r="AU52" s="47" t="n"/>
    </row>
    <row r="53">
      <c r="A53" s="7" t="n"/>
      <c r="B53" s="7" t="n"/>
      <c r="C53" s="40" t="n"/>
      <c r="D53" s="51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7" t="n"/>
      <c r="O53" s="51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40" t="n"/>
      <c r="Z53" s="51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7" t="n"/>
      <c r="AK53" s="51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  <c r="AU53" s="56" t="n"/>
    </row>
    <row r="54" ht="21" customHeight="1">
      <c r="A54" s="7" t="n"/>
      <c r="B54" s="7" t="n"/>
      <c r="C54" s="40" t="n"/>
      <c r="D54" s="86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40" t="n"/>
      <c r="O54" s="86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40" t="n"/>
      <c r="Z54" s="86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7" t="n"/>
      <c r="AK54" s="86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  <c r="AU54" s="87" t="n"/>
    </row>
    <row r="55">
      <c r="A55" s="7" t="n"/>
      <c r="B55" s="7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7" t="n"/>
      <c r="AA55" s="47" t="n"/>
      <c r="AB55" s="47" t="n"/>
      <c r="AC55" s="47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  <c r="AQ55" s="47" t="n"/>
      <c r="AR55" s="47" t="n"/>
      <c r="AS55" s="47" t="n"/>
      <c r="AT55" s="47" t="n"/>
      <c r="AU55" s="47" t="n"/>
    </row>
    <row r="56">
      <c r="A56" s="7" t="n"/>
      <c r="B56" s="7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</row>
    <row r="57" ht="27" customHeight="1">
      <c r="A57" s="7" t="n"/>
      <c r="B57" s="7" t="n"/>
      <c r="C57" s="40" t="n"/>
      <c r="D57" s="63" t="n">
        <v>5</v>
      </c>
      <c r="E57" s="13" t="n"/>
      <c r="F57" s="14" t="n"/>
      <c r="G57" s="85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  <c r="AQ57" s="47" t="n"/>
      <c r="AR57" s="47" t="n"/>
      <c r="AS57" s="47" t="n"/>
      <c r="AT57" s="47" t="n"/>
      <c r="AU57" s="47" t="n"/>
    </row>
    <row r="58">
      <c r="A58" s="7" t="n"/>
      <c r="B58" s="7" t="n"/>
      <c r="C58" s="40" t="n"/>
      <c r="D58" s="17" t="n"/>
      <c r="E58" s="18" t="n"/>
      <c r="F58" s="19" t="n"/>
      <c r="G58" s="47" t="n"/>
      <c r="H58" s="47" t="n"/>
      <c r="I58" s="47" t="n"/>
      <c r="J58" s="47" t="n"/>
      <c r="K58" s="47" t="n"/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  <c r="AB58" s="47" t="n"/>
      <c r="AC58" s="47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  <c r="AQ58" s="47" t="n"/>
      <c r="AR58" s="47" t="n"/>
      <c r="AS58" s="47" t="n"/>
      <c r="AT58" s="47" t="n"/>
      <c r="AU58" s="47" t="n"/>
    </row>
    <row r="59">
      <c r="A59" s="7" t="n"/>
      <c r="B59" s="7" t="n"/>
      <c r="C59" s="40" t="n"/>
      <c r="D59" s="88" t="b">
        <v>0</v>
      </c>
      <c r="E59" s="89" t="inlineStr">
        <is>
          <t>Atletismo</t>
        </is>
      </c>
      <c r="F59" s="10" t="n"/>
      <c r="G59" s="10" t="n"/>
      <c r="H59" s="10" t="n"/>
      <c r="I59" s="10" t="n"/>
      <c r="J59" s="10" t="n"/>
      <c r="K59" s="10" t="n"/>
      <c r="L59" s="11" t="n"/>
      <c r="M59" s="90" t="inlineStr">
        <is>
          <t>For</t>
        </is>
      </c>
      <c r="N59" s="11" t="n"/>
      <c r="O59" s="91">
        <f>$D$17+IF($D$59=TRUE,(1+COUNTIF(DADOS!$X$5:$X$7,"&lt;="&amp;$AH$11)),0)</f>
        <v/>
      </c>
      <c r="P59" s="11" t="n"/>
      <c r="Q59" s="47" t="n"/>
      <c r="R59" s="88" t="b">
        <v>0</v>
      </c>
      <c r="S59" s="89" t="inlineStr">
        <is>
          <t>Sobrevivência</t>
        </is>
      </c>
      <c r="T59" s="10" t="n"/>
      <c r="U59" s="10" t="n"/>
      <c r="V59" s="10" t="n"/>
      <c r="W59" s="10" t="n"/>
      <c r="X59" s="10" t="n"/>
      <c r="Y59" s="10" t="n"/>
      <c r="Z59" s="11" t="n"/>
      <c r="AA59" s="90" t="inlineStr">
        <is>
          <t>Int</t>
        </is>
      </c>
      <c r="AB59" s="11" t="n"/>
      <c r="AC59" s="91">
        <f>$AB$17+IF($R$59=TRUE,(1+COUNTIF(DADOS!$X$5:$X$7,"&lt;="&amp;$AH$11)),0)</f>
        <v/>
      </c>
      <c r="AD59" s="11" t="n"/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  <c r="AQ59" s="47" t="n"/>
      <c r="AR59" s="47" t="n"/>
      <c r="AS59" s="47" t="n"/>
      <c r="AT59" s="47" t="n"/>
      <c r="AU59" s="47" t="n"/>
    </row>
    <row r="60">
      <c r="A60" s="7" t="n"/>
      <c r="B60" s="7" t="n"/>
      <c r="C60" s="40" t="n"/>
      <c r="D60" s="88" t="b">
        <v>0</v>
      </c>
      <c r="E60" s="89" t="inlineStr">
        <is>
          <t>Acrobacia</t>
        </is>
      </c>
      <c r="F60" s="10" t="n"/>
      <c r="G60" s="10" t="n"/>
      <c r="H60" s="10" t="n"/>
      <c r="I60" s="10" t="n"/>
      <c r="J60" s="10" t="n"/>
      <c r="K60" s="10" t="n"/>
      <c r="L60" s="11" t="n"/>
      <c r="M60" s="90" t="inlineStr">
        <is>
          <t>Des</t>
        </is>
      </c>
      <c r="N60" s="11" t="n"/>
      <c r="O60" s="91">
        <f>$L$17+IF($D$60=TRUE,(1+COUNTIF(DADOS!$X$5:$X$7,"&lt;="&amp;$AH$11)),0)</f>
        <v/>
      </c>
      <c r="P60" s="11" t="n"/>
      <c r="Q60" s="47" t="n"/>
      <c r="R60" s="88" t="b">
        <v>0</v>
      </c>
      <c r="S60" s="89" t="inlineStr">
        <is>
          <t>Natureza</t>
        </is>
      </c>
      <c r="T60" s="10" t="n"/>
      <c r="U60" s="10" t="n"/>
      <c r="V60" s="10" t="n"/>
      <c r="W60" s="10" t="n"/>
      <c r="X60" s="10" t="n"/>
      <c r="Y60" s="10" t="n"/>
      <c r="Z60" s="11" t="n"/>
      <c r="AA60" s="90" t="inlineStr">
        <is>
          <t>Int</t>
        </is>
      </c>
      <c r="AB60" s="11" t="n"/>
      <c r="AC60" s="91">
        <f>$AB$17+IF($R$60=TRUE,(1+COUNTIF(DADOS!$X$5:$X$7,"&lt;="&amp;$AH$11)),0)</f>
        <v/>
      </c>
      <c r="AD60" s="11" t="n"/>
      <c r="AE60" s="47" t="n"/>
      <c r="AF60" s="47" t="n"/>
      <c r="AG60" s="47" t="n"/>
      <c r="AH60" s="47" t="n"/>
      <c r="AI60" s="51" t="inlineStr">
        <is>
          <t xml:space="preserve">ANOTAÇÕES RÁPIDAS </t>
        </is>
      </c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1" t="n"/>
      <c r="AS60" s="47" t="n"/>
      <c r="AT60" s="47" t="n"/>
      <c r="AU60" s="47" t="n"/>
    </row>
    <row r="61">
      <c r="A61" s="7" t="n"/>
      <c r="B61" s="7" t="n"/>
      <c r="C61" s="40" t="n"/>
      <c r="D61" s="88" t="b">
        <v>0</v>
      </c>
      <c r="E61" s="89" t="inlineStr">
        <is>
          <t>Furtividade</t>
        </is>
      </c>
      <c r="F61" s="10" t="n"/>
      <c r="G61" s="10" t="n"/>
      <c r="H61" s="10" t="n"/>
      <c r="I61" s="10" t="n"/>
      <c r="J61" s="10" t="n"/>
      <c r="K61" s="10" t="n"/>
      <c r="L61" s="11" t="n"/>
      <c r="M61" s="90" t="inlineStr">
        <is>
          <t>Des</t>
        </is>
      </c>
      <c r="N61" s="11" t="n"/>
      <c r="O61" s="91">
        <f>$L$17+IF($D$61=TRUE,(1+COUNTIF(DADOS!$X$5:$X$7,"&lt;="&amp;$AH$11)),0)</f>
        <v/>
      </c>
      <c r="P61" s="11" t="n"/>
      <c r="Q61" s="47" t="n"/>
      <c r="R61" s="88" t="b">
        <v>0</v>
      </c>
      <c r="S61" s="89" t="inlineStr">
        <is>
          <t>Lidar com Animais</t>
        </is>
      </c>
      <c r="T61" s="10" t="n"/>
      <c r="U61" s="10" t="n"/>
      <c r="V61" s="10" t="n"/>
      <c r="W61" s="10" t="n"/>
      <c r="X61" s="10" t="n"/>
      <c r="Y61" s="10" t="n"/>
      <c r="Z61" s="11" t="n"/>
      <c r="AA61" s="90" t="inlineStr">
        <is>
          <t>Int</t>
        </is>
      </c>
      <c r="AB61" s="11" t="n"/>
      <c r="AC61" s="91">
        <f>$AB$17+IF($R$61=TRUE,(1+COUNTIF(DADOS!$X$5:$X$7,"&lt;="&amp;$AH$11)),0)</f>
        <v/>
      </c>
      <c r="AD61" s="11" t="n"/>
      <c r="AE61" s="47" t="n"/>
      <c r="AF61" s="47" t="n"/>
      <c r="AG61" s="47" t="n"/>
      <c r="AH61" s="47" t="n"/>
      <c r="AI61" s="86" t="n"/>
      <c r="AJ61" s="13" t="n"/>
      <c r="AK61" s="13" t="n"/>
      <c r="AL61" s="13" t="n"/>
      <c r="AM61" s="13" t="n"/>
      <c r="AN61" s="13" t="n"/>
      <c r="AO61" s="13" t="n"/>
      <c r="AP61" s="13" t="n"/>
      <c r="AQ61" s="13" t="n"/>
      <c r="AR61" s="14" t="n"/>
      <c r="AS61" s="47" t="n"/>
      <c r="AT61" s="47" t="n"/>
      <c r="AU61" s="47" t="n"/>
    </row>
    <row r="62">
      <c r="A62" s="7" t="n"/>
      <c r="B62" s="7" t="n"/>
      <c r="C62" s="40" t="n"/>
      <c r="D62" s="88" t="b">
        <v>0</v>
      </c>
      <c r="E62" s="89" t="inlineStr">
        <is>
          <t>Pontaria</t>
        </is>
      </c>
      <c r="F62" s="10" t="n"/>
      <c r="G62" s="10" t="n"/>
      <c r="H62" s="10" t="n"/>
      <c r="I62" s="10" t="n"/>
      <c r="J62" s="10" t="n"/>
      <c r="K62" s="10" t="n"/>
      <c r="L62" s="11" t="n"/>
      <c r="M62" s="90" t="inlineStr">
        <is>
          <t>Des</t>
        </is>
      </c>
      <c r="N62" s="11" t="n"/>
      <c r="O62" s="91">
        <f>$L$17+IF($D$62=TRUE,(1+COUNTIF(DADOS!$X$5:$X$7,"&lt;="&amp;$AH$11)),0)</f>
        <v/>
      </c>
      <c r="P62" s="11" t="n"/>
      <c r="Q62" s="47" t="n"/>
      <c r="R62" s="88" t="b">
        <v>0</v>
      </c>
      <c r="S62" s="89" t="inlineStr">
        <is>
          <t>Tecnologia</t>
        </is>
      </c>
      <c r="T62" s="10" t="n"/>
      <c r="U62" s="10" t="n"/>
      <c r="V62" s="10" t="n"/>
      <c r="W62" s="10" t="n"/>
      <c r="X62" s="10" t="n"/>
      <c r="Y62" s="10" t="n"/>
      <c r="Z62" s="11" t="n"/>
      <c r="AA62" s="90" t="inlineStr">
        <is>
          <t>Int</t>
        </is>
      </c>
      <c r="AB62" s="11" t="n"/>
      <c r="AC62" s="91">
        <f>$AB$17+IF($R$62=TRUE,(1+COUNTIF(DADOS!$X$5:$X$7,"&lt;="&amp;$AH$11)),0)</f>
        <v/>
      </c>
      <c r="AD62" s="11" t="n"/>
      <c r="AE62" s="47" t="n"/>
      <c r="AF62" s="47" t="n"/>
      <c r="AG62" s="47" t="n"/>
      <c r="AH62" s="47" t="n"/>
      <c r="AI62" s="17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47" t="n"/>
      <c r="AT62" s="47" t="n"/>
      <c r="AU62" s="47" t="n"/>
    </row>
    <row r="63">
      <c r="A63" s="7" t="n"/>
      <c r="B63" s="7" t="n"/>
      <c r="C63" s="40" t="n"/>
      <c r="D63" s="88" t="b">
        <v>0</v>
      </c>
      <c r="E63" s="89" t="inlineStr">
        <is>
          <t>Prestidigitação</t>
        </is>
      </c>
      <c r="F63" s="10" t="n"/>
      <c r="G63" s="10" t="n"/>
      <c r="H63" s="10" t="n"/>
      <c r="I63" s="10" t="n"/>
      <c r="J63" s="10" t="n"/>
      <c r="K63" s="10" t="n"/>
      <c r="L63" s="11" t="n"/>
      <c r="M63" s="90" t="inlineStr">
        <is>
          <t>Des</t>
        </is>
      </c>
      <c r="N63" s="11" t="n"/>
      <c r="O63" s="91">
        <f>$L$17+IF($D$63=TRUE,(1+COUNTIF(DADOS!$X$5:$X$7,"&lt;="&amp;$AH$11)),0)</f>
        <v/>
      </c>
      <c r="P63" s="11" t="n"/>
      <c r="Q63" s="47" t="n"/>
      <c r="R63" s="88" t="b">
        <v>0</v>
      </c>
      <c r="S63" s="89" t="inlineStr">
        <is>
          <t>Sentir Energia</t>
        </is>
      </c>
      <c r="T63" s="10" t="n"/>
      <c r="U63" s="10" t="n"/>
      <c r="V63" s="10" t="n"/>
      <c r="W63" s="10" t="n"/>
      <c r="X63" s="10" t="n"/>
      <c r="Y63" s="10" t="n"/>
      <c r="Z63" s="11" t="n"/>
      <c r="AA63" s="90" t="inlineStr">
        <is>
          <t>Ess</t>
        </is>
      </c>
      <c r="AB63" s="11" t="n"/>
      <c r="AC63" s="91">
        <f>$AJ$17+IF($R$63=TRUE,(1+COUNTIF(DADOS!$X$5:$X$7,"&lt;="&amp;$AH$11)),0)</f>
        <v/>
      </c>
      <c r="AD63" s="11" t="n"/>
      <c r="AE63" s="47" t="n"/>
      <c r="AF63" s="47" t="n"/>
      <c r="AG63" s="47" t="n"/>
      <c r="AH63" s="47" t="n"/>
      <c r="AI63" s="86" t="n"/>
      <c r="AJ63" s="13" t="n"/>
      <c r="AK63" s="13" t="n"/>
      <c r="AL63" s="13" t="n"/>
      <c r="AM63" s="13" t="n"/>
      <c r="AN63" s="13" t="n"/>
      <c r="AO63" s="13" t="n"/>
      <c r="AP63" s="13" t="n"/>
      <c r="AQ63" s="13" t="n"/>
      <c r="AR63" s="14" t="n"/>
      <c r="AS63" s="47" t="n"/>
      <c r="AT63" s="47" t="n"/>
      <c r="AU63" s="47" t="n"/>
    </row>
    <row r="64">
      <c r="A64" s="7" t="n"/>
      <c r="B64" s="7" t="n"/>
      <c r="C64" s="40" t="n"/>
      <c r="D64" s="88" t="b">
        <v>0</v>
      </c>
      <c r="E64" s="89" t="inlineStr">
        <is>
          <t>Investigação</t>
        </is>
      </c>
      <c r="F64" s="10" t="n"/>
      <c r="G64" s="10" t="n"/>
      <c r="H64" s="10" t="n"/>
      <c r="I64" s="10" t="n"/>
      <c r="J64" s="10" t="n"/>
      <c r="K64" s="10" t="n"/>
      <c r="L64" s="11" t="n"/>
      <c r="M64" s="90" t="inlineStr">
        <is>
          <t>Int</t>
        </is>
      </c>
      <c r="N64" s="11" t="n"/>
      <c r="O64" s="91">
        <f>$AB$17+IF($D$64=TRUE,(1+COUNTIF(DADOS!$X$5:$X$7,"&lt;="&amp;$AH$11)),0)</f>
        <v/>
      </c>
      <c r="P64" s="11" t="n"/>
      <c r="Q64" s="47" t="n"/>
      <c r="R64" s="88" t="b">
        <v>0</v>
      </c>
      <c r="S64" s="89" t="inlineStr">
        <is>
          <t>Percepção</t>
        </is>
      </c>
      <c r="T64" s="10" t="n"/>
      <c r="U64" s="10" t="n"/>
      <c r="V64" s="10" t="n"/>
      <c r="W64" s="10" t="n"/>
      <c r="X64" s="10" t="n"/>
      <c r="Y64" s="10" t="n"/>
      <c r="Z64" s="11" t="n"/>
      <c r="AA64" s="90" t="inlineStr">
        <is>
          <t>Ess</t>
        </is>
      </c>
      <c r="AB64" s="11" t="n"/>
      <c r="AC64" s="91">
        <f>$AJ$17+IF($R$64=TRUE,(1+COUNTIF(DADOS!$X$5:$X$7,"&lt;="&amp;$AH$11)),0)</f>
        <v/>
      </c>
      <c r="AD64" s="11" t="n"/>
      <c r="AE64" s="47" t="n"/>
      <c r="AF64" s="47" t="n"/>
      <c r="AG64" s="47" t="n"/>
      <c r="AH64" s="47" t="n"/>
      <c r="AI64" s="17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47" t="n"/>
      <c r="AT64" s="47" t="n"/>
      <c r="AU64" s="47" t="n"/>
    </row>
    <row r="65">
      <c r="A65" s="7" t="n"/>
      <c r="B65" s="7" t="n"/>
      <c r="C65" s="40" t="n"/>
      <c r="D65" s="88" t="b">
        <v>0</v>
      </c>
      <c r="E65" s="89" t="inlineStr">
        <is>
          <t>Intuição</t>
        </is>
      </c>
      <c r="F65" s="10" t="n"/>
      <c r="G65" s="10" t="n"/>
      <c r="H65" s="10" t="n"/>
      <c r="I65" s="10" t="n"/>
      <c r="J65" s="10" t="n"/>
      <c r="K65" s="10" t="n"/>
      <c r="L65" s="11" t="n"/>
      <c r="M65" s="90" t="inlineStr">
        <is>
          <t>Int</t>
        </is>
      </c>
      <c r="N65" s="11" t="n"/>
      <c r="O65" s="91">
        <f>$AB$17+IF($D$65=TRUE,(1+COUNTIF(DADOS!$X$5:$X$7,"&lt;="&amp;$AH$11)),0)</f>
        <v/>
      </c>
      <c r="P65" s="11" t="n"/>
      <c r="Q65" s="47" t="n"/>
      <c r="R65" s="88" t="b">
        <v>0</v>
      </c>
      <c r="S65" s="89" t="inlineStr">
        <is>
          <t>Persuasão</t>
        </is>
      </c>
      <c r="T65" s="10" t="n"/>
      <c r="U65" s="10" t="n"/>
      <c r="V65" s="10" t="n"/>
      <c r="W65" s="10" t="n"/>
      <c r="X65" s="10" t="n"/>
      <c r="Y65" s="10" t="n"/>
      <c r="Z65" s="11" t="n"/>
      <c r="AA65" s="90" t="inlineStr">
        <is>
          <t>Ess</t>
        </is>
      </c>
      <c r="AB65" s="11" t="n"/>
      <c r="AC65" s="91">
        <f>$AJ$17+IF($R$65=TRUE,(1+COUNTIF(DADOS!$X$5:$X$7,"&lt;="&amp;$AH$11)),0)</f>
        <v/>
      </c>
      <c r="AD65" s="11" t="n"/>
      <c r="AE65" s="47" t="n"/>
      <c r="AF65" s="47" t="n"/>
      <c r="AG65" s="47" t="n"/>
      <c r="AH65" s="47" t="n"/>
      <c r="AI65" s="86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14" t="n"/>
      <c r="AS65" s="47" t="n"/>
      <c r="AT65" s="47" t="n"/>
      <c r="AU65" s="47" t="n"/>
    </row>
    <row r="66">
      <c r="A66" s="7" t="n"/>
      <c r="B66" s="7" t="n"/>
      <c r="C66" s="40" t="n"/>
      <c r="D66" s="88" t="b">
        <v>0</v>
      </c>
      <c r="E66" s="89" t="inlineStr">
        <is>
          <t>Ocultismo</t>
        </is>
      </c>
      <c r="F66" s="10" t="n"/>
      <c r="G66" s="10" t="n"/>
      <c r="H66" s="10" t="n"/>
      <c r="I66" s="10" t="n"/>
      <c r="J66" s="10" t="n"/>
      <c r="K66" s="10" t="n"/>
      <c r="L66" s="11" t="n"/>
      <c r="M66" s="90" t="inlineStr">
        <is>
          <t>Int</t>
        </is>
      </c>
      <c r="N66" s="11" t="n"/>
      <c r="O66" s="91">
        <f>$AB$17+IF($D$66=TRUE,(1+COUNTIF(DADOS!$X$5:$X$7,"&lt;="&amp;$AH$11)),0)</f>
        <v/>
      </c>
      <c r="P66" s="11" t="n"/>
      <c r="Q66" s="47" t="n"/>
      <c r="R66" s="88" t="b">
        <v>0</v>
      </c>
      <c r="S66" s="89" t="inlineStr">
        <is>
          <t>Enganação</t>
        </is>
      </c>
      <c r="T66" s="10" t="n"/>
      <c r="U66" s="10" t="n"/>
      <c r="V66" s="10" t="n"/>
      <c r="W66" s="10" t="n"/>
      <c r="X66" s="10" t="n"/>
      <c r="Y66" s="10" t="n"/>
      <c r="Z66" s="11" t="n"/>
      <c r="AA66" s="90" t="inlineStr">
        <is>
          <t>Ess</t>
        </is>
      </c>
      <c r="AB66" s="11" t="n"/>
      <c r="AC66" s="91">
        <f>$AJ$17+IF($R$66=TRUE,(1+COUNTIF(DADOS!$X$5:$X$7,"&lt;="&amp;$AH$11)),0)</f>
        <v/>
      </c>
      <c r="AD66" s="11" t="n"/>
      <c r="AE66" s="47" t="n"/>
      <c r="AF66" s="47" t="n"/>
      <c r="AG66" s="47" t="n"/>
      <c r="AH66" s="47" t="n"/>
      <c r="AI66" s="17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9" t="n"/>
      <c r="AS66" s="47" t="n"/>
      <c r="AT66" s="47" t="n"/>
      <c r="AU66" s="47" t="n"/>
    </row>
    <row r="67">
      <c r="A67" s="7" t="n"/>
      <c r="B67" s="7" t="n"/>
      <c r="C67" s="40" t="n"/>
      <c r="D67" s="88" t="b">
        <v>0</v>
      </c>
      <c r="E67" s="89" t="inlineStr">
        <is>
          <t>Religião</t>
        </is>
      </c>
      <c r="F67" s="10" t="n"/>
      <c r="G67" s="10" t="n"/>
      <c r="H67" s="10" t="n"/>
      <c r="I67" s="10" t="n"/>
      <c r="J67" s="10" t="n"/>
      <c r="K67" s="10" t="n"/>
      <c r="L67" s="11" t="n"/>
      <c r="M67" s="90" t="inlineStr">
        <is>
          <t>Int</t>
        </is>
      </c>
      <c r="N67" s="11" t="n"/>
      <c r="O67" s="91">
        <f>$AB$17+IF($D$67=TRUE,(1+COUNTIF(DADOS!$X$5:$X$7,"&lt;="&amp;$AH$11)),0)</f>
        <v/>
      </c>
      <c r="P67" s="11" t="n"/>
      <c r="Q67" s="47" t="n"/>
      <c r="R67" s="88" t="b">
        <v>0</v>
      </c>
      <c r="S67" s="89" t="inlineStr">
        <is>
          <t>Intimidação</t>
        </is>
      </c>
      <c r="T67" s="10" t="n"/>
      <c r="U67" s="10" t="n"/>
      <c r="V67" s="10" t="n"/>
      <c r="W67" s="10" t="n"/>
      <c r="X67" s="10" t="n"/>
      <c r="Y67" s="10" t="n"/>
      <c r="Z67" s="11" t="n"/>
      <c r="AA67" s="90" t="inlineStr">
        <is>
          <t>Ess</t>
        </is>
      </c>
      <c r="AB67" s="11" t="n"/>
      <c r="AC67" s="91">
        <f>$AJ$17+IF($R$67=TRUE,(1+COUNTIF(DADOS!$X$5:$X$7,"&lt;="&amp;$AH$11)),0)</f>
        <v/>
      </c>
      <c r="AD67" s="11" t="n"/>
      <c r="AE67" s="47" t="n"/>
      <c r="AF67" s="47" t="n"/>
      <c r="AG67" s="47" t="n"/>
      <c r="AH67" s="47" t="n"/>
      <c r="AI67" s="86" t="n"/>
      <c r="AJ67" s="13" t="n"/>
      <c r="AK67" s="13" t="n"/>
      <c r="AL67" s="13" t="n"/>
      <c r="AM67" s="13" t="n"/>
      <c r="AN67" s="13" t="n"/>
      <c r="AO67" s="13" t="n"/>
      <c r="AP67" s="13" t="n"/>
      <c r="AQ67" s="13" t="n"/>
      <c r="AR67" s="14" t="n"/>
      <c r="AS67" s="47" t="n"/>
      <c r="AT67" s="47" t="n"/>
      <c r="AU67" s="47" t="n"/>
    </row>
    <row r="68">
      <c r="A68" s="7" t="n"/>
      <c r="B68" s="7" t="n"/>
      <c r="C68" s="40" t="n"/>
      <c r="D68" s="88" t="b">
        <v>0</v>
      </c>
      <c r="E68" s="89" t="inlineStr">
        <is>
          <t>História</t>
        </is>
      </c>
      <c r="F68" s="10" t="n"/>
      <c r="G68" s="10" t="n"/>
      <c r="H68" s="10" t="n"/>
      <c r="I68" s="10" t="n"/>
      <c r="J68" s="10" t="n"/>
      <c r="K68" s="10" t="n"/>
      <c r="L68" s="11" t="n"/>
      <c r="M68" s="90" t="inlineStr">
        <is>
          <t>Int</t>
        </is>
      </c>
      <c r="N68" s="11" t="n"/>
      <c r="O68" s="91">
        <f>$AB$17+IF($D$68=TRUE,(1+COUNTIF(DADOS!$X$5:$X$7,"&lt;="&amp;$AH$11)),0)</f>
        <v/>
      </c>
      <c r="P68" s="11" t="n"/>
      <c r="Q68" s="47" t="n"/>
      <c r="R68" s="88" t="b">
        <v>0</v>
      </c>
      <c r="S68" s="89" t="inlineStr">
        <is>
          <t>Atuação</t>
        </is>
      </c>
      <c r="T68" s="10" t="n"/>
      <c r="U68" s="10" t="n"/>
      <c r="V68" s="10" t="n"/>
      <c r="W68" s="10" t="n"/>
      <c r="X68" s="10" t="n"/>
      <c r="Y68" s="10" t="n"/>
      <c r="Z68" s="11" t="n"/>
      <c r="AA68" s="90" t="inlineStr">
        <is>
          <t>Ess</t>
        </is>
      </c>
      <c r="AB68" s="11" t="n"/>
      <c r="AC68" s="91">
        <f>$AJ$17+IF($R$68=TRUE,(1+COUNTIF(DADOS!$X$5:$X$7,"&lt;="&amp;$AH$11)),0)</f>
        <v/>
      </c>
      <c r="AD68" s="11" t="n"/>
      <c r="AE68" s="47" t="n"/>
      <c r="AF68" s="47" t="n"/>
      <c r="AG68" s="47" t="n"/>
      <c r="AH68" s="47" t="n"/>
      <c r="AI68" s="17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9" t="n"/>
      <c r="AS68" s="47" t="n"/>
      <c r="AT68" s="47" t="n"/>
      <c r="AU68" s="47" t="n"/>
    </row>
    <row r="69">
      <c r="A69" s="7" t="n"/>
      <c r="B69" s="7" t="n"/>
      <c r="C69" s="40" t="n"/>
      <c r="D69" s="88" t="b">
        <v>0</v>
      </c>
      <c r="E69" s="89" t="inlineStr">
        <is>
          <t>Hierarquia</t>
        </is>
      </c>
      <c r="F69" s="10" t="n"/>
      <c r="G69" s="10" t="n"/>
      <c r="H69" s="10" t="n"/>
      <c r="I69" s="10" t="n"/>
      <c r="J69" s="10" t="n"/>
      <c r="K69" s="10" t="n"/>
      <c r="L69" s="11" t="n"/>
      <c r="M69" s="90" t="inlineStr">
        <is>
          <t>Int</t>
        </is>
      </c>
      <c r="N69" s="11" t="n"/>
      <c r="O69" s="91">
        <f>$AB$17+IF($D$69=TRUE,(1+COUNTIF(DADOS!$X$5:$X$7,"&lt;="&amp;$AH$11)),0)</f>
        <v/>
      </c>
      <c r="P69" s="11" t="n"/>
      <c r="Q69" s="47" t="n"/>
      <c r="R69" s="88" t="b">
        <v>0</v>
      </c>
      <c r="S69" s="89" t="inlineStr">
        <is>
          <t>Provocar</t>
        </is>
      </c>
      <c r="T69" s="10" t="n"/>
      <c r="U69" s="10" t="n"/>
      <c r="V69" s="10" t="n"/>
      <c r="W69" s="10" t="n"/>
      <c r="X69" s="10" t="n"/>
      <c r="Y69" s="10" t="n"/>
      <c r="Z69" s="11" t="n"/>
      <c r="AA69" s="90" t="inlineStr">
        <is>
          <t>Ess</t>
        </is>
      </c>
      <c r="AB69" s="11" t="n"/>
      <c r="AC69" s="91">
        <f>$AJ$17+IF($R$69=TRUE,(1+COUNTIF(DADOS!$X$5:$X$7,"&lt;="&amp;$AH$11)),0)</f>
        <v/>
      </c>
      <c r="AD69" s="11" t="n"/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  <c r="AQ69" s="47" t="n"/>
      <c r="AR69" s="47" t="n"/>
      <c r="AS69" s="47" t="n"/>
      <c r="AT69" s="47" t="n"/>
      <c r="AU69" s="47" t="n"/>
    </row>
    <row r="70">
      <c r="A70" s="7" t="n"/>
      <c r="B70" s="7" t="n"/>
      <c r="C70" s="40" t="n"/>
      <c r="D70" s="88" t="b">
        <v>0</v>
      </c>
      <c r="E70" s="89" t="inlineStr">
        <is>
          <t>Medicina</t>
        </is>
      </c>
      <c r="F70" s="10" t="n"/>
      <c r="G70" s="10" t="n"/>
      <c r="H70" s="10" t="n"/>
      <c r="I70" s="10" t="n"/>
      <c r="J70" s="10" t="n"/>
      <c r="K70" s="10" t="n"/>
      <c r="L70" s="11" t="n"/>
      <c r="M70" s="90" t="inlineStr">
        <is>
          <t>Int</t>
        </is>
      </c>
      <c r="N70" s="11" t="n"/>
      <c r="O70" s="91">
        <f>$AB$17+IF($D$70=TRUE,(1+COUNTIF(DADOS!$X$5:$X$7,"&lt;="&amp;$AH$11)),0)</f>
        <v/>
      </c>
      <c r="P70" s="11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  <c r="AA70" s="47" t="n"/>
      <c r="AB70" s="47" t="n"/>
      <c r="AC70" s="47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  <c r="AQ70" s="47" t="n"/>
      <c r="AR70" s="47" t="n"/>
      <c r="AS70" s="47" t="n"/>
      <c r="AT70" s="47" t="n"/>
      <c r="AU70" s="47" t="n"/>
    </row>
    <row r="71">
      <c r="A71" s="7" t="n"/>
      <c r="B71" s="7" t="n"/>
      <c r="C71" s="40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  <c r="AA71" s="47" t="n"/>
      <c r="AB71" s="47" t="n"/>
      <c r="AC71" s="47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  <c r="AQ71" s="47" t="n"/>
      <c r="AR71" s="47" t="n"/>
      <c r="AS71" s="47" t="n"/>
      <c r="AT71" s="47" t="n"/>
      <c r="AU71" s="47" t="n"/>
    </row>
    <row r="72" ht="27" customHeight="1">
      <c r="A72" s="7" t="n"/>
      <c r="B72" s="7" t="n"/>
      <c r="C72" s="40" t="n"/>
      <c r="D72" s="63" t="n">
        <v>6</v>
      </c>
      <c r="E72" s="13" t="n"/>
      <c r="F72" s="14" t="n"/>
      <c r="G72" s="85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7" t="n"/>
      <c r="AJ72" s="47" t="n"/>
      <c r="AK72" s="47" t="n"/>
      <c r="AL72" s="47" t="n"/>
      <c r="AM72" s="47" t="n"/>
      <c r="AN72" s="47" t="n"/>
      <c r="AO72" s="47" t="n"/>
      <c r="AP72" s="47" t="n"/>
      <c r="AQ72" s="47" t="n"/>
      <c r="AR72" s="47" t="n"/>
      <c r="AS72" s="47" t="n"/>
      <c r="AT72" s="47" t="n"/>
      <c r="AU72" s="47" t="n"/>
    </row>
    <row r="73">
      <c r="A73" s="7" t="n"/>
      <c r="B73" s="7" t="n"/>
      <c r="C73" s="40" t="n"/>
      <c r="D73" s="17" t="n"/>
      <c r="E73" s="18" t="n"/>
      <c r="F73" s="19" t="n"/>
      <c r="G73" s="47" t="n"/>
      <c r="H73" s="47" t="n"/>
      <c r="I73" s="47" t="n"/>
      <c r="J73" s="47" t="n"/>
      <c r="K73" s="47" t="n"/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  <c r="AA73" s="47" t="n"/>
      <c r="AB73" s="47" t="n"/>
      <c r="AC73" s="47" t="n"/>
      <c r="AD73" s="47" t="n"/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  <c r="AQ73" s="47" t="n"/>
      <c r="AR73" s="47" t="n"/>
      <c r="AS73" s="47" t="n"/>
      <c r="AT73" s="47" t="n"/>
      <c r="AU73" s="47" t="n"/>
    </row>
    <row r="74">
      <c r="A74" s="7" t="n"/>
      <c r="B74" s="7" t="n"/>
      <c r="C74" s="40" t="n"/>
      <c r="D74" s="88" t="b">
        <v>0</v>
      </c>
      <c r="E74" s="89" t="inlineStr">
        <is>
          <t>Condução</t>
        </is>
      </c>
      <c r="F74" s="10" t="n"/>
      <c r="G74" s="10" t="n"/>
      <c r="H74" s="10" t="n"/>
      <c r="I74" s="11" t="n"/>
      <c r="J74" s="90" t="inlineStr">
        <is>
          <t>INTELIGÊNCIA</t>
        </is>
      </c>
      <c r="K74" s="10" t="n"/>
      <c r="L74" s="11" t="n"/>
      <c r="M74" s="92">
        <f>+IFS(J74="FORÇA",$D$17, J74="DESTREZA",$L$17, J74="CONSTITUIÇÃO",$T$17, J74="INTELIGÊNCIA",$AB$17, J74="ESSÊNCIA",$AJ$17)+IF($D74=TRUE,D$48,0)</f>
        <v/>
      </c>
      <c r="N74" s="47" t="n"/>
      <c r="O74" s="88" t="b">
        <v>0</v>
      </c>
      <c r="P74" s="89" t="inlineStr">
        <is>
          <t>Entalhador</t>
        </is>
      </c>
      <c r="Q74" s="10" t="n"/>
      <c r="R74" s="10" t="n"/>
      <c r="S74" s="10" t="n"/>
      <c r="T74" s="11" t="n"/>
      <c r="U74" s="90" t="inlineStr">
        <is>
          <t>INTELIGÊNCIA</t>
        </is>
      </c>
      <c r="V74" s="10" t="n"/>
      <c r="W74" s="11" t="n"/>
      <c r="X74" s="92">
        <f>+IFS(U74="FORÇA",$D$17, U74="DESTREZA",$L$17, U74="CONSTITUIÇÃO",$T$17, U74="INTELIGÊNCIA",$AB$17, U74="ESSÊNCIA",$AJ$17)+IF($O74=TRUE,$D$48,0)</f>
        <v/>
      </c>
      <c r="Y74" s="47" t="n"/>
      <c r="Z74" s="47" t="n"/>
      <c r="AA74" s="47" t="n"/>
      <c r="AB74" s="88" t="b">
        <v>0</v>
      </c>
      <c r="AC74" s="89" t="inlineStr">
        <is>
          <t>Físico</t>
        </is>
      </c>
      <c r="AD74" s="10" t="n"/>
      <c r="AE74" s="10" t="n"/>
      <c r="AF74" s="10" t="n"/>
      <c r="AG74" s="10" t="n"/>
      <c r="AH74" s="10" t="n"/>
      <c r="AI74" s="10" t="n"/>
      <c r="AJ74" s="11" t="n"/>
      <c r="AK74" s="93" t="inlineStr">
        <is>
          <t>FORÇA</t>
        </is>
      </c>
      <c r="AL74" s="10" t="n"/>
      <c r="AM74" s="10" t="n"/>
      <c r="AN74" s="10" t="n"/>
      <c r="AO74" s="11" t="n"/>
      <c r="AP74" s="91">
        <f>+IFS(AK48="FORÇA",$D$17, AK48="DESTREZA",$L$17)+IF($AB$74=TRUE,2,0)</f>
        <v/>
      </c>
      <c r="AQ74" s="10" t="n"/>
      <c r="AR74" s="10" t="n"/>
      <c r="AS74" s="10" t="n"/>
      <c r="AT74" s="11" t="n"/>
      <c r="AU74" s="94" t="n"/>
    </row>
    <row r="75">
      <c r="A75" s="7" t="n"/>
      <c r="B75" s="7" t="n"/>
      <c r="C75" s="40" t="n"/>
      <c r="D75" s="88" t="b">
        <v>0</v>
      </c>
      <c r="E75" s="89" t="inlineStr">
        <is>
          <t>Arrombamento</t>
        </is>
      </c>
      <c r="F75" s="10" t="n"/>
      <c r="G75" s="10" t="n"/>
      <c r="H75" s="10" t="n"/>
      <c r="I75" s="11" t="n"/>
      <c r="J75" s="90" t="inlineStr">
        <is>
          <t>INTELIGÊNCIA</t>
        </is>
      </c>
      <c r="K75" s="10" t="n"/>
      <c r="L75" s="11" t="n"/>
      <c r="M75" s="92">
        <f>+IFS(J75="FORÇA",$D$17, J75="DESTREZA",$L$17, J75="CONSTITUIÇÃO",$T$17, J75="INTELIGÊNCIA",$AB$17, J75="ESSÊNCIA",$AJ$17)+IF($D75=TRUE,D$48,0)</f>
        <v/>
      </c>
      <c r="N75" s="47" t="n"/>
      <c r="O75" s="88" t="b">
        <v>0</v>
      </c>
      <c r="P75" s="89" t="inlineStr">
        <is>
          <t xml:space="preserve">Alfaiate </t>
        </is>
      </c>
      <c r="Q75" s="10" t="n"/>
      <c r="R75" s="10" t="n"/>
      <c r="S75" s="10" t="n"/>
      <c r="T75" s="11" t="n"/>
      <c r="U75" s="90" t="inlineStr">
        <is>
          <t>INTELIGÊNCIA</t>
        </is>
      </c>
      <c r="V75" s="10" t="n"/>
      <c r="W75" s="11" t="n"/>
      <c r="X75" s="92">
        <f>+IFS(U75="FORÇA",$D$17, U75="DESTREZA",$L$17, U75="CONSTITUIÇÃO",$T$17, U75="INTELIGÊNCIA",$AB$17, U75="ESSÊNCIA",$AJ$17)+IF($O75=TRUE,$D$48,0)</f>
        <v/>
      </c>
      <c r="Y75" s="47" t="n"/>
      <c r="Z75" s="47" t="n"/>
      <c r="AA75" s="47" t="n"/>
      <c r="AB75" s="88" t="b">
        <v>0</v>
      </c>
      <c r="AC75" s="89" t="inlineStr">
        <is>
          <t>Vigor</t>
        </is>
      </c>
      <c r="AD75" s="10" t="n"/>
      <c r="AE75" s="10" t="n"/>
      <c r="AF75" s="10" t="n"/>
      <c r="AG75" s="10" t="n"/>
      <c r="AH75" s="10" t="n"/>
      <c r="AI75" s="10" t="n"/>
      <c r="AJ75" s="11" t="n"/>
      <c r="AK75" s="90" t="inlineStr">
        <is>
          <t xml:space="preserve">CONSTITUIÇÃO </t>
        </is>
      </c>
      <c r="AL75" s="10" t="n"/>
      <c r="AM75" s="10" t="n"/>
      <c r="AN75" s="10" t="n"/>
      <c r="AO75" s="11" t="n"/>
      <c r="AP75" s="91">
        <f>$T$17+IF($AB$75=TRUE,2,0)</f>
        <v/>
      </c>
      <c r="AQ75" s="10" t="n"/>
      <c r="AR75" s="10" t="n"/>
      <c r="AS75" s="10" t="n"/>
      <c r="AT75" s="11" t="n"/>
      <c r="AU75" s="94" t="n"/>
    </row>
    <row r="76">
      <c r="A76" s="7" t="n"/>
      <c r="B76" s="7" t="n"/>
      <c r="C76" s="40" t="n"/>
      <c r="D76" s="88" t="b">
        <v>0</v>
      </c>
      <c r="E76" s="89" t="inlineStr">
        <is>
          <t>Herbalismo</t>
        </is>
      </c>
      <c r="F76" s="10" t="n"/>
      <c r="G76" s="10" t="n"/>
      <c r="H76" s="10" t="n"/>
      <c r="I76" s="11" t="n"/>
      <c r="J76" s="90" t="inlineStr">
        <is>
          <t>INTELIGÊNCIA</t>
        </is>
      </c>
      <c r="K76" s="10" t="n"/>
      <c r="L76" s="11" t="n"/>
      <c r="M76" s="92">
        <f>+IFS(J76="FORÇA",$D$17, J76="DESTREZA",$L$17, J76="CONSTITUIÇÃO",$T$17, J76="INTELIGÊNCIA",$AB$17, J76="ESSÊNCIA",$AJ$17)+IF($D76=TRUE,D$48,0)</f>
        <v/>
      </c>
      <c r="N76" s="47" t="n"/>
      <c r="O76" s="88" t="b">
        <v>0</v>
      </c>
      <c r="P76" s="95" t="inlineStr">
        <is>
          <t>Culinária</t>
        </is>
      </c>
      <c r="Q76" s="10" t="n"/>
      <c r="R76" s="10" t="n"/>
      <c r="S76" s="10" t="n"/>
      <c r="T76" s="11" t="n"/>
      <c r="U76" s="90" t="inlineStr">
        <is>
          <t>INTELIGÊNCIA</t>
        </is>
      </c>
      <c r="V76" s="10" t="n"/>
      <c r="W76" s="11" t="n"/>
      <c r="X76" s="92">
        <f>+IFS(U76="FORÇA",$D$17, U76="DESTREZA",$L$17, U76="CONSTITUIÇÃO",$T$17, U76="INTELIGÊNCIA",$AB$17, U76="ESSÊNCIA",$AJ$17)+IF($O76=TRUE,$D$48,0)</f>
        <v/>
      </c>
      <c r="Y76" s="47" t="n"/>
      <c r="Z76" s="47" t="n"/>
      <c r="AA76" s="47" t="n"/>
      <c r="AB76" s="88" t="b">
        <v>0</v>
      </c>
      <c r="AC76" s="89" t="inlineStr">
        <is>
          <t>Intelecto</t>
        </is>
      </c>
      <c r="AD76" s="10" t="n"/>
      <c r="AE76" s="10" t="n"/>
      <c r="AF76" s="10" t="n"/>
      <c r="AG76" s="10" t="n"/>
      <c r="AH76" s="10" t="n"/>
      <c r="AI76" s="10" t="n"/>
      <c r="AJ76" s="11" t="n"/>
      <c r="AK76" s="90" t="inlineStr">
        <is>
          <t>INTELIGÊNCIA</t>
        </is>
      </c>
      <c r="AL76" s="10" t="n"/>
      <c r="AM76" s="10" t="n"/>
      <c r="AN76" s="10" t="n"/>
      <c r="AO76" s="11" t="n"/>
      <c r="AP76" s="91">
        <f>$AB$17+IF($AB$76=TRUE,2,0)</f>
        <v/>
      </c>
      <c r="AQ76" s="10" t="n"/>
      <c r="AR76" s="10" t="n"/>
      <c r="AS76" s="10" t="n"/>
      <c r="AT76" s="11" t="n"/>
      <c r="AU76" s="94" t="n"/>
    </row>
    <row r="77">
      <c r="A77" s="7" t="n"/>
      <c r="B77" s="7" t="n"/>
      <c r="C77" s="40" t="n"/>
      <c r="D77" s="88" t="b">
        <v>0</v>
      </c>
      <c r="E77" s="89" t="inlineStr">
        <is>
          <t>Forja</t>
        </is>
      </c>
      <c r="F77" s="10" t="n"/>
      <c r="G77" s="10" t="n"/>
      <c r="H77" s="10" t="n"/>
      <c r="I77" s="11" t="n"/>
      <c r="J77" s="90" t="inlineStr">
        <is>
          <t>INTELIGÊNCIA</t>
        </is>
      </c>
      <c r="K77" s="10" t="n"/>
      <c r="L77" s="11" t="n"/>
      <c r="M77" s="92">
        <f>+IFS(J77="FORÇA",$D$17, J77="DESTREZA",$L$17, J77="CONSTITUIÇÃO",$T$17, J77="INTELIGÊNCIA",$AB$17, J77="ESSÊNCIA",$AJ$17)+IF($D77=TRUE,D$48,0)</f>
        <v/>
      </c>
      <c r="N77" s="47" t="n"/>
      <c r="O77" s="88" t="b">
        <v>0</v>
      </c>
      <c r="P77" s="89" t="inlineStr">
        <is>
          <t>Jogatina</t>
        </is>
      </c>
      <c r="Q77" s="10" t="n"/>
      <c r="R77" s="10" t="n"/>
      <c r="S77" s="10" t="n"/>
      <c r="T77" s="11" t="n"/>
      <c r="U77" s="90" t="inlineStr">
        <is>
          <t>INTELIGÊNCIA</t>
        </is>
      </c>
      <c r="V77" s="10" t="n"/>
      <c r="W77" s="11" t="n"/>
      <c r="X77" s="92">
        <f>+IFS(U77="FORÇA",$D$17, U77="DESTREZA",$L$17, U77="CONSTITUIÇÃO",$T$17, U77="INTELIGÊNCIA",$AB$17, U77="ESSÊNCIA",$AJ$17)+IF($O77=TRUE,$D$48,0)</f>
        <v/>
      </c>
      <c r="Y77" s="47" t="n"/>
      <c r="Z77" s="47" t="n"/>
      <c r="AA77" s="47" t="n"/>
      <c r="AB77" s="88" t="b">
        <v>0</v>
      </c>
      <c r="AC77" s="89" t="inlineStr">
        <is>
          <t>Espírito</t>
        </is>
      </c>
      <c r="AD77" s="10" t="n"/>
      <c r="AE77" s="10" t="n"/>
      <c r="AF77" s="10" t="n"/>
      <c r="AG77" s="10" t="n"/>
      <c r="AH77" s="10" t="n"/>
      <c r="AI77" s="10" t="n"/>
      <c r="AJ77" s="11" t="n"/>
      <c r="AK77" s="90" t="inlineStr">
        <is>
          <t>ESSÊNCIA</t>
        </is>
      </c>
      <c r="AL77" s="10" t="n"/>
      <c r="AM77" s="10" t="n"/>
      <c r="AN77" s="10" t="n"/>
      <c r="AO77" s="11" t="n"/>
      <c r="AP77" s="91">
        <f>$AJ$17+IF($AB$77=TRUE,2,0)</f>
        <v/>
      </c>
      <c r="AQ77" s="10" t="n"/>
      <c r="AR77" s="10" t="n"/>
      <c r="AS77" s="10" t="n"/>
      <c r="AT77" s="11" t="n"/>
      <c r="AU77" s="94" t="n"/>
    </row>
    <row r="78">
      <c r="A78" s="7" t="n"/>
      <c r="B78" s="7" t="n"/>
      <c r="C78" s="40" t="n"/>
      <c r="D78" s="88" t="b">
        <v>0</v>
      </c>
      <c r="E78" s="89" t="inlineStr">
        <is>
          <t>Caligrafia</t>
        </is>
      </c>
      <c r="F78" s="10" t="n"/>
      <c r="G78" s="10" t="n"/>
      <c r="H78" s="10" t="n"/>
      <c r="I78" s="11" t="n"/>
      <c r="J78" s="90" t="inlineStr">
        <is>
          <t>INTELIGÊNCIA</t>
        </is>
      </c>
      <c r="K78" s="10" t="n"/>
      <c r="L78" s="11" t="n"/>
      <c r="M78" s="92">
        <f>+IFS(J78="FORÇA",$D$17, J78="DESTREZA",$L$17, J78="CONSTITUIÇÃO",$T$17, J78="INTELIGÊNCIA",$AB$17, J78="ESSÊNCIA",$AJ$17)+IF($D78=TRUE,D$48,0)</f>
        <v/>
      </c>
      <c r="N78" s="47" t="n"/>
      <c r="O78" s="88" t="b">
        <v>0</v>
      </c>
      <c r="P78" s="89" t="inlineStr">
        <is>
          <t>Instrumento</t>
        </is>
      </c>
      <c r="Q78" s="10" t="n"/>
      <c r="R78" s="10" t="n"/>
      <c r="S78" s="10" t="n"/>
      <c r="T78" s="11" t="n"/>
      <c r="U78" s="90" t="inlineStr">
        <is>
          <t>INTELIGÊNCIA</t>
        </is>
      </c>
      <c r="V78" s="10" t="n"/>
      <c r="W78" s="11" t="n"/>
      <c r="X78" s="92">
        <f>+IFS(U78="FORÇA",$D$17, U78="DESTREZA",$L$17, U78="CONSTITUIÇÃO",$T$17, U78="INTELIGÊNCIA",$AB$17, U78="ESSÊNCIA",$AJ$17)+IF($O78=TRUE,$D$48,0)</f>
        <v/>
      </c>
      <c r="Y78" s="47" t="n"/>
      <c r="Z78" s="47" t="n"/>
      <c r="AA78" s="47" t="n"/>
      <c r="AB78" s="47" t="n"/>
      <c r="AC78" s="47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  <c r="AQ78" s="47" t="n"/>
      <c r="AR78" s="47" t="n"/>
      <c r="AS78" s="47" t="n"/>
      <c r="AT78" s="47" t="n"/>
      <c r="AU78" s="47" t="n"/>
    </row>
    <row r="79">
      <c r="A79" s="7" t="n"/>
      <c r="B79" s="7" t="n"/>
      <c r="C79" s="40" t="n"/>
      <c r="D79" s="88" t="b">
        <v>0</v>
      </c>
      <c r="E79" s="89" t="inlineStr">
        <is>
          <t>Burocracia</t>
        </is>
      </c>
      <c r="F79" s="10" t="n"/>
      <c r="G79" s="10" t="n"/>
      <c r="H79" s="10" t="n"/>
      <c r="I79" s="11" t="n"/>
      <c r="J79" s="90" t="inlineStr">
        <is>
          <t>INTELIGÊNCIA</t>
        </is>
      </c>
      <c r="K79" s="10" t="n"/>
      <c r="L79" s="11" t="n"/>
      <c r="M79" s="92">
        <f>+IFS(J79="FORÇA",$D$17, J79="DESTREZA",$L$17, J79="CONSTITUIÇÃO",$T$17, J79="INTELIGÊNCIA",$AB$17, J79="ESSÊNCIA",$AJ$17)+IF($D79=TRUE,D$48,0)</f>
        <v/>
      </c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  <c r="AA79" s="47" t="n"/>
      <c r="AB79" s="47" t="n"/>
      <c r="AC79" s="47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  <c r="AQ79" s="47" t="n"/>
      <c r="AR79" s="47" t="n"/>
      <c r="AS79" s="47" t="n"/>
      <c r="AT79" s="47" t="n"/>
      <c r="AU79" s="47" t="n"/>
    </row>
    <row r="80">
      <c r="A80" s="7" t="n"/>
      <c r="B80" s="7" t="n"/>
      <c r="C80" s="40" t="n"/>
      <c r="D80" s="47" t="n"/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  <c r="AA80" s="47" t="n"/>
      <c r="AB80" s="47" t="n"/>
      <c r="AC80" s="47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  <c r="AQ80" s="47" t="n"/>
      <c r="AR80" s="47" t="n"/>
      <c r="AS80" s="47" t="n"/>
      <c r="AT80" s="47" t="n"/>
      <c r="AU80" s="47" t="n"/>
    </row>
    <row r="81" ht="27" customHeight="1">
      <c r="A81" s="7" t="n"/>
      <c r="B81" s="7" t="n"/>
      <c r="C81" s="40" t="n"/>
      <c r="D81" s="63" t="n">
        <v>7</v>
      </c>
      <c r="E81" s="13" t="n"/>
      <c r="F81" s="14" t="n"/>
      <c r="G81" s="85" t="inlineStr">
        <is>
          <t>ANOTAÇÕES</t>
        </is>
      </c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1" t="n"/>
      <c r="AI81" s="47" t="n"/>
      <c r="AJ81" s="47" t="n"/>
      <c r="AK81" s="47" t="n"/>
      <c r="AL81" s="47" t="n"/>
      <c r="AM81" s="47" t="n"/>
      <c r="AN81" s="47" t="n"/>
      <c r="AO81" s="47" t="n"/>
      <c r="AP81" s="47" t="n"/>
      <c r="AQ81" s="47" t="n"/>
      <c r="AR81" s="47" t="n"/>
      <c r="AS81" s="47" t="n"/>
      <c r="AT81" s="47" t="n"/>
      <c r="AU81" s="47" t="n"/>
    </row>
    <row r="82">
      <c r="A82" s="7" t="n"/>
      <c r="B82" s="7" t="n"/>
      <c r="C82" s="40" t="n"/>
      <c r="D82" s="17" t="n"/>
      <c r="E82" s="18" t="n"/>
      <c r="F82" s="19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  <c r="AO82" s="40" t="n"/>
      <c r="AP82" s="40" t="n"/>
      <c r="AQ82" s="40" t="n"/>
      <c r="AR82" s="40" t="n"/>
      <c r="AS82" s="40" t="n"/>
      <c r="AT82" s="40" t="n"/>
      <c r="AU82" s="40" t="n"/>
    </row>
    <row r="83" ht="5.25" customHeight="1">
      <c r="A83" s="7" t="n"/>
      <c r="B83" s="7" t="n"/>
      <c r="C83" s="40" t="n"/>
      <c r="D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  <c r="AO83" s="40" t="n"/>
      <c r="AP83" s="40" t="n"/>
      <c r="AQ83" s="40" t="n"/>
      <c r="AR83" s="40" t="n"/>
      <c r="AS83" s="40" t="n"/>
      <c r="AT83" s="40" t="n"/>
      <c r="AU83" s="40" t="n"/>
    </row>
    <row r="84">
      <c r="A84" s="7" t="n"/>
      <c r="B84" s="7" t="n"/>
      <c r="C84" s="40" t="n"/>
      <c r="D84" s="96" t="inlineStr">
        <is>
          <t>Skill Base de Caminho 1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40" t="n"/>
      <c r="P84" s="96" t="inlineStr">
        <is>
          <t>Skill Base de Trilha 1</t>
        </is>
      </c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1" t="n"/>
      <c r="AA84" s="40" t="n"/>
      <c r="AB84" s="96" t="inlineStr">
        <is>
          <t>Outras Anotações</t>
        </is>
      </c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1" t="n"/>
      <c r="AM84" s="40" t="n"/>
      <c r="AN84" s="40" t="n"/>
      <c r="AO84" s="40" t="n"/>
      <c r="AP84" s="40" t="n"/>
      <c r="AQ84" s="40" t="n"/>
      <c r="AR84" s="40" t="n"/>
      <c r="AS84" s="40" t="n"/>
      <c r="AT84" s="40" t="n"/>
      <c r="AU84" s="40" t="n"/>
    </row>
    <row r="85" ht="5.25" customHeight="1">
      <c r="A85" s="7" t="n"/>
      <c r="B85" s="7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  <c r="AO85" s="40" t="n"/>
      <c r="AP85" s="40" t="n"/>
      <c r="AQ85" s="40" t="n"/>
      <c r="AR85" s="40" t="n"/>
      <c r="AS85" s="40" t="n"/>
      <c r="AT85" s="40" t="n"/>
      <c r="AU85" s="40" t="n"/>
    </row>
    <row r="86">
      <c r="A86" s="7" t="n"/>
      <c r="B86" s="7" t="n"/>
      <c r="C86" s="40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4" t="n"/>
      <c r="O86" s="40" t="n"/>
      <c r="P86" s="12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4" t="n"/>
      <c r="AA86" s="40" t="n"/>
      <c r="AB86" s="12" t="n"/>
      <c r="AC86" s="13" t="n"/>
      <c r="AD86" s="13" t="n"/>
      <c r="AE86" s="13" t="n"/>
      <c r="AF86" s="13" t="n"/>
      <c r="AG86" s="13" t="n"/>
      <c r="AH86" s="13" t="n"/>
      <c r="AI86" s="13" t="n"/>
      <c r="AJ86" s="13" t="n"/>
      <c r="AK86" s="13" t="n"/>
      <c r="AL86" s="14" t="n"/>
      <c r="AM86" s="40" t="n"/>
      <c r="AN86" s="40" t="n"/>
      <c r="AO86" s="40" t="n"/>
      <c r="AP86" s="40" t="n"/>
      <c r="AQ86" s="40" t="n"/>
      <c r="AR86" s="40" t="n"/>
      <c r="AS86" s="40" t="n"/>
      <c r="AT86" s="40" t="n"/>
      <c r="AU86" s="40" t="n"/>
    </row>
    <row r="87">
      <c r="A87" s="7" t="n"/>
      <c r="B87" s="7" t="n"/>
      <c r="C87" s="40" t="n"/>
      <c r="D87" s="15" t="n"/>
      <c r="N87" s="16" t="n"/>
      <c r="O87" s="40" t="n"/>
      <c r="P87" s="15" t="n"/>
      <c r="Z87" s="16" t="n"/>
      <c r="AA87" s="40" t="n"/>
      <c r="AB87" s="15" t="n"/>
      <c r="AL87" s="16" t="n"/>
      <c r="AM87" s="40" t="n"/>
      <c r="AN87" s="40" t="n"/>
      <c r="AO87" s="40" t="n"/>
      <c r="AP87" s="40" t="n"/>
      <c r="AQ87" s="40" t="n"/>
      <c r="AR87" s="40" t="n"/>
      <c r="AS87" s="40" t="n"/>
      <c r="AT87" s="40" t="n"/>
      <c r="AU87" s="40" t="n"/>
    </row>
    <row r="88">
      <c r="A88" s="7" t="n"/>
      <c r="B88" s="7" t="n"/>
      <c r="C88" s="40" t="n"/>
      <c r="D88" s="15" t="n"/>
      <c r="N88" s="16" t="n"/>
      <c r="O88" s="40" t="n"/>
      <c r="P88" s="15" t="n"/>
      <c r="Z88" s="16" t="n"/>
      <c r="AA88" s="40" t="n"/>
      <c r="AB88" s="15" t="n"/>
      <c r="AL88" s="16" t="n"/>
      <c r="AM88" s="40" t="n"/>
      <c r="AN88" s="40" t="n"/>
      <c r="AO88" s="40" t="n"/>
      <c r="AP88" s="40" t="n"/>
      <c r="AQ88" s="40" t="n"/>
      <c r="AR88" s="40" t="n"/>
      <c r="AS88" s="40" t="n"/>
      <c r="AT88" s="40" t="n"/>
      <c r="AU88" s="40" t="n"/>
    </row>
    <row r="89">
      <c r="A89" s="7" t="n"/>
      <c r="B89" s="7" t="n"/>
      <c r="C89" s="40" t="n"/>
      <c r="D89" s="17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9" t="n"/>
      <c r="O89" s="40" t="n"/>
      <c r="P89" s="17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9" t="n"/>
      <c r="AA89" s="40" t="n"/>
      <c r="AB89" s="17" t="n"/>
      <c r="AC89" s="18" t="n"/>
      <c r="AD89" s="18" t="n"/>
      <c r="AE89" s="18" t="n"/>
      <c r="AF89" s="18" t="n"/>
      <c r="AG89" s="18" t="n"/>
      <c r="AH89" s="18" t="n"/>
      <c r="AI89" s="18" t="n"/>
      <c r="AJ89" s="18" t="n"/>
      <c r="AK89" s="18" t="n"/>
      <c r="AL89" s="19" t="n"/>
      <c r="AM89" s="40" t="n"/>
      <c r="AN89" s="40" t="n"/>
      <c r="AO89" s="40" t="n"/>
      <c r="AP89" s="40" t="n"/>
      <c r="AQ89" s="40" t="n"/>
      <c r="AR89" s="40" t="n"/>
      <c r="AS89" s="40" t="n"/>
      <c r="AT89" s="40" t="n"/>
      <c r="AU89" s="40" t="n"/>
    </row>
    <row r="90" ht="5.25" customHeight="1">
      <c r="A90" s="7" t="n"/>
      <c r="B90" s="7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  <c r="AO90" s="40" t="n"/>
      <c r="AP90" s="40" t="n"/>
      <c r="AQ90" s="40" t="n"/>
      <c r="AR90" s="40" t="n"/>
      <c r="AS90" s="40" t="n"/>
      <c r="AT90" s="40" t="n"/>
      <c r="AU90" s="40" t="n"/>
    </row>
    <row r="91">
      <c r="A91" s="7" t="n"/>
      <c r="B91" s="7" t="n"/>
      <c r="C91" s="40" t="n"/>
      <c r="D91" s="96" t="inlineStr">
        <is>
          <t>Skill Base de Caminho 2</t>
        </is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1" t="n"/>
      <c r="O91" s="40" t="n"/>
      <c r="P91" s="96" t="inlineStr">
        <is>
          <t>Skill Base de Trilha 2</t>
        </is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1" t="n"/>
      <c r="AA91" s="40" t="n"/>
      <c r="AB91" s="96" t="inlineStr">
        <is>
          <t>Outras Anotações</t>
        </is>
      </c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1" t="n"/>
      <c r="AM91" s="40" t="n"/>
      <c r="AN91" s="40" t="n"/>
      <c r="AO91" s="40" t="n"/>
      <c r="AP91" s="40" t="n"/>
      <c r="AQ91" s="40" t="n"/>
      <c r="AR91" s="40" t="n"/>
      <c r="AS91" s="40" t="n"/>
      <c r="AT91" s="40" t="n"/>
      <c r="AU91" s="40" t="n"/>
    </row>
    <row r="92" ht="5.25" customHeight="1">
      <c r="A92" s="7" t="n"/>
      <c r="B92" s="7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  <c r="AO92" s="40" t="n"/>
      <c r="AP92" s="40" t="n"/>
      <c r="AQ92" s="40" t="n"/>
      <c r="AR92" s="40" t="n"/>
      <c r="AS92" s="40" t="n"/>
      <c r="AT92" s="40" t="n"/>
      <c r="AU92" s="40" t="n"/>
    </row>
    <row r="93">
      <c r="A93" s="7" t="n"/>
      <c r="B93" s="7" t="n"/>
      <c r="C93" s="40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4" t="n"/>
      <c r="O93" s="40" t="n"/>
      <c r="P93" s="12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4" t="n"/>
      <c r="AA93" s="40" t="n"/>
      <c r="AB93" s="12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4" t="n"/>
      <c r="AM93" s="40" t="n"/>
      <c r="AN93" s="40" t="n"/>
      <c r="AO93" s="40" t="n"/>
      <c r="AP93" s="40" t="n"/>
      <c r="AQ93" s="40" t="n"/>
      <c r="AR93" s="40" t="n"/>
      <c r="AS93" s="40" t="n"/>
      <c r="AT93" s="40" t="n"/>
      <c r="AU93" s="40" t="n"/>
    </row>
    <row r="94">
      <c r="A94" s="7" t="n"/>
      <c r="B94" s="7" t="n"/>
      <c r="C94" s="40" t="n"/>
      <c r="D94" s="15" t="n"/>
      <c r="N94" s="16" t="n"/>
      <c r="O94" s="40" t="n"/>
      <c r="P94" s="15" t="n"/>
      <c r="Z94" s="16" t="n"/>
      <c r="AA94" s="40" t="n"/>
      <c r="AB94" s="15" t="n"/>
      <c r="AL94" s="16" t="n"/>
      <c r="AM94" s="40" t="n"/>
      <c r="AN94" s="40" t="n"/>
      <c r="AO94" s="40" t="n"/>
      <c r="AP94" s="40" t="n"/>
      <c r="AQ94" s="40" t="n"/>
      <c r="AR94" s="40" t="n"/>
      <c r="AS94" s="40" t="n"/>
      <c r="AT94" s="40" t="n"/>
      <c r="AU94" s="40" t="n"/>
    </row>
    <row r="95">
      <c r="A95" s="7" t="n"/>
      <c r="B95" s="7" t="n"/>
      <c r="C95" s="40" t="n"/>
      <c r="D95" s="15" t="n"/>
      <c r="N95" s="16" t="n"/>
      <c r="O95" s="40" t="n"/>
      <c r="P95" s="15" t="n"/>
      <c r="Z95" s="16" t="n"/>
      <c r="AA95" s="40" t="n"/>
      <c r="AB95" s="15" t="n"/>
      <c r="AL95" s="16" t="n"/>
      <c r="AM95" s="40" t="n"/>
      <c r="AN95" s="40" t="n"/>
      <c r="AO95" s="40" t="n"/>
      <c r="AP95" s="40" t="n"/>
      <c r="AQ95" s="40" t="n"/>
      <c r="AR95" s="40" t="n"/>
      <c r="AS95" s="40" t="n"/>
      <c r="AT95" s="40" t="n"/>
      <c r="AU95" s="40" t="n"/>
    </row>
    <row r="96">
      <c r="A96" s="7" t="n"/>
      <c r="B96" s="7" t="n"/>
      <c r="C96" s="40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9" t="n"/>
      <c r="O96" s="40" t="n"/>
      <c r="P96" s="17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9" t="n"/>
      <c r="AA96" s="40" t="n"/>
      <c r="AB96" s="17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9" t="n"/>
      <c r="AM96" s="40" t="n"/>
      <c r="AN96" s="40" t="n"/>
      <c r="AO96" s="40" t="n"/>
      <c r="AP96" s="40" t="n"/>
      <c r="AQ96" s="40" t="n"/>
      <c r="AR96" s="40" t="n"/>
      <c r="AS96" s="40" t="n"/>
      <c r="AT96" s="40" t="n"/>
      <c r="AU96" s="40" t="n"/>
    </row>
    <row r="97" ht="5.25" customHeight="1">
      <c r="A97" s="7" t="n"/>
      <c r="B97" s="7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  <c r="AO97" s="40" t="n"/>
      <c r="AP97" s="40" t="n"/>
      <c r="AQ97" s="40" t="n"/>
      <c r="AR97" s="40" t="n"/>
      <c r="AS97" s="40" t="n"/>
      <c r="AT97" s="40" t="n"/>
      <c r="AU97" s="40" t="n"/>
    </row>
    <row r="98">
      <c r="A98" s="7" t="n"/>
      <c r="B98" s="7" t="n"/>
      <c r="C98" s="40" t="n"/>
      <c r="D98" s="96" t="inlineStr">
        <is>
          <t>Skill Base de Caminho 3</t>
        </is>
      </c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1" t="n"/>
      <c r="O98" s="40" t="n"/>
      <c r="P98" s="96" t="inlineStr">
        <is>
          <t>Skill Base de Trilha 3</t>
        </is>
      </c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1" t="n"/>
      <c r="AA98" s="40" t="n"/>
      <c r="AB98" s="96" t="inlineStr">
        <is>
          <t>Outras Anotações</t>
        </is>
      </c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1" t="n"/>
      <c r="AM98" s="40" t="n"/>
      <c r="AN98" s="40" t="n"/>
      <c r="AO98" s="40" t="n"/>
      <c r="AP98" s="40" t="n"/>
      <c r="AQ98" s="40" t="n"/>
      <c r="AR98" s="40" t="n"/>
      <c r="AS98" s="40" t="n"/>
      <c r="AT98" s="40" t="n"/>
      <c r="AU98" s="40" t="n"/>
    </row>
    <row r="99" ht="5.25" customHeight="1">
      <c r="A99" s="7" t="n"/>
      <c r="B99" s="7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  <c r="AO99" s="40" t="n"/>
      <c r="AP99" s="40" t="n"/>
      <c r="AQ99" s="40" t="n"/>
      <c r="AR99" s="40" t="n"/>
      <c r="AS99" s="40" t="n"/>
      <c r="AT99" s="40" t="n"/>
      <c r="AU99" s="40" t="n"/>
    </row>
    <row r="100">
      <c r="A100" s="7" t="n"/>
      <c r="B100" s="7" t="n"/>
      <c r="C100" s="40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4" t="n"/>
      <c r="O100" s="40" t="n"/>
      <c r="P100" s="12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4" t="n"/>
      <c r="AA100" s="40" t="n"/>
      <c r="AB100" s="12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4" t="n"/>
      <c r="AM100" s="40" t="n"/>
      <c r="AN100" s="40" t="n"/>
      <c r="AO100" s="40" t="n"/>
      <c r="AP100" s="40" t="n"/>
      <c r="AQ100" s="40" t="n"/>
      <c r="AR100" s="40" t="n"/>
      <c r="AS100" s="40" t="n"/>
      <c r="AT100" s="40" t="n"/>
      <c r="AU100" s="40" t="n"/>
    </row>
    <row r="101">
      <c r="A101" s="7" t="n"/>
      <c r="B101" s="7" t="n"/>
      <c r="C101" s="40" t="n"/>
      <c r="D101" s="15" t="n"/>
      <c r="N101" s="16" t="n"/>
      <c r="O101" s="40" t="n"/>
      <c r="P101" s="15" t="n"/>
      <c r="Z101" s="16" t="n"/>
      <c r="AA101" s="40" t="n"/>
      <c r="AB101" s="15" t="n"/>
      <c r="AL101" s="16" t="n"/>
      <c r="AM101" s="40" t="n"/>
      <c r="AN101" s="40" t="n"/>
      <c r="AO101" s="40" t="n"/>
      <c r="AP101" s="40" t="n"/>
      <c r="AQ101" s="40" t="n"/>
      <c r="AR101" s="40" t="n"/>
      <c r="AS101" s="40" t="n"/>
      <c r="AT101" s="40" t="n"/>
      <c r="AU101" s="40" t="n"/>
    </row>
    <row r="102">
      <c r="A102" s="7" t="n"/>
      <c r="B102" s="7" t="n"/>
      <c r="C102" s="40" t="n"/>
      <c r="D102" s="15" t="n"/>
      <c r="N102" s="16" t="n"/>
      <c r="O102" s="40" t="n"/>
      <c r="P102" s="15" t="n"/>
      <c r="Z102" s="16" t="n"/>
      <c r="AA102" s="40" t="n"/>
      <c r="AB102" s="15" t="n"/>
      <c r="AL102" s="16" t="n"/>
      <c r="AM102" s="40" t="n"/>
      <c r="AN102" s="40" t="n"/>
      <c r="AO102" s="40" t="n"/>
      <c r="AP102" s="40" t="n"/>
      <c r="AQ102" s="40" t="n"/>
      <c r="AR102" s="40" t="n"/>
      <c r="AS102" s="40" t="n"/>
      <c r="AT102" s="40" t="n"/>
      <c r="AU102" s="40" t="n"/>
    </row>
    <row r="103">
      <c r="A103" s="7" t="n"/>
      <c r="B103" s="7" t="n"/>
      <c r="C103" s="40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9" t="n"/>
      <c r="O103" s="40" t="n"/>
      <c r="P103" s="17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9" t="n"/>
      <c r="AA103" s="40" t="n"/>
      <c r="AB103" s="17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9" t="n"/>
      <c r="AM103" s="40" t="n"/>
      <c r="AN103" s="40" t="n"/>
      <c r="AO103" s="40" t="n"/>
      <c r="AP103" s="40" t="n"/>
      <c r="AQ103" s="40" t="n"/>
      <c r="AR103" s="40" t="n"/>
      <c r="AS103" s="40" t="n"/>
      <c r="AT103" s="40" t="n"/>
      <c r="AU103" s="40" t="n"/>
    </row>
    <row r="104" ht="5.25" customHeight="1">
      <c r="A104" s="7" t="n"/>
      <c r="B104" s="7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  <c r="AO104" s="40" t="n"/>
      <c r="AP104" s="40" t="n"/>
      <c r="AQ104" s="40" t="n"/>
      <c r="AR104" s="40" t="n"/>
      <c r="AS104" s="40" t="n"/>
      <c r="AT104" s="40" t="n"/>
      <c r="AU104" s="40" t="n"/>
    </row>
    <row r="105">
      <c r="A105" s="7" t="n"/>
      <c r="B105" s="7" t="n"/>
      <c r="C105" s="40" t="n"/>
      <c r="D105" s="96" t="inlineStr">
        <is>
          <t>Skill Base de Caminho 3</t>
        </is>
      </c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1" t="n"/>
      <c r="O105" s="40" t="n"/>
      <c r="P105" s="96" t="inlineStr">
        <is>
          <t>Skill Base de Trilha 3</t>
        </is>
      </c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1" t="n"/>
      <c r="AA105" s="40" t="n"/>
      <c r="AB105" s="96" t="inlineStr">
        <is>
          <t>Outras Anotações</t>
        </is>
      </c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1" t="n"/>
      <c r="AM105" s="40" t="n"/>
      <c r="AN105" s="40" t="n"/>
      <c r="AO105" s="40" t="n"/>
      <c r="AP105" s="40" t="n"/>
      <c r="AQ105" s="40" t="n"/>
      <c r="AR105" s="40" t="n"/>
      <c r="AS105" s="40" t="n"/>
      <c r="AT105" s="40" t="n"/>
      <c r="AU105" s="40" t="n"/>
    </row>
    <row r="106" ht="5.25" customHeight="1">
      <c r="A106" s="7" t="n"/>
      <c r="B106" s="7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  <c r="AO106" s="40" t="n"/>
      <c r="AP106" s="40" t="n"/>
      <c r="AQ106" s="40" t="n"/>
      <c r="AR106" s="40" t="n"/>
      <c r="AS106" s="40" t="n"/>
      <c r="AT106" s="40" t="n"/>
      <c r="AU106" s="40" t="n"/>
    </row>
    <row r="107">
      <c r="A107" s="7" t="n"/>
      <c r="B107" s="7" t="n"/>
      <c r="C107" s="40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4" t="n"/>
      <c r="O107" s="40" t="n"/>
      <c r="P107" s="12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4" t="n"/>
      <c r="AA107" s="40" t="n"/>
      <c r="AB107" s="12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4" t="n"/>
      <c r="AM107" s="40" t="n"/>
      <c r="AN107" s="40" t="n"/>
      <c r="AO107" s="40" t="n"/>
      <c r="AP107" s="40" t="n"/>
      <c r="AQ107" s="40" t="n"/>
      <c r="AR107" s="40" t="n"/>
      <c r="AS107" s="40" t="n"/>
      <c r="AT107" s="40" t="n"/>
      <c r="AU107" s="40" t="n"/>
    </row>
    <row r="108">
      <c r="A108" s="7" t="n"/>
      <c r="B108" s="7" t="n"/>
      <c r="C108" s="40" t="n"/>
      <c r="D108" s="15" t="n"/>
      <c r="N108" s="16" t="n"/>
      <c r="O108" s="40" t="n"/>
      <c r="P108" s="15" t="n"/>
      <c r="Z108" s="16" t="n"/>
      <c r="AA108" s="40" t="n"/>
      <c r="AB108" s="15" t="n"/>
      <c r="AL108" s="16" t="n"/>
      <c r="AM108" s="40" t="n"/>
      <c r="AN108" s="40" t="n"/>
      <c r="AO108" s="40" t="n"/>
      <c r="AP108" s="40" t="n"/>
      <c r="AQ108" s="40" t="n"/>
      <c r="AR108" s="40" t="n"/>
      <c r="AS108" s="40" t="n"/>
      <c r="AT108" s="40" t="n"/>
      <c r="AU108" s="40" t="n"/>
    </row>
    <row r="109">
      <c r="A109" s="7" t="n"/>
      <c r="B109" s="7" t="n"/>
      <c r="C109" s="40" t="n"/>
      <c r="D109" s="15" t="n"/>
      <c r="N109" s="16" t="n"/>
      <c r="O109" s="40" t="n"/>
      <c r="P109" s="15" t="n"/>
      <c r="Z109" s="16" t="n"/>
      <c r="AA109" s="40" t="n"/>
      <c r="AB109" s="15" t="n"/>
      <c r="AL109" s="16" t="n"/>
      <c r="AM109" s="40" t="n"/>
      <c r="AN109" s="40" t="n"/>
      <c r="AO109" s="40" t="n"/>
      <c r="AP109" s="40" t="n"/>
      <c r="AQ109" s="40" t="n"/>
      <c r="AR109" s="40" t="n"/>
      <c r="AS109" s="40" t="n"/>
      <c r="AT109" s="40" t="n"/>
      <c r="AU109" s="40" t="n"/>
    </row>
    <row r="110">
      <c r="A110" s="7" t="n"/>
      <c r="B110" s="7" t="n"/>
      <c r="C110" s="40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9" t="n"/>
      <c r="O110" s="40" t="n"/>
      <c r="P110" s="17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9" t="n"/>
      <c r="AA110" s="40" t="n"/>
      <c r="AB110" s="17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9" t="n"/>
      <c r="AM110" s="40" t="n"/>
      <c r="AN110" s="40" t="n"/>
      <c r="AO110" s="40" t="n"/>
      <c r="AP110" s="40" t="n"/>
      <c r="AQ110" s="40" t="n"/>
      <c r="AR110" s="40" t="n"/>
      <c r="AS110" s="40" t="n"/>
      <c r="AT110" s="40" t="n"/>
      <c r="AU110" s="40" t="n"/>
    </row>
    <row r="111">
      <c r="A111" s="7" t="n"/>
      <c r="B111" s="7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  <c r="AO111" s="40" t="n"/>
      <c r="AP111" s="40" t="n"/>
      <c r="AQ111" s="40" t="n"/>
      <c r="AR111" s="40" t="n"/>
      <c r="AS111" s="40" t="n"/>
      <c r="AT111" s="40" t="n"/>
      <c r="AU111" s="40" t="n"/>
    </row>
    <row r="112" ht="27" customHeight="1">
      <c r="A112" s="7" t="n"/>
      <c r="B112" s="7" t="n"/>
      <c r="C112" s="40" t="n"/>
      <c r="D112" s="63" t="n">
        <v>8</v>
      </c>
      <c r="E112" s="13" t="n"/>
      <c r="F112" s="14" t="n"/>
      <c r="G112" s="85" t="inlineStr">
        <is>
          <t>APTIDÕES E FEITIÇOS</t>
        </is>
      </c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1" t="n"/>
      <c r="AI112" s="40" t="n"/>
      <c r="AJ112" s="40" t="n"/>
      <c r="AK112" s="40" t="n"/>
      <c r="AL112" s="40" t="n"/>
      <c r="AM112" s="40" t="n"/>
      <c r="AN112" s="40" t="n"/>
      <c r="AO112" s="40" t="n"/>
      <c r="AP112" s="40" t="n"/>
      <c r="AQ112" s="40" t="n"/>
      <c r="AR112" s="40" t="n"/>
      <c r="AS112" s="40" t="n"/>
      <c r="AT112" s="40" t="n"/>
      <c r="AU112" s="40" t="n"/>
    </row>
    <row r="113">
      <c r="A113" s="7" t="n"/>
      <c r="B113" s="7" t="n"/>
      <c r="C113" s="40" t="n"/>
      <c r="D113" s="17" t="n"/>
      <c r="E113" s="18" t="n"/>
      <c r="F113" s="19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  <c r="AR113" s="40" t="n"/>
      <c r="AS113" s="40" t="n"/>
      <c r="AT113" s="40" t="n"/>
      <c r="AU113" s="40" t="n"/>
    </row>
    <row r="114" ht="4.5" customHeight="1">
      <c r="A114" s="7" t="n"/>
      <c r="B114" s="7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  <c r="AO114" s="40" t="n"/>
      <c r="AP114" s="40" t="n"/>
      <c r="AQ114" s="40" t="n"/>
      <c r="AR114" s="40" t="n"/>
      <c r="AS114" s="40" t="n"/>
      <c r="AT114" s="40" t="n"/>
      <c r="AU114" s="40" t="n"/>
    </row>
    <row r="115">
      <c r="A115" s="7" t="n"/>
      <c r="B115" s="7" t="n"/>
      <c r="C115" s="40" t="n"/>
      <c r="D115" s="96" t="inlineStr">
        <is>
          <t>Classe</t>
        </is>
      </c>
      <c r="E115" s="11" t="n"/>
      <c r="F115" s="96" t="inlineStr">
        <is>
          <t>Feitiços</t>
        </is>
      </c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1" t="n"/>
      <c r="U115" s="97" t="n"/>
      <c r="V115" s="96" t="inlineStr">
        <is>
          <t>Refino 0/10</t>
        </is>
      </c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1" t="n"/>
      <c r="AM115" s="40" t="n"/>
      <c r="AN115" s="40" t="n"/>
      <c r="AO115" s="40" t="n"/>
      <c r="AP115" s="40" t="n"/>
      <c r="AQ115" s="40" t="n"/>
      <c r="AR115" s="40" t="n"/>
      <c r="AS115" s="40" t="n"/>
      <c r="AT115" s="40" t="n"/>
      <c r="AU115" s="40" t="n"/>
    </row>
    <row r="116" ht="5.25" customHeight="1">
      <c r="A116" s="7" t="n"/>
      <c r="B116" s="7" t="n"/>
      <c r="C116" s="40" t="n"/>
      <c r="D116" s="97" t="n"/>
      <c r="E116" s="97" t="n"/>
      <c r="F116" s="97" t="n"/>
      <c r="G116" s="97" t="n"/>
      <c r="H116" s="97" t="n"/>
      <c r="I116" s="97" t="n"/>
      <c r="J116" s="97" t="n"/>
      <c r="K116" s="97" t="n"/>
      <c r="L116" s="97" t="n"/>
      <c r="M116" s="97" t="n"/>
      <c r="N116" s="97" t="n"/>
      <c r="O116" s="97" t="n"/>
      <c r="P116" s="97" t="n"/>
      <c r="Q116" s="97" t="n"/>
      <c r="R116" s="97" t="n"/>
      <c r="S116" s="97" t="n"/>
      <c r="T116" s="97" t="n"/>
      <c r="U116" s="97" t="n"/>
      <c r="V116" s="97" t="n"/>
      <c r="W116" s="97" t="n"/>
      <c r="X116" s="97" t="n"/>
      <c r="Y116" s="97" t="n"/>
      <c r="Z116" s="97" t="n"/>
      <c r="AA116" s="97" t="n"/>
      <c r="AB116" s="97" t="n"/>
      <c r="AC116" s="97" t="n"/>
      <c r="AD116" s="97" t="n"/>
      <c r="AE116" s="97" t="n"/>
      <c r="AF116" s="97" t="n"/>
      <c r="AG116" s="97" t="n"/>
      <c r="AH116" s="97" t="n"/>
      <c r="AI116" s="97" t="n"/>
      <c r="AJ116" s="97" t="n"/>
      <c r="AK116" s="97" t="n"/>
      <c r="AL116" s="97" t="n"/>
      <c r="AM116" s="40" t="n"/>
      <c r="AN116" s="40" t="n"/>
      <c r="AO116" s="40" t="n"/>
      <c r="AP116" s="40" t="n"/>
      <c r="AQ116" s="40" t="n"/>
      <c r="AR116" s="40" t="n"/>
      <c r="AS116" s="40" t="n"/>
      <c r="AT116" s="40" t="n"/>
      <c r="AU116" s="40" t="n"/>
    </row>
    <row r="117">
      <c r="A117" s="7" t="n"/>
      <c r="B117" s="7" t="n"/>
      <c r="C117" s="40" t="n"/>
      <c r="D117" s="98" t="n"/>
      <c r="E117" s="11" t="n"/>
      <c r="F117" s="34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1" t="n"/>
      <c r="U117" s="97" t="n"/>
      <c r="V117" s="34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1" t="n"/>
      <c r="AM117" s="40" t="n"/>
      <c r="AN117" s="40" t="n"/>
      <c r="AO117" s="40" t="n"/>
      <c r="AP117" s="40" t="n"/>
      <c r="AQ117" s="40" t="n"/>
      <c r="AR117" s="40" t="n"/>
      <c r="AS117" s="40" t="n"/>
      <c r="AT117" s="40" t="n"/>
      <c r="AU117" s="40" t="n"/>
    </row>
    <row r="118">
      <c r="A118" s="7" t="n"/>
      <c r="B118" s="7" t="n"/>
      <c r="C118" s="40" t="n"/>
      <c r="D118" s="98" t="n"/>
      <c r="E118" s="11" t="n"/>
      <c r="F118" s="34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7" t="n"/>
      <c r="V118" s="34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40" t="n"/>
      <c r="AN118" s="40" t="n"/>
      <c r="AO118" s="40" t="n"/>
      <c r="AP118" s="40" t="n"/>
      <c r="AQ118" s="40" t="n"/>
      <c r="AR118" s="40" t="n"/>
      <c r="AS118" s="40" t="n"/>
      <c r="AT118" s="40" t="n"/>
      <c r="AU118" s="40" t="n"/>
    </row>
    <row r="119">
      <c r="A119" s="7" t="n"/>
      <c r="B119" s="7" t="n"/>
      <c r="C119" s="40" t="n"/>
      <c r="D119" s="98" t="n"/>
      <c r="E119" s="11" t="n"/>
      <c r="F119" s="34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7" t="n"/>
      <c r="V119" s="34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40" t="n"/>
      <c r="AN119" s="40" t="n"/>
      <c r="AO119" s="40" t="n"/>
      <c r="AP119" s="40" t="n"/>
      <c r="AQ119" s="40" t="n"/>
      <c r="AR119" s="40" t="n"/>
      <c r="AS119" s="40" t="n"/>
      <c r="AT119" s="40" t="n"/>
      <c r="AU119" s="40" t="n"/>
    </row>
    <row r="120">
      <c r="A120" s="7" t="n"/>
      <c r="B120" s="7" t="n"/>
      <c r="C120" s="40" t="n"/>
      <c r="D120" s="98" t="n"/>
      <c r="E120" s="11" t="n"/>
      <c r="F120" s="34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7" t="n"/>
      <c r="V120" s="34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40" t="n"/>
      <c r="AN120" s="40" t="n"/>
      <c r="AO120" s="40" t="n"/>
      <c r="AP120" s="40" t="n"/>
      <c r="AQ120" s="40" t="n"/>
      <c r="AR120" s="40" t="n"/>
      <c r="AS120" s="40" t="n"/>
      <c r="AT120" s="40" t="n"/>
      <c r="AU120" s="40" t="n"/>
    </row>
    <row r="121">
      <c r="A121" s="7" t="n"/>
      <c r="B121" s="7" t="n"/>
      <c r="C121" s="40" t="n"/>
      <c r="D121" s="98" t="n"/>
      <c r="E121" s="11" t="n"/>
      <c r="F121" s="34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7" t="n"/>
      <c r="V121" s="34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40" t="n"/>
      <c r="AN121" s="40" t="n"/>
      <c r="AO121" s="40" t="n"/>
      <c r="AP121" s="40" t="n"/>
      <c r="AQ121" s="40" t="n"/>
      <c r="AR121" s="40" t="n"/>
      <c r="AS121" s="40" t="n"/>
      <c r="AT121" s="40" t="n"/>
      <c r="AU121" s="40" t="n"/>
    </row>
    <row r="122">
      <c r="A122" s="7" t="n"/>
      <c r="B122" s="7" t="n"/>
      <c r="C122" s="40" t="n"/>
      <c r="D122" s="98" t="n"/>
      <c r="E122" s="11" t="n"/>
      <c r="F122" s="34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7" t="n"/>
      <c r="V122" s="34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40" t="n"/>
      <c r="AN122" s="40" t="n"/>
      <c r="AO122" s="40" t="n"/>
      <c r="AP122" s="40" t="n"/>
      <c r="AQ122" s="40" t="n"/>
      <c r="AR122" s="40" t="n"/>
      <c r="AS122" s="40" t="n"/>
      <c r="AT122" s="40" t="n"/>
      <c r="AU122" s="40" t="n"/>
    </row>
    <row r="123">
      <c r="A123" s="7" t="n"/>
      <c r="B123" s="7" t="n"/>
      <c r="C123" s="40" t="n"/>
      <c r="D123" s="98" t="n"/>
      <c r="E123" s="11" t="n"/>
      <c r="F123" s="34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7" t="n"/>
      <c r="V123" s="34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40" t="n"/>
      <c r="AN123" s="40" t="n"/>
      <c r="AO123" s="40" t="n"/>
      <c r="AP123" s="40" t="n"/>
      <c r="AQ123" s="40" t="n"/>
      <c r="AR123" s="40" t="n"/>
      <c r="AS123" s="40" t="n"/>
      <c r="AT123" s="40" t="n"/>
      <c r="AU123" s="40" t="n"/>
    </row>
    <row r="124">
      <c r="A124" s="7" t="n"/>
      <c r="B124" s="7" t="n"/>
      <c r="C124" s="40" t="n"/>
      <c r="D124" s="98" t="n"/>
      <c r="E124" s="11" t="n"/>
      <c r="F124" s="34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7" t="n"/>
      <c r="V124" s="34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40" t="n"/>
      <c r="AN124" s="40" t="n"/>
      <c r="AO124" s="40" t="n"/>
      <c r="AP124" s="40" t="n"/>
      <c r="AQ124" s="40" t="n"/>
      <c r="AR124" s="40" t="n"/>
      <c r="AS124" s="40" t="n"/>
      <c r="AT124" s="40" t="n"/>
      <c r="AU124" s="40" t="n"/>
    </row>
    <row r="125">
      <c r="A125" s="7" t="n"/>
      <c r="B125" s="7" t="n"/>
      <c r="C125" s="40" t="n"/>
      <c r="D125" s="98" t="n"/>
      <c r="E125" s="11" t="n"/>
      <c r="F125" s="34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7" t="n"/>
      <c r="V125" s="34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40" t="n"/>
      <c r="AN125" s="40" t="n"/>
      <c r="AO125" s="40" t="n"/>
      <c r="AP125" s="40" t="n"/>
      <c r="AQ125" s="40" t="n"/>
      <c r="AR125" s="40" t="n"/>
      <c r="AS125" s="40" t="n"/>
      <c r="AT125" s="40" t="n"/>
      <c r="AU125" s="40" t="n"/>
    </row>
    <row r="126">
      <c r="A126" s="7" t="n"/>
      <c r="B126" s="7" t="n"/>
      <c r="C126" s="40" t="n"/>
      <c r="D126" s="98" t="n"/>
      <c r="E126" s="11" t="n"/>
      <c r="F126" s="34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7" t="n"/>
      <c r="V126" s="34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40" t="n"/>
      <c r="AN126" s="40" t="n"/>
      <c r="AO126" s="40" t="n"/>
      <c r="AP126" s="40" t="n"/>
      <c r="AQ126" s="40" t="n"/>
      <c r="AR126" s="40" t="n"/>
      <c r="AS126" s="40" t="n"/>
      <c r="AT126" s="40" t="n"/>
      <c r="AU126" s="40" t="n"/>
    </row>
    <row r="127">
      <c r="A127" s="7" t="n"/>
      <c r="B127" s="7" t="n"/>
      <c r="C127" s="40" t="n"/>
      <c r="D127" s="98" t="n"/>
      <c r="E127" s="11" t="n"/>
      <c r="F127" s="34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7" t="n"/>
      <c r="V127" s="34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40" t="n"/>
      <c r="AN127" s="40" t="n"/>
      <c r="AO127" s="40" t="n"/>
      <c r="AP127" s="40" t="n"/>
      <c r="AQ127" s="40" t="n"/>
      <c r="AR127" s="40" t="n"/>
      <c r="AS127" s="40" t="n"/>
      <c r="AT127" s="40" t="n"/>
      <c r="AU127" s="40" t="n"/>
    </row>
    <row r="128">
      <c r="A128" s="7" t="n"/>
      <c r="B128" s="7" t="n"/>
      <c r="C128" s="40" t="n"/>
      <c r="D128" s="98" t="n"/>
      <c r="E128" s="11" t="n"/>
      <c r="F128" s="34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7" t="n"/>
      <c r="V128" s="34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40" t="n"/>
      <c r="AN128" s="40" t="n"/>
      <c r="AO128" s="40" t="n"/>
      <c r="AP128" s="40" t="n"/>
      <c r="AQ128" s="40" t="n"/>
      <c r="AR128" s="40" t="n"/>
      <c r="AS128" s="40" t="n"/>
      <c r="AT128" s="40" t="n"/>
      <c r="AU128" s="40" t="n"/>
    </row>
    <row r="129">
      <c r="A129" s="7" t="n"/>
      <c r="B129" s="7" t="n"/>
      <c r="C129" s="40" t="n"/>
      <c r="D129" s="98" t="n"/>
      <c r="E129" s="11" t="n"/>
      <c r="F129" s="34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40" t="n"/>
      <c r="V129" s="40" t="n"/>
      <c r="W129" s="40" t="n"/>
      <c r="X129" s="40" t="n"/>
      <c r="Y129" s="40" t="n"/>
      <c r="Z129" s="40" t="n"/>
      <c r="AA129" s="40" t="n"/>
      <c r="AB129" s="40" t="n"/>
      <c r="AC129" s="40" t="n"/>
      <c r="AD129" s="40" t="n"/>
      <c r="AE129" s="40" t="n"/>
      <c r="AF129" s="40" t="n"/>
      <c r="AG129" s="40" t="n"/>
      <c r="AH129" s="40" t="n"/>
      <c r="AI129" s="40" t="n"/>
      <c r="AJ129" s="40" t="n"/>
      <c r="AK129" s="40" t="n"/>
      <c r="AL129" s="40" t="n"/>
      <c r="AM129" s="40" t="n"/>
      <c r="AN129" s="40" t="n"/>
      <c r="AO129" s="40" t="n"/>
      <c r="AP129" s="40" t="n"/>
      <c r="AQ129" s="40" t="n"/>
      <c r="AR129" s="40" t="n"/>
      <c r="AS129" s="40" t="n"/>
      <c r="AT129" s="40" t="n"/>
      <c r="AU129" s="40" t="n"/>
    </row>
    <row r="130">
      <c r="A130" s="7" t="n"/>
      <c r="B130" s="7" t="n"/>
      <c r="C130" s="40" t="n"/>
      <c r="D130" s="98" t="n"/>
      <c r="E130" s="11" t="n"/>
      <c r="F130" s="34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40" t="n"/>
      <c r="V130" s="40" t="n"/>
      <c r="W130" s="40" t="n"/>
      <c r="X130" s="40" t="n"/>
      <c r="Y130" s="40" t="n"/>
      <c r="Z130" s="40" t="n"/>
      <c r="AA130" s="40" t="n"/>
      <c r="AB130" s="40" t="n"/>
      <c r="AC130" s="40" t="n"/>
      <c r="AD130" s="40" t="n"/>
      <c r="AE130" s="40" t="n"/>
      <c r="AF130" s="40" t="n"/>
      <c r="AG130" s="40" t="n"/>
      <c r="AH130" s="40" t="n"/>
      <c r="AI130" s="40" t="n"/>
      <c r="AJ130" s="40" t="n"/>
      <c r="AK130" s="40" t="n"/>
      <c r="AL130" s="40" t="n"/>
      <c r="AM130" s="40" t="n"/>
      <c r="AN130" s="40" t="n"/>
      <c r="AO130" s="40" t="n"/>
      <c r="AP130" s="40" t="n"/>
      <c r="AQ130" s="40" t="n"/>
      <c r="AR130" s="40" t="n"/>
      <c r="AS130" s="40" t="n"/>
      <c r="AT130" s="40" t="n"/>
      <c r="AU130" s="40" t="n"/>
    </row>
    <row r="131">
      <c r="A131" s="7" t="n"/>
      <c r="B131" s="7" t="n"/>
      <c r="C131" s="40" t="n"/>
      <c r="D131" s="98" t="n"/>
      <c r="E131" s="11" t="n"/>
      <c r="F131" s="34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40" t="n"/>
      <c r="V131" s="40" t="n"/>
      <c r="W131" s="40" t="n"/>
      <c r="X131" s="40" t="n"/>
      <c r="Y131" s="40" t="n"/>
      <c r="Z131" s="40" t="n"/>
      <c r="AA131" s="40" t="n"/>
      <c r="AB131" s="40" t="n"/>
      <c r="AC131" s="40" t="n"/>
      <c r="AD131" s="40" t="n"/>
      <c r="AE131" s="40" t="n"/>
      <c r="AF131" s="40" t="n"/>
      <c r="AG131" s="40" t="n"/>
      <c r="AH131" s="40" t="n"/>
      <c r="AI131" s="40" t="n"/>
      <c r="AJ131" s="40" t="n"/>
      <c r="AK131" s="40" t="n"/>
      <c r="AL131" s="40" t="n"/>
      <c r="AM131" s="40" t="n"/>
      <c r="AN131" s="40" t="n"/>
      <c r="AO131" s="40" t="n"/>
      <c r="AP131" s="40" t="n"/>
      <c r="AQ131" s="40" t="n"/>
      <c r="AR131" s="40" t="n"/>
      <c r="AS131" s="40" t="n"/>
      <c r="AT131" s="40" t="n"/>
      <c r="AU131" s="40" t="n"/>
    </row>
    <row r="132">
      <c r="A132" s="7" t="n"/>
      <c r="B132" s="7" t="n"/>
      <c r="C132" s="40" t="n"/>
      <c r="D132" s="98" t="n"/>
      <c r="E132" s="11" t="n"/>
      <c r="F132" s="34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40" t="n"/>
      <c r="V132" s="40" t="n"/>
      <c r="W132" s="40" t="n"/>
      <c r="X132" s="40" t="n"/>
      <c r="Y132" s="40" t="n"/>
      <c r="Z132" s="40" t="n"/>
      <c r="AA132" s="40" t="n"/>
      <c r="AB132" s="40" t="n"/>
      <c r="AC132" s="40" t="n"/>
      <c r="AD132" s="40" t="n"/>
      <c r="AE132" s="40" t="n"/>
      <c r="AF132" s="40" t="n"/>
      <c r="AG132" s="40" t="n"/>
      <c r="AH132" s="40" t="n"/>
      <c r="AI132" s="40" t="n"/>
      <c r="AJ132" s="40" t="n"/>
      <c r="AK132" s="40" t="n"/>
      <c r="AL132" s="40" t="n"/>
      <c r="AM132" s="40" t="n"/>
      <c r="AN132" s="40" t="n"/>
      <c r="AO132" s="40" t="n"/>
      <c r="AP132" s="40" t="n"/>
      <c r="AQ132" s="40" t="n"/>
      <c r="AR132" s="40" t="n"/>
      <c r="AS132" s="40" t="n"/>
      <c r="AT132" s="40" t="n"/>
      <c r="AU132" s="40" t="n"/>
    </row>
    <row r="133">
      <c r="A133" s="7" t="n"/>
      <c r="B133" s="7" t="n"/>
      <c r="C133" s="40" t="n"/>
      <c r="D133" s="98" t="n"/>
      <c r="E133" s="11" t="n"/>
      <c r="F133" s="34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40" t="n"/>
      <c r="V133" s="40" t="n"/>
      <c r="W133" s="40" t="n"/>
      <c r="X133" s="40" t="n"/>
      <c r="Y133" s="40" t="n"/>
      <c r="Z133" s="40" t="n"/>
      <c r="AA133" s="40" t="n"/>
      <c r="AB133" s="40" t="n"/>
      <c r="AC133" s="40" t="n"/>
      <c r="AD133" s="40" t="n"/>
      <c r="AE133" s="40" t="n"/>
      <c r="AF133" s="40" t="n"/>
      <c r="AG133" s="40" t="n"/>
      <c r="AH133" s="40" t="n"/>
      <c r="AI133" s="40" t="n"/>
      <c r="AJ133" s="40" t="n"/>
      <c r="AK133" s="40" t="n"/>
      <c r="AL133" s="40" t="n"/>
      <c r="AM133" s="40" t="n"/>
      <c r="AN133" s="40" t="n"/>
      <c r="AO133" s="40" t="n"/>
      <c r="AP133" s="40" t="n"/>
      <c r="AQ133" s="40" t="n"/>
      <c r="AR133" s="40" t="n"/>
      <c r="AS133" s="40" t="n"/>
      <c r="AT133" s="40" t="n"/>
      <c r="AU133" s="40" t="n"/>
    </row>
    <row r="134">
      <c r="A134" s="7" t="n"/>
      <c r="B134" s="7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  <c r="O134" s="40" t="n"/>
      <c r="P134" s="40" t="n"/>
      <c r="Q134" s="40" t="n"/>
      <c r="R134" s="40" t="n"/>
      <c r="S134" s="40" t="n"/>
      <c r="T134" s="40" t="n"/>
      <c r="U134" s="40" t="n"/>
      <c r="V134" s="40" t="n"/>
      <c r="W134" s="40" t="n"/>
      <c r="X134" s="40" t="n"/>
      <c r="Y134" s="40" t="n"/>
      <c r="Z134" s="40" t="n"/>
      <c r="AA134" s="40" t="n"/>
      <c r="AB134" s="40" t="n"/>
      <c r="AC134" s="40" t="n"/>
      <c r="AD134" s="40" t="n"/>
      <c r="AE134" s="40" t="n"/>
      <c r="AF134" s="40" t="n"/>
      <c r="AG134" s="40" t="n"/>
      <c r="AH134" s="40" t="n"/>
      <c r="AI134" s="40" t="n"/>
      <c r="AJ134" s="40" t="n"/>
      <c r="AK134" s="40" t="n"/>
      <c r="AL134" s="40" t="n"/>
      <c r="AM134" s="40" t="n"/>
      <c r="AN134" s="40" t="n"/>
      <c r="AO134" s="40" t="n"/>
      <c r="AP134" s="40" t="n"/>
      <c r="AQ134" s="40" t="n"/>
      <c r="AR134" s="40" t="n"/>
      <c r="AS134" s="40" t="n"/>
      <c r="AT134" s="40" t="n"/>
      <c r="AU134" s="40" t="n"/>
    </row>
    <row r="135">
      <c r="A135" s="7" t="n"/>
      <c r="B135" s="7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  <c r="O135" s="40" t="n"/>
      <c r="P135" s="40" t="n"/>
      <c r="Q135" s="40" t="n"/>
      <c r="R135" s="40" t="n"/>
      <c r="S135" s="40" t="n"/>
      <c r="T135" s="40" t="n"/>
      <c r="U135" s="40" t="n"/>
      <c r="V135" s="40" t="n"/>
      <c r="W135" s="40" t="n"/>
      <c r="X135" s="40" t="n"/>
      <c r="Y135" s="40" t="n"/>
      <c r="Z135" s="40" t="n"/>
      <c r="AA135" s="40" t="n"/>
      <c r="AB135" s="40" t="n"/>
      <c r="AC135" s="40" t="n"/>
      <c r="AD135" s="40" t="n"/>
      <c r="AE135" s="40" t="n"/>
      <c r="AF135" s="40" t="n"/>
      <c r="AG135" s="40" t="n"/>
      <c r="AH135" s="40" t="n"/>
      <c r="AI135" s="40" t="n"/>
      <c r="AJ135" s="40" t="n"/>
      <c r="AK135" s="40" t="n"/>
      <c r="AL135" s="40" t="n"/>
      <c r="AM135" s="40" t="n"/>
      <c r="AN135" s="40" t="n"/>
      <c r="AO135" s="40" t="n"/>
      <c r="AP135" s="40" t="n"/>
      <c r="AQ135" s="40" t="n"/>
      <c r="AR135" s="40" t="n"/>
      <c r="AS135" s="40" t="n"/>
      <c r="AT135" s="40" t="n"/>
      <c r="AU135" s="40" t="n"/>
    </row>
  </sheetData>
  <mergeCells count="289">
    <mergeCell ref="D107:N110"/>
    <mergeCell ref="O47:X47"/>
    <mergeCell ref="AK75:AO75"/>
    <mergeCell ref="M59:N59"/>
    <mergeCell ref="D2:X2"/>
    <mergeCell ref="J74:L74"/>
    <mergeCell ref="V122:AL122"/>
    <mergeCell ref="D39:M39"/>
    <mergeCell ref="AI65:AR66"/>
    <mergeCell ref="D84:N84"/>
    <mergeCell ref="D22:N22"/>
    <mergeCell ref="AC62:AD62"/>
    <mergeCell ref="AH2:AT2"/>
    <mergeCell ref="D93:N96"/>
    <mergeCell ref="P84:Z84"/>
    <mergeCell ref="M70:N70"/>
    <mergeCell ref="V121:AL121"/>
    <mergeCell ref="M60:N60"/>
    <mergeCell ref="AC77:AJ77"/>
    <mergeCell ref="AC74:AJ74"/>
    <mergeCell ref="P107:Z110"/>
    <mergeCell ref="J75:L75"/>
    <mergeCell ref="AA60:AB60"/>
    <mergeCell ref="AF23:AK23"/>
    <mergeCell ref="O63:P63"/>
    <mergeCell ref="S67:Z67"/>
    <mergeCell ref="AB107:AL110"/>
    <mergeCell ref="AH10:AL10"/>
    <mergeCell ref="AM31:AR31"/>
    <mergeCell ref="L16:R16"/>
    <mergeCell ref="D19:J19"/>
    <mergeCell ref="E60:L60"/>
    <mergeCell ref="E69:L69"/>
    <mergeCell ref="A8:B26"/>
    <mergeCell ref="P77:T77"/>
    <mergeCell ref="F130:T130"/>
    <mergeCell ref="AP74:AT74"/>
    <mergeCell ref="D125:E125"/>
    <mergeCell ref="F117:T117"/>
    <mergeCell ref="S69:Z69"/>
    <mergeCell ref="AA63:AB63"/>
    <mergeCell ref="AC63:AD63"/>
    <mergeCell ref="E59:L59"/>
    <mergeCell ref="AI60:AR60"/>
    <mergeCell ref="AA68:AB68"/>
    <mergeCell ref="D34:AT34"/>
    <mergeCell ref="O39:X39"/>
    <mergeCell ref="AF22:AK22"/>
    <mergeCell ref="F123:T123"/>
    <mergeCell ref="AB93:AL96"/>
    <mergeCell ref="F132:T132"/>
    <mergeCell ref="P98:Z98"/>
    <mergeCell ref="D127:E127"/>
    <mergeCell ref="AM26:AR26"/>
    <mergeCell ref="F119:T119"/>
    <mergeCell ref="V120:AL120"/>
    <mergeCell ref="AC60:AD60"/>
    <mergeCell ref="E61:L61"/>
    <mergeCell ref="D10:L10"/>
    <mergeCell ref="O60:P60"/>
    <mergeCell ref="P78:T78"/>
    <mergeCell ref="AI67:AR68"/>
    <mergeCell ref="AM23:AR23"/>
    <mergeCell ref="M62:N62"/>
    <mergeCell ref="AK54:AT54"/>
    <mergeCell ref="O66:P66"/>
    <mergeCell ref="F118:T118"/>
    <mergeCell ref="D43:M43"/>
    <mergeCell ref="D112:F113"/>
    <mergeCell ref="F127:T127"/>
    <mergeCell ref="V124:AL124"/>
    <mergeCell ref="U77:W77"/>
    <mergeCell ref="D8:F9"/>
    <mergeCell ref="D26:N26"/>
    <mergeCell ref="AN11:AT11"/>
    <mergeCell ref="D115:E115"/>
    <mergeCell ref="D11:L11"/>
    <mergeCell ref="Z48:AI48"/>
    <mergeCell ref="O68:P68"/>
    <mergeCell ref="AK40:AT40"/>
    <mergeCell ref="U75:W75"/>
    <mergeCell ref="V126:AL126"/>
    <mergeCell ref="J79:L79"/>
    <mergeCell ref="D83:M83"/>
    <mergeCell ref="Z44:AI44"/>
    <mergeCell ref="O48:X48"/>
    <mergeCell ref="AE50:AO50"/>
    <mergeCell ref="D131:E131"/>
    <mergeCell ref="S62:Z62"/>
    <mergeCell ref="AA61:AB61"/>
    <mergeCell ref="D51:F52"/>
    <mergeCell ref="M64:N64"/>
    <mergeCell ref="F129:T129"/>
    <mergeCell ref="D124:E124"/>
    <mergeCell ref="D54:M54"/>
    <mergeCell ref="AB91:AL91"/>
    <mergeCell ref="O65:P65"/>
    <mergeCell ref="F121:T121"/>
    <mergeCell ref="J31:N32"/>
    <mergeCell ref="AI63:AR64"/>
    <mergeCell ref="AC76:AJ76"/>
    <mergeCell ref="E63:L63"/>
    <mergeCell ref="AF26:AK26"/>
    <mergeCell ref="F131:T131"/>
    <mergeCell ref="P93:Z96"/>
    <mergeCell ref="AB84:AL84"/>
    <mergeCell ref="E78:I78"/>
    <mergeCell ref="S66:Z66"/>
    <mergeCell ref="E65:L65"/>
    <mergeCell ref="D126:E126"/>
    <mergeCell ref="AC64:AD64"/>
    <mergeCell ref="M65:N65"/>
    <mergeCell ref="D40:M40"/>
    <mergeCell ref="E77:I77"/>
    <mergeCell ref="J23:N24"/>
    <mergeCell ref="S68:Z68"/>
    <mergeCell ref="O62:P62"/>
    <mergeCell ref="D100:N103"/>
    <mergeCell ref="P27:AD28"/>
    <mergeCell ref="AF27:AK27"/>
    <mergeCell ref="AB16:AH16"/>
    <mergeCell ref="P75:T75"/>
    <mergeCell ref="D118:E118"/>
    <mergeCell ref="V128:AL128"/>
    <mergeCell ref="AC65:AD65"/>
    <mergeCell ref="D72:F73"/>
    <mergeCell ref="AP77:AT77"/>
    <mergeCell ref="Z47:AI47"/>
    <mergeCell ref="U74:W74"/>
    <mergeCell ref="M66:N66"/>
    <mergeCell ref="D129:E129"/>
    <mergeCell ref="D86:N89"/>
    <mergeCell ref="AB100:AL103"/>
    <mergeCell ref="L17:R18"/>
    <mergeCell ref="J78:L78"/>
    <mergeCell ref="D98:N98"/>
    <mergeCell ref="O43:X43"/>
    <mergeCell ref="M63:N63"/>
    <mergeCell ref="AP75:AT75"/>
    <mergeCell ref="D5:Z5"/>
    <mergeCell ref="D37:F38"/>
    <mergeCell ref="U76:W76"/>
    <mergeCell ref="M68:N68"/>
    <mergeCell ref="F133:T133"/>
    <mergeCell ref="AK44:AT44"/>
    <mergeCell ref="AE51:AO51"/>
    <mergeCell ref="D128:E128"/>
    <mergeCell ref="AJ17:AP18"/>
    <mergeCell ref="G37:X37"/>
    <mergeCell ref="AC66:AD66"/>
    <mergeCell ref="M67:N67"/>
    <mergeCell ref="E62:L62"/>
    <mergeCell ref="G57:AD57"/>
    <mergeCell ref="F126:T126"/>
    <mergeCell ref="AF30:AK30"/>
    <mergeCell ref="T19:Z19"/>
    <mergeCell ref="S61:Z61"/>
    <mergeCell ref="F122:T122"/>
    <mergeCell ref="D81:F82"/>
    <mergeCell ref="D105:N105"/>
    <mergeCell ref="AC68:AD68"/>
    <mergeCell ref="M69:N69"/>
    <mergeCell ref="E64:L64"/>
    <mergeCell ref="F125:T125"/>
    <mergeCell ref="AK74:AO74"/>
    <mergeCell ref="N10:V10"/>
    <mergeCell ref="P105:Z105"/>
    <mergeCell ref="D120:E120"/>
    <mergeCell ref="D44:M44"/>
    <mergeCell ref="AK48:AT48"/>
    <mergeCell ref="AC67:AD67"/>
    <mergeCell ref="G72:AH72"/>
    <mergeCell ref="AF31:AK31"/>
    <mergeCell ref="O53:X53"/>
    <mergeCell ref="E74:I74"/>
    <mergeCell ref="G81:AH81"/>
    <mergeCell ref="G51:X51"/>
    <mergeCell ref="D91:N91"/>
    <mergeCell ref="V127:AL127"/>
    <mergeCell ref="AC69:AD69"/>
    <mergeCell ref="AA65:AB65"/>
    <mergeCell ref="D23:H24"/>
    <mergeCell ref="J76:L76"/>
    <mergeCell ref="O59:P59"/>
    <mergeCell ref="P91:Z91"/>
    <mergeCell ref="F120:T120"/>
    <mergeCell ref="P31:AD32"/>
    <mergeCell ref="AA59:AB59"/>
    <mergeCell ref="D57:F58"/>
    <mergeCell ref="AK43:AT43"/>
    <mergeCell ref="U78:W78"/>
    <mergeCell ref="Z53:AI53"/>
    <mergeCell ref="O61:P61"/>
    <mergeCell ref="S65:Z65"/>
    <mergeCell ref="O70:P70"/>
    <mergeCell ref="D27:H28"/>
    <mergeCell ref="D117:E117"/>
    <mergeCell ref="O54:X54"/>
    <mergeCell ref="AC61:AD61"/>
    <mergeCell ref="AK77:AO77"/>
    <mergeCell ref="D48:M48"/>
    <mergeCell ref="D30:N30"/>
    <mergeCell ref="AA62:AB62"/>
    <mergeCell ref="D133:E133"/>
    <mergeCell ref="P100:Z103"/>
    <mergeCell ref="AP76:AT76"/>
    <mergeCell ref="D16:J16"/>
    <mergeCell ref="F124:T124"/>
    <mergeCell ref="V125:AL125"/>
    <mergeCell ref="E66:L66"/>
    <mergeCell ref="Z39:AI39"/>
    <mergeCell ref="A30:B48"/>
    <mergeCell ref="P74:T74"/>
    <mergeCell ref="J27:N28"/>
    <mergeCell ref="S60:Z60"/>
    <mergeCell ref="O40:X40"/>
    <mergeCell ref="D14:F15"/>
    <mergeCell ref="E68:L68"/>
    <mergeCell ref="P76:T76"/>
    <mergeCell ref="P86:Z89"/>
    <mergeCell ref="D119:E119"/>
    <mergeCell ref="T16:Z16"/>
    <mergeCell ref="S59:Z59"/>
    <mergeCell ref="AC75:AJ75"/>
    <mergeCell ref="AB86:AL89"/>
    <mergeCell ref="E67:L67"/>
    <mergeCell ref="D3:Z4"/>
    <mergeCell ref="D17:J18"/>
    <mergeCell ref="AJ16:AP16"/>
    <mergeCell ref="E79:I79"/>
    <mergeCell ref="AB19:AH19"/>
    <mergeCell ref="AN10:AT10"/>
    <mergeCell ref="Z40:AI40"/>
    <mergeCell ref="AM30:AR30"/>
    <mergeCell ref="F115:T115"/>
    <mergeCell ref="G14:X14"/>
    <mergeCell ref="AH3:AT3"/>
    <mergeCell ref="V115:AL115"/>
    <mergeCell ref="AB17:AH18"/>
    <mergeCell ref="AK53:AT53"/>
    <mergeCell ref="T17:Z18"/>
    <mergeCell ref="O69:P69"/>
    <mergeCell ref="V117:AL117"/>
    <mergeCell ref="X10:AF10"/>
    <mergeCell ref="Z54:AI54"/>
    <mergeCell ref="L19:R19"/>
    <mergeCell ref="AA69:AB69"/>
    <mergeCell ref="D31:H32"/>
    <mergeCell ref="AB105:AL105"/>
    <mergeCell ref="V123:AL123"/>
    <mergeCell ref="D122:E122"/>
    <mergeCell ref="AK76:AO76"/>
    <mergeCell ref="V119:AL119"/>
    <mergeCell ref="AA66:AB66"/>
    <mergeCell ref="AH11:AL11"/>
    <mergeCell ref="AM27:AR27"/>
    <mergeCell ref="AK39:AT39"/>
    <mergeCell ref="AK47:AT47"/>
    <mergeCell ref="AB98:AL98"/>
    <mergeCell ref="AI61:AR62"/>
    <mergeCell ref="M61:N61"/>
    <mergeCell ref="E70:L70"/>
    <mergeCell ref="Z43:AI43"/>
    <mergeCell ref="O64:P64"/>
    <mergeCell ref="D121:E121"/>
    <mergeCell ref="N11:V11"/>
    <mergeCell ref="AJ19:AP19"/>
    <mergeCell ref="P23:AD24"/>
    <mergeCell ref="D130:E130"/>
    <mergeCell ref="E76:I76"/>
    <mergeCell ref="S64:Z64"/>
    <mergeCell ref="X11:AF11"/>
    <mergeCell ref="O44:X44"/>
    <mergeCell ref="AA64:AB64"/>
    <mergeCell ref="G112:AH112"/>
    <mergeCell ref="O67:P67"/>
    <mergeCell ref="V118:AL118"/>
    <mergeCell ref="AC59:AD59"/>
    <mergeCell ref="F128:T128"/>
    <mergeCell ref="D53:M53"/>
    <mergeCell ref="AA67:AB67"/>
    <mergeCell ref="D123:E123"/>
    <mergeCell ref="E75:I75"/>
    <mergeCell ref="S63:Z63"/>
    <mergeCell ref="D132:E132"/>
    <mergeCell ref="AM22:AR22"/>
    <mergeCell ref="D47:M47"/>
    <mergeCell ref="J77:L77"/>
    <mergeCell ref="G8:X8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5">
    <dataValidation sqref="J74:J79 U74:U78 Z48 AE51 AK48 AU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DADOS!$A$4:$A$7</formula1>
    </dataValidation>
    <dataValidation sqref="AK74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99" t="inlineStr">
        <is>
          <t>VERSÃO DO CATÁLOGO</t>
        </is>
      </c>
      <c r="B1" s="100" t="n">
        <v>104</v>
      </c>
      <c r="C1" s="101" t="inlineStr">
        <is>
          <t>versão corrente (puxada da central)</t>
        </is>
      </c>
      <c r="D1" s="100" t="n">
        <v>104</v>
      </c>
      <c r="E1" s="40" t="n"/>
      <c r="F1" s="40" t="n"/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</row>
    <row r="2">
      <c r="A2" s="101" t="inlineStr">
        <is>
          <t>cole aqui o IMPORTRANGE da central em D1 quando ela existir; enquanto não existir, D1 fica igual a B1 e o aviso some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  <c r="AE2" s="40" t="n"/>
      <c r="AF2" s="40" t="n"/>
      <c r="AG2" s="40" t="n"/>
      <c r="AH2" s="40" t="n"/>
      <c r="AI2" s="40" t="n"/>
      <c r="AJ2" s="40" t="n"/>
      <c r="AK2" s="40" t="n"/>
      <c r="AL2" s="40" t="n"/>
      <c r="AM2" s="40" t="n"/>
      <c r="AN2" s="40" t="n"/>
      <c r="AO2" s="40" t="n"/>
      <c r="AP2" s="40" t="n"/>
      <c r="AQ2" s="40" t="n"/>
      <c r="AR2" s="40" t="n"/>
      <c r="AS2" s="40" t="n"/>
      <c r="AT2" s="40" t="n"/>
      <c r="AU2" s="40" t="n"/>
      <c r="AV2" s="40" t="n"/>
      <c r="AW2" s="40" t="n"/>
      <c r="AX2" s="40" t="n"/>
      <c r="AY2" s="40" t="n"/>
      <c r="AZ2" s="40" t="n"/>
      <c r="BA2" s="40" t="n"/>
      <c r="BB2" s="40" t="n"/>
    </row>
    <row r="3">
      <c r="A3" s="102" t="inlineStr">
        <is>
          <t>Caminhos</t>
        </is>
      </c>
      <c r="B3" s="102" t="inlineStr">
        <is>
          <t>Perícias</t>
        </is>
      </c>
      <c r="C3" s="102" t="inlineStr">
        <is>
          <t>Ofícios</t>
        </is>
      </c>
      <c r="D3" s="102" t="inlineStr">
        <is>
          <t>Famílias</t>
        </is>
      </c>
      <c r="E3" s="102" t="inlineStr">
        <is>
          <t>Formas</t>
        </is>
      </c>
      <c r="F3" s="102" t="inlineStr">
        <is>
          <t>Melhorias</t>
        </is>
      </c>
      <c r="G3" s="102" t="inlineStr">
        <is>
          <t>Restrições</t>
        </is>
      </c>
      <c r="H3" s="102" t="inlineStr">
        <is>
          <t>Condições</t>
        </is>
      </c>
      <c r="I3" s="102" t="inlineStr">
        <is>
          <t>Origens</t>
        </is>
      </c>
      <c r="J3" s="102" t="inlineStr">
        <is>
          <t>Testes</t>
        </is>
      </c>
      <c r="K3" s="102" t="inlineStr">
        <is>
          <t>Atributos</t>
        </is>
      </c>
      <c r="L3" s="102" t="inlineStr">
        <is>
          <t>Trilhas</t>
        </is>
      </c>
      <c r="M3" s="40" t="n"/>
      <c r="N3" s="102" t="inlineStr">
        <is>
          <t>tabela dos Caminhos</t>
        </is>
      </c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40" t="n"/>
      <c r="AM3" s="40" t="n"/>
      <c r="AN3" s="40" t="n"/>
      <c r="AO3" s="40" t="n"/>
      <c r="AP3" s="40" t="n"/>
      <c r="AQ3" s="40" t="n"/>
      <c r="AR3" s="40" t="n"/>
      <c r="AS3" s="40" t="n"/>
      <c r="AT3" s="40" t="n"/>
      <c r="AU3" s="40" t="n"/>
      <c r="AV3" s="40" t="n"/>
      <c r="AW3" s="40" t="n"/>
      <c r="AX3" s="40" t="n"/>
      <c r="AY3" s="40" t="n"/>
      <c r="AZ3" s="40" t="n"/>
      <c r="BA3" s="40" t="n"/>
      <c r="BB3" s="40" t="n"/>
    </row>
    <row r="4" ht="17.25" customHeight="1">
      <c r="A4" s="103" t="inlineStr">
        <is>
          <t>Bastião</t>
        </is>
      </c>
      <c r="B4" s="103" t="inlineStr">
        <is>
          <t>Atletismo</t>
        </is>
      </c>
      <c r="C4" s="103" t="inlineStr">
        <is>
          <t>Condução</t>
        </is>
      </c>
      <c r="D4" s="103" t="inlineStr">
        <is>
          <t>Alcance</t>
        </is>
      </c>
      <c r="E4" s="103" t="inlineStr">
        <is>
          <t>Projétil</t>
        </is>
      </c>
      <c r="F4" s="103" t="inlineStr">
        <is>
          <t>Longe</t>
        </is>
      </c>
      <c r="G4" s="103" t="inlineStr">
        <is>
          <t>Corpo a Corpo</t>
        </is>
      </c>
      <c r="H4" s="103" t="inlineStr">
        <is>
          <t>Lento</t>
        </is>
      </c>
      <c r="I4" s="103" t="inlineStr">
        <is>
          <t>Latente</t>
        </is>
      </c>
      <c r="J4" s="103" t="inlineStr">
        <is>
          <t>Físico</t>
        </is>
      </c>
      <c r="K4" s="103" t="inlineStr">
        <is>
          <t>lista</t>
        </is>
      </c>
      <c r="L4" s="103" t="inlineStr">
        <is>
          <t>Muro</t>
        </is>
      </c>
      <c r="M4" s="40" t="n"/>
      <c r="N4" s="104" t="inlineStr">
        <is>
          <t>Caminho</t>
        </is>
      </c>
      <c r="O4" s="104" t="inlineStr">
        <is>
          <t>dado</t>
        </is>
      </c>
      <c r="P4" s="104" t="inlineStr">
        <is>
          <t>vida inicial</t>
        </is>
      </c>
      <c r="Q4" s="104" t="inlineStr">
        <is>
          <t>vida por nível</t>
        </is>
      </c>
      <c r="R4" s="104" t="inlineStr">
        <is>
          <t>PE por nível</t>
        </is>
      </c>
      <c r="S4" s="104" t="inlineStr">
        <is>
          <t>perícia fixa 1</t>
        </is>
      </c>
      <c r="T4" s="104" t="inlineStr">
        <is>
          <t>perícia fixa 2</t>
        </is>
      </c>
      <c r="U4" s="104" t="inlineStr">
        <is>
          <t>ofício fixo</t>
        </is>
      </c>
      <c r="V4" s="40" t="n"/>
      <c r="W4" s="104" t="inlineStr">
        <is>
          <t>marcos</t>
        </is>
      </c>
      <c r="X4" s="104" t="inlineStr">
        <is>
          <t>maestria</t>
        </is>
      </c>
      <c r="Y4" s="104" t="inlineStr">
        <is>
          <t>classe</t>
        </is>
      </c>
      <c r="Z4" s="104" t="inlineStr">
        <is>
          <t>classe 0</t>
        </is>
      </c>
      <c r="AA4" s="40" t="n"/>
      <c r="AB4" s="104" t="inlineStr">
        <is>
          <t>perícia</t>
        </is>
      </c>
      <c r="AC4" s="104" t="inlineStr">
        <is>
          <t>atributo</t>
        </is>
      </c>
      <c r="AD4" s="40" t="n"/>
      <c r="AE4" s="40" t="n"/>
      <c r="AF4" s="40" t="n"/>
      <c r="AG4" s="40" t="n"/>
      <c r="AH4" s="40" t="n"/>
      <c r="AI4" s="40" t="n"/>
      <c r="AJ4" s="40" t="n"/>
      <c r="AK4" s="40" t="n"/>
      <c r="AL4" s="40" t="n"/>
      <c r="AM4" s="40" t="n"/>
      <c r="AN4" s="40" t="n"/>
      <c r="AO4" s="40" t="n"/>
      <c r="AP4" s="40" t="n"/>
      <c r="AQ4" s="40" t="n"/>
      <c r="AR4" s="40" t="n"/>
      <c r="AS4" s="40" t="n"/>
      <c r="AT4" s="40" t="n"/>
      <c r="AU4" s="40" t="n"/>
      <c r="AV4" s="40" t="n"/>
      <c r="AW4" s="40" t="n"/>
      <c r="AX4" s="40" t="n"/>
      <c r="AY4" s="40" t="n"/>
      <c r="AZ4" s="40" t="n"/>
      <c r="BA4" s="104" t="inlineStr">
        <is>
          <t>campo</t>
        </is>
      </c>
      <c r="BB4" s="104" t="inlineStr">
        <is>
          <t>célula</t>
        </is>
      </c>
    </row>
    <row r="5" ht="17.25" customHeight="1">
      <c r="A5" s="103" t="inlineStr">
        <is>
          <t>Vanguarda</t>
        </is>
      </c>
      <c r="B5" s="103" t="inlineStr">
        <is>
          <t>Acrobacia</t>
        </is>
      </c>
      <c r="C5" s="103" t="inlineStr">
        <is>
          <t>Arrombamento</t>
        </is>
      </c>
      <c r="D5" s="103" t="inlineStr">
        <is>
          <t>Área</t>
        </is>
      </c>
      <c r="E5" s="103" t="inlineStr">
        <is>
          <t>Toque</t>
        </is>
      </c>
      <c r="F5" s="103" t="inlineStr">
        <is>
          <t>Muito Longe</t>
        </is>
      </c>
      <c r="G5" s="103" t="inlineStr">
        <is>
          <t>Lento</t>
        </is>
      </c>
      <c r="H5" s="103" t="inlineStr">
        <is>
          <t>Incapacitado</t>
        </is>
      </c>
      <c r="I5" s="103" t="inlineStr">
        <is>
          <t>Receptáculo</t>
        </is>
      </c>
      <c r="J5" s="103" t="inlineStr">
        <is>
          <t>Vigor</t>
        </is>
      </c>
      <c r="K5" s="103" t="inlineStr">
        <is>
          <t>escala</t>
        </is>
      </c>
      <c r="L5" s="103" t="inlineStr">
        <is>
          <t>Punho</t>
        </is>
      </c>
      <c r="M5" s="40" t="n"/>
      <c r="N5" s="103" t="inlineStr">
        <is>
          <t>Bastião</t>
        </is>
      </c>
      <c r="O5" s="103" t="inlineStr">
        <is>
          <t>d12</t>
        </is>
      </c>
      <c r="P5" s="103" t="n">
        <v>12</v>
      </c>
      <c r="Q5" s="103" t="n">
        <v>7</v>
      </c>
      <c r="R5" s="103" t="n">
        <v>4</v>
      </c>
      <c r="S5" s="103" t="inlineStr">
        <is>
          <t>Atletismo</t>
        </is>
      </c>
      <c r="T5" s="103" t="inlineStr">
        <is>
          <t>Intimidação</t>
        </is>
      </c>
      <c r="U5" s="103" t="inlineStr">
        <is>
          <t>Forja</t>
        </is>
      </c>
      <c r="V5" s="40" t="n"/>
      <c r="W5" s="105" t="n">
        <v>6</v>
      </c>
      <c r="X5" s="105" t="n">
        <v>10</v>
      </c>
      <c r="Y5" s="105" t="n">
        <v>1</v>
      </c>
      <c r="Z5" s="105" t="n">
        <v>5</v>
      </c>
      <c r="AA5" s="40" t="n"/>
      <c r="AB5" s="103" t="inlineStr">
        <is>
          <t>Atletismo</t>
        </is>
      </c>
      <c r="AC5" s="103" t="inlineStr">
        <is>
          <t>Força</t>
        </is>
      </c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  <c r="AR5" s="40" t="n"/>
      <c r="AS5" s="40" t="n"/>
      <c r="AT5" s="40" t="n"/>
      <c r="AU5" s="40" t="n"/>
      <c r="AV5" s="40" t="n"/>
      <c r="AW5" s="40" t="n"/>
      <c r="AX5" s="40" t="n"/>
      <c r="AY5" s="40" t="n"/>
      <c r="AZ5" s="40" t="n"/>
      <c r="BA5" s="103" t="inlineStr">
        <is>
          <t>nome</t>
        </is>
      </c>
      <c r="BB5" s="103" t="inlineStr">
        <is>
          <t>D3</t>
        </is>
      </c>
    </row>
    <row r="6" ht="17.25" customHeight="1">
      <c r="A6" s="103" t="inlineStr">
        <is>
          <t>Guia</t>
        </is>
      </c>
      <c r="B6" s="103" t="inlineStr">
        <is>
          <t>Furtividade</t>
        </is>
      </c>
      <c r="C6" s="103" t="inlineStr">
        <is>
          <t>Herbalismo</t>
        </is>
      </c>
      <c r="D6" s="103" t="inlineStr">
        <is>
          <t>Mira</t>
        </is>
      </c>
      <c r="E6" s="103" t="inlineStr">
        <is>
          <t>Explosão</t>
        </is>
      </c>
      <c r="F6" s="103" t="inlineStr">
        <is>
          <t>Sem Ver</t>
        </is>
      </c>
      <c r="G6" s="103" t="inlineStr">
        <is>
          <t>Parado</t>
        </is>
      </c>
      <c r="H6" s="103" t="inlineStr">
        <is>
          <t>Derrubado</t>
        </is>
      </c>
      <c r="I6" s="103" t="inlineStr">
        <is>
          <t>Descendente</t>
        </is>
      </c>
      <c r="J6" s="103" t="inlineStr">
        <is>
          <t>Intelecto</t>
        </is>
      </c>
      <c r="K6" s="103" t="inlineStr">
        <is>
          <t>criacao</t>
        </is>
      </c>
      <c r="L6" s="103" t="inlineStr">
        <is>
          <t>Brasa</t>
        </is>
      </c>
      <c r="M6" s="40" t="n"/>
      <c r="N6" s="103" t="inlineStr">
        <is>
          <t>Vanguarda</t>
        </is>
      </c>
      <c r="O6" s="103" t="inlineStr">
        <is>
          <t>d8</t>
        </is>
      </c>
      <c r="P6" s="103" t="n">
        <v>8</v>
      </c>
      <c r="Q6" s="103" t="n">
        <v>5</v>
      </c>
      <c r="R6" s="103" t="n">
        <v>5</v>
      </c>
      <c r="S6" s="103" t="inlineStr">
        <is>
          <t>Acrobacia</t>
        </is>
      </c>
      <c r="T6" s="103" t="inlineStr">
        <is>
          <t>Percepção</t>
        </is>
      </c>
      <c r="U6" s="103" t="inlineStr">
        <is>
          <t>Arrombamento</t>
        </is>
      </c>
      <c r="V6" s="40" t="n"/>
      <c r="W6" s="105" t="n">
        <v>10</v>
      </c>
      <c r="X6" s="105" t="n">
        <v>18</v>
      </c>
      <c r="Y6" s="105" t="n">
        <v>5</v>
      </c>
      <c r="Z6" s="105" t="n">
        <v>11</v>
      </c>
      <c r="AA6" s="40" t="n"/>
      <c r="AB6" s="103" t="inlineStr">
        <is>
          <t>Acrobacia</t>
        </is>
      </c>
      <c r="AC6" s="103" t="inlineStr">
        <is>
          <t>Destreza</t>
        </is>
      </c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103" t="inlineStr">
        <is>
          <t>caminho</t>
        </is>
      </c>
      <c r="BB6" s="103" t="inlineStr">
        <is>
          <t>D11</t>
        </is>
      </c>
    </row>
    <row r="7" ht="17.25" customHeight="1">
      <c r="A7" s="103" t="inlineStr">
        <is>
          <t>Emanador</t>
        </is>
      </c>
      <c r="B7" s="103" t="inlineStr">
        <is>
          <t>Pontaria</t>
        </is>
      </c>
      <c r="C7" s="103" t="inlineStr">
        <is>
          <t>Forja</t>
        </is>
      </c>
      <c r="D7" s="103" t="inlineStr">
        <is>
          <t>Controle</t>
        </is>
      </c>
      <c r="E7" s="103" t="inlineStr">
        <is>
          <t>Aura</t>
        </is>
      </c>
      <c r="F7" s="103" t="inlineStr">
        <is>
          <t>Passo</t>
        </is>
      </c>
      <c r="G7" s="103" t="inlineStr">
        <is>
          <t>Gesto</t>
        </is>
      </c>
      <c r="H7" s="103" t="inlineStr">
        <is>
          <t>Agarrado</t>
        </is>
      </c>
      <c r="I7" s="103" t="inlineStr">
        <is>
          <t>Reencarnado</t>
        </is>
      </c>
      <c r="J7" s="103" t="inlineStr">
        <is>
          <t>Espírito</t>
        </is>
      </c>
      <c r="K7" s="103" t="inlineStr">
        <is>
          <t>nota</t>
        </is>
      </c>
      <c r="L7" s="103" t="inlineStr">
        <is>
          <t>Estocada</t>
        </is>
      </c>
      <c r="M7" s="40" t="n"/>
      <c r="N7" s="103" t="inlineStr">
        <is>
          <t>Guia</t>
        </is>
      </c>
      <c r="O7" s="103" t="inlineStr">
        <is>
          <t>d8</t>
        </is>
      </c>
      <c r="P7" s="103" t="n">
        <v>8</v>
      </c>
      <c r="Q7" s="103" t="n">
        <v>5</v>
      </c>
      <c r="R7" s="103" t="n">
        <v>5</v>
      </c>
      <c r="S7" s="103" t="inlineStr">
        <is>
          <t>Persuasão</t>
        </is>
      </c>
      <c r="T7" s="103" t="inlineStr">
        <is>
          <t>Medicina</t>
        </is>
      </c>
      <c r="U7" s="103" t="inlineStr">
        <is>
          <t>Herbalismo</t>
        </is>
      </c>
      <c r="V7" s="40" t="n"/>
      <c r="W7" s="105" t="n">
        <v>14</v>
      </c>
      <c r="X7" s="105" t="n">
        <v>26</v>
      </c>
      <c r="Y7" s="105" t="n">
        <v>9</v>
      </c>
      <c r="Z7" s="105" t="n">
        <v>17</v>
      </c>
      <c r="AA7" s="40" t="n"/>
      <c r="AB7" s="103" t="inlineStr">
        <is>
          <t>Furtividade</t>
        </is>
      </c>
      <c r="AC7" s="103" t="inlineStr">
        <is>
          <t>Destreza</t>
        </is>
      </c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  <c r="AV7" s="40" t="n"/>
      <c r="AW7" s="40" t="n"/>
      <c r="AX7" s="40" t="n"/>
      <c r="AY7" s="40" t="n"/>
      <c r="AZ7" s="40" t="n"/>
      <c r="BA7" s="103" t="inlineStr">
        <is>
          <t>trilha</t>
        </is>
      </c>
      <c r="BB7" s="103" t="inlineStr">
        <is>
          <t>N11</t>
        </is>
      </c>
    </row>
    <row r="8" ht="17.25" customHeight="1">
      <c r="A8" s="40" t="n"/>
      <c r="B8" s="103" t="inlineStr">
        <is>
          <t>Prestidigitação</t>
        </is>
      </c>
      <c r="C8" s="103" t="inlineStr">
        <is>
          <t>Caligrafia</t>
        </is>
      </c>
      <c r="D8" s="103" t="inlineStr">
        <is>
          <t>Auxiliares</t>
        </is>
      </c>
      <c r="E8" s="103" t="inlineStr">
        <is>
          <t>Cone</t>
        </is>
      </c>
      <c r="F8" s="103" t="inlineStr">
        <is>
          <t>Empurrão</t>
        </is>
      </c>
      <c r="G8" s="103" t="inlineStr">
        <is>
          <t>Sangra</t>
        </is>
      </c>
      <c r="H8" s="103" t="inlineStr">
        <is>
          <t>Desarmado</t>
        </is>
      </c>
      <c r="I8" s="103" t="inlineStr">
        <is>
          <t>Feto</t>
        </is>
      </c>
      <c r="J8" s="40" t="n"/>
      <c r="K8" s="103" t="inlineStr">
        <is>
          <t>pagina</t>
        </is>
      </c>
      <c r="L8" s="103" t="inlineStr">
        <is>
          <t>Batedor</t>
        </is>
      </c>
      <c r="M8" s="40" t="n"/>
      <c r="N8" s="103" t="inlineStr">
        <is>
          <t>Evocador</t>
        </is>
      </c>
      <c r="O8" s="103" t="inlineStr">
        <is>
          <t>d6</t>
        </is>
      </c>
      <c r="P8" s="103" t="n">
        <v>6</v>
      </c>
      <c r="Q8" s="103" t="n">
        <v>4</v>
      </c>
      <c r="R8" s="103" t="n">
        <v>6</v>
      </c>
      <c r="S8" s="103" t="inlineStr">
        <is>
          <t>Religião</t>
        </is>
      </c>
      <c r="T8" s="103" t="inlineStr">
        <is>
          <t>Lidar com Animais</t>
        </is>
      </c>
      <c r="U8" s="103" t="inlineStr">
        <is>
          <t>Entalhador</t>
        </is>
      </c>
      <c r="V8" s="40" t="n"/>
      <c r="W8" s="105" t="n">
        <v>18</v>
      </c>
      <c r="X8" s="40" t="n"/>
      <c r="Y8" s="105" t="n">
        <v>13</v>
      </c>
      <c r="Z8" s="40" t="n"/>
      <c r="AA8" s="40" t="n"/>
      <c r="AB8" s="103" t="inlineStr">
        <is>
          <t>Pontaria</t>
        </is>
      </c>
      <c r="AC8" s="103" t="inlineStr">
        <is>
          <t>Destreza</t>
        </is>
      </c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103" t="inlineStr">
        <is>
          <t>origem</t>
        </is>
      </c>
      <c r="BB8" s="103" t="inlineStr">
        <is>
          <t>X11</t>
        </is>
      </c>
    </row>
    <row r="9" ht="17.25" customHeight="1">
      <c r="A9" s="40" t="n"/>
      <c r="B9" s="103" t="inlineStr">
        <is>
          <t>Investigação</t>
        </is>
      </c>
      <c r="C9" s="103" t="inlineStr">
        <is>
          <t>Burocracia</t>
        </is>
      </c>
      <c r="D9" s="103" t="inlineStr">
        <is>
          <t>Castigo</t>
        </is>
      </c>
      <c r="E9" s="103" t="inlineStr">
        <is>
          <t>Linha</t>
        </is>
      </c>
      <c r="F9" s="103" t="inlineStr">
        <is>
          <t>Troca</t>
        </is>
      </c>
      <c r="G9" s="103" t="inlineStr">
        <is>
          <t>Recuo</t>
        </is>
      </c>
      <c r="H9" s="103" t="inlineStr">
        <is>
          <t>Surdo</t>
        </is>
      </c>
      <c r="I9" s="103" t="inlineStr">
        <is>
          <t>Corpo Amaldiçoado</t>
        </is>
      </c>
      <c r="J9" s="40" t="n"/>
      <c r="K9" s="40" t="n"/>
      <c r="L9" s="103" t="inlineStr">
        <is>
          <t>Executor</t>
        </is>
      </c>
      <c r="M9" s="40" t="n"/>
      <c r="N9" s="103" t="inlineStr">
        <is>
          <t>Emanador</t>
        </is>
      </c>
      <c r="O9" s="103" t="inlineStr">
        <is>
          <t>d6</t>
        </is>
      </c>
      <c r="P9" s="103" t="n">
        <v>6</v>
      </c>
      <c r="Q9" s="103" t="n">
        <v>4</v>
      </c>
      <c r="R9" s="103" t="n">
        <v>6</v>
      </c>
      <c r="S9" s="103" t="inlineStr">
        <is>
          <t>Ocultismo</t>
        </is>
      </c>
      <c r="T9" s="103" t="inlineStr">
        <is>
          <t>Investigação</t>
        </is>
      </c>
      <c r="U9" s="103" t="inlineStr">
        <is>
          <t>Caligrafia</t>
        </is>
      </c>
      <c r="V9" s="40" t="n"/>
      <c r="W9" s="105" t="n">
        <v>22</v>
      </c>
      <c r="X9" s="40" t="n"/>
      <c r="Y9" s="105" t="n">
        <v>17</v>
      </c>
      <c r="Z9" s="40" t="n"/>
      <c r="AA9" s="40" t="n"/>
      <c r="AB9" s="103" t="inlineStr">
        <is>
          <t>Prestidigitação</t>
        </is>
      </c>
      <c r="AC9" s="103" t="inlineStr">
        <is>
          <t>Destreza</t>
        </is>
      </c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103" t="inlineStr">
        <is>
          <t>nivel</t>
        </is>
      </c>
      <c r="BB9" s="103" t="inlineStr">
        <is>
          <t>AH11</t>
        </is>
      </c>
    </row>
    <row r="10" ht="17.25" customHeight="1">
      <c r="A10" s="40" t="n"/>
      <c r="B10" s="103" t="inlineStr">
        <is>
          <t>Intuição</t>
        </is>
      </c>
      <c r="C10" s="103" t="inlineStr">
        <is>
          <t>Entalhador</t>
        </is>
      </c>
      <c r="D10" s="103" t="inlineStr">
        <is>
          <t>Tempo</t>
        </is>
      </c>
      <c r="E10" s="103" t="inlineStr">
        <is>
          <t>Cura</t>
        </is>
      </c>
      <c r="F10" s="103" t="inlineStr">
        <is>
          <t>Perseguir</t>
        </is>
      </c>
      <c r="G10" s="103" t="inlineStr">
        <is>
          <t>Carregar</t>
        </is>
      </c>
      <c r="H10" s="103" t="inlineStr">
        <is>
          <t>Calado</t>
        </is>
      </c>
      <c r="I10" s="103" t="inlineStr">
        <is>
          <t>Restrição Celestial</t>
        </is>
      </c>
      <c r="J10" s="40" t="n"/>
      <c r="K10" s="40" t="n"/>
      <c r="L10" s="103" t="inlineStr">
        <is>
          <t>Elo</t>
        </is>
      </c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105" t="n">
        <v>26</v>
      </c>
      <c r="X10" s="40" t="n"/>
      <c r="Y10" s="105" t="n">
        <v>21</v>
      </c>
      <c r="Z10" s="40" t="n"/>
      <c r="AA10" s="40" t="n"/>
      <c r="AB10" s="103" t="inlineStr">
        <is>
          <t>Investigação</t>
        </is>
      </c>
      <c r="AC10" s="103" t="inlineStr">
        <is>
          <t>Inteligência</t>
        </is>
      </c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103" t="inlineStr">
        <is>
          <t>xp</t>
        </is>
      </c>
      <c r="BB10" s="103" t="inlineStr">
        <is>
          <t>AN11</t>
        </is>
      </c>
    </row>
    <row r="11" ht="17.25" customHeight="1">
      <c r="A11" s="40" t="n"/>
      <c r="B11" s="103" t="inlineStr">
        <is>
          <t>Ocultismo</t>
        </is>
      </c>
      <c r="C11" s="103" t="inlineStr">
        <is>
          <t>Alfaiate</t>
        </is>
      </c>
      <c r="D11" s="103" t="inlineStr">
        <is>
          <t>Marca</t>
        </is>
      </c>
      <c r="E11" s="103" t="inlineStr">
        <is>
          <t>Apoio</t>
        </is>
      </c>
      <c r="F11" s="103" t="inlineStr">
        <is>
          <t>Maior</t>
        </is>
      </c>
      <c r="G11" s="103" t="inlineStr">
        <is>
          <t>Tudo ou Nada</t>
        </is>
      </c>
      <c r="H11" s="103" t="inlineStr">
        <is>
          <t>Enfeitiçado</t>
        </is>
      </c>
      <c r="I11" s="40" t="n"/>
      <c r="J11" s="40" t="n"/>
      <c r="K11" s="40" t="n"/>
      <c r="L11" s="103" t="inlineStr">
        <is>
          <t>Sutura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105" t="n">
        <v>30</v>
      </c>
      <c r="X11" s="40" t="n"/>
      <c r="Y11" s="105" t="n">
        <v>26</v>
      </c>
      <c r="Z11" s="40" t="n"/>
      <c r="AA11" s="40" t="n"/>
      <c r="AB11" s="103" t="inlineStr">
        <is>
          <t>Intuição</t>
        </is>
      </c>
      <c r="AC11" s="103" t="inlineStr">
        <is>
          <t>Inteligência</t>
        </is>
      </c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  <c r="AR11" s="40" t="n"/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103" t="inlineStr">
        <is>
          <t>atr_Força</t>
        </is>
      </c>
      <c r="BB11" s="103" t="inlineStr">
        <is>
          <t>D17</t>
        </is>
      </c>
    </row>
    <row r="12" ht="17.25" customHeight="1">
      <c r="A12" s="40" t="n"/>
      <c r="B12" s="103" t="inlineStr">
        <is>
          <t>Religião</t>
        </is>
      </c>
      <c r="C12" s="103" t="inlineStr">
        <is>
          <t>Culinária</t>
        </is>
      </c>
      <c r="D12" s="103" t="inlineStr">
        <is>
          <t>Amparo</t>
        </is>
      </c>
      <c r="E12" s="103" t="inlineStr">
        <is>
          <t>Onda</t>
        </is>
      </c>
      <c r="F12" s="103" t="inlineStr">
        <is>
          <t>Muito Maior</t>
        </is>
      </c>
      <c r="G12" s="103" t="inlineStr">
        <is>
          <t>Uma Vez</t>
        </is>
      </c>
      <c r="H12" s="103" t="inlineStr">
        <is>
          <t>Petrificado</t>
        </is>
      </c>
      <c r="I12" s="40" t="n"/>
      <c r="J12" s="40" t="n"/>
      <c r="K12" s="40" t="n"/>
      <c r="L12" s="103" t="inlineStr">
        <is>
          <t>Perímetro</t>
        </is>
      </c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103" t="inlineStr">
        <is>
          <t>Ocultismo</t>
        </is>
      </c>
      <c r="AC12" s="103" t="inlineStr">
        <is>
          <t>Inteligência</t>
        </is>
      </c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103" t="inlineStr">
        <is>
          <t>atr_Destreza</t>
        </is>
      </c>
      <c r="BB12" s="103" t="inlineStr">
        <is>
          <t>L17</t>
        </is>
      </c>
    </row>
    <row r="13" ht="17.25" customHeight="1">
      <c r="A13" s="40" t="n"/>
      <c r="B13" s="103" t="inlineStr">
        <is>
          <t>História</t>
        </is>
      </c>
      <c r="C13" s="103" t="inlineStr">
        <is>
          <t>Instrumento</t>
        </is>
      </c>
      <c r="D13" s="40" t="n"/>
      <c r="E13" s="103" t="inlineStr">
        <is>
          <t>Efeito</t>
        </is>
      </c>
      <c r="F13" s="103" t="inlineStr">
        <is>
          <t>Escolher</t>
        </is>
      </c>
      <c r="G13" s="103" t="inlineStr">
        <is>
          <t>Condicional</t>
        </is>
      </c>
      <c r="H13" s="103" t="inlineStr">
        <is>
          <t>Impedido</t>
        </is>
      </c>
      <c r="I13" s="40" t="n"/>
      <c r="J13" s="40" t="n"/>
      <c r="K13" s="40" t="n"/>
      <c r="L13" s="103" t="inlineStr">
        <is>
          <t>Torrente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103" t="inlineStr">
        <is>
          <t>Religião</t>
        </is>
      </c>
      <c r="AC13" s="103" t="inlineStr">
        <is>
          <t>Inteligência</t>
        </is>
      </c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  <c r="AR13" s="40" t="n"/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103" t="inlineStr">
        <is>
          <t>atr_Constituição</t>
        </is>
      </c>
      <c r="BB13" s="103" t="inlineStr">
        <is>
          <t>T17</t>
        </is>
      </c>
    </row>
    <row r="14" ht="17.25" customHeight="1">
      <c r="A14" s="40" t="n"/>
      <c r="B14" s="103" t="inlineStr">
        <is>
          <t>Hierarquia</t>
        </is>
      </c>
      <c r="C14" s="103" t="inlineStr">
        <is>
          <t>Jogatina</t>
        </is>
      </c>
      <c r="D14" s="40" t="n"/>
      <c r="E14" s="40" t="n"/>
      <c r="F14" s="103" t="inlineStr">
        <is>
          <t>Fica</t>
        </is>
      </c>
      <c r="G14" s="103" t="inlineStr">
        <is>
          <t>Fraqueza</t>
        </is>
      </c>
      <c r="H14" s="103" t="inlineStr">
        <is>
          <t>Cego</t>
        </is>
      </c>
      <c r="I14" s="40" t="n"/>
      <c r="J14" s="40" t="n"/>
      <c r="K14" s="40" t="n"/>
      <c r="L14" s="103" t="inlineStr">
        <is>
          <t>Explosivo</t>
        </is>
      </c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103" t="inlineStr">
        <is>
          <t>História</t>
        </is>
      </c>
      <c r="AC14" s="103" t="inlineStr">
        <is>
          <t>Inteligência</t>
        </is>
      </c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103" t="inlineStr">
        <is>
          <t>atr_Inteligência</t>
        </is>
      </c>
      <c r="BB14" s="103" t="inlineStr">
        <is>
          <t>AB17</t>
        </is>
      </c>
    </row>
    <row r="15" ht="17.25" customHeight="1">
      <c r="A15" s="40" t="n"/>
      <c r="B15" s="103" t="inlineStr">
        <is>
          <t>Medicina</t>
        </is>
      </c>
      <c r="C15" s="40" t="n"/>
      <c r="D15" s="40" t="n"/>
      <c r="E15" s="40" t="n"/>
      <c r="F15" s="103" t="inlineStr">
        <is>
          <t>Mais Um</t>
        </is>
      </c>
      <c r="G15" s="103" t="inlineStr">
        <is>
          <t>Frágil</t>
        </is>
      </c>
      <c r="H15" s="103" t="inlineStr">
        <is>
          <t>Amedrontado</t>
        </is>
      </c>
      <c r="I15" s="40" t="n"/>
      <c r="J15" s="40" t="n"/>
      <c r="K15" s="40" t="n"/>
      <c r="L15" s="103" t="inlineStr">
        <is>
          <t>Arremate</t>
        </is>
      </c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103" t="inlineStr">
        <is>
          <t>Hierarquia</t>
        </is>
      </c>
      <c r="AC15" s="103" t="inlineStr">
        <is>
          <t>Inteligência</t>
        </is>
      </c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  <c r="AR15" s="40" t="n"/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103" t="inlineStr">
        <is>
          <t>atr_Essência</t>
        </is>
      </c>
      <c r="BB15" s="103" t="inlineStr">
        <is>
          <t>AJ17</t>
        </is>
      </c>
    </row>
    <row r="16" ht="17.25" customHeight="1">
      <c r="A16" s="40" t="n"/>
      <c r="B16" s="103" t="inlineStr">
        <is>
          <t>Sobrevivência</t>
        </is>
      </c>
      <c r="C16" s="40" t="n"/>
      <c r="D16" s="40" t="n"/>
      <c r="E16" s="40" t="n"/>
      <c r="F16" s="103" t="inlineStr">
        <is>
          <t>Rajada</t>
        </is>
      </c>
      <c r="G16" s="103" t="inlineStr">
        <is>
          <t>Barulho</t>
        </is>
      </c>
      <c r="H16" s="103" t="inlineStr">
        <is>
          <t>Envenenado</t>
        </is>
      </c>
      <c r="I16" s="40" t="n"/>
      <c r="J16" s="40" t="n"/>
      <c r="K16" s="40" t="n"/>
      <c r="L16" s="103" t="inlineStr">
        <is>
          <t>Servo</t>
        </is>
      </c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103" t="inlineStr">
        <is>
          <t>Medicina</t>
        </is>
      </c>
      <c r="AC16" s="103" t="inlineStr">
        <is>
          <t>Inteligência</t>
        </is>
      </c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103" t="inlineStr">
        <is>
          <t>vida</t>
        </is>
      </c>
      <c r="BB16" s="103" t="inlineStr">
        <is>
          <t>D23</t>
        </is>
      </c>
    </row>
    <row r="17" ht="17.25" customHeight="1">
      <c r="A17" s="40" t="n"/>
      <c r="B17" s="103" t="inlineStr">
        <is>
          <t>Natureza</t>
        </is>
      </c>
      <c r="C17" s="40" t="n"/>
      <c r="D17" s="40" t="n"/>
      <c r="E17" s="40" t="n"/>
      <c r="F17" s="103" t="inlineStr">
        <is>
          <t>Salto</t>
        </is>
      </c>
      <c r="G17" s="103" t="inlineStr">
        <is>
          <t>Assinatura</t>
        </is>
      </c>
      <c r="H17" s="103" t="inlineStr">
        <is>
          <t>Atordoado</t>
        </is>
      </c>
      <c r="I17" s="40" t="n"/>
      <c r="J17" s="40" t="n"/>
      <c r="K17" s="40" t="n"/>
      <c r="L17" s="103" t="inlineStr">
        <is>
          <t>Matilha</t>
        </is>
      </c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103" t="inlineStr">
        <is>
          <t>Sobrevivência</t>
        </is>
      </c>
      <c r="AC17" s="103" t="inlineStr">
        <is>
          <t>Inteligência</t>
        </is>
      </c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  <c r="AO17" s="40" t="n"/>
      <c r="AP17" s="40" t="n"/>
      <c r="AQ17" s="40" t="n"/>
      <c r="AR17" s="40" t="n"/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103" t="inlineStr">
        <is>
          <t>vida_max</t>
        </is>
      </c>
      <c r="BB17" s="103" t="inlineStr">
        <is>
          <t>J23</t>
        </is>
      </c>
    </row>
    <row r="18" ht="17.25" customHeight="1">
      <c r="A18" s="40" t="n"/>
      <c r="B18" s="103" t="inlineStr">
        <is>
          <t>Lidar com Animais</t>
        </is>
      </c>
      <c r="C18" s="40" t="n"/>
      <c r="D18" s="40" t="n"/>
      <c r="E18" s="40" t="n"/>
      <c r="F18" s="103" t="inlineStr">
        <is>
          <t>Contorno</t>
        </is>
      </c>
      <c r="G18" s="103" t="inlineStr">
        <is>
          <t>Aquecer</t>
        </is>
      </c>
      <c r="H18" s="40" t="n"/>
      <c r="I18" s="40" t="n"/>
      <c r="J18" s="40" t="n"/>
      <c r="K18" s="40" t="n"/>
      <c r="L18" s="103" t="inlineStr">
        <is>
          <t>Coro</t>
        </is>
      </c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103" t="inlineStr">
        <is>
          <t>Natureza</t>
        </is>
      </c>
      <c r="AC18" s="103" t="inlineStr">
        <is>
          <t>Inteligência</t>
        </is>
      </c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  <c r="AO18" s="40" t="n"/>
      <c r="AP18" s="40" t="n"/>
      <c r="AQ18" s="40" t="n"/>
      <c r="AR18" s="40" t="n"/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103" t="inlineStr">
        <is>
          <t>vida_temp</t>
        </is>
      </c>
      <c r="BB18" s="103" t="inlineStr">
        <is>
          <t>AF23</t>
        </is>
      </c>
    </row>
    <row r="19" ht="17.25" customHeight="1">
      <c r="A19" s="40" t="n"/>
      <c r="B19" s="103" t="inlineStr">
        <is>
          <t>Tecnologia</t>
        </is>
      </c>
      <c r="C19" s="40" t="n"/>
      <c r="D19" s="40" t="n"/>
      <c r="E19" s="40" t="n"/>
      <c r="F19" s="103" t="inlineStr">
        <is>
          <t>Precisão</t>
        </is>
      </c>
      <c r="G19" s="103" t="inlineStr">
        <is>
          <t>Dívida</t>
        </is>
      </c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103" t="inlineStr">
        <is>
          <t>Lidar com Animais</t>
        </is>
      </c>
      <c r="AC19" s="103" t="inlineStr">
        <is>
          <t>Inteligência</t>
        </is>
      </c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  <c r="AO19" s="40" t="n"/>
      <c r="AP19" s="40" t="n"/>
      <c r="AQ19" s="40" t="n"/>
      <c r="AR19" s="40" t="n"/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103" t="inlineStr">
        <is>
          <t>vida_delta</t>
        </is>
      </c>
      <c r="BB19" s="103" t="inlineStr">
        <is>
          <t>AM23</t>
        </is>
      </c>
    </row>
    <row r="20" ht="17.25" customHeight="1">
      <c r="A20" s="40" t="n"/>
      <c r="B20" s="103" t="inlineStr">
        <is>
          <t>Sentir Energia</t>
        </is>
      </c>
      <c r="C20" s="40" t="n"/>
      <c r="D20" s="40" t="n"/>
      <c r="E20" s="40" t="n"/>
      <c r="F20" s="103" t="inlineStr">
        <is>
          <t>Certeiro</t>
        </is>
      </c>
      <c r="G20" s="103" t="inlineStr">
        <is>
          <t>Peso Morto</t>
        </is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103" t="inlineStr">
        <is>
          <t>Tecnologia</t>
        </is>
      </c>
      <c r="AC20" s="103" t="inlineStr">
        <is>
          <t>Inteligência</t>
        </is>
      </c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103" t="inlineStr">
        <is>
          <t>energia</t>
        </is>
      </c>
      <c r="BB20" s="103" t="inlineStr">
        <is>
          <t>D27</t>
        </is>
      </c>
    </row>
    <row r="21" ht="17.25" customHeight="1">
      <c r="A21" s="40" t="n"/>
      <c r="B21" s="103" t="inlineStr">
        <is>
          <t>Percepção</t>
        </is>
      </c>
      <c r="C21" s="40" t="n"/>
      <c r="D21" s="40" t="n"/>
      <c r="E21" s="40" t="n"/>
      <c r="F21" s="103" t="inlineStr">
        <is>
          <t>Inescapável</t>
        </is>
      </c>
      <c r="G21" s="103" t="inlineStr">
        <is>
          <t>Sem Volta</t>
        </is>
      </c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103" t="inlineStr">
        <is>
          <t>Sentir Energia</t>
        </is>
      </c>
      <c r="AC21" s="103" t="inlineStr">
        <is>
          <t>Essência</t>
        </is>
      </c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  <c r="AO21" s="40" t="n"/>
      <c r="AP21" s="40" t="n"/>
      <c r="AQ21" s="40" t="n"/>
      <c r="AR21" s="40" t="n"/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103" t="inlineStr">
        <is>
          <t>energia_max</t>
        </is>
      </c>
      <c r="BB21" s="103" t="inlineStr">
        <is>
          <t>J27</t>
        </is>
      </c>
    </row>
    <row r="22" ht="17.25" customHeight="1">
      <c r="A22" s="40" t="n"/>
      <c r="B22" s="103" t="inlineStr">
        <is>
          <t>Persuasão</t>
        </is>
      </c>
      <c r="C22" s="40" t="n"/>
      <c r="D22" s="40" t="n"/>
      <c r="E22" s="40" t="n"/>
      <c r="F22" s="103" t="inlineStr">
        <is>
          <t>Fura</t>
        </is>
      </c>
      <c r="G22" s="103" t="inlineStr">
        <is>
          <t>Restrição Própria</t>
        </is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103" t="inlineStr">
        <is>
          <t>Percepção</t>
        </is>
      </c>
      <c r="AC22" s="103" t="inlineStr">
        <is>
          <t>Essência</t>
        </is>
      </c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103" t="inlineStr">
        <is>
          <t>energia_temp</t>
        </is>
      </c>
      <c r="BB22" s="103" t="inlineStr">
        <is>
          <t>AF27</t>
        </is>
      </c>
    </row>
    <row r="23" ht="17.25" customHeight="1">
      <c r="A23" s="40" t="n"/>
      <c r="B23" s="103" t="inlineStr">
        <is>
          <t>Enganação</t>
        </is>
      </c>
      <c r="C23" s="40" t="n"/>
      <c r="D23" s="40" t="n"/>
      <c r="E23" s="40" t="n"/>
      <c r="F23" s="103" t="inlineStr">
        <is>
          <t>Corrói</t>
        </is>
      </c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103" t="inlineStr">
        <is>
          <t>Persuasão</t>
        </is>
      </c>
      <c r="AC23" s="103" t="inlineStr">
        <is>
          <t>Essência</t>
        </is>
      </c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  <c r="AO23" s="40" t="n"/>
      <c r="AP23" s="40" t="n"/>
      <c r="AQ23" s="40" t="n"/>
      <c r="AR23" s="40" t="n"/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103" t="inlineStr">
        <is>
          <t>energia_delta</t>
        </is>
      </c>
      <c r="BB23" s="103" t="inlineStr">
        <is>
          <t>AM27</t>
        </is>
      </c>
    </row>
    <row r="24" ht="17.25" customHeight="1">
      <c r="A24" s="40" t="n"/>
      <c r="B24" s="103" t="inlineStr">
        <is>
          <t>Intimidação</t>
        </is>
      </c>
      <c r="C24" s="40" t="n"/>
      <c r="D24" s="40" t="n"/>
      <c r="E24" s="40" t="n"/>
      <c r="F24" s="103" t="inlineStr">
        <is>
          <t>Sem Cobertura</t>
        </is>
      </c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103" t="inlineStr">
        <is>
          <t>Enganação</t>
        </is>
      </c>
      <c r="AC24" s="103" t="inlineStr">
        <is>
          <t>Essência</t>
        </is>
      </c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103" t="inlineStr">
        <is>
          <t>integridade</t>
        </is>
      </c>
      <c r="BB24" s="103" t="inlineStr">
        <is>
          <t>D31</t>
        </is>
      </c>
    </row>
    <row r="25" ht="17.25" customHeight="1">
      <c r="A25" s="40" t="n"/>
      <c r="B25" s="103" t="inlineStr">
        <is>
          <t>Atuação</t>
        </is>
      </c>
      <c r="C25" s="40" t="n"/>
      <c r="D25" s="40" t="n"/>
      <c r="E25" s="40" t="n"/>
      <c r="F25" s="103" t="inlineStr">
        <is>
          <t>De Novo</t>
        </is>
      </c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103" t="inlineStr">
        <is>
          <t>Intimidação</t>
        </is>
      </c>
      <c r="AC25" s="103" t="inlineStr">
        <is>
          <t>Essência</t>
        </is>
      </c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  <c r="AO25" s="40" t="n"/>
      <c r="AP25" s="40" t="n"/>
      <c r="AQ25" s="40" t="n"/>
      <c r="AR25" s="40" t="n"/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103" t="inlineStr">
        <is>
          <t>integridade_max</t>
        </is>
      </c>
      <c r="BB25" s="103" t="inlineStr">
        <is>
          <t>J31</t>
        </is>
      </c>
    </row>
    <row r="26" ht="17.25" customHeight="1">
      <c r="A26" s="40" t="n"/>
      <c r="B26" s="103" t="inlineStr">
        <is>
          <t>Provocar</t>
        </is>
      </c>
      <c r="C26" s="40" t="n"/>
      <c r="D26" s="40" t="n"/>
      <c r="E26" s="40" t="n"/>
      <c r="F26" s="103" t="inlineStr">
        <is>
          <t>Toca a Alma</t>
        </is>
      </c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103" t="inlineStr">
        <is>
          <t>Atuação</t>
        </is>
      </c>
      <c r="AC26" s="103" t="inlineStr">
        <is>
          <t>Essência</t>
        </is>
      </c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103" t="inlineStr">
        <is>
          <t>integridade_temp</t>
        </is>
      </c>
      <c r="BB26" s="103" t="inlineStr">
        <is>
          <t>AF31</t>
        </is>
      </c>
    </row>
    <row r="27" ht="17.25" customHeight="1">
      <c r="A27" s="40" t="n"/>
      <c r="B27" s="40" t="n"/>
      <c r="C27" s="40" t="n"/>
      <c r="D27" s="40" t="n"/>
      <c r="E27" s="40" t="n"/>
      <c r="F27" s="103" t="inlineStr">
        <is>
          <t>Terreno</t>
        </is>
      </c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103" t="inlineStr">
        <is>
          <t>Provocar</t>
        </is>
      </c>
      <c r="AC27" s="103" t="inlineStr">
        <is>
          <t>Essência</t>
        </is>
      </c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  <c r="AO27" s="40" t="n"/>
      <c r="AP27" s="40" t="n"/>
      <c r="AQ27" s="40" t="n"/>
      <c r="AR27" s="40" t="n"/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103" t="inlineStr">
        <is>
          <t>integridade_delta</t>
        </is>
      </c>
      <c r="BB27" s="103" t="inlineStr">
        <is>
          <t>AM31</t>
        </is>
      </c>
    </row>
    <row r="28" ht="17.25" customHeight="1">
      <c r="A28" s="40" t="n"/>
      <c r="B28" s="40" t="n"/>
      <c r="C28" s="40" t="n"/>
      <c r="D28" s="40" t="n"/>
      <c r="E28" s="40" t="n"/>
      <c r="F28" s="103" t="inlineStr">
        <is>
          <t>Anteparo</t>
        </is>
      </c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103" t="inlineStr">
        <is>
          <t>estagio_alma</t>
        </is>
      </c>
      <c r="BB28" s="103" t="inlineStr">
        <is>
          <t>D34</t>
        </is>
      </c>
    </row>
    <row r="29" ht="17.25" customHeight="1">
      <c r="A29" s="40" t="n"/>
      <c r="B29" s="40" t="n"/>
      <c r="C29" s="40" t="n"/>
      <c r="D29" s="40" t="n"/>
      <c r="E29" s="40" t="n"/>
      <c r="F29" s="103" t="inlineStr">
        <is>
          <t>Prende</t>
        </is>
      </c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  <c r="AO29" s="40" t="n"/>
      <c r="AP29" s="40" t="n"/>
      <c r="AQ29" s="40" t="n"/>
      <c r="AR29" s="40" t="n"/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103" t="inlineStr">
        <is>
          <t>defesa</t>
        </is>
      </c>
      <c r="BB29" s="103" t="inlineStr">
        <is>
          <t>D40</t>
        </is>
      </c>
    </row>
    <row r="30" ht="17.25" customHeight="1">
      <c r="A30" s="40" t="n"/>
      <c r="B30" s="40" t="n"/>
      <c r="C30" s="40" t="n"/>
      <c r="D30" s="40" t="n"/>
      <c r="E30" s="40" t="n"/>
      <c r="F30" s="103" t="inlineStr">
        <is>
          <t>Cerca</t>
        </is>
      </c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103" t="inlineStr">
        <is>
          <t>proteção</t>
        </is>
      </c>
      <c r="BB30" s="103" t="inlineStr">
        <is>
          <t>O40</t>
        </is>
      </c>
    </row>
    <row r="31" ht="17.25" customHeight="1">
      <c r="A31" s="40" t="n"/>
      <c r="B31" s="40" t="n"/>
      <c r="C31" s="40" t="n"/>
      <c r="D31" s="40" t="n"/>
      <c r="E31" s="40" t="n"/>
      <c r="F31" s="103" t="inlineStr">
        <is>
          <t>Puxa</t>
        </is>
      </c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103" t="inlineStr">
        <is>
          <t>equipamento</t>
        </is>
      </c>
      <c r="BB31" s="103" t="inlineStr">
        <is>
          <t>Z40</t>
        </is>
      </c>
    </row>
    <row r="32" ht="17.25" customHeight="1">
      <c r="A32" s="40" t="n"/>
      <c r="B32" s="40" t="n"/>
      <c r="C32" s="40" t="n"/>
      <c r="D32" s="40" t="n"/>
      <c r="E32" s="40" t="n"/>
      <c r="F32" s="103" t="inlineStr">
        <is>
          <t>Desarma o Feitiço</t>
        </is>
      </c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103" t="inlineStr">
        <is>
          <t>iniciativa</t>
        </is>
      </c>
      <c r="BB32" s="103" t="inlineStr">
        <is>
          <t>AK40</t>
        </is>
      </c>
    </row>
    <row r="33" ht="17.25" customHeight="1">
      <c r="A33" s="40" t="n"/>
      <c r="B33" s="40" t="n"/>
      <c r="C33" s="40" t="n"/>
      <c r="D33" s="40" t="n"/>
      <c r="E33" s="40" t="n"/>
      <c r="F33" s="103" t="inlineStr">
        <is>
          <t>Nível</t>
        </is>
      </c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  <c r="AO33" s="40" t="n"/>
      <c r="AP33" s="40" t="n"/>
      <c r="AQ33" s="40" t="n"/>
      <c r="AR33" s="40" t="n"/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103" t="inlineStr">
        <is>
          <t>cd de feitiço</t>
        </is>
      </c>
      <c r="BB33" s="103" t="inlineStr">
        <is>
          <t>D44</t>
        </is>
      </c>
    </row>
    <row r="34" ht="17.25" customHeight="1">
      <c r="A34" s="40" t="n"/>
      <c r="B34" s="40" t="n"/>
      <c r="C34" s="40" t="n"/>
      <c r="D34" s="40" t="n"/>
      <c r="E34" s="40" t="n"/>
      <c r="F34" s="103" t="inlineStr">
        <is>
          <t>Impulso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  <c r="AO34" s="40" t="n"/>
      <c r="AP34" s="40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103" t="inlineStr">
        <is>
          <t>conjuração</t>
        </is>
      </c>
      <c r="BB34" s="103" t="inlineStr">
        <is>
          <t>O44</t>
        </is>
      </c>
    </row>
    <row r="35" ht="17.25" customHeight="1">
      <c r="A35" s="40" t="n"/>
      <c r="B35" s="40" t="n"/>
      <c r="C35" s="40" t="n"/>
      <c r="D35" s="40" t="n"/>
      <c r="E35" s="40" t="n"/>
      <c r="F35" s="103" t="inlineStr">
        <is>
          <t>Trava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  <c r="AO35" s="40" t="n"/>
      <c r="AP35" s="40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103" t="inlineStr">
        <is>
          <t>corpo a corpo</t>
        </is>
      </c>
      <c r="BB35" s="103" t="inlineStr">
        <is>
          <t>Z44</t>
        </is>
      </c>
    </row>
    <row r="36" ht="17.25" customHeight="1">
      <c r="A36" s="40" t="n"/>
      <c r="B36" s="40" t="n"/>
      <c r="C36" s="40" t="n"/>
      <c r="D36" s="40" t="n"/>
      <c r="E36" s="40" t="n"/>
      <c r="F36" s="103" t="inlineStr">
        <is>
          <t>Abre Ferida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103" t="inlineStr">
        <is>
          <t>à distância</t>
        </is>
      </c>
      <c r="BB36" s="103" t="inlineStr">
        <is>
          <t>AK44</t>
        </is>
      </c>
    </row>
    <row r="37" ht="17.25" customHeight="1">
      <c r="A37" s="40" t="n"/>
      <c r="B37" s="40" t="n"/>
      <c r="C37" s="40" t="n"/>
      <c r="D37" s="40" t="n"/>
      <c r="E37" s="40" t="n"/>
      <c r="F37" s="103" t="inlineStr">
        <is>
          <t>Sobrecarga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  <c r="AO37" s="40" t="n"/>
      <c r="AP37" s="40" t="n"/>
      <c r="AQ37" s="40" t="n"/>
      <c r="AR37" s="40" t="n"/>
      <c r="AS37" s="40" t="n"/>
      <c r="AT37" s="40" t="n"/>
      <c r="AU37" s="40" t="n"/>
      <c r="AV37" s="40" t="n"/>
      <c r="AW37" s="40" t="n"/>
      <c r="AX37" s="40" t="n"/>
      <c r="AY37" s="40" t="n"/>
      <c r="AZ37" s="40" t="n"/>
      <c r="BA37" s="103" t="inlineStr">
        <is>
          <t>maestria</t>
        </is>
      </c>
      <c r="BB37" s="103" t="inlineStr">
        <is>
          <t>D48</t>
        </is>
      </c>
    </row>
    <row r="38" ht="17.25" customHeight="1">
      <c r="A38" s="40" t="n"/>
      <c r="B38" s="40" t="n"/>
      <c r="C38" s="40" t="n"/>
      <c r="D38" s="40" t="n"/>
      <c r="E38" s="40" t="n"/>
      <c r="F38" s="103" t="inlineStr">
        <is>
          <t>Firmeza</t>
        </is>
      </c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103" t="inlineStr">
        <is>
          <t>deslocamento</t>
        </is>
      </c>
      <c r="BB38" s="103" t="inlineStr">
        <is>
          <t>O48</t>
        </is>
      </c>
    </row>
    <row r="39" ht="17.25" customHeight="1">
      <c r="A39" s="40" t="n"/>
      <c r="B39" s="40" t="n"/>
      <c r="C39" s="40" t="n"/>
      <c r="D39" s="40" t="n"/>
      <c r="E39" s="40" t="n"/>
      <c r="F39" s="103" t="inlineStr">
        <is>
          <t>Guarda</t>
        </is>
      </c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103" t="inlineStr">
        <is>
          <t>espaços de feitiço</t>
        </is>
      </c>
      <c r="BB39" s="103" t="inlineStr">
        <is>
          <t>D54</t>
        </is>
      </c>
    </row>
    <row r="40" ht="17.25" customHeight="1">
      <c r="A40" s="40" t="n"/>
      <c r="B40" s="40" t="n"/>
      <c r="C40" s="40" t="n"/>
      <c r="D40" s="40" t="n"/>
      <c r="E40" s="40" t="n"/>
      <c r="F40" s="103" t="inlineStr">
        <is>
          <t>Pressa</t>
        </is>
      </c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103" t="inlineStr">
        <is>
          <t>refino de graça</t>
        </is>
      </c>
      <c r="BB40" s="103" t="inlineStr">
        <is>
          <t>O54</t>
        </is>
      </c>
    </row>
    <row r="41" ht="17.25" customHeight="1">
      <c r="A41" s="40" t="n"/>
      <c r="B41" s="40" t="n"/>
      <c r="C41" s="40" t="n"/>
      <c r="D41" s="40" t="n"/>
      <c r="E41" s="40" t="n"/>
      <c r="F41" s="103" t="inlineStr">
        <is>
          <t>Enfraquece</t>
        </is>
      </c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  <c r="AR41" s="40" t="n"/>
      <c r="AS41" s="40" t="n"/>
      <c r="AT41" s="40" t="n"/>
      <c r="AU41" s="40" t="n"/>
      <c r="AV41" s="40" t="n"/>
      <c r="AW41" s="40" t="n"/>
      <c r="AX41" s="40" t="n"/>
      <c r="AY41" s="40" t="n"/>
      <c r="AZ41" s="40" t="n"/>
      <c r="BA41" s="103" t="inlineStr">
        <is>
          <t>classe máxima</t>
        </is>
      </c>
      <c r="BB41" s="103" t="inlineStr">
        <is>
          <t>Z54</t>
        </is>
      </c>
    </row>
    <row r="42" ht="17.25" customHeight="1">
      <c r="A42" s="40" t="n"/>
      <c r="B42" s="40" t="n"/>
      <c r="C42" s="40" t="n"/>
      <c r="D42" s="40" t="n"/>
      <c r="E42" s="40" t="n"/>
      <c r="F42" s="103" t="inlineStr">
        <is>
          <t>Ecoa</t>
        </is>
      </c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103" t="inlineStr">
        <is>
          <t>classe 0 grátis</t>
        </is>
      </c>
      <c r="BB42" s="103" t="inlineStr">
        <is>
          <t>AK54</t>
        </is>
      </c>
    </row>
    <row r="43" ht="17.25" customHeight="1">
      <c r="A43" s="40" t="n"/>
      <c r="B43" s="40" t="n"/>
      <c r="C43" s="40" t="n"/>
      <c r="D43" s="40" t="n"/>
      <c r="E43" s="40" t="n"/>
      <c r="F43" s="103" t="inlineStr">
        <is>
          <t>Queima</t>
        </is>
      </c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  <c r="AR43" s="40" t="n"/>
      <c r="AS43" s="40" t="n"/>
      <c r="AT43" s="40" t="n"/>
      <c r="AU43" s="40" t="n"/>
      <c r="AV43" s="40" t="n"/>
      <c r="AW43" s="40" t="n"/>
      <c r="AX43" s="40" t="n"/>
      <c r="AY43" s="40" t="n"/>
      <c r="AZ43" s="40" t="n"/>
      <c r="BA43" s="40" t="n"/>
      <c r="BB43" s="40" t="n"/>
    </row>
    <row r="44" ht="17.25" customHeight="1">
      <c r="A44" s="40" t="n"/>
      <c r="B44" s="40" t="n"/>
      <c r="C44" s="40" t="n"/>
      <c r="D44" s="40" t="n"/>
      <c r="E44" s="40" t="n"/>
      <c r="F44" s="103" t="inlineStr">
        <is>
          <t>Acúmulo</t>
        </is>
      </c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  <c r="AR44" s="40" t="n"/>
      <c r="AS44" s="40" t="n"/>
      <c r="AT44" s="40" t="n"/>
      <c r="AU44" s="40" t="n"/>
      <c r="AV44" s="40" t="n"/>
      <c r="AW44" s="40" t="n"/>
      <c r="AX44" s="40" t="n"/>
      <c r="AY44" s="40" t="n"/>
      <c r="AZ44" s="40" t="n"/>
      <c r="BA44" s="40" t="n"/>
      <c r="BB44" s="40" t="n"/>
    </row>
    <row r="45" ht="17.25" customHeight="1">
      <c r="A45" s="40" t="n"/>
      <c r="B45" s="40" t="n"/>
      <c r="C45" s="40" t="n"/>
      <c r="D45" s="40" t="n"/>
      <c r="E45" s="40" t="n"/>
      <c r="F45" s="103" t="inlineStr">
        <is>
          <t>Remate</t>
        </is>
      </c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Y45" s="40" t="n"/>
      <c r="AZ45" s="40" t="n"/>
      <c r="BA45" s="40" t="n"/>
      <c r="BB45" s="40" t="n"/>
    </row>
    <row r="46" ht="17.25" customHeight="1">
      <c r="A46" s="40" t="n"/>
      <c r="B46" s="40" t="n"/>
      <c r="C46" s="40" t="n"/>
      <c r="D46" s="40" t="n"/>
      <c r="E46" s="40" t="n"/>
      <c r="F46" s="103" t="inlineStr">
        <is>
          <t>Estilhaço</t>
        </is>
      </c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  <c r="AV46" s="40" t="n"/>
      <c r="AW46" s="40" t="n"/>
      <c r="AX46" s="40" t="n"/>
      <c r="AY46" s="40" t="n"/>
      <c r="AZ46" s="40" t="n"/>
      <c r="BA46" s="40" t="n"/>
      <c r="BB46" s="40" t="n"/>
    </row>
    <row r="47" ht="17.25" customHeight="1">
      <c r="A47" s="40" t="n"/>
      <c r="B47" s="40" t="n"/>
      <c r="C47" s="40" t="n"/>
      <c r="D47" s="40" t="n"/>
      <c r="E47" s="40" t="n"/>
      <c r="F47" s="103" t="inlineStr">
        <is>
          <t>Quebra Coisa</t>
        </is>
      </c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  <c r="AV47" s="40" t="n"/>
      <c r="AW47" s="40" t="n"/>
      <c r="AX47" s="40" t="n"/>
      <c r="AY47" s="40" t="n"/>
      <c r="AZ47" s="40" t="n"/>
      <c r="BA47" s="40" t="n"/>
      <c r="BB47" s="40" t="n"/>
    </row>
    <row r="48" ht="17.25" customHeight="1">
      <c r="A48" s="40" t="n"/>
      <c r="B48" s="40" t="n"/>
      <c r="C48" s="40" t="n"/>
      <c r="D48" s="40" t="n"/>
      <c r="E48" s="40" t="n"/>
      <c r="F48" s="103" t="inlineStr">
        <is>
          <t>Rasga Escudo</t>
        </is>
      </c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40" t="n"/>
      <c r="BB48" s="40" t="n"/>
    </row>
    <row r="49" ht="17.25" customHeight="1">
      <c r="A49" s="40" t="n"/>
      <c r="B49" s="40" t="n"/>
      <c r="C49" s="40" t="n"/>
      <c r="D49" s="40" t="n"/>
      <c r="E49" s="40" t="n"/>
      <c r="F49" s="103" t="inlineStr">
        <is>
          <t>Sem Cura</t>
        </is>
      </c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0" t="n"/>
      <c r="AY49" s="40" t="n"/>
      <c r="AZ49" s="40" t="n"/>
      <c r="BA49" s="40" t="n"/>
      <c r="BB49" s="40" t="n"/>
    </row>
    <row r="50" ht="17.25" customHeight="1">
      <c r="A50" s="40" t="n"/>
      <c r="B50" s="40" t="n"/>
      <c r="C50" s="40" t="n"/>
      <c r="D50" s="40" t="n"/>
      <c r="E50" s="40" t="n"/>
      <c r="F50" s="103" t="inlineStr">
        <is>
          <t>Rápido</t>
        </is>
      </c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0" t="n"/>
      <c r="AY50" s="40" t="n"/>
      <c r="AZ50" s="40" t="n"/>
      <c r="BA50" s="40" t="n"/>
      <c r="BB50" s="40" t="n"/>
    </row>
    <row r="51" ht="17.25" customHeight="1">
      <c r="A51" s="40" t="n"/>
      <c r="B51" s="40" t="n"/>
      <c r="C51" s="40" t="n"/>
      <c r="D51" s="40" t="n"/>
      <c r="E51" s="40" t="n"/>
      <c r="F51" s="103" t="inlineStr">
        <is>
          <t>Reação</t>
        </is>
      </c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0" t="n"/>
      <c r="AY51" s="40" t="n"/>
      <c r="AZ51" s="40" t="n"/>
      <c r="BA51" s="40" t="n"/>
      <c r="BB51" s="40" t="n"/>
    </row>
    <row r="52" ht="17.25" customHeight="1">
      <c r="A52" s="40" t="n"/>
      <c r="B52" s="40" t="n"/>
      <c r="C52" s="40" t="n"/>
      <c r="D52" s="40" t="n"/>
      <c r="E52" s="40" t="n"/>
      <c r="F52" s="103" t="inlineStr">
        <is>
          <t>Armado</t>
        </is>
      </c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40" t="n"/>
      <c r="BB52" s="40" t="n"/>
    </row>
    <row r="53" ht="17.25" customHeight="1">
      <c r="A53" s="40" t="n"/>
      <c r="B53" s="40" t="n"/>
      <c r="C53" s="40" t="n"/>
      <c r="D53" s="40" t="n"/>
      <c r="E53" s="40" t="n"/>
      <c r="F53" s="103" t="inlineStr">
        <is>
          <t>Silencioso</t>
        </is>
      </c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0" t="n"/>
      <c r="AY53" s="40" t="n"/>
      <c r="AZ53" s="40" t="n"/>
      <c r="BA53" s="40" t="n"/>
      <c r="BB53" s="40" t="n"/>
    </row>
    <row r="54" ht="17.25" customHeight="1">
      <c r="A54" s="40" t="n"/>
      <c r="B54" s="40" t="n"/>
      <c r="C54" s="40" t="n"/>
      <c r="D54" s="40" t="n"/>
      <c r="E54" s="40" t="n"/>
      <c r="F54" s="103" t="inlineStr">
        <is>
          <t>Adianta</t>
        </is>
      </c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40" t="n"/>
      <c r="BB54" s="40" t="n"/>
    </row>
    <row r="55" ht="17.25" customHeight="1">
      <c r="A55" s="40" t="n"/>
      <c r="B55" s="40" t="n"/>
      <c r="C55" s="40" t="n"/>
      <c r="D55" s="40" t="n"/>
      <c r="E55" s="40" t="n"/>
      <c r="F55" s="103" t="inlineStr">
        <is>
          <t>Segura</t>
        </is>
      </c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0" t="n"/>
      <c r="AY55" s="40" t="n"/>
      <c r="AZ55" s="40" t="n"/>
      <c r="BA55" s="40" t="n"/>
      <c r="BB55" s="40" t="n"/>
    </row>
    <row r="56" ht="17.25" customHeight="1">
      <c r="A56" s="40" t="n"/>
      <c r="B56" s="40" t="n"/>
      <c r="C56" s="40" t="n"/>
      <c r="D56" s="40" t="n"/>
      <c r="E56" s="40" t="n"/>
      <c r="F56" s="103" t="inlineStr">
        <is>
          <t>Marca</t>
        </is>
      </c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0" t="n"/>
      <c r="AY56" s="40" t="n"/>
      <c r="AZ56" s="40" t="n"/>
      <c r="BA56" s="40" t="n"/>
      <c r="BB56" s="40" t="n"/>
    </row>
    <row r="57" ht="17.25" customHeight="1">
      <c r="A57" s="40" t="n"/>
      <c r="B57" s="40" t="n"/>
      <c r="C57" s="40" t="n"/>
      <c r="D57" s="40" t="n"/>
      <c r="E57" s="40" t="n"/>
      <c r="F57" s="103" t="inlineStr">
        <is>
          <t>Rastro</t>
        </is>
      </c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0" t="n"/>
      <c r="AY57" s="40" t="n"/>
      <c r="AZ57" s="40" t="n"/>
      <c r="BA57" s="40" t="n"/>
      <c r="BB57" s="40" t="n"/>
    </row>
    <row r="58" ht="17.25" customHeight="1">
      <c r="A58" s="40" t="n"/>
      <c r="B58" s="40" t="n"/>
      <c r="C58" s="40" t="n"/>
      <c r="D58" s="40" t="n"/>
      <c r="E58" s="40" t="n"/>
      <c r="F58" s="103" t="inlineStr">
        <is>
          <t>Sugar</t>
        </is>
      </c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40" t="n"/>
      <c r="BB58" s="40" t="n"/>
    </row>
    <row r="59" ht="17.25" customHeight="1">
      <c r="A59" s="40" t="n"/>
      <c r="B59" s="40" t="n"/>
      <c r="C59" s="40" t="n"/>
      <c r="D59" s="40" t="n"/>
      <c r="E59" s="40" t="n"/>
      <c r="F59" s="103" t="inlineStr">
        <is>
          <t>Isca</t>
        </is>
      </c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0" t="n"/>
      <c r="AY59" s="40" t="n"/>
      <c r="AZ59" s="40" t="n"/>
      <c r="BA59" s="40" t="n"/>
      <c r="BB59" s="40" t="n"/>
    </row>
    <row r="60" ht="17.25" customHeight="1">
      <c r="A60" s="40" t="n"/>
      <c r="B60" s="40" t="n"/>
      <c r="C60" s="40" t="n"/>
      <c r="D60" s="40" t="n"/>
      <c r="E60" s="40" t="n"/>
      <c r="F60" s="103" t="inlineStr">
        <is>
          <t>Cobrança</t>
        </is>
      </c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40" t="n"/>
      <c r="BB60" s="40" t="n"/>
    </row>
    <row r="61" ht="17.25" customHeight="1">
      <c r="A61" s="40" t="n"/>
      <c r="B61" s="40" t="n"/>
      <c r="C61" s="40" t="n"/>
      <c r="D61" s="40" t="n"/>
      <c r="E61" s="40" t="n"/>
      <c r="F61" s="103" t="inlineStr">
        <is>
          <t>Aviso</t>
        </is>
      </c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0" t="n"/>
      <c r="AY61" s="40" t="n"/>
      <c r="AZ61" s="40" t="n"/>
      <c r="BA61" s="40" t="n"/>
      <c r="BB61" s="40" t="n"/>
    </row>
    <row r="62" ht="17.25" customHeight="1">
      <c r="A62" s="40" t="n"/>
      <c r="B62" s="40" t="n"/>
      <c r="C62" s="40" t="n"/>
      <c r="D62" s="40" t="n"/>
      <c r="E62" s="40" t="n"/>
      <c r="F62" s="103" t="inlineStr">
        <is>
          <t>Limpa</t>
        </is>
      </c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40" t="n"/>
      <c r="BB62" s="40" t="n"/>
    </row>
    <row r="63" ht="17.25" customHeight="1">
      <c r="A63" s="40" t="n"/>
      <c r="B63" s="40" t="n"/>
      <c r="C63" s="40" t="n"/>
      <c r="D63" s="40" t="n"/>
      <c r="E63" s="40" t="n"/>
      <c r="F63" s="103" t="inlineStr">
        <is>
          <t>Limpa Fundo</t>
        </is>
      </c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0" t="n"/>
      <c r="AY63" s="40" t="n"/>
      <c r="AZ63" s="40" t="n"/>
      <c r="BA63" s="40" t="n"/>
      <c r="BB63" s="40" t="n"/>
    </row>
    <row r="64" ht="17.25" customHeight="1">
      <c r="A64" s="40" t="n"/>
      <c r="B64" s="40" t="n"/>
      <c r="C64" s="40" t="n"/>
      <c r="D64" s="40" t="n"/>
      <c r="E64" s="40" t="n"/>
      <c r="F64" s="103" t="inlineStr">
        <is>
          <t>Levanta</t>
        </is>
      </c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40" t="n"/>
      <c r="BB64" s="40" t="n"/>
    </row>
    <row r="65" ht="17.25" customHeight="1">
      <c r="A65" s="40" t="n"/>
      <c r="B65" s="40" t="n"/>
      <c r="C65" s="40" t="n"/>
      <c r="D65" s="40" t="n"/>
      <c r="E65" s="40" t="n"/>
      <c r="F65" s="103" t="inlineStr">
        <is>
          <t>Divide</t>
        </is>
      </c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0" t="n"/>
      <c r="AY65" s="40" t="n"/>
      <c r="AZ65" s="40" t="n"/>
      <c r="BA65" s="40" t="n"/>
      <c r="BB65" s="40" t="n"/>
    </row>
    <row r="66" ht="17.25" customHeight="1">
      <c r="A66" s="40" t="n"/>
      <c r="B66" s="40" t="n"/>
      <c r="C66" s="40" t="n"/>
      <c r="D66" s="40" t="n"/>
      <c r="E66" s="40" t="n"/>
      <c r="F66" s="103" t="inlineStr">
        <is>
          <t>Junto</t>
        </is>
      </c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0" t="n"/>
      <c r="AY66" s="40" t="n"/>
      <c r="AZ66" s="40" t="n"/>
      <c r="BA66" s="40" t="n"/>
      <c r="BB66" s="40" t="n"/>
    </row>
    <row r="67" ht="17.25" customHeight="1">
      <c r="A67" s="40" t="n"/>
      <c r="B67" s="40" t="n"/>
      <c r="C67" s="40" t="n"/>
      <c r="D67" s="40" t="n"/>
      <c r="E67" s="40" t="n"/>
      <c r="F67" s="103" t="inlineStr">
        <is>
          <t>Reserva</t>
        </is>
      </c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0" t="n"/>
      <c r="AY67" s="40" t="n"/>
      <c r="AZ67" s="40" t="n"/>
      <c r="BA67" s="40" t="n"/>
      <c r="BB67" s="40" t="n"/>
    </row>
    <row r="68" ht="17.25" customHeight="1">
      <c r="A68" s="40" t="n"/>
      <c r="B68" s="40" t="n"/>
      <c r="C68" s="40" t="n"/>
      <c r="D68" s="40" t="n"/>
      <c r="E68" s="40" t="n"/>
      <c r="F68" s="103" t="inlineStr">
        <is>
          <t>Remenda</t>
        </is>
      </c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0" t="n"/>
      <c r="AY68" s="40" t="n"/>
      <c r="AZ68" s="40" t="n"/>
      <c r="BA68" s="40" t="n"/>
      <c r="BB68" s="40" t="n"/>
    </row>
    <row r="69" ht="17.25" customHeight="1">
      <c r="A69" s="40" t="n"/>
      <c r="B69" s="40" t="n"/>
      <c r="C69" s="40" t="n"/>
      <c r="D69" s="40" t="n"/>
      <c r="E69" s="40" t="n"/>
      <c r="F69" s="103" t="inlineStr">
        <is>
          <t>Condicao</t>
        </is>
      </c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0" t="n"/>
      <c r="AY69" s="40" t="n"/>
      <c r="AZ69" s="40" t="n"/>
      <c r="BA69" s="40" t="n"/>
      <c r="BB69" s="40" t="n"/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0" t="n"/>
      <c r="AY70" s="40" t="n"/>
      <c r="AZ70" s="40" t="n"/>
      <c r="BA70" s="40" t="n"/>
      <c r="BB70" s="40" t="n"/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  <c r="AO71" s="40" t="n"/>
      <c r="AP71" s="40" t="n"/>
      <c r="AQ71" s="40" t="n"/>
      <c r="AR71" s="40" t="n"/>
      <c r="AS71" s="40" t="n"/>
      <c r="AT71" s="40" t="n"/>
      <c r="AU71" s="40" t="n"/>
      <c r="AV71" s="40" t="n"/>
      <c r="AW71" s="40" t="n"/>
      <c r="AX71" s="40" t="n"/>
      <c r="AY71" s="40" t="n"/>
      <c r="AZ71" s="40" t="n"/>
      <c r="BA71" s="40" t="n"/>
      <c r="BB71" s="40" t="n"/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  <c r="AO72" s="40" t="n"/>
      <c r="AP72" s="40" t="n"/>
      <c r="AQ72" s="40" t="n"/>
      <c r="AR72" s="40" t="n"/>
      <c r="AS72" s="40" t="n"/>
      <c r="AT72" s="40" t="n"/>
      <c r="AU72" s="40" t="n"/>
      <c r="AV72" s="40" t="n"/>
      <c r="AW72" s="40" t="n"/>
      <c r="AX72" s="40" t="n"/>
      <c r="AY72" s="40" t="n"/>
      <c r="AZ72" s="40" t="n"/>
      <c r="BA72" s="40" t="n"/>
      <c r="BB72" s="40" t="n"/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  <c r="AO73" s="40" t="n"/>
      <c r="AP73" s="40" t="n"/>
      <c r="AQ73" s="40" t="n"/>
      <c r="AR73" s="40" t="n"/>
      <c r="AS73" s="40" t="n"/>
      <c r="AT73" s="40" t="n"/>
      <c r="AU73" s="40" t="n"/>
      <c r="AV73" s="40" t="n"/>
      <c r="AW73" s="40" t="n"/>
      <c r="AX73" s="40" t="n"/>
      <c r="AY73" s="40" t="n"/>
      <c r="AZ73" s="40" t="n"/>
      <c r="BA73" s="40" t="n"/>
      <c r="BB73" s="40" t="n"/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  <c r="AR74" s="40" t="n"/>
      <c r="AS74" s="40" t="n"/>
      <c r="AT74" s="40" t="n"/>
      <c r="AU74" s="40" t="n"/>
      <c r="AV74" s="40" t="n"/>
      <c r="AW74" s="40" t="n"/>
      <c r="AX74" s="40" t="n"/>
      <c r="AY74" s="40" t="n"/>
      <c r="AZ74" s="40" t="n"/>
      <c r="BA74" s="40" t="n"/>
      <c r="BB74" s="40" t="n"/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  <c r="AP75" s="40" t="n"/>
      <c r="AQ75" s="40" t="n"/>
      <c r="AR75" s="40" t="n"/>
      <c r="AS75" s="40" t="n"/>
      <c r="AT75" s="40" t="n"/>
      <c r="AU75" s="40" t="n"/>
      <c r="AV75" s="40" t="n"/>
      <c r="AW75" s="40" t="n"/>
      <c r="AX75" s="40" t="n"/>
      <c r="AY75" s="40" t="n"/>
      <c r="AZ75" s="40" t="n"/>
      <c r="BA75" s="40" t="n"/>
      <c r="BB75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2026-09-04T11:48:39Z</dcterms:created>
  <dcterms:modified xmlns:dcterms="http://purl.org/dc/terms/" xmlns:xsi="http://www.w3.org/2001/XMLSchema-instance" xsi:type="dcterms:W3CDTF">2026-09-04T11:48:39Z</dcterms:modified>
</cp:coreProperties>
</file>
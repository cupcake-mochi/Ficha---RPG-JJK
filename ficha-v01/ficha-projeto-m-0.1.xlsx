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peças: o que passar do que foi gasto some. Na básica cabe uma Restrição Leve, que não devolve nada.</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peças: o que passar do que foi gasto some. Na básica cabe uma Restrição Leve, que não devolve nada.</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Arrastar, empurrar ou levantar 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78"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9" t="inlineStr">
        <is>
          <t>± PERDA &amp;/ou GANHO</t>
        </is>
      </c>
      <c r="AN25" s="16" t="n"/>
      <c r="AO25" s="16" t="n"/>
      <c r="AP25" s="16" t="n"/>
      <c r="AQ25" s="16" t="n"/>
      <c r="AR25" s="17" t="n"/>
      <c r="AS25" s="51" t="n"/>
      <c r="AT25" s="51" t="n"/>
    </row>
    <row r="26" ht="27" customHeight="1">
      <c r="B26" s="22" t="n"/>
      <c r="C26" s="41" t="n"/>
      <c r="D26" s="80">
        <f>J26</f>
        <v/>
      </c>
      <c r="E26" s="19" t="n"/>
      <c r="F26" s="19" t="n"/>
      <c r="G26" s="19" t="n"/>
      <c r="H26" s="20" t="n"/>
      <c r="I26" s="51" t="n"/>
      <c r="J26" s="81">
        <f>IFERROR((IFERROR(IF($D$11="","",(VLOOKUP($D$11,DADOS!$N$5:$U$10,3,FALSE)+$T$19)+(VLOOKUP($D$11,DADOS!$N$5:$U$10,4,FALSE)+$T$19)*($AH$11-1)),""))+IFERROR(VALUE($P$26&amp;""),0),"")</f>
        <v/>
      </c>
      <c r="K26" s="19" t="n"/>
      <c r="L26" s="19" t="n"/>
      <c r="M26" s="19" t="n"/>
      <c r="N26" s="20" t="n"/>
      <c r="O26" s="51" t="n"/>
      <c r="P26" s="82" t="n">
        <v>0</v>
      </c>
      <c r="Q26" s="20" t="n"/>
      <c r="R26" s="51" t="n"/>
      <c r="S26" s="83">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4" t="n">
        <v>0</v>
      </c>
      <c r="AG26" s="24" t="n"/>
      <c r="AH26" s="24" t="n"/>
      <c r="AI26" s="24" t="n"/>
      <c r="AJ26" s="24" t="n"/>
      <c r="AK26" s="25" t="n"/>
      <c r="AL26" s="51" t="n"/>
      <c r="AM26" s="85"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78"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9" t="inlineStr">
        <is>
          <t>± PERDA &amp;/ou GANHO</t>
        </is>
      </c>
      <c r="AN29" s="16" t="n"/>
      <c r="AO29" s="16" t="n"/>
      <c r="AP29" s="16" t="n"/>
      <c r="AQ29" s="16" t="n"/>
      <c r="AR29" s="17" t="n"/>
      <c r="AS29" s="51" t="n"/>
      <c r="AT29" s="51" t="n"/>
    </row>
    <row r="30" ht="27" customHeight="1">
      <c r="A30" s="8" t="n"/>
      <c r="B30" s="14" t="n"/>
      <c r="C30" s="41" t="n"/>
      <c r="D30" s="80">
        <f>J30</f>
        <v/>
      </c>
      <c r="E30" s="19" t="n"/>
      <c r="F30" s="19" t="n"/>
      <c r="G30" s="19" t="n"/>
      <c r="H30" s="20" t="n"/>
      <c r="I30" s="51" t="n"/>
      <c r="J30" s="81">
        <f>IFERROR((IFERROR(IF($D$11="","",VLOOKUP($D$11,DADOS!$N$5:$U$10,5,FALSE)*$AH$11),""))+IFERROR(VALUE($P$30&amp;""),0),"")</f>
        <v/>
      </c>
      <c r="K30" s="19" t="n"/>
      <c r="L30" s="19" t="n"/>
      <c r="M30" s="19" t="n"/>
      <c r="N30" s="20" t="n"/>
      <c r="O30" s="51" t="n"/>
      <c r="P30" s="82" t="n">
        <v>0</v>
      </c>
      <c r="Q30" s="20" t="n"/>
      <c r="R30" s="51" t="n"/>
      <c r="S30" s="86">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4" t="n">
        <v>0</v>
      </c>
      <c r="AG30" s="24" t="n"/>
      <c r="AH30" s="24" t="n"/>
      <c r="AI30" s="24" t="n"/>
      <c r="AJ30" s="24" t="n"/>
      <c r="AK30" s="25" t="n"/>
      <c r="AL30" s="51" t="n"/>
      <c r="AM30" s="85"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78"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9" t="inlineStr">
        <is>
          <t>± PERDA &amp;/ou GANHO</t>
        </is>
      </c>
      <c r="AN33" s="16" t="n"/>
      <c r="AO33" s="16" t="n"/>
      <c r="AP33" s="16" t="n"/>
      <c r="AQ33" s="16" t="n"/>
      <c r="AR33" s="17" t="n"/>
      <c r="AS33" s="51" t="n"/>
      <c r="AT33" s="51" t="n"/>
    </row>
    <row r="34" ht="27" customHeight="1">
      <c r="B34" s="22" t="n"/>
      <c r="C34" s="41" t="n"/>
      <c r="D34" s="80">
        <f>J34</f>
        <v/>
      </c>
      <c r="E34" s="19" t="n"/>
      <c r="F34" s="19" t="n"/>
      <c r="G34" s="19" t="n"/>
      <c r="H34" s="20" t="n"/>
      <c r="I34" s="56" t="n"/>
      <c r="J34" s="87">
        <f>IFERROR((20+(AJ19+5)*($AH$11-1))+IFERROR(VALUE($P$34&amp;""),0),"")</f>
        <v/>
      </c>
      <c r="K34" s="19" t="n"/>
      <c r="L34" s="19" t="n"/>
      <c r="M34" s="19" t="n"/>
      <c r="N34" s="20" t="n"/>
      <c r="O34" s="51" t="n"/>
      <c r="P34" s="82" t="n">
        <v>0</v>
      </c>
      <c r="Q34" s="20" t="n"/>
      <c r="R34" s="51" t="n"/>
      <c r="S34" s="86">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4" t="n">
        <v>0</v>
      </c>
      <c r="AG34" s="24" t="n"/>
      <c r="AH34" s="24" t="n"/>
      <c r="AI34" s="24" t="n"/>
      <c r="AJ34" s="24" t="n"/>
      <c r="AK34" s="25" t="n"/>
      <c r="AL34" s="56" t="n"/>
      <c r="AM34" s="88"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9">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90" t="inlineStr">
        <is>
          <t>Escolha o descanso</t>
        </is>
      </c>
      <c r="E40" s="16" t="n"/>
      <c r="F40" s="16" t="n"/>
      <c r="G40" s="16" t="n"/>
      <c r="H40" s="16" t="n"/>
      <c r="I40" s="16" t="n"/>
      <c r="J40" s="16" t="n"/>
      <c r="K40" s="16" t="n"/>
      <c r="L40" s="16" t="n"/>
      <c r="M40" s="17" t="n"/>
      <c r="N40" s="51" t="n"/>
      <c r="O40" s="91"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2" t="n">
        <v>0</v>
      </c>
      <c r="E43" s="16" t="n"/>
      <c r="F43" s="16" t="n"/>
      <c r="G43" s="16" t="n"/>
      <c r="H43" s="16" t="n"/>
      <c r="I43" s="16" t="n"/>
      <c r="J43" s="16" t="n"/>
      <c r="K43" s="16" t="n"/>
      <c r="L43" s="16" t="n"/>
      <c r="M43" s="17" t="n"/>
      <c r="N43" s="51" t="n"/>
      <c r="O43" s="92" t="n">
        <v>0</v>
      </c>
      <c r="P43" s="16" t="n"/>
      <c r="Q43" s="16" t="n"/>
      <c r="R43" s="16" t="n"/>
      <c r="S43" s="16" t="n"/>
      <c r="T43" s="16" t="n"/>
      <c r="U43" s="16" t="n"/>
      <c r="V43" s="16" t="n"/>
      <c r="W43" s="16" t="n"/>
      <c r="X43" s="17" t="n"/>
      <c r="Y43" s="51" t="n"/>
      <c r="Z43" s="93" t="n"/>
      <c r="AA43" s="19" t="n"/>
      <c r="AB43" s="19" t="n"/>
      <c r="AC43" s="19" t="n"/>
      <c r="AD43" s="19" t="n"/>
      <c r="AE43" s="19" t="n"/>
      <c r="AF43" s="19" t="n"/>
      <c r="AG43" s="19" t="n"/>
      <c r="AH43" s="19" t="n"/>
      <c r="AI43" s="20" t="n"/>
      <c r="AJ43" s="51" t="n"/>
      <c r="AK43" s="93" t="n"/>
      <c r="AL43" s="19" t="n"/>
      <c r="AM43" s="19" t="n"/>
      <c r="AN43" s="19" t="n"/>
      <c r="AO43" s="19" t="n"/>
      <c r="AP43" s="19" t="n"/>
      <c r="AQ43" s="19" t="n"/>
      <c r="AR43" s="19" t="n"/>
      <c r="AS43" s="19" t="n"/>
      <c r="AT43" s="20" t="n"/>
    </row>
    <row r="44">
      <c r="B44" s="22" t="n"/>
      <c r="C44" s="41" t="n"/>
      <c r="D44" s="94">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4">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3">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3">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5"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5">
        <f>"2d10 + " &amp; D54-11</f>
        <v/>
      </c>
      <c r="AA51" s="16" t="n"/>
      <c r="AB51" s="16" t="n"/>
      <c r="AC51" s="16" t="n"/>
      <c r="AD51" s="16" t="n"/>
      <c r="AE51" s="16" t="n"/>
      <c r="AF51" s="16" t="n"/>
      <c r="AG51" s="16" t="n"/>
      <c r="AH51" s="16" t="n"/>
      <c r="AI51" s="17" t="n"/>
      <c r="AJ51" s="70" t="n"/>
      <c r="AK51" s="96">
        <f>IF(DADOS!$AK$12&gt;DADOS!$AK$5,DADOS!$AK$12-DADOS!$AK$5&amp;" a mais",IF(DADOS!$AK$5=0,"Escolha 1 a cada 4 Nv",DADOS!$AK$5-DADOS!$AK$12&amp;" de "&amp;DADOS!$AK$5&amp;" para escolher"))</f>
        <v/>
      </c>
      <c r="AL51" s="16" t="n"/>
      <c r="AM51" s="16" t="n"/>
      <c r="AN51" s="17" t="n"/>
      <c r="AO51" s="97" t="n">
        <v>0</v>
      </c>
      <c r="AP51" s="16" t="n"/>
      <c r="AQ51" s="97"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78" t="inlineStr">
        <is>
          <t>Buff/Debuff</t>
        </is>
      </c>
      <c r="M53" s="17" t="n"/>
      <c r="N53" s="51" t="n"/>
      <c r="O53" s="55" t="inlineStr">
        <is>
          <t>PROTEÇÃO</t>
        </is>
      </c>
      <c r="P53" s="16" t="n"/>
      <c r="Q53" s="16" t="n"/>
      <c r="R53" s="16" t="n"/>
      <c r="S53" s="16" t="n"/>
      <c r="T53" s="16" t="n"/>
      <c r="U53" s="16" t="n"/>
      <c r="V53" s="17" t="n"/>
      <c r="W53" s="78"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78" t="inlineStr">
        <is>
          <t>Buff/Debuff</t>
        </is>
      </c>
      <c r="AT53" s="17" t="n"/>
    </row>
    <row r="54" ht="21" customHeight="1">
      <c r="B54" s="22" t="n"/>
      <c r="C54" s="41" t="n"/>
      <c r="D54" s="98">
        <f>10+IF($Z$54="",$L$19,MIN($L$19,IFERROR(VALUE(VLOOKUP($Z$54,DADOS!$AE$5:$AH$31,3,FALSE)&amp;""),$L$19)))+$O$54-DADOS!$CZ$45+IFERROR(VALUE($L$54&amp;""),0)</f>
        <v/>
      </c>
      <c r="E54" s="16" t="n"/>
      <c r="F54" s="16" t="n"/>
      <c r="G54" s="16" t="n"/>
      <c r="H54" s="16" t="n"/>
      <c r="I54" s="16" t="n"/>
      <c r="J54" s="16" t="n"/>
      <c r="K54" s="17" t="n"/>
      <c r="L54" s="82"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2" t="n">
        <v>0</v>
      </c>
      <c r="X54" s="17" t="n"/>
      <c r="Y54" s="51" t="n"/>
      <c r="Z54" s="85">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2"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78" t="inlineStr">
        <is>
          <t>Buff/Debuff</t>
        </is>
      </c>
      <c r="M57" s="17" t="n"/>
      <c r="N57" s="51" t="n"/>
      <c r="O57" s="55" t="inlineStr">
        <is>
          <t>CONJURAÇÃO</t>
        </is>
      </c>
      <c r="P57" s="16" t="n"/>
      <c r="Q57" s="16" t="n"/>
      <c r="R57" s="16" t="n"/>
      <c r="S57" s="16" t="n"/>
      <c r="T57" s="16" t="n"/>
      <c r="U57" s="16" t="n"/>
      <c r="V57" s="17" t="n"/>
      <c r="W57" s="78" t="inlineStr">
        <is>
          <t>Buff/Debuff</t>
        </is>
      </c>
      <c r="X57" s="17" t="n"/>
      <c r="Y57" s="51" t="n"/>
      <c r="Z57" s="55" t="inlineStr">
        <is>
          <t>CORPO A CORPO</t>
        </is>
      </c>
      <c r="AA57" s="16" t="n"/>
      <c r="AB57" s="16" t="n"/>
      <c r="AC57" s="16" t="n"/>
      <c r="AD57" s="16" t="n"/>
      <c r="AE57" s="16" t="n"/>
      <c r="AF57" s="16" t="n"/>
      <c r="AG57" s="17" t="n"/>
      <c r="AH57" s="78" t="inlineStr">
        <is>
          <t>Buff/Debuff</t>
        </is>
      </c>
      <c r="AI57" s="17" t="n"/>
      <c r="AJ57" s="51" t="n"/>
      <c r="AK57" s="55" t="inlineStr">
        <is>
          <t>À DISTÂNCIA</t>
        </is>
      </c>
      <c r="AL57" s="16" t="n"/>
      <c r="AM57" s="16" t="n"/>
      <c r="AN57" s="16" t="n"/>
      <c r="AO57" s="16" t="n"/>
      <c r="AP57" s="16" t="n"/>
      <c r="AQ57" s="16" t="n"/>
      <c r="AR57" s="17" t="n"/>
      <c r="AS57" s="78"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2"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2"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2"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2"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78"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IF(DADOS!$CZ$46=1,0,MIN(IF(N($O$43)&gt;=2,4.5,9999),(9+IFERROR(VALUE($W$62&amp;""),0))/IF(DADOS!$CZ$44=1,2,1)))&amp;" m"</f>
        <v/>
      </c>
      <c r="P62" s="16" t="n"/>
      <c r="Q62" s="16" t="n"/>
      <c r="R62" s="16" t="n"/>
      <c r="S62" s="16" t="n"/>
      <c r="T62" s="16" t="n"/>
      <c r="U62" s="16" t="n"/>
      <c r="V62" s="17" t="n"/>
      <c r="W62" s="82"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5"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5"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5"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5"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DADOS_AM!$JD$2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DADOS_AM!$IV$2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DADOS_AM!$IV$3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DADOS_AM!$IV$4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DADOS_AM!$IV$5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DADOS_AM!$IV$6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DADOS_AM!$JD$3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DADOS_AM!$IV$7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DADOS_AM!$IV$8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DADOS_AM!$IV$9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DADOS_AM!$IV$10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5">
        <f>DADOS_AM!$KQ$2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DADOS_AM!$KQ$3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DADOS_AM!$JH$2</f>
        <v/>
      </c>
      <c r="E180" s="17" t="n"/>
      <c r="F180" s="120">
        <f>DADOS_AM!$JI$2</f>
        <v/>
      </c>
      <c r="G180" s="16" t="n"/>
      <c r="H180" s="16" t="n"/>
      <c r="I180" s="16" t="n"/>
      <c r="J180" s="16" t="n"/>
      <c r="K180" s="16" t="n"/>
      <c r="L180" s="16" t="n"/>
      <c r="M180" s="16" t="n"/>
      <c r="N180" s="16" t="n"/>
      <c r="O180" s="16" t="n"/>
      <c r="P180" s="17" t="n"/>
      <c r="Q180" s="41" t="n"/>
      <c r="R180" s="41" t="n"/>
      <c r="S180" s="122">
        <f>DADOS_AM!$JH$3</f>
        <v/>
      </c>
      <c r="T180" s="17" t="n"/>
      <c r="U180" s="120">
        <f>DADOS_AM!$JI$3</f>
        <v/>
      </c>
      <c r="V180" s="16" t="n"/>
      <c r="W180" s="16" t="n"/>
      <c r="X180" s="16" t="n"/>
      <c r="Y180" s="16" t="n"/>
      <c r="Z180" s="16" t="n"/>
      <c r="AA180" s="16" t="n"/>
      <c r="AB180" s="16" t="n"/>
      <c r="AC180" s="16" t="n"/>
      <c r="AD180" s="16" t="n"/>
      <c r="AE180" s="17" t="n"/>
      <c r="AF180" s="41" t="n"/>
      <c r="AG180" s="41" t="n"/>
      <c r="AH180" s="122">
        <f>DADOS_AM!$JH$4</f>
        <v/>
      </c>
      <c r="AI180" s="17" t="n"/>
      <c r="AJ180" s="120">
        <f>DADOS_AM!$JI$4</f>
        <v/>
      </c>
      <c r="AK180" s="16" t="n"/>
      <c r="AL180" s="16" t="n"/>
      <c r="AM180" s="16" t="n"/>
      <c r="AN180" s="16" t="n"/>
      <c r="AO180" s="16" t="n"/>
      <c r="AP180" s="16" t="n"/>
      <c r="AQ180" s="16" t="n"/>
      <c r="AR180" s="16" t="n"/>
      <c r="AS180" s="16" t="n"/>
      <c r="AT180" s="17" t="n"/>
    </row>
    <row r="181" outlineLevel="3">
      <c r="A181" s="8" t="n"/>
      <c r="B181" s="14" t="n"/>
      <c r="C181" s="41" t="n"/>
      <c r="D181" s="123">
        <f>DADOS_AM!$JJ$2</f>
        <v/>
      </c>
      <c r="E181" s="16" t="n"/>
      <c r="F181" s="17" t="n"/>
      <c r="G181" s="123">
        <f>DADOS_AM!$JK$2</f>
        <v/>
      </c>
      <c r="H181" s="16" t="n"/>
      <c r="I181" s="16" t="n"/>
      <c r="J181" s="17" t="n"/>
      <c r="K181" s="123">
        <f>DADOS_AM!$JL$2</f>
        <v/>
      </c>
      <c r="L181" s="16" t="n"/>
      <c r="M181" s="16" t="n"/>
      <c r="N181" s="16" t="n"/>
      <c r="O181" s="16" t="n"/>
      <c r="P181" s="17" t="n"/>
      <c r="Q181" s="41" t="n"/>
      <c r="R181" s="41" t="n"/>
      <c r="S181" s="123">
        <f>DADOS_AM!$JJ$3</f>
        <v/>
      </c>
      <c r="T181" s="16" t="n"/>
      <c r="U181" s="17" t="n"/>
      <c r="V181" s="123">
        <f>DADOS_AM!$JK$3</f>
        <v/>
      </c>
      <c r="W181" s="16" t="n"/>
      <c r="X181" s="16" t="n"/>
      <c r="Y181" s="17" t="n"/>
      <c r="Z181" s="123">
        <f>DADOS_AM!$JL$3</f>
        <v/>
      </c>
      <c r="AA181" s="16" t="n"/>
      <c r="AB181" s="16" t="n"/>
      <c r="AC181" s="16" t="n"/>
      <c r="AD181" s="16" t="n"/>
      <c r="AE181" s="17" t="n"/>
      <c r="AF181" s="41" t="n"/>
      <c r="AG181" s="41" t="n"/>
      <c r="AH181" s="123">
        <f>DADOS_AM!$JJ$4</f>
        <v/>
      </c>
      <c r="AI181" s="16" t="n"/>
      <c r="AJ181" s="17" t="n"/>
      <c r="AK181" s="123">
        <f>DADOS_AM!$JK$4</f>
        <v/>
      </c>
      <c r="AL181" s="16" t="n"/>
      <c r="AM181" s="16" t="n"/>
      <c r="AN181" s="17" t="n"/>
      <c r="AO181" s="123">
        <f>DADOS_AM!$JL$4</f>
        <v/>
      </c>
      <c r="AP181" s="16" t="n"/>
      <c r="AQ181" s="16" t="n"/>
      <c r="AR181" s="16" t="n"/>
      <c r="AS181" s="16" t="n"/>
      <c r="AT181" s="17" t="n"/>
    </row>
    <row r="182" outlineLevel="4">
      <c r="A182" s="8" t="n"/>
      <c r="B182" s="14" t="n"/>
      <c r="C182" s="41" t="n"/>
      <c r="D182" s="121">
        <f>DADOS_AM!$JM$2</f>
        <v/>
      </c>
      <c r="E182" s="19" t="n"/>
      <c r="F182" s="19" t="n"/>
      <c r="G182" s="19" t="n"/>
      <c r="H182" s="19" t="n"/>
      <c r="I182" s="19" t="n"/>
      <c r="J182" s="19" t="n"/>
      <c r="K182" s="19" t="n"/>
      <c r="L182" s="19" t="n"/>
      <c r="M182" s="19" t="n"/>
      <c r="N182" s="19" t="n"/>
      <c r="O182" s="19" t="n"/>
      <c r="P182" s="20" t="n"/>
      <c r="Q182" s="41" t="n"/>
      <c r="R182" s="41" t="n"/>
      <c r="S182" s="121">
        <f>DADOS_AM!$JM$3</f>
        <v/>
      </c>
      <c r="T182" s="19" t="n"/>
      <c r="U182" s="19" t="n"/>
      <c r="V182" s="19" t="n"/>
      <c r="W182" s="19" t="n"/>
      <c r="X182" s="19" t="n"/>
      <c r="Y182" s="19" t="n"/>
      <c r="Z182" s="19" t="n"/>
      <c r="AA182" s="19" t="n"/>
      <c r="AB182" s="19" t="n"/>
      <c r="AC182" s="19" t="n"/>
      <c r="AD182" s="19" t="n"/>
      <c r="AE182" s="20" t="n"/>
      <c r="AF182" s="41" t="n"/>
      <c r="AG182" s="41" t="n"/>
      <c r="AH182" s="121">
        <f>DADOS_AM!$JM$4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DADOS_AM!$JH$5</f>
        <v/>
      </c>
      <c r="E190" s="17" t="n"/>
      <c r="F190" s="120">
        <f>DADOS_AM!$JI$5</f>
        <v/>
      </c>
      <c r="G190" s="16" t="n"/>
      <c r="H190" s="16" t="n"/>
      <c r="I190" s="16" t="n"/>
      <c r="J190" s="16" t="n"/>
      <c r="K190" s="16" t="n"/>
      <c r="L190" s="16" t="n"/>
      <c r="M190" s="16" t="n"/>
      <c r="N190" s="16" t="n"/>
      <c r="O190" s="16" t="n"/>
      <c r="P190" s="17" t="n"/>
      <c r="Q190" s="41" t="n"/>
      <c r="R190" s="41" t="n"/>
      <c r="S190" s="122">
        <f>DADOS_AM!$JH$6</f>
        <v/>
      </c>
      <c r="T190" s="17" t="n"/>
      <c r="U190" s="120">
        <f>DADOS_AM!$JI$6</f>
        <v/>
      </c>
      <c r="V190" s="16" t="n"/>
      <c r="W190" s="16" t="n"/>
      <c r="X190" s="16" t="n"/>
      <c r="Y190" s="16" t="n"/>
      <c r="Z190" s="16" t="n"/>
      <c r="AA190" s="16" t="n"/>
      <c r="AB190" s="16" t="n"/>
      <c r="AC190" s="16" t="n"/>
      <c r="AD190" s="16" t="n"/>
      <c r="AE190" s="17" t="n"/>
      <c r="AF190" s="41" t="n"/>
      <c r="AG190" s="41" t="n"/>
      <c r="AH190" s="122">
        <f>DADOS_AM!$JH$7</f>
        <v/>
      </c>
      <c r="AI190" s="17" t="n"/>
      <c r="AJ190" s="120">
        <f>DADOS_AM!$JI$7</f>
        <v/>
      </c>
      <c r="AK190" s="16" t="n"/>
      <c r="AL190" s="16" t="n"/>
      <c r="AM190" s="16" t="n"/>
      <c r="AN190" s="16" t="n"/>
      <c r="AO190" s="16" t="n"/>
      <c r="AP190" s="16" t="n"/>
      <c r="AQ190" s="16" t="n"/>
      <c r="AR190" s="16" t="n"/>
      <c r="AS190" s="16" t="n"/>
      <c r="AT190" s="17" t="n"/>
    </row>
    <row r="191" outlineLevel="3">
      <c r="A191" s="8" t="n"/>
      <c r="B191" s="14" t="n"/>
      <c r="C191" s="41" t="n"/>
      <c r="D191" s="123">
        <f>DADOS_AM!$JJ$5</f>
        <v/>
      </c>
      <c r="E191" s="16" t="n"/>
      <c r="F191" s="17" t="n"/>
      <c r="G191" s="123">
        <f>DADOS_AM!$JK$5</f>
        <v/>
      </c>
      <c r="H191" s="16" t="n"/>
      <c r="I191" s="16" t="n"/>
      <c r="J191" s="17" t="n"/>
      <c r="K191" s="123">
        <f>DADOS_AM!$JL$5</f>
        <v/>
      </c>
      <c r="L191" s="16" t="n"/>
      <c r="M191" s="16" t="n"/>
      <c r="N191" s="16" t="n"/>
      <c r="O191" s="16" t="n"/>
      <c r="P191" s="17" t="n"/>
      <c r="Q191" s="41" t="n"/>
      <c r="R191" s="41" t="n"/>
      <c r="S191" s="123">
        <f>DADOS_AM!$JJ$6</f>
        <v/>
      </c>
      <c r="T191" s="16" t="n"/>
      <c r="U191" s="17" t="n"/>
      <c r="V191" s="123">
        <f>DADOS_AM!$JK$6</f>
        <v/>
      </c>
      <c r="W191" s="16" t="n"/>
      <c r="X191" s="16" t="n"/>
      <c r="Y191" s="17" t="n"/>
      <c r="Z191" s="123">
        <f>DADOS_AM!$JL$6</f>
        <v/>
      </c>
      <c r="AA191" s="16" t="n"/>
      <c r="AB191" s="16" t="n"/>
      <c r="AC191" s="16" t="n"/>
      <c r="AD191" s="16" t="n"/>
      <c r="AE191" s="17" t="n"/>
      <c r="AF191" s="41" t="n"/>
      <c r="AG191" s="41" t="n"/>
      <c r="AH191" s="123">
        <f>DADOS_AM!$JJ$7</f>
        <v/>
      </c>
      <c r="AI191" s="16" t="n"/>
      <c r="AJ191" s="17" t="n"/>
      <c r="AK191" s="123">
        <f>DADOS_AM!$JK$7</f>
        <v/>
      </c>
      <c r="AL191" s="16" t="n"/>
      <c r="AM191" s="16" t="n"/>
      <c r="AN191" s="17" t="n"/>
      <c r="AO191" s="123">
        <f>DADOS_AM!$JL$7</f>
        <v/>
      </c>
      <c r="AP191" s="16" t="n"/>
      <c r="AQ191" s="16" t="n"/>
      <c r="AR191" s="16" t="n"/>
      <c r="AS191" s="16" t="n"/>
      <c r="AT191" s="17" t="n"/>
    </row>
    <row r="192" hidden="1" outlineLevel="4">
      <c r="A192" s="8" t="n"/>
      <c r="B192" s="14" t="n"/>
      <c r="C192" s="41" t="n"/>
      <c r="D192" s="121">
        <f>DADOS_AM!$JM$5</f>
        <v/>
      </c>
      <c r="E192" s="19" t="n"/>
      <c r="F192" s="19" t="n"/>
      <c r="G192" s="19" t="n"/>
      <c r="H192" s="19" t="n"/>
      <c r="I192" s="19" t="n"/>
      <c r="J192" s="19" t="n"/>
      <c r="K192" s="19" t="n"/>
      <c r="L192" s="19" t="n"/>
      <c r="M192" s="19" t="n"/>
      <c r="N192" s="19" t="n"/>
      <c r="O192" s="19" t="n"/>
      <c r="P192" s="20" t="n"/>
      <c r="Q192" s="41" t="n"/>
      <c r="R192" s="41" t="n"/>
      <c r="S192" s="121">
        <f>DADOS_AM!$JM$6</f>
        <v/>
      </c>
      <c r="T192" s="19" t="n"/>
      <c r="U192" s="19" t="n"/>
      <c r="V192" s="19" t="n"/>
      <c r="W192" s="19" t="n"/>
      <c r="X192" s="19" t="n"/>
      <c r="Y192" s="19" t="n"/>
      <c r="Z192" s="19" t="n"/>
      <c r="AA192" s="19" t="n"/>
      <c r="AB192" s="19" t="n"/>
      <c r="AC192" s="19" t="n"/>
      <c r="AD192" s="19" t="n"/>
      <c r="AE192" s="20" t="n"/>
      <c r="AF192" s="41" t="n"/>
      <c r="AG192" s="41" t="n"/>
      <c r="AH192" s="121">
        <f>DADOS_AM!$JM$7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DADOS_AM!$KQ$10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DADOS_AM!$JH$8</f>
        <v/>
      </c>
      <c r="E200" s="17" t="n"/>
      <c r="F200" s="120">
        <f>DADOS_AM!$JI$8</f>
        <v/>
      </c>
      <c r="G200" s="16" t="n"/>
      <c r="H200" s="16" t="n"/>
      <c r="I200" s="16" t="n"/>
      <c r="J200" s="16" t="n"/>
      <c r="K200" s="16" t="n"/>
      <c r="L200" s="16" t="n"/>
      <c r="M200" s="16" t="n"/>
      <c r="N200" s="16" t="n"/>
      <c r="O200" s="16" t="n"/>
      <c r="P200" s="17" t="n"/>
      <c r="Q200" s="41" t="n"/>
      <c r="R200" s="41" t="n"/>
      <c r="S200" s="122">
        <f>DADOS_AM!$JH$9</f>
        <v/>
      </c>
      <c r="T200" s="17" t="n"/>
      <c r="U200" s="120">
        <f>DADOS_AM!$JI$9</f>
        <v/>
      </c>
      <c r="V200" s="16" t="n"/>
      <c r="W200" s="16" t="n"/>
      <c r="X200" s="16" t="n"/>
      <c r="Y200" s="16" t="n"/>
      <c r="Z200" s="16" t="n"/>
      <c r="AA200" s="16" t="n"/>
      <c r="AB200" s="16" t="n"/>
      <c r="AC200" s="16" t="n"/>
      <c r="AD200" s="16" t="n"/>
      <c r="AE200" s="17" t="n"/>
      <c r="AF200" s="41" t="n"/>
      <c r="AG200" s="41" t="n"/>
      <c r="AH200" s="122">
        <f>DADOS_AM!$JH$10</f>
        <v/>
      </c>
      <c r="AI200" s="17" t="n"/>
      <c r="AJ200" s="120">
        <f>DADOS_AM!$JI$10</f>
        <v/>
      </c>
      <c r="AK200" s="16" t="n"/>
      <c r="AL200" s="16" t="n"/>
      <c r="AM200" s="16" t="n"/>
      <c r="AN200" s="16" t="n"/>
      <c r="AO200" s="16" t="n"/>
      <c r="AP200" s="16" t="n"/>
      <c r="AQ200" s="16" t="n"/>
      <c r="AR200" s="16" t="n"/>
      <c r="AS200" s="16" t="n"/>
      <c r="AT200" s="17" t="n"/>
    </row>
    <row r="201" hidden="1" outlineLevel="3">
      <c r="A201" s="8" t="n"/>
      <c r="B201" s="14" t="n"/>
      <c r="C201" s="41" t="n"/>
      <c r="D201" s="123">
        <f>DADOS_AM!$JJ$8</f>
        <v/>
      </c>
      <c r="E201" s="16" t="n"/>
      <c r="F201" s="17" t="n"/>
      <c r="G201" s="123">
        <f>DADOS_AM!$JK$8</f>
        <v/>
      </c>
      <c r="H201" s="16" t="n"/>
      <c r="I201" s="16" t="n"/>
      <c r="J201" s="17" t="n"/>
      <c r="K201" s="123">
        <f>DADOS_AM!$JL$8</f>
        <v/>
      </c>
      <c r="L201" s="16" t="n"/>
      <c r="M201" s="16" t="n"/>
      <c r="N201" s="16" t="n"/>
      <c r="O201" s="16" t="n"/>
      <c r="P201" s="17" t="n"/>
      <c r="Q201" s="41" t="n"/>
      <c r="R201" s="41" t="n"/>
      <c r="S201" s="123">
        <f>DADOS_AM!$JJ$9</f>
        <v/>
      </c>
      <c r="T201" s="16" t="n"/>
      <c r="U201" s="17" t="n"/>
      <c r="V201" s="123">
        <f>DADOS_AM!$JK$9</f>
        <v/>
      </c>
      <c r="W201" s="16" t="n"/>
      <c r="X201" s="16" t="n"/>
      <c r="Y201" s="17" t="n"/>
      <c r="Z201" s="123">
        <f>DADOS_AM!$JL$9</f>
        <v/>
      </c>
      <c r="AA201" s="16" t="n"/>
      <c r="AB201" s="16" t="n"/>
      <c r="AC201" s="16" t="n"/>
      <c r="AD201" s="16" t="n"/>
      <c r="AE201" s="17" t="n"/>
      <c r="AF201" s="41" t="n"/>
      <c r="AG201" s="41" t="n"/>
      <c r="AH201" s="123">
        <f>DADOS_AM!$JJ$10</f>
        <v/>
      </c>
      <c r="AI201" s="16" t="n"/>
      <c r="AJ201" s="17" t="n"/>
      <c r="AK201" s="123">
        <f>DADOS_AM!$JK$10</f>
        <v/>
      </c>
      <c r="AL201" s="16" t="n"/>
      <c r="AM201" s="16" t="n"/>
      <c r="AN201" s="17" t="n"/>
      <c r="AO201" s="123">
        <f>DADOS_AM!$JL$10</f>
        <v/>
      </c>
      <c r="AP201" s="16" t="n"/>
      <c r="AQ201" s="16" t="n"/>
      <c r="AR201" s="16" t="n"/>
      <c r="AS201" s="16" t="n"/>
      <c r="AT201" s="17" t="n"/>
    </row>
    <row r="202" hidden="1" outlineLevel="4">
      <c r="A202" s="8" t="n"/>
      <c r="B202" s="14" t="n"/>
      <c r="C202" s="41" t="n"/>
      <c r="D202" s="121">
        <f>DADOS_AM!$JM$8</f>
        <v/>
      </c>
      <c r="E202" s="19" t="n"/>
      <c r="F202" s="19" t="n"/>
      <c r="G202" s="19" t="n"/>
      <c r="H202" s="19" t="n"/>
      <c r="I202" s="19" t="n"/>
      <c r="J202" s="19" t="n"/>
      <c r="K202" s="19" t="n"/>
      <c r="L202" s="19" t="n"/>
      <c r="M202" s="19" t="n"/>
      <c r="N202" s="19" t="n"/>
      <c r="O202" s="19" t="n"/>
      <c r="P202" s="20" t="n"/>
      <c r="Q202" s="41" t="n"/>
      <c r="R202" s="41" t="n"/>
      <c r="S202" s="121">
        <f>DADOS_AM!$JM$9</f>
        <v/>
      </c>
      <c r="T202" s="19" t="n"/>
      <c r="U202" s="19" t="n"/>
      <c r="V202" s="19" t="n"/>
      <c r="W202" s="19" t="n"/>
      <c r="X202" s="19" t="n"/>
      <c r="Y202" s="19" t="n"/>
      <c r="Z202" s="19" t="n"/>
      <c r="AA202" s="19" t="n"/>
      <c r="AB202" s="19" t="n"/>
      <c r="AC202" s="19" t="n"/>
      <c r="AD202" s="19" t="n"/>
      <c r="AE202" s="20" t="n"/>
      <c r="AF202" s="41" t="n"/>
      <c r="AG202" s="41" t="n"/>
      <c r="AH202" s="121">
        <f>DADOS_AM!$JM$10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DADOS_AM!$JH$11</f>
        <v/>
      </c>
      <c r="E210" s="17" t="n"/>
      <c r="F210" s="120">
        <f>DADOS_AM!$JI$11</f>
        <v/>
      </c>
      <c r="G210" s="16" t="n"/>
      <c r="H210" s="16" t="n"/>
      <c r="I210" s="16" t="n"/>
      <c r="J210" s="16" t="n"/>
      <c r="K210" s="16" t="n"/>
      <c r="L210" s="16" t="n"/>
      <c r="M210" s="16" t="n"/>
      <c r="N210" s="16" t="n"/>
      <c r="O210" s="16" t="n"/>
      <c r="P210" s="17" t="n"/>
      <c r="Q210" s="41" t="n"/>
      <c r="R210" s="41" t="n"/>
      <c r="S210" s="122">
        <f>DADOS_AM!$JH$12</f>
        <v/>
      </c>
      <c r="T210" s="17" t="n"/>
      <c r="U210" s="120">
        <f>DADOS_AM!$JI$12</f>
        <v/>
      </c>
      <c r="V210" s="16" t="n"/>
      <c r="W210" s="16" t="n"/>
      <c r="X210" s="16" t="n"/>
      <c r="Y210" s="16" t="n"/>
      <c r="Z210" s="16" t="n"/>
      <c r="AA210" s="16" t="n"/>
      <c r="AB210" s="16" t="n"/>
      <c r="AC210" s="16" t="n"/>
      <c r="AD210" s="16" t="n"/>
      <c r="AE210" s="17" t="n"/>
      <c r="AF210" s="41" t="n"/>
      <c r="AG210" s="41" t="n"/>
      <c r="AH210" s="122">
        <f>DADOS_AM!$JH$13</f>
        <v/>
      </c>
      <c r="AI210" s="17" t="n"/>
      <c r="AJ210" s="120">
        <f>DADOS_AM!$JI$13</f>
        <v/>
      </c>
      <c r="AK210" s="16" t="n"/>
      <c r="AL210" s="16" t="n"/>
      <c r="AM210" s="16" t="n"/>
      <c r="AN210" s="16" t="n"/>
      <c r="AO210" s="16" t="n"/>
      <c r="AP210" s="16" t="n"/>
      <c r="AQ210" s="16" t="n"/>
      <c r="AR210" s="16" t="n"/>
      <c r="AS210" s="16" t="n"/>
      <c r="AT210" s="17" t="n"/>
    </row>
    <row r="211" hidden="1" outlineLevel="3">
      <c r="A211" s="8" t="n"/>
      <c r="B211" s="14" t="n"/>
      <c r="C211" s="41" t="n"/>
      <c r="D211" s="123">
        <f>DADOS_AM!$JJ$11</f>
        <v/>
      </c>
      <c r="E211" s="16" t="n"/>
      <c r="F211" s="17" t="n"/>
      <c r="G211" s="123">
        <f>DADOS_AM!$JK$11</f>
        <v/>
      </c>
      <c r="H211" s="16" t="n"/>
      <c r="I211" s="16" t="n"/>
      <c r="J211" s="17" t="n"/>
      <c r="K211" s="123">
        <f>DADOS_AM!$JL$11</f>
        <v/>
      </c>
      <c r="L211" s="16" t="n"/>
      <c r="M211" s="16" t="n"/>
      <c r="N211" s="16" t="n"/>
      <c r="O211" s="16" t="n"/>
      <c r="P211" s="17" t="n"/>
      <c r="Q211" s="41" t="n"/>
      <c r="R211" s="41" t="n"/>
      <c r="S211" s="123">
        <f>DADOS_AM!$JJ$12</f>
        <v/>
      </c>
      <c r="T211" s="16" t="n"/>
      <c r="U211" s="17" t="n"/>
      <c r="V211" s="123">
        <f>DADOS_AM!$JK$12</f>
        <v/>
      </c>
      <c r="W211" s="16" t="n"/>
      <c r="X211" s="16" t="n"/>
      <c r="Y211" s="17" t="n"/>
      <c r="Z211" s="123">
        <f>DADOS_AM!$JL$12</f>
        <v/>
      </c>
      <c r="AA211" s="16" t="n"/>
      <c r="AB211" s="16" t="n"/>
      <c r="AC211" s="16" t="n"/>
      <c r="AD211" s="16" t="n"/>
      <c r="AE211" s="17" t="n"/>
      <c r="AF211" s="41" t="n"/>
      <c r="AG211" s="41" t="n"/>
      <c r="AH211" s="123">
        <f>DADOS_AM!$JJ$13</f>
        <v/>
      </c>
      <c r="AI211" s="16" t="n"/>
      <c r="AJ211" s="17" t="n"/>
      <c r="AK211" s="123">
        <f>DADOS_AM!$JK$13</f>
        <v/>
      </c>
      <c r="AL211" s="16" t="n"/>
      <c r="AM211" s="16" t="n"/>
      <c r="AN211" s="17" t="n"/>
      <c r="AO211" s="123">
        <f>DADOS_AM!$JL$13</f>
        <v/>
      </c>
      <c r="AP211" s="16" t="n"/>
      <c r="AQ211" s="16" t="n"/>
      <c r="AR211" s="16" t="n"/>
      <c r="AS211" s="16" t="n"/>
      <c r="AT211" s="17" t="n"/>
    </row>
    <row r="212" hidden="1" outlineLevel="4">
      <c r="A212" s="8" t="n"/>
      <c r="B212" s="14" t="n"/>
      <c r="C212" s="41" t="n"/>
      <c r="D212" s="121">
        <f>DADOS_AM!$JM$11</f>
        <v/>
      </c>
      <c r="E212" s="19" t="n"/>
      <c r="F212" s="19" t="n"/>
      <c r="G212" s="19" t="n"/>
      <c r="H212" s="19" t="n"/>
      <c r="I212" s="19" t="n"/>
      <c r="J212" s="19" t="n"/>
      <c r="K212" s="19" t="n"/>
      <c r="L212" s="19" t="n"/>
      <c r="M212" s="19" t="n"/>
      <c r="N212" s="19" t="n"/>
      <c r="O212" s="19" t="n"/>
      <c r="P212" s="20" t="n"/>
      <c r="Q212" s="41" t="n"/>
      <c r="R212" s="41" t="n"/>
      <c r="S212" s="121">
        <f>DADOS_AM!$JM$12</f>
        <v/>
      </c>
      <c r="T212" s="19" t="n"/>
      <c r="U212" s="19" t="n"/>
      <c r="V212" s="19" t="n"/>
      <c r="W212" s="19" t="n"/>
      <c r="X212" s="19" t="n"/>
      <c r="Y212" s="19" t="n"/>
      <c r="Z212" s="19" t="n"/>
      <c r="AA212" s="19" t="n"/>
      <c r="AB212" s="19" t="n"/>
      <c r="AC212" s="19" t="n"/>
      <c r="AD212" s="19" t="n"/>
      <c r="AE212" s="20" t="n"/>
      <c r="AF212" s="41" t="n"/>
      <c r="AG212" s="41" t="n"/>
      <c r="AH212" s="121">
        <f>DADOS_AM!$JM$13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DADOS_AM!$KQ$11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DADOS_AM!$JH$14</f>
        <v/>
      </c>
      <c r="E220" s="17" t="n"/>
      <c r="F220" s="120">
        <f>DADOS_AM!$JI$14</f>
        <v/>
      </c>
      <c r="G220" s="16" t="n"/>
      <c r="H220" s="16" t="n"/>
      <c r="I220" s="16" t="n"/>
      <c r="J220" s="16" t="n"/>
      <c r="K220" s="16" t="n"/>
      <c r="L220" s="16" t="n"/>
      <c r="M220" s="16" t="n"/>
      <c r="N220" s="16" t="n"/>
      <c r="O220" s="16" t="n"/>
      <c r="P220" s="17" t="n"/>
      <c r="Q220" s="41" t="n"/>
      <c r="R220" s="41" t="n"/>
      <c r="S220" s="122">
        <f>DADOS_AM!$JH$15</f>
        <v/>
      </c>
      <c r="T220" s="17" t="n"/>
      <c r="U220" s="120">
        <f>DADOS_AM!$JI$15</f>
        <v/>
      </c>
      <c r="V220" s="16" t="n"/>
      <c r="W220" s="16" t="n"/>
      <c r="X220" s="16" t="n"/>
      <c r="Y220" s="16" t="n"/>
      <c r="Z220" s="16" t="n"/>
      <c r="AA220" s="16" t="n"/>
      <c r="AB220" s="16" t="n"/>
      <c r="AC220" s="16" t="n"/>
      <c r="AD220" s="16" t="n"/>
      <c r="AE220" s="17" t="n"/>
      <c r="AF220" s="41" t="n"/>
      <c r="AG220" s="41" t="n"/>
      <c r="AH220" s="122">
        <f>DADOS_AM!$JH$16</f>
        <v/>
      </c>
      <c r="AI220" s="17" t="n"/>
      <c r="AJ220" s="120">
        <f>DADOS_AM!$JI$16</f>
        <v/>
      </c>
      <c r="AK220" s="16" t="n"/>
      <c r="AL220" s="16" t="n"/>
      <c r="AM220" s="16" t="n"/>
      <c r="AN220" s="16" t="n"/>
      <c r="AO220" s="16" t="n"/>
      <c r="AP220" s="16" t="n"/>
      <c r="AQ220" s="16" t="n"/>
      <c r="AR220" s="16" t="n"/>
      <c r="AS220" s="16" t="n"/>
      <c r="AT220" s="17" t="n"/>
    </row>
    <row r="221" hidden="1" outlineLevel="3">
      <c r="A221" s="8" t="n"/>
      <c r="B221" s="14" t="n"/>
      <c r="C221" s="41" t="n"/>
      <c r="D221" s="123">
        <f>DADOS_AM!$JJ$14</f>
        <v/>
      </c>
      <c r="E221" s="16" t="n"/>
      <c r="F221" s="17" t="n"/>
      <c r="G221" s="123">
        <f>DADOS_AM!$JK$14</f>
        <v/>
      </c>
      <c r="H221" s="16" t="n"/>
      <c r="I221" s="16" t="n"/>
      <c r="J221" s="17" t="n"/>
      <c r="K221" s="123">
        <f>DADOS_AM!$JL$14</f>
        <v/>
      </c>
      <c r="L221" s="16" t="n"/>
      <c r="M221" s="16" t="n"/>
      <c r="N221" s="16" t="n"/>
      <c r="O221" s="16" t="n"/>
      <c r="P221" s="17" t="n"/>
      <c r="Q221" s="41" t="n"/>
      <c r="R221" s="41" t="n"/>
      <c r="S221" s="123">
        <f>DADOS_AM!$JJ$15</f>
        <v/>
      </c>
      <c r="T221" s="16" t="n"/>
      <c r="U221" s="17" t="n"/>
      <c r="V221" s="123">
        <f>DADOS_AM!$JK$15</f>
        <v/>
      </c>
      <c r="W221" s="16" t="n"/>
      <c r="X221" s="16" t="n"/>
      <c r="Y221" s="17" t="n"/>
      <c r="Z221" s="123">
        <f>DADOS_AM!$JL$15</f>
        <v/>
      </c>
      <c r="AA221" s="16" t="n"/>
      <c r="AB221" s="16" t="n"/>
      <c r="AC221" s="16" t="n"/>
      <c r="AD221" s="16" t="n"/>
      <c r="AE221" s="17" t="n"/>
      <c r="AF221" s="41" t="n"/>
      <c r="AG221" s="41" t="n"/>
      <c r="AH221" s="123">
        <f>DADOS_AM!$JJ$16</f>
        <v/>
      </c>
      <c r="AI221" s="16" t="n"/>
      <c r="AJ221" s="17" t="n"/>
      <c r="AK221" s="123">
        <f>DADOS_AM!$JK$16</f>
        <v/>
      </c>
      <c r="AL221" s="16" t="n"/>
      <c r="AM221" s="16" t="n"/>
      <c r="AN221" s="17" t="n"/>
      <c r="AO221" s="123">
        <f>DADOS_AM!$JL$16</f>
        <v/>
      </c>
      <c r="AP221" s="16" t="n"/>
      <c r="AQ221" s="16" t="n"/>
      <c r="AR221" s="16" t="n"/>
      <c r="AS221" s="16" t="n"/>
      <c r="AT221" s="17" t="n"/>
    </row>
    <row r="222" hidden="1" outlineLevel="4">
      <c r="A222" s="8" t="n"/>
      <c r="B222" s="14" t="n"/>
      <c r="C222" s="41" t="n"/>
      <c r="D222" s="121">
        <f>DADOS_AM!$JM$14</f>
        <v/>
      </c>
      <c r="E222" s="19" t="n"/>
      <c r="F222" s="19" t="n"/>
      <c r="G222" s="19" t="n"/>
      <c r="H222" s="19" t="n"/>
      <c r="I222" s="19" t="n"/>
      <c r="J222" s="19" t="n"/>
      <c r="K222" s="19" t="n"/>
      <c r="L222" s="19" t="n"/>
      <c r="M222" s="19" t="n"/>
      <c r="N222" s="19" t="n"/>
      <c r="O222" s="19" t="n"/>
      <c r="P222" s="20" t="n"/>
      <c r="Q222" s="41" t="n"/>
      <c r="R222" s="41" t="n"/>
      <c r="S222" s="121">
        <f>DADOS_AM!$JM$15</f>
        <v/>
      </c>
      <c r="T222" s="19" t="n"/>
      <c r="U222" s="19" t="n"/>
      <c r="V222" s="19" t="n"/>
      <c r="W222" s="19" t="n"/>
      <c r="X222" s="19" t="n"/>
      <c r="Y222" s="19" t="n"/>
      <c r="Z222" s="19" t="n"/>
      <c r="AA222" s="19" t="n"/>
      <c r="AB222" s="19" t="n"/>
      <c r="AC222" s="19" t="n"/>
      <c r="AD222" s="19" t="n"/>
      <c r="AE222" s="20" t="n"/>
      <c r="AF222" s="41" t="n"/>
      <c r="AG222" s="41" t="n"/>
      <c r="AH222" s="121">
        <f>DADOS_AM!$JM$16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DADOS_AM!$JH$17</f>
        <v/>
      </c>
      <c r="E230" s="17" t="n"/>
      <c r="F230" s="120">
        <f>DADOS_AM!$JI$17</f>
        <v/>
      </c>
      <c r="G230" s="16" t="n"/>
      <c r="H230" s="16" t="n"/>
      <c r="I230" s="16" t="n"/>
      <c r="J230" s="16" t="n"/>
      <c r="K230" s="16" t="n"/>
      <c r="L230" s="16" t="n"/>
      <c r="M230" s="16" t="n"/>
      <c r="N230" s="16" t="n"/>
      <c r="O230" s="16" t="n"/>
      <c r="P230" s="17" t="n"/>
      <c r="Q230" s="41" t="n"/>
      <c r="R230" s="41" t="n"/>
      <c r="S230" s="122">
        <f>DADOS_AM!$JH$18</f>
        <v/>
      </c>
      <c r="T230" s="17" t="n"/>
      <c r="U230" s="120">
        <f>DADOS_AM!$JI$18</f>
        <v/>
      </c>
      <c r="V230" s="16" t="n"/>
      <c r="W230" s="16" t="n"/>
      <c r="X230" s="16" t="n"/>
      <c r="Y230" s="16" t="n"/>
      <c r="Z230" s="16" t="n"/>
      <c r="AA230" s="16" t="n"/>
      <c r="AB230" s="16" t="n"/>
      <c r="AC230" s="16" t="n"/>
      <c r="AD230" s="16" t="n"/>
      <c r="AE230" s="17" t="n"/>
      <c r="AF230" s="41" t="n"/>
      <c r="AG230" s="41" t="n"/>
      <c r="AH230" s="122">
        <f>DADOS_AM!$JH$19</f>
        <v/>
      </c>
      <c r="AI230" s="17" t="n"/>
      <c r="AJ230" s="120">
        <f>DADOS_AM!$JI$19</f>
        <v/>
      </c>
      <c r="AK230" s="16" t="n"/>
      <c r="AL230" s="16" t="n"/>
      <c r="AM230" s="16" t="n"/>
      <c r="AN230" s="16" t="n"/>
      <c r="AO230" s="16" t="n"/>
      <c r="AP230" s="16" t="n"/>
      <c r="AQ230" s="16" t="n"/>
      <c r="AR230" s="16" t="n"/>
      <c r="AS230" s="16" t="n"/>
      <c r="AT230" s="17" t="n"/>
    </row>
    <row r="231" hidden="1" outlineLevel="3">
      <c r="A231" s="8" t="n"/>
      <c r="B231" s="14" t="n"/>
      <c r="C231" s="41" t="n"/>
      <c r="D231" s="123">
        <f>DADOS_AM!$JJ$17</f>
        <v/>
      </c>
      <c r="E231" s="16" t="n"/>
      <c r="F231" s="17" t="n"/>
      <c r="G231" s="123">
        <f>DADOS_AM!$JK$17</f>
        <v/>
      </c>
      <c r="H231" s="16" t="n"/>
      <c r="I231" s="16" t="n"/>
      <c r="J231" s="17" t="n"/>
      <c r="K231" s="123">
        <f>DADOS_AM!$JL$17</f>
        <v/>
      </c>
      <c r="L231" s="16" t="n"/>
      <c r="M231" s="16" t="n"/>
      <c r="N231" s="16" t="n"/>
      <c r="O231" s="16" t="n"/>
      <c r="P231" s="17" t="n"/>
      <c r="Q231" s="41" t="n"/>
      <c r="R231" s="41" t="n"/>
      <c r="S231" s="123">
        <f>DADOS_AM!$JJ$18</f>
        <v/>
      </c>
      <c r="T231" s="16" t="n"/>
      <c r="U231" s="17" t="n"/>
      <c r="V231" s="123">
        <f>DADOS_AM!$JK$18</f>
        <v/>
      </c>
      <c r="W231" s="16" t="n"/>
      <c r="X231" s="16" t="n"/>
      <c r="Y231" s="17" t="n"/>
      <c r="Z231" s="123">
        <f>DADOS_AM!$JL$18</f>
        <v/>
      </c>
      <c r="AA231" s="16" t="n"/>
      <c r="AB231" s="16" t="n"/>
      <c r="AC231" s="16" t="n"/>
      <c r="AD231" s="16" t="n"/>
      <c r="AE231" s="17" t="n"/>
      <c r="AF231" s="41" t="n"/>
      <c r="AG231" s="41" t="n"/>
      <c r="AH231" s="123">
        <f>DADOS_AM!$JJ$19</f>
        <v/>
      </c>
      <c r="AI231" s="16" t="n"/>
      <c r="AJ231" s="17" t="n"/>
      <c r="AK231" s="123">
        <f>DADOS_AM!$JK$19</f>
        <v/>
      </c>
      <c r="AL231" s="16" t="n"/>
      <c r="AM231" s="16" t="n"/>
      <c r="AN231" s="17" t="n"/>
      <c r="AO231" s="123">
        <f>DADOS_AM!$JL$19</f>
        <v/>
      </c>
      <c r="AP231" s="16" t="n"/>
      <c r="AQ231" s="16" t="n"/>
      <c r="AR231" s="16" t="n"/>
      <c r="AS231" s="16" t="n"/>
      <c r="AT231" s="17" t="n"/>
    </row>
    <row r="232" hidden="1" outlineLevel="4">
      <c r="A232" s="8" t="n"/>
      <c r="B232" s="14" t="n"/>
      <c r="C232" s="41" t="n"/>
      <c r="D232" s="121">
        <f>DADOS_AM!$JM$17</f>
        <v/>
      </c>
      <c r="E232" s="19" t="n"/>
      <c r="F232" s="19" t="n"/>
      <c r="G232" s="19" t="n"/>
      <c r="H232" s="19" t="n"/>
      <c r="I232" s="19" t="n"/>
      <c r="J232" s="19" t="n"/>
      <c r="K232" s="19" t="n"/>
      <c r="L232" s="19" t="n"/>
      <c r="M232" s="19" t="n"/>
      <c r="N232" s="19" t="n"/>
      <c r="O232" s="19" t="n"/>
      <c r="P232" s="20" t="n"/>
      <c r="Q232" s="41" t="n"/>
      <c r="R232" s="41" t="n"/>
      <c r="S232" s="121">
        <f>DADOS_AM!$JM$18</f>
        <v/>
      </c>
      <c r="T232" s="19" t="n"/>
      <c r="U232" s="19" t="n"/>
      <c r="V232" s="19" t="n"/>
      <c r="W232" s="19" t="n"/>
      <c r="X232" s="19" t="n"/>
      <c r="Y232" s="19" t="n"/>
      <c r="Z232" s="19" t="n"/>
      <c r="AA232" s="19" t="n"/>
      <c r="AB232" s="19" t="n"/>
      <c r="AC232" s="19" t="n"/>
      <c r="AD232" s="19" t="n"/>
      <c r="AE232" s="20" t="n"/>
      <c r="AF232" s="41" t="n"/>
      <c r="AG232" s="41" t="n"/>
      <c r="AH232" s="121">
        <f>DADOS_AM!$JM$19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DADOS_AM!$KQ$12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DADOS_AM!$JH$20</f>
        <v/>
      </c>
      <c r="E240" s="17" t="n"/>
      <c r="F240" s="120">
        <f>DADOS_AM!$JI$20</f>
        <v/>
      </c>
      <c r="G240" s="16" t="n"/>
      <c r="H240" s="16" t="n"/>
      <c r="I240" s="16" t="n"/>
      <c r="J240" s="16" t="n"/>
      <c r="K240" s="16" t="n"/>
      <c r="L240" s="16" t="n"/>
      <c r="M240" s="16" t="n"/>
      <c r="N240" s="16" t="n"/>
      <c r="O240" s="16" t="n"/>
      <c r="P240" s="17" t="n"/>
      <c r="Q240" s="41" t="n"/>
      <c r="R240" s="41" t="n"/>
      <c r="S240" s="122">
        <f>DADOS_AM!$JH$21</f>
        <v/>
      </c>
      <c r="T240" s="17" t="n"/>
      <c r="U240" s="120">
        <f>DADOS_AM!$JI$21</f>
        <v/>
      </c>
      <c r="V240" s="16" t="n"/>
      <c r="W240" s="16" t="n"/>
      <c r="X240" s="16" t="n"/>
      <c r="Y240" s="16" t="n"/>
      <c r="Z240" s="16" t="n"/>
      <c r="AA240" s="16" t="n"/>
      <c r="AB240" s="16" t="n"/>
      <c r="AC240" s="16" t="n"/>
      <c r="AD240" s="16" t="n"/>
      <c r="AE240" s="17" t="n"/>
      <c r="AF240" s="41" t="n"/>
      <c r="AG240" s="41" t="n"/>
      <c r="AH240" s="122">
        <f>DADOS_AM!$JH$22</f>
        <v/>
      </c>
      <c r="AI240" s="17" t="n"/>
      <c r="AJ240" s="120">
        <f>DADOS_AM!$JI$22</f>
        <v/>
      </c>
      <c r="AK240" s="16" t="n"/>
      <c r="AL240" s="16" t="n"/>
      <c r="AM240" s="16" t="n"/>
      <c r="AN240" s="16" t="n"/>
      <c r="AO240" s="16" t="n"/>
      <c r="AP240" s="16" t="n"/>
      <c r="AQ240" s="16" t="n"/>
      <c r="AR240" s="16" t="n"/>
      <c r="AS240" s="16" t="n"/>
      <c r="AT240" s="17" t="n"/>
    </row>
    <row r="241" hidden="1" outlineLevel="3">
      <c r="A241" s="8" t="n"/>
      <c r="B241" s="14" t="n"/>
      <c r="C241" s="41" t="n"/>
      <c r="D241" s="123">
        <f>DADOS_AM!$JJ$20</f>
        <v/>
      </c>
      <c r="E241" s="16" t="n"/>
      <c r="F241" s="17" t="n"/>
      <c r="G241" s="123">
        <f>DADOS_AM!$JK$20</f>
        <v/>
      </c>
      <c r="H241" s="16" t="n"/>
      <c r="I241" s="16" t="n"/>
      <c r="J241" s="17" t="n"/>
      <c r="K241" s="123">
        <f>DADOS_AM!$JL$20</f>
        <v/>
      </c>
      <c r="L241" s="16" t="n"/>
      <c r="M241" s="16" t="n"/>
      <c r="N241" s="16" t="n"/>
      <c r="O241" s="16" t="n"/>
      <c r="P241" s="17" t="n"/>
      <c r="Q241" s="41" t="n"/>
      <c r="R241" s="41" t="n"/>
      <c r="S241" s="123">
        <f>DADOS_AM!$JJ$21</f>
        <v/>
      </c>
      <c r="T241" s="16" t="n"/>
      <c r="U241" s="17" t="n"/>
      <c r="V241" s="123">
        <f>DADOS_AM!$JK$21</f>
        <v/>
      </c>
      <c r="W241" s="16" t="n"/>
      <c r="X241" s="16" t="n"/>
      <c r="Y241" s="17" t="n"/>
      <c r="Z241" s="123">
        <f>DADOS_AM!$JL$21</f>
        <v/>
      </c>
      <c r="AA241" s="16" t="n"/>
      <c r="AB241" s="16" t="n"/>
      <c r="AC241" s="16" t="n"/>
      <c r="AD241" s="16" t="n"/>
      <c r="AE241" s="17" t="n"/>
      <c r="AF241" s="41" t="n"/>
      <c r="AG241" s="41" t="n"/>
      <c r="AH241" s="123">
        <f>DADOS_AM!$JJ$22</f>
        <v/>
      </c>
      <c r="AI241" s="16" t="n"/>
      <c r="AJ241" s="17" t="n"/>
      <c r="AK241" s="123">
        <f>DADOS_AM!$JK$22</f>
        <v/>
      </c>
      <c r="AL241" s="16" t="n"/>
      <c r="AM241" s="16" t="n"/>
      <c r="AN241" s="17" t="n"/>
      <c r="AO241" s="123">
        <f>DADOS_AM!$JL$22</f>
        <v/>
      </c>
      <c r="AP241" s="16" t="n"/>
      <c r="AQ241" s="16" t="n"/>
      <c r="AR241" s="16" t="n"/>
      <c r="AS241" s="16" t="n"/>
      <c r="AT241" s="17" t="n"/>
    </row>
    <row r="242" hidden="1" outlineLevel="4">
      <c r="A242" s="8" t="n"/>
      <c r="B242" s="14" t="n"/>
      <c r="C242" s="41" t="n"/>
      <c r="D242" s="121">
        <f>DADOS_AM!$JM$20</f>
        <v/>
      </c>
      <c r="E242" s="19" t="n"/>
      <c r="F242" s="19" t="n"/>
      <c r="G242" s="19" t="n"/>
      <c r="H242" s="19" t="n"/>
      <c r="I242" s="19" t="n"/>
      <c r="J242" s="19" t="n"/>
      <c r="K242" s="19" t="n"/>
      <c r="L242" s="19" t="n"/>
      <c r="M242" s="19" t="n"/>
      <c r="N242" s="19" t="n"/>
      <c r="O242" s="19" t="n"/>
      <c r="P242" s="20" t="n"/>
      <c r="Q242" s="41" t="n"/>
      <c r="R242" s="41" t="n"/>
      <c r="S242" s="121">
        <f>DADOS_AM!$JM$21</f>
        <v/>
      </c>
      <c r="T242" s="19" t="n"/>
      <c r="U242" s="19" t="n"/>
      <c r="V242" s="19" t="n"/>
      <c r="W242" s="19" t="n"/>
      <c r="X242" s="19" t="n"/>
      <c r="Y242" s="19" t="n"/>
      <c r="Z242" s="19" t="n"/>
      <c r="AA242" s="19" t="n"/>
      <c r="AB242" s="19" t="n"/>
      <c r="AC242" s="19" t="n"/>
      <c r="AD242" s="19" t="n"/>
      <c r="AE242" s="20" t="n"/>
      <c r="AF242" s="41" t="n"/>
      <c r="AG242" s="41" t="n"/>
      <c r="AH242" s="121">
        <f>DADOS_AM!$JM$22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DADOS_AM!$JH$23</f>
        <v/>
      </c>
      <c r="E250" s="17" t="n"/>
      <c r="F250" s="120">
        <f>DADOS_AM!$JI$23</f>
        <v/>
      </c>
      <c r="G250" s="16" t="n"/>
      <c r="H250" s="16" t="n"/>
      <c r="I250" s="16" t="n"/>
      <c r="J250" s="16" t="n"/>
      <c r="K250" s="16" t="n"/>
      <c r="L250" s="16" t="n"/>
      <c r="M250" s="16" t="n"/>
      <c r="N250" s="16" t="n"/>
      <c r="O250" s="16" t="n"/>
      <c r="P250" s="17" t="n"/>
      <c r="Q250" s="41" t="n"/>
      <c r="R250" s="41" t="n"/>
      <c r="S250" s="122">
        <f>DADOS_AM!$JH$24</f>
        <v/>
      </c>
      <c r="T250" s="17" t="n"/>
      <c r="U250" s="120">
        <f>DADOS_AM!$JI$24</f>
        <v/>
      </c>
      <c r="V250" s="16" t="n"/>
      <c r="W250" s="16" t="n"/>
      <c r="X250" s="16" t="n"/>
      <c r="Y250" s="16" t="n"/>
      <c r="Z250" s="16" t="n"/>
      <c r="AA250" s="16" t="n"/>
      <c r="AB250" s="16" t="n"/>
      <c r="AC250" s="16" t="n"/>
      <c r="AD250" s="16" t="n"/>
      <c r="AE250" s="17" t="n"/>
      <c r="AF250" s="41" t="n"/>
      <c r="AG250" s="41" t="n"/>
      <c r="AH250" s="122">
        <f>DADOS_AM!$JH$25</f>
        <v/>
      </c>
      <c r="AI250" s="17" t="n"/>
      <c r="AJ250" s="120">
        <f>DADOS_AM!$JI$25</f>
        <v/>
      </c>
      <c r="AK250" s="16" t="n"/>
      <c r="AL250" s="16" t="n"/>
      <c r="AM250" s="16" t="n"/>
      <c r="AN250" s="16" t="n"/>
      <c r="AO250" s="16" t="n"/>
      <c r="AP250" s="16" t="n"/>
      <c r="AQ250" s="16" t="n"/>
      <c r="AR250" s="16" t="n"/>
      <c r="AS250" s="16" t="n"/>
      <c r="AT250" s="17" t="n"/>
    </row>
    <row r="251" hidden="1" outlineLevel="3">
      <c r="A251" s="8" t="n"/>
      <c r="B251" s="14" t="n"/>
      <c r="C251" s="41" t="n"/>
      <c r="D251" s="123">
        <f>DADOS_AM!$JJ$23</f>
        <v/>
      </c>
      <c r="E251" s="16" t="n"/>
      <c r="F251" s="17" t="n"/>
      <c r="G251" s="123">
        <f>DADOS_AM!$JK$23</f>
        <v/>
      </c>
      <c r="H251" s="16" t="n"/>
      <c r="I251" s="16" t="n"/>
      <c r="J251" s="17" t="n"/>
      <c r="K251" s="123">
        <f>DADOS_AM!$JL$23</f>
        <v/>
      </c>
      <c r="L251" s="16" t="n"/>
      <c r="M251" s="16" t="n"/>
      <c r="N251" s="16" t="n"/>
      <c r="O251" s="16" t="n"/>
      <c r="P251" s="17" t="n"/>
      <c r="Q251" s="41" t="n"/>
      <c r="R251" s="41" t="n"/>
      <c r="S251" s="123">
        <f>DADOS_AM!$JJ$24</f>
        <v/>
      </c>
      <c r="T251" s="16" t="n"/>
      <c r="U251" s="17" t="n"/>
      <c r="V251" s="123">
        <f>DADOS_AM!$JK$24</f>
        <v/>
      </c>
      <c r="W251" s="16" t="n"/>
      <c r="X251" s="16" t="n"/>
      <c r="Y251" s="17" t="n"/>
      <c r="Z251" s="123">
        <f>DADOS_AM!$JL$24</f>
        <v/>
      </c>
      <c r="AA251" s="16" t="n"/>
      <c r="AB251" s="16" t="n"/>
      <c r="AC251" s="16" t="n"/>
      <c r="AD251" s="16" t="n"/>
      <c r="AE251" s="17" t="n"/>
      <c r="AF251" s="41" t="n"/>
      <c r="AG251" s="41" t="n"/>
      <c r="AH251" s="123">
        <f>DADOS_AM!$JJ$25</f>
        <v/>
      </c>
      <c r="AI251" s="16" t="n"/>
      <c r="AJ251" s="17" t="n"/>
      <c r="AK251" s="123">
        <f>DADOS_AM!$JK$25</f>
        <v/>
      </c>
      <c r="AL251" s="16" t="n"/>
      <c r="AM251" s="16" t="n"/>
      <c r="AN251" s="17" t="n"/>
      <c r="AO251" s="123">
        <f>DADOS_AM!$JL$25</f>
        <v/>
      </c>
      <c r="AP251" s="16" t="n"/>
      <c r="AQ251" s="16" t="n"/>
      <c r="AR251" s="16" t="n"/>
      <c r="AS251" s="16" t="n"/>
      <c r="AT251" s="17" t="n"/>
    </row>
    <row r="252" hidden="1" outlineLevel="4">
      <c r="A252" s="8" t="n"/>
      <c r="B252" s="14" t="n"/>
      <c r="C252" s="41" t="n"/>
      <c r="D252" s="121">
        <f>DADOS_AM!$JM$23</f>
        <v/>
      </c>
      <c r="E252" s="19" t="n"/>
      <c r="F252" s="19" t="n"/>
      <c r="G252" s="19" t="n"/>
      <c r="H252" s="19" t="n"/>
      <c r="I252" s="19" t="n"/>
      <c r="J252" s="19" t="n"/>
      <c r="K252" s="19" t="n"/>
      <c r="L252" s="19" t="n"/>
      <c r="M252" s="19" t="n"/>
      <c r="N252" s="19" t="n"/>
      <c r="O252" s="19" t="n"/>
      <c r="P252" s="20" t="n"/>
      <c r="Q252" s="41" t="n"/>
      <c r="R252" s="41" t="n"/>
      <c r="S252" s="121">
        <f>DADOS_AM!$JM$24</f>
        <v/>
      </c>
      <c r="T252" s="19" t="n"/>
      <c r="U252" s="19" t="n"/>
      <c r="V252" s="19" t="n"/>
      <c r="W252" s="19" t="n"/>
      <c r="X252" s="19" t="n"/>
      <c r="Y252" s="19" t="n"/>
      <c r="Z252" s="19" t="n"/>
      <c r="AA252" s="19" t="n"/>
      <c r="AB252" s="19" t="n"/>
      <c r="AC252" s="19" t="n"/>
      <c r="AD252" s="19" t="n"/>
      <c r="AE252" s="20" t="n"/>
      <c r="AF252" s="41" t="n"/>
      <c r="AG252" s="41" t="n"/>
      <c r="AH252" s="121">
        <f>DADOS_AM!$JM$25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DADOS_AM!$KQ$13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DADOS_AM!$JH$26</f>
        <v/>
      </c>
      <c r="E260" s="17" t="n"/>
      <c r="F260" s="120">
        <f>DADOS_AM!$JI$26</f>
        <v/>
      </c>
      <c r="G260" s="16" t="n"/>
      <c r="H260" s="16" t="n"/>
      <c r="I260" s="16" t="n"/>
      <c r="J260" s="16" t="n"/>
      <c r="K260" s="16" t="n"/>
      <c r="L260" s="16" t="n"/>
      <c r="M260" s="16" t="n"/>
      <c r="N260" s="16" t="n"/>
      <c r="O260" s="16" t="n"/>
      <c r="P260" s="17" t="n"/>
      <c r="Q260" s="41" t="n"/>
      <c r="R260" s="41" t="n"/>
      <c r="S260" s="122">
        <f>DADOS_AM!$JH$27</f>
        <v/>
      </c>
      <c r="T260" s="17" t="n"/>
      <c r="U260" s="120">
        <f>DADOS_AM!$JI$27</f>
        <v/>
      </c>
      <c r="V260" s="16" t="n"/>
      <c r="W260" s="16" t="n"/>
      <c r="X260" s="16" t="n"/>
      <c r="Y260" s="16" t="n"/>
      <c r="Z260" s="16" t="n"/>
      <c r="AA260" s="16" t="n"/>
      <c r="AB260" s="16" t="n"/>
      <c r="AC260" s="16" t="n"/>
      <c r="AD260" s="16" t="n"/>
      <c r="AE260" s="17" t="n"/>
      <c r="AF260" s="41" t="n"/>
      <c r="AG260" s="41" t="n"/>
      <c r="AH260" s="122">
        <f>DADOS_AM!$JH$28</f>
        <v/>
      </c>
      <c r="AI260" s="17" t="n"/>
      <c r="AJ260" s="120">
        <f>DADOS_AM!$JI$28</f>
        <v/>
      </c>
      <c r="AK260" s="16" t="n"/>
      <c r="AL260" s="16" t="n"/>
      <c r="AM260" s="16" t="n"/>
      <c r="AN260" s="16" t="n"/>
      <c r="AO260" s="16" t="n"/>
      <c r="AP260" s="16" t="n"/>
      <c r="AQ260" s="16" t="n"/>
      <c r="AR260" s="16" t="n"/>
      <c r="AS260" s="16" t="n"/>
      <c r="AT260" s="17" t="n"/>
    </row>
    <row r="261" hidden="1" outlineLevel="3">
      <c r="A261" s="8" t="n"/>
      <c r="B261" s="14" t="n"/>
      <c r="C261" s="41" t="n"/>
      <c r="D261" s="123">
        <f>DADOS_AM!$JJ$26</f>
        <v/>
      </c>
      <c r="E261" s="16" t="n"/>
      <c r="F261" s="17" t="n"/>
      <c r="G261" s="123">
        <f>DADOS_AM!$JK$26</f>
        <v/>
      </c>
      <c r="H261" s="16" t="n"/>
      <c r="I261" s="16" t="n"/>
      <c r="J261" s="17" t="n"/>
      <c r="K261" s="123">
        <f>DADOS_AM!$JL$26</f>
        <v/>
      </c>
      <c r="L261" s="16" t="n"/>
      <c r="M261" s="16" t="n"/>
      <c r="N261" s="16" t="n"/>
      <c r="O261" s="16" t="n"/>
      <c r="P261" s="17" t="n"/>
      <c r="Q261" s="41" t="n"/>
      <c r="R261" s="41" t="n"/>
      <c r="S261" s="123">
        <f>DADOS_AM!$JJ$27</f>
        <v/>
      </c>
      <c r="T261" s="16" t="n"/>
      <c r="U261" s="17" t="n"/>
      <c r="V261" s="123">
        <f>DADOS_AM!$JK$27</f>
        <v/>
      </c>
      <c r="W261" s="16" t="n"/>
      <c r="X261" s="16" t="n"/>
      <c r="Y261" s="17" t="n"/>
      <c r="Z261" s="123">
        <f>DADOS_AM!$JL$27</f>
        <v/>
      </c>
      <c r="AA261" s="16" t="n"/>
      <c r="AB261" s="16" t="n"/>
      <c r="AC261" s="16" t="n"/>
      <c r="AD261" s="16" t="n"/>
      <c r="AE261" s="17" t="n"/>
      <c r="AF261" s="41" t="n"/>
      <c r="AG261" s="41" t="n"/>
      <c r="AH261" s="123">
        <f>DADOS_AM!$JJ$28</f>
        <v/>
      </c>
      <c r="AI261" s="16" t="n"/>
      <c r="AJ261" s="17" t="n"/>
      <c r="AK261" s="123">
        <f>DADOS_AM!$JK$28</f>
        <v/>
      </c>
      <c r="AL261" s="16" t="n"/>
      <c r="AM261" s="16" t="n"/>
      <c r="AN261" s="17" t="n"/>
      <c r="AO261" s="123">
        <f>DADOS_AM!$JL$28</f>
        <v/>
      </c>
      <c r="AP261" s="16" t="n"/>
      <c r="AQ261" s="16" t="n"/>
      <c r="AR261" s="16" t="n"/>
      <c r="AS261" s="16" t="n"/>
      <c r="AT261" s="17" t="n"/>
    </row>
    <row r="262" hidden="1" outlineLevel="4">
      <c r="A262" s="8" t="n"/>
      <c r="B262" s="14" t="n"/>
      <c r="C262" s="41" t="n"/>
      <c r="D262" s="121">
        <f>DADOS_AM!$JM$26</f>
        <v/>
      </c>
      <c r="E262" s="19" t="n"/>
      <c r="F262" s="19" t="n"/>
      <c r="G262" s="19" t="n"/>
      <c r="H262" s="19" t="n"/>
      <c r="I262" s="19" t="n"/>
      <c r="J262" s="19" t="n"/>
      <c r="K262" s="19" t="n"/>
      <c r="L262" s="19" t="n"/>
      <c r="M262" s="19" t="n"/>
      <c r="N262" s="19" t="n"/>
      <c r="O262" s="19" t="n"/>
      <c r="P262" s="20" t="n"/>
      <c r="Q262" s="41" t="n"/>
      <c r="R262" s="41" t="n"/>
      <c r="S262" s="121">
        <f>DADOS_AM!$JM$27</f>
        <v/>
      </c>
      <c r="T262" s="19" t="n"/>
      <c r="U262" s="19" t="n"/>
      <c r="V262" s="19" t="n"/>
      <c r="W262" s="19" t="n"/>
      <c r="X262" s="19" t="n"/>
      <c r="Y262" s="19" t="n"/>
      <c r="Z262" s="19" t="n"/>
      <c r="AA262" s="19" t="n"/>
      <c r="AB262" s="19" t="n"/>
      <c r="AC262" s="19" t="n"/>
      <c r="AD262" s="19" t="n"/>
      <c r="AE262" s="20" t="n"/>
      <c r="AF262" s="41" t="n"/>
      <c r="AG262" s="41" t="n"/>
      <c r="AH262" s="121">
        <f>DADOS_AM!$JM$28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DADOS_AM!$JH$29</f>
        <v/>
      </c>
      <c r="E270" s="17" t="n"/>
      <c r="F270" s="120">
        <f>DADOS_AM!$JI$29</f>
        <v/>
      </c>
      <c r="G270" s="16" t="n"/>
      <c r="H270" s="16" t="n"/>
      <c r="I270" s="16" t="n"/>
      <c r="J270" s="16" t="n"/>
      <c r="K270" s="16" t="n"/>
      <c r="L270" s="16" t="n"/>
      <c r="M270" s="16" t="n"/>
      <c r="N270" s="16" t="n"/>
      <c r="O270" s="16" t="n"/>
      <c r="P270" s="17" t="n"/>
      <c r="Q270" s="41" t="n"/>
      <c r="R270" s="41" t="n"/>
      <c r="S270" s="122">
        <f>DADOS_AM!$JH$30</f>
        <v/>
      </c>
      <c r="T270" s="17" t="n"/>
      <c r="U270" s="120">
        <f>DADOS_AM!$JI$30</f>
        <v/>
      </c>
      <c r="V270" s="16" t="n"/>
      <c r="W270" s="16" t="n"/>
      <c r="X270" s="16" t="n"/>
      <c r="Y270" s="16" t="n"/>
      <c r="Z270" s="16" t="n"/>
      <c r="AA270" s="16" t="n"/>
      <c r="AB270" s="16" t="n"/>
      <c r="AC270" s="16" t="n"/>
      <c r="AD270" s="16" t="n"/>
      <c r="AE270" s="17" t="n"/>
      <c r="AF270" s="41" t="n"/>
      <c r="AG270" s="41" t="n"/>
      <c r="AH270" s="122">
        <f>DADOS_AM!$JH$31</f>
        <v/>
      </c>
      <c r="AI270" s="17" t="n"/>
      <c r="AJ270" s="120">
        <f>DADOS_AM!$JI$31</f>
        <v/>
      </c>
      <c r="AK270" s="16" t="n"/>
      <c r="AL270" s="16" t="n"/>
      <c r="AM270" s="16" t="n"/>
      <c r="AN270" s="16" t="n"/>
      <c r="AO270" s="16" t="n"/>
      <c r="AP270" s="16" t="n"/>
      <c r="AQ270" s="16" t="n"/>
      <c r="AR270" s="16" t="n"/>
      <c r="AS270" s="16" t="n"/>
      <c r="AT270" s="17" t="n"/>
    </row>
    <row r="271" hidden="1" outlineLevel="3">
      <c r="A271" s="8" t="n"/>
      <c r="B271" s="14" t="n"/>
      <c r="C271" s="41" t="n"/>
      <c r="D271" s="123">
        <f>DADOS_AM!$JJ$29</f>
        <v/>
      </c>
      <c r="E271" s="16" t="n"/>
      <c r="F271" s="17" t="n"/>
      <c r="G271" s="123">
        <f>DADOS_AM!$JK$29</f>
        <v/>
      </c>
      <c r="H271" s="16" t="n"/>
      <c r="I271" s="16" t="n"/>
      <c r="J271" s="17" t="n"/>
      <c r="K271" s="123">
        <f>DADOS_AM!$JL$29</f>
        <v/>
      </c>
      <c r="L271" s="16" t="n"/>
      <c r="M271" s="16" t="n"/>
      <c r="N271" s="16" t="n"/>
      <c r="O271" s="16" t="n"/>
      <c r="P271" s="17" t="n"/>
      <c r="Q271" s="41" t="n"/>
      <c r="R271" s="41" t="n"/>
      <c r="S271" s="123">
        <f>DADOS_AM!$JJ$30</f>
        <v/>
      </c>
      <c r="T271" s="16" t="n"/>
      <c r="U271" s="17" t="n"/>
      <c r="V271" s="123">
        <f>DADOS_AM!$JK$30</f>
        <v/>
      </c>
      <c r="W271" s="16" t="n"/>
      <c r="X271" s="16" t="n"/>
      <c r="Y271" s="17" t="n"/>
      <c r="Z271" s="123">
        <f>DADOS_AM!$JL$30</f>
        <v/>
      </c>
      <c r="AA271" s="16" t="n"/>
      <c r="AB271" s="16" t="n"/>
      <c r="AC271" s="16" t="n"/>
      <c r="AD271" s="16" t="n"/>
      <c r="AE271" s="17" t="n"/>
      <c r="AF271" s="41" t="n"/>
      <c r="AG271" s="41" t="n"/>
      <c r="AH271" s="123">
        <f>DADOS_AM!$JJ$31</f>
        <v/>
      </c>
      <c r="AI271" s="16" t="n"/>
      <c r="AJ271" s="17" t="n"/>
      <c r="AK271" s="123">
        <f>DADOS_AM!$JK$31</f>
        <v/>
      </c>
      <c r="AL271" s="16" t="n"/>
      <c r="AM271" s="16" t="n"/>
      <c r="AN271" s="17" t="n"/>
      <c r="AO271" s="123">
        <f>DADOS_AM!$JL$31</f>
        <v/>
      </c>
      <c r="AP271" s="16" t="n"/>
      <c r="AQ271" s="16" t="n"/>
      <c r="AR271" s="16" t="n"/>
      <c r="AS271" s="16" t="n"/>
      <c r="AT271" s="17" t="n"/>
    </row>
    <row r="272" hidden="1" outlineLevel="4">
      <c r="A272" s="8" t="n"/>
      <c r="B272" s="14" t="n"/>
      <c r="C272" s="41" t="n"/>
      <c r="D272" s="121">
        <f>DADOS_AM!$JM$29</f>
        <v/>
      </c>
      <c r="E272" s="19" t="n"/>
      <c r="F272" s="19" t="n"/>
      <c r="G272" s="19" t="n"/>
      <c r="H272" s="19" t="n"/>
      <c r="I272" s="19" t="n"/>
      <c r="J272" s="19" t="n"/>
      <c r="K272" s="19" t="n"/>
      <c r="L272" s="19" t="n"/>
      <c r="M272" s="19" t="n"/>
      <c r="N272" s="19" t="n"/>
      <c r="O272" s="19" t="n"/>
      <c r="P272" s="20" t="n"/>
      <c r="Q272" s="41" t="n"/>
      <c r="R272" s="41" t="n"/>
      <c r="S272" s="121">
        <f>DADOS_AM!$JM$30</f>
        <v/>
      </c>
      <c r="T272" s="19" t="n"/>
      <c r="U272" s="19" t="n"/>
      <c r="V272" s="19" t="n"/>
      <c r="W272" s="19" t="n"/>
      <c r="X272" s="19" t="n"/>
      <c r="Y272" s="19" t="n"/>
      <c r="Z272" s="19" t="n"/>
      <c r="AA272" s="19" t="n"/>
      <c r="AB272" s="19" t="n"/>
      <c r="AC272" s="19" t="n"/>
      <c r="AD272" s="19" t="n"/>
      <c r="AE272" s="20" t="n"/>
      <c r="AF272" s="41" t="n"/>
      <c r="AG272" s="41" t="n"/>
      <c r="AH272" s="121">
        <f>DADOS_AM!$JM$31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DADOS_AM!$KQ$14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DADOS_AM!$JH$32</f>
        <v/>
      </c>
      <c r="E280" s="17" t="n"/>
      <c r="F280" s="120">
        <f>DADOS_AM!$JI$32</f>
        <v/>
      </c>
      <c r="G280" s="16" t="n"/>
      <c r="H280" s="16" t="n"/>
      <c r="I280" s="16" t="n"/>
      <c r="J280" s="16" t="n"/>
      <c r="K280" s="16" t="n"/>
      <c r="L280" s="16" t="n"/>
      <c r="M280" s="16" t="n"/>
      <c r="N280" s="16" t="n"/>
      <c r="O280" s="16" t="n"/>
      <c r="P280" s="17" t="n"/>
      <c r="Q280" s="41" t="n"/>
      <c r="R280" s="41" t="n"/>
      <c r="S280" s="122">
        <f>DADOS_AM!$JH$33</f>
        <v/>
      </c>
      <c r="T280" s="17" t="n"/>
      <c r="U280" s="120">
        <f>DADOS_AM!$JI$33</f>
        <v/>
      </c>
      <c r="V280" s="16" t="n"/>
      <c r="W280" s="16" t="n"/>
      <c r="X280" s="16" t="n"/>
      <c r="Y280" s="16" t="n"/>
      <c r="Z280" s="16" t="n"/>
      <c r="AA280" s="16" t="n"/>
      <c r="AB280" s="16" t="n"/>
      <c r="AC280" s="16" t="n"/>
      <c r="AD280" s="16" t="n"/>
      <c r="AE280" s="17" t="n"/>
      <c r="AF280" s="41" t="n"/>
      <c r="AG280" s="41" t="n"/>
      <c r="AH280" s="122">
        <f>DADOS_AM!$JH$34</f>
        <v/>
      </c>
      <c r="AI280" s="17" t="n"/>
      <c r="AJ280" s="120">
        <f>DADOS_AM!$JI$34</f>
        <v/>
      </c>
      <c r="AK280" s="16" t="n"/>
      <c r="AL280" s="16" t="n"/>
      <c r="AM280" s="16" t="n"/>
      <c r="AN280" s="16" t="n"/>
      <c r="AO280" s="16" t="n"/>
      <c r="AP280" s="16" t="n"/>
      <c r="AQ280" s="16" t="n"/>
      <c r="AR280" s="16" t="n"/>
      <c r="AS280" s="16" t="n"/>
      <c r="AT280" s="17" t="n"/>
    </row>
    <row r="281" hidden="1" outlineLevel="3">
      <c r="A281" s="8" t="n"/>
      <c r="B281" s="14" t="n"/>
      <c r="C281" s="41" t="n"/>
      <c r="D281" s="123">
        <f>DADOS_AM!$JJ$32</f>
        <v/>
      </c>
      <c r="E281" s="16" t="n"/>
      <c r="F281" s="17" t="n"/>
      <c r="G281" s="123">
        <f>DADOS_AM!$JK$32</f>
        <v/>
      </c>
      <c r="H281" s="16" t="n"/>
      <c r="I281" s="16" t="n"/>
      <c r="J281" s="17" t="n"/>
      <c r="K281" s="123">
        <f>DADOS_AM!$JL$32</f>
        <v/>
      </c>
      <c r="L281" s="16" t="n"/>
      <c r="M281" s="16" t="n"/>
      <c r="N281" s="16" t="n"/>
      <c r="O281" s="16" t="n"/>
      <c r="P281" s="17" t="n"/>
      <c r="Q281" s="41" t="n"/>
      <c r="R281" s="41" t="n"/>
      <c r="S281" s="123">
        <f>DADOS_AM!$JJ$33</f>
        <v/>
      </c>
      <c r="T281" s="16" t="n"/>
      <c r="U281" s="17" t="n"/>
      <c r="V281" s="123">
        <f>DADOS_AM!$JK$33</f>
        <v/>
      </c>
      <c r="W281" s="16" t="n"/>
      <c r="X281" s="16" t="n"/>
      <c r="Y281" s="17" t="n"/>
      <c r="Z281" s="123">
        <f>DADOS_AM!$JL$33</f>
        <v/>
      </c>
      <c r="AA281" s="16" t="n"/>
      <c r="AB281" s="16" t="n"/>
      <c r="AC281" s="16" t="n"/>
      <c r="AD281" s="16" t="n"/>
      <c r="AE281" s="17" t="n"/>
      <c r="AF281" s="41" t="n"/>
      <c r="AG281" s="41" t="n"/>
      <c r="AH281" s="123">
        <f>DADOS_AM!$JJ$34</f>
        <v/>
      </c>
      <c r="AI281" s="16" t="n"/>
      <c r="AJ281" s="17" t="n"/>
      <c r="AK281" s="123">
        <f>DADOS_AM!$JK$34</f>
        <v/>
      </c>
      <c r="AL281" s="16" t="n"/>
      <c r="AM281" s="16" t="n"/>
      <c r="AN281" s="17" t="n"/>
      <c r="AO281" s="123">
        <f>DADOS_AM!$JL$34</f>
        <v/>
      </c>
      <c r="AP281" s="16" t="n"/>
      <c r="AQ281" s="16" t="n"/>
      <c r="AR281" s="16" t="n"/>
      <c r="AS281" s="16" t="n"/>
      <c r="AT281" s="17" t="n"/>
    </row>
    <row r="282" hidden="1" outlineLevel="4">
      <c r="A282" s="8" t="n"/>
      <c r="B282" s="14" t="n"/>
      <c r="C282" s="41" t="n"/>
      <c r="D282" s="121">
        <f>DADOS_AM!$JM$32</f>
        <v/>
      </c>
      <c r="E282" s="19" t="n"/>
      <c r="F282" s="19" t="n"/>
      <c r="G282" s="19" t="n"/>
      <c r="H282" s="19" t="n"/>
      <c r="I282" s="19" t="n"/>
      <c r="J282" s="19" t="n"/>
      <c r="K282" s="19" t="n"/>
      <c r="L282" s="19" t="n"/>
      <c r="M282" s="19" t="n"/>
      <c r="N282" s="19" t="n"/>
      <c r="O282" s="19" t="n"/>
      <c r="P282" s="20" t="n"/>
      <c r="Q282" s="41" t="n"/>
      <c r="R282" s="41" t="n"/>
      <c r="S282" s="121">
        <f>DADOS_AM!$JM$33</f>
        <v/>
      </c>
      <c r="T282" s="19" t="n"/>
      <c r="U282" s="19" t="n"/>
      <c r="V282" s="19" t="n"/>
      <c r="W282" s="19" t="n"/>
      <c r="X282" s="19" t="n"/>
      <c r="Y282" s="19" t="n"/>
      <c r="Z282" s="19" t="n"/>
      <c r="AA282" s="19" t="n"/>
      <c r="AB282" s="19" t="n"/>
      <c r="AC282" s="19" t="n"/>
      <c r="AD282" s="19" t="n"/>
      <c r="AE282" s="20" t="n"/>
      <c r="AF282" s="41" t="n"/>
      <c r="AG282" s="41" t="n"/>
      <c r="AH282" s="121">
        <f>DADOS_AM!$JM$34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DADOS_AM!$JH$35</f>
        <v/>
      </c>
      <c r="E290" s="17" t="n"/>
      <c r="F290" s="120">
        <f>DADOS_AM!$JI$35</f>
        <v/>
      </c>
      <c r="G290" s="16" t="n"/>
      <c r="H290" s="16" t="n"/>
      <c r="I290" s="16" t="n"/>
      <c r="J290" s="16" t="n"/>
      <c r="K290" s="16" t="n"/>
      <c r="L290" s="16" t="n"/>
      <c r="M290" s="16" t="n"/>
      <c r="N290" s="16" t="n"/>
      <c r="O290" s="16" t="n"/>
      <c r="P290" s="17" t="n"/>
      <c r="Q290" s="41" t="n"/>
      <c r="R290" s="41" t="n"/>
      <c r="S290" s="122">
        <f>DADOS_AM!$JH$36</f>
        <v/>
      </c>
      <c r="T290" s="17" t="n"/>
      <c r="U290" s="120">
        <f>DADOS_AM!$JI$36</f>
        <v/>
      </c>
      <c r="V290" s="16" t="n"/>
      <c r="W290" s="16" t="n"/>
      <c r="X290" s="16" t="n"/>
      <c r="Y290" s="16" t="n"/>
      <c r="Z290" s="16" t="n"/>
      <c r="AA290" s="16" t="n"/>
      <c r="AB290" s="16" t="n"/>
      <c r="AC290" s="16" t="n"/>
      <c r="AD290" s="16" t="n"/>
      <c r="AE290" s="17" t="n"/>
      <c r="AF290" s="41" t="n"/>
      <c r="AG290" s="41" t="n"/>
      <c r="AH290" s="122">
        <f>DADOS_AM!$JH$37</f>
        <v/>
      </c>
      <c r="AI290" s="17" t="n"/>
      <c r="AJ290" s="120">
        <f>DADOS_AM!$JI$37</f>
        <v/>
      </c>
      <c r="AK290" s="16" t="n"/>
      <c r="AL290" s="16" t="n"/>
      <c r="AM290" s="16" t="n"/>
      <c r="AN290" s="16" t="n"/>
      <c r="AO290" s="16" t="n"/>
      <c r="AP290" s="16" t="n"/>
      <c r="AQ290" s="16" t="n"/>
      <c r="AR290" s="16" t="n"/>
      <c r="AS290" s="16" t="n"/>
      <c r="AT290" s="17" t="n"/>
    </row>
    <row r="291" hidden="1" outlineLevel="3">
      <c r="A291" s="8" t="n"/>
      <c r="B291" s="14" t="n"/>
      <c r="C291" s="41" t="n"/>
      <c r="D291" s="123">
        <f>DADOS_AM!$JJ$35</f>
        <v/>
      </c>
      <c r="E291" s="16" t="n"/>
      <c r="F291" s="17" t="n"/>
      <c r="G291" s="123">
        <f>DADOS_AM!$JK$35</f>
        <v/>
      </c>
      <c r="H291" s="16" t="n"/>
      <c r="I291" s="16" t="n"/>
      <c r="J291" s="17" t="n"/>
      <c r="K291" s="123">
        <f>DADOS_AM!$JL$35</f>
        <v/>
      </c>
      <c r="L291" s="16" t="n"/>
      <c r="M291" s="16" t="n"/>
      <c r="N291" s="16" t="n"/>
      <c r="O291" s="16" t="n"/>
      <c r="P291" s="17" t="n"/>
      <c r="Q291" s="41" t="n"/>
      <c r="R291" s="41" t="n"/>
      <c r="S291" s="123">
        <f>DADOS_AM!$JJ$36</f>
        <v/>
      </c>
      <c r="T291" s="16" t="n"/>
      <c r="U291" s="17" t="n"/>
      <c r="V291" s="123">
        <f>DADOS_AM!$JK$36</f>
        <v/>
      </c>
      <c r="W291" s="16" t="n"/>
      <c r="X291" s="16" t="n"/>
      <c r="Y291" s="17" t="n"/>
      <c r="Z291" s="123">
        <f>DADOS_AM!$JL$36</f>
        <v/>
      </c>
      <c r="AA291" s="16" t="n"/>
      <c r="AB291" s="16" t="n"/>
      <c r="AC291" s="16" t="n"/>
      <c r="AD291" s="16" t="n"/>
      <c r="AE291" s="17" t="n"/>
      <c r="AF291" s="41" t="n"/>
      <c r="AG291" s="41" t="n"/>
      <c r="AH291" s="123">
        <f>DADOS_AM!$JJ$37</f>
        <v/>
      </c>
      <c r="AI291" s="16" t="n"/>
      <c r="AJ291" s="17" t="n"/>
      <c r="AK291" s="123">
        <f>DADOS_AM!$JK$37</f>
        <v/>
      </c>
      <c r="AL291" s="16" t="n"/>
      <c r="AM291" s="16" t="n"/>
      <c r="AN291" s="17" t="n"/>
      <c r="AO291" s="123">
        <f>DADOS_AM!$JL$37</f>
        <v/>
      </c>
      <c r="AP291" s="16" t="n"/>
      <c r="AQ291" s="16" t="n"/>
      <c r="AR291" s="16" t="n"/>
      <c r="AS291" s="16" t="n"/>
      <c r="AT291" s="17" t="n"/>
    </row>
    <row r="292" hidden="1" outlineLevel="4">
      <c r="A292" s="8" t="n"/>
      <c r="B292" s="14" t="n"/>
      <c r="C292" s="41" t="n"/>
      <c r="D292" s="121">
        <f>DADOS_AM!$JM$35</f>
        <v/>
      </c>
      <c r="E292" s="19" t="n"/>
      <c r="F292" s="19" t="n"/>
      <c r="G292" s="19" t="n"/>
      <c r="H292" s="19" t="n"/>
      <c r="I292" s="19" t="n"/>
      <c r="J292" s="19" t="n"/>
      <c r="K292" s="19" t="n"/>
      <c r="L292" s="19" t="n"/>
      <c r="M292" s="19" t="n"/>
      <c r="N292" s="19" t="n"/>
      <c r="O292" s="19" t="n"/>
      <c r="P292" s="20" t="n"/>
      <c r="Q292" s="41" t="n"/>
      <c r="R292" s="41" t="n"/>
      <c r="S292" s="121">
        <f>DADOS_AM!$JM$36</f>
        <v/>
      </c>
      <c r="T292" s="19" t="n"/>
      <c r="U292" s="19" t="n"/>
      <c r="V292" s="19" t="n"/>
      <c r="W292" s="19" t="n"/>
      <c r="X292" s="19" t="n"/>
      <c r="Y292" s="19" t="n"/>
      <c r="Z292" s="19" t="n"/>
      <c r="AA292" s="19" t="n"/>
      <c r="AB292" s="19" t="n"/>
      <c r="AC292" s="19" t="n"/>
      <c r="AD292" s="19" t="n"/>
      <c r="AE292" s="20" t="n"/>
      <c r="AF292" s="41" t="n"/>
      <c r="AG292" s="41" t="n"/>
      <c r="AH292" s="121">
        <f>DADOS_AM!$JM$37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DADOS_AM!$KQ$4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DADOS_AM!$KQ$7</f>
        <v/>
      </c>
      <c r="E301" s="17" t="n"/>
      <c r="F301" s="120">
        <f>DADOS_AM!$JQ$2</f>
        <v/>
      </c>
      <c r="G301" s="16" t="n"/>
      <c r="H301" s="16" t="n"/>
      <c r="I301" s="16" t="n"/>
      <c r="J301" s="16" t="n"/>
      <c r="K301" s="16" t="n"/>
      <c r="L301" s="16" t="n"/>
      <c r="M301" s="16" t="n"/>
      <c r="N301" s="16" t="n"/>
      <c r="O301" s="16" t="n"/>
      <c r="P301" s="17" t="n"/>
      <c r="Q301" s="41" t="n"/>
      <c r="R301" s="41" t="n"/>
      <c r="S301" s="122">
        <f>DADOS_AM!$KQ$7</f>
        <v/>
      </c>
      <c r="T301" s="17" t="n"/>
      <c r="U301" s="120">
        <f>DADOS_AM!$JQ$3</f>
        <v/>
      </c>
      <c r="V301" s="16" t="n"/>
      <c r="W301" s="16" t="n"/>
      <c r="X301" s="16" t="n"/>
      <c r="Y301" s="16" t="n"/>
      <c r="Z301" s="16" t="n"/>
      <c r="AA301" s="16" t="n"/>
      <c r="AB301" s="16" t="n"/>
      <c r="AC301" s="16" t="n"/>
      <c r="AD301" s="16" t="n"/>
      <c r="AE301" s="17" t="n"/>
      <c r="AF301" s="41" t="n"/>
      <c r="AG301" s="41" t="n"/>
      <c r="AH301" s="122">
        <f>DADOS_AM!$KQ$7</f>
        <v/>
      </c>
      <c r="AI301" s="17" t="n"/>
      <c r="AJ301" s="120">
        <f>DADOS_AM!$JQ$4</f>
        <v/>
      </c>
      <c r="AK301" s="16" t="n"/>
      <c r="AL301" s="16" t="n"/>
      <c r="AM301" s="16" t="n"/>
      <c r="AN301" s="16" t="n"/>
      <c r="AO301" s="16" t="n"/>
      <c r="AP301" s="16" t="n"/>
      <c r="AQ301" s="16" t="n"/>
      <c r="AR301" s="16" t="n"/>
      <c r="AS301" s="16" t="n"/>
      <c r="AT301" s="17" t="n"/>
    </row>
    <row r="302" outlineLevel="2">
      <c r="A302" s="8" t="n"/>
      <c r="B302" s="14" t="n"/>
      <c r="C302" s="41" t="n"/>
      <c r="D302" s="123">
        <f>DADOS_AM!$JR$2</f>
        <v/>
      </c>
      <c r="E302" s="16" t="n"/>
      <c r="F302" s="17" t="n"/>
      <c r="G302" s="123">
        <f>DADOS_AM!$JS$2</f>
        <v/>
      </c>
      <c r="H302" s="16" t="n"/>
      <c r="I302" s="16" t="n"/>
      <c r="J302" s="17" t="n"/>
      <c r="K302" s="123">
        <f>DADOS_AM!$JT$2</f>
        <v/>
      </c>
      <c r="L302" s="16" t="n"/>
      <c r="M302" s="16" t="n"/>
      <c r="N302" s="16" t="n"/>
      <c r="O302" s="16" t="n"/>
      <c r="P302" s="17" t="n"/>
      <c r="Q302" s="41" t="n"/>
      <c r="R302" s="41" t="n"/>
      <c r="S302" s="123">
        <f>DADOS_AM!$JR$3</f>
        <v/>
      </c>
      <c r="T302" s="16" t="n"/>
      <c r="U302" s="17" t="n"/>
      <c r="V302" s="123">
        <f>DADOS_AM!$JS$3</f>
        <v/>
      </c>
      <c r="W302" s="16" t="n"/>
      <c r="X302" s="16" t="n"/>
      <c r="Y302" s="17" t="n"/>
      <c r="Z302" s="123">
        <f>DADOS_AM!$JT$3</f>
        <v/>
      </c>
      <c r="AA302" s="16" t="n"/>
      <c r="AB302" s="16" t="n"/>
      <c r="AC302" s="16" t="n"/>
      <c r="AD302" s="16" t="n"/>
      <c r="AE302" s="17" t="n"/>
      <c r="AF302" s="41" t="n"/>
      <c r="AG302" s="41" t="n"/>
      <c r="AH302" s="123">
        <f>DADOS_AM!$JR$4</f>
        <v/>
      </c>
      <c r="AI302" s="16" t="n"/>
      <c r="AJ302" s="17" t="n"/>
      <c r="AK302" s="123">
        <f>DADOS_AM!$JS$4</f>
        <v/>
      </c>
      <c r="AL302" s="16" t="n"/>
      <c r="AM302" s="16" t="n"/>
      <c r="AN302" s="17" t="n"/>
      <c r="AO302" s="123">
        <f>DADOS_AM!$JT$4</f>
        <v/>
      </c>
      <c r="AP302" s="16" t="n"/>
      <c r="AQ302" s="16" t="n"/>
      <c r="AR302" s="16" t="n"/>
      <c r="AS302" s="16" t="n"/>
      <c r="AT302" s="17" t="n"/>
    </row>
    <row r="303" outlineLevel="3">
      <c r="A303" s="8" t="n"/>
      <c r="B303" s="14" t="n"/>
      <c r="C303" s="41" t="n"/>
      <c r="D303" s="121">
        <f>DADOS_AM!$JU$2</f>
        <v/>
      </c>
      <c r="E303" s="19" t="n"/>
      <c r="F303" s="19" t="n"/>
      <c r="G303" s="19" t="n"/>
      <c r="H303" s="19" t="n"/>
      <c r="I303" s="19" t="n"/>
      <c r="J303" s="19" t="n"/>
      <c r="K303" s="19" t="n"/>
      <c r="L303" s="19" t="n"/>
      <c r="M303" s="19" t="n"/>
      <c r="N303" s="19" t="n"/>
      <c r="O303" s="19" t="n"/>
      <c r="P303" s="20" t="n"/>
      <c r="Q303" s="41" t="n"/>
      <c r="R303" s="41" t="n"/>
      <c r="S303" s="121">
        <f>DADOS_AM!$JU$3</f>
        <v/>
      </c>
      <c r="T303" s="19" t="n"/>
      <c r="U303" s="19" t="n"/>
      <c r="V303" s="19" t="n"/>
      <c r="W303" s="19" t="n"/>
      <c r="X303" s="19" t="n"/>
      <c r="Y303" s="19" t="n"/>
      <c r="Z303" s="19" t="n"/>
      <c r="AA303" s="19" t="n"/>
      <c r="AB303" s="19" t="n"/>
      <c r="AC303" s="19" t="n"/>
      <c r="AD303" s="19" t="n"/>
      <c r="AE303" s="20" t="n"/>
      <c r="AF303" s="41" t="n"/>
      <c r="AG303" s="41" t="n"/>
      <c r="AH303" s="121">
        <f>DADOS_AM!$JU$4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DADOS_AM!$KQ$8</f>
        <v/>
      </c>
      <c r="E311" s="17" t="n"/>
      <c r="F311" s="120">
        <f>DADOS_AM!$JX$2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DADOS_AM!$JY$2</f>
        <v/>
      </c>
      <c r="AC311" s="16" t="n"/>
      <c r="AD311" s="16" t="n"/>
      <c r="AE311" s="17" t="n"/>
      <c r="AF311" s="123">
        <f>DADOS_AM!$JZ$2</f>
        <v/>
      </c>
      <c r="AG311" s="16" t="n"/>
      <c r="AH311" s="16" t="n"/>
      <c r="AI311" s="16" t="n"/>
      <c r="AJ311" s="16" t="n"/>
      <c r="AK311" s="17" t="n"/>
      <c r="AL311" s="123">
        <f>DADOS_AM!$KA$2</f>
        <v/>
      </c>
      <c r="AM311" s="16" t="n"/>
      <c r="AN311" s="16" t="n"/>
      <c r="AO311" s="16" t="n"/>
      <c r="AP311" s="16" t="n"/>
      <c r="AQ311" s="16" t="n"/>
      <c r="AR311" s="16" t="n"/>
      <c r="AS311" s="16" t="n"/>
      <c r="AT311" s="17" t="n"/>
    </row>
    <row r="312" hidden="1" outlineLevel="3">
      <c r="A312" s="8" t="n"/>
      <c r="B312" s="14" t="n"/>
      <c r="C312" s="41" t="n"/>
      <c r="D312" s="121">
        <f>DADOS_AM!$KB$2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DADOS_AM!$KQ$9</f>
        <v/>
      </c>
      <c r="E318" s="17" t="n"/>
      <c r="F318" s="120">
        <f>DADOS_AM!$JX$3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DADOS_AM!$JY$3</f>
        <v/>
      </c>
      <c r="AC318" s="16" t="n"/>
      <c r="AD318" s="16" t="n"/>
      <c r="AE318" s="17" t="n"/>
      <c r="AF318" s="123">
        <f>DADOS_AM!$JZ$3</f>
        <v/>
      </c>
      <c r="AG318" s="16" t="n"/>
      <c r="AH318" s="16" t="n"/>
      <c r="AI318" s="16" t="n"/>
      <c r="AJ318" s="16" t="n"/>
      <c r="AK318" s="17" t="n"/>
      <c r="AL318" s="123">
        <f>DADOS_AM!$KA$3</f>
        <v/>
      </c>
      <c r="AM318" s="16" t="n"/>
      <c r="AN318" s="16" t="n"/>
      <c r="AO318" s="16" t="n"/>
      <c r="AP318" s="16" t="n"/>
      <c r="AQ318" s="16" t="n"/>
      <c r="AR318" s="16" t="n"/>
      <c r="AS318" s="16" t="n"/>
      <c r="AT318" s="17" t="n"/>
    </row>
    <row r="319" hidden="1" outlineLevel="3">
      <c r="A319" s="8" t="n"/>
      <c r="B319" s="14" t="n"/>
      <c r="C319" s="41" t="n"/>
      <c r="D319" s="121">
        <f>DADOS_AM!$KB$3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DADOS_AM!$KQ$5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DADOS_AM!$KF$2</f>
        <v/>
      </c>
      <c r="E326" s="17" t="n"/>
      <c r="F326" s="120">
        <f>DADOS_AM!$KG$2</f>
        <v/>
      </c>
      <c r="G326" s="16" t="n"/>
      <c r="H326" s="16" t="n"/>
      <c r="I326" s="16" t="n"/>
      <c r="J326" s="16" t="n"/>
      <c r="K326" s="16" t="n"/>
      <c r="L326" s="16" t="n"/>
      <c r="M326" s="16" t="n"/>
      <c r="N326" s="16" t="n"/>
      <c r="O326" s="16" t="n"/>
      <c r="P326" s="17" t="n"/>
      <c r="Q326" s="41" t="n"/>
      <c r="R326" s="41" t="n"/>
      <c r="S326" s="122">
        <f>DADOS_AM!$KF$3</f>
        <v/>
      </c>
      <c r="T326" s="17" t="n"/>
      <c r="U326" s="120">
        <f>DADOS_AM!$KG$3</f>
        <v/>
      </c>
      <c r="V326" s="16" t="n"/>
      <c r="W326" s="16" t="n"/>
      <c r="X326" s="16" t="n"/>
      <c r="Y326" s="16" t="n"/>
      <c r="Z326" s="16" t="n"/>
      <c r="AA326" s="16" t="n"/>
      <c r="AB326" s="16" t="n"/>
      <c r="AC326" s="16" t="n"/>
      <c r="AD326" s="16" t="n"/>
      <c r="AE326" s="17" t="n"/>
      <c r="AF326" s="41" t="n"/>
      <c r="AG326" s="41" t="n"/>
      <c r="AH326" s="122">
        <f>DADOS_AM!$KF$4</f>
        <v/>
      </c>
      <c r="AI326" s="17" t="n"/>
      <c r="AJ326" s="120">
        <f>DADOS_AM!$KG$4</f>
        <v/>
      </c>
      <c r="AK326" s="16" t="n"/>
      <c r="AL326" s="16" t="n"/>
      <c r="AM326" s="16" t="n"/>
      <c r="AN326" s="16" t="n"/>
      <c r="AO326" s="16" t="n"/>
      <c r="AP326" s="16" t="n"/>
      <c r="AQ326" s="16" t="n"/>
      <c r="AR326" s="16" t="n"/>
      <c r="AS326" s="16" t="n"/>
      <c r="AT326" s="17" t="n"/>
    </row>
    <row r="327" outlineLevel="4">
      <c r="A327" s="8" t="n"/>
      <c r="B327" s="14" t="n"/>
      <c r="C327" s="41" t="n"/>
      <c r="D327" s="121">
        <f>DADOS_AM!$KH$2</f>
        <v/>
      </c>
      <c r="E327" s="19" t="n"/>
      <c r="F327" s="19" t="n"/>
      <c r="G327" s="19" t="n"/>
      <c r="H327" s="19" t="n"/>
      <c r="I327" s="19" t="n"/>
      <c r="J327" s="19" t="n"/>
      <c r="K327" s="19" t="n"/>
      <c r="L327" s="19" t="n"/>
      <c r="M327" s="19" t="n"/>
      <c r="N327" s="19" t="n"/>
      <c r="O327" s="19" t="n"/>
      <c r="P327" s="20" t="n"/>
      <c r="Q327" s="41" t="n"/>
      <c r="R327" s="41" t="n"/>
      <c r="S327" s="121">
        <f>DADOS_AM!$KH$3</f>
        <v/>
      </c>
      <c r="T327" s="19" t="n"/>
      <c r="U327" s="19" t="n"/>
      <c r="V327" s="19" t="n"/>
      <c r="W327" s="19" t="n"/>
      <c r="X327" s="19" t="n"/>
      <c r="Y327" s="19" t="n"/>
      <c r="Z327" s="19" t="n"/>
      <c r="AA327" s="19" t="n"/>
      <c r="AB327" s="19" t="n"/>
      <c r="AC327" s="19" t="n"/>
      <c r="AD327" s="19" t="n"/>
      <c r="AE327" s="20" t="n"/>
      <c r="AF327" s="41" t="n"/>
      <c r="AG327" s="41" t="n"/>
      <c r="AH327" s="121">
        <f>DADOS_AM!$KH$4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DADOS_AM!$KF$5</f>
        <v/>
      </c>
      <c r="E333" s="17" t="n"/>
      <c r="F333" s="120">
        <f>DADOS_AM!$KG$5</f>
        <v/>
      </c>
      <c r="G333" s="16" t="n"/>
      <c r="H333" s="16" t="n"/>
      <c r="I333" s="16" t="n"/>
      <c r="J333" s="16" t="n"/>
      <c r="K333" s="16" t="n"/>
      <c r="L333" s="16" t="n"/>
      <c r="M333" s="16" t="n"/>
      <c r="N333" s="16" t="n"/>
      <c r="O333" s="16" t="n"/>
      <c r="P333" s="17" t="n"/>
      <c r="Q333" s="41" t="n"/>
      <c r="R333" s="41" t="n"/>
      <c r="S333" s="122">
        <f>DADOS_AM!$KF$6</f>
        <v/>
      </c>
      <c r="T333" s="17" t="n"/>
      <c r="U333" s="120">
        <f>DADOS_AM!$KG$6</f>
        <v/>
      </c>
      <c r="V333" s="16" t="n"/>
      <c r="W333" s="16" t="n"/>
      <c r="X333" s="16" t="n"/>
      <c r="Y333" s="16" t="n"/>
      <c r="Z333" s="16" t="n"/>
      <c r="AA333" s="16" t="n"/>
      <c r="AB333" s="16" t="n"/>
      <c r="AC333" s="16" t="n"/>
      <c r="AD333" s="16" t="n"/>
      <c r="AE333" s="17" t="n"/>
      <c r="AF333" s="41" t="n"/>
      <c r="AG333" s="41" t="n"/>
      <c r="AH333" s="122">
        <f>DADOS_AM!$KF$7</f>
        <v/>
      </c>
      <c r="AI333" s="17" t="n"/>
      <c r="AJ333" s="120">
        <f>DADOS_AM!$KG$7</f>
        <v/>
      </c>
      <c r="AK333" s="16" t="n"/>
      <c r="AL333" s="16" t="n"/>
      <c r="AM333" s="16" t="n"/>
      <c r="AN333" s="16" t="n"/>
      <c r="AO333" s="16" t="n"/>
      <c r="AP333" s="16" t="n"/>
      <c r="AQ333" s="16" t="n"/>
      <c r="AR333" s="16" t="n"/>
      <c r="AS333" s="16" t="n"/>
      <c r="AT333" s="17" t="n"/>
    </row>
    <row r="334" hidden="1" outlineLevel="4">
      <c r="A334" s="8" t="n"/>
      <c r="B334" s="14" t="n"/>
      <c r="C334" s="41" t="n"/>
      <c r="D334" s="121">
        <f>DADOS_AM!$KH$5</f>
        <v/>
      </c>
      <c r="E334" s="19" t="n"/>
      <c r="F334" s="19" t="n"/>
      <c r="G334" s="19" t="n"/>
      <c r="H334" s="19" t="n"/>
      <c r="I334" s="19" t="n"/>
      <c r="J334" s="19" t="n"/>
      <c r="K334" s="19" t="n"/>
      <c r="L334" s="19" t="n"/>
      <c r="M334" s="19" t="n"/>
      <c r="N334" s="19" t="n"/>
      <c r="O334" s="19" t="n"/>
      <c r="P334" s="20" t="n"/>
      <c r="Q334" s="41" t="n"/>
      <c r="R334" s="41" t="n"/>
      <c r="S334" s="121">
        <f>DADOS_AM!$KH$6</f>
        <v/>
      </c>
      <c r="T334" s="19" t="n"/>
      <c r="U334" s="19" t="n"/>
      <c r="V334" s="19" t="n"/>
      <c r="W334" s="19" t="n"/>
      <c r="X334" s="19" t="n"/>
      <c r="Y334" s="19" t="n"/>
      <c r="Z334" s="19" t="n"/>
      <c r="AA334" s="19" t="n"/>
      <c r="AB334" s="19" t="n"/>
      <c r="AC334" s="19" t="n"/>
      <c r="AD334" s="19" t="n"/>
      <c r="AE334" s="20" t="n"/>
      <c r="AF334" s="41" t="n"/>
      <c r="AG334" s="41" t="n"/>
      <c r="AH334" s="121">
        <f>DADOS_AM!$KH$7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DADOS_AM!$KQ$15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DADOS_AM!$KF$8</f>
        <v/>
      </c>
      <c r="E340" s="17" t="n"/>
      <c r="F340" s="120">
        <f>DADOS_AM!$KG$8</f>
        <v/>
      </c>
      <c r="G340" s="16" t="n"/>
      <c r="H340" s="16" t="n"/>
      <c r="I340" s="16" t="n"/>
      <c r="J340" s="16" t="n"/>
      <c r="K340" s="16" t="n"/>
      <c r="L340" s="16" t="n"/>
      <c r="M340" s="16" t="n"/>
      <c r="N340" s="16" t="n"/>
      <c r="O340" s="16" t="n"/>
      <c r="P340" s="17" t="n"/>
      <c r="Q340" s="41" t="n"/>
      <c r="R340" s="41" t="n"/>
      <c r="S340" s="122">
        <f>DADOS_AM!$KF$9</f>
        <v/>
      </c>
      <c r="T340" s="17" t="n"/>
      <c r="U340" s="120">
        <f>DADOS_AM!$KG$9</f>
        <v/>
      </c>
      <c r="V340" s="16" t="n"/>
      <c r="W340" s="16" t="n"/>
      <c r="X340" s="16" t="n"/>
      <c r="Y340" s="16" t="n"/>
      <c r="Z340" s="16" t="n"/>
      <c r="AA340" s="16" t="n"/>
      <c r="AB340" s="16" t="n"/>
      <c r="AC340" s="16" t="n"/>
      <c r="AD340" s="16" t="n"/>
      <c r="AE340" s="17" t="n"/>
      <c r="AF340" s="41" t="n"/>
      <c r="AG340" s="41" t="n"/>
      <c r="AH340" s="122">
        <f>DADOS_AM!$KF$10</f>
        <v/>
      </c>
      <c r="AI340" s="17" t="n"/>
      <c r="AJ340" s="120">
        <f>DADOS_AM!$KG$10</f>
        <v/>
      </c>
      <c r="AK340" s="16" t="n"/>
      <c r="AL340" s="16" t="n"/>
      <c r="AM340" s="16" t="n"/>
      <c r="AN340" s="16" t="n"/>
      <c r="AO340" s="16" t="n"/>
      <c r="AP340" s="16" t="n"/>
      <c r="AQ340" s="16" t="n"/>
      <c r="AR340" s="16" t="n"/>
      <c r="AS340" s="16" t="n"/>
      <c r="AT340" s="17" t="n"/>
    </row>
    <row r="341" hidden="1" outlineLevel="4">
      <c r="A341" s="8" t="n"/>
      <c r="B341" s="14" t="n"/>
      <c r="C341" s="41" t="n"/>
      <c r="D341" s="121">
        <f>DADOS_AM!$KH$8</f>
        <v/>
      </c>
      <c r="E341" s="19" t="n"/>
      <c r="F341" s="19" t="n"/>
      <c r="G341" s="19" t="n"/>
      <c r="H341" s="19" t="n"/>
      <c r="I341" s="19" t="n"/>
      <c r="J341" s="19" t="n"/>
      <c r="K341" s="19" t="n"/>
      <c r="L341" s="19" t="n"/>
      <c r="M341" s="19" t="n"/>
      <c r="N341" s="19" t="n"/>
      <c r="O341" s="19" t="n"/>
      <c r="P341" s="20" t="n"/>
      <c r="Q341" s="41" t="n"/>
      <c r="R341" s="41" t="n"/>
      <c r="S341" s="121">
        <f>DADOS_AM!$KH$9</f>
        <v/>
      </c>
      <c r="T341" s="19" t="n"/>
      <c r="U341" s="19" t="n"/>
      <c r="V341" s="19" t="n"/>
      <c r="W341" s="19" t="n"/>
      <c r="X341" s="19" t="n"/>
      <c r="Y341" s="19" t="n"/>
      <c r="Z341" s="19" t="n"/>
      <c r="AA341" s="19" t="n"/>
      <c r="AB341" s="19" t="n"/>
      <c r="AC341" s="19" t="n"/>
      <c r="AD341" s="19" t="n"/>
      <c r="AE341" s="20" t="n"/>
      <c r="AF341" s="41" t="n"/>
      <c r="AG341" s="41" t="n"/>
      <c r="AH341" s="121">
        <f>DADOS_AM!$KH$10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DADOS_AM!$KF$11</f>
        <v/>
      </c>
      <c r="E347" s="17" t="n"/>
      <c r="F347" s="120">
        <f>DADOS_AM!$KG$11</f>
        <v/>
      </c>
      <c r="G347" s="16" t="n"/>
      <c r="H347" s="16" t="n"/>
      <c r="I347" s="16" t="n"/>
      <c r="J347" s="16" t="n"/>
      <c r="K347" s="16" t="n"/>
      <c r="L347" s="16" t="n"/>
      <c r="M347" s="16" t="n"/>
      <c r="N347" s="16" t="n"/>
      <c r="O347" s="16" t="n"/>
      <c r="P347" s="17" t="n"/>
      <c r="Q347" s="41" t="n"/>
      <c r="R347" s="41" t="n"/>
      <c r="S347" s="122">
        <f>DADOS_AM!$KF$12</f>
        <v/>
      </c>
      <c r="T347" s="17" t="n"/>
      <c r="U347" s="120">
        <f>DADOS_AM!$KG$12</f>
        <v/>
      </c>
      <c r="V347" s="16" t="n"/>
      <c r="W347" s="16" t="n"/>
      <c r="X347" s="16" t="n"/>
      <c r="Y347" s="16" t="n"/>
      <c r="Z347" s="16" t="n"/>
      <c r="AA347" s="16" t="n"/>
      <c r="AB347" s="16" t="n"/>
      <c r="AC347" s="16" t="n"/>
      <c r="AD347" s="16" t="n"/>
      <c r="AE347" s="17" t="n"/>
      <c r="AF347" s="41" t="n"/>
      <c r="AG347" s="41" t="n"/>
      <c r="AH347" s="122">
        <f>DADOS_AM!$KF$13</f>
        <v/>
      </c>
      <c r="AI347" s="17" t="n"/>
      <c r="AJ347" s="120">
        <f>DADOS_AM!$KG$13</f>
        <v/>
      </c>
      <c r="AK347" s="16" t="n"/>
      <c r="AL347" s="16" t="n"/>
      <c r="AM347" s="16" t="n"/>
      <c r="AN347" s="16" t="n"/>
      <c r="AO347" s="16" t="n"/>
      <c r="AP347" s="16" t="n"/>
      <c r="AQ347" s="16" t="n"/>
      <c r="AR347" s="16" t="n"/>
      <c r="AS347" s="16" t="n"/>
      <c r="AT347" s="17" t="n"/>
    </row>
    <row r="348" hidden="1" outlineLevel="4">
      <c r="A348" s="8" t="n"/>
      <c r="B348" s="14" t="n"/>
      <c r="C348" s="41" t="n"/>
      <c r="D348" s="121">
        <f>DADOS_AM!$KH$11</f>
        <v/>
      </c>
      <c r="E348" s="19" t="n"/>
      <c r="F348" s="19" t="n"/>
      <c r="G348" s="19" t="n"/>
      <c r="H348" s="19" t="n"/>
      <c r="I348" s="19" t="n"/>
      <c r="J348" s="19" t="n"/>
      <c r="K348" s="19" t="n"/>
      <c r="L348" s="19" t="n"/>
      <c r="M348" s="19" t="n"/>
      <c r="N348" s="19" t="n"/>
      <c r="O348" s="19" t="n"/>
      <c r="P348" s="20" t="n"/>
      <c r="Q348" s="41" t="n"/>
      <c r="R348" s="41" t="n"/>
      <c r="S348" s="121">
        <f>DADOS_AM!$KH$12</f>
        <v/>
      </c>
      <c r="T348" s="19" t="n"/>
      <c r="U348" s="19" t="n"/>
      <c r="V348" s="19" t="n"/>
      <c r="W348" s="19" t="n"/>
      <c r="X348" s="19" t="n"/>
      <c r="Y348" s="19" t="n"/>
      <c r="Z348" s="19" t="n"/>
      <c r="AA348" s="19" t="n"/>
      <c r="AB348" s="19" t="n"/>
      <c r="AC348" s="19" t="n"/>
      <c r="AD348" s="19" t="n"/>
      <c r="AE348" s="20" t="n"/>
      <c r="AF348" s="41" t="n"/>
      <c r="AG348" s="41" t="n"/>
      <c r="AH348" s="121">
        <f>DADOS_AM!$KH$13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DADOS_AM!$KQ$16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DADOS_AM!$KF$14</f>
        <v/>
      </c>
      <c r="E354" s="17" t="n"/>
      <c r="F354" s="120">
        <f>DADOS_AM!$KG$14</f>
        <v/>
      </c>
      <c r="G354" s="16" t="n"/>
      <c r="H354" s="16" t="n"/>
      <c r="I354" s="16" t="n"/>
      <c r="J354" s="16" t="n"/>
      <c r="K354" s="16" t="n"/>
      <c r="L354" s="16" t="n"/>
      <c r="M354" s="16" t="n"/>
      <c r="N354" s="16" t="n"/>
      <c r="O354" s="16" t="n"/>
      <c r="P354" s="17" t="n"/>
      <c r="Q354" s="41" t="n"/>
      <c r="R354" s="41" t="n"/>
      <c r="S354" s="122">
        <f>DADOS_AM!$KF$15</f>
        <v/>
      </c>
      <c r="T354" s="17" t="n"/>
      <c r="U354" s="120">
        <f>DADOS_AM!$KG$15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DADOS_AM!$KH$14</f>
        <v/>
      </c>
      <c r="E355" s="19" t="n"/>
      <c r="F355" s="19" t="n"/>
      <c r="G355" s="19" t="n"/>
      <c r="H355" s="19" t="n"/>
      <c r="I355" s="19" t="n"/>
      <c r="J355" s="19" t="n"/>
      <c r="K355" s="19" t="n"/>
      <c r="L355" s="19" t="n"/>
      <c r="M355" s="19" t="n"/>
      <c r="N355" s="19" t="n"/>
      <c r="O355" s="19" t="n"/>
      <c r="P355" s="20" t="n"/>
      <c r="Q355" s="41" t="n"/>
      <c r="R355" s="41" t="n"/>
      <c r="S355" s="121">
        <f>DADOS_AM!$KH$15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DADOS_AM!$KQ$6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DADOS_AM!$KL$2</f>
        <v/>
      </c>
      <c r="E362" s="17" t="n"/>
      <c r="F362" s="120">
        <f>DADOS_AM!$KM$2</f>
        <v/>
      </c>
      <c r="G362" s="16" t="n"/>
      <c r="H362" s="16" t="n"/>
      <c r="I362" s="16" t="n"/>
      <c r="J362" s="16" t="n"/>
      <c r="K362" s="16" t="n"/>
      <c r="L362" s="16" t="n"/>
      <c r="M362" s="16" t="n"/>
      <c r="N362" s="16" t="n"/>
      <c r="O362" s="16" t="n"/>
      <c r="P362" s="17" t="n"/>
      <c r="Q362" s="41" t="n"/>
      <c r="R362" s="41" t="n"/>
      <c r="S362" s="122">
        <f>DADOS_AM!$KL$3</f>
        <v/>
      </c>
      <c r="T362" s="17" t="n"/>
      <c r="U362" s="120">
        <f>DADOS_AM!$KM$3</f>
        <v/>
      </c>
      <c r="V362" s="16" t="n"/>
      <c r="W362" s="16" t="n"/>
      <c r="X362" s="16" t="n"/>
      <c r="Y362" s="16" t="n"/>
      <c r="Z362" s="16" t="n"/>
      <c r="AA362" s="16" t="n"/>
      <c r="AB362" s="16" t="n"/>
      <c r="AC362" s="16" t="n"/>
      <c r="AD362" s="16" t="n"/>
      <c r="AE362" s="17" t="n"/>
      <c r="AF362" s="41" t="n"/>
      <c r="AG362" s="41" t="n"/>
      <c r="AH362" s="122">
        <f>DADOS_AM!$KL$4</f>
        <v/>
      </c>
      <c r="AI362" s="17" t="n"/>
      <c r="AJ362" s="120">
        <f>DADOS_AM!$KM$4</f>
        <v/>
      </c>
      <c r="AK362" s="16" t="n"/>
      <c r="AL362" s="16" t="n"/>
      <c r="AM362" s="16" t="n"/>
      <c r="AN362" s="16" t="n"/>
      <c r="AO362" s="16" t="n"/>
      <c r="AP362" s="16" t="n"/>
      <c r="AQ362" s="16" t="n"/>
      <c r="AR362" s="16" t="n"/>
      <c r="AS362" s="16" t="n"/>
      <c r="AT362" s="17" t="n"/>
    </row>
    <row r="363" outlineLevel="4">
      <c r="A363" s="8" t="n"/>
      <c r="B363" s="14" t="n"/>
      <c r="C363" s="41" t="n"/>
      <c r="D363" s="121">
        <f>DADOS_AM!$KN$2</f>
        <v/>
      </c>
      <c r="E363" s="19" t="n"/>
      <c r="F363" s="19" t="n"/>
      <c r="G363" s="19" t="n"/>
      <c r="H363" s="19" t="n"/>
      <c r="I363" s="19" t="n"/>
      <c r="J363" s="19" t="n"/>
      <c r="K363" s="19" t="n"/>
      <c r="L363" s="19" t="n"/>
      <c r="M363" s="19" t="n"/>
      <c r="N363" s="19" t="n"/>
      <c r="O363" s="19" t="n"/>
      <c r="P363" s="20" t="n"/>
      <c r="Q363" s="41" t="n"/>
      <c r="R363" s="41" t="n"/>
      <c r="S363" s="121">
        <f>DADOS_AM!$KN$3</f>
        <v/>
      </c>
      <c r="T363" s="19" t="n"/>
      <c r="U363" s="19" t="n"/>
      <c r="V363" s="19" t="n"/>
      <c r="W363" s="19" t="n"/>
      <c r="X363" s="19" t="n"/>
      <c r="Y363" s="19" t="n"/>
      <c r="Z363" s="19" t="n"/>
      <c r="AA363" s="19" t="n"/>
      <c r="AB363" s="19" t="n"/>
      <c r="AC363" s="19" t="n"/>
      <c r="AD363" s="19" t="n"/>
      <c r="AE363" s="20" t="n"/>
      <c r="AF363" s="41" t="n"/>
      <c r="AG363" s="41" t="n"/>
      <c r="AH363" s="121">
        <f>DADOS_AM!$KN$4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DADOS_AM!$KL$5</f>
        <v/>
      </c>
      <c r="E370" s="17" t="n"/>
      <c r="F370" s="120">
        <f>DADOS_AM!$KM$5</f>
        <v/>
      </c>
      <c r="G370" s="16" t="n"/>
      <c r="H370" s="16" t="n"/>
      <c r="I370" s="16" t="n"/>
      <c r="J370" s="16" t="n"/>
      <c r="K370" s="16" t="n"/>
      <c r="L370" s="16" t="n"/>
      <c r="M370" s="16" t="n"/>
      <c r="N370" s="16" t="n"/>
      <c r="O370" s="16" t="n"/>
      <c r="P370" s="17" t="n"/>
      <c r="Q370" s="41" t="n"/>
      <c r="R370" s="41" t="n"/>
      <c r="S370" s="122">
        <f>DADOS_AM!$KL$6</f>
        <v/>
      </c>
      <c r="T370" s="17" t="n"/>
      <c r="U370" s="120">
        <f>DADOS_AM!$KM$6</f>
        <v/>
      </c>
      <c r="V370" s="16" t="n"/>
      <c r="W370" s="16" t="n"/>
      <c r="X370" s="16" t="n"/>
      <c r="Y370" s="16" t="n"/>
      <c r="Z370" s="16" t="n"/>
      <c r="AA370" s="16" t="n"/>
      <c r="AB370" s="16" t="n"/>
      <c r="AC370" s="16" t="n"/>
      <c r="AD370" s="16" t="n"/>
      <c r="AE370" s="17" t="n"/>
      <c r="AF370" s="41" t="n"/>
      <c r="AG370" s="41" t="n"/>
      <c r="AH370" s="122">
        <f>DADOS_AM!$KL$7</f>
        <v/>
      </c>
      <c r="AI370" s="17" t="n"/>
      <c r="AJ370" s="120">
        <f>DADOS_AM!$KM$7</f>
        <v/>
      </c>
      <c r="AK370" s="16" t="n"/>
      <c r="AL370" s="16" t="n"/>
      <c r="AM370" s="16" t="n"/>
      <c r="AN370" s="16" t="n"/>
      <c r="AO370" s="16" t="n"/>
      <c r="AP370" s="16" t="n"/>
      <c r="AQ370" s="16" t="n"/>
      <c r="AR370" s="16" t="n"/>
      <c r="AS370" s="16" t="n"/>
      <c r="AT370" s="17" t="n"/>
    </row>
    <row r="371" hidden="1" outlineLevel="4">
      <c r="A371" s="8" t="n"/>
      <c r="B371" s="14" t="n"/>
      <c r="C371" s="41" t="n"/>
      <c r="D371" s="121">
        <f>DADOS_AM!$KN$5</f>
        <v/>
      </c>
      <c r="E371" s="19" t="n"/>
      <c r="F371" s="19" t="n"/>
      <c r="G371" s="19" t="n"/>
      <c r="H371" s="19" t="n"/>
      <c r="I371" s="19" t="n"/>
      <c r="J371" s="19" t="n"/>
      <c r="K371" s="19" t="n"/>
      <c r="L371" s="19" t="n"/>
      <c r="M371" s="19" t="n"/>
      <c r="N371" s="19" t="n"/>
      <c r="O371" s="19" t="n"/>
      <c r="P371" s="20" t="n"/>
      <c r="Q371" s="41" t="n"/>
      <c r="R371" s="41" t="n"/>
      <c r="S371" s="121">
        <f>DADOS_AM!$KN$6</f>
        <v/>
      </c>
      <c r="T371" s="19" t="n"/>
      <c r="U371" s="19" t="n"/>
      <c r="V371" s="19" t="n"/>
      <c r="W371" s="19" t="n"/>
      <c r="X371" s="19" t="n"/>
      <c r="Y371" s="19" t="n"/>
      <c r="Z371" s="19" t="n"/>
      <c r="AA371" s="19" t="n"/>
      <c r="AB371" s="19" t="n"/>
      <c r="AC371" s="19" t="n"/>
      <c r="AD371" s="19" t="n"/>
      <c r="AE371" s="20" t="n"/>
      <c r="AF371" s="41" t="n"/>
      <c r="AG371" s="41" t="n"/>
      <c r="AH371" s="121">
        <f>DADOS_AM!$KN$7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DADOS_AM!$KQ$17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DADOS_AM!$KL$8</f>
        <v/>
      </c>
      <c r="E378" s="17" t="n"/>
      <c r="F378" s="120">
        <f>DADOS_AM!$KM$8</f>
        <v/>
      </c>
      <c r="G378" s="16" t="n"/>
      <c r="H378" s="16" t="n"/>
      <c r="I378" s="16" t="n"/>
      <c r="J378" s="16" t="n"/>
      <c r="K378" s="16" t="n"/>
      <c r="L378" s="16" t="n"/>
      <c r="M378" s="16" t="n"/>
      <c r="N378" s="16" t="n"/>
      <c r="O378" s="16" t="n"/>
      <c r="P378" s="17" t="n"/>
      <c r="Q378" s="41" t="n"/>
      <c r="R378" s="41" t="n"/>
      <c r="S378" s="122">
        <f>DADOS_AM!$KL$9</f>
        <v/>
      </c>
      <c r="T378" s="17" t="n"/>
      <c r="U378" s="120">
        <f>DADOS_AM!$KM$9</f>
        <v/>
      </c>
      <c r="V378" s="16" t="n"/>
      <c r="W378" s="16" t="n"/>
      <c r="X378" s="16" t="n"/>
      <c r="Y378" s="16" t="n"/>
      <c r="Z378" s="16" t="n"/>
      <c r="AA378" s="16" t="n"/>
      <c r="AB378" s="16" t="n"/>
      <c r="AC378" s="16" t="n"/>
      <c r="AD378" s="16" t="n"/>
      <c r="AE378" s="17" t="n"/>
      <c r="AF378" s="41" t="n"/>
      <c r="AG378" s="41" t="n"/>
      <c r="AH378" s="122">
        <f>DADOS_AM!$KL$10</f>
        <v/>
      </c>
      <c r="AI378" s="17" t="n"/>
      <c r="AJ378" s="120">
        <f>DADOS_AM!$KM$10</f>
        <v/>
      </c>
      <c r="AK378" s="16" t="n"/>
      <c r="AL378" s="16" t="n"/>
      <c r="AM378" s="16" t="n"/>
      <c r="AN378" s="16" t="n"/>
      <c r="AO378" s="16" t="n"/>
      <c r="AP378" s="16" t="n"/>
      <c r="AQ378" s="16" t="n"/>
      <c r="AR378" s="16" t="n"/>
      <c r="AS378" s="16" t="n"/>
      <c r="AT378" s="17" t="n"/>
    </row>
    <row r="379" hidden="1" outlineLevel="4">
      <c r="A379" s="8" t="n"/>
      <c r="B379" s="14" t="n"/>
      <c r="C379" s="41" t="n"/>
      <c r="D379" s="121">
        <f>DADOS_AM!$KN$8</f>
        <v/>
      </c>
      <c r="E379" s="19" t="n"/>
      <c r="F379" s="19" t="n"/>
      <c r="G379" s="19" t="n"/>
      <c r="H379" s="19" t="n"/>
      <c r="I379" s="19" t="n"/>
      <c r="J379" s="19" t="n"/>
      <c r="K379" s="19" t="n"/>
      <c r="L379" s="19" t="n"/>
      <c r="M379" s="19" t="n"/>
      <c r="N379" s="19" t="n"/>
      <c r="O379" s="19" t="n"/>
      <c r="P379" s="20" t="n"/>
      <c r="Q379" s="41" t="n"/>
      <c r="R379" s="41" t="n"/>
      <c r="S379" s="121">
        <f>DADOS_AM!$KN$9</f>
        <v/>
      </c>
      <c r="T379" s="19" t="n"/>
      <c r="U379" s="19" t="n"/>
      <c r="V379" s="19" t="n"/>
      <c r="W379" s="19" t="n"/>
      <c r="X379" s="19" t="n"/>
      <c r="Y379" s="19" t="n"/>
      <c r="Z379" s="19" t="n"/>
      <c r="AA379" s="19" t="n"/>
      <c r="AB379" s="19" t="n"/>
      <c r="AC379" s="19" t="n"/>
      <c r="AD379" s="19" t="n"/>
      <c r="AE379" s="20" t="n"/>
      <c r="AF379" s="41" t="n"/>
      <c r="AG379" s="41" t="n"/>
      <c r="AH379" s="121">
        <f>DADOS_AM!$KN$10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DADOS_AM!$KL$11</f>
        <v/>
      </c>
      <c r="E386" s="17" t="n"/>
      <c r="F386" s="120">
        <f>DADOS_AM!$KM$11</f>
        <v/>
      </c>
      <c r="G386" s="16" t="n"/>
      <c r="H386" s="16" t="n"/>
      <c r="I386" s="16" t="n"/>
      <c r="J386" s="16" t="n"/>
      <c r="K386" s="16" t="n"/>
      <c r="L386" s="16" t="n"/>
      <c r="M386" s="16" t="n"/>
      <c r="N386" s="16" t="n"/>
      <c r="O386" s="16" t="n"/>
      <c r="P386" s="17" t="n"/>
      <c r="Q386" s="41" t="n"/>
      <c r="R386" s="41" t="n"/>
      <c r="S386" s="122">
        <f>DADOS_AM!$KL$12</f>
        <v/>
      </c>
      <c r="T386" s="17" t="n"/>
      <c r="U386" s="120">
        <f>DADOS_AM!$KM$12</f>
        <v/>
      </c>
      <c r="V386" s="16" t="n"/>
      <c r="W386" s="16" t="n"/>
      <c r="X386" s="16" t="n"/>
      <c r="Y386" s="16" t="n"/>
      <c r="Z386" s="16" t="n"/>
      <c r="AA386" s="16" t="n"/>
      <c r="AB386" s="16" t="n"/>
      <c r="AC386" s="16" t="n"/>
      <c r="AD386" s="16" t="n"/>
      <c r="AE386" s="17" t="n"/>
      <c r="AF386" s="41" t="n"/>
      <c r="AG386" s="41" t="n"/>
      <c r="AH386" s="122">
        <f>DADOS_AM!$KL$13</f>
        <v/>
      </c>
      <c r="AI386" s="17" t="n"/>
      <c r="AJ386" s="120">
        <f>DADOS_AM!$KM$13</f>
        <v/>
      </c>
      <c r="AK386" s="16" t="n"/>
      <c r="AL386" s="16" t="n"/>
      <c r="AM386" s="16" t="n"/>
      <c r="AN386" s="16" t="n"/>
      <c r="AO386" s="16" t="n"/>
      <c r="AP386" s="16" t="n"/>
      <c r="AQ386" s="16" t="n"/>
      <c r="AR386" s="16" t="n"/>
      <c r="AS386" s="16" t="n"/>
      <c r="AT386" s="17" t="n"/>
    </row>
    <row r="387" hidden="1" outlineLevel="4">
      <c r="A387" s="8" t="n"/>
      <c r="B387" s="14" t="n"/>
      <c r="C387" s="41" t="n"/>
      <c r="D387" s="121">
        <f>DADOS_AM!$KN$11</f>
        <v/>
      </c>
      <c r="E387" s="19" t="n"/>
      <c r="F387" s="19" t="n"/>
      <c r="G387" s="19" t="n"/>
      <c r="H387" s="19" t="n"/>
      <c r="I387" s="19" t="n"/>
      <c r="J387" s="19" t="n"/>
      <c r="K387" s="19" t="n"/>
      <c r="L387" s="19" t="n"/>
      <c r="M387" s="19" t="n"/>
      <c r="N387" s="19" t="n"/>
      <c r="O387" s="19" t="n"/>
      <c r="P387" s="20" t="n"/>
      <c r="Q387" s="41" t="n"/>
      <c r="R387" s="41" t="n"/>
      <c r="S387" s="121">
        <f>DADOS_AM!$KN$12</f>
        <v/>
      </c>
      <c r="T387" s="19" t="n"/>
      <c r="U387" s="19" t="n"/>
      <c r="V387" s="19" t="n"/>
      <c r="W387" s="19" t="n"/>
      <c r="X387" s="19" t="n"/>
      <c r="Y387" s="19" t="n"/>
      <c r="Z387" s="19" t="n"/>
      <c r="AA387" s="19" t="n"/>
      <c r="AB387" s="19" t="n"/>
      <c r="AC387" s="19" t="n"/>
      <c r="AD387" s="19" t="n"/>
      <c r="AE387" s="20" t="n"/>
      <c r="AF387" s="41" t="n"/>
      <c r="AG387" s="41" t="n"/>
      <c r="AH387" s="121">
        <f>DADOS_AM!$KN$13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DADOS_AM!$KQ$18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DADOS_AM!$KL$14</f>
        <v/>
      </c>
      <c r="E394" s="17" t="n"/>
      <c r="F394" s="120">
        <f>DADOS_AM!$KM$14</f>
        <v/>
      </c>
      <c r="G394" s="16" t="n"/>
      <c r="H394" s="16" t="n"/>
      <c r="I394" s="16" t="n"/>
      <c r="J394" s="16" t="n"/>
      <c r="K394" s="16" t="n"/>
      <c r="L394" s="16" t="n"/>
      <c r="M394" s="16" t="n"/>
      <c r="N394" s="16" t="n"/>
      <c r="O394" s="16" t="n"/>
      <c r="P394" s="17" t="n"/>
      <c r="Q394" s="41" t="n"/>
      <c r="R394" s="41" t="n"/>
      <c r="S394" s="122">
        <f>DADOS_AM!$KL$15</f>
        <v/>
      </c>
      <c r="T394" s="17" t="n"/>
      <c r="U394" s="120">
        <f>DADOS_AM!$KM$15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DADOS_AM!$KN$14</f>
        <v/>
      </c>
      <c r="E395" s="19" t="n"/>
      <c r="F395" s="19" t="n"/>
      <c r="G395" s="19" t="n"/>
      <c r="H395" s="19" t="n"/>
      <c r="I395" s="19" t="n"/>
      <c r="J395" s="19" t="n"/>
      <c r="K395" s="19" t="n"/>
      <c r="L395" s="19" t="n"/>
      <c r="M395" s="19" t="n"/>
      <c r="N395" s="19" t="n"/>
      <c r="O395" s="19" t="n"/>
      <c r="P395" s="20" t="n"/>
      <c r="Q395" s="41" t="n"/>
      <c r="R395" s="41" t="n"/>
      <c r="S395" s="121">
        <f>DADOS_AM!$KN$15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5">
        <f>DADOS_AM!$KT$2</f>
        <v/>
      </c>
      <c r="E12" s="19" t="n"/>
      <c r="F12" s="19" t="n"/>
      <c r="G12" s="19" t="n"/>
      <c r="H12" s="20" t="n"/>
      <c r="I12" s="125" t="n"/>
      <c r="J12" s="85" t="n"/>
      <c r="K12" s="20" t="n"/>
      <c r="L12" s="85">
        <f>DADOS_AM!$KT$3</f>
        <v/>
      </c>
      <c r="M12" s="19" t="n"/>
      <c r="N12" s="20" t="n"/>
      <c r="O12" s="125" t="n"/>
      <c r="P12" s="98">
        <f>DADOS_AM!$KT$4</f>
        <v/>
      </c>
      <c r="Q12" s="20" t="n"/>
      <c r="R12" s="98">
        <f>DADOS_AM!$KT$5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DADOS_AM!$KT$6</f>
        <v/>
      </c>
      <c r="K15" s="16" t="n"/>
      <c r="L15" s="16" t="n"/>
      <c r="M15" s="16" t="n"/>
      <c r="N15" s="17" t="n"/>
      <c r="O15" s="125" t="n"/>
      <c r="P15" s="55">
        <f>DADOS_AM!$KT$7</f>
        <v/>
      </c>
      <c r="Q15" s="16" t="n"/>
      <c r="R15" s="16" t="n"/>
      <c r="S15" s="16" t="n"/>
      <c r="T15" s="17" t="n"/>
      <c r="U15" s="125" t="n"/>
    </row>
    <row r="16" outlineLevel="1">
      <c r="B16" s="22" t="n"/>
      <c r="C16" s="125" t="n"/>
      <c r="D16" s="90">
        <f>DADOS_AM!$KT$8</f>
        <v/>
      </c>
      <c r="E16" s="16" t="n"/>
      <c r="F16" s="16" t="n"/>
      <c r="G16" s="16" t="n"/>
      <c r="H16" s="17" t="n"/>
      <c r="I16" s="125" t="n"/>
      <c r="J16" s="90" t="n"/>
      <c r="K16" s="16" t="n"/>
      <c r="L16" s="16" t="n"/>
      <c r="M16" s="16" t="n"/>
      <c r="N16" s="17" t="n"/>
      <c r="O16" s="125" t="n"/>
      <c r="P16" s="90">
        <f>DADOS_AM!$KT$9</f>
        <v/>
      </c>
      <c r="Q16" s="16" t="n"/>
      <c r="R16" s="16" t="n"/>
      <c r="S16" s="16" t="n"/>
      <c r="T16" s="17" t="n"/>
      <c r="U16" s="125" t="n"/>
    </row>
    <row r="17" outlineLevel="1">
      <c r="B17" s="22" t="n"/>
      <c r="C17" s="125" t="n"/>
      <c r="D17" s="55">
        <f>DADOS_AM!$KT$10</f>
        <v/>
      </c>
      <c r="E17" s="16" t="n"/>
      <c r="F17" s="16" t="n"/>
      <c r="G17" s="16" t="n"/>
      <c r="H17" s="17" t="n"/>
      <c r="I17" s="125" t="n"/>
      <c r="J17" s="55">
        <f>DADOS_AM!$KT$12</f>
        <v/>
      </c>
      <c r="K17" s="16" t="n"/>
      <c r="L17" s="16" t="n"/>
      <c r="M17" s="16" t="n"/>
      <c r="N17" s="17" t="n"/>
      <c r="O17" s="125" t="n"/>
      <c r="P17" s="55">
        <f>DADOS_AM!$KT$14</f>
        <v/>
      </c>
      <c r="Q17" s="16" t="n"/>
      <c r="R17" s="16" t="n"/>
      <c r="S17" s="16" t="n"/>
      <c r="T17" s="17" t="n"/>
      <c r="U17" s="125" t="n"/>
    </row>
    <row r="18" outlineLevel="1">
      <c r="B18" s="22" t="n"/>
      <c r="C18" s="125" t="n"/>
      <c r="D18" s="90" t="n"/>
      <c r="E18" s="16" t="n"/>
      <c r="F18" s="16" t="n"/>
      <c r="G18" s="16" t="n"/>
      <c r="H18" s="17" t="n"/>
      <c r="I18" s="125" t="n"/>
      <c r="J18" s="90" t="n"/>
      <c r="K18" s="16" t="n"/>
      <c r="L18" s="16" t="n"/>
      <c r="M18" s="16" t="n"/>
      <c r="N18" s="17" t="n"/>
      <c r="O18" s="125" t="n"/>
      <c r="P18" s="90" t="n"/>
      <c r="Q18" s="16" t="n"/>
      <c r="R18" s="16" t="n"/>
      <c r="S18" s="16" t="n"/>
      <c r="T18" s="17" t="n"/>
      <c r="U18" s="125" t="n"/>
    </row>
    <row r="19" outlineLevel="1">
      <c r="B19" s="22" t="n"/>
      <c r="C19" s="125" t="n"/>
      <c r="D19" s="90">
        <f>DADOS_AM!$KT$11</f>
        <v/>
      </c>
      <c r="E19" s="16" t="n"/>
      <c r="F19" s="16" t="n"/>
      <c r="G19" s="16" t="n"/>
      <c r="H19" s="17" t="n"/>
      <c r="I19" s="125" t="n"/>
      <c r="J19" s="90">
        <f>DADOS_AM!$KT$13</f>
        <v/>
      </c>
      <c r="K19" s="16" t="n"/>
      <c r="L19" s="16" t="n"/>
      <c r="M19" s="16" t="n"/>
      <c r="N19" s="17" t="n"/>
      <c r="O19" s="125" t="n"/>
      <c r="P19" s="90">
        <f>DADOS_AM!$KT$15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90" t="n"/>
      <c r="Q33" s="20" t="n"/>
      <c r="R33" s="90">
        <f>DADOS_AM!$KT$17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90" t="inlineStr">
        <is>
          <t>Neutra</t>
        </is>
      </c>
      <c r="E37" s="90" t="inlineStr">
        <is>
          <t>Neutra</t>
        </is>
      </c>
      <c r="F37" s="90" t="inlineStr">
        <is>
          <t>Neutra</t>
        </is>
      </c>
      <c r="G37" s="90" t="inlineStr">
        <is>
          <t>Neutra</t>
        </is>
      </c>
      <c r="H37" s="17" t="n"/>
      <c r="I37" s="125" t="n"/>
      <c r="J37" s="90" t="inlineStr">
        <is>
          <t>Neutra</t>
        </is>
      </c>
      <c r="K37" s="90" t="inlineStr">
        <is>
          <t>Neutra</t>
        </is>
      </c>
      <c r="L37" s="90" t="inlineStr">
        <is>
          <t>Neutra</t>
        </is>
      </c>
      <c r="M37" s="90" t="inlineStr">
        <is>
          <t>Neutra</t>
        </is>
      </c>
      <c r="N37" s="17" t="n"/>
      <c r="O37" s="125" t="n"/>
      <c r="P37" s="90" t="inlineStr">
        <is>
          <t>Neutra</t>
        </is>
      </c>
      <c r="Q37" s="90">
        <f>DADOS_AM!$KT$18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DADOS_AM!$KT$20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DADOS_AM!$HK$4</f>
        <v/>
      </c>
      <c r="E42" s="20" t="n"/>
      <c r="F42" s="98">
        <f>DADOS_AM!$HK$14</f>
        <v/>
      </c>
      <c r="G42" s="19" t="n"/>
      <c r="H42" s="20" t="n"/>
      <c r="I42" s="125" t="n"/>
      <c r="J42" s="98">
        <f>DADOS_AM!$KT$19</f>
        <v/>
      </c>
      <c r="K42" s="20" t="n"/>
      <c r="L42" s="98">
        <f>DADOS_AM!$HK$15</f>
        <v/>
      </c>
      <c r="M42" s="19" t="n"/>
      <c r="N42" s="20" t="n"/>
      <c r="O42" s="125" t="n"/>
      <c r="P42" s="98">
        <f>DADOS_AM!$KT$21</f>
        <v/>
      </c>
      <c r="Q42" s="98">
        <f>DADOS_AM!$KT$22</f>
        <v/>
      </c>
      <c r="R42" s="98">
        <f>DADOS_AM!$KT$23</f>
        <v/>
      </c>
      <c r="S42" s="98">
        <f>DADOS_AM!$KT$24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90">
        <f>DADOS_AM!$KT$25</f>
        <v/>
      </c>
      <c r="F46" s="90">
        <f>DADOS_AM!$KT$26</f>
        <v/>
      </c>
      <c r="G46" s="90">
        <f>DADOS_AM!$KT$27</f>
        <v/>
      </c>
      <c r="H46" s="17" t="n"/>
      <c r="I46" s="125" t="n"/>
      <c r="J46" s="90">
        <f>DADOS_AM!$KT$28</f>
        <v/>
      </c>
      <c r="K46" s="90">
        <f>DADOS_AM!$KT$29</f>
        <v/>
      </c>
      <c r="L46" s="90">
        <f>DADOS_AM!$KT$30</f>
        <v/>
      </c>
      <c r="M46" s="90">
        <f>DADOS_AM!$KT$31</f>
        <v/>
      </c>
      <c r="N46" s="17" t="n"/>
      <c r="O46" s="125" t="n"/>
      <c r="P46" s="90">
        <f>DADOS_AM!$KT$32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DADOS_AM!$KT$33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DADOS_AM!$GN$2</f>
        <v/>
      </c>
      <c r="H51" s="17" t="n"/>
      <c r="I51" s="125" t="n"/>
      <c r="J51" s="131" t="n">
        <v>1</v>
      </c>
      <c r="K51" s="120" t="n"/>
      <c r="L51" s="17" t="n"/>
      <c r="M51" s="132">
        <f>DADOS_AM!$GN$3</f>
        <v/>
      </c>
      <c r="N51" s="17" t="n"/>
      <c r="O51" s="125" t="n"/>
      <c r="P51" s="131" t="n">
        <v>1</v>
      </c>
      <c r="Q51" s="120" t="n"/>
      <c r="R51" s="17" t="n"/>
      <c r="S51" s="132">
        <f>DADOS_AM!$GN$4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90" t="inlineStr">
        <is>
          <t>Projétil</t>
        </is>
      </c>
      <c r="E58" s="68">
        <f>DADOS_AM!$GS$2</f>
        <v/>
      </c>
      <c r="F58" s="68">
        <f>DADOS_AM!$GP$2</f>
        <v/>
      </c>
      <c r="G58" s="90">
        <f>DADOS_AM!$GR$2</f>
        <v/>
      </c>
      <c r="H58" s="17" t="n"/>
      <c r="I58" s="125" t="n"/>
      <c r="J58" s="90" t="inlineStr">
        <is>
          <t>Projétil</t>
        </is>
      </c>
      <c r="K58" s="68">
        <f>DADOS_AM!$GS$3</f>
        <v/>
      </c>
      <c r="L58" s="68">
        <f>DADOS_AM!$GP$3</f>
        <v/>
      </c>
      <c r="M58" s="90">
        <f>DADOS_AM!$GR$3</f>
        <v/>
      </c>
      <c r="N58" s="17" t="n"/>
      <c r="O58" s="125" t="n"/>
      <c r="P58" s="90" t="inlineStr">
        <is>
          <t>Projétil</t>
        </is>
      </c>
      <c r="Q58" s="68">
        <f>DADOS_AM!$GS$4</f>
        <v/>
      </c>
      <c r="R58" s="68">
        <f>DADOS_AM!$GP$4</f>
        <v/>
      </c>
      <c r="S58" s="90">
        <f>DADOS_AM!$GR$4</f>
        <v/>
      </c>
      <c r="T58" s="17" t="n"/>
      <c r="U58" s="125" t="n"/>
    </row>
    <row r="59" outlineLevel="1">
      <c r="B59" s="22" t="n"/>
      <c r="C59" s="125" t="n"/>
      <c r="D59" s="90">
        <f>DADOS_AM!$GQ$2</f>
        <v/>
      </c>
      <c r="E59" s="133">
        <f>DADOS_AM!$GX$2</f>
        <v/>
      </c>
      <c r="F59" s="16" t="n"/>
      <c r="G59" s="16" t="n"/>
      <c r="H59" s="17" t="n"/>
      <c r="I59" s="125" t="n"/>
      <c r="J59" s="90">
        <f>DADOS_AM!$GQ$3</f>
        <v/>
      </c>
      <c r="K59" s="133">
        <f>DADOS_AM!$GX$3</f>
        <v/>
      </c>
      <c r="L59" s="16" t="n"/>
      <c r="M59" s="16" t="n"/>
      <c r="N59" s="17" t="n"/>
      <c r="O59" s="125" t="n"/>
      <c r="P59" s="90">
        <f>DADOS_AM!$GQ$4</f>
        <v/>
      </c>
      <c r="Q59" s="133">
        <f>DADOS_AM!$GX$4</f>
        <v/>
      </c>
      <c r="R59" s="16" t="n"/>
      <c r="S59" s="16" t="n"/>
      <c r="T59" s="17" t="n"/>
      <c r="U59" s="125" t="n"/>
    </row>
    <row r="60" outlineLevel="2">
      <c r="B60" s="22" t="n"/>
      <c r="C60" s="125" t="n"/>
      <c r="D60" s="55" t="inlineStr">
        <is>
          <t>MELHORIAS</t>
        </is>
      </c>
      <c r="E60" s="134" t="n"/>
      <c r="F60" s="17" t="n"/>
      <c r="G60" s="133">
        <f>DADOS_AM!$HA$2</f>
        <v/>
      </c>
      <c r="H60" s="17" t="n"/>
      <c r="I60" s="125" t="n"/>
      <c r="J60" s="55" t="inlineStr">
        <is>
          <t>MELHORIAS</t>
        </is>
      </c>
      <c r="K60" s="134" t="n"/>
      <c r="L60" s="17" t="n"/>
      <c r="M60" s="133">
        <f>DADOS_AM!$HA$3</f>
        <v/>
      </c>
      <c r="N60" s="17" t="n"/>
      <c r="O60" s="125" t="n"/>
      <c r="P60" s="55" t="inlineStr">
        <is>
          <t>MELHORIAS</t>
        </is>
      </c>
      <c r="Q60" s="134" t="n"/>
      <c r="R60" s="17" t="n"/>
      <c r="S60" s="133">
        <f>DADOS_AM!$HA$4</f>
        <v/>
      </c>
      <c r="T60" s="17" t="n"/>
      <c r="U60" s="125" t="n"/>
    </row>
    <row r="61" outlineLevel="2">
      <c r="B61" s="22" t="n"/>
      <c r="C61" s="125" t="n"/>
      <c r="D61" s="135" t="n"/>
      <c r="E61" s="134" t="n"/>
      <c r="F61" s="17" t="n"/>
      <c r="G61" s="133">
        <f>DADOS_AM!$HB$2</f>
        <v/>
      </c>
      <c r="H61" s="17" t="n"/>
      <c r="I61" s="125" t="n"/>
      <c r="J61" s="135" t="n"/>
      <c r="K61" s="134" t="n"/>
      <c r="L61" s="17" t="n"/>
      <c r="M61" s="133">
        <f>DADOS_AM!$HB$3</f>
        <v/>
      </c>
      <c r="N61" s="17" t="n"/>
      <c r="O61" s="125" t="n"/>
      <c r="P61" s="135" t="n"/>
      <c r="Q61" s="134" t="n"/>
      <c r="R61" s="17" t="n"/>
      <c r="S61" s="133">
        <f>DADOS_AM!$HB$4</f>
        <v/>
      </c>
      <c r="T61" s="17" t="n"/>
      <c r="U61" s="125" t="n"/>
    </row>
    <row r="62" outlineLevel="2">
      <c r="B62" s="22" t="n"/>
      <c r="C62" s="125" t="n"/>
      <c r="D62" s="135" t="n"/>
      <c r="E62" s="134" t="n"/>
      <c r="F62" s="17" t="n"/>
      <c r="G62" s="133">
        <f>DADOS_AM!$HC$2</f>
        <v/>
      </c>
      <c r="H62" s="17" t="n"/>
      <c r="I62" s="125" t="n"/>
      <c r="J62" s="135" t="n"/>
      <c r="K62" s="134" t="n"/>
      <c r="L62" s="17" t="n"/>
      <c r="M62" s="133">
        <f>DADOS_AM!$HC$3</f>
        <v/>
      </c>
      <c r="N62" s="17" t="n"/>
      <c r="O62" s="125" t="n"/>
      <c r="P62" s="135" t="n"/>
      <c r="Q62" s="134" t="n"/>
      <c r="R62" s="17" t="n"/>
      <c r="S62" s="133">
        <f>DADOS_AM!$HC$4</f>
        <v/>
      </c>
      <c r="T62" s="17" t="n"/>
      <c r="U62" s="125" t="n"/>
    </row>
    <row r="63" outlineLevel="2">
      <c r="A63" s="8" t="n"/>
      <c r="B63" s="14" t="n"/>
      <c r="C63" s="125" t="n"/>
      <c r="D63" s="129" t="n"/>
      <c r="E63" s="134" t="n"/>
      <c r="F63" s="17" t="n"/>
      <c r="G63" s="133">
        <f>DADOS_AM!$HD$2</f>
        <v/>
      </c>
      <c r="H63" s="17" t="n"/>
      <c r="I63" s="125" t="n"/>
      <c r="J63" s="129" t="n"/>
      <c r="K63" s="134" t="n"/>
      <c r="L63" s="17" t="n"/>
      <c r="M63" s="133">
        <f>DADOS_AM!$HD$3</f>
        <v/>
      </c>
      <c r="N63" s="17" t="n"/>
      <c r="O63" s="125" t="n"/>
      <c r="P63" s="129" t="n"/>
      <c r="Q63" s="134" t="n"/>
      <c r="R63" s="17" t="n"/>
      <c r="S63" s="133">
        <f>DADOS_AM!$HD$4</f>
        <v/>
      </c>
      <c r="T63" s="17" t="n"/>
      <c r="U63" s="125" t="n"/>
    </row>
    <row r="64" outlineLevel="2">
      <c r="A64" s="8" t="n"/>
      <c r="B64" s="14" t="n"/>
      <c r="C64" s="125" t="n"/>
      <c r="D64" s="55" t="inlineStr">
        <is>
          <t>RESTRIÇÕES</t>
        </is>
      </c>
      <c r="E64" s="134" t="n"/>
      <c r="F64" s="17" t="n"/>
      <c r="G64" s="133">
        <f>DADOS_AM!$HE$2</f>
        <v/>
      </c>
      <c r="H64" s="17" t="n"/>
      <c r="I64" s="125" t="n"/>
      <c r="J64" s="55" t="inlineStr">
        <is>
          <t>RESTRIÇÕES</t>
        </is>
      </c>
      <c r="K64" s="134" t="n"/>
      <c r="L64" s="17" t="n"/>
      <c r="M64" s="133">
        <f>DADOS_AM!$HE$3</f>
        <v/>
      </c>
      <c r="N64" s="17" t="n"/>
      <c r="O64" s="125" t="n"/>
      <c r="P64" s="55" t="inlineStr">
        <is>
          <t>RESTRIÇÕES</t>
        </is>
      </c>
      <c r="Q64" s="134" t="n"/>
      <c r="R64" s="17" t="n"/>
      <c r="S64" s="133">
        <f>DADOS_AM!$HE$4</f>
        <v/>
      </c>
      <c r="T64" s="17" t="n"/>
      <c r="U64" s="125" t="n"/>
    </row>
    <row r="65" outlineLevel="2">
      <c r="A65" s="8" t="n"/>
      <c r="B65" s="14" t="n"/>
      <c r="C65" s="125" t="n"/>
      <c r="D65" s="129" t="n"/>
      <c r="E65" s="134" t="n"/>
      <c r="F65" s="17" t="n"/>
      <c r="G65" s="133">
        <f>DADOS_AM!$HF$2</f>
        <v/>
      </c>
      <c r="H65" s="17" t="n"/>
      <c r="I65" s="125" t="n"/>
      <c r="J65" s="129" t="n"/>
      <c r="K65" s="134" t="n"/>
      <c r="L65" s="17" t="n"/>
      <c r="M65" s="133">
        <f>DADOS_AM!$HF$3</f>
        <v/>
      </c>
      <c r="N65" s="17" t="n"/>
      <c r="O65" s="125" t="n"/>
      <c r="P65" s="129" t="n"/>
      <c r="Q65" s="134" t="n"/>
      <c r="R65" s="17" t="n"/>
      <c r="S65" s="133">
        <f>DADOS_AM!$HF$4</f>
        <v/>
      </c>
      <c r="T65" s="17" t="n"/>
      <c r="U65" s="125" t="n"/>
    </row>
    <row r="66" outlineLevel="2">
      <c r="A66" s="8" t="n"/>
      <c r="B66" s="14" t="n"/>
      <c r="C66" s="125" t="n"/>
      <c r="D66" s="55" t="inlineStr">
        <is>
          <t>CONTA</t>
        </is>
      </c>
      <c r="E66" s="136">
        <f>DADOS_AM!$GY$2</f>
        <v/>
      </c>
      <c r="F66" s="16" t="n"/>
      <c r="G66" s="16" t="n"/>
      <c r="H66" s="17" t="n"/>
      <c r="I66" s="125" t="n"/>
      <c r="J66" s="55" t="inlineStr">
        <is>
          <t>CONTA</t>
        </is>
      </c>
      <c r="K66" s="136">
        <f>DADOS_AM!$GY$3</f>
        <v/>
      </c>
      <c r="L66" s="16" t="n"/>
      <c r="M66" s="16" t="n"/>
      <c r="N66" s="17" t="n"/>
      <c r="O66" s="125" t="n"/>
      <c r="P66" s="55" t="inlineStr">
        <is>
          <t>CONTA</t>
        </is>
      </c>
      <c r="Q66" s="136">
        <f>DADOS_AM!$GY$4</f>
        <v/>
      </c>
      <c r="R66" s="16" t="n"/>
      <c r="S66" s="16" t="n"/>
      <c r="T66" s="17" t="n"/>
      <c r="U66" s="125" t="n"/>
    </row>
    <row r="67" outlineLevel="2">
      <c r="A67" s="8" t="n"/>
      <c r="B67" s="14" t="n"/>
      <c r="C67" s="125" t="n"/>
      <c r="D67" s="55" t="inlineStr">
        <is>
          <t>AMPLIAR</t>
        </is>
      </c>
      <c r="E67" s="136">
        <f>DADOS_AM!$GZ$2</f>
        <v/>
      </c>
      <c r="F67" s="19" t="n"/>
      <c r="G67" s="19" t="n"/>
      <c r="H67" s="20" t="n"/>
      <c r="I67" s="125" t="n"/>
      <c r="J67" s="55" t="inlineStr">
        <is>
          <t>AMPLIAR</t>
        </is>
      </c>
      <c r="K67" s="136">
        <f>DADOS_AM!$GZ$3</f>
        <v/>
      </c>
      <c r="L67" s="19" t="n"/>
      <c r="M67" s="19" t="n"/>
      <c r="N67" s="20" t="n"/>
      <c r="O67" s="125" t="n"/>
      <c r="P67" s="55" t="inlineStr">
        <is>
          <t>AMPLIAR</t>
        </is>
      </c>
      <c r="Q67" s="136">
        <f>DADOS_AM!$GZ$4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DADOS_AM!$GO$2</f>
        <v/>
      </c>
      <c r="F69" s="19" t="n"/>
      <c r="G69" s="19" t="n"/>
      <c r="H69" s="20" t="n"/>
      <c r="I69" s="125" t="n"/>
      <c r="J69" s="55" t="inlineStr">
        <is>
          <t>AVISOS</t>
        </is>
      </c>
      <c r="K69" s="136">
        <f>DADOS_AM!$GO$3</f>
        <v/>
      </c>
      <c r="L69" s="19" t="n"/>
      <c r="M69" s="19" t="n"/>
      <c r="N69" s="20" t="n"/>
      <c r="O69" s="125" t="n"/>
      <c r="P69" s="55" t="inlineStr">
        <is>
          <t>AVISOS</t>
        </is>
      </c>
      <c r="Q69" s="136">
        <f>DADOS_AM!$GO$4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DADOS_AM!$GN$5</f>
        <v/>
      </c>
      <c r="H72" s="17" t="n"/>
      <c r="I72" s="125" t="n"/>
      <c r="J72" s="131" t="n">
        <v>1</v>
      </c>
      <c r="K72" s="120" t="n"/>
      <c r="L72" s="17" t="n"/>
      <c r="M72" s="132">
        <f>DADOS_AM!$GN$6</f>
        <v/>
      </c>
      <c r="N72" s="17" t="n"/>
      <c r="O72" s="125" t="n"/>
      <c r="P72" s="131" t="n">
        <v>1</v>
      </c>
      <c r="Q72" s="120" t="n"/>
      <c r="R72" s="17" t="n"/>
      <c r="S72" s="132">
        <f>DADOS_AM!$GN$7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90" t="inlineStr">
        <is>
          <t>Projétil</t>
        </is>
      </c>
      <c r="E79" s="68">
        <f>DADOS_AM!$GS$5</f>
        <v/>
      </c>
      <c r="F79" s="68">
        <f>DADOS_AM!$GP$5</f>
        <v/>
      </c>
      <c r="G79" s="90">
        <f>DADOS_AM!$GR$5</f>
        <v/>
      </c>
      <c r="H79" s="17" t="n"/>
      <c r="I79" s="125" t="n"/>
      <c r="J79" s="90" t="inlineStr">
        <is>
          <t>Projétil</t>
        </is>
      </c>
      <c r="K79" s="68">
        <f>DADOS_AM!$GS$6</f>
        <v/>
      </c>
      <c r="L79" s="68">
        <f>DADOS_AM!$GP$6</f>
        <v/>
      </c>
      <c r="M79" s="90">
        <f>DADOS_AM!$GR$6</f>
        <v/>
      </c>
      <c r="N79" s="17" t="n"/>
      <c r="O79" s="125" t="n"/>
      <c r="P79" s="90" t="inlineStr">
        <is>
          <t>Projétil</t>
        </is>
      </c>
      <c r="Q79" s="68">
        <f>DADOS_AM!$GS$7</f>
        <v/>
      </c>
      <c r="R79" s="68">
        <f>DADOS_AM!$GP$7</f>
        <v/>
      </c>
      <c r="S79" s="90">
        <f>DADOS_AM!$GR$7</f>
        <v/>
      </c>
      <c r="T79" s="17" t="n"/>
      <c r="U79" s="125" t="n"/>
    </row>
    <row r="80" outlineLevel="1">
      <c r="A80" s="8" t="n"/>
      <c r="B80" s="14" t="n"/>
      <c r="C80" s="125" t="n"/>
      <c r="D80" s="90">
        <f>DADOS_AM!$GQ$5</f>
        <v/>
      </c>
      <c r="E80" s="133">
        <f>DADOS_AM!$GX$5</f>
        <v/>
      </c>
      <c r="F80" s="16" t="n"/>
      <c r="G80" s="16" t="n"/>
      <c r="H80" s="17" t="n"/>
      <c r="I80" s="125" t="n"/>
      <c r="J80" s="90">
        <f>DADOS_AM!$GQ$6</f>
        <v/>
      </c>
      <c r="K80" s="133">
        <f>DADOS_AM!$GX$6</f>
        <v/>
      </c>
      <c r="L80" s="16" t="n"/>
      <c r="M80" s="16" t="n"/>
      <c r="N80" s="17" t="n"/>
      <c r="O80" s="125" t="n"/>
      <c r="P80" s="90">
        <f>DADOS_AM!$GQ$7</f>
        <v/>
      </c>
      <c r="Q80" s="133">
        <f>DADOS_AM!$GX$7</f>
        <v/>
      </c>
      <c r="R80" s="16" t="n"/>
      <c r="S80" s="16" t="n"/>
      <c r="T80" s="17" t="n"/>
      <c r="U80" s="125" t="n"/>
    </row>
    <row r="81" hidden="1" outlineLevel="2">
      <c r="A81" s="8" t="n"/>
      <c r="B81" s="14" t="n"/>
      <c r="C81" s="125" t="n"/>
      <c r="D81" s="55" t="inlineStr">
        <is>
          <t>MELHORIAS</t>
        </is>
      </c>
      <c r="E81" s="134" t="n"/>
      <c r="F81" s="17" t="n"/>
      <c r="G81" s="133">
        <f>DADOS_AM!$HA$5</f>
        <v/>
      </c>
      <c r="H81" s="17" t="n"/>
      <c r="I81" s="125" t="n"/>
      <c r="J81" s="55" t="inlineStr">
        <is>
          <t>MELHORIAS</t>
        </is>
      </c>
      <c r="K81" s="134" t="n"/>
      <c r="L81" s="17" t="n"/>
      <c r="M81" s="133">
        <f>DADOS_AM!$HA$6</f>
        <v/>
      </c>
      <c r="N81" s="17" t="n"/>
      <c r="O81" s="125" t="n"/>
      <c r="P81" s="55" t="inlineStr">
        <is>
          <t>MELHORIAS</t>
        </is>
      </c>
      <c r="Q81" s="134" t="n"/>
      <c r="R81" s="17" t="n"/>
      <c r="S81" s="133">
        <f>DADOS_AM!$HA$7</f>
        <v/>
      </c>
      <c r="T81" s="17" t="n"/>
      <c r="U81" s="125" t="n"/>
    </row>
    <row r="82" hidden="1" outlineLevel="2">
      <c r="A82" s="8" t="n"/>
      <c r="B82" s="14" t="n"/>
      <c r="C82" s="125" t="n"/>
      <c r="D82" s="135" t="n"/>
      <c r="E82" s="134" t="n"/>
      <c r="F82" s="17" t="n"/>
      <c r="G82" s="133">
        <f>DADOS_AM!$HB$5</f>
        <v/>
      </c>
      <c r="H82" s="17" t="n"/>
      <c r="I82" s="125" t="n"/>
      <c r="J82" s="135" t="n"/>
      <c r="K82" s="134" t="n"/>
      <c r="L82" s="17" t="n"/>
      <c r="M82" s="133">
        <f>DADOS_AM!$HB$6</f>
        <v/>
      </c>
      <c r="N82" s="17" t="n"/>
      <c r="O82" s="125" t="n"/>
      <c r="P82" s="135" t="n"/>
      <c r="Q82" s="134" t="n"/>
      <c r="R82" s="17" t="n"/>
      <c r="S82" s="133">
        <f>DADOS_AM!$HB$7</f>
        <v/>
      </c>
      <c r="T82" s="17" t="n"/>
      <c r="U82" s="125" t="n"/>
    </row>
    <row r="83" hidden="1" outlineLevel="2">
      <c r="A83" s="8" t="n"/>
      <c r="B83" s="14" t="n"/>
      <c r="C83" s="125" t="n"/>
      <c r="D83" s="135" t="n"/>
      <c r="E83" s="134" t="n"/>
      <c r="F83" s="17" t="n"/>
      <c r="G83" s="133">
        <f>DADOS_AM!$HC$5</f>
        <v/>
      </c>
      <c r="H83" s="17" t="n"/>
      <c r="I83" s="125" t="n"/>
      <c r="J83" s="135" t="n"/>
      <c r="K83" s="134" t="n"/>
      <c r="L83" s="17" t="n"/>
      <c r="M83" s="133">
        <f>DADOS_AM!$HC$6</f>
        <v/>
      </c>
      <c r="N83" s="17" t="n"/>
      <c r="O83" s="125" t="n"/>
      <c r="P83" s="135" t="n"/>
      <c r="Q83" s="134" t="n"/>
      <c r="R83" s="17" t="n"/>
      <c r="S83" s="133">
        <f>DADOS_AM!$HC$7</f>
        <v/>
      </c>
      <c r="T83" s="17" t="n"/>
      <c r="U83" s="125" t="n"/>
    </row>
    <row r="84" hidden="1" outlineLevel="2">
      <c r="A84" s="8" t="n"/>
      <c r="B84" s="14" t="n"/>
      <c r="C84" s="125" t="n"/>
      <c r="D84" s="129" t="n"/>
      <c r="E84" s="134" t="n"/>
      <c r="F84" s="17" t="n"/>
      <c r="G84" s="133">
        <f>DADOS_AM!$HD$5</f>
        <v/>
      </c>
      <c r="H84" s="17" t="n"/>
      <c r="I84" s="125" t="n"/>
      <c r="J84" s="129" t="n"/>
      <c r="K84" s="134" t="n"/>
      <c r="L84" s="17" t="n"/>
      <c r="M84" s="133">
        <f>DADOS_AM!$HD$6</f>
        <v/>
      </c>
      <c r="N84" s="17" t="n"/>
      <c r="O84" s="125" t="n"/>
      <c r="P84" s="129" t="n"/>
      <c r="Q84" s="134" t="n"/>
      <c r="R84" s="17" t="n"/>
      <c r="S84" s="133">
        <f>DADOS_AM!$HD$7</f>
        <v/>
      </c>
      <c r="T84" s="17" t="n"/>
      <c r="U84" s="125" t="n"/>
    </row>
    <row r="85" hidden="1" outlineLevel="2">
      <c r="A85" s="8" t="n"/>
      <c r="B85" s="14" t="n"/>
      <c r="C85" s="125" t="n"/>
      <c r="D85" s="55" t="inlineStr">
        <is>
          <t>RESTRIÇÕES</t>
        </is>
      </c>
      <c r="E85" s="134" t="n"/>
      <c r="F85" s="17" t="n"/>
      <c r="G85" s="133">
        <f>DADOS_AM!$HE$5</f>
        <v/>
      </c>
      <c r="H85" s="17" t="n"/>
      <c r="I85" s="125" t="n"/>
      <c r="J85" s="55" t="inlineStr">
        <is>
          <t>RESTRIÇÕES</t>
        </is>
      </c>
      <c r="K85" s="134" t="n"/>
      <c r="L85" s="17" t="n"/>
      <c r="M85" s="133">
        <f>DADOS_AM!$HE$6</f>
        <v/>
      </c>
      <c r="N85" s="17" t="n"/>
      <c r="O85" s="125" t="n"/>
      <c r="P85" s="55" t="inlineStr">
        <is>
          <t>RESTRIÇÕES</t>
        </is>
      </c>
      <c r="Q85" s="134" t="n"/>
      <c r="R85" s="17" t="n"/>
      <c r="S85" s="133">
        <f>DADOS_AM!$HE$7</f>
        <v/>
      </c>
      <c r="T85" s="17" t="n"/>
      <c r="U85" s="125" t="n"/>
    </row>
    <row r="86" hidden="1" outlineLevel="2">
      <c r="A86" s="8" t="n"/>
      <c r="B86" s="14" t="n"/>
      <c r="C86" s="125" t="n"/>
      <c r="D86" s="129" t="n"/>
      <c r="E86" s="134" t="n"/>
      <c r="F86" s="17" t="n"/>
      <c r="G86" s="133">
        <f>DADOS_AM!$HF$5</f>
        <v/>
      </c>
      <c r="H86" s="17" t="n"/>
      <c r="I86" s="125" t="n"/>
      <c r="J86" s="129" t="n"/>
      <c r="K86" s="134" t="n"/>
      <c r="L86" s="17" t="n"/>
      <c r="M86" s="133">
        <f>DADOS_AM!$HF$6</f>
        <v/>
      </c>
      <c r="N86" s="17" t="n"/>
      <c r="O86" s="125" t="n"/>
      <c r="P86" s="129" t="n"/>
      <c r="Q86" s="134" t="n"/>
      <c r="R86" s="17" t="n"/>
      <c r="S86" s="133">
        <f>DADOS_AM!$HF$7</f>
        <v/>
      </c>
      <c r="T86" s="17" t="n"/>
      <c r="U86" s="125" t="n"/>
    </row>
    <row r="87" hidden="1" outlineLevel="2">
      <c r="A87" s="8" t="n"/>
      <c r="B87" s="14" t="n"/>
      <c r="C87" s="125" t="n"/>
      <c r="D87" s="55" t="inlineStr">
        <is>
          <t>CONTA</t>
        </is>
      </c>
      <c r="E87" s="136">
        <f>DADOS_AM!$GY$5</f>
        <v/>
      </c>
      <c r="F87" s="16" t="n"/>
      <c r="G87" s="16" t="n"/>
      <c r="H87" s="17" t="n"/>
      <c r="I87" s="125" t="n"/>
      <c r="J87" s="55" t="inlineStr">
        <is>
          <t>CONTA</t>
        </is>
      </c>
      <c r="K87" s="136">
        <f>DADOS_AM!$GY$6</f>
        <v/>
      </c>
      <c r="L87" s="16" t="n"/>
      <c r="M87" s="16" t="n"/>
      <c r="N87" s="17" t="n"/>
      <c r="O87" s="125" t="n"/>
      <c r="P87" s="55" t="inlineStr">
        <is>
          <t>CONTA</t>
        </is>
      </c>
      <c r="Q87" s="136">
        <f>DADOS_AM!$GY$7</f>
        <v/>
      </c>
      <c r="R87" s="16" t="n"/>
      <c r="S87" s="16" t="n"/>
      <c r="T87" s="17" t="n"/>
      <c r="U87" s="125" t="n"/>
    </row>
    <row r="88" hidden="1" outlineLevel="2">
      <c r="A88" s="8" t="n"/>
      <c r="B88" s="14" t="n"/>
      <c r="C88" s="125" t="n"/>
      <c r="D88" s="55" t="inlineStr">
        <is>
          <t>AMPLIAR</t>
        </is>
      </c>
      <c r="E88" s="136">
        <f>DADOS_AM!$GZ$5</f>
        <v/>
      </c>
      <c r="F88" s="19" t="n"/>
      <c r="G88" s="19" t="n"/>
      <c r="H88" s="20" t="n"/>
      <c r="I88" s="125" t="n"/>
      <c r="J88" s="55" t="inlineStr">
        <is>
          <t>AMPLIAR</t>
        </is>
      </c>
      <c r="K88" s="136">
        <f>DADOS_AM!$GZ$6</f>
        <v/>
      </c>
      <c r="L88" s="19" t="n"/>
      <c r="M88" s="19" t="n"/>
      <c r="N88" s="20" t="n"/>
      <c r="O88" s="125" t="n"/>
      <c r="P88" s="55" t="inlineStr">
        <is>
          <t>AMPLIAR</t>
        </is>
      </c>
      <c r="Q88" s="136">
        <f>DADOS_AM!$GZ$7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DADOS_AM!$GO$5</f>
        <v/>
      </c>
      <c r="F90" s="19" t="n"/>
      <c r="G90" s="19" t="n"/>
      <c r="H90" s="20" t="n"/>
      <c r="I90" s="125" t="n"/>
      <c r="J90" s="55" t="inlineStr">
        <is>
          <t>AVISOS</t>
        </is>
      </c>
      <c r="K90" s="136">
        <f>DADOS_AM!$GO$6</f>
        <v/>
      </c>
      <c r="L90" s="19" t="n"/>
      <c r="M90" s="19" t="n"/>
      <c r="N90" s="20" t="n"/>
      <c r="O90" s="125" t="n"/>
      <c r="P90" s="55" t="inlineStr">
        <is>
          <t>AVISOS</t>
        </is>
      </c>
      <c r="Q90" s="136">
        <f>DADOS_AM!$GO$7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DADOS_AM!$GN$8</f>
        <v/>
      </c>
      <c r="H93" s="17" t="n"/>
      <c r="I93" s="125" t="n"/>
      <c r="J93" s="131" t="n">
        <v>1</v>
      </c>
      <c r="K93" s="120" t="n"/>
      <c r="L93" s="17" t="n"/>
      <c r="M93" s="132">
        <f>DADOS_AM!$GN$9</f>
        <v/>
      </c>
      <c r="N93" s="17" t="n"/>
      <c r="O93" s="125" t="n"/>
      <c r="P93" s="131" t="n">
        <v>1</v>
      </c>
      <c r="Q93" s="120" t="n"/>
      <c r="R93" s="17" t="n"/>
      <c r="S93" s="132">
        <f>DADOS_AM!$GN$10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90" t="inlineStr">
        <is>
          <t>Projétil</t>
        </is>
      </c>
      <c r="E100" s="68">
        <f>DADOS_AM!$GS$8</f>
        <v/>
      </c>
      <c r="F100" s="68">
        <f>DADOS_AM!$GP$8</f>
        <v/>
      </c>
      <c r="G100" s="90">
        <f>DADOS_AM!$GR$8</f>
        <v/>
      </c>
      <c r="H100" s="17" t="n"/>
      <c r="I100" s="125" t="n"/>
      <c r="J100" s="90" t="inlineStr">
        <is>
          <t>Projétil</t>
        </is>
      </c>
      <c r="K100" s="68">
        <f>DADOS_AM!$GS$9</f>
        <v/>
      </c>
      <c r="L100" s="68">
        <f>DADOS_AM!$GP$9</f>
        <v/>
      </c>
      <c r="M100" s="90">
        <f>DADOS_AM!$GR$9</f>
        <v/>
      </c>
      <c r="N100" s="17" t="n"/>
      <c r="O100" s="125" t="n"/>
      <c r="P100" s="90" t="inlineStr">
        <is>
          <t>Projétil</t>
        </is>
      </c>
      <c r="Q100" s="68">
        <f>DADOS_AM!$GS$10</f>
        <v/>
      </c>
      <c r="R100" s="68">
        <f>DADOS_AM!$GP$10</f>
        <v/>
      </c>
      <c r="S100" s="90">
        <f>DADOS_AM!$GR$10</f>
        <v/>
      </c>
      <c r="T100" s="17" t="n"/>
      <c r="U100" s="125" t="n"/>
    </row>
    <row r="101" outlineLevel="1">
      <c r="A101" s="8" t="n"/>
      <c r="B101" s="14" t="n"/>
      <c r="C101" s="125" t="n"/>
      <c r="D101" s="90">
        <f>DADOS_AM!$GQ$8</f>
        <v/>
      </c>
      <c r="E101" s="133">
        <f>DADOS_AM!$GX$8</f>
        <v/>
      </c>
      <c r="F101" s="16" t="n"/>
      <c r="G101" s="16" t="n"/>
      <c r="H101" s="17" t="n"/>
      <c r="I101" s="125" t="n"/>
      <c r="J101" s="90">
        <f>DADOS_AM!$GQ$9</f>
        <v/>
      </c>
      <c r="K101" s="133">
        <f>DADOS_AM!$GX$9</f>
        <v/>
      </c>
      <c r="L101" s="16" t="n"/>
      <c r="M101" s="16" t="n"/>
      <c r="N101" s="17" t="n"/>
      <c r="O101" s="125" t="n"/>
      <c r="P101" s="90">
        <f>DADOS_AM!$GQ$10</f>
        <v/>
      </c>
      <c r="Q101" s="133">
        <f>DADOS_AM!$GX$10</f>
        <v/>
      </c>
      <c r="R101" s="16" t="n"/>
      <c r="S101" s="16" t="n"/>
      <c r="T101" s="17" t="n"/>
      <c r="U101" s="125" t="n"/>
    </row>
    <row r="102" hidden="1" outlineLevel="2">
      <c r="A102" s="8" t="n"/>
      <c r="B102" s="14" t="n"/>
      <c r="C102" s="125" t="n"/>
      <c r="D102" s="55" t="inlineStr">
        <is>
          <t>MELHORIAS</t>
        </is>
      </c>
      <c r="E102" s="134" t="n"/>
      <c r="F102" s="17" t="n"/>
      <c r="G102" s="133">
        <f>DADOS_AM!$HA$8</f>
        <v/>
      </c>
      <c r="H102" s="17" t="n"/>
      <c r="I102" s="125" t="n"/>
      <c r="J102" s="55" t="inlineStr">
        <is>
          <t>MELHORIAS</t>
        </is>
      </c>
      <c r="K102" s="134" t="n"/>
      <c r="L102" s="17" t="n"/>
      <c r="M102" s="133">
        <f>DADOS_AM!$HA$9</f>
        <v/>
      </c>
      <c r="N102" s="17" t="n"/>
      <c r="O102" s="125" t="n"/>
      <c r="P102" s="55" t="inlineStr">
        <is>
          <t>MELHORIAS</t>
        </is>
      </c>
      <c r="Q102" s="134" t="n"/>
      <c r="R102" s="17" t="n"/>
      <c r="S102" s="133">
        <f>DADOS_AM!$HA$10</f>
        <v/>
      </c>
      <c r="T102" s="17" t="n"/>
      <c r="U102" s="125" t="n"/>
    </row>
    <row r="103" hidden="1" outlineLevel="2">
      <c r="A103" s="8" t="n"/>
      <c r="B103" s="14" t="n"/>
      <c r="C103" s="125" t="n"/>
      <c r="D103" s="135" t="n"/>
      <c r="E103" s="134" t="n"/>
      <c r="F103" s="17" t="n"/>
      <c r="G103" s="133">
        <f>DADOS_AM!$HB$8</f>
        <v/>
      </c>
      <c r="H103" s="17" t="n"/>
      <c r="I103" s="125" t="n"/>
      <c r="J103" s="135" t="n"/>
      <c r="K103" s="134" t="n"/>
      <c r="L103" s="17" t="n"/>
      <c r="M103" s="133">
        <f>DADOS_AM!$HB$9</f>
        <v/>
      </c>
      <c r="N103" s="17" t="n"/>
      <c r="O103" s="125" t="n"/>
      <c r="P103" s="135" t="n"/>
      <c r="Q103" s="134" t="n"/>
      <c r="R103" s="17" t="n"/>
      <c r="S103" s="133">
        <f>DADOS_AM!$HB$10</f>
        <v/>
      </c>
      <c r="T103" s="17" t="n"/>
      <c r="U103" s="125" t="n"/>
    </row>
    <row r="104" hidden="1" outlineLevel="2">
      <c r="A104" s="8" t="n"/>
      <c r="B104" s="14" t="n"/>
      <c r="C104" s="125" t="n"/>
      <c r="D104" s="135" t="n"/>
      <c r="E104" s="134" t="n"/>
      <c r="F104" s="17" t="n"/>
      <c r="G104" s="133">
        <f>DADOS_AM!$HC$8</f>
        <v/>
      </c>
      <c r="H104" s="17" t="n"/>
      <c r="I104" s="125" t="n"/>
      <c r="J104" s="135" t="n"/>
      <c r="K104" s="134" t="n"/>
      <c r="L104" s="17" t="n"/>
      <c r="M104" s="133">
        <f>DADOS_AM!$HC$9</f>
        <v/>
      </c>
      <c r="N104" s="17" t="n"/>
      <c r="O104" s="125" t="n"/>
      <c r="P104" s="135" t="n"/>
      <c r="Q104" s="134" t="n"/>
      <c r="R104" s="17" t="n"/>
      <c r="S104" s="133">
        <f>DADOS_AM!$HC$10</f>
        <v/>
      </c>
      <c r="T104" s="17" t="n"/>
      <c r="U104" s="125" t="n"/>
    </row>
    <row r="105" hidden="1" outlineLevel="2">
      <c r="A105" s="8" t="n"/>
      <c r="B105" s="14" t="n"/>
      <c r="C105" s="125" t="n"/>
      <c r="D105" s="129" t="n"/>
      <c r="E105" s="134" t="n"/>
      <c r="F105" s="17" t="n"/>
      <c r="G105" s="133">
        <f>DADOS_AM!$HD$8</f>
        <v/>
      </c>
      <c r="H105" s="17" t="n"/>
      <c r="I105" s="125" t="n"/>
      <c r="J105" s="129" t="n"/>
      <c r="K105" s="134" t="n"/>
      <c r="L105" s="17" t="n"/>
      <c r="M105" s="133">
        <f>DADOS_AM!$HD$9</f>
        <v/>
      </c>
      <c r="N105" s="17" t="n"/>
      <c r="O105" s="125" t="n"/>
      <c r="P105" s="129" t="n"/>
      <c r="Q105" s="134" t="n"/>
      <c r="R105" s="17" t="n"/>
      <c r="S105" s="133">
        <f>DADOS_AM!$HD$10</f>
        <v/>
      </c>
      <c r="T105" s="17" t="n"/>
      <c r="U105" s="125" t="n"/>
    </row>
    <row r="106" hidden="1" outlineLevel="2">
      <c r="A106" s="8" t="n"/>
      <c r="B106" s="14" t="n"/>
      <c r="C106" s="125" t="n"/>
      <c r="D106" s="55" t="inlineStr">
        <is>
          <t>RESTRIÇÕES</t>
        </is>
      </c>
      <c r="E106" s="134" t="n"/>
      <c r="F106" s="17" t="n"/>
      <c r="G106" s="133">
        <f>DADOS_AM!$HE$8</f>
        <v/>
      </c>
      <c r="H106" s="17" t="n"/>
      <c r="I106" s="125" t="n"/>
      <c r="J106" s="55" t="inlineStr">
        <is>
          <t>RESTRIÇÕES</t>
        </is>
      </c>
      <c r="K106" s="134" t="n"/>
      <c r="L106" s="17" t="n"/>
      <c r="M106" s="133">
        <f>DADOS_AM!$HE$9</f>
        <v/>
      </c>
      <c r="N106" s="17" t="n"/>
      <c r="O106" s="125" t="n"/>
      <c r="P106" s="55" t="inlineStr">
        <is>
          <t>RESTRIÇÕES</t>
        </is>
      </c>
      <c r="Q106" s="134" t="n"/>
      <c r="R106" s="17" t="n"/>
      <c r="S106" s="133">
        <f>DADOS_AM!$HE$10</f>
        <v/>
      </c>
      <c r="T106" s="17" t="n"/>
      <c r="U106" s="125" t="n"/>
    </row>
    <row r="107" hidden="1" outlineLevel="2">
      <c r="A107" s="8" t="n"/>
      <c r="B107" s="14" t="n"/>
      <c r="C107" s="125" t="n"/>
      <c r="D107" s="129" t="n"/>
      <c r="E107" s="134" t="n"/>
      <c r="F107" s="17" t="n"/>
      <c r="G107" s="133">
        <f>DADOS_AM!$HF$8</f>
        <v/>
      </c>
      <c r="H107" s="17" t="n"/>
      <c r="I107" s="125" t="n"/>
      <c r="J107" s="129" t="n"/>
      <c r="K107" s="134" t="n"/>
      <c r="L107" s="17" t="n"/>
      <c r="M107" s="133">
        <f>DADOS_AM!$HF$9</f>
        <v/>
      </c>
      <c r="N107" s="17" t="n"/>
      <c r="O107" s="125" t="n"/>
      <c r="P107" s="129" t="n"/>
      <c r="Q107" s="134" t="n"/>
      <c r="R107" s="17" t="n"/>
      <c r="S107" s="133">
        <f>DADOS_AM!$HF$10</f>
        <v/>
      </c>
      <c r="T107" s="17" t="n"/>
      <c r="U107" s="125" t="n"/>
    </row>
    <row r="108" hidden="1" outlineLevel="2">
      <c r="A108" s="8" t="n"/>
      <c r="B108" s="14" t="n"/>
      <c r="C108" s="125" t="n"/>
      <c r="D108" s="55" t="inlineStr">
        <is>
          <t>CONTA</t>
        </is>
      </c>
      <c r="E108" s="136">
        <f>DADOS_AM!$GY$8</f>
        <v/>
      </c>
      <c r="F108" s="16" t="n"/>
      <c r="G108" s="16" t="n"/>
      <c r="H108" s="17" t="n"/>
      <c r="I108" s="125" t="n"/>
      <c r="J108" s="55" t="inlineStr">
        <is>
          <t>CONTA</t>
        </is>
      </c>
      <c r="K108" s="136">
        <f>DADOS_AM!$GY$9</f>
        <v/>
      </c>
      <c r="L108" s="16" t="n"/>
      <c r="M108" s="16" t="n"/>
      <c r="N108" s="17" t="n"/>
      <c r="O108" s="125" t="n"/>
      <c r="P108" s="55" t="inlineStr">
        <is>
          <t>CONTA</t>
        </is>
      </c>
      <c r="Q108" s="136">
        <f>DADOS_AM!$GY$10</f>
        <v/>
      </c>
      <c r="R108" s="16" t="n"/>
      <c r="S108" s="16" t="n"/>
      <c r="T108" s="17" t="n"/>
      <c r="U108" s="125" t="n"/>
    </row>
    <row r="109" hidden="1" outlineLevel="2">
      <c r="A109" s="8" t="n"/>
      <c r="B109" s="14" t="n"/>
      <c r="C109" s="125" t="n"/>
      <c r="D109" s="55" t="inlineStr">
        <is>
          <t>AMPLIAR</t>
        </is>
      </c>
      <c r="E109" s="136">
        <f>DADOS_AM!$GZ$8</f>
        <v/>
      </c>
      <c r="F109" s="19" t="n"/>
      <c r="G109" s="19" t="n"/>
      <c r="H109" s="20" t="n"/>
      <c r="I109" s="125" t="n"/>
      <c r="J109" s="55" t="inlineStr">
        <is>
          <t>AMPLIAR</t>
        </is>
      </c>
      <c r="K109" s="136">
        <f>DADOS_AM!$GZ$9</f>
        <v/>
      </c>
      <c r="L109" s="19" t="n"/>
      <c r="M109" s="19" t="n"/>
      <c r="N109" s="20" t="n"/>
      <c r="O109" s="125" t="n"/>
      <c r="P109" s="55" t="inlineStr">
        <is>
          <t>AMPLIAR</t>
        </is>
      </c>
      <c r="Q109" s="136">
        <f>DADOS_AM!$GZ$10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DADOS_AM!$GO$8</f>
        <v/>
      </c>
      <c r="F111" s="19" t="n"/>
      <c r="G111" s="19" t="n"/>
      <c r="H111" s="20" t="n"/>
      <c r="I111" s="125" t="n"/>
      <c r="J111" s="55" t="inlineStr">
        <is>
          <t>AVISOS</t>
        </is>
      </c>
      <c r="K111" s="136">
        <f>DADOS_AM!$GO$9</f>
        <v/>
      </c>
      <c r="L111" s="19" t="n"/>
      <c r="M111" s="19" t="n"/>
      <c r="N111" s="20" t="n"/>
      <c r="O111" s="125" t="n"/>
      <c r="P111" s="55" t="inlineStr">
        <is>
          <t>AVISOS</t>
        </is>
      </c>
      <c r="Q111" s="136">
        <f>DADOS_AM!$GO$10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DADOS_AM!$GN$11</f>
        <v/>
      </c>
      <c r="H114" s="17" t="n"/>
      <c r="I114" s="125" t="n"/>
      <c r="J114" s="131" t="n">
        <v>1</v>
      </c>
      <c r="K114" s="120" t="n"/>
      <c r="L114" s="17" t="n"/>
      <c r="M114" s="132">
        <f>DADOS_AM!$GN$12</f>
        <v/>
      </c>
      <c r="N114" s="17" t="n"/>
      <c r="O114" s="125" t="n"/>
      <c r="P114" s="131" t="n">
        <v>1</v>
      </c>
      <c r="Q114" s="120" t="n"/>
      <c r="R114" s="17" t="n"/>
      <c r="S114" s="132">
        <f>DADOS_AM!$GN$13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90" t="inlineStr">
        <is>
          <t>Projétil</t>
        </is>
      </c>
      <c r="E121" s="68">
        <f>DADOS_AM!$GS$11</f>
        <v/>
      </c>
      <c r="F121" s="68">
        <f>DADOS_AM!$GP$11</f>
        <v/>
      </c>
      <c r="G121" s="90">
        <f>DADOS_AM!$GR$11</f>
        <v/>
      </c>
      <c r="H121" s="17" t="n"/>
      <c r="I121" s="125" t="n"/>
      <c r="J121" s="90" t="inlineStr">
        <is>
          <t>Projétil</t>
        </is>
      </c>
      <c r="K121" s="68">
        <f>DADOS_AM!$GS$12</f>
        <v/>
      </c>
      <c r="L121" s="68">
        <f>DADOS_AM!$GP$12</f>
        <v/>
      </c>
      <c r="M121" s="90">
        <f>DADOS_AM!$GR$12</f>
        <v/>
      </c>
      <c r="N121" s="17" t="n"/>
      <c r="O121" s="125" t="n"/>
      <c r="P121" s="90" t="inlineStr">
        <is>
          <t>Projétil</t>
        </is>
      </c>
      <c r="Q121" s="68">
        <f>DADOS_AM!$GS$13</f>
        <v/>
      </c>
      <c r="R121" s="68">
        <f>DADOS_AM!$GP$13</f>
        <v/>
      </c>
      <c r="S121" s="90">
        <f>DADOS_AM!$GR$13</f>
        <v/>
      </c>
      <c r="T121" s="17" t="n"/>
      <c r="U121" s="125" t="n"/>
    </row>
    <row r="122" outlineLevel="1">
      <c r="A122" s="8" t="n"/>
      <c r="B122" s="14" t="n"/>
      <c r="C122" s="125" t="n"/>
      <c r="D122" s="90">
        <f>DADOS_AM!$GQ$11</f>
        <v/>
      </c>
      <c r="E122" s="133">
        <f>DADOS_AM!$GX$11</f>
        <v/>
      </c>
      <c r="F122" s="16" t="n"/>
      <c r="G122" s="16" t="n"/>
      <c r="H122" s="17" t="n"/>
      <c r="I122" s="125" t="n"/>
      <c r="J122" s="90">
        <f>DADOS_AM!$GQ$12</f>
        <v/>
      </c>
      <c r="K122" s="133">
        <f>DADOS_AM!$GX$12</f>
        <v/>
      </c>
      <c r="L122" s="16" t="n"/>
      <c r="M122" s="16" t="n"/>
      <c r="N122" s="17" t="n"/>
      <c r="O122" s="125" t="n"/>
      <c r="P122" s="90">
        <f>DADOS_AM!$GQ$13</f>
        <v/>
      </c>
      <c r="Q122" s="133">
        <f>DADOS_AM!$GX$13</f>
        <v/>
      </c>
      <c r="R122" s="16" t="n"/>
      <c r="S122" s="16" t="n"/>
      <c r="T122" s="17" t="n"/>
      <c r="U122" s="125" t="n"/>
    </row>
    <row r="123" hidden="1" outlineLevel="2">
      <c r="A123" s="8" t="n"/>
      <c r="B123" s="14" t="n"/>
      <c r="C123" s="125" t="n"/>
      <c r="D123" s="55" t="inlineStr">
        <is>
          <t>MELHORIAS</t>
        </is>
      </c>
      <c r="E123" s="134" t="n"/>
      <c r="F123" s="17" t="n"/>
      <c r="G123" s="133">
        <f>DADOS_AM!$HA$11</f>
        <v/>
      </c>
      <c r="H123" s="17" t="n"/>
      <c r="I123" s="125" t="n"/>
      <c r="J123" s="55" t="inlineStr">
        <is>
          <t>MELHORIAS</t>
        </is>
      </c>
      <c r="K123" s="134" t="n"/>
      <c r="L123" s="17" t="n"/>
      <c r="M123" s="133">
        <f>DADOS_AM!$HA$12</f>
        <v/>
      </c>
      <c r="N123" s="17" t="n"/>
      <c r="O123" s="125" t="n"/>
      <c r="P123" s="55" t="inlineStr">
        <is>
          <t>MELHORIAS</t>
        </is>
      </c>
      <c r="Q123" s="134" t="n"/>
      <c r="R123" s="17" t="n"/>
      <c r="S123" s="133">
        <f>DADOS_AM!$HA$13</f>
        <v/>
      </c>
      <c r="T123" s="17" t="n"/>
      <c r="U123" s="125" t="n"/>
    </row>
    <row r="124" hidden="1" outlineLevel="2">
      <c r="A124" s="8" t="n"/>
      <c r="B124" s="14" t="n"/>
      <c r="C124" s="125" t="n"/>
      <c r="D124" s="135" t="n"/>
      <c r="E124" s="134" t="n"/>
      <c r="F124" s="17" t="n"/>
      <c r="G124" s="133">
        <f>DADOS_AM!$HB$11</f>
        <v/>
      </c>
      <c r="H124" s="17" t="n"/>
      <c r="I124" s="125" t="n"/>
      <c r="J124" s="135" t="n"/>
      <c r="K124" s="134" t="n"/>
      <c r="L124" s="17" t="n"/>
      <c r="M124" s="133">
        <f>DADOS_AM!$HB$12</f>
        <v/>
      </c>
      <c r="N124" s="17" t="n"/>
      <c r="O124" s="125" t="n"/>
      <c r="P124" s="135" t="n"/>
      <c r="Q124" s="134" t="n"/>
      <c r="R124" s="17" t="n"/>
      <c r="S124" s="133">
        <f>DADOS_AM!$HB$13</f>
        <v/>
      </c>
      <c r="T124" s="17" t="n"/>
      <c r="U124" s="125" t="n"/>
    </row>
    <row r="125" hidden="1" outlineLevel="2">
      <c r="A125" s="8" t="n"/>
      <c r="B125" s="14" t="n"/>
      <c r="C125" s="125" t="n"/>
      <c r="D125" s="135" t="n"/>
      <c r="E125" s="134" t="n"/>
      <c r="F125" s="17" t="n"/>
      <c r="G125" s="133">
        <f>DADOS_AM!$HC$11</f>
        <v/>
      </c>
      <c r="H125" s="17" t="n"/>
      <c r="I125" s="125" t="n"/>
      <c r="J125" s="135" t="n"/>
      <c r="K125" s="134" t="n"/>
      <c r="L125" s="17" t="n"/>
      <c r="M125" s="133">
        <f>DADOS_AM!$HC$12</f>
        <v/>
      </c>
      <c r="N125" s="17" t="n"/>
      <c r="O125" s="125" t="n"/>
      <c r="P125" s="135" t="n"/>
      <c r="Q125" s="134" t="n"/>
      <c r="R125" s="17" t="n"/>
      <c r="S125" s="133">
        <f>DADOS_AM!$HC$13</f>
        <v/>
      </c>
      <c r="T125" s="17" t="n"/>
      <c r="U125" s="125" t="n"/>
    </row>
    <row r="126" hidden="1" outlineLevel="2">
      <c r="A126" s="8" t="n"/>
      <c r="B126" s="14" t="n"/>
      <c r="C126" s="125" t="n"/>
      <c r="D126" s="129" t="n"/>
      <c r="E126" s="134" t="n"/>
      <c r="F126" s="17" t="n"/>
      <c r="G126" s="133">
        <f>DADOS_AM!$HD$11</f>
        <v/>
      </c>
      <c r="H126" s="17" t="n"/>
      <c r="I126" s="125" t="n"/>
      <c r="J126" s="129" t="n"/>
      <c r="K126" s="134" t="n"/>
      <c r="L126" s="17" t="n"/>
      <c r="M126" s="133">
        <f>DADOS_AM!$HD$12</f>
        <v/>
      </c>
      <c r="N126" s="17" t="n"/>
      <c r="O126" s="125" t="n"/>
      <c r="P126" s="129" t="n"/>
      <c r="Q126" s="134" t="n"/>
      <c r="R126" s="17" t="n"/>
      <c r="S126" s="133">
        <f>DADOS_AM!$HD$13</f>
        <v/>
      </c>
      <c r="T126" s="17" t="n"/>
      <c r="U126" s="125" t="n"/>
    </row>
    <row r="127" hidden="1" outlineLevel="2">
      <c r="A127" s="8" t="n"/>
      <c r="B127" s="14" t="n"/>
      <c r="C127" s="125" t="n"/>
      <c r="D127" s="55" t="inlineStr">
        <is>
          <t>RESTRIÇÕES</t>
        </is>
      </c>
      <c r="E127" s="134" t="n"/>
      <c r="F127" s="17" t="n"/>
      <c r="G127" s="133">
        <f>DADOS_AM!$HE$11</f>
        <v/>
      </c>
      <c r="H127" s="17" t="n"/>
      <c r="I127" s="125" t="n"/>
      <c r="J127" s="55" t="inlineStr">
        <is>
          <t>RESTRIÇÕES</t>
        </is>
      </c>
      <c r="K127" s="134" t="n"/>
      <c r="L127" s="17" t="n"/>
      <c r="M127" s="133">
        <f>DADOS_AM!$HE$12</f>
        <v/>
      </c>
      <c r="N127" s="17" t="n"/>
      <c r="O127" s="125" t="n"/>
      <c r="P127" s="55" t="inlineStr">
        <is>
          <t>RESTRIÇÕES</t>
        </is>
      </c>
      <c r="Q127" s="134" t="n"/>
      <c r="R127" s="17" t="n"/>
      <c r="S127" s="133">
        <f>DADOS_AM!$HE$13</f>
        <v/>
      </c>
      <c r="T127" s="17" t="n"/>
      <c r="U127" s="125" t="n"/>
    </row>
    <row r="128" hidden="1" outlineLevel="2">
      <c r="A128" s="8" t="n"/>
      <c r="B128" s="14" t="n"/>
      <c r="C128" s="125" t="n"/>
      <c r="D128" s="129" t="n"/>
      <c r="E128" s="134" t="n"/>
      <c r="F128" s="17" t="n"/>
      <c r="G128" s="133">
        <f>DADOS_AM!$HF$11</f>
        <v/>
      </c>
      <c r="H128" s="17" t="n"/>
      <c r="I128" s="125" t="n"/>
      <c r="J128" s="129" t="n"/>
      <c r="K128" s="134" t="n"/>
      <c r="L128" s="17" t="n"/>
      <c r="M128" s="133">
        <f>DADOS_AM!$HF$12</f>
        <v/>
      </c>
      <c r="N128" s="17" t="n"/>
      <c r="O128" s="125" t="n"/>
      <c r="P128" s="129" t="n"/>
      <c r="Q128" s="134" t="n"/>
      <c r="R128" s="17" t="n"/>
      <c r="S128" s="133">
        <f>DADOS_AM!$HF$13</f>
        <v/>
      </c>
      <c r="T128" s="17" t="n"/>
      <c r="U128" s="125" t="n"/>
    </row>
    <row r="129" hidden="1" outlineLevel="2">
      <c r="A129" s="8" t="n"/>
      <c r="B129" s="14" t="n"/>
      <c r="C129" s="125" t="n"/>
      <c r="D129" s="55" t="inlineStr">
        <is>
          <t>CONTA</t>
        </is>
      </c>
      <c r="E129" s="136">
        <f>DADOS_AM!$GY$11</f>
        <v/>
      </c>
      <c r="F129" s="16" t="n"/>
      <c r="G129" s="16" t="n"/>
      <c r="H129" s="17" t="n"/>
      <c r="I129" s="125" t="n"/>
      <c r="J129" s="55" t="inlineStr">
        <is>
          <t>CONTA</t>
        </is>
      </c>
      <c r="K129" s="136">
        <f>DADOS_AM!$GY$12</f>
        <v/>
      </c>
      <c r="L129" s="16" t="n"/>
      <c r="M129" s="16" t="n"/>
      <c r="N129" s="17" t="n"/>
      <c r="O129" s="125" t="n"/>
      <c r="P129" s="55" t="inlineStr">
        <is>
          <t>CONTA</t>
        </is>
      </c>
      <c r="Q129" s="136">
        <f>DADOS_AM!$GY$13</f>
        <v/>
      </c>
      <c r="R129" s="16" t="n"/>
      <c r="S129" s="16" t="n"/>
      <c r="T129" s="17" t="n"/>
      <c r="U129" s="125" t="n"/>
    </row>
    <row r="130" hidden="1" outlineLevel="2">
      <c r="A130" s="8" t="n"/>
      <c r="B130" s="14" t="n"/>
      <c r="C130" s="125" t="n"/>
      <c r="D130" s="55" t="inlineStr">
        <is>
          <t>AMPLIAR</t>
        </is>
      </c>
      <c r="E130" s="136">
        <f>DADOS_AM!$GZ$11</f>
        <v/>
      </c>
      <c r="F130" s="19" t="n"/>
      <c r="G130" s="19" t="n"/>
      <c r="H130" s="20" t="n"/>
      <c r="I130" s="125" t="n"/>
      <c r="J130" s="55" t="inlineStr">
        <is>
          <t>AMPLIAR</t>
        </is>
      </c>
      <c r="K130" s="136">
        <f>DADOS_AM!$GZ$12</f>
        <v/>
      </c>
      <c r="L130" s="19" t="n"/>
      <c r="M130" s="19" t="n"/>
      <c r="N130" s="20" t="n"/>
      <c r="O130" s="125" t="n"/>
      <c r="P130" s="55" t="inlineStr">
        <is>
          <t>AMPLIAR</t>
        </is>
      </c>
      <c r="Q130" s="136">
        <f>DADOS_AM!$GZ$13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DADOS_AM!$GO$11</f>
        <v/>
      </c>
      <c r="F132" s="19" t="n"/>
      <c r="G132" s="19" t="n"/>
      <c r="H132" s="20" t="n"/>
      <c r="I132" s="125" t="n"/>
      <c r="J132" s="55" t="inlineStr">
        <is>
          <t>AVISOS</t>
        </is>
      </c>
      <c r="K132" s="136">
        <f>DADOS_AM!$GO$12</f>
        <v/>
      </c>
      <c r="L132" s="19" t="n"/>
      <c r="M132" s="19" t="n"/>
      <c r="N132" s="20" t="n"/>
      <c r="O132" s="125" t="n"/>
      <c r="P132" s="55" t="inlineStr">
        <is>
          <t>AVISOS</t>
        </is>
      </c>
      <c r="Q132" s="136">
        <f>DADOS_AM!$GO$13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DADOS_AM!$KT$34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DADOS_AM!$GN$14</f>
        <v/>
      </c>
      <c r="H137" s="17" t="n"/>
      <c r="I137" s="125" t="n"/>
      <c r="J137" s="131" t="n">
        <v>1</v>
      </c>
      <c r="K137" s="120" t="n"/>
      <c r="L137" s="17" t="n"/>
      <c r="M137" s="132">
        <f>DADOS_AM!$GN$15</f>
        <v/>
      </c>
      <c r="N137" s="17" t="n"/>
      <c r="O137" s="125" t="n"/>
      <c r="P137" s="131" t="n">
        <v>1</v>
      </c>
      <c r="Q137" s="120" t="n"/>
      <c r="R137" s="17" t="n"/>
      <c r="S137" s="132">
        <f>DADOS_AM!$GN$16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90" t="inlineStr">
        <is>
          <t>Projétil</t>
        </is>
      </c>
      <c r="E144" s="68">
        <f>DADOS_AM!$GS$14</f>
        <v/>
      </c>
      <c r="F144" s="68">
        <f>DADOS_AM!$GP$14</f>
        <v/>
      </c>
      <c r="G144" s="90">
        <f>DADOS_AM!$GR$14</f>
        <v/>
      </c>
      <c r="H144" s="17" t="n"/>
      <c r="I144" s="125" t="n"/>
      <c r="J144" s="90" t="inlineStr">
        <is>
          <t>Projétil</t>
        </is>
      </c>
      <c r="K144" s="68">
        <f>DADOS_AM!$GS$15</f>
        <v/>
      </c>
      <c r="L144" s="68">
        <f>DADOS_AM!$GP$15</f>
        <v/>
      </c>
      <c r="M144" s="90">
        <f>DADOS_AM!$GR$15</f>
        <v/>
      </c>
      <c r="N144" s="17" t="n"/>
      <c r="O144" s="125" t="n"/>
      <c r="P144" s="90" t="inlineStr">
        <is>
          <t>Projétil</t>
        </is>
      </c>
      <c r="Q144" s="68">
        <f>DADOS_AM!$GS$16</f>
        <v/>
      </c>
      <c r="R144" s="68">
        <f>DADOS_AM!$GP$16</f>
        <v/>
      </c>
      <c r="S144" s="90">
        <f>DADOS_AM!$GR$16</f>
        <v/>
      </c>
      <c r="T144" s="17" t="n"/>
      <c r="U144" s="125" t="n"/>
    </row>
    <row r="145" hidden="1" outlineLevel="2">
      <c r="A145" s="8" t="n"/>
      <c r="B145" s="14" t="n"/>
      <c r="C145" s="125" t="n"/>
      <c r="D145" s="90">
        <f>DADOS_AM!$GQ$14</f>
        <v/>
      </c>
      <c r="E145" s="133">
        <f>DADOS_AM!$GX$14</f>
        <v/>
      </c>
      <c r="F145" s="16" t="n"/>
      <c r="G145" s="16" t="n"/>
      <c r="H145" s="17" t="n"/>
      <c r="I145" s="125" t="n"/>
      <c r="J145" s="90">
        <f>DADOS_AM!$GQ$15</f>
        <v/>
      </c>
      <c r="K145" s="133">
        <f>DADOS_AM!$GX$15</f>
        <v/>
      </c>
      <c r="L145" s="16" t="n"/>
      <c r="M145" s="16" t="n"/>
      <c r="N145" s="17" t="n"/>
      <c r="O145" s="125" t="n"/>
      <c r="P145" s="90">
        <f>DADOS_AM!$GQ$16</f>
        <v/>
      </c>
      <c r="Q145" s="133">
        <f>DADOS_AM!$GX$16</f>
        <v/>
      </c>
      <c r="R145" s="16" t="n"/>
      <c r="S145" s="16" t="n"/>
      <c r="T145" s="17" t="n"/>
      <c r="U145" s="125" t="n"/>
    </row>
    <row r="146" hidden="1" outlineLevel="3">
      <c r="A146" s="8" t="n"/>
      <c r="B146" s="14" t="n"/>
      <c r="C146" s="125" t="n"/>
      <c r="D146" s="55" t="inlineStr">
        <is>
          <t>MELHORIAS</t>
        </is>
      </c>
      <c r="E146" s="134" t="n"/>
      <c r="F146" s="17" t="n"/>
      <c r="G146" s="133">
        <f>DADOS_AM!$HA$14</f>
        <v/>
      </c>
      <c r="H146" s="17" t="n"/>
      <c r="I146" s="125" t="n"/>
      <c r="J146" s="55" t="inlineStr">
        <is>
          <t>MELHORIAS</t>
        </is>
      </c>
      <c r="K146" s="134" t="n"/>
      <c r="L146" s="17" t="n"/>
      <c r="M146" s="133">
        <f>DADOS_AM!$HA$15</f>
        <v/>
      </c>
      <c r="N146" s="17" t="n"/>
      <c r="O146" s="125" t="n"/>
      <c r="P146" s="55" t="inlineStr">
        <is>
          <t>MELHORIAS</t>
        </is>
      </c>
      <c r="Q146" s="134" t="n"/>
      <c r="R146" s="17" t="n"/>
      <c r="S146" s="133">
        <f>DADOS_AM!$HA$16</f>
        <v/>
      </c>
      <c r="T146" s="17" t="n"/>
      <c r="U146" s="125" t="n"/>
    </row>
    <row r="147" hidden="1" outlineLevel="3">
      <c r="A147" s="8" t="n"/>
      <c r="B147" s="14" t="n"/>
      <c r="C147" s="125" t="n"/>
      <c r="D147" s="135" t="n"/>
      <c r="E147" s="134" t="n"/>
      <c r="F147" s="17" t="n"/>
      <c r="G147" s="133">
        <f>DADOS_AM!$HB$14</f>
        <v/>
      </c>
      <c r="H147" s="17" t="n"/>
      <c r="I147" s="125" t="n"/>
      <c r="J147" s="135" t="n"/>
      <c r="K147" s="134" t="n"/>
      <c r="L147" s="17" t="n"/>
      <c r="M147" s="133">
        <f>DADOS_AM!$HB$15</f>
        <v/>
      </c>
      <c r="N147" s="17" t="n"/>
      <c r="O147" s="125" t="n"/>
      <c r="P147" s="135" t="n"/>
      <c r="Q147" s="134" t="n"/>
      <c r="R147" s="17" t="n"/>
      <c r="S147" s="133">
        <f>DADOS_AM!$HB$16</f>
        <v/>
      </c>
      <c r="T147" s="17" t="n"/>
      <c r="U147" s="125" t="n"/>
    </row>
    <row r="148" hidden="1" outlineLevel="3">
      <c r="A148" s="8" t="n"/>
      <c r="B148" s="14" t="n"/>
      <c r="C148" s="125" t="n"/>
      <c r="D148" s="135" t="n"/>
      <c r="E148" s="134" t="n"/>
      <c r="F148" s="17" t="n"/>
      <c r="G148" s="133">
        <f>DADOS_AM!$HC$14</f>
        <v/>
      </c>
      <c r="H148" s="17" t="n"/>
      <c r="I148" s="125" t="n"/>
      <c r="J148" s="135" t="n"/>
      <c r="K148" s="134" t="n"/>
      <c r="L148" s="17" t="n"/>
      <c r="M148" s="133">
        <f>DADOS_AM!$HC$15</f>
        <v/>
      </c>
      <c r="N148" s="17" t="n"/>
      <c r="O148" s="125" t="n"/>
      <c r="P148" s="135" t="n"/>
      <c r="Q148" s="134" t="n"/>
      <c r="R148" s="17" t="n"/>
      <c r="S148" s="133">
        <f>DADOS_AM!$HC$16</f>
        <v/>
      </c>
      <c r="T148" s="17" t="n"/>
      <c r="U148" s="125" t="n"/>
    </row>
    <row r="149" hidden="1" outlineLevel="3">
      <c r="A149" s="8" t="n"/>
      <c r="B149" s="14" t="n"/>
      <c r="C149" s="125" t="n"/>
      <c r="D149" s="129" t="n"/>
      <c r="E149" s="134" t="n"/>
      <c r="F149" s="17" t="n"/>
      <c r="G149" s="133">
        <f>DADOS_AM!$HD$14</f>
        <v/>
      </c>
      <c r="H149" s="17" t="n"/>
      <c r="I149" s="125" t="n"/>
      <c r="J149" s="129" t="n"/>
      <c r="K149" s="134" t="n"/>
      <c r="L149" s="17" t="n"/>
      <c r="M149" s="133">
        <f>DADOS_AM!$HD$15</f>
        <v/>
      </c>
      <c r="N149" s="17" t="n"/>
      <c r="O149" s="125" t="n"/>
      <c r="P149" s="129" t="n"/>
      <c r="Q149" s="134" t="n"/>
      <c r="R149" s="17" t="n"/>
      <c r="S149" s="133">
        <f>DADOS_AM!$HD$16</f>
        <v/>
      </c>
      <c r="T149" s="17" t="n"/>
      <c r="U149" s="125" t="n"/>
    </row>
    <row r="150" hidden="1" outlineLevel="3">
      <c r="A150" s="8" t="n"/>
      <c r="B150" s="14" t="n"/>
      <c r="C150" s="125" t="n"/>
      <c r="D150" s="55" t="inlineStr">
        <is>
          <t>RESTRIÇÕES</t>
        </is>
      </c>
      <c r="E150" s="134" t="n"/>
      <c r="F150" s="17" t="n"/>
      <c r="G150" s="133">
        <f>DADOS_AM!$HE$14</f>
        <v/>
      </c>
      <c r="H150" s="17" t="n"/>
      <c r="I150" s="125" t="n"/>
      <c r="J150" s="55" t="inlineStr">
        <is>
          <t>RESTRIÇÕES</t>
        </is>
      </c>
      <c r="K150" s="134" t="n"/>
      <c r="L150" s="17" t="n"/>
      <c r="M150" s="133">
        <f>DADOS_AM!$HE$15</f>
        <v/>
      </c>
      <c r="N150" s="17" t="n"/>
      <c r="O150" s="125" t="n"/>
      <c r="P150" s="55" t="inlineStr">
        <is>
          <t>RESTRIÇÕES</t>
        </is>
      </c>
      <c r="Q150" s="134" t="n"/>
      <c r="R150" s="17" t="n"/>
      <c r="S150" s="133">
        <f>DADOS_AM!$HE$16</f>
        <v/>
      </c>
      <c r="T150" s="17" t="n"/>
      <c r="U150" s="125" t="n"/>
    </row>
    <row r="151" hidden="1" outlineLevel="3">
      <c r="A151" s="8" t="n"/>
      <c r="B151" s="14" t="n"/>
      <c r="C151" s="125" t="n"/>
      <c r="D151" s="129" t="n"/>
      <c r="E151" s="134" t="n"/>
      <c r="F151" s="17" t="n"/>
      <c r="G151" s="133">
        <f>DADOS_AM!$HF$14</f>
        <v/>
      </c>
      <c r="H151" s="17" t="n"/>
      <c r="I151" s="125" t="n"/>
      <c r="J151" s="129" t="n"/>
      <c r="K151" s="134" t="n"/>
      <c r="L151" s="17" t="n"/>
      <c r="M151" s="133">
        <f>DADOS_AM!$HF$15</f>
        <v/>
      </c>
      <c r="N151" s="17" t="n"/>
      <c r="O151" s="125" t="n"/>
      <c r="P151" s="129" t="n"/>
      <c r="Q151" s="134" t="n"/>
      <c r="R151" s="17" t="n"/>
      <c r="S151" s="133">
        <f>DADOS_AM!$HF$16</f>
        <v/>
      </c>
      <c r="T151" s="17" t="n"/>
      <c r="U151" s="125" t="n"/>
    </row>
    <row r="152" hidden="1" outlineLevel="3">
      <c r="A152" s="8" t="n"/>
      <c r="B152" s="14" t="n"/>
      <c r="C152" s="125" t="n"/>
      <c r="D152" s="55" t="inlineStr">
        <is>
          <t>CONTA</t>
        </is>
      </c>
      <c r="E152" s="136">
        <f>DADOS_AM!$GY$14</f>
        <v/>
      </c>
      <c r="F152" s="16" t="n"/>
      <c r="G152" s="16" t="n"/>
      <c r="H152" s="17" t="n"/>
      <c r="I152" s="125" t="n"/>
      <c r="J152" s="55" t="inlineStr">
        <is>
          <t>CONTA</t>
        </is>
      </c>
      <c r="K152" s="136">
        <f>DADOS_AM!$GY$15</f>
        <v/>
      </c>
      <c r="L152" s="16" t="n"/>
      <c r="M152" s="16" t="n"/>
      <c r="N152" s="17" t="n"/>
      <c r="O152" s="125" t="n"/>
      <c r="P152" s="55" t="inlineStr">
        <is>
          <t>CONTA</t>
        </is>
      </c>
      <c r="Q152" s="136">
        <f>DADOS_AM!$GY$16</f>
        <v/>
      </c>
      <c r="R152" s="16" t="n"/>
      <c r="S152" s="16" t="n"/>
      <c r="T152" s="17" t="n"/>
      <c r="U152" s="125" t="n"/>
    </row>
    <row r="153" hidden="1" outlineLevel="3">
      <c r="A153" s="8" t="n"/>
      <c r="B153" s="14" t="n"/>
      <c r="C153" s="125" t="n"/>
      <c r="D153" s="55" t="inlineStr">
        <is>
          <t>AMPLIAR</t>
        </is>
      </c>
      <c r="E153" s="136">
        <f>DADOS_AM!$GZ$14</f>
        <v/>
      </c>
      <c r="F153" s="19" t="n"/>
      <c r="G153" s="19" t="n"/>
      <c r="H153" s="20" t="n"/>
      <c r="I153" s="125" t="n"/>
      <c r="J153" s="55" t="inlineStr">
        <is>
          <t>AMPLIAR</t>
        </is>
      </c>
      <c r="K153" s="136">
        <f>DADOS_AM!$GZ$15</f>
        <v/>
      </c>
      <c r="L153" s="19" t="n"/>
      <c r="M153" s="19" t="n"/>
      <c r="N153" s="20" t="n"/>
      <c r="O153" s="125" t="n"/>
      <c r="P153" s="55" t="inlineStr">
        <is>
          <t>AMPLIAR</t>
        </is>
      </c>
      <c r="Q153" s="136">
        <f>DADOS_AM!$GZ$16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DADOS_AM!$GO$14</f>
        <v/>
      </c>
      <c r="F155" s="19" t="n"/>
      <c r="G155" s="19" t="n"/>
      <c r="H155" s="20" t="n"/>
      <c r="I155" s="125" t="n"/>
      <c r="J155" s="55" t="inlineStr">
        <is>
          <t>AVISOS</t>
        </is>
      </c>
      <c r="K155" s="136">
        <f>DADOS_AM!$GO$15</f>
        <v/>
      </c>
      <c r="L155" s="19" t="n"/>
      <c r="M155" s="19" t="n"/>
      <c r="N155" s="20" t="n"/>
      <c r="O155" s="125" t="n"/>
      <c r="P155" s="55" t="inlineStr">
        <is>
          <t>AVISOS</t>
        </is>
      </c>
      <c r="Q155" s="136">
        <f>DADOS_AM!$GO$16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DADOS_AM!$GN$17</f>
        <v/>
      </c>
      <c r="H158" s="17" t="n"/>
      <c r="I158" s="125" t="n"/>
      <c r="J158" s="131" t="n">
        <v>1</v>
      </c>
      <c r="K158" s="120" t="n"/>
      <c r="L158" s="17" t="n"/>
      <c r="M158" s="132">
        <f>DADOS_AM!$GN$18</f>
        <v/>
      </c>
      <c r="N158" s="17" t="n"/>
      <c r="O158" s="125" t="n"/>
      <c r="P158" s="131" t="n">
        <v>1</v>
      </c>
      <c r="Q158" s="120" t="n"/>
      <c r="R158" s="17" t="n"/>
      <c r="S158" s="132">
        <f>DADOS_AM!$GN$19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90" t="inlineStr">
        <is>
          <t>Projétil</t>
        </is>
      </c>
      <c r="E165" s="68">
        <f>DADOS_AM!$GS$17</f>
        <v/>
      </c>
      <c r="F165" s="68">
        <f>DADOS_AM!$GP$17</f>
        <v/>
      </c>
      <c r="G165" s="90">
        <f>DADOS_AM!$GR$17</f>
        <v/>
      </c>
      <c r="H165" s="17" t="n"/>
      <c r="I165" s="125" t="n"/>
      <c r="J165" s="90" t="inlineStr">
        <is>
          <t>Projétil</t>
        </is>
      </c>
      <c r="K165" s="68">
        <f>DADOS_AM!$GS$18</f>
        <v/>
      </c>
      <c r="L165" s="68">
        <f>DADOS_AM!$GP$18</f>
        <v/>
      </c>
      <c r="M165" s="90">
        <f>DADOS_AM!$GR$18</f>
        <v/>
      </c>
      <c r="N165" s="17" t="n"/>
      <c r="O165" s="125" t="n"/>
      <c r="P165" s="90" t="inlineStr">
        <is>
          <t>Projétil</t>
        </is>
      </c>
      <c r="Q165" s="68">
        <f>DADOS_AM!$GS$19</f>
        <v/>
      </c>
      <c r="R165" s="68">
        <f>DADOS_AM!$GP$19</f>
        <v/>
      </c>
      <c r="S165" s="90">
        <f>DADOS_AM!$GR$19</f>
        <v/>
      </c>
      <c r="T165" s="17" t="n"/>
      <c r="U165" s="125" t="n"/>
    </row>
    <row r="166" hidden="1" outlineLevel="2">
      <c r="A166" s="8" t="n"/>
      <c r="B166" s="14" t="n"/>
      <c r="C166" s="125" t="n"/>
      <c r="D166" s="90">
        <f>DADOS_AM!$GQ$17</f>
        <v/>
      </c>
      <c r="E166" s="133">
        <f>DADOS_AM!$GX$17</f>
        <v/>
      </c>
      <c r="F166" s="16" t="n"/>
      <c r="G166" s="16" t="n"/>
      <c r="H166" s="17" t="n"/>
      <c r="I166" s="125" t="n"/>
      <c r="J166" s="90">
        <f>DADOS_AM!$GQ$18</f>
        <v/>
      </c>
      <c r="K166" s="133">
        <f>DADOS_AM!$GX$18</f>
        <v/>
      </c>
      <c r="L166" s="16" t="n"/>
      <c r="M166" s="16" t="n"/>
      <c r="N166" s="17" t="n"/>
      <c r="O166" s="125" t="n"/>
      <c r="P166" s="90">
        <f>DADOS_AM!$GQ$19</f>
        <v/>
      </c>
      <c r="Q166" s="133">
        <f>DADOS_AM!$GX$19</f>
        <v/>
      </c>
      <c r="R166" s="16" t="n"/>
      <c r="S166" s="16" t="n"/>
      <c r="T166" s="17" t="n"/>
      <c r="U166" s="125" t="n"/>
    </row>
    <row r="167" hidden="1" outlineLevel="3">
      <c r="A167" s="8" t="n"/>
      <c r="B167" s="14" t="n"/>
      <c r="C167" s="125" t="n"/>
      <c r="D167" s="55" t="inlineStr">
        <is>
          <t>MELHORIAS</t>
        </is>
      </c>
      <c r="E167" s="134" t="n"/>
      <c r="F167" s="17" t="n"/>
      <c r="G167" s="133">
        <f>DADOS_AM!$HA$17</f>
        <v/>
      </c>
      <c r="H167" s="17" t="n"/>
      <c r="I167" s="125" t="n"/>
      <c r="J167" s="55" t="inlineStr">
        <is>
          <t>MELHORIAS</t>
        </is>
      </c>
      <c r="K167" s="134" t="n"/>
      <c r="L167" s="17" t="n"/>
      <c r="M167" s="133">
        <f>DADOS_AM!$HA$18</f>
        <v/>
      </c>
      <c r="N167" s="17" t="n"/>
      <c r="O167" s="125" t="n"/>
      <c r="P167" s="55" t="inlineStr">
        <is>
          <t>MELHORIAS</t>
        </is>
      </c>
      <c r="Q167" s="134" t="n"/>
      <c r="R167" s="17" t="n"/>
      <c r="S167" s="133">
        <f>DADOS_AM!$HA$19</f>
        <v/>
      </c>
      <c r="T167" s="17" t="n"/>
      <c r="U167" s="125" t="n"/>
    </row>
    <row r="168" hidden="1" outlineLevel="3">
      <c r="A168" s="8" t="n"/>
      <c r="B168" s="14" t="n"/>
      <c r="C168" s="125" t="n"/>
      <c r="D168" s="135" t="n"/>
      <c r="E168" s="134" t="n"/>
      <c r="F168" s="17" t="n"/>
      <c r="G168" s="133">
        <f>DADOS_AM!$HB$17</f>
        <v/>
      </c>
      <c r="H168" s="17" t="n"/>
      <c r="I168" s="125" t="n"/>
      <c r="J168" s="135" t="n"/>
      <c r="K168" s="134" t="n"/>
      <c r="L168" s="17" t="n"/>
      <c r="M168" s="133">
        <f>DADOS_AM!$HB$18</f>
        <v/>
      </c>
      <c r="N168" s="17" t="n"/>
      <c r="O168" s="125" t="n"/>
      <c r="P168" s="135" t="n"/>
      <c r="Q168" s="134" t="n"/>
      <c r="R168" s="17" t="n"/>
      <c r="S168" s="133">
        <f>DADOS_AM!$HB$19</f>
        <v/>
      </c>
      <c r="T168" s="17" t="n"/>
      <c r="U168" s="125" t="n"/>
    </row>
    <row r="169" hidden="1" outlineLevel="3">
      <c r="A169" s="8" t="n"/>
      <c r="B169" s="14" t="n"/>
      <c r="C169" s="125" t="n"/>
      <c r="D169" s="135" t="n"/>
      <c r="E169" s="134" t="n"/>
      <c r="F169" s="17" t="n"/>
      <c r="G169" s="133">
        <f>DADOS_AM!$HC$17</f>
        <v/>
      </c>
      <c r="H169" s="17" t="n"/>
      <c r="I169" s="125" t="n"/>
      <c r="J169" s="135" t="n"/>
      <c r="K169" s="134" t="n"/>
      <c r="L169" s="17" t="n"/>
      <c r="M169" s="133">
        <f>DADOS_AM!$HC$18</f>
        <v/>
      </c>
      <c r="N169" s="17" t="n"/>
      <c r="O169" s="125" t="n"/>
      <c r="P169" s="135" t="n"/>
      <c r="Q169" s="134" t="n"/>
      <c r="R169" s="17" t="n"/>
      <c r="S169" s="133">
        <f>DADOS_AM!$HC$19</f>
        <v/>
      </c>
      <c r="T169" s="17" t="n"/>
      <c r="U169" s="125" t="n"/>
    </row>
    <row r="170" hidden="1" outlineLevel="3">
      <c r="A170" s="8" t="n"/>
      <c r="B170" s="14" t="n"/>
      <c r="C170" s="125" t="n"/>
      <c r="D170" s="129" t="n"/>
      <c r="E170" s="134" t="n"/>
      <c r="F170" s="17" t="n"/>
      <c r="G170" s="133">
        <f>DADOS_AM!$HD$17</f>
        <v/>
      </c>
      <c r="H170" s="17" t="n"/>
      <c r="I170" s="125" t="n"/>
      <c r="J170" s="129" t="n"/>
      <c r="K170" s="134" t="n"/>
      <c r="L170" s="17" t="n"/>
      <c r="M170" s="133">
        <f>DADOS_AM!$HD$18</f>
        <v/>
      </c>
      <c r="N170" s="17" t="n"/>
      <c r="O170" s="125" t="n"/>
      <c r="P170" s="129" t="n"/>
      <c r="Q170" s="134" t="n"/>
      <c r="R170" s="17" t="n"/>
      <c r="S170" s="133">
        <f>DADOS_AM!$HD$19</f>
        <v/>
      </c>
      <c r="T170" s="17" t="n"/>
      <c r="U170" s="125" t="n"/>
    </row>
    <row r="171" hidden="1" outlineLevel="3">
      <c r="A171" s="8" t="n"/>
      <c r="B171" s="14" t="n"/>
      <c r="C171" s="125" t="n"/>
      <c r="D171" s="55" t="inlineStr">
        <is>
          <t>RESTRIÇÕES</t>
        </is>
      </c>
      <c r="E171" s="134" t="n"/>
      <c r="F171" s="17" t="n"/>
      <c r="G171" s="133">
        <f>DADOS_AM!$HE$17</f>
        <v/>
      </c>
      <c r="H171" s="17" t="n"/>
      <c r="I171" s="125" t="n"/>
      <c r="J171" s="55" t="inlineStr">
        <is>
          <t>RESTRIÇÕES</t>
        </is>
      </c>
      <c r="K171" s="134" t="n"/>
      <c r="L171" s="17" t="n"/>
      <c r="M171" s="133">
        <f>DADOS_AM!$HE$18</f>
        <v/>
      </c>
      <c r="N171" s="17" t="n"/>
      <c r="O171" s="125" t="n"/>
      <c r="P171" s="55" t="inlineStr">
        <is>
          <t>RESTRIÇÕES</t>
        </is>
      </c>
      <c r="Q171" s="134" t="n"/>
      <c r="R171" s="17" t="n"/>
      <c r="S171" s="133">
        <f>DADOS_AM!$HE$19</f>
        <v/>
      </c>
      <c r="T171" s="17" t="n"/>
      <c r="U171" s="125" t="n"/>
    </row>
    <row r="172" hidden="1" outlineLevel="3">
      <c r="A172" s="8" t="n"/>
      <c r="B172" s="14" t="n"/>
      <c r="C172" s="125" t="n"/>
      <c r="D172" s="129" t="n"/>
      <c r="E172" s="134" t="n"/>
      <c r="F172" s="17" t="n"/>
      <c r="G172" s="133">
        <f>DADOS_AM!$HF$17</f>
        <v/>
      </c>
      <c r="H172" s="17" t="n"/>
      <c r="I172" s="125" t="n"/>
      <c r="J172" s="129" t="n"/>
      <c r="K172" s="134" t="n"/>
      <c r="L172" s="17" t="n"/>
      <c r="M172" s="133">
        <f>DADOS_AM!$HF$18</f>
        <v/>
      </c>
      <c r="N172" s="17" t="n"/>
      <c r="O172" s="125" t="n"/>
      <c r="P172" s="129" t="n"/>
      <c r="Q172" s="134" t="n"/>
      <c r="R172" s="17" t="n"/>
      <c r="S172" s="133">
        <f>DADOS_AM!$HF$19</f>
        <v/>
      </c>
      <c r="T172" s="17" t="n"/>
      <c r="U172" s="125" t="n"/>
    </row>
    <row r="173" hidden="1" outlineLevel="3">
      <c r="A173" s="8" t="n"/>
      <c r="B173" s="14" t="n"/>
      <c r="C173" s="125" t="n"/>
      <c r="D173" s="55" t="inlineStr">
        <is>
          <t>CONTA</t>
        </is>
      </c>
      <c r="E173" s="136">
        <f>DADOS_AM!$GY$17</f>
        <v/>
      </c>
      <c r="F173" s="16" t="n"/>
      <c r="G173" s="16" t="n"/>
      <c r="H173" s="17" t="n"/>
      <c r="I173" s="125" t="n"/>
      <c r="J173" s="55" t="inlineStr">
        <is>
          <t>CONTA</t>
        </is>
      </c>
      <c r="K173" s="136">
        <f>DADOS_AM!$GY$18</f>
        <v/>
      </c>
      <c r="L173" s="16" t="n"/>
      <c r="M173" s="16" t="n"/>
      <c r="N173" s="17" t="n"/>
      <c r="O173" s="125" t="n"/>
      <c r="P173" s="55" t="inlineStr">
        <is>
          <t>CONTA</t>
        </is>
      </c>
      <c r="Q173" s="136">
        <f>DADOS_AM!$GY$19</f>
        <v/>
      </c>
      <c r="R173" s="16" t="n"/>
      <c r="S173" s="16" t="n"/>
      <c r="T173" s="17" t="n"/>
      <c r="U173" s="125" t="n"/>
    </row>
    <row r="174" hidden="1" outlineLevel="3">
      <c r="A174" s="8" t="n"/>
      <c r="B174" s="14" t="n"/>
      <c r="C174" s="125" t="n"/>
      <c r="D174" s="55" t="inlineStr">
        <is>
          <t>AMPLIAR</t>
        </is>
      </c>
      <c r="E174" s="136">
        <f>DADOS_AM!$GZ$17</f>
        <v/>
      </c>
      <c r="F174" s="19" t="n"/>
      <c r="G174" s="19" t="n"/>
      <c r="H174" s="20" t="n"/>
      <c r="I174" s="125" t="n"/>
      <c r="J174" s="55" t="inlineStr">
        <is>
          <t>AMPLIAR</t>
        </is>
      </c>
      <c r="K174" s="136">
        <f>DADOS_AM!$GZ$18</f>
        <v/>
      </c>
      <c r="L174" s="19" t="n"/>
      <c r="M174" s="19" t="n"/>
      <c r="N174" s="20" t="n"/>
      <c r="O174" s="125" t="n"/>
      <c r="P174" s="55" t="inlineStr">
        <is>
          <t>AMPLIAR</t>
        </is>
      </c>
      <c r="Q174" s="136">
        <f>DADOS_AM!$GZ$19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DADOS_AM!$GO$17</f>
        <v/>
      </c>
      <c r="F176" s="19" t="n"/>
      <c r="G176" s="19" t="n"/>
      <c r="H176" s="20" t="n"/>
      <c r="I176" s="125" t="n"/>
      <c r="J176" s="55" t="inlineStr">
        <is>
          <t>AVISOS</t>
        </is>
      </c>
      <c r="K176" s="136">
        <f>DADOS_AM!$GO$18</f>
        <v/>
      </c>
      <c r="L176" s="19" t="n"/>
      <c r="M176" s="19" t="n"/>
      <c r="N176" s="20" t="n"/>
      <c r="O176" s="125" t="n"/>
      <c r="P176" s="55" t="inlineStr">
        <is>
          <t>AVISOS</t>
        </is>
      </c>
      <c r="Q176" s="136">
        <f>DADOS_AM!$GO$19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DADOS_AM!$GN$20</f>
        <v/>
      </c>
      <c r="H179" s="17" t="n"/>
      <c r="I179" s="125" t="n"/>
      <c r="J179" s="131" t="n">
        <v>1</v>
      </c>
      <c r="K179" s="120" t="n"/>
      <c r="L179" s="17" t="n"/>
      <c r="M179" s="132">
        <f>DADOS_AM!$GN$21</f>
        <v/>
      </c>
      <c r="N179" s="17" t="n"/>
      <c r="O179" s="125" t="n"/>
      <c r="P179" s="131" t="n">
        <v>1</v>
      </c>
      <c r="Q179" s="120" t="n"/>
      <c r="R179" s="17" t="n"/>
      <c r="S179" s="132">
        <f>DADOS_AM!$GN$22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90" t="inlineStr">
        <is>
          <t>Projétil</t>
        </is>
      </c>
      <c r="E186" s="68">
        <f>DADOS_AM!$GS$20</f>
        <v/>
      </c>
      <c r="F186" s="68">
        <f>DADOS_AM!$GP$20</f>
        <v/>
      </c>
      <c r="G186" s="90">
        <f>DADOS_AM!$GR$20</f>
        <v/>
      </c>
      <c r="H186" s="17" t="n"/>
      <c r="I186" s="125" t="n"/>
      <c r="J186" s="90" t="inlineStr">
        <is>
          <t>Projétil</t>
        </is>
      </c>
      <c r="K186" s="68">
        <f>DADOS_AM!$GS$21</f>
        <v/>
      </c>
      <c r="L186" s="68">
        <f>DADOS_AM!$GP$21</f>
        <v/>
      </c>
      <c r="M186" s="90">
        <f>DADOS_AM!$GR$21</f>
        <v/>
      </c>
      <c r="N186" s="17" t="n"/>
      <c r="O186" s="125" t="n"/>
      <c r="P186" s="90" t="inlineStr">
        <is>
          <t>Projétil</t>
        </is>
      </c>
      <c r="Q186" s="68">
        <f>DADOS_AM!$GS$22</f>
        <v/>
      </c>
      <c r="R186" s="68">
        <f>DADOS_AM!$GP$22</f>
        <v/>
      </c>
      <c r="S186" s="90">
        <f>DADOS_AM!$GR$22</f>
        <v/>
      </c>
      <c r="T186" s="17" t="n"/>
      <c r="U186" s="125" t="n"/>
    </row>
    <row r="187" hidden="1" outlineLevel="2">
      <c r="A187" s="8" t="n"/>
      <c r="B187" s="14" t="n"/>
      <c r="C187" s="125" t="n"/>
      <c r="D187" s="90">
        <f>DADOS_AM!$GQ$20</f>
        <v/>
      </c>
      <c r="E187" s="133">
        <f>DADOS_AM!$GX$20</f>
        <v/>
      </c>
      <c r="F187" s="16" t="n"/>
      <c r="G187" s="16" t="n"/>
      <c r="H187" s="17" t="n"/>
      <c r="I187" s="125" t="n"/>
      <c r="J187" s="90">
        <f>DADOS_AM!$GQ$21</f>
        <v/>
      </c>
      <c r="K187" s="133">
        <f>DADOS_AM!$GX$21</f>
        <v/>
      </c>
      <c r="L187" s="16" t="n"/>
      <c r="M187" s="16" t="n"/>
      <c r="N187" s="17" t="n"/>
      <c r="O187" s="125" t="n"/>
      <c r="P187" s="90">
        <f>DADOS_AM!$GQ$22</f>
        <v/>
      </c>
      <c r="Q187" s="133">
        <f>DADOS_AM!$GX$22</f>
        <v/>
      </c>
      <c r="R187" s="16" t="n"/>
      <c r="S187" s="16" t="n"/>
      <c r="T187" s="17" t="n"/>
      <c r="U187" s="125" t="n"/>
    </row>
    <row r="188" hidden="1" outlineLevel="3">
      <c r="A188" s="8" t="n"/>
      <c r="B188" s="14" t="n"/>
      <c r="C188" s="125" t="n"/>
      <c r="D188" s="55" t="inlineStr">
        <is>
          <t>MELHORIAS</t>
        </is>
      </c>
      <c r="E188" s="134" t="n"/>
      <c r="F188" s="17" t="n"/>
      <c r="G188" s="133">
        <f>DADOS_AM!$HA$20</f>
        <v/>
      </c>
      <c r="H188" s="17" t="n"/>
      <c r="I188" s="125" t="n"/>
      <c r="J188" s="55" t="inlineStr">
        <is>
          <t>MELHORIAS</t>
        </is>
      </c>
      <c r="K188" s="134" t="n"/>
      <c r="L188" s="17" t="n"/>
      <c r="M188" s="133">
        <f>DADOS_AM!$HA$21</f>
        <v/>
      </c>
      <c r="N188" s="17" t="n"/>
      <c r="O188" s="125" t="n"/>
      <c r="P188" s="55" t="inlineStr">
        <is>
          <t>MELHORIAS</t>
        </is>
      </c>
      <c r="Q188" s="134" t="n"/>
      <c r="R188" s="17" t="n"/>
      <c r="S188" s="133">
        <f>DADOS_AM!$HA$22</f>
        <v/>
      </c>
      <c r="T188" s="17" t="n"/>
      <c r="U188" s="125" t="n"/>
    </row>
    <row r="189" hidden="1" outlineLevel="3">
      <c r="A189" s="8" t="n"/>
      <c r="B189" s="14" t="n"/>
      <c r="C189" s="125" t="n"/>
      <c r="D189" s="135" t="n"/>
      <c r="E189" s="134" t="n"/>
      <c r="F189" s="17" t="n"/>
      <c r="G189" s="133">
        <f>DADOS_AM!$HB$20</f>
        <v/>
      </c>
      <c r="H189" s="17" t="n"/>
      <c r="I189" s="125" t="n"/>
      <c r="J189" s="135" t="n"/>
      <c r="K189" s="134" t="n"/>
      <c r="L189" s="17" t="n"/>
      <c r="M189" s="133">
        <f>DADOS_AM!$HB$21</f>
        <v/>
      </c>
      <c r="N189" s="17" t="n"/>
      <c r="O189" s="125" t="n"/>
      <c r="P189" s="135" t="n"/>
      <c r="Q189" s="134" t="n"/>
      <c r="R189" s="17" t="n"/>
      <c r="S189" s="133">
        <f>DADOS_AM!$HB$22</f>
        <v/>
      </c>
      <c r="T189" s="17" t="n"/>
      <c r="U189" s="125" t="n"/>
    </row>
    <row r="190" hidden="1" outlineLevel="3">
      <c r="A190" s="8" t="n"/>
      <c r="B190" s="14" t="n"/>
      <c r="C190" s="125" t="n"/>
      <c r="D190" s="135" t="n"/>
      <c r="E190" s="134" t="n"/>
      <c r="F190" s="17" t="n"/>
      <c r="G190" s="133">
        <f>DADOS_AM!$HC$20</f>
        <v/>
      </c>
      <c r="H190" s="17" t="n"/>
      <c r="I190" s="125" t="n"/>
      <c r="J190" s="135" t="n"/>
      <c r="K190" s="134" t="n"/>
      <c r="L190" s="17" t="n"/>
      <c r="M190" s="133">
        <f>DADOS_AM!$HC$21</f>
        <v/>
      </c>
      <c r="N190" s="17" t="n"/>
      <c r="O190" s="125" t="n"/>
      <c r="P190" s="135" t="n"/>
      <c r="Q190" s="134" t="n"/>
      <c r="R190" s="17" t="n"/>
      <c r="S190" s="133">
        <f>DADOS_AM!$HC$22</f>
        <v/>
      </c>
      <c r="T190" s="17" t="n"/>
      <c r="U190" s="125" t="n"/>
    </row>
    <row r="191" hidden="1" outlineLevel="3">
      <c r="A191" s="8" t="n"/>
      <c r="B191" s="14" t="n"/>
      <c r="C191" s="125" t="n"/>
      <c r="D191" s="129" t="n"/>
      <c r="E191" s="134" t="n"/>
      <c r="F191" s="17" t="n"/>
      <c r="G191" s="133">
        <f>DADOS_AM!$HD$20</f>
        <v/>
      </c>
      <c r="H191" s="17" t="n"/>
      <c r="I191" s="125" t="n"/>
      <c r="J191" s="129" t="n"/>
      <c r="K191" s="134" t="n"/>
      <c r="L191" s="17" t="n"/>
      <c r="M191" s="133">
        <f>DADOS_AM!$HD$21</f>
        <v/>
      </c>
      <c r="N191" s="17" t="n"/>
      <c r="O191" s="125" t="n"/>
      <c r="P191" s="129" t="n"/>
      <c r="Q191" s="134" t="n"/>
      <c r="R191" s="17" t="n"/>
      <c r="S191" s="133">
        <f>DADOS_AM!$HD$22</f>
        <v/>
      </c>
      <c r="T191" s="17" t="n"/>
      <c r="U191" s="125" t="n"/>
    </row>
    <row r="192" hidden="1" outlineLevel="3">
      <c r="A192" s="8" t="n"/>
      <c r="B192" s="14" t="n"/>
      <c r="C192" s="125" t="n"/>
      <c r="D192" s="55" t="inlineStr">
        <is>
          <t>RESTRIÇÕES</t>
        </is>
      </c>
      <c r="E192" s="134" t="n"/>
      <c r="F192" s="17" t="n"/>
      <c r="G192" s="133">
        <f>DADOS_AM!$HE$20</f>
        <v/>
      </c>
      <c r="H192" s="17" t="n"/>
      <c r="I192" s="125" t="n"/>
      <c r="J192" s="55" t="inlineStr">
        <is>
          <t>RESTRIÇÕES</t>
        </is>
      </c>
      <c r="K192" s="134" t="n"/>
      <c r="L192" s="17" t="n"/>
      <c r="M192" s="133">
        <f>DADOS_AM!$HE$21</f>
        <v/>
      </c>
      <c r="N192" s="17" t="n"/>
      <c r="O192" s="125" t="n"/>
      <c r="P192" s="55" t="inlineStr">
        <is>
          <t>RESTRIÇÕES</t>
        </is>
      </c>
      <c r="Q192" s="134" t="n"/>
      <c r="R192" s="17" t="n"/>
      <c r="S192" s="133">
        <f>DADOS_AM!$HE$22</f>
        <v/>
      </c>
      <c r="T192" s="17" t="n"/>
      <c r="U192" s="125" t="n"/>
    </row>
    <row r="193" hidden="1" outlineLevel="3">
      <c r="A193" s="8" t="n"/>
      <c r="B193" s="14" t="n"/>
      <c r="C193" s="125" t="n"/>
      <c r="D193" s="129" t="n"/>
      <c r="E193" s="134" t="n"/>
      <c r="F193" s="17" t="n"/>
      <c r="G193" s="133">
        <f>DADOS_AM!$HF$20</f>
        <v/>
      </c>
      <c r="H193" s="17" t="n"/>
      <c r="I193" s="125" t="n"/>
      <c r="J193" s="129" t="n"/>
      <c r="K193" s="134" t="n"/>
      <c r="L193" s="17" t="n"/>
      <c r="M193" s="133">
        <f>DADOS_AM!$HF$21</f>
        <v/>
      </c>
      <c r="N193" s="17" t="n"/>
      <c r="O193" s="125" t="n"/>
      <c r="P193" s="129" t="n"/>
      <c r="Q193" s="134" t="n"/>
      <c r="R193" s="17" t="n"/>
      <c r="S193" s="133">
        <f>DADOS_AM!$HF$22</f>
        <v/>
      </c>
      <c r="T193" s="17" t="n"/>
      <c r="U193" s="125" t="n"/>
    </row>
    <row r="194" hidden="1" outlineLevel="3">
      <c r="A194" s="8" t="n"/>
      <c r="B194" s="14" t="n"/>
      <c r="C194" s="125" t="n"/>
      <c r="D194" s="55" t="inlineStr">
        <is>
          <t>CONTA</t>
        </is>
      </c>
      <c r="E194" s="136">
        <f>DADOS_AM!$GY$20</f>
        <v/>
      </c>
      <c r="F194" s="16" t="n"/>
      <c r="G194" s="16" t="n"/>
      <c r="H194" s="17" t="n"/>
      <c r="I194" s="125" t="n"/>
      <c r="J194" s="55" t="inlineStr">
        <is>
          <t>CONTA</t>
        </is>
      </c>
      <c r="K194" s="136">
        <f>DADOS_AM!$GY$21</f>
        <v/>
      </c>
      <c r="L194" s="16" t="n"/>
      <c r="M194" s="16" t="n"/>
      <c r="N194" s="17" t="n"/>
      <c r="O194" s="125" t="n"/>
      <c r="P194" s="55" t="inlineStr">
        <is>
          <t>CONTA</t>
        </is>
      </c>
      <c r="Q194" s="136">
        <f>DADOS_AM!$GY$22</f>
        <v/>
      </c>
      <c r="R194" s="16" t="n"/>
      <c r="S194" s="16" t="n"/>
      <c r="T194" s="17" t="n"/>
      <c r="U194" s="125" t="n"/>
    </row>
    <row r="195" hidden="1" outlineLevel="3">
      <c r="A195" s="8" t="n"/>
      <c r="B195" s="14" t="n"/>
      <c r="C195" s="125" t="n"/>
      <c r="D195" s="55" t="inlineStr">
        <is>
          <t>AMPLIAR</t>
        </is>
      </c>
      <c r="E195" s="136">
        <f>DADOS_AM!$GZ$20</f>
        <v/>
      </c>
      <c r="F195" s="19" t="n"/>
      <c r="G195" s="19" t="n"/>
      <c r="H195" s="20" t="n"/>
      <c r="I195" s="125" t="n"/>
      <c r="J195" s="55" t="inlineStr">
        <is>
          <t>AMPLIAR</t>
        </is>
      </c>
      <c r="K195" s="136">
        <f>DADOS_AM!$GZ$21</f>
        <v/>
      </c>
      <c r="L195" s="19" t="n"/>
      <c r="M195" s="19" t="n"/>
      <c r="N195" s="20" t="n"/>
      <c r="O195" s="125" t="n"/>
      <c r="P195" s="55" t="inlineStr">
        <is>
          <t>AMPLIAR</t>
        </is>
      </c>
      <c r="Q195" s="136">
        <f>DADOS_AM!$GZ$22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DADOS_AM!$GO$20</f>
        <v/>
      </c>
      <c r="F197" s="19" t="n"/>
      <c r="G197" s="19" t="n"/>
      <c r="H197" s="20" t="n"/>
      <c r="I197" s="125" t="n"/>
      <c r="J197" s="55" t="inlineStr">
        <is>
          <t>AVISOS</t>
        </is>
      </c>
      <c r="K197" s="136">
        <f>DADOS_AM!$GO$21</f>
        <v/>
      </c>
      <c r="L197" s="19" t="n"/>
      <c r="M197" s="19" t="n"/>
      <c r="N197" s="20" t="n"/>
      <c r="O197" s="125" t="n"/>
      <c r="P197" s="55" t="inlineStr">
        <is>
          <t>AVISOS</t>
        </is>
      </c>
      <c r="Q197" s="136">
        <f>DADOS_AM!$GO$22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DADOS_AM!$GN$23</f>
        <v/>
      </c>
      <c r="H200" s="17" t="n"/>
      <c r="I200" s="125" t="n"/>
      <c r="J200" s="131" t="n">
        <v>1</v>
      </c>
      <c r="K200" s="120" t="n"/>
      <c r="L200" s="17" t="n"/>
      <c r="M200" s="132">
        <f>DADOS_AM!$GN$24</f>
        <v/>
      </c>
      <c r="N200" s="17" t="n"/>
      <c r="O200" s="125" t="n"/>
      <c r="P200" s="131" t="n">
        <v>1</v>
      </c>
      <c r="Q200" s="120" t="n"/>
      <c r="R200" s="17" t="n"/>
      <c r="S200" s="132">
        <f>DADOS_AM!$GN$25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90" t="inlineStr">
        <is>
          <t>Projétil</t>
        </is>
      </c>
      <c r="E207" s="68">
        <f>DADOS_AM!$GS$23</f>
        <v/>
      </c>
      <c r="F207" s="68">
        <f>DADOS_AM!$GP$23</f>
        <v/>
      </c>
      <c r="G207" s="90">
        <f>DADOS_AM!$GR$23</f>
        <v/>
      </c>
      <c r="H207" s="17" t="n"/>
      <c r="I207" s="125" t="n"/>
      <c r="J207" s="90" t="inlineStr">
        <is>
          <t>Projétil</t>
        </is>
      </c>
      <c r="K207" s="68">
        <f>DADOS_AM!$GS$24</f>
        <v/>
      </c>
      <c r="L207" s="68">
        <f>DADOS_AM!$GP$24</f>
        <v/>
      </c>
      <c r="M207" s="90">
        <f>DADOS_AM!$GR$24</f>
        <v/>
      </c>
      <c r="N207" s="17" t="n"/>
      <c r="O207" s="125" t="n"/>
      <c r="P207" s="90" t="inlineStr">
        <is>
          <t>Projétil</t>
        </is>
      </c>
      <c r="Q207" s="68">
        <f>DADOS_AM!$GS$25</f>
        <v/>
      </c>
      <c r="R207" s="68">
        <f>DADOS_AM!$GP$25</f>
        <v/>
      </c>
      <c r="S207" s="90">
        <f>DADOS_AM!$GR$25</f>
        <v/>
      </c>
      <c r="T207" s="17" t="n"/>
      <c r="U207" s="125" t="n"/>
    </row>
    <row r="208" hidden="1" outlineLevel="2">
      <c r="A208" s="8" t="n"/>
      <c r="B208" s="14" t="n"/>
      <c r="C208" s="125" t="n"/>
      <c r="D208" s="90">
        <f>DADOS_AM!$GQ$23</f>
        <v/>
      </c>
      <c r="E208" s="133">
        <f>DADOS_AM!$GX$23</f>
        <v/>
      </c>
      <c r="F208" s="16" t="n"/>
      <c r="G208" s="16" t="n"/>
      <c r="H208" s="17" t="n"/>
      <c r="I208" s="125" t="n"/>
      <c r="J208" s="90">
        <f>DADOS_AM!$GQ$24</f>
        <v/>
      </c>
      <c r="K208" s="133">
        <f>DADOS_AM!$GX$24</f>
        <v/>
      </c>
      <c r="L208" s="16" t="n"/>
      <c r="M208" s="16" t="n"/>
      <c r="N208" s="17" t="n"/>
      <c r="O208" s="125" t="n"/>
      <c r="P208" s="90">
        <f>DADOS_AM!$GQ$25</f>
        <v/>
      </c>
      <c r="Q208" s="133">
        <f>DADOS_AM!$GX$25</f>
        <v/>
      </c>
      <c r="R208" s="16" t="n"/>
      <c r="S208" s="16" t="n"/>
      <c r="T208" s="17" t="n"/>
      <c r="U208" s="125" t="n"/>
    </row>
    <row r="209" hidden="1" outlineLevel="3">
      <c r="A209" s="8" t="n"/>
      <c r="B209" s="14" t="n"/>
      <c r="C209" s="125" t="n"/>
      <c r="D209" s="55" t="inlineStr">
        <is>
          <t>MELHORIAS</t>
        </is>
      </c>
      <c r="E209" s="134" t="n"/>
      <c r="F209" s="17" t="n"/>
      <c r="G209" s="133">
        <f>DADOS_AM!$HA$23</f>
        <v/>
      </c>
      <c r="H209" s="17" t="n"/>
      <c r="I209" s="125" t="n"/>
      <c r="J209" s="55" t="inlineStr">
        <is>
          <t>MELHORIAS</t>
        </is>
      </c>
      <c r="K209" s="134" t="n"/>
      <c r="L209" s="17" t="n"/>
      <c r="M209" s="133">
        <f>DADOS_AM!$HA$24</f>
        <v/>
      </c>
      <c r="N209" s="17" t="n"/>
      <c r="O209" s="125" t="n"/>
      <c r="P209" s="55" t="inlineStr">
        <is>
          <t>MELHORIAS</t>
        </is>
      </c>
      <c r="Q209" s="134" t="n"/>
      <c r="R209" s="17" t="n"/>
      <c r="S209" s="133">
        <f>DADOS_AM!$HA$25</f>
        <v/>
      </c>
      <c r="T209" s="17" t="n"/>
      <c r="U209" s="125" t="n"/>
    </row>
    <row r="210" hidden="1" outlineLevel="3">
      <c r="A210" s="8" t="n"/>
      <c r="B210" s="14" t="n"/>
      <c r="C210" s="125" t="n"/>
      <c r="D210" s="135" t="n"/>
      <c r="E210" s="134" t="n"/>
      <c r="F210" s="17" t="n"/>
      <c r="G210" s="133">
        <f>DADOS_AM!$HB$23</f>
        <v/>
      </c>
      <c r="H210" s="17" t="n"/>
      <c r="I210" s="125" t="n"/>
      <c r="J210" s="135" t="n"/>
      <c r="K210" s="134" t="n"/>
      <c r="L210" s="17" t="n"/>
      <c r="M210" s="133">
        <f>DADOS_AM!$HB$24</f>
        <v/>
      </c>
      <c r="N210" s="17" t="n"/>
      <c r="O210" s="125" t="n"/>
      <c r="P210" s="135" t="n"/>
      <c r="Q210" s="134" t="n"/>
      <c r="R210" s="17" t="n"/>
      <c r="S210" s="133">
        <f>DADOS_AM!$HB$25</f>
        <v/>
      </c>
      <c r="T210" s="17" t="n"/>
      <c r="U210" s="125" t="n"/>
    </row>
    <row r="211" hidden="1" outlineLevel="3">
      <c r="A211" s="8" t="n"/>
      <c r="B211" s="14" t="n"/>
      <c r="C211" s="125" t="n"/>
      <c r="D211" s="135" t="n"/>
      <c r="E211" s="134" t="n"/>
      <c r="F211" s="17" t="n"/>
      <c r="G211" s="133">
        <f>DADOS_AM!$HC$23</f>
        <v/>
      </c>
      <c r="H211" s="17" t="n"/>
      <c r="I211" s="125" t="n"/>
      <c r="J211" s="135" t="n"/>
      <c r="K211" s="134" t="n"/>
      <c r="L211" s="17" t="n"/>
      <c r="M211" s="133">
        <f>DADOS_AM!$HC$24</f>
        <v/>
      </c>
      <c r="N211" s="17" t="n"/>
      <c r="O211" s="125" t="n"/>
      <c r="P211" s="135" t="n"/>
      <c r="Q211" s="134" t="n"/>
      <c r="R211" s="17" t="n"/>
      <c r="S211" s="133">
        <f>DADOS_AM!$HC$25</f>
        <v/>
      </c>
      <c r="T211" s="17" t="n"/>
      <c r="U211" s="125" t="n"/>
    </row>
    <row r="212" hidden="1" outlineLevel="3">
      <c r="A212" s="8" t="n"/>
      <c r="B212" s="14" t="n"/>
      <c r="C212" s="125" t="n"/>
      <c r="D212" s="129" t="n"/>
      <c r="E212" s="134" t="n"/>
      <c r="F212" s="17" t="n"/>
      <c r="G212" s="133">
        <f>DADOS_AM!$HD$23</f>
        <v/>
      </c>
      <c r="H212" s="17" t="n"/>
      <c r="I212" s="125" t="n"/>
      <c r="J212" s="129" t="n"/>
      <c r="K212" s="134" t="n"/>
      <c r="L212" s="17" t="n"/>
      <c r="M212" s="133">
        <f>DADOS_AM!$HD$24</f>
        <v/>
      </c>
      <c r="N212" s="17" t="n"/>
      <c r="O212" s="125" t="n"/>
      <c r="P212" s="129" t="n"/>
      <c r="Q212" s="134" t="n"/>
      <c r="R212" s="17" t="n"/>
      <c r="S212" s="133">
        <f>DADOS_AM!$HD$25</f>
        <v/>
      </c>
      <c r="T212" s="17" t="n"/>
      <c r="U212" s="125" t="n"/>
    </row>
    <row r="213" hidden="1" outlineLevel="3">
      <c r="A213" s="8" t="n"/>
      <c r="B213" s="14" t="n"/>
      <c r="C213" s="125" t="n"/>
      <c r="D213" s="55" t="inlineStr">
        <is>
          <t>RESTRIÇÕES</t>
        </is>
      </c>
      <c r="E213" s="134" t="n"/>
      <c r="F213" s="17" t="n"/>
      <c r="G213" s="133">
        <f>DADOS_AM!$HE$23</f>
        <v/>
      </c>
      <c r="H213" s="17" t="n"/>
      <c r="I213" s="125" t="n"/>
      <c r="J213" s="55" t="inlineStr">
        <is>
          <t>RESTRIÇÕES</t>
        </is>
      </c>
      <c r="K213" s="134" t="n"/>
      <c r="L213" s="17" t="n"/>
      <c r="M213" s="133">
        <f>DADOS_AM!$HE$24</f>
        <v/>
      </c>
      <c r="N213" s="17" t="n"/>
      <c r="O213" s="125" t="n"/>
      <c r="P213" s="55" t="inlineStr">
        <is>
          <t>RESTRIÇÕES</t>
        </is>
      </c>
      <c r="Q213" s="134" t="n"/>
      <c r="R213" s="17" t="n"/>
      <c r="S213" s="133">
        <f>DADOS_AM!$HE$25</f>
        <v/>
      </c>
      <c r="T213" s="17" t="n"/>
      <c r="U213" s="125" t="n"/>
    </row>
    <row r="214" hidden="1" outlineLevel="3">
      <c r="A214" s="8" t="n"/>
      <c r="B214" s="14" t="n"/>
      <c r="C214" s="125" t="n"/>
      <c r="D214" s="129" t="n"/>
      <c r="E214" s="134" t="n"/>
      <c r="F214" s="17" t="n"/>
      <c r="G214" s="133">
        <f>DADOS_AM!$HF$23</f>
        <v/>
      </c>
      <c r="H214" s="17" t="n"/>
      <c r="I214" s="125" t="n"/>
      <c r="J214" s="129" t="n"/>
      <c r="K214" s="134" t="n"/>
      <c r="L214" s="17" t="n"/>
      <c r="M214" s="133">
        <f>DADOS_AM!$HF$24</f>
        <v/>
      </c>
      <c r="N214" s="17" t="n"/>
      <c r="O214" s="125" t="n"/>
      <c r="P214" s="129" t="n"/>
      <c r="Q214" s="134" t="n"/>
      <c r="R214" s="17" t="n"/>
      <c r="S214" s="133">
        <f>DADOS_AM!$HF$25</f>
        <v/>
      </c>
      <c r="T214" s="17" t="n"/>
      <c r="U214" s="125" t="n"/>
    </row>
    <row r="215" hidden="1" outlineLevel="3">
      <c r="A215" s="8" t="n"/>
      <c r="B215" s="14" t="n"/>
      <c r="C215" s="125" t="n"/>
      <c r="D215" s="55" t="inlineStr">
        <is>
          <t>CONTA</t>
        </is>
      </c>
      <c r="E215" s="136">
        <f>DADOS_AM!$GY$23</f>
        <v/>
      </c>
      <c r="F215" s="16" t="n"/>
      <c r="G215" s="16" t="n"/>
      <c r="H215" s="17" t="n"/>
      <c r="I215" s="125" t="n"/>
      <c r="J215" s="55" t="inlineStr">
        <is>
          <t>CONTA</t>
        </is>
      </c>
      <c r="K215" s="136">
        <f>DADOS_AM!$GY$24</f>
        <v/>
      </c>
      <c r="L215" s="16" t="n"/>
      <c r="M215" s="16" t="n"/>
      <c r="N215" s="17" t="n"/>
      <c r="O215" s="125" t="n"/>
      <c r="P215" s="55" t="inlineStr">
        <is>
          <t>CONTA</t>
        </is>
      </c>
      <c r="Q215" s="136">
        <f>DADOS_AM!$GY$25</f>
        <v/>
      </c>
      <c r="R215" s="16" t="n"/>
      <c r="S215" s="16" t="n"/>
      <c r="T215" s="17" t="n"/>
      <c r="U215" s="125" t="n"/>
    </row>
    <row r="216" hidden="1" outlineLevel="3">
      <c r="A216" s="8" t="n"/>
      <c r="B216" s="14" t="n"/>
      <c r="C216" s="125" t="n"/>
      <c r="D216" s="55" t="inlineStr">
        <is>
          <t>AMPLIAR</t>
        </is>
      </c>
      <c r="E216" s="136">
        <f>DADOS_AM!$GZ$23</f>
        <v/>
      </c>
      <c r="F216" s="19" t="n"/>
      <c r="G216" s="19" t="n"/>
      <c r="H216" s="20" t="n"/>
      <c r="I216" s="125" t="n"/>
      <c r="J216" s="55" t="inlineStr">
        <is>
          <t>AMPLIAR</t>
        </is>
      </c>
      <c r="K216" s="136">
        <f>DADOS_AM!$GZ$24</f>
        <v/>
      </c>
      <c r="L216" s="19" t="n"/>
      <c r="M216" s="19" t="n"/>
      <c r="N216" s="20" t="n"/>
      <c r="O216" s="125" t="n"/>
      <c r="P216" s="55" t="inlineStr">
        <is>
          <t>AMPLIAR</t>
        </is>
      </c>
      <c r="Q216" s="136">
        <f>DADOS_AM!$GZ$25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DADOS_AM!$GO$23</f>
        <v/>
      </c>
      <c r="F218" s="19" t="n"/>
      <c r="G218" s="19" t="n"/>
      <c r="H218" s="20" t="n"/>
      <c r="I218" s="125" t="n"/>
      <c r="J218" s="55" t="inlineStr">
        <is>
          <t>AVISOS</t>
        </is>
      </c>
      <c r="K218" s="136">
        <f>DADOS_AM!$GO$24</f>
        <v/>
      </c>
      <c r="L218" s="19" t="n"/>
      <c r="M218" s="19" t="n"/>
      <c r="N218" s="20" t="n"/>
      <c r="O218" s="125" t="n"/>
      <c r="P218" s="55" t="inlineStr">
        <is>
          <t>AVISOS</t>
        </is>
      </c>
      <c r="Q218" s="136">
        <f>DADOS_AM!$GO$25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DADOS_AM!$KT$35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DADOS_AM!$GN$26</f>
        <v/>
      </c>
      <c r="H223" s="17" t="n"/>
      <c r="I223" s="125" t="n"/>
      <c r="J223" s="131" t="n">
        <v>1</v>
      </c>
      <c r="K223" s="120" t="n"/>
      <c r="L223" s="17" t="n"/>
      <c r="M223" s="132">
        <f>DADOS_AM!$GN$27</f>
        <v/>
      </c>
      <c r="N223" s="17" t="n"/>
      <c r="O223" s="125" t="n"/>
      <c r="P223" s="131" t="n">
        <v>1</v>
      </c>
      <c r="Q223" s="120" t="n"/>
      <c r="R223" s="17" t="n"/>
      <c r="S223" s="132">
        <f>DADOS_AM!$GN$28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90" t="inlineStr">
        <is>
          <t>Projétil</t>
        </is>
      </c>
      <c r="E230" s="68">
        <f>DADOS_AM!$GS$26</f>
        <v/>
      </c>
      <c r="F230" s="68">
        <f>DADOS_AM!$GP$26</f>
        <v/>
      </c>
      <c r="G230" s="90">
        <f>DADOS_AM!$GR$26</f>
        <v/>
      </c>
      <c r="H230" s="17" t="n"/>
      <c r="I230" s="125" t="n"/>
      <c r="J230" s="90" t="inlineStr">
        <is>
          <t>Projétil</t>
        </is>
      </c>
      <c r="K230" s="68">
        <f>DADOS_AM!$GS$27</f>
        <v/>
      </c>
      <c r="L230" s="68">
        <f>DADOS_AM!$GP$27</f>
        <v/>
      </c>
      <c r="M230" s="90">
        <f>DADOS_AM!$GR$27</f>
        <v/>
      </c>
      <c r="N230" s="17" t="n"/>
      <c r="O230" s="125" t="n"/>
      <c r="P230" s="90" t="inlineStr">
        <is>
          <t>Projétil</t>
        </is>
      </c>
      <c r="Q230" s="68">
        <f>DADOS_AM!$GS$28</f>
        <v/>
      </c>
      <c r="R230" s="68">
        <f>DADOS_AM!$GP$28</f>
        <v/>
      </c>
      <c r="S230" s="90">
        <f>DADOS_AM!$GR$28</f>
        <v/>
      </c>
      <c r="T230" s="17" t="n"/>
      <c r="U230" s="125" t="n"/>
    </row>
    <row r="231" hidden="1" outlineLevel="2">
      <c r="A231" s="8" t="n"/>
      <c r="B231" s="14" t="n"/>
      <c r="C231" s="125" t="n"/>
      <c r="D231" s="90">
        <f>DADOS_AM!$GQ$26</f>
        <v/>
      </c>
      <c r="E231" s="133">
        <f>DADOS_AM!$GX$26</f>
        <v/>
      </c>
      <c r="F231" s="16" t="n"/>
      <c r="G231" s="16" t="n"/>
      <c r="H231" s="17" t="n"/>
      <c r="I231" s="125" t="n"/>
      <c r="J231" s="90">
        <f>DADOS_AM!$GQ$27</f>
        <v/>
      </c>
      <c r="K231" s="133">
        <f>DADOS_AM!$GX$27</f>
        <v/>
      </c>
      <c r="L231" s="16" t="n"/>
      <c r="M231" s="16" t="n"/>
      <c r="N231" s="17" t="n"/>
      <c r="O231" s="125" t="n"/>
      <c r="P231" s="90">
        <f>DADOS_AM!$GQ$28</f>
        <v/>
      </c>
      <c r="Q231" s="133">
        <f>DADOS_AM!$GX$28</f>
        <v/>
      </c>
      <c r="R231" s="16" t="n"/>
      <c r="S231" s="16" t="n"/>
      <c r="T231" s="17" t="n"/>
      <c r="U231" s="125" t="n"/>
    </row>
    <row r="232" hidden="1" outlineLevel="3">
      <c r="A232" s="8" t="n"/>
      <c r="B232" s="14" t="n"/>
      <c r="C232" s="125" t="n"/>
      <c r="D232" s="55" t="inlineStr">
        <is>
          <t>MELHORIAS</t>
        </is>
      </c>
      <c r="E232" s="134" t="n"/>
      <c r="F232" s="17" t="n"/>
      <c r="G232" s="133">
        <f>DADOS_AM!$HA$26</f>
        <v/>
      </c>
      <c r="H232" s="17" t="n"/>
      <c r="I232" s="125" t="n"/>
      <c r="J232" s="55" t="inlineStr">
        <is>
          <t>MELHORIAS</t>
        </is>
      </c>
      <c r="K232" s="134" t="n"/>
      <c r="L232" s="17" t="n"/>
      <c r="M232" s="133">
        <f>DADOS_AM!$HA$27</f>
        <v/>
      </c>
      <c r="N232" s="17" t="n"/>
      <c r="O232" s="125" t="n"/>
      <c r="P232" s="55" t="inlineStr">
        <is>
          <t>MELHORIAS</t>
        </is>
      </c>
      <c r="Q232" s="134" t="n"/>
      <c r="R232" s="17" t="n"/>
      <c r="S232" s="133">
        <f>DADOS_AM!$HA$28</f>
        <v/>
      </c>
      <c r="T232" s="17" t="n"/>
      <c r="U232" s="125" t="n"/>
    </row>
    <row r="233" hidden="1" outlineLevel="3">
      <c r="A233" s="8" t="n"/>
      <c r="B233" s="14" t="n"/>
      <c r="C233" s="125" t="n"/>
      <c r="D233" s="135" t="n"/>
      <c r="E233" s="134" t="n"/>
      <c r="F233" s="17" t="n"/>
      <c r="G233" s="133">
        <f>DADOS_AM!$HB$26</f>
        <v/>
      </c>
      <c r="H233" s="17" t="n"/>
      <c r="I233" s="125" t="n"/>
      <c r="J233" s="135" t="n"/>
      <c r="K233" s="134" t="n"/>
      <c r="L233" s="17" t="n"/>
      <c r="M233" s="133">
        <f>DADOS_AM!$HB$27</f>
        <v/>
      </c>
      <c r="N233" s="17" t="n"/>
      <c r="O233" s="125" t="n"/>
      <c r="P233" s="135" t="n"/>
      <c r="Q233" s="134" t="n"/>
      <c r="R233" s="17" t="n"/>
      <c r="S233" s="133">
        <f>DADOS_AM!$HB$28</f>
        <v/>
      </c>
      <c r="T233" s="17" t="n"/>
      <c r="U233" s="125" t="n"/>
    </row>
    <row r="234" hidden="1" outlineLevel="3">
      <c r="A234" s="8" t="n"/>
      <c r="B234" s="14" t="n"/>
      <c r="C234" s="125" t="n"/>
      <c r="D234" s="135" t="n"/>
      <c r="E234" s="134" t="n"/>
      <c r="F234" s="17" t="n"/>
      <c r="G234" s="133">
        <f>DADOS_AM!$HC$26</f>
        <v/>
      </c>
      <c r="H234" s="17" t="n"/>
      <c r="I234" s="125" t="n"/>
      <c r="J234" s="135" t="n"/>
      <c r="K234" s="134" t="n"/>
      <c r="L234" s="17" t="n"/>
      <c r="M234" s="133">
        <f>DADOS_AM!$HC$27</f>
        <v/>
      </c>
      <c r="N234" s="17" t="n"/>
      <c r="O234" s="125" t="n"/>
      <c r="P234" s="135" t="n"/>
      <c r="Q234" s="134" t="n"/>
      <c r="R234" s="17" t="n"/>
      <c r="S234" s="133">
        <f>DADOS_AM!$HC$28</f>
        <v/>
      </c>
      <c r="T234" s="17" t="n"/>
      <c r="U234" s="125" t="n"/>
    </row>
    <row r="235" hidden="1" outlineLevel="3">
      <c r="A235" s="8" t="n"/>
      <c r="B235" s="14" t="n"/>
      <c r="C235" s="125" t="n"/>
      <c r="D235" s="129" t="n"/>
      <c r="E235" s="134" t="n"/>
      <c r="F235" s="17" t="n"/>
      <c r="G235" s="133">
        <f>DADOS_AM!$HD$26</f>
        <v/>
      </c>
      <c r="H235" s="17" t="n"/>
      <c r="I235" s="125" t="n"/>
      <c r="J235" s="129" t="n"/>
      <c r="K235" s="134" t="n"/>
      <c r="L235" s="17" t="n"/>
      <c r="M235" s="133">
        <f>DADOS_AM!$HD$27</f>
        <v/>
      </c>
      <c r="N235" s="17" t="n"/>
      <c r="O235" s="125" t="n"/>
      <c r="P235" s="129" t="n"/>
      <c r="Q235" s="134" t="n"/>
      <c r="R235" s="17" t="n"/>
      <c r="S235" s="133">
        <f>DADOS_AM!$HD$28</f>
        <v/>
      </c>
      <c r="T235" s="17" t="n"/>
      <c r="U235" s="125" t="n"/>
    </row>
    <row r="236" hidden="1" outlineLevel="3">
      <c r="A236" s="8" t="n"/>
      <c r="B236" s="14" t="n"/>
      <c r="C236" s="125" t="n"/>
      <c r="D236" s="55" t="inlineStr">
        <is>
          <t>RESTRIÇÕES</t>
        </is>
      </c>
      <c r="E236" s="134" t="n"/>
      <c r="F236" s="17" t="n"/>
      <c r="G236" s="133">
        <f>DADOS_AM!$HE$26</f>
        <v/>
      </c>
      <c r="H236" s="17" t="n"/>
      <c r="I236" s="125" t="n"/>
      <c r="J236" s="55" t="inlineStr">
        <is>
          <t>RESTRIÇÕES</t>
        </is>
      </c>
      <c r="K236" s="134" t="n"/>
      <c r="L236" s="17" t="n"/>
      <c r="M236" s="133">
        <f>DADOS_AM!$HE$27</f>
        <v/>
      </c>
      <c r="N236" s="17" t="n"/>
      <c r="O236" s="125" t="n"/>
      <c r="P236" s="55" t="inlineStr">
        <is>
          <t>RESTRIÇÕES</t>
        </is>
      </c>
      <c r="Q236" s="134" t="n"/>
      <c r="R236" s="17" t="n"/>
      <c r="S236" s="133">
        <f>DADOS_AM!$HE$28</f>
        <v/>
      </c>
      <c r="T236" s="17" t="n"/>
      <c r="U236" s="125" t="n"/>
    </row>
    <row r="237" hidden="1" outlineLevel="3">
      <c r="A237" s="8" t="n"/>
      <c r="B237" s="14" t="n"/>
      <c r="C237" s="125" t="n"/>
      <c r="D237" s="129" t="n"/>
      <c r="E237" s="134" t="n"/>
      <c r="F237" s="17" t="n"/>
      <c r="G237" s="133">
        <f>DADOS_AM!$HF$26</f>
        <v/>
      </c>
      <c r="H237" s="17" t="n"/>
      <c r="I237" s="125" t="n"/>
      <c r="J237" s="129" t="n"/>
      <c r="K237" s="134" t="n"/>
      <c r="L237" s="17" t="n"/>
      <c r="M237" s="133">
        <f>DADOS_AM!$HF$27</f>
        <v/>
      </c>
      <c r="N237" s="17" t="n"/>
      <c r="O237" s="125" t="n"/>
      <c r="P237" s="129" t="n"/>
      <c r="Q237" s="134" t="n"/>
      <c r="R237" s="17" t="n"/>
      <c r="S237" s="133">
        <f>DADOS_AM!$HF$28</f>
        <v/>
      </c>
      <c r="T237" s="17" t="n"/>
      <c r="U237" s="125" t="n"/>
    </row>
    <row r="238" hidden="1" outlineLevel="3">
      <c r="A238" s="8" t="n"/>
      <c r="B238" s="14" t="n"/>
      <c r="C238" s="125" t="n"/>
      <c r="D238" s="55" t="inlineStr">
        <is>
          <t>CONTA</t>
        </is>
      </c>
      <c r="E238" s="136">
        <f>DADOS_AM!$GY$26</f>
        <v/>
      </c>
      <c r="F238" s="16" t="n"/>
      <c r="G238" s="16" t="n"/>
      <c r="H238" s="17" t="n"/>
      <c r="I238" s="125" t="n"/>
      <c r="J238" s="55" t="inlineStr">
        <is>
          <t>CONTA</t>
        </is>
      </c>
      <c r="K238" s="136">
        <f>DADOS_AM!$GY$27</f>
        <v/>
      </c>
      <c r="L238" s="16" t="n"/>
      <c r="M238" s="16" t="n"/>
      <c r="N238" s="17" t="n"/>
      <c r="O238" s="125" t="n"/>
      <c r="P238" s="55" t="inlineStr">
        <is>
          <t>CONTA</t>
        </is>
      </c>
      <c r="Q238" s="136">
        <f>DADOS_AM!$GY$28</f>
        <v/>
      </c>
      <c r="R238" s="16" t="n"/>
      <c r="S238" s="16" t="n"/>
      <c r="T238" s="17" t="n"/>
      <c r="U238" s="125" t="n"/>
    </row>
    <row r="239" hidden="1" outlineLevel="3">
      <c r="A239" s="8" t="n"/>
      <c r="B239" s="14" t="n"/>
      <c r="C239" s="125" t="n"/>
      <c r="D239" s="55" t="inlineStr">
        <is>
          <t>AMPLIAR</t>
        </is>
      </c>
      <c r="E239" s="136">
        <f>DADOS_AM!$GZ$26</f>
        <v/>
      </c>
      <c r="F239" s="19" t="n"/>
      <c r="G239" s="19" t="n"/>
      <c r="H239" s="20" t="n"/>
      <c r="I239" s="125" t="n"/>
      <c r="J239" s="55" t="inlineStr">
        <is>
          <t>AMPLIAR</t>
        </is>
      </c>
      <c r="K239" s="136">
        <f>DADOS_AM!$GZ$27</f>
        <v/>
      </c>
      <c r="L239" s="19" t="n"/>
      <c r="M239" s="19" t="n"/>
      <c r="N239" s="20" t="n"/>
      <c r="O239" s="125" t="n"/>
      <c r="P239" s="55" t="inlineStr">
        <is>
          <t>AMPLIAR</t>
        </is>
      </c>
      <c r="Q239" s="136">
        <f>DADOS_AM!$GZ$28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DADOS_AM!$GO$26</f>
        <v/>
      </c>
      <c r="F241" s="19" t="n"/>
      <c r="G241" s="19" t="n"/>
      <c r="H241" s="20" t="n"/>
      <c r="I241" s="125" t="n"/>
      <c r="J241" s="55" t="inlineStr">
        <is>
          <t>AVISOS</t>
        </is>
      </c>
      <c r="K241" s="136">
        <f>DADOS_AM!$GO$27</f>
        <v/>
      </c>
      <c r="L241" s="19" t="n"/>
      <c r="M241" s="19" t="n"/>
      <c r="N241" s="20" t="n"/>
      <c r="O241" s="125" t="n"/>
      <c r="P241" s="55" t="inlineStr">
        <is>
          <t>AVISOS</t>
        </is>
      </c>
      <c r="Q241" s="136">
        <f>DADOS_AM!$GO$28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DADOS_AM!$GN$29</f>
        <v/>
      </c>
      <c r="H244" s="17" t="n"/>
      <c r="I244" s="125" t="n"/>
      <c r="J244" s="131" t="n">
        <v>1</v>
      </c>
      <c r="K244" s="120" t="n"/>
      <c r="L244" s="17" t="n"/>
      <c r="M244" s="132">
        <f>DADOS_AM!$GN$30</f>
        <v/>
      </c>
      <c r="N244" s="17" t="n"/>
      <c r="O244" s="125" t="n"/>
      <c r="P244" s="131" t="n">
        <v>1</v>
      </c>
      <c r="Q244" s="120" t="n"/>
      <c r="R244" s="17" t="n"/>
      <c r="S244" s="132">
        <f>DADOS_AM!$GN$31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90" t="inlineStr">
        <is>
          <t>Projétil</t>
        </is>
      </c>
      <c r="E251" s="68">
        <f>DADOS_AM!$GS$29</f>
        <v/>
      </c>
      <c r="F251" s="68">
        <f>DADOS_AM!$GP$29</f>
        <v/>
      </c>
      <c r="G251" s="90">
        <f>DADOS_AM!$GR$29</f>
        <v/>
      </c>
      <c r="H251" s="17" t="n"/>
      <c r="I251" s="125" t="n"/>
      <c r="J251" s="90" t="inlineStr">
        <is>
          <t>Projétil</t>
        </is>
      </c>
      <c r="K251" s="68">
        <f>DADOS_AM!$GS$30</f>
        <v/>
      </c>
      <c r="L251" s="68">
        <f>DADOS_AM!$GP$30</f>
        <v/>
      </c>
      <c r="M251" s="90">
        <f>DADOS_AM!$GR$30</f>
        <v/>
      </c>
      <c r="N251" s="17" t="n"/>
      <c r="O251" s="125" t="n"/>
      <c r="P251" s="90" t="inlineStr">
        <is>
          <t>Projétil</t>
        </is>
      </c>
      <c r="Q251" s="68">
        <f>DADOS_AM!$GS$31</f>
        <v/>
      </c>
      <c r="R251" s="68">
        <f>DADOS_AM!$GP$31</f>
        <v/>
      </c>
      <c r="S251" s="90">
        <f>DADOS_AM!$GR$31</f>
        <v/>
      </c>
      <c r="T251" s="17" t="n"/>
      <c r="U251" s="125" t="n"/>
    </row>
    <row r="252" hidden="1" outlineLevel="2">
      <c r="A252" s="8" t="n"/>
      <c r="B252" s="14" t="n"/>
      <c r="C252" s="125" t="n"/>
      <c r="D252" s="90">
        <f>DADOS_AM!$GQ$29</f>
        <v/>
      </c>
      <c r="E252" s="133">
        <f>DADOS_AM!$GX$29</f>
        <v/>
      </c>
      <c r="F252" s="16" t="n"/>
      <c r="G252" s="16" t="n"/>
      <c r="H252" s="17" t="n"/>
      <c r="I252" s="125" t="n"/>
      <c r="J252" s="90">
        <f>DADOS_AM!$GQ$30</f>
        <v/>
      </c>
      <c r="K252" s="133">
        <f>DADOS_AM!$GX$30</f>
        <v/>
      </c>
      <c r="L252" s="16" t="n"/>
      <c r="M252" s="16" t="n"/>
      <c r="N252" s="17" t="n"/>
      <c r="O252" s="125" t="n"/>
      <c r="P252" s="90">
        <f>DADOS_AM!$GQ$31</f>
        <v/>
      </c>
      <c r="Q252" s="133">
        <f>DADOS_AM!$GX$31</f>
        <v/>
      </c>
      <c r="R252" s="16" t="n"/>
      <c r="S252" s="16" t="n"/>
      <c r="T252" s="17" t="n"/>
      <c r="U252" s="125" t="n"/>
    </row>
    <row r="253" hidden="1" outlineLevel="3">
      <c r="A253" s="8" t="n"/>
      <c r="B253" s="14" t="n"/>
      <c r="C253" s="125" t="n"/>
      <c r="D253" s="55" t="inlineStr">
        <is>
          <t>MELHORIAS</t>
        </is>
      </c>
      <c r="E253" s="134" t="n"/>
      <c r="F253" s="17" t="n"/>
      <c r="G253" s="133">
        <f>DADOS_AM!$HA$29</f>
        <v/>
      </c>
      <c r="H253" s="17" t="n"/>
      <c r="I253" s="125" t="n"/>
      <c r="J253" s="55" t="inlineStr">
        <is>
          <t>MELHORIAS</t>
        </is>
      </c>
      <c r="K253" s="134" t="n"/>
      <c r="L253" s="17" t="n"/>
      <c r="M253" s="133">
        <f>DADOS_AM!$HA$30</f>
        <v/>
      </c>
      <c r="N253" s="17" t="n"/>
      <c r="O253" s="125" t="n"/>
      <c r="P253" s="55" t="inlineStr">
        <is>
          <t>MELHORIAS</t>
        </is>
      </c>
      <c r="Q253" s="134" t="n"/>
      <c r="R253" s="17" t="n"/>
      <c r="S253" s="133">
        <f>DADOS_AM!$HA$31</f>
        <v/>
      </c>
      <c r="T253" s="17" t="n"/>
      <c r="U253" s="125" t="n"/>
    </row>
    <row r="254" hidden="1" outlineLevel="3">
      <c r="A254" s="8" t="n"/>
      <c r="B254" s="14" t="n"/>
      <c r="C254" s="125" t="n"/>
      <c r="D254" s="135" t="n"/>
      <c r="E254" s="134" t="n"/>
      <c r="F254" s="17" t="n"/>
      <c r="G254" s="133">
        <f>DADOS_AM!$HB$29</f>
        <v/>
      </c>
      <c r="H254" s="17" t="n"/>
      <c r="I254" s="125" t="n"/>
      <c r="J254" s="135" t="n"/>
      <c r="K254" s="134" t="n"/>
      <c r="L254" s="17" t="n"/>
      <c r="M254" s="133">
        <f>DADOS_AM!$HB$30</f>
        <v/>
      </c>
      <c r="N254" s="17" t="n"/>
      <c r="O254" s="125" t="n"/>
      <c r="P254" s="135" t="n"/>
      <c r="Q254" s="134" t="n"/>
      <c r="R254" s="17" t="n"/>
      <c r="S254" s="133">
        <f>DADOS_AM!$HB$31</f>
        <v/>
      </c>
      <c r="T254" s="17" t="n"/>
      <c r="U254" s="125" t="n"/>
    </row>
    <row r="255" hidden="1" outlineLevel="3">
      <c r="A255" s="8" t="n"/>
      <c r="B255" s="14" t="n"/>
      <c r="C255" s="125" t="n"/>
      <c r="D255" s="135" t="n"/>
      <c r="E255" s="134" t="n"/>
      <c r="F255" s="17" t="n"/>
      <c r="G255" s="133">
        <f>DADOS_AM!$HC$29</f>
        <v/>
      </c>
      <c r="H255" s="17" t="n"/>
      <c r="I255" s="125" t="n"/>
      <c r="J255" s="135" t="n"/>
      <c r="K255" s="134" t="n"/>
      <c r="L255" s="17" t="n"/>
      <c r="M255" s="133">
        <f>DADOS_AM!$HC$30</f>
        <v/>
      </c>
      <c r="N255" s="17" t="n"/>
      <c r="O255" s="125" t="n"/>
      <c r="P255" s="135" t="n"/>
      <c r="Q255" s="134" t="n"/>
      <c r="R255" s="17" t="n"/>
      <c r="S255" s="133">
        <f>DADOS_AM!$HC$31</f>
        <v/>
      </c>
      <c r="T255" s="17" t="n"/>
      <c r="U255" s="125" t="n"/>
    </row>
    <row r="256" hidden="1" outlineLevel="3">
      <c r="A256" s="8" t="n"/>
      <c r="B256" s="14" t="n"/>
      <c r="C256" s="125" t="n"/>
      <c r="D256" s="129" t="n"/>
      <c r="E256" s="134" t="n"/>
      <c r="F256" s="17" t="n"/>
      <c r="G256" s="133">
        <f>DADOS_AM!$HD$29</f>
        <v/>
      </c>
      <c r="H256" s="17" t="n"/>
      <c r="I256" s="125" t="n"/>
      <c r="J256" s="129" t="n"/>
      <c r="K256" s="134" t="n"/>
      <c r="L256" s="17" t="n"/>
      <c r="M256" s="133">
        <f>DADOS_AM!$HD$30</f>
        <v/>
      </c>
      <c r="N256" s="17" t="n"/>
      <c r="O256" s="125" t="n"/>
      <c r="P256" s="129" t="n"/>
      <c r="Q256" s="134" t="n"/>
      <c r="R256" s="17" t="n"/>
      <c r="S256" s="133">
        <f>DADOS_AM!$HD$31</f>
        <v/>
      </c>
      <c r="T256" s="17" t="n"/>
      <c r="U256" s="125" t="n"/>
    </row>
    <row r="257" hidden="1" outlineLevel="3">
      <c r="A257" s="8" t="n"/>
      <c r="B257" s="14" t="n"/>
      <c r="C257" s="125" t="n"/>
      <c r="D257" s="55" t="inlineStr">
        <is>
          <t>RESTRIÇÕES</t>
        </is>
      </c>
      <c r="E257" s="134" t="n"/>
      <c r="F257" s="17" t="n"/>
      <c r="G257" s="133">
        <f>DADOS_AM!$HE$29</f>
        <v/>
      </c>
      <c r="H257" s="17" t="n"/>
      <c r="I257" s="125" t="n"/>
      <c r="J257" s="55" t="inlineStr">
        <is>
          <t>RESTRIÇÕES</t>
        </is>
      </c>
      <c r="K257" s="134" t="n"/>
      <c r="L257" s="17" t="n"/>
      <c r="M257" s="133">
        <f>DADOS_AM!$HE$30</f>
        <v/>
      </c>
      <c r="N257" s="17" t="n"/>
      <c r="O257" s="125" t="n"/>
      <c r="P257" s="55" t="inlineStr">
        <is>
          <t>RESTRIÇÕES</t>
        </is>
      </c>
      <c r="Q257" s="134" t="n"/>
      <c r="R257" s="17" t="n"/>
      <c r="S257" s="133">
        <f>DADOS_AM!$HE$31</f>
        <v/>
      </c>
      <c r="T257" s="17" t="n"/>
      <c r="U257" s="125" t="n"/>
    </row>
    <row r="258" hidden="1" outlineLevel="3">
      <c r="A258" s="8" t="n"/>
      <c r="B258" s="14" t="n"/>
      <c r="C258" s="125" t="n"/>
      <c r="D258" s="129" t="n"/>
      <c r="E258" s="134" t="n"/>
      <c r="F258" s="17" t="n"/>
      <c r="G258" s="133">
        <f>DADOS_AM!$HF$29</f>
        <v/>
      </c>
      <c r="H258" s="17" t="n"/>
      <c r="I258" s="125" t="n"/>
      <c r="J258" s="129" t="n"/>
      <c r="K258" s="134" t="n"/>
      <c r="L258" s="17" t="n"/>
      <c r="M258" s="133">
        <f>DADOS_AM!$HF$30</f>
        <v/>
      </c>
      <c r="N258" s="17" t="n"/>
      <c r="O258" s="125" t="n"/>
      <c r="P258" s="129" t="n"/>
      <c r="Q258" s="134" t="n"/>
      <c r="R258" s="17" t="n"/>
      <c r="S258" s="133">
        <f>DADOS_AM!$HF$31</f>
        <v/>
      </c>
      <c r="T258" s="17" t="n"/>
      <c r="U258" s="125" t="n"/>
    </row>
    <row r="259" hidden="1" outlineLevel="3">
      <c r="A259" s="8" t="n"/>
      <c r="B259" s="14" t="n"/>
      <c r="C259" s="125" t="n"/>
      <c r="D259" s="55" t="inlineStr">
        <is>
          <t>CONTA</t>
        </is>
      </c>
      <c r="E259" s="136">
        <f>DADOS_AM!$GY$29</f>
        <v/>
      </c>
      <c r="F259" s="16" t="n"/>
      <c r="G259" s="16" t="n"/>
      <c r="H259" s="17" t="n"/>
      <c r="I259" s="125" t="n"/>
      <c r="J259" s="55" t="inlineStr">
        <is>
          <t>CONTA</t>
        </is>
      </c>
      <c r="K259" s="136">
        <f>DADOS_AM!$GY$30</f>
        <v/>
      </c>
      <c r="L259" s="16" t="n"/>
      <c r="M259" s="16" t="n"/>
      <c r="N259" s="17" t="n"/>
      <c r="O259" s="125" t="n"/>
      <c r="P259" s="55" t="inlineStr">
        <is>
          <t>CONTA</t>
        </is>
      </c>
      <c r="Q259" s="136">
        <f>DADOS_AM!$GY$31</f>
        <v/>
      </c>
      <c r="R259" s="16" t="n"/>
      <c r="S259" s="16" t="n"/>
      <c r="T259" s="17" t="n"/>
      <c r="U259" s="125" t="n"/>
    </row>
    <row r="260" hidden="1" outlineLevel="3">
      <c r="A260" s="8" t="n"/>
      <c r="B260" s="14" t="n"/>
      <c r="C260" s="125" t="n"/>
      <c r="D260" s="55" t="inlineStr">
        <is>
          <t>AMPLIAR</t>
        </is>
      </c>
      <c r="E260" s="136">
        <f>DADOS_AM!$GZ$29</f>
        <v/>
      </c>
      <c r="F260" s="19" t="n"/>
      <c r="G260" s="19" t="n"/>
      <c r="H260" s="20" t="n"/>
      <c r="I260" s="125" t="n"/>
      <c r="J260" s="55" t="inlineStr">
        <is>
          <t>AMPLIAR</t>
        </is>
      </c>
      <c r="K260" s="136">
        <f>DADOS_AM!$GZ$30</f>
        <v/>
      </c>
      <c r="L260" s="19" t="n"/>
      <c r="M260" s="19" t="n"/>
      <c r="N260" s="20" t="n"/>
      <c r="O260" s="125" t="n"/>
      <c r="P260" s="55" t="inlineStr">
        <is>
          <t>AMPLIAR</t>
        </is>
      </c>
      <c r="Q260" s="136">
        <f>DADOS_AM!$GZ$31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DADOS_AM!$GO$29</f>
        <v/>
      </c>
      <c r="F262" s="19" t="n"/>
      <c r="G262" s="19" t="n"/>
      <c r="H262" s="20" t="n"/>
      <c r="I262" s="125" t="n"/>
      <c r="J262" s="55" t="inlineStr">
        <is>
          <t>AVISOS</t>
        </is>
      </c>
      <c r="K262" s="136">
        <f>DADOS_AM!$GO$30</f>
        <v/>
      </c>
      <c r="L262" s="19" t="n"/>
      <c r="M262" s="19" t="n"/>
      <c r="N262" s="20" t="n"/>
      <c r="O262" s="125" t="n"/>
      <c r="P262" s="55" t="inlineStr">
        <is>
          <t>AVISOS</t>
        </is>
      </c>
      <c r="Q262" s="136">
        <f>DADOS_AM!$GO$31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DADOS_AM!$GN$32</f>
        <v/>
      </c>
      <c r="H265" s="17" t="n"/>
      <c r="I265" s="125" t="n"/>
      <c r="J265" s="131" t="n">
        <v>1</v>
      </c>
      <c r="K265" s="120" t="n"/>
      <c r="L265" s="17" t="n"/>
      <c r="M265" s="132">
        <f>DADOS_AM!$GN$33</f>
        <v/>
      </c>
      <c r="N265" s="17" t="n"/>
      <c r="O265" s="125" t="n"/>
      <c r="P265" s="131" t="n">
        <v>1</v>
      </c>
      <c r="Q265" s="120" t="n"/>
      <c r="R265" s="17" t="n"/>
      <c r="S265" s="132">
        <f>DADOS_AM!$GN$34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90" t="inlineStr">
        <is>
          <t>Projétil</t>
        </is>
      </c>
      <c r="E272" s="68">
        <f>DADOS_AM!$GS$32</f>
        <v/>
      </c>
      <c r="F272" s="68">
        <f>DADOS_AM!$GP$32</f>
        <v/>
      </c>
      <c r="G272" s="90">
        <f>DADOS_AM!$GR$32</f>
        <v/>
      </c>
      <c r="H272" s="17" t="n"/>
      <c r="I272" s="125" t="n"/>
      <c r="J272" s="90" t="inlineStr">
        <is>
          <t>Projétil</t>
        </is>
      </c>
      <c r="K272" s="68">
        <f>DADOS_AM!$GS$33</f>
        <v/>
      </c>
      <c r="L272" s="68">
        <f>DADOS_AM!$GP$33</f>
        <v/>
      </c>
      <c r="M272" s="90">
        <f>DADOS_AM!$GR$33</f>
        <v/>
      </c>
      <c r="N272" s="17" t="n"/>
      <c r="O272" s="125" t="n"/>
      <c r="P272" s="90" t="inlineStr">
        <is>
          <t>Projétil</t>
        </is>
      </c>
      <c r="Q272" s="68">
        <f>DADOS_AM!$GS$34</f>
        <v/>
      </c>
      <c r="R272" s="68">
        <f>DADOS_AM!$GP$34</f>
        <v/>
      </c>
      <c r="S272" s="90">
        <f>DADOS_AM!$GR$34</f>
        <v/>
      </c>
      <c r="T272" s="17" t="n"/>
      <c r="U272" s="125" t="n"/>
    </row>
    <row r="273" hidden="1" outlineLevel="2">
      <c r="A273" s="8" t="n"/>
      <c r="B273" s="14" t="n"/>
      <c r="C273" s="125" t="n"/>
      <c r="D273" s="90">
        <f>DADOS_AM!$GQ$32</f>
        <v/>
      </c>
      <c r="E273" s="133">
        <f>DADOS_AM!$GX$32</f>
        <v/>
      </c>
      <c r="F273" s="16" t="n"/>
      <c r="G273" s="16" t="n"/>
      <c r="H273" s="17" t="n"/>
      <c r="I273" s="125" t="n"/>
      <c r="J273" s="90">
        <f>DADOS_AM!$GQ$33</f>
        <v/>
      </c>
      <c r="K273" s="133">
        <f>DADOS_AM!$GX$33</f>
        <v/>
      </c>
      <c r="L273" s="16" t="n"/>
      <c r="M273" s="16" t="n"/>
      <c r="N273" s="17" t="n"/>
      <c r="O273" s="125" t="n"/>
      <c r="P273" s="90">
        <f>DADOS_AM!$GQ$34</f>
        <v/>
      </c>
      <c r="Q273" s="133">
        <f>DADOS_AM!$GX$34</f>
        <v/>
      </c>
      <c r="R273" s="16" t="n"/>
      <c r="S273" s="16" t="n"/>
      <c r="T273" s="17" t="n"/>
      <c r="U273" s="125" t="n"/>
    </row>
    <row r="274" hidden="1" outlineLevel="3">
      <c r="A274" s="8" t="n"/>
      <c r="B274" s="14" t="n"/>
      <c r="C274" s="125" t="n"/>
      <c r="D274" s="55" t="inlineStr">
        <is>
          <t>MELHORIAS</t>
        </is>
      </c>
      <c r="E274" s="134" t="n"/>
      <c r="F274" s="17" t="n"/>
      <c r="G274" s="133">
        <f>DADOS_AM!$HA$32</f>
        <v/>
      </c>
      <c r="H274" s="17" t="n"/>
      <c r="I274" s="125" t="n"/>
      <c r="J274" s="55" t="inlineStr">
        <is>
          <t>MELHORIAS</t>
        </is>
      </c>
      <c r="K274" s="134" t="n"/>
      <c r="L274" s="17" t="n"/>
      <c r="M274" s="133">
        <f>DADOS_AM!$HA$33</f>
        <v/>
      </c>
      <c r="N274" s="17" t="n"/>
      <c r="O274" s="125" t="n"/>
      <c r="P274" s="55" t="inlineStr">
        <is>
          <t>MELHORIAS</t>
        </is>
      </c>
      <c r="Q274" s="134" t="n"/>
      <c r="R274" s="17" t="n"/>
      <c r="S274" s="133">
        <f>DADOS_AM!$HA$34</f>
        <v/>
      </c>
      <c r="T274" s="17" t="n"/>
      <c r="U274" s="125" t="n"/>
    </row>
    <row r="275" hidden="1" outlineLevel="3">
      <c r="A275" s="8" t="n"/>
      <c r="B275" s="14" t="n"/>
      <c r="C275" s="125" t="n"/>
      <c r="D275" s="135" t="n"/>
      <c r="E275" s="134" t="n"/>
      <c r="F275" s="17" t="n"/>
      <c r="G275" s="133">
        <f>DADOS_AM!$HB$32</f>
        <v/>
      </c>
      <c r="H275" s="17" t="n"/>
      <c r="I275" s="125" t="n"/>
      <c r="J275" s="135" t="n"/>
      <c r="K275" s="134" t="n"/>
      <c r="L275" s="17" t="n"/>
      <c r="M275" s="133">
        <f>DADOS_AM!$HB$33</f>
        <v/>
      </c>
      <c r="N275" s="17" t="n"/>
      <c r="O275" s="125" t="n"/>
      <c r="P275" s="135" t="n"/>
      <c r="Q275" s="134" t="n"/>
      <c r="R275" s="17" t="n"/>
      <c r="S275" s="133">
        <f>DADOS_AM!$HB$34</f>
        <v/>
      </c>
      <c r="T275" s="17" t="n"/>
      <c r="U275" s="125" t="n"/>
    </row>
    <row r="276" hidden="1" outlineLevel="3">
      <c r="A276" s="8" t="n"/>
      <c r="B276" s="14" t="n"/>
      <c r="C276" s="125" t="n"/>
      <c r="D276" s="135" t="n"/>
      <c r="E276" s="134" t="n"/>
      <c r="F276" s="17" t="n"/>
      <c r="G276" s="133">
        <f>DADOS_AM!$HC$32</f>
        <v/>
      </c>
      <c r="H276" s="17" t="n"/>
      <c r="I276" s="125" t="n"/>
      <c r="J276" s="135" t="n"/>
      <c r="K276" s="134" t="n"/>
      <c r="L276" s="17" t="n"/>
      <c r="M276" s="133">
        <f>DADOS_AM!$HC$33</f>
        <v/>
      </c>
      <c r="N276" s="17" t="n"/>
      <c r="O276" s="125" t="n"/>
      <c r="P276" s="135" t="n"/>
      <c r="Q276" s="134" t="n"/>
      <c r="R276" s="17" t="n"/>
      <c r="S276" s="133">
        <f>DADOS_AM!$HC$34</f>
        <v/>
      </c>
      <c r="T276" s="17" t="n"/>
      <c r="U276" s="125" t="n"/>
    </row>
    <row r="277" hidden="1" outlineLevel="3">
      <c r="A277" s="8" t="n"/>
      <c r="B277" s="14" t="n"/>
      <c r="C277" s="125" t="n"/>
      <c r="D277" s="129" t="n"/>
      <c r="E277" s="134" t="n"/>
      <c r="F277" s="17" t="n"/>
      <c r="G277" s="133">
        <f>DADOS_AM!$HD$32</f>
        <v/>
      </c>
      <c r="H277" s="17" t="n"/>
      <c r="I277" s="125" t="n"/>
      <c r="J277" s="129" t="n"/>
      <c r="K277" s="134" t="n"/>
      <c r="L277" s="17" t="n"/>
      <c r="M277" s="133">
        <f>DADOS_AM!$HD$33</f>
        <v/>
      </c>
      <c r="N277" s="17" t="n"/>
      <c r="O277" s="125" t="n"/>
      <c r="P277" s="129" t="n"/>
      <c r="Q277" s="134" t="n"/>
      <c r="R277" s="17" t="n"/>
      <c r="S277" s="133">
        <f>DADOS_AM!$HD$34</f>
        <v/>
      </c>
      <c r="T277" s="17" t="n"/>
      <c r="U277" s="125" t="n"/>
    </row>
    <row r="278" hidden="1" outlineLevel="3">
      <c r="A278" s="8" t="n"/>
      <c r="B278" s="14" t="n"/>
      <c r="C278" s="125" t="n"/>
      <c r="D278" s="55" t="inlineStr">
        <is>
          <t>RESTRIÇÕES</t>
        </is>
      </c>
      <c r="E278" s="134" t="n"/>
      <c r="F278" s="17" t="n"/>
      <c r="G278" s="133">
        <f>DADOS_AM!$HE$32</f>
        <v/>
      </c>
      <c r="H278" s="17" t="n"/>
      <c r="I278" s="125" t="n"/>
      <c r="J278" s="55" t="inlineStr">
        <is>
          <t>RESTRIÇÕES</t>
        </is>
      </c>
      <c r="K278" s="134" t="n"/>
      <c r="L278" s="17" t="n"/>
      <c r="M278" s="133">
        <f>DADOS_AM!$HE$33</f>
        <v/>
      </c>
      <c r="N278" s="17" t="n"/>
      <c r="O278" s="125" t="n"/>
      <c r="P278" s="55" t="inlineStr">
        <is>
          <t>RESTRIÇÕES</t>
        </is>
      </c>
      <c r="Q278" s="134" t="n"/>
      <c r="R278" s="17" t="n"/>
      <c r="S278" s="133">
        <f>DADOS_AM!$HE$34</f>
        <v/>
      </c>
      <c r="T278" s="17" t="n"/>
      <c r="U278" s="125" t="n"/>
    </row>
    <row r="279" hidden="1" outlineLevel="3">
      <c r="A279" s="8" t="n"/>
      <c r="B279" s="14" t="n"/>
      <c r="C279" s="125" t="n"/>
      <c r="D279" s="129" t="n"/>
      <c r="E279" s="134" t="n"/>
      <c r="F279" s="17" t="n"/>
      <c r="G279" s="133">
        <f>DADOS_AM!$HF$32</f>
        <v/>
      </c>
      <c r="H279" s="17" t="n"/>
      <c r="I279" s="125" t="n"/>
      <c r="J279" s="129" t="n"/>
      <c r="K279" s="134" t="n"/>
      <c r="L279" s="17" t="n"/>
      <c r="M279" s="133">
        <f>DADOS_AM!$HF$33</f>
        <v/>
      </c>
      <c r="N279" s="17" t="n"/>
      <c r="O279" s="125" t="n"/>
      <c r="P279" s="129" t="n"/>
      <c r="Q279" s="134" t="n"/>
      <c r="R279" s="17" t="n"/>
      <c r="S279" s="133">
        <f>DADOS_AM!$HF$34</f>
        <v/>
      </c>
      <c r="T279" s="17" t="n"/>
      <c r="U279" s="125" t="n"/>
    </row>
    <row r="280" hidden="1" outlineLevel="3">
      <c r="A280" s="8" t="n"/>
      <c r="B280" s="14" t="n"/>
      <c r="C280" s="125" t="n"/>
      <c r="D280" s="55" t="inlineStr">
        <is>
          <t>CONTA</t>
        </is>
      </c>
      <c r="E280" s="136">
        <f>DADOS_AM!$GY$32</f>
        <v/>
      </c>
      <c r="F280" s="16" t="n"/>
      <c r="G280" s="16" t="n"/>
      <c r="H280" s="17" t="n"/>
      <c r="I280" s="125" t="n"/>
      <c r="J280" s="55" t="inlineStr">
        <is>
          <t>CONTA</t>
        </is>
      </c>
      <c r="K280" s="136">
        <f>DADOS_AM!$GY$33</f>
        <v/>
      </c>
      <c r="L280" s="16" t="n"/>
      <c r="M280" s="16" t="n"/>
      <c r="N280" s="17" t="n"/>
      <c r="O280" s="125" t="n"/>
      <c r="P280" s="55" t="inlineStr">
        <is>
          <t>CONTA</t>
        </is>
      </c>
      <c r="Q280" s="136">
        <f>DADOS_AM!$GY$34</f>
        <v/>
      </c>
      <c r="R280" s="16" t="n"/>
      <c r="S280" s="16" t="n"/>
      <c r="T280" s="17" t="n"/>
      <c r="U280" s="125" t="n"/>
    </row>
    <row r="281" hidden="1" outlineLevel="3">
      <c r="A281" s="8" t="n"/>
      <c r="B281" s="14" t="n"/>
      <c r="C281" s="125" t="n"/>
      <c r="D281" s="55" t="inlineStr">
        <is>
          <t>AMPLIAR</t>
        </is>
      </c>
      <c r="E281" s="136">
        <f>DADOS_AM!$GZ$32</f>
        <v/>
      </c>
      <c r="F281" s="19" t="n"/>
      <c r="G281" s="19" t="n"/>
      <c r="H281" s="20" t="n"/>
      <c r="I281" s="125" t="n"/>
      <c r="J281" s="55" t="inlineStr">
        <is>
          <t>AMPLIAR</t>
        </is>
      </c>
      <c r="K281" s="136">
        <f>DADOS_AM!$GZ$33</f>
        <v/>
      </c>
      <c r="L281" s="19" t="n"/>
      <c r="M281" s="19" t="n"/>
      <c r="N281" s="20" t="n"/>
      <c r="O281" s="125" t="n"/>
      <c r="P281" s="55" t="inlineStr">
        <is>
          <t>AMPLIAR</t>
        </is>
      </c>
      <c r="Q281" s="136">
        <f>DADOS_AM!$GZ$34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DADOS_AM!$GO$32</f>
        <v/>
      </c>
      <c r="F283" s="19" t="n"/>
      <c r="G283" s="19" t="n"/>
      <c r="H283" s="20" t="n"/>
      <c r="I283" s="125" t="n"/>
      <c r="J283" s="55" t="inlineStr">
        <is>
          <t>AVISOS</t>
        </is>
      </c>
      <c r="K283" s="136">
        <f>DADOS_AM!$GO$33</f>
        <v/>
      </c>
      <c r="L283" s="19" t="n"/>
      <c r="M283" s="19" t="n"/>
      <c r="N283" s="20" t="n"/>
      <c r="O283" s="125" t="n"/>
      <c r="P283" s="55" t="inlineStr">
        <is>
          <t>AVISOS</t>
        </is>
      </c>
      <c r="Q283" s="136">
        <f>DADOS_AM!$GO$34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DADOS_AM!$GN$35</f>
        <v/>
      </c>
      <c r="H286" s="17" t="n"/>
      <c r="I286" s="125" t="n"/>
      <c r="J286" s="131" t="n">
        <v>1</v>
      </c>
      <c r="K286" s="120" t="n"/>
      <c r="L286" s="17" t="n"/>
      <c r="M286" s="132">
        <f>DADOS_AM!$GN$36</f>
        <v/>
      </c>
      <c r="N286" s="17" t="n"/>
      <c r="O286" s="125" t="n"/>
      <c r="P286" s="131" t="n">
        <v>1</v>
      </c>
      <c r="Q286" s="120" t="n"/>
      <c r="R286" s="17" t="n"/>
      <c r="S286" s="132">
        <f>DADOS_AM!$GN$37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90" t="inlineStr">
        <is>
          <t>Projétil</t>
        </is>
      </c>
      <c r="E293" s="68">
        <f>DADOS_AM!$GS$35</f>
        <v/>
      </c>
      <c r="F293" s="68">
        <f>DADOS_AM!$GP$35</f>
        <v/>
      </c>
      <c r="G293" s="90">
        <f>DADOS_AM!$GR$35</f>
        <v/>
      </c>
      <c r="H293" s="17" t="n"/>
      <c r="I293" s="125" t="n"/>
      <c r="J293" s="90" t="inlineStr">
        <is>
          <t>Projétil</t>
        </is>
      </c>
      <c r="K293" s="68">
        <f>DADOS_AM!$GS$36</f>
        <v/>
      </c>
      <c r="L293" s="68">
        <f>DADOS_AM!$GP$36</f>
        <v/>
      </c>
      <c r="M293" s="90">
        <f>DADOS_AM!$GR$36</f>
        <v/>
      </c>
      <c r="N293" s="17" t="n"/>
      <c r="O293" s="125" t="n"/>
      <c r="P293" s="90" t="inlineStr">
        <is>
          <t>Projétil</t>
        </is>
      </c>
      <c r="Q293" s="68">
        <f>DADOS_AM!$GS$37</f>
        <v/>
      </c>
      <c r="R293" s="68">
        <f>DADOS_AM!$GP$37</f>
        <v/>
      </c>
      <c r="S293" s="90">
        <f>DADOS_AM!$GR$37</f>
        <v/>
      </c>
      <c r="T293" s="17" t="n"/>
      <c r="U293" s="125" t="n"/>
    </row>
    <row r="294" hidden="1" outlineLevel="2">
      <c r="A294" s="8" t="n"/>
      <c r="B294" s="14" t="n"/>
      <c r="C294" s="125" t="n"/>
      <c r="D294" s="90">
        <f>DADOS_AM!$GQ$35</f>
        <v/>
      </c>
      <c r="E294" s="133">
        <f>DADOS_AM!$GX$35</f>
        <v/>
      </c>
      <c r="F294" s="16" t="n"/>
      <c r="G294" s="16" t="n"/>
      <c r="H294" s="17" t="n"/>
      <c r="I294" s="125" t="n"/>
      <c r="J294" s="90">
        <f>DADOS_AM!$GQ$36</f>
        <v/>
      </c>
      <c r="K294" s="133">
        <f>DADOS_AM!$GX$36</f>
        <v/>
      </c>
      <c r="L294" s="16" t="n"/>
      <c r="M294" s="16" t="n"/>
      <c r="N294" s="17" t="n"/>
      <c r="O294" s="125" t="n"/>
      <c r="P294" s="90">
        <f>DADOS_AM!$GQ$37</f>
        <v/>
      </c>
      <c r="Q294" s="133">
        <f>DADOS_AM!$GX$37</f>
        <v/>
      </c>
      <c r="R294" s="16" t="n"/>
      <c r="S294" s="16" t="n"/>
      <c r="T294" s="17" t="n"/>
      <c r="U294" s="125" t="n"/>
    </row>
    <row r="295" hidden="1" outlineLevel="3">
      <c r="A295" s="8" t="n"/>
      <c r="B295" s="14" t="n"/>
      <c r="C295" s="125" t="n"/>
      <c r="D295" s="55" t="inlineStr">
        <is>
          <t>MELHORIAS</t>
        </is>
      </c>
      <c r="E295" s="134" t="n"/>
      <c r="F295" s="17" t="n"/>
      <c r="G295" s="133">
        <f>DADOS_AM!$HA$35</f>
        <v/>
      </c>
      <c r="H295" s="17" t="n"/>
      <c r="I295" s="125" t="n"/>
      <c r="J295" s="55" t="inlineStr">
        <is>
          <t>MELHORIAS</t>
        </is>
      </c>
      <c r="K295" s="134" t="n"/>
      <c r="L295" s="17" t="n"/>
      <c r="M295" s="133">
        <f>DADOS_AM!$HA$36</f>
        <v/>
      </c>
      <c r="N295" s="17" t="n"/>
      <c r="O295" s="125" t="n"/>
      <c r="P295" s="55" t="inlineStr">
        <is>
          <t>MELHORIAS</t>
        </is>
      </c>
      <c r="Q295" s="134" t="n"/>
      <c r="R295" s="17" t="n"/>
      <c r="S295" s="133">
        <f>DADOS_AM!$HA$37</f>
        <v/>
      </c>
      <c r="T295" s="17" t="n"/>
      <c r="U295" s="125" t="n"/>
    </row>
    <row r="296" hidden="1" outlineLevel="3">
      <c r="A296" s="8" t="n"/>
      <c r="B296" s="14" t="n"/>
      <c r="C296" s="125" t="n"/>
      <c r="D296" s="135" t="n"/>
      <c r="E296" s="134" t="n"/>
      <c r="F296" s="17" t="n"/>
      <c r="G296" s="133">
        <f>DADOS_AM!$HB$35</f>
        <v/>
      </c>
      <c r="H296" s="17" t="n"/>
      <c r="I296" s="125" t="n"/>
      <c r="J296" s="135" t="n"/>
      <c r="K296" s="134" t="n"/>
      <c r="L296" s="17" t="n"/>
      <c r="M296" s="133">
        <f>DADOS_AM!$HB$36</f>
        <v/>
      </c>
      <c r="N296" s="17" t="n"/>
      <c r="O296" s="125" t="n"/>
      <c r="P296" s="135" t="n"/>
      <c r="Q296" s="134" t="n"/>
      <c r="R296" s="17" t="n"/>
      <c r="S296" s="133">
        <f>DADOS_AM!$HB$37</f>
        <v/>
      </c>
      <c r="T296" s="17" t="n"/>
      <c r="U296" s="125" t="n"/>
    </row>
    <row r="297" hidden="1" outlineLevel="3">
      <c r="A297" s="8" t="n"/>
      <c r="B297" s="14" t="n"/>
      <c r="C297" s="125" t="n"/>
      <c r="D297" s="135" t="n"/>
      <c r="E297" s="134" t="n"/>
      <c r="F297" s="17" t="n"/>
      <c r="G297" s="133">
        <f>DADOS_AM!$HC$35</f>
        <v/>
      </c>
      <c r="H297" s="17" t="n"/>
      <c r="I297" s="125" t="n"/>
      <c r="J297" s="135" t="n"/>
      <c r="K297" s="134" t="n"/>
      <c r="L297" s="17" t="n"/>
      <c r="M297" s="133">
        <f>DADOS_AM!$HC$36</f>
        <v/>
      </c>
      <c r="N297" s="17" t="n"/>
      <c r="O297" s="125" t="n"/>
      <c r="P297" s="135" t="n"/>
      <c r="Q297" s="134" t="n"/>
      <c r="R297" s="17" t="n"/>
      <c r="S297" s="133">
        <f>DADOS_AM!$HC$37</f>
        <v/>
      </c>
      <c r="T297" s="17" t="n"/>
      <c r="U297" s="125" t="n"/>
    </row>
    <row r="298" hidden="1" outlineLevel="3">
      <c r="A298" s="8" t="n"/>
      <c r="B298" s="14" t="n"/>
      <c r="C298" s="125" t="n"/>
      <c r="D298" s="129" t="n"/>
      <c r="E298" s="134" t="n"/>
      <c r="F298" s="17" t="n"/>
      <c r="G298" s="133">
        <f>DADOS_AM!$HD$35</f>
        <v/>
      </c>
      <c r="H298" s="17" t="n"/>
      <c r="I298" s="125" t="n"/>
      <c r="J298" s="129" t="n"/>
      <c r="K298" s="134" t="n"/>
      <c r="L298" s="17" t="n"/>
      <c r="M298" s="133">
        <f>DADOS_AM!$HD$36</f>
        <v/>
      </c>
      <c r="N298" s="17" t="n"/>
      <c r="O298" s="125" t="n"/>
      <c r="P298" s="129" t="n"/>
      <c r="Q298" s="134" t="n"/>
      <c r="R298" s="17" t="n"/>
      <c r="S298" s="133">
        <f>DADOS_AM!$HD$37</f>
        <v/>
      </c>
      <c r="T298" s="17" t="n"/>
      <c r="U298" s="125" t="n"/>
    </row>
    <row r="299" hidden="1" outlineLevel="3">
      <c r="A299" s="8" t="n"/>
      <c r="B299" s="14" t="n"/>
      <c r="C299" s="125" t="n"/>
      <c r="D299" s="55" t="inlineStr">
        <is>
          <t>RESTRIÇÕES</t>
        </is>
      </c>
      <c r="E299" s="134" t="n"/>
      <c r="F299" s="17" t="n"/>
      <c r="G299" s="133">
        <f>DADOS_AM!$HE$35</f>
        <v/>
      </c>
      <c r="H299" s="17" t="n"/>
      <c r="I299" s="125" t="n"/>
      <c r="J299" s="55" t="inlineStr">
        <is>
          <t>RESTRIÇÕES</t>
        </is>
      </c>
      <c r="K299" s="134" t="n"/>
      <c r="L299" s="17" t="n"/>
      <c r="M299" s="133">
        <f>DADOS_AM!$HE$36</f>
        <v/>
      </c>
      <c r="N299" s="17" t="n"/>
      <c r="O299" s="125" t="n"/>
      <c r="P299" s="55" t="inlineStr">
        <is>
          <t>RESTRIÇÕES</t>
        </is>
      </c>
      <c r="Q299" s="134" t="n"/>
      <c r="R299" s="17" t="n"/>
      <c r="S299" s="133">
        <f>DADOS_AM!$HE$37</f>
        <v/>
      </c>
      <c r="T299" s="17" t="n"/>
      <c r="U299" s="125" t="n"/>
    </row>
    <row r="300" hidden="1" outlineLevel="3">
      <c r="A300" s="8" t="n"/>
      <c r="B300" s="14" t="n"/>
      <c r="C300" s="125" t="n"/>
      <c r="D300" s="129" t="n"/>
      <c r="E300" s="134" t="n"/>
      <c r="F300" s="17" t="n"/>
      <c r="G300" s="133">
        <f>DADOS_AM!$HF$35</f>
        <v/>
      </c>
      <c r="H300" s="17" t="n"/>
      <c r="I300" s="125" t="n"/>
      <c r="J300" s="129" t="n"/>
      <c r="K300" s="134" t="n"/>
      <c r="L300" s="17" t="n"/>
      <c r="M300" s="133">
        <f>DADOS_AM!$HF$36</f>
        <v/>
      </c>
      <c r="N300" s="17" t="n"/>
      <c r="O300" s="125" t="n"/>
      <c r="P300" s="129" t="n"/>
      <c r="Q300" s="134" t="n"/>
      <c r="R300" s="17" t="n"/>
      <c r="S300" s="133">
        <f>DADOS_AM!$HF$37</f>
        <v/>
      </c>
      <c r="T300" s="17" t="n"/>
      <c r="U300" s="125" t="n"/>
    </row>
    <row r="301" hidden="1" outlineLevel="3">
      <c r="A301" s="8" t="n"/>
      <c r="B301" s="14" t="n"/>
      <c r="C301" s="125" t="n"/>
      <c r="D301" s="55" t="inlineStr">
        <is>
          <t>CONTA</t>
        </is>
      </c>
      <c r="E301" s="136">
        <f>DADOS_AM!$GY$35</f>
        <v/>
      </c>
      <c r="F301" s="16" t="n"/>
      <c r="G301" s="16" t="n"/>
      <c r="H301" s="17" t="n"/>
      <c r="I301" s="125" t="n"/>
      <c r="J301" s="55" t="inlineStr">
        <is>
          <t>CONTA</t>
        </is>
      </c>
      <c r="K301" s="136">
        <f>DADOS_AM!$GY$36</f>
        <v/>
      </c>
      <c r="L301" s="16" t="n"/>
      <c r="M301" s="16" t="n"/>
      <c r="N301" s="17" t="n"/>
      <c r="O301" s="125" t="n"/>
      <c r="P301" s="55" t="inlineStr">
        <is>
          <t>CONTA</t>
        </is>
      </c>
      <c r="Q301" s="136">
        <f>DADOS_AM!$GY$37</f>
        <v/>
      </c>
      <c r="R301" s="16" t="n"/>
      <c r="S301" s="16" t="n"/>
      <c r="T301" s="17" t="n"/>
      <c r="U301" s="125" t="n"/>
    </row>
    <row r="302" hidden="1" outlineLevel="3">
      <c r="A302" s="8" t="n"/>
      <c r="B302" s="14" t="n"/>
      <c r="C302" s="125" t="n"/>
      <c r="D302" s="55" t="inlineStr">
        <is>
          <t>AMPLIAR</t>
        </is>
      </c>
      <c r="E302" s="136">
        <f>DADOS_AM!$GZ$35</f>
        <v/>
      </c>
      <c r="F302" s="19" t="n"/>
      <c r="G302" s="19" t="n"/>
      <c r="H302" s="20" t="n"/>
      <c r="I302" s="125" t="n"/>
      <c r="J302" s="55" t="inlineStr">
        <is>
          <t>AMPLIAR</t>
        </is>
      </c>
      <c r="K302" s="136">
        <f>DADOS_AM!$GZ$36</f>
        <v/>
      </c>
      <c r="L302" s="19" t="n"/>
      <c r="M302" s="19" t="n"/>
      <c r="N302" s="20" t="n"/>
      <c r="O302" s="125" t="n"/>
      <c r="P302" s="55" t="inlineStr">
        <is>
          <t>AMPLIAR</t>
        </is>
      </c>
      <c r="Q302" s="136">
        <f>DADOS_AM!$GZ$37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DADOS_AM!$GO$35</f>
        <v/>
      </c>
      <c r="F304" s="19" t="n"/>
      <c r="G304" s="19" t="n"/>
      <c r="H304" s="20" t="n"/>
      <c r="I304" s="125" t="n"/>
      <c r="J304" s="55" t="inlineStr">
        <is>
          <t>AVISOS</t>
        </is>
      </c>
      <c r="K304" s="136">
        <f>DADOS_AM!$GO$36</f>
        <v/>
      </c>
      <c r="L304" s="19" t="n"/>
      <c r="M304" s="19" t="n"/>
      <c r="N304" s="20" t="n"/>
      <c r="O304" s="125" t="n"/>
      <c r="P304" s="55" t="inlineStr">
        <is>
          <t>AVISOS</t>
        </is>
      </c>
      <c r="Q304" s="136">
        <f>DADOS_AM!$GO$37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90" t="inlineStr">
        <is>
          <t>Projétil</t>
        </is>
      </c>
      <c r="G310" s="16" t="n"/>
      <c r="H310" s="17" t="n"/>
      <c r="I310" s="125" t="n"/>
      <c r="J310" s="134" t="n"/>
      <c r="K310" s="17" t="n"/>
      <c r="L310" s="134" t="n"/>
      <c r="M310" s="16" t="n"/>
      <c r="N310" s="17" t="n"/>
      <c r="O310" s="125" t="n"/>
      <c r="P310" s="68">
        <f>DADOS_AM!$IL$2</f>
        <v/>
      </c>
      <c r="Q310" s="17" t="n"/>
      <c r="R310" s="133">
        <f>DADOS_AM!$IM$2</f>
        <v/>
      </c>
      <c r="S310" s="16" t="n"/>
      <c r="T310" s="17" t="n"/>
      <c r="U310" s="125" t="n"/>
    </row>
    <row r="311" outlineLevel="1">
      <c r="A311" s="8" t="n"/>
      <c r="B311" s="14" t="n"/>
      <c r="C311" s="125" t="n"/>
      <c r="D311" s="134" t="n"/>
      <c r="E311" s="17" t="n"/>
      <c r="F311" s="90" t="inlineStr">
        <is>
          <t>Projétil</t>
        </is>
      </c>
      <c r="G311" s="16" t="n"/>
      <c r="H311" s="17" t="n"/>
      <c r="I311" s="125" t="n"/>
      <c r="J311" s="134" t="n"/>
      <c r="K311" s="17" t="n"/>
      <c r="L311" s="134" t="n"/>
      <c r="M311" s="16" t="n"/>
      <c r="N311" s="17" t="n"/>
      <c r="O311" s="125" t="n"/>
      <c r="P311" s="68">
        <f>DADOS_AM!$IL$3</f>
        <v/>
      </c>
      <c r="Q311" s="17" t="n"/>
      <c r="R311" s="133">
        <f>DADOS_AM!$IM$3</f>
        <v/>
      </c>
      <c r="S311" s="16" t="n"/>
      <c r="T311" s="17" t="n"/>
      <c r="U311" s="125" t="n"/>
    </row>
    <row r="312" outlineLevel="1">
      <c r="A312" s="8" t="n"/>
      <c r="B312" s="14" t="n"/>
      <c r="C312" s="125" t="n"/>
      <c r="D312" s="134" t="n"/>
      <c r="E312" s="17" t="n"/>
      <c r="F312" s="90" t="inlineStr">
        <is>
          <t>Projétil</t>
        </is>
      </c>
      <c r="G312" s="16" t="n"/>
      <c r="H312" s="17" t="n"/>
      <c r="I312" s="125" t="n"/>
      <c r="J312" s="134" t="n"/>
      <c r="K312" s="17" t="n"/>
      <c r="L312" s="134" t="n"/>
      <c r="M312" s="16" t="n"/>
      <c r="N312" s="17" t="n"/>
      <c r="O312" s="125" t="n"/>
      <c r="P312" s="68">
        <f>DADOS_AM!$IL$4</f>
        <v/>
      </c>
      <c r="Q312" s="17" t="n"/>
      <c r="R312" s="133">
        <f>DADOS_AM!$IM$4</f>
        <v/>
      </c>
      <c r="S312" s="16" t="n"/>
      <c r="T312" s="17" t="n"/>
      <c r="U312" s="125" t="n"/>
    </row>
    <row r="313" outlineLevel="1">
      <c r="A313" s="8" t="n"/>
      <c r="B313" s="14" t="n"/>
      <c r="C313" s="125" t="n"/>
      <c r="D313" s="134" t="n"/>
      <c r="E313" s="17" t="n"/>
      <c r="F313" s="90" t="inlineStr">
        <is>
          <t>Projétil</t>
        </is>
      </c>
      <c r="G313" s="16" t="n"/>
      <c r="H313" s="17" t="n"/>
      <c r="I313" s="125" t="n"/>
      <c r="J313" s="134" t="n"/>
      <c r="K313" s="17" t="n"/>
      <c r="L313" s="134" t="n"/>
      <c r="M313" s="16" t="n"/>
      <c r="N313" s="17" t="n"/>
      <c r="O313" s="125" t="n"/>
      <c r="P313" s="68">
        <f>DADOS_AM!$IL$5</f>
        <v/>
      </c>
      <c r="Q313" s="17" t="n"/>
      <c r="R313" s="133">
        <f>DADOS_AM!$IM$5</f>
        <v/>
      </c>
      <c r="S313" s="16" t="n"/>
      <c r="T313" s="17" t="n"/>
      <c r="U313" s="125" t="n"/>
    </row>
    <row r="314" outlineLevel="1">
      <c r="A314" s="8" t="n"/>
      <c r="B314" s="14" t="n"/>
      <c r="C314" s="125" t="n"/>
      <c r="D314" s="134" t="n"/>
      <c r="E314" s="17" t="n"/>
      <c r="F314" s="90" t="inlineStr">
        <is>
          <t>Projétil</t>
        </is>
      </c>
      <c r="G314" s="16" t="n"/>
      <c r="H314" s="17" t="n"/>
      <c r="I314" s="125" t="n"/>
      <c r="J314" s="134" t="n"/>
      <c r="K314" s="17" t="n"/>
      <c r="L314" s="134" t="n"/>
      <c r="M314" s="16" t="n"/>
      <c r="N314" s="17" t="n"/>
      <c r="O314" s="125" t="n"/>
      <c r="P314" s="68">
        <f>DADOS_AM!$IL$6</f>
        <v/>
      </c>
      <c r="Q314" s="17" t="n"/>
      <c r="R314" s="133">
        <f>DADOS_AM!$IM$6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DADOS_AM!$KT$36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DADOS_AM!$GN$38</f>
        <v/>
      </c>
      <c r="H319" s="17" t="n"/>
      <c r="I319" s="125" t="n"/>
      <c r="J319" s="131" t="n">
        <v>3</v>
      </c>
      <c r="K319" s="120" t="n"/>
      <c r="L319" s="17" t="n"/>
      <c r="M319" s="132">
        <f>DADOS_AM!$GN$39</f>
        <v/>
      </c>
      <c r="N319" s="17" t="n"/>
      <c r="O319" s="125" t="n"/>
      <c r="P319" s="131" t="n">
        <v>3</v>
      </c>
      <c r="Q319" s="120" t="n"/>
      <c r="R319" s="17" t="n"/>
      <c r="S319" s="132">
        <f>DADOS_AM!$GN$40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90" t="inlineStr">
        <is>
          <t>Projétil</t>
        </is>
      </c>
      <c r="E326" s="68">
        <f>DADOS_AM!$GS$38</f>
        <v/>
      </c>
      <c r="F326" s="68">
        <f>DADOS_AM!$GP$38</f>
        <v/>
      </c>
      <c r="G326" s="90">
        <f>DADOS_AM!$GR$38</f>
        <v/>
      </c>
      <c r="H326" s="17" t="n"/>
      <c r="I326" s="125" t="n"/>
      <c r="J326" s="90" t="inlineStr">
        <is>
          <t>Projétil</t>
        </is>
      </c>
      <c r="K326" s="68">
        <f>DADOS_AM!$GS$39</f>
        <v/>
      </c>
      <c r="L326" s="68">
        <f>DADOS_AM!$GP$39</f>
        <v/>
      </c>
      <c r="M326" s="90">
        <f>DADOS_AM!$GR$39</f>
        <v/>
      </c>
      <c r="N326" s="17" t="n"/>
      <c r="O326" s="125" t="n"/>
      <c r="P326" s="90" t="inlineStr">
        <is>
          <t>Projétil</t>
        </is>
      </c>
      <c r="Q326" s="68">
        <f>DADOS_AM!$GS$40</f>
        <v/>
      </c>
      <c r="R326" s="68">
        <f>DADOS_AM!$GP$40</f>
        <v/>
      </c>
      <c r="S326" s="90">
        <f>DADOS_AM!$GR$40</f>
        <v/>
      </c>
      <c r="T326" s="17" t="n"/>
      <c r="U326" s="125" t="n"/>
    </row>
    <row r="327" hidden="1" outlineLevel="1">
      <c r="A327" s="8" t="n"/>
      <c r="B327" s="14" t="n"/>
      <c r="C327" s="125" t="n"/>
      <c r="D327" s="90">
        <f>DADOS_AM!$GQ$38</f>
        <v/>
      </c>
      <c r="E327" s="133">
        <f>DADOS_AM!$GX$38</f>
        <v/>
      </c>
      <c r="F327" s="16" t="n"/>
      <c r="G327" s="16" t="n"/>
      <c r="H327" s="17" t="n"/>
      <c r="I327" s="125" t="n"/>
      <c r="J327" s="90">
        <f>DADOS_AM!$GQ$39</f>
        <v/>
      </c>
      <c r="K327" s="133">
        <f>DADOS_AM!$GX$39</f>
        <v/>
      </c>
      <c r="L327" s="16" t="n"/>
      <c r="M327" s="16" t="n"/>
      <c r="N327" s="17" t="n"/>
      <c r="O327" s="125" t="n"/>
      <c r="P327" s="90">
        <f>DADOS_AM!$GQ$40</f>
        <v/>
      </c>
      <c r="Q327" s="133">
        <f>DADOS_AM!$GX$40</f>
        <v/>
      </c>
      <c r="R327" s="16" t="n"/>
      <c r="S327" s="16" t="n"/>
      <c r="T327" s="17" t="n"/>
      <c r="U327" s="125" t="n"/>
    </row>
    <row r="328" hidden="1" outlineLevel="2">
      <c r="A328" s="8" t="n"/>
      <c r="B328" s="14" t="n"/>
      <c r="C328" s="125" t="n"/>
      <c r="D328" s="55" t="inlineStr">
        <is>
          <t>MELHORIAS</t>
        </is>
      </c>
      <c r="E328" s="134" t="n"/>
      <c r="F328" s="17" t="n"/>
      <c r="G328" s="133">
        <f>DADOS_AM!$HA$38</f>
        <v/>
      </c>
      <c r="H328" s="17" t="n"/>
      <c r="I328" s="125" t="n"/>
      <c r="J328" s="55" t="inlineStr">
        <is>
          <t>MELHORIAS</t>
        </is>
      </c>
      <c r="K328" s="134" t="n"/>
      <c r="L328" s="17" t="n"/>
      <c r="M328" s="133">
        <f>DADOS_AM!$HA$39</f>
        <v/>
      </c>
      <c r="N328" s="17" t="n"/>
      <c r="O328" s="125" t="n"/>
      <c r="P328" s="55" t="inlineStr">
        <is>
          <t>MELHORIAS</t>
        </is>
      </c>
      <c r="Q328" s="134" t="n"/>
      <c r="R328" s="17" t="n"/>
      <c r="S328" s="133">
        <f>DADOS_AM!$HA$40</f>
        <v/>
      </c>
      <c r="T328" s="17" t="n"/>
      <c r="U328" s="125" t="n"/>
    </row>
    <row r="329" hidden="1" outlineLevel="2">
      <c r="A329" s="8" t="n"/>
      <c r="B329" s="14" t="n"/>
      <c r="C329" s="125" t="n"/>
      <c r="D329" s="135" t="n"/>
      <c r="E329" s="134" t="n"/>
      <c r="F329" s="17" t="n"/>
      <c r="G329" s="133">
        <f>DADOS_AM!$HB$38</f>
        <v/>
      </c>
      <c r="H329" s="17" t="n"/>
      <c r="I329" s="125" t="n"/>
      <c r="J329" s="135" t="n"/>
      <c r="K329" s="134" t="n"/>
      <c r="L329" s="17" t="n"/>
      <c r="M329" s="133">
        <f>DADOS_AM!$HB$39</f>
        <v/>
      </c>
      <c r="N329" s="17" t="n"/>
      <c r="O329" s="125" t="n"/>
      <c r="P329" s="135" t="n"/>
      <c r="Q329" s="134" t="n"/>
      <c r="R329" s="17" t="n"/>
      <c r="S329" s="133">
        <f>DADOS_AM!$HB$40</f>
        <v/>
      </c>
      <c r="T329" s="17" t="n"/>
      <c r="U329" s="125" t="n"/>
    </row>
    <row r="330" hidden="1" outlineLevel="2">
      <c r="A330" s="8" t="n"/>
      <c r="B330" s="14" t="n"/>
      <c r="C330" s="125" t="n"/>
      <c r="D330" s="135" t="n"/>
      <c r="E330" s="134" t="n"/>
      <c r="F330" s="17" t="n"/>
      <c r="G330" s="133">
        <f>DADOS_AM!$HC$38</f>
        <v/>
      </c>
      <c r="H330" s="17" t="n"/>
      <c r="I330" s="125" t="n"/>
      <c r="J330" s="135" t="n"/>
      <c r="K330" s="134" t="n"/>
      <c r="L330" s="17" t="n"/>
      <c r="M330" s="133">
        <f>DADOS_AM!$HC$39</f>
        <v/>
      </c>
      <c r="N330" s="17" t="n"/>
      <c r="O330" s="125" t="n"/>
      <c r="P330" s="135" t="n"/>
      <c r="Q330" s="134" t="n"/>
      <c r="R330" s="17" t="n"/>
      <c r="S330" s="133">
        <f>DADOS_AM!$HC$40</f>
        <v/>
      </c>
      <c r="T330" s="17" t="n"/>
      <c r="U330" s="125" t="n"/>
    </row>
    <row r="331" hidden="1" outlineLevel="2">
      <c r="A331" s="8" t="n"/>
      <c r="B331" s="14" t="n"/>
      <c r="C331" s="125" t="n"/>
      <c r="D331" s="129" t="n"/>
      <c r="E331" s="134" t="n"/>
      <c r="F331" s="17" t="n"/>
      <c r="G331" s="133">
        <f>DADOS_AM!$HD$38</f>
        <v/>
      </c>
      <c r="H331" s="17" t="n"/>
      <c r="I331" s="125" t="n"/>
      <c r="J331" s="129" t="n"/>
      <c r="K331" s="134" t="n"/>
      <c r="L331" s="17" t="n"/>
      <c r="M331" s="133">
        <f>DADOS_AM!$HD$39</f>
        <v/>
      </c>
      <c r="N331" s="17" t="n"/>
      <c r="O331" s="125" t="n"/>
      <c r="P331" s="129" t="n"/>
      <c r="Q331" s="134" t="n"/>
      <c r="R331" s="17" t="n"/>
      <c r="S331" s="133">
        <f>DADOS_AM!$HD$40</f>
        <v/>
      </c>
      <c r="T331" s="17" t="n"/>
      <c r="U331" s="125" t="n"/>
    </row>
    <row r="332" hidden="1" outlineLevel="2">
      <c r="A332" s="8" t="n"/>
      <c r="B332" s="14" t="n"/>
      <c r="C332" s="125" t="n"/>
      <c r="D332" s="55" t="inlineStr">
        <is>
          <t>RESTRIÇÕES</t>
        </is>
      </c>
      <c r="E332" s="134" t="n"/>
      <c r="F332" s="17" t="n"/>
      <c r="G332" s="133">
        <f>DADOS_AM!$HE$38</f>
        <v/>
      </c>
      <c r="H332" s="17" t="n"/>
      <c r="I332" s="125" t="n"/>
      <c r="J332" s="55" t="inlineStr">
        <is>
          <t>RESTRIÇÕES</t>
        </is>
      </c>
      <c r="K332" s="134" t="n"/>
      <c r="L332" s="17" t="n"/>
      <c r="M332" s="133">
        <f>DADOS_AM!$HE$39</f>
        <v/>
      </c>
      <c r="N332" s="17" t="n"/>
      <c r="O332" s="125" t="n"/>
      <c r="P332" s="55" t="inlineStr">
        <is>
          <t>RESTRIÇÕES</t>
        </is>
      </c>
      <c r="Q332" s="134" t="n"/>
      <c r="R332" s="17" t="n"/>
      <c r="S332" s="133">
        <f>DADOS_AM!$HE$40</f>
        <v/>
      </c>
      <c r="T332" s="17" t="n"/>
      <c r="U332" s="125" t="n"/>
    </row>
    <row r="333" hidden="1" outlineLevel="2">
      <c r="A333" s="8" t="n"/>
      <c r="B333" s="14" t="n"/>
      <c r="C333" s="125" t="n"/>
      <c r="D333" s="129" t="n"/>
      <c r="E333" s="134" t="n"/>
      <c r="F333" s="17" t="n"/>
      <c r="G333" s="133">
        <f>DADOS_AM!$HF$38</f>
        <v/>
      </c>
      <c r="H333" s="17" t="n"/>
      <c r="I333" s="125" t="n"/>
      <c r="J333" s="129" t="n"/>
      <c r="K333" s="134" t="n"/>
      <c r="L333" s="17" t="n"/>
      <c r="M333" s="133">
        <f>DADOS_AM!$HF$39</f>
        <v/>
      </c>
      <c r="N333" s="17" t="n"/>
      <c r="O333" s="125" t="n"/>
      <c r="P333" s="129" t="n"/>
      <c r="Q333" s="134" t="n"/>
      <c r="R333" s="17" t="n"/>
      <c r="S333" s="133">
        <f>DADOS_AM!$HF$40</f>
        <v/>
      </c>
      <c r="T333" s="17" t="n"/>
      <c r="U333" s="125" t="n"/>
    </row>
    <row r="334" hidden="1" outlineLevel="2">
      <c r="A334" s="8" t="n"/>
      <c r="B334" s="14" t="n"/>
      <c r="C334" s="125" t="n"/>
      <c r="D334" s="55" t="inlineStr">
        <is>
          <t>CONTA</t>
        </is>
      </c>
      <c r="E334" s="136">
        <f>DADOS_AM!$GY$38</f>
        <v/>
      </c>
      <c r="F334" s="16" t="n"/>
      <c r="G334" s="16" t="n"/>
      <c r="H334" s="17" t="n"/>
      <c r="I334" s="125" t="n"/>
      <c r="J334" s="55" t="inlineStr">
        <is>
          <t>CONTA</t>
        </is>
      </c>
      <c r="K334" s="136">
        <f>DADOS_AM!$GY$39</f>
        <v/>
      </c>
      <c r="L334" s="16" t="n"/>
      <c r="M334" s="16" t="n"/>
      <c r="N334" s="17" t="n"/>
      <c r="O334" s="125" t="n"/>
      <c r="P334" s="55" t="inlineStr">
        <is>
          <t>CONTA</t>
        </is>
      </c>
      <c r="Q334" s="136">
        <f>DADOS_AM!$GY$40</f>
        <v/>
      </c>
      <c r="R334" s="16" t="n"/>
      <c r="S334" s="16" t="n"/>
      <c r="T334" s="17" t="n"/>
      <c r="U334" s="125" t="n"/>
    </row>
    <row r="335" hidden="1" outlineLevel="2">
      <c r="A335" s="8" t="n"/>
      <c r="B335" s="14" t="n"/>
      <c r="C335" s="125" t="n"/>
      <c r="D335" s="55" t="inlineStr">
        <is>
          <t>AMPLIAR</t>
        </is>
      </c>
      <c r="E335" s="136">
        <f>DADOS_AM!$GZ$38</f>
        <v/>
      </c>
      <c r="F335" s="19" t="n"/>
      <c r="G335" s="19" t="n"/>
      <c r="H335" s="20" t="n"/>
      <c r="I335" s="125" t="n"/>
      <c r="J335" s="55" t="inlineStr">
        <is>
          <t>AMPLIAR</t>
        </is>
      </c>
      <c r="K335" s="136">
        <f>DADOS_AM!$GZ$39</f>
        <v/>
      </c>
      <c r="L335" s="19" t="n"/>
      <c r="M335" s="19" t="n"/>
      <c r="N335" s="20" t="n"/>
      <c r="O335" s="125" t="n"/>
      <c r="P335" s="55" t="inlineStr">
        <is>
          <t>AMPLIAR</t>
        </is>
      </c>
      <c r="Q335" s="136">
        <f>DADOS_AM!$GZ$40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DADOS_AM!$GO$38</f>
        <v/>
      </c>
      <c r="F337" s="19" t="n"/>
      <c r="G337" s="19" t="n"/>
      <c r="H337" s="20" t="n"/>
      <c r="I337" s="125" t="n"/>
      <c r="J337" s="55" t="inlineStr">
        <is>
          <t>AVISOS</t>
        </is>
      </c>
      <c r="K337" s="136">
        <f>DADOS_AM!$GO$39</f>
        <v/>
      </c>
      <c r="L337" s="19" t="n"/>
      <c r="M337" s="19" t="n"/>
      <c r="N337" s="20" t="n"/>
      <c r="O337" s="125" t="n"/>
      <c r="P337" s="55" t="inlineStr">
        <is>
          <t>AVISOS</t>
        </is>
      </c>
      <c r="Q337" s="136">
        <f>DADOS_AM!$GO$40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DADOS_AM!$KT$37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5" t="n"/>
      <c r="E343" s="19" t="n"/>
      <c r="F343" s="19" t="n"/>
      <c r="G343" s="19" t="n"/>
      <c r="H343" s="20" t="n"/>
      <c r="I343" s="125" t="n"/>
      <c r="J343" s="90" t="inlineStr">
        <is>
          <t>Projétil</t>
        </is>
      </c>
      <c r="K343" s="20" t="n"/>
      <c r="L343" s="98">
        <f>DADOS_AM!$KT$38</f>
        <v/>
      </c>
      <c r="M343" s="19" t="n"/>
      <c r="N343" s="20" t="n"/>
      <c r="O343" s="125" t="n"/>
      <c r="P343" s="98">
        <f>DADOS_AM!$KT$39</f>
        <v/>
      </c>
      <c r="Q343" s="20" t="n"/>
      <c r="R343" s="98">
        <f>DADOS_AM!$KT$40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DADOS_AM!$KT$41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90" t="n"/>
      <c r="E357" s="20" t="n"/>
      <c r="F357" s="90">
        <f>DADOS_AM!$KT$42</f>
        <v/>
      </c>
      <c r="G357" s="19" t="n"/>
      <c r="H357" s="20" t="n"/>
      <c r="I357" s="125" t="n"/>
      <c r="J357" s="90">
        <f>DADOS_AM!$KT$43</f>
        <v/>
      </c>
      <c r="K357" s="19" t="n"/>
      <c r="L357" s="19" t="n"/>
      <c r="M357" s="19" t="n"/>
      <c r="N357" s="20" t="n"/>
      <c r="O357" s="125" t="n"/>
      <c r="P357" s="98">
        <f>DADOS_AM!$KT$44</f>
        <v/>
      </c>
      <c r="Q357" s="20" t="n"/>
      <c r="R357" s="90">
        <f>DADOS_AM!$KT$45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DADOS_AM!$KT$46</f>
        <v/>
      </c>
      <c r="E361" s="17" t="n"/>
      <c r="F361" s="90">
        <f>DADOS_AM!$KT$47</f>
        <v/>
      </c>
      <c r="G361" s="90">
        <f>DADOS_AM!$KT$48</f>
        <v/>
      </c>
      <c r="H361" s="17" t="n"/>
      <c r="I361" s="125" t="n"/>
      <c r="J361" s="90">
        <f>DADOS_AM!$KT$49</f>
        <v/>
      </c>
      <c r="K361" s="90">
        <f>DADOS_AM!$KT$50</f>
        <v/>
      </c>
      <c r="L361" s="90" t="inlineStr">
        <is>
          <t>Não fecha</t>
        </is>
      </c>
      <c r="M361" s="90" t="inlineStr">
        <is>
          <t>Rola</t>
        </is>
      </c>
      <c r="N361" s="17" t="n"/>
      <c r="O361" s="125" t="n"/>
      <c r="P361" s="85" t="n"/>
      <c r="Q361" s="19" t="n"/>
      <c r="R361" s="19" t="n"/>
      <c r="S361" s="19" t="n"/>
      <c r="T361" s="20" t="n"/>
      <c r="U361" s="125" t="n"/>
    </row>
    <row r="362" hidden="1" outlineLevel="1">
      <c r="A362" s="8" t="n"/>
      <c r="B362" s="14" t="n"/>
      <c r="C362" s="125" t="n"/>
      <c r="D362" s="134">
        <f>DADOS_AM!$KT$51</f>
        <v/>
      </c>
      <c r="E362" s="17" t="n"/>
      <c r="F362" s="90">
        <f>DADOS_AM!$KT$52</f>
        <v/>
      </c>
      <c r="G362" s="90">
        <f>DADOS_AM!$KT$53</f>
        <v/>
      </c>
      <c r="H362" s="17" t="n"/>
      <c r="I362" s="125" t="n"/>
      <c r="J362" s="90">
        <f>DADOS_AM!$KT$54</f>
        <v/>
      </c>
      <c r="K362" s="90">
        <f>DADOS_AM!$KT$55</f>
        <v/>
      </c>
      <c r="L362" s="90">
        <f>DADOS_AM!$KT$56</f>
        <v/>
      </c>
      <c r="M362" s="90" t="inlineStr">
        <is>
          <t>Acontece</t>
        </is>
      </c>
      <c r="N362" s="17" t="n"/>
      <c r="O362" s="125" t="n"/>
      <c r="P362" s="21" t="n"/>
      <c r="T362" s="22" t="n"/>
      <c r="U362" s="125" t="n"/>
    </row>
    <row r="363" hidden="1" outlineLevel="1">
      <c r="A363" s="8" t="n"/>
      <c r="B363" s="14" t="n"/>
      <c r="C363" s="125" t="n"/>
      <c r="D363" s="134">
        <f>DADOS_AM!$KT$57</f>
        <v/>
      </c>
      <c r="E363" s="17" t="n"/>
      <c r="F363" s="90">
        <f>DADOS_AM!$KT$58</f>
        <v/>
      </c>
      <c r="G363" s="90">
        <f>DADOS_AM!$KT$59</f>
        <v/>
      </c>
      <c r="H363" s="17" t="n"/>
      <c r="I363" s="125" t="n"/>
      <c r="J363" s="90" t="inlineStr">
        <is>
          <t>199,5 m</t>
        </is>
      </c>
      <c r="K363" s="90">
        <f>DADOS_AM!$KT$60</f>
        <v/>
      </c>
      <c r="L363" s="90" t="inlineStr">
        <is>
          <t>Não tem</t>
        </is>
      </c>
      <c r="M363" s="90"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DADOS_AM!$HR$2</f>
        <v/>
      </c>
      <c r="G379" s="133">
        <f>DADOS_AM!$HS$2</f>
        <v/>
      </c>
      <c r="H379" s="17" t="n"/>
      <c r="I379" s="125" t="n"/>
      <c r="J379" s="138" t="n"/>
      <c r="K379" s="17" t="n"/>
      <c r="L379" s="133">
        <f>DADOS_AM!$HR$3</f>
        <v/>
      </c>
      <c r="M379" s="133">
        <f>DADOS_AM!$HS$3</f>
        <v/>
      </c>
      <c r="N379" s="17" t="n"/>
      <c r="O379" s="125" t="n"/>
      <c r="P379" s="138" t="n"/>
      <c r="Q379" s="17" t="n"/>
      <c r="R379" s="133">
        <f>DADOS_AM!$HR$4</f>
        <v/>
      </c>
      <c r="S379" s="133">
        <f>DADOS_AM!$HS$4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DADOS_AM!$HQ$2</f>
        <v/>
      </c>
      <c r="E381" s="19" t="n"/>
      <c r="F381" s="19" t="n"/>
      <c r="G381" s="19" t="n"/>
      <c r="H381" s="20" t="n"/>
      <c r="I381" s="125" t="n"/>
      <c r="J381" s="121">
        <f>DADOS_AM!$HQ$3</f>
        <v/>
      </c>
      <c r="K381" s="19" t="n"/>
      <c r="L381" s="19" t="n"/>
      <c r="M381" s="19" t="n"/>
      <c r="N381" s="20" t="n"/>
      <c r="O381" s="125" t="n"/>
      <c r="P381" s="121">
        <f>DADOS_AM!$HQ$4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DADOS_AM!$HR$5</f>
        <v/>
      </c>
      <c r="G387" s="133">
        <f>DADOS_AM!$HS$5</f>
        <v/>
      </c>
      <c r="H387" s="17" t="n"/>
      <c r="I387" s="125" t="n"/>
      <c r="J387" s="138" t="n"/>
      <c r="K387" s="17" t="n"/>
      <c r="L387" s="133">
        <f>DADOS_AM!$HR$6</f>
        <v/>
      </c>
      <c r="M387" s="133">
        <f>DADOS_AM!$HS$6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DADOS_AM!$HQ$5</f>
        <v/>
      </c>
      <c r="E389" s="19" t="n"/>
      <c r="F389" s="19" t="n"/>
      <c r="G389" s="19" t="n"/>
      <c r="H389" s="20" t="n"/>
      <c r="I389" s="125" t="n"/>
      <c r="J389" s="121">
        <f>DADOS_AM!$HQ$6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DADOS_AM!$HR$7</f>
        <v/>
      </c>
      <c r="G397" s="133">
        <f>DADOS_AM!$HS$7</f>
        <v/>
      </c>
      <c r="H397" s="17" t="n"/>
      <c r="I397" s="125" t="n"/>
      <c r="J397" s="138" t="n"/>
      <c r="K397" s="17" t="n"/>
      <c r="L397" s="133">
        <f>DADOS_AM!$HR$8</f>
        <v/>
      </c>
      <c r="M397" s="133">
        <f>DADOS_AM!$HS$8</f>
        <v/>
      </c>
      <c r="N397" s="17" t="n"/>
      <c r="O397" s="125" t="n"/>
      <c r="P397" s="138" t="n"/>
      <c r="Q397" s="17" t="n"/>
      <c r="R397" s="133">
        <f>DADOS_AM!$HR$9</f>
        <v/>
      </c>
      <c r="S397" s="133">
        <f>DADOS_AM!$HS$9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DADOS_AM!$HQ$7</f>
        <v/>
      </c>
      <c r="E399" s="19" t="n"/>
      <c r="F399" s="19" t="n"/>
      <c r="G399" s="19" t="n"/>
      <c r="H399" s="20" t="n"/>
      <c r="I399" s="125" t="n"/>
      <c r="J399" s="121">
        <f>DADOS_AM!$HQ$8</f>
        <v/>
      </c>
      <c r="K399" s="19" t="n"/>
      <c r="L399" s="19" t="n"/>
      <c r="M399" s="19" t="n"/>
      <c r="N399" s="20" t="n"/>
      <c r="O399" s="125" t="n"/>
      <c r="P399" s="121">
        <f>DADOS_AM!$HQ$9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DADOS_AM!$HR$10</f>
        <v/>
      </c>
      <c r="G405" s="133">
        <f>DADOS_AM!$HS$10</f>
        <v/>
      </c>
      <c r="H405" s="17" t="n"/>
      <c r="I405" s="125" t="n"/>
      <c r="J405" s="138" t="n"/>
      <c r="K405" s="17" t="n"/>
      <c r="L405" s="133">
        <f>DADOS_AM!$HR$11</f>
        <v/>
      </c>
      <c r="M405" s="133">
        <f>DADOS_AM!$HS$11</f>
        <v/>
      </c>
      <c r="N405" s="17" t="n"/>
      <c r="O405" s="125" t="n"/>
      <c r="P405" s="138" t="n"/>
      <c r="Q405" s="17" t="n"/>
      <c r="R405" s="133">
        <f>DADOS_AM!$HR$12</f>
        <v/>
      </c>
      <c r="S405" s="133">
        <f>DADOS_AM!$HS$12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DADOS_AM!$HQ$10</f>
        <v/>
      </c>
      <c r="E407" s="19" t="n"/>
      <c r="F407" s="19" t="n"/>
      <c r="G407" s="19" t="n"/>
      <c r="H407" s="20" t="n"/>
      <c r="I407" s="125" t="n"/>
      <c r="J407" s="121">
        <f>DADOS_AM!$HQ$11</f>
        <v/>
      </c>
      <c r="K407" s="19" t="n"/>
      <c r="L407" s="19" t="n"/>
      <c r="M407" s="19" t="n"/>
      <c r="N407" s="20" t="n"/>
      <c r="O407" s="125" t="n"/>
      <c r="P407" s="121">
        <f>DADOS_AM!$HQ$12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DADOS_AM!$HR$13</f>
        <v/>
      </c>
      <c r="G413" s="133">
        <f>DADOS_AM!$HS$13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DADOS_AM!$HQ$13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DADOS_AM!$KT$61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DADOS_AM!$KT$62</f>
        <v/>
      </c>
      <c r="E423" s="17" t="n"/>
      <c r="F423" s="55" t="inlineStr">
        <is>
          <t>COMPRADAS</t>
        </is>
      </c>
      <c r="G423" s="16" t="n"/>
      <c r="H423" s="17" t="n"/>
      <c r="I423" s="125" t="n"/>
      <c r="J423" s="55">
        <f>DADOS_AM!$KT$64</f>
        <v/>
      </c>
      <c r="K423" s="17" t="n"/>
      <c r="L423" s="55">
        <f>DADOS_AM!$KT$66</f>
        <v/>
      </c>
      <c r="M423" s="16" t="n"/>
      <c r="N423" s="17" t="n"/>
      <c r="O423" s="125" t="n"/>
      <c r="P423" s="55">
        <f>DADOS_AM!$KT$68</f>
        <v/>
      </c>
      <c r="Q423" s="16" t="n"/>
      <c r="R423" s="16" t="n"/>
      <c r="S423" s="16" t="n"/>
      <c r="T423" s="17" t="n"/>
      <c r="U423" s="125" t="n"/>
    </row>
    <row r="424" outlineLevel="1">
      <c r="A424" s="8" t="n"/>
      <c r="B424" s="14" t="n"/>
      <c r="C424" s="125" t="n"/>
      <c r="D424" s="98">
        <f>DADOS_AM!$HK$6</f>
        <v/>
      </c>
      <c r="E424" s="20" t="n"/>
      <c r="F424" s="98">
        <f>DADOS_AM!$KT$63</f>
        <v/>
      </c>
      <c r="G424" s="19" t="n"/>
      <c r="H424" s="20" t="n"/>
      <c r="I424" s="125" t="n"/>
      <c r="J424" s="85">
        <f>DADOS_AM!$KT$65</f>
        <v/>
      </c>
      <c r="K424" s="20" t="n"/>
      <c r="L424" s="85">
        <f>DADOS_AM!$KT$67</f>
        <v/>
      </c>
      <c r="M424" s="19" t="n"/>
      <c r="N424" s="20" t="n"/>
      <c r="O424" s="125" t="n"/>
      <c r="P424" s="85">
        <f>DADOS_AM!$KT$69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DADOS_AM!$KT$70</f>
        <v/>
      </c>
      <c r="E427" s="16" t="n"/>
      <c r="F427" s="16" t="n"/>
      <c r="G427" s="16" t="n"/>
      <c r="H427" s="17" t="n"/>
      <c r="I427" s="125" t="n"/>
      <c r="J427" s="55">
        <f>DADOS_AM!$KT$71</f>
        <v/>
      </c>
      <c r="K427" s="16" t="n"/>
      <c r="L427" s="16" t="n"/>
      <c r="M427" s="16" t="n"/>
      <c r="N427" s="17" t="n"/>
      <c r="O427" s="125" t="n"/>
      <c r="P427" s="55">
        <f>DADOS_AM!$KT$72</f>
        <v/>
      </c>
      <c r="Q427" s="16" t="n"/>
      <c r="R427" s="16" t="n"/>
      <c r="S427" s="16" t="n"/>
      <c r="T427" s="17" t="n"/>
      <c r="U427" s="125" t="n"/>
    </row>
    <row r="428" outlineLevel="1">
      <c r="A428" s="8" t="n"/>
      <c r="B428" s="14" t="n"/>
      <c r="C428" s="125" t="n"/>
      <c r="D428" s="90" t="n"/>
      <c r="E428" s="16" t="n"/>
      <c r="F428" s="16" t="n"/>
      <c r="G428" s="16" t="n"/>
      <c r="H428" s="17" t="n"/>
      <c r="I428" s="125" t="n"/>
      <c r="J428" s="90" t="n"/>
      <c r="K428" s="16" t="n"/>
      <c r="L428" s="16" t="n"/>
      <c r="M428" s="16" t="n"/>
      <c r="N428" s="17" t="n"/>
      <c r="O428" s="125" t="n"/>
      <c r="P428" s="90">
        <f>DADOS_AM!$KT$73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DADOS_AM!$HZ$2</f>
        <v/>
      </c>
      <c r="H430" s="17" t="n"/>
      <c r="I430" s="125" t="n"/>
      <c r="J430" s="138" t="n"/>
      <c r="K430" s="16" t="n"/>
      <c r="L430" s="17" t="n"/>
      <c r="M430" s="133">
        <f>DADOS_AM!$HZ$3</f>
        <v/>
      </c>
      <c r="N430" s="17" t="n"/>
      <c r="O430" s="125" t="n"/>
      <c r="P430" s="138" t="n"/>
      <c r="Q430" s="16" t="n"/>
      <c r="R430" s="17" t="n"/>
      <c r="S430" s="133">
        <f>DADOS_AM!$HZ$4</f>
        <v/>
      </c>
      <c r="T430" s="17" t="n"/>
      <c r="U430" s="125" t="n"/>
    </row>
    <row r="431" outlineLevel="1">
      <c r="A431" s="8" t="n"/>
      <c r="B431" s="14" t="n"/>
      <c r="C431" s="125" t="n"/>
      <c r="D431" s="139">
        <f>DADOS_AM!$HY$2</f>
        <v/>
      </c>
      <c r="E431" s="19" t="n"/>
      <c r="F431" s="19" t="n"/>
      <c r="G431" s="19" t="n"/>
      <c r="H431" s="20" t="n"/>
      <c r="I431" s="125" t="n"/>
      <c r="J431" s="139">
        <f>DADOS_AM!$HY$3</f>
        <v/>
      </c>
      <c r="K431" s="19" t="n"/>
      <c r="L431" s="19" t="n"/>
      <c r="M431" s="19" t="n"/>
      <c r="N431" s="20" t="n"/>
      <c r="O431" s="125" t="n"/>
      <c r="P431" s="139">
        <f>DADOS_AM!$HY$4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DADOS_AM!$IB$2</f>
        <v/>
      </c>
      <c r="E434" s="19" t="n"/>
      <c r="F434" s="19" t="n"/>
      <c r="G434" s="19" t="n"/>
      <c r="H434" s="20" t="n"/>
      <c r="I434" s="125" t="n"/>
      <c r="J434" s="140">
        <f>DADOS_AM!$IB$3</f>
        <v/>
      </c>
      <c r="K434" s="19" t="n"/>
      <c r="L434" s="19" t="n"/>
      <c r="M434" s="19" t="n"/>
      <c r="N434" s="20" t="n"/>
      <c r="O434" s="125" t="n"/>
      <c r="P434" s="140">
        <f>DADOS_AM!$IB$4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DADOS_AM!$KT$74</f>
        <v/>
      </c>
      <c r="E446" s="141">
        <f>DADOS_AM!$IA$2</f>
        <v/>
      </c>
      <c r="F446" s="16" t="n"/>
      <c r="G446" s="16" t="n"/>
      <c r="H446" s="17" t="n"/>
      <c r="I446" s="125" t="n"/>
      <c r="J446" s="55">
        <f>DADOS_AM!$KT$75</f>
        <v/>
      </c>
      <c r="K446" s="141">
        <f>DADOS_AM!$IA$3</f>
        <v/>
      </c>
      <c r="L446" s="16" t="n"/>
      <c r="M446" s="16" t="n"/>
      <c r="N446" s="17" t="n"/>
      <c r="O446" s="125" t="n"/>
      <c r="P446" s="55">
        <f>DADOS_AM!$KT$76</f>
        <v/>
      </c>
      <c r="Q446" s="141">
        <f>DADOS_AM!$IA$4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DADOS_AM!$HZ$5</f>
        <v/>
      </c>
      <c r="H450" s="17" t="n"/>
      <c r="I450" s="125" t="n"/>
      <c r="J450" s="138" t="n"/>
      <c r="K450" s="16" t="n"/>
      <c r="L450" s="17" t="n"/>
      <c r="M450" s="133">
        <f>DADOS_AM!$HZ$6</f>
        <v/>
      </c>
      <c r="N450" s="17" t="n"/>
      <c r="O450" s="125" t="n"/>
      <c r="P450" s="138" t="n"/>
      <c r="Q450" s="16" t="n"/>
      <c r="R450" s="17" t="n"/>
      <c r="S450" s="133">
        <f>DADOS_AM!$HZ$7</f>
        <v/>
      </c>
      <c r="T450" s="17" t="n"/>
      <c r="U450" s="125" t="n"/>
    </row>
    <row r="451" outlineLevel="1">
      <c r="A451" s="8" t="n"/>
      <c r="B451" s="14" t="n"/>
      <c r="C451" s="125" t="n"/>
      <c r="D451" s="139">
        <f>DADOS_AM!$HY$5</f>
        <v/>
      </c>
      <c r="E451" s="19" t="n"/>
      <c r="F451" s="19" t="n"/>
      <c r="G451" s="19" t="n"/>
      <c r="H451" s="20" t="n"/>
      <c r="I451" s="125" t="n"/>
      <c r="J451" s="139">
        <f>DADOS_AM!$HY$6</f>
        <v/>
      </c>
      <c r="K451" s="19" t="n"/>
      <c r="L451" s="19" t="n"/>
      <c r="M451" s="19" t="n"/>
      <c r="N451" s="20" t="n"/>
      <c r="O451" s="125" t="n"/>
      <c r="P451" s="139">
        <f>DADOS_AM!$HY$7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DADOS_AM!$IB$5</f>
        <v/>
      </c>
      <c r="E454" s="19" t="n"/>
      <c r="F454" s="19" t="n"/>
      <c r="G454" s="19" t="n"/>
      <c r="H454" s="20" t="n"/>
      <c r="I454" s="125" t="n"/>
      <c r="J454" s="140">
        <f>DADOS_AM!$IB$6</f>
        <v/>
      </c>
      <c r="K454" s="19" t="n"/>
      <c r="L454" s="19" t="n"/>
      <c r="M454" s="19" t="n"/>
      <c r="N454" s="20" t="n"/>
      <c r="O454" s="125" t="n"/>
      <c r="P454" s="140">
        <f>DADOS_AM!$IB$7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DADOS_AM!$KT$77</f>
        <v/>
      </c>
      <c r="E466" s="141">
        <f>DADOS_AM!$IA$5</f>
        <v/>
      </c>
      <c r="F466" s="16" t="n"/>
      <c r="G466" s="16" t="n"/>
      <c r="H466" s="17" t="n"/>
      <c r="I466" s="125" t="n"/>
      <c r="J466" s="55">
        <f>DADOS_AM!$KT$78</f>
        <v/>
      </c>
      <c r="K466" s="141">
        <f>DADOS_AM!$IA$6</f>
        <v/>
      </c>
      <c r="L466" s="16" t="n"/>
      <c r="M466" s="16" t="n"/>
      <c r="N466" s="17" t="n"/>
      <c r="O466" s="125" t="n"/>
      <c r="P466" s="55">
        <f>DADOS_AM!$KT$79</f>
        <v/>
      </c>
      <c r="Q466" s="141">
        <f>DADOS_AM!$IA$7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DADOS_AM!$KT$86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DADOS_AM!$HZ$8</f>
        <v/>
      </c>
      <c r="H472" s="17" t="n"/>
      <c r="I472" s="125" t="n"/>
      <c r="J472" s="138" t="n"/>
      <c r="K472" s="16" t="n"/>
      <c r="L472" s="17" t="n"/>
      <c r="M472" s="133">
        <f>DADOS_AM!$HZ$9</f>
        <v/>
      </c>
      <c r="N472" s="17" t="n"/>
      <c r="O472" s="125" t="n"/>
      <c r="P472" s="138" t="n"/>
      <c r="Q472" s="16" t="n"/>
      <c r="R472" s="17" t="n"/>
      <c r="S472" s="133">
        <f>DADOS_AM!$HZ$10</f>
        <v/>
      </c>
      <c r="T472" s="17" t="n"/>
      <c r="U472" s="125" t="n"/>
    </row>
    <row r="473" hidden="1" outlineLevel="2">
      <c r="A473" s="8" t="n"/>
      <c r="B473" s="14" t="n"/>
      <c r="C473" s="125" t="n"/>
      <c r="D473" s="139">
        <f>DADOS_AM!$HY$8</f>
        <v/>
      </c>
      <c r="E473" s="19" t="n"/>
      <c r="F473" s="19" t="n"/>
      <c r="G473" s="19" t="n"/>
      <c r="H473" s="20" t="n"/>
      <c r="I473" s="125" t="n"/>
      <c r="J473" s="139">
        <f>DADOS_AM!$HY$9</f>
        <v/>
      </c>
      <c r="K473" s="19" t="n"/>
      <c r="L473" s="19" t="n"/>
      <c r="M473" s="19" t="n"/>
      <c r="N473" s="20" t="n"/>
      <c r="O473" s="125" t="n"/>
      <c r="P473" s="139">
        <f>DADOS_AM!$HY$10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DADOS_AM!$IB$8</f>
        <v/>
      </c>
      <c r="E476" s="19" t="n"/>
      <c r="F476" s="19" t="n"/>
      <c r="G476" s="19" t="n"/>
      <c r="H476" s="20" t="n"/>
      <c r="I476" s="125" t="n"/>
      <c r="J476" s="140">
        <f>DADOS_AM!$IB$9</f>
        <v/>
      </c>
      <c r="K476" s="19" t="n"/>
      <c r="L476" s="19" t="n"/>
      <c r="M476" s="19" t="n"/>
      <c r="N476" s="20" t="n"/>
      <c r="O476" s="125" t="n"/>
      <c r="P476" s="140">
        <f>DADOS_AM!$IB$10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DADOS_AM!$KT$80</f>
        <v/>
      </c>
      <c r="E488" s="141">
        <f>DADOS_AM!$IA$8</f>
        <v/>
      </c>
      <c r="F488" s="16" t="n"/>
      <c r="G488" s="16" t="n"/>
      <c r="H488" s="17" t="n"/>
      <c r="I488" s="125" t="n"/>
      <c r="J488" s="55">
        <f>DADOS_AM!$KT$81</f>
        <v/>
      </c>
      <c r="K488" s="141">
        <f>DADOS_AM!$IA$9</f>
        <v/>
      </c>
      <c r="L488" s="16" t="n"/>
      <c r="M488" s="16" t="n"/>
      <c r="N488" s="17" t="n"/>
      <c r="O488" s="125" t="n"/>
      <c r="P488" s="55">
        <f>DADOS_AM!$KT$82</f>
        <v/>
      </c>
      <c r="Q488" s="141">
        <f>DADOS_AM!$IA$10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DADOS_AM!$HZ$11</f>
        <v/>
      </c>
      <c r="H492" s="17" t="n"/>
      <c r="I492" s="125" t="n"/>
      <c r="J492" s="138" t="n"/>
      <c r="K492" s="16" t="n"/>
      <c r="L492" s="17" t="n"/>
      <c r="M492" s="133">
        <f>DADOS_AM!$HZ$12</f>
        <v/>
      </c>
      <c r="N492" s="17" t="n"/>
      <c r="O492" s="125" t="n"/>
      <c r="P492" s="138" t="n"/>
      <c r="Q492" s="16" t="n"/>
      <c r="R492" s="17" t="n"/>
      <c r="S492" s="133">
        <f>DADOS_AM!$HZ$13</f>
        <v/>
      </c>
      <c r="T492" s="17" t="n"/>
      <c r="U492" s="125" t="n"/>
    </row>
    <row r="493" hidden="1" outlineLevel="2">
      <c r="A493" s="8" t="n"/>
      <c r="B493" s="14" t="n"/>
      <c r="C493" s="125" t="n"/>
      <c r="D493" s="139">
        <f>DADOS_AM!$HY$11</f>
        <v/>
      </c>
      <c r="E493" s="19" t="n"/>
      <c r="F493" s="19" t="n"/>
      <c r="G493" s="19" t="n"/>
      <c r="H493" s="20" t="n"/>
      <c r="I493" s="125" t="n"/>
      <c r="J493" s="139">
        <f>DADOS_AM!$HY$12</f>
        <v/>
      </c>
      <c r="K493" s="19" t="n"/>
      <c r="L493" s="19" t="n"/>
      <c r="M493" s="19" t="n"/>
      <c r="N493" s="20" t="n"/>
      <c r="O493" s="125" t="n"/>
      <c r="P493" s="139">
        <f>DADOS_AM!$HY$13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DADOS_AM!$IB$11</f>
        <v/>
      </c>
      <c r="E496" s="19" t="n"/>
      <c r="F496" s="19" t="n"/>
      <c r="G496" s="19" t="n"/>
      <c r="H496" s="20" t="n"/>
      <c r="I496" s="125" t="n"/>
      <c r="J496" s="140">
        <f>DADOS_AM!$IB$12</f>
        <v/>
      </c>
      <c r="K496" s="19" t="n"/>
      <c r="L496" s="19" t="n"/>
      <c r="M496" s="19" t="n"/>
      <c r="N496" s="20" t="n"/>
      <c r="O496" s="125" t="n"/>
      <c r="P496" s="140">
        <f>DADOS_AM!$IB$13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DADOS_AM!$KT$83</f>
        <v/>
      </c>
      <c r="E508" s="141">
        <f>DADOS_AM!$IA$11</f>
        <v/>
      </c>
      <c r="F508" s="16" t="n"/>
      <c r="G508" s="16" t="n"/>
      <c r="H508" s="17" t="n"/>
      <c r="I508" s="125" t="n"/>
      <c r="J508" s="55">
        <f>DADOS_AM!$KT$84</f>
        <v/>
      </c>
      <c r="K508" s="141">
        <f>DADOS_AM!$IA$12</f>
        <v/>
      </c>
      <c r="L508" s="16" t="n"/>
      <c r="M508" s="16" t="n"/>
      <c r="N508" s="17" t="n"/>
      <c r="O508" s="125" t="n"/>
      <c r="P508" s="55">
        <f>DADOS_AM!$KT$85</f>
        <v/>
      </c>
      <c r="Q508" s="141">
        <f>DADOS_AM!$IA$13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DADOS_AM!$KT$87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90" t="n"/>
      <c r="M518" s="16" t="n"/>
      <c r="N518" s="17" t="n"/>
      <c r="O518" s="125" t="n"/>
      <c r="P518" s="90"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90" t="n"/>
      <c r="M528" s="16" t="n"/>
      <c r="N528" s="17" t="n"/>
      <c r="O528" s="125" t="n"/>
      <c r="P528" s="90"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90" t="n"/>
      <c r="M538" s="16" t="n"/>
      <c r="N538" s="17" t="n"/>
      <c r="O538" s="125" t="n"/>
      <c r="P538" s="90"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DADOS_AM!$CI$2:$CI$33</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DADOS_INVOC!$QS$2</f>
        <v/>
      </c>
      <c r="F13" s="90">
        <f>DADOS_INVOC!$QS$3</f>
        <v/>
      </c>
      <c r="G13" s="125" t="n"/>
      <c r="I13" s="85"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5"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90"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90" t="inlineStr">
        <is>
          <t>Com alma</t>
        </is>
      </c>
      <c r="V18" s="98">
        <f>DADOS_INVOC!$GH$2</f>
        <v/>
      </c>
      <c r="W18" s="98">
        <f>DADOS_INVOC!$GJ$2</f>
        <v/>
      </c>
      <c r="X18" s="90">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90" t="inlineStr">
        <is>
          <t>Com alma</t>
        </is>
      </c>
      <c r="AO18" s="98">
        <f>DADOS_INVOC!$GH$8</f>
        <v/>
      </c>
      <c r="AP18" s="98">
        <f>DADOS_INVOC!$GJ$8</f>
        <v/>
      </c>
      <c r="AQ18" s="90">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DADOS_INVOC!$QS$4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1">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1">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1">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1">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1">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1">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1">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1">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1">
        <f>DADOS_INVOC!$JI$10</f>
        <v/>
      </c>
      <c r="E29" s="16" t="n"/>
      <c r="F29" s="17" t="n"/>
      <c r="G29" s="125" t="n"/>
      <c r="I29" s="21" t="n"/>
      <c r="M29" s="22" t="n"/>
      <c r="N29" s="125" t="n"/>
      <c r="O29" s="98">
        <f>DADOS_INVOC!$HN$2</f>
        <v/>
      </c>
      <c r="P29" s="98">
        <f>DADOS_INVOC!$HO$2</f>
        <v/>
      </c>
      <c r="Q29" s="98">
        <f>DADOS_INVOC!$HP$2</f>
        <v/>
      </c>
      <c r="R29" s="98">
        <f>DADOS_INVOC!$HQ$2</f>
        <v/>
      </c>
      <c r="S29" s="90" t="n"/>
      <c r="T29" s="125" t="n"/>
      <c r="U29" s="21" t="n"/>
      <c r="Y29" s="22" t="n"/>
      <c r="Z29" s="125" t="n"/>
      <c r="AB29" s="21" t="n"/>
      <c r="AF29" s="22" t="n"/>
      <c r="AG29" s="125" t="n"/>
      <c r="AH29" s="98">
        <f>DADOS_INVOC!$HN$8</f>
        <v/>
      </c>
      <c r="AI29" s="98">
        <f>DADOS_INVOC!$HO$8</f>
        <v/>
      </c>
      <c r="AJ29" s="98">
        <f>DADOS_INVOC!$HP$8</f>
        <v/>
      </c>
      <c r="AK29" s="98">
        <f>DADOS_INVOC!$HQ$8</f>
        <v/>
      </c>
      <c r="AL29" s="90" t="n"/>
      <c r="AM29" s="125" t="n"/>
      <c r="AN29" s="21" t="n"/>
      <c r="AR29" s="22" t="n"/>
      <c r="AS29" s="125" t="n"/>
    </row>
    <row r="30">
      <c r="A30" s="8" t="n"/>
      <c r="B30" s="14" t="n"/>
      <c r="C30" s="125" t="n"/>
      <c r="D30" s="91">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1">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1">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90"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90" t="n"/>
      <c r="AS33" s="125" t="n"/>
    </row>
    <row r="34">
      <c r="B34" s="22" t="n"/>
      <c r="C34" s="125" t="n"/>
      <c r="D34" s="125" t="n"/>
      <c r="E34" s="125" t="n"/>
      <c r="F34" s="125" t="n"/>
      <c r="G34" s="125" t="n"/>
      <c r="I34" s="21" t="n"/>
      <c r="M34" s="22" t="n"/>
      <c r="N34" s="125" t="n"/>
      <c r="O34" s="90" t="n"/>
      <c r="P34" s="19" t="n"/>
      <c r="Q34" s="20" t="n"/>
      <c r="R34" s="90" t="inlineStr">
        <is>
          <t>Força</t>
        </is>
      </c>
      <c r="S34" s="20" t="n"/>
      <c r="T34" s="125" t="n"/>
      <c r="U34" s="55" t="inlineStr">
        <is>
          <t>MÃO 2</t>
        </is>
      </c>
      <c r="V34" s="134" t="n"/>
      <c r="W34" s="16" t="n"/>
      <c r="X34" s="17" t="n"/>
      <c r="Y34" s="90" t="n"/>
      <c r="Z34" s="125" t="n"/>
      <c r="AB34" s="21" t="n"/>
      <c r="AF34" s="22" t="n"/>
      <c r="AG34" s="125" t="n"/>
      <c r="AH34" s="90" t="n"/>
      <c r="AI34" s="19" t="n"/>
      <c r="AJ34" s="20" t="n"/>
      <c r="AK34" s="90" t="inlineStr">
        <is>
          <t>Força</t>
        </is>
      </c>
      <c r="AL34" s="20" t="n"/>
      <c r="AM34" s="125" t="n"/>
      <c r="AN34" s="55" t="inlineStr">
        <is>
          <t>MÃO 2</t>
        </is>
      </c>
      <c r="AO34" s="134" t="n"/>
      <c r="AP34" s="16" t="n"/>
      <c r="AQ34" s="17" t="n"/>
      <c r="AR34" s="90"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90" t="n"/>
      <c r="Z35" s="125" t="n"/>
      <c r="AB35" s="21" t="n"/>
      <c r="AF35" s="22" t="n"/>
      <c r="AG35" s="125" t="n"/>
      <c r="AH35" s="23" t="n"/>
      <c r="AI35" s="24" t="n"/>
      <c r="AJ35" s="25" t="n"/>
      <c r="AK35" s="23" t="n"/>
      <c r="AL35" s="25" t="n"/>
      <c r="AM35" s="125" t="n"/>
      <c r="AN35" s="55" t="inlineStr">
        <is>
          <t>VESTE</t>
        </is>
      </c>
      <c r="AO35" s="134" t="n"/>
      <c r="AP35" s="16" t="n"/>
      <c r="AQ35" s="17" t="n"/>
      <c r="AR35" s="90"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90" t="n"/>
      <c r="Z37" s="125" t="n"/>
      <c r="AB37" s="21" t="n"/>
      <c r="AF37" s="22" t="n"/>
      <c r="AG37" s="125" t="n"/>
      <c r="AH37" s="55">
        <f>DADOS_INVOC!$HR$8</f>
        <v/>
      </c>
      <c r="AI37" s="16" t="n"/>
      <c r="AJ37" s="16" t="n"/>
      <c r="AK37" s="16" t="n"/>
      <c r="AL37" s="17" t="n"/>
      <c r="AM37" s="125" t="n"/>
      <c r="AN37" s="134" t="n"/>
      <c r="AO37" s="16" t="n"/>
      <c r="AP37" s="16" t="n"/>
      <c r="AQ37" s="17" t="n"/>
      <c r="AR37" s="90" t="n"/>
      <c r="AS37" s="125" t="n"/>
    </row>
    <row r="38">
      <c r="B38" s="22" t="n"/>
      <c r="C38" s="125" t="n"/>
      <c r="D38" s="125" t="n"/>
      <c r="E38" s="125" t="n"/>
      <c r="F38" s="125" t="n"/>
      <c r="G38" s="125" t="n"/>
      <c r="I38" s="21" t="n"/>
      <c r="M38" s="22" t="n"/>
      <c r="N38" s="125" t="n"/>
      <c r="O38" s="134" t="n"/>
      <c r="P38" s="16" t="n"/>
      <c r="Q38" s="17" t="n"/>
      <c r="R38" s="90">
        <f>DADOS_INVOC!$HS$2</f>
        <v/>
      </c>
      <c r="S38" s="17" t="n"/>
      <c r="T38" s="125" t="n"/>
      <c r="U38" s="134" t="n"/>
      <c r="V38" s="16" t="n"/>
      <c r="W38" s="16" t="n"/>
      <c r="X38" s="17" t="n"/>
      <c r="Y38" s="90" t="n"/>
      <c r="Z38" s="125" t="n"/>
      <c r="AB38" s="21" t="n"/>
      <c r="AF38" s="22" t="n"/>
      <c r="AG38" s="125" t="n"/>
      <c r="AH38" s="134" t="n"/>
      <c r="AI38" s="16" t="n"/>
      <c r="AJ38" s="17" t="n"/>
      <c r="AK38" s="90">
        <f>DADOS_INVOC!$HS$8</f>
        <v/>
      </c>
      <c r="AL38" s="17" t="n"/>
      <c r="AM38" s="125" t="n"/>
      <c r="AN38" s="134" t="n"/>
      <c r="AO38" s="16" t="n"/>
      <c r="AP38" s="16" t="n"/>
      <c r="AQ38" s="17" t="n"/>
      <c r="AR38" s="90" t="n"/>
      <c r="AS38" s="125" t="n"/>
    </row>
    <row r="39">
      <c r="B39" s="22" t="n"/>
      <c r="C39" s="125" t="n"/>
      <c r="D39" s="125" t="n"/>
      <c r="E39" s="125" t="n"/>
      <c r="F39" s="125" t="n"/>
      <c r="G39" s="125" t="n"/>
      <c r="I39" s="21" t="n"/>
      <c r="M39" s="22" t="n"/>
      <c r="N39" s="125" t="n"/>
      <c r="O39" s="134" t="n"/>
      <c r="P39" s="16" t="n"/>
      <c r="Q39" s="17" t="n"/>
      <c r="R39" s="90">
        <f>DADOS_INVOC!$HT$2</f>
        <v/>
      </c>
      <c r="S39" s="17" t="n"/>
      <c r="T39" s="125" t="n"/>
      <c r="U39" s="134" t="n"/>
      <c r="V39" s="16" t="n"/>
      <c r="W39" s="16" t="n"/>
      <c r="X39" s="17" t="n"/>
      <c r="Y39" s="90" t="n"/>
      <c r="Z39" s="125" t="n"/>
      <c r="AB39" s="21" t="n"/>
      <c r="AF39" s="22" t="n"/>
      <c r="AG39" s="125" t="n"/>
      <c r="AH39" s="134" t="n"/>
      <c r="AI39" s="16" t="n"/>
      <c r="AJ39" s="17" t="n"/>
      <c r="AK39" s="90">
        <f>DADOS_INVOC!$HT$8</f>
        <v/>
      </c>
      <c r="AL39" s="17" t="n"/>
      <c r="AM39" s="125" t="n"/>
      <c r="AN39" s="134" t="n"/>
      <c r="AO39" s="16" t="n"/>
      <c r="AP39" s="16" t="n"/>
      <c r="AQ39" s="17" t="n"/>
      <c r="AR39" s="90" t="n"/>
      <c r="AS39" s="125" t="n"/>
    </row>
    <row r="40">
      <c r="B40" s="22" t="n"/>
      <c r="C40" s="125" t="n"/>
      <c r="D40" s="125" t="n"/>
      <c r="E40" s="125" t="n"/>
      <c r="F40" s="125" t="n"/>
      <c r="G40" s="125" t="n"/>
      <c r="I40" s="23" t="n"/>
      <c r="J40" s="24" t="n"/>
      <c r="K40" s="24" t="n"/>
      <c r="L40" s="24" t="n"/>
      <c r="M40" s="25" t="n"/>
      <c r="N40" s="125" t="n"/>
      <c r="O40" s="134" t="n"/>
      <c r="P40" s="16" t="n"/>
      <c r="Q40" s="17" t="n"/>
      <c r="R40" s="90">
        <f>DADOS_INVOC!$HU$2</f>
        <v/>
      </c>
      <c r="S40" s="17" t="n"/>
      <c r="T40" s="125" t="n"/>
      <c r="U40" s="134" t="n"/>
      <c r="V40" s="16" t="n"/>
      <c r="W40" s="16" t="n"/>
      <c r="X40" s="17" t="n"/>
      <c r="Y40" s="90" t="n"/>
      <c r="Z40" s="125" t="n"/>
      <c r="AB40" s="23" t="n"/>
      <c r="AC40" s="24" t="n"/>
      <c r="AD40" s="24" t="n"/>
      <c r="AE40" s="24" t="n"/>
      <c r="AF40" s="25" t="n"/>
      <c r="AG40" s="125" t="n"/>
      <c r="AH40" s="134" t="n"/>
      <c r="AI40" s="16" t="n"/>
      <c r="AJ40" s="17" t="n"/>
      <c r="AK40" s="90">
        <f>DADOS_INVOC!$HU$8</f>
        <v/>
      </c>
      <c r="AL40" s="17" t="n"/>
      <c r="AM40" s="125" t="n"/>
      <c r="AN40" s="134" t="n"/>
      <c r="AO40" s="16" t="n"/>
      <c r="AP40" s="16" t="n"/>
      <c r="AQ40" s="17" t="n"/>
      <c r="AR40" s="90" t="n"/>
      <c r="AS40" s="125" t="n"/>
    </row>
    <row r="41">
      <c r="B41" s="22" t="n"/>
      <c r="C41" s="125" t="n"/>
      <c r="D41" s="125" t="n"/>
      <c r="E41" s="125" t="n"/>
      <c r="F41" s="125" t="n"/>
      <c r="G41" s="125" t="n"/>
      <c r="I41" s="125" t="n"/>
      <c r="J41" s="125" t="n"/>
      <c r="K41" s="125" t="n"/>
      <c r="L41" s="125" t="n"/>
      <c r="M41" s="125" t="n"/>
      <c r="N41" s="125" t="n"/>
      <c r="O41" s="134" t="n"/>
      <c r="P41" s="16" t="n"/>
      <c r="Q41" s="17" t="n"/>
      <c r="R41" s="90">
        <f>DADOS_INVOC!$HV$2</f>
        <v/>
      </c>
      <c r="S41" s="17" t="n"/>
      <c r="T41" s="125" t="n"/>
      <c r="U41" s="134" t="n"/>
      <c r="V41" s="16" t="n"/>
      <c r="W41" s="16" t="n"/>
      <c r="X41" s="17" t="n"/>
      <c r="Y41" s="90" t="n"/>
      <c r="Z41" s="125" t="n"/>
      <c r="AB41" s="125" t="n"/>
      <c r="AC41" s="125" t="n"/>
      <c r="AD41" s="125" t="n"/>
      <c r="AE41" s="125" t="n"/>
      <c r="AF41" s="125" t="n"/>
      <c r="AG41" s="125" t="n"/>
      <c r="AH41" s="134" t="n"/>
      <c r="AI41" s="16" t="n"/>
      <c r="AJ41" s="17" t="n"/>
      <c r="AK41" s="90">
        <f>DADOS_INVOC!$HV$8</f>
        <v/>
      </c>
      <c r="AL41" s="17" t="n"/>
      <c r="AM41" s="125" t="n"/>
      <c r="AN41" s="134" t="n"/>
      <c r="AO41" s="16" t="n"/>
      <c r="AP41" s="16" t="n"/>
      <c r="AQ41" s="17" t="n"/>
      <c r="AR41" s="90"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90">
        <f>DADOS_INVOC!$HW$2</f>
        <v/>
      </c>
      <c r="S42" s="17" t="n"/>
      <c r="T42" s="125" t="n"/>
      <c r="U42" s="134" t="n"/>
      <c r="V42" s="16" t="n"/>
      <c r="W42" s="16" t="n"/>
      <c r="X42" s="17" t="n"/>
      <c r="Y42" s="90" t="n"/>
      <c r="Z42" s="125" t="n"/>
      <c r="AB42" s="55" t="inlineStr">
        <is>
          <t>TIPO</t>
        </is>
      </c>
      <c r="AC42" s="16" t="n"/>
      <c r="AD42" s="16" t="n"/>
      <c r="AE42" s="16" t="n"/>
      <c r="AF42" s="17" t="n"/>
      <c r="AG42" s="125" t="n"/>
      <c r="AH42" s="134" t="n"/>
      <c r="AI42" s="16" t="n"/>
      <c r="AJ42" s="17" t="n"/>
      <c r="AK42" s="90">
        <f>DADOS_INVOC!$HW$8</f>
        <v/>
      </c>
      <c r="AL42" s="17" t="n"/>
      <c r="AM42" s="125" t="n"/>
      <c r="AN42" s="134" t="n"/>
      <c r="AO42" s="16" t="n"/>
      <c r="AP42" s="16" t="n"/>
      <c r="AQ42" s="17" t="n"/>
      <c r="AR42" s="90" t="n"/>
      <c r="AS42" s="125" t="n"/>
    </row>
    <row r="43">
      <c r="B43" s="22" t="n"/>
      <c r="C43" s="125" t="n"/>
      <c r="D43" s="125" t="n"/>
      <c r="E43" s="125" t="n"/>
      <c r="F43" s="125" t="n"/>
      <c r="G43" s="125" t="n"/>
      <c r="I43" s="90" t="inlineStr">
        <is>
          <t>Shikigami de técnica</t>
        </is>
      </c>
      <c r="J43" s="19" t="n"/>
      <c r="K43" s="19" t="n"/>
      <c r="L43" s="19" t="n"/>
      <c r="M43" s="20" t="n"/>
      <c r="N43" s="125" t="n"/>
      <c r="O43" s="134" t="n"/>
      <c r="P43" s="16" t="n"/>
      <c r="Q43" s="17" t="n"/>
      <c r="R43" s="90">
        <f>DADOS_INVOC!$HX$2</f>
        <v/>
      </c>
      <c r="S43" s="17" t="n"/>
      <c r="T43" s="125" t="n"/>
      <c r="U43" s="125" t="n"/>
      <c r="V43" s="125" t="n"/>
      <c r="W43" s="125" t="n"/>
      <c r="X43" s="125" t="n"/>
      <c r="Y43" s="125" t="n"/>
      <c r="Z43" s="125" t="n"/>
      <c r="AB43" s="90" t="inlineStr">
        <is>
          <t>Shikigami de técnica</t>
        </is>
      </c>
      <c r="AC43" s="19" t="n"/>
      <c r="AD43" s="19" t="n"/>
      <c r="AE43" s="19" t="n"/>
      <c r="AF43" s="20" t="n"/>
      <c r="AG43" s="125" t="n"/>
      <c r="AH43" s="134" t="n"/>
      <c r="AI43" s="16" t="n"/>
      <c r="AJ43" s="17" t="n"/>
      <c r="AK43" s="90">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90">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90">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90" t="inlineStr">
        <is>
          <t>Espaço conhecido</t>
        </is>
      </c>
      <c r="J47" s="20" t="n"/>
      <c r="K47" s="90" t="n"/>
      <c r="L47" s="90"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90" t="inlineStr">
        <is>
          <t>Espaço conhecido</t>
        </is>
      </c>
      <c r="AC47" s="20" t="n"/>
      <c r="AD47" s="90" t="n"/>
      <c r="AE47" s="90"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90" t="n"/>
      <c r="P48" s="90" t="n"/>
      <c r="Q48" s="90" t="n"/>
      <c r="R48" s="90" t="n"/>
      <c r="S48" s="90" t="n"/>
      <c r="T48" s="125" t="n"/>
      <c r="U48" s="21" t="n"/>
      <c r="Y48" s="22" t="n"/>
      <c r="Z48" s="125" t="n"/>
      <c r="AB48" s="23" t="n"/>
      <c r="AC48" s="25" t="n"/>
      <c r="AD48" s="129" t="n"/>
      <c r="AE48" s="23" t="n"/>
      <c r="AF48" s="25" t="n"/>
      <c r="AG48" s="125" t="n"/>
      <c r="AH48" s="90" t="n"/>
      <c r="AI48" s="90" t="n"/>
      <c r="AJ48" s="90" t="n"/>
      <c r="AK48" s="90" t="n"/>
      <c r="AL48" s="90"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DADOS_INVOC!$PX$2</f>
        <v/>
      </c>
      <c r="J57" s="16" t="n"/>
      <c r="K57" s="16" t="n"/>
      <c r="L57" s="16" t="n"/>
      <c r="M57" s="17" t="n"/>
      <c r="N57" s="125" t="n"/>
      <c r="O57" s="55">
        <f>DADOS_INVOC!$PX$3</f>
        <v/>
      </c>
      <c r="P57" s="16" t="n"/>
      <c r="Q57" s="16" t="n"/>
      <c r="R57" s="16" t="n"/>
      <c r="S57" s="17" t="n"/>
      <c r="T57" s="125" t="n"/>
      <c r="U57" s="55">
        <f>DADOS_INVOC!$PX$4</f>
        <v/>
      </c>
      <c r="V57" s="16" t="n"/>
      <c r="W57" s="16" t="n"/>
      <c r="X57" s="16" t="n"/>
      <c r="Y57" s="17" t="n"/>
      <c r="Z57" s="125" t="n"/>
      <c r="AB57" s="55">
        <f>DADOS_INVOC!$PX$80</f>
        <v/>
      </c>
      <c r="AC57" s="16" t="n"/>
      <c r="AD57" s="16" t="n"/>
      <c r="AE57" s="16" t="n"/>
      <c r="AF57" s="17" t="n"/>
      <c r="AG57" s="125" t="n"/>
      <c r="AH57" s="55">
        <f>DADOS_INVOC!$PX$81</f>
        <v/>
      </c>
      <c r="AI57" s="16" t="n"/>
      <c r="AJ57" s="16" t="n"/>
      <c r="AK57" s="16" t="n"/>
      <c r="AL57" s="17" t="n"/>
      <c r="AM57" s="125" t="n"/>
      <c r="AN57" s="55">
        <f>DADOS_INVOC!$PX$82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DADOS_INVOC!$PV$2</f>
        <v/>
      </c>
      <c r="N58" s="125" t="n"/>
      <c r="O58" s="131" t="n">
        <v>1</v>
      </c>
      <c r="P58" s="120" t="n"/>
      <c r="Q58" s="16" t="n"/>
      <c r="R58" s="17" t="n"/>
      <c r="S58" s="132">
        <f>DADOS_INVOC!$PV$3</f>
        <v/>
      </c>
      <c r="T58" s="125" t="n"/>
      <c r="U58" s="131" t="n">
        <v>1</v>
      </c>
      <c r="V58" s="120" t="n"/>
      <c r="W58" s="16" t="n"/>
      <c r="X58" s="17" t="n"/>
      <c r="Y58" s="132">
        <f>DADOS_INVOC!$PV$4</f>
        <v/>
      </c>
      <c r="Z58" s="125" t="n"/>
      <c r="AB58" s="131" t="n">
        <v>0</v>
      </c>
      <c r="AC58" s="120" t="n"/>
      <c r="AD58" s="16" t="n"/>
      <c r="AE58" s="17" t="n"/>
      <c r="AF58" s="132">
        <f>DADOS_INVOC!$PV$80</f>
        <v/>
      </c>
      <c r="AG58" s="125" t="n"/>
      <c r="AH58" s="131" t="n">
        <v>1</v>
      </c>
      <c r="AI58" s="120" t="n"/>
      <c r="AJ58" s="16" t="n"/>
      <c r="AK58" s="17" t="n"/>
      <c r="AL58" s="132">
        <f>DADOS_INVOC!$PV$81</f>
        <v/>
      </c>
      <c r="AM58" s="125" t="n"/>
      <c r="AN58" s="131" t="n">
        <v>1</v>
      </c>
      <c r="AO58" s="120" t="n"/>
      <c r="AP58" s="16" t="n"/>
      <c r="AQ58" s="17" t="n"/>
      <c r="AR58" s="132">
        <f>DADOS_INVOC!$PV$82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90" t="inlineStr">
        <is>
          <t>Projétil</t>
        </is>
      </c>
      <c r="J63" s="17" t="n"/>
      <c r="K63" s="68">
        <f>DADOS_INVOC!$QC$2</f>
        <v/>
      </c>
      <c r="L63" s="17" t="n"/>
      <c r="M63" s="68">
        <f>DADOS_INVOC!$PY$2</f>
        <v/>
      </c>
      <c r="N63" s="125" t="n"/>
      <c r="O63" s="90" t="inlineStr">
        <is>
          <t>Projétil</t>
        </is>
      </c>
      <c r="P63" s="17" t="n"/>
      <c r="Q63" s="68">
        <f>DADOS_INVOC!$QC$3</f>
        <v/>
      </c>
      <c r="R63" s="17" t="n"/>
      <c r="S63" s="68">
        <f>DADOS_INVOC!$PY$3</f>
        <v/>
      </c>
      <c r="T63" s="125" t="n"/>
      <c r="U63" s="90" t="inlineStr">
        <is>
          <t>Projétil</t>
        </is>
      </c>
      <c r="V63" s="17" t="n"/>
      <c r="W63" s="68">
        <f>DADOS_INVOC!$QC$4</f>
        <v/>
      </c>
      <c r="X63" s="17" t="n"/>
      <c r="Y63" s="68">
        <f>DADOS_INVOC!$PY$4</f>
        <v/>
      </c>
      <c r="Z63" s="125" t="n"/>
      <c r="AB63" s="90" t="inlineStr">
        <is>
          <t>Projétil</t>
        </is>
      </c>
      <c r="AC63" s="17" t="n"/>
      <c r="AD63" s="68">
        <f>DADOS_INVOC!$QC$80</f>
        <v/>
      </c>
      <c r="AE63" s="17" t="n"/>
      <c r="AF63" s="68">
        <f>DADOS_INVOC!$PY$80</f>
        <v/>
      </c>
      <c r="AG63" s="125" t="n"/>
      <c r="AH63" s="90" t="inlineStr">
        <is>
          <t>Projétil</t>
        </is>
      </c>
      <c r="AI63" s="17" t="n"/>
      <c r="AJ63" s="68">
        <f>DADOS_INVOC!$QC$81</f>
        <v/>
      </c>
      <c r="AK63" s="17" t="n"/>
      <c r="AL63" s="68">
        <f>DADOS_INVOC!$PY$81</f>
        <v/>
      </c>
      <c r="AM63" s="125" t="n"/>
      <c r="AN63" s="90" t="inlineStr">
        <is>
          <t>Projétil</t>
        </is>
      </c>
      <c r="AO63" s="17" t="n"/>
      <c r="AP63" s="68">
        <f>DADOS_INVOC!$QC$82</f>
        <v/>
      </c>
      <c r="AQ63" s="17" t="n"/>
      <c r="AR63" s="68">
        <f>DADOS_INVOC!$PY$82</f>
        <v/>
      </c>
      <c r="AS63" s="125" t="n"/>
    </row>
    <row r="64" outlineLevel="1">
      <c r="A64" s="8" t="n"/>
      <c r="B64" s="14" t="n"/>
      <c r="C64" s="125" t="n"/>
      <c r="D64" s="125" t="n"/>
      <c r="E64" s="125" t="n"/>
      <c r="F64" s="125" t="n"/>
      <c r="G64" s="125" t="n"/>
      <c r="I64" s="90" t="n"/>
      <c r="J64" s="17" t="n"/>
      <c r="K64" s="90" t="n"/>
      <c r="L64" s="16" t="n"/>
      <c r="M64" s="17" t="n"/>
      <c r="N64" s="125" t="n"/>
      <c r="O64" s="90" t="n"/>
      <c r="P64" s="17" t="n"/>
      <c r="Q64" s="90" t="n"/>
      <c r="R64" s="16" t="n"/>
      <c r="S64" s="17" t="n"/>
      <c r="T64" s="125" t="n"/>
      <c r="U64" s="90" t="n"/>
      <c r="V64" s="17" t="n"/>
      <c r="W64" s="90" t="n"/>
      <c r="X64" s="16" t="n"/>
      <c r="Y64" s="17" t="n"/>
      <c r="Z64" s="125" t="n"/>
      <c r="AB64" s="90" t="n"/>
      <c r="AC64" s="17" t="n"/>
      <c r="AD64" s="90" t="n"/>
      <c r="AE64" s="16" t="n"/>
      <c r="AF64" s="17" t="n"/>
      <c r="AG64" s="125" t="n"/>
      <c r="AH64" s="90" t="n"/>
      <c r="AI64" s="17" t="n"/>
      <c r="AJ64" s="90" t="n"/>
      <c r="AK64" s="16" t="n"/>
      <c r="AL64" s="17" t="n"/>
      <c r="AM64" s="125" t="n"/>
      <c r="AN64" s="90" t="n"/>
      <c r="AO64" s="17" t="n"/>
      <c r="AP64" s="90" t="n"/>
      <c r="AQ64" s="16" t="n"/>
      <c r="AR64" s="17" t="n"/>
      <c r="AS64" s="125" t="n"/>
    </row>
    <row r="65" outlineLevel="1">
      <c r="A65" s="8" t="n"/>
      <c r="B65" s="14" t="n"/>
      <c r="C65" s="125" t="n"/>
      <c r="D65" s="125" t="n"/>
      <c r="E65" s="125" t="n"/>
      <c r="F65" s="125" t="n"/>
      <c r="G65" s="125" t="n"/>
      <c r="I65" s="90">
        <f>DADOS_INVOC!$PZ$2</f>
        <v/>
      </c>
      <c r="J65" s="17" t="n"/>
      <c r="K65" s="90">
        <f>DADOS_INVOC!$QB$2</f>
        <v/>
      </c>
      <c r="L65" s="16" t="n"/>
      <c r="M65" s="17" t="n"/>
      <c r="N65" s="125" t="n"/>
      <c r="O65" s="90">
        <f>DADOS_INVOC!$PZ$3</f>
        <v/>
      </c>
      <c r="P65" s="17" t="n"/>
      <c r="Q65" s="90">
        <f>DADOS_INVOC!$QB$3</f>
        <v/>
      </c>
      <c r="R65" s="16" t="n"/>
      <c r="S65" s="17" t="n"/>
      <c r="T65" s="125" t="n"/>
      <c r="U65" s="90">
        <f>DADOS_INVOC!$PZ$4</f>
        <v/>
      </c>
      <c r="V65" s="17" t="n"/>
      <c r="W65" s="90">
        <f>DADOS_INVOC!$QB$4</f>
        <v/>
      </c>
      <c r="X65" s="16" t="n"/>
      <c r="Y65" s="17" t="n"/>
      <c r="Z65" s="125" t="n"/>
      <c r="AB65" s="90">
        <f>DADOS_INVOC!$PZ$80</f>
        <v/>
      </c>
      <c r="AC65" s="17" t="n"/>
      <c r="AD65" s="90">
        <f>DADOS_INVOC!$QB$80</f>
        <v/>
      </c>
      <c r="AE65" s="16" t="n"/>
      <c r="AF65" s="17" t="n"/>
      <c r="AG65" s="125" t="n"/>
      <c r="AH65" s="90">
        <f>DADOS_INVOC!$PZ$81</f>
        <v/>
      </c>
      <c r="AI65" s="17" t="n"/>
      <c r="AJ65" s="90">
        <f>DADOS_INVOC!$QB$81</f>
        <v/>
      </c>
      <c r="AK65" s="16" t="n"/>
      <c r="AL65" s="17" t="n"/>
      <c r="AM65" s="125" t="n"/>
      <c r="AN65" s="90">
        <f>DADOS_INVOC!$PZ$82</f>
        <v/>
      </c>
      <c r="AO65" s="17" t="n"/>
      <c r="AP65" s="90">
        <f>DADOS_INVOC!$QB$82</f>
        <v/>
      </c>
      <c r="AQ65" s="16" t="n"/>
      <c r="AR65" s="17" t="n"/>
      <c r="AS65" s="125" t="n"/>
    </row>
    <row r="66" outlineLevel="1">
      <c r="A66" s="8" t="n"/>
      <c r="B66" s="14" t="n"/>
      <c r="C66" s="125" t="n"/>
      <c r="D66" s="125" t="n"/>
      <c r="E66" s="125" t="n"/>
      <c r="F66" s="125" t="n"/>
      <c r="G66" s="125" t="n"/>
      <c r="I66" s="133">
        <f>DADOS_INVOC!$QH$2</f>
        <v/>
      </c>
      <c r="J66" s="16" t="n"/>
      <c r="K66" s="16" t="n"/>
      <c r="L66" s="16" t="n"/>
      <c r="M66" s="17" t="n"/>
      <c r="N66" s="125" t="n"/>
      <c r="O66" s="133">
        <f>DADOS_INVOC!$QH$3</f>
        <v/>
      </c>
      <c r="P66" s="16" t="n"/>
      <c r="Q66" s="16" t="n"/>
      <c r="R66" s="16" t="n"/>
      <c r="S66" s="17" t="n"/>
      <c r="T66" s="125" t="n"/>
      <c r="U66" s="133">
        <f>DADOS_INVOC!$QH$4</f>
        <v/>
      </c>
      <c r="V66" s="16" t="n"/>
      <c r="W66" s="16" t="n"/>
      <c r="X66" s="16" t="n"/>
      <c r="Y66" s="17" t="n"/>
      <c r="Z66" s="125" t="n"/>
      <c r="AB66" s="133">
        <f>DADOS_INVOC!$QH$80</f>
        <v/>
      </c>
      <c r="AC66" s="16" t="n"/>
      <c r="AD66" s="16" t="n"/>
      <c r="AE66" s="16" t="n"/>
      <c r="AF66" s="17" t="n"/>
      <c r="AG66" s="125" t="n"/>
      <c r="AH66" s="133">
        <f>DADOS_INVOC!$QH$81</f>
        <v/>
      </c>
      <c r="AI66" s="16" t="n"/>
      <c r="AJ66" s="16" t="n"/>
      <c r="AK66" s="16" t="n"/>
      <c r="AL66" s="17" t="n"/>
      <c r="AM66" s="125" t="n"/>
      <c r="AN66" s="133">
        <f>DADOS_INVOC!$QH$82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DADOS_INVOC!$QK$2</f>
        <v/>
      </c>
      <c r="N67" s="125" t="n"/>
      <c r="O67" s="55" t="inlineStr">
        <is>
          <t>MELHORIAS</t>
        </is>
      </c>
      <c r="P67" s="134" t="n"/>
      <c r="Q67" s="16" t="n"/>
      <c r="R67" s="17" t="n"/>
      <c r="S67" s="133">
        <f>DADOS_INVOC!$QK$3</f>
        <v/>
      </c>
      <c r="T67" s="125" t="n"/>
      <c r="U67" s="55" t="inlineStr">
        <is>
          <t>MELHORIAS</t>
        </is>
      </c>
      <c r="V67" s="134" t="n"/>
      <c r="W67" s="16" t="n"/>
      <c r="X67" s="17" t="n"/>
      <c r="Y67" s="133">
        <f>DADOS_INVOC!$QK$4</f>
        <v/>
      </c>
      <c r="Z67" s="125" t="n"/>
      <c r="AB67" s="55" t="inlineStr">
        <is>
          <t>MELHORIAS</t>
        </is>
      </c>
      <c r="AC67" s="134" t="n"/>
      <c r="AD67" s="16" t="n"/>
      <c r="AE67" s="17" t="n"/>
      <c r="AF67" s="133">
        <f>DADOS_INVOC!$QK$80</f>
        <v/>
      </c>
      <c r="AG67" s="125" t="n"/>
      <c r="AH67" s="55" t="inlineStr">
        <is>
          <t>MELHORIAS</t>
        </is>
      </c>
      <c r="AI67" s="134" t="n"/>
      <c r="AJ67" s="16" t="n"/>
      <c r="AK67" s="17" t="n"/>
      <c r="AL67" s="133">
        <f>DADOS_INVOC!$QK$81</f>
        <v/>
      </c>
      <c r="AM67" s="125" t="n"/>
      <c r="AN67" s="55" t="inlineStr">
        <is>
          <t>MELHORIAS</t>
        </is>
      </c>
      <c r="AO67" s="134" t="n"/>
      <c r="AP67" s="16" t="n"/>
      <c r="AQ67" s="17" t="n"/>
      <c r="AR67" s="133">
        <f>DADOS_INVOC!$QK$82</f>
        <v/>
      </c>
      <c r="AS67" s="125" t="n"/>
    </row>
    <row r="68" hidden="1" outlineLevel="2">
      <c r="A68" s="8" t="n"/>
      <c r="B68" s="14" t="n"/>
      <c r="C68" s="125" t="n"/>
      <c r="D68" s="125" t="n"/>
      <c r="E68" s="125" t="n"/>
      <c r="F68" s="125" t="n"/>
      <c r="G68" s="125" t="n"/>
      <c r="I68" s="135" t="n"/>
      <c r="J68" s="134" t="n"/>
      <c r="K68" s="16" t="n"/>
      <c r="L68" s="17" t="n"/>
      <c r="M68" s="133">
        <f>DADOS_INVOC!$QL$2</f>
        <v/>
      </c>
      <c r="N68" s="125" t="n"/>
      <c r="O68" s="135" t="n"/>
      <c r="P68" s="134" t="n"/>
      <c r="Q68" s="16" t="n"/>
      <c r="R68" s="17" t="n"/>
      <c r="S68" s="133">
        <f>DADOS_INVOC!$QL$3</f>
        <v/>
      </c>
      <c r="T68" s="125" t="n"/>
      <c r="U68" s="135" t="n"/>
      <c r="V68" s="134" t="n"/>
      <c r="W68" s="16" t="n"/>
      <c r="X68" s="17" t="n"/>
      <c r="Y68" s="133">
        <f>DADOS_INVOC!$QL$4</f>
        <v/>
      </c>
      <c r="Z68" s="125" t="n"/>
      <c r="AB68" s="135" t="n"/>
      <c r="AC68" s="134" t="n"/>
      <c r="AD68" s="16" t="n"/>
      <c r="AE68" s="17" t="n"/>
      <c r="AF68" s="133">
        <f>DADOS_INVOC!$QL$80</f>
        <v/>
      </c>
      <c r="AG68" s="125" t="n"/>
      <c r="AH68" s="135" t="n"/>
      <c r="AI68" s="134" t="n"/>
      <c r="AJ68" s="16" t="n"/>
      <c r="AK68" s="17" t="n"/>
      <c r="AL68" s="133">
        <f>DADOS_INVOC!$QL$81</f>
        <v/>
      </c>
      <c r="AM68" s="125" t="n"/>
      <c r="AN68" s="135" t="n"/>
      <c r="AO68" s="134" t="n"/>
      <c r="AP68" s="16" t="n"/>
      <c r="AQ68" s="17" t="n"/>
      <c r="AR68" s="133">
        <f>DADOS_INVOC!$QL$82</f>
        <v/>
      </c>
      <c r="AS68" s="125" t="n"/>
    </row>
    <row r="69" hidden="1" outlineLevel="2">
      <c r="A69" s="8" t="n"/>
      <c r="B69" s="14" t="n"/>
      <c r="C69" s="125" t="n"/>
      <c r="D69" s="125" t="n"/>
      <c r="E69" s="125" t="n"/>
      <c r="F69" s="125" t="n"/>
      <c r="G69" s="125" t="n"/>
      <c r="I69" s="135" t="n"/>
      <c r="J69" s="134" t="n"/>
      <c r="K69" s="16" t="n"/>
      <c r="L69" s="17" t="n"/>
      <c r="M69" s="133">
        <f>DADOS_INVOC!$QM$2</f>
        <v/>
      </c>
      <c r="N69" s="125" t="n"/>
      <c r="O69" s="135" t="n"/>
      <c r="P69" s="134" t="n"/>
      <c r="Q69" s="16" t="n"/>
      <c r="R69" s="17" t="n"/>
      <c r="S69" s="133">
        <f>DADOS_INVOC!$QM$3</f>
        <v/>
      </c>
      <c r="T69" s="125" t="n"/>
      <c r="U69" s="135" t="n"/>
      <c r="V69" s="134" t="n"/>
      <c r="W69" s="16" t="n"/>
      <c r="X69" s="17" t="n"/>
      <c r="Y69" s="133">
        <f>DADOS_INVOC!$QM$4</f>
        <v/>
      </c>
      <c r="Z69" s="125" t="n"/>
      <c r="AB69" s="135" t="n"/>
      <c r="AC69" s="134" t="n"/>
      <c r="AD69" s="16" t="n"/>
      <c r="AE69" s="17" t="n"/>
      <c r="AF69" s="133">
        <f>DADOS_INVOC!$QM$80</f>
        <v/>
      </c>
      <c r="AG69" s="125" t="n"/>
      <c r="AH69" s="135" t="n"/>
      <c r="AI69" s="134" t="n"/>
      <c r="AJ69" s="16" t="n"/>
      <c r="AK69" s="17" t="n"/>
      <c r="AL69" s="133">
        <f>DADOS_INVOC!$QM$81</f>
        <v/>
      </c>
      <c r="AM69" s="125" t="n"/>
      <c r="AN69" s="135" t="n"/>
      <c r="AO69" s="134" t="n"/>
      <c r="AP69" s="16" t="n"/>
      <c r="AQ69" s="17" t="n"/>
      <c r="AR69" s="133">
        <f>DADOS_INVOC!$QM$82</f>
        <v/>
      </c>
      <c r="AS69" s="125" t="n"/>
    </row>
    <row r="70" hidden="1" outlineLevel="2">
      <c r="A70" s="8" t="n"/>
      <c r="B70" s="14" t="n"/>
      <c r="C70" s="125" t="n"/>
      <c r="D70" s="125" t="n"/>
      <c r="E70" s="125" t="n"/>
      <c r="F70" s="125" t="n"/>
      <c r="G70" s="125" t="n"/>
      <c r="I70" s="129" t="n"/>
      <c r="J70" s="134" t="n"/>
      <c r="K70" s="16" t="n"/>
      <c r="L70" s="17" t="n"/>
      <c r="M70" s="133">
        <f>DADOS_INVOC!$QN$2</f>
        <v/>
      </c>
      <c r="N70" s="125" t="n"/>
      <c r="O70" s="129" t="n"/>
      <c r="P70" s="134" t="n"/>
      <c r="Q70" s="16" t="n"/>
      <c r="R70" s="17" t="n"/>
      <c r="S70" s="133">
        <f>DADOS_INVOC!$QN$3</f>
        <v/>
      </c>
      <c r="T70" s="125" t="n"/>
      <c r="U70" s="129" t="n"/>
      <c r="V70" s="134" t="n"/>
      <c r="W70" s="16" t="n"/>
      <c r="X70" s="17" t="n"/>
      <c r="Y70" s="133">
        <f>DADOS_INVOC!$QN$4</f>
        <v/>
      </c>
      <c r="Z70" s="125" t="n"/>
      <c r="AB70" s="129" t="n"/>
      <c r="AC70" s="134" t="n"/>
      <c r="AD70" s="16" t="n"/>
      <c r="AE70" s="17" t="n"/>
      <c r="AF70" s="133">
        <f>DADOS_INVOC!$QN$80</f>
        <v/>
      </c>
      <c r="AG70" s="125" t="n"/>
      <c r="AH70" s="129" t="n"/>
      <c r="AI70" s="134" t="n"/>
      <c r="AJ70" s="16" t="n"/>
      <c r="AK70" s="17" t="n"/>
      <c r="AL70" s="133">
        <f>DADOS_INVOC!$QN$81</f>
        <v/>
      </c>
      <c r="AM70" s="125" t="n"/>
      <c r="AN70" s="129" t="n"/>
      <c r="AO70" s="134" t="n"/>
      <c r="AP70" s="16" t="n"/>
      <c r="AQ70" s="17" t="n"/>
      <c r="AR70" s="133">
        <f>DADOS_INVOC!$QN$82</f>
        <v/>
      </c>
      <c r="AS70" s="125" t="n"/>
    </row>
    <row r="71" hidden="1" outlineLevel="2">
      <c r="A71" s="8" t="n"/>
      <c r="B71" s="14" t="n"/>
      <c r="C71" s="125" t="n"/>
      <c r="D71" s="125" t="n"/>
      <c r="E71" s="125" t="n"/>
      <c r="F71" s="125" t="n"/>
      <c r="G71" s="125" t="n"/>
      <c r="I71" s="55" t="inlineStr">
        <is>
          <t>RESTRIÇÕES</t>
        </is>
      </c>
      <c r="J71" s="134" t="n"/>
      <c r="K71" s="16" t="n"/>
      <c r="L71" s="17" t="n"/>
      <c r="M71" s="133">
        <f>DADOS_INVOC!$QO$2</f>
        <v/>
      </c>
      <c r="N71" s="125" t="n"/>
      <c r="O71" s="55" t="inlineStr">
        <is>
          <t>RESTRIÇÕES</t>
        </is>
      </c>
      <c r="P71" s="134" t="n"/>
      <c r="Q71" s="16" t="n"/>
      <c r="R71" s="17" t="n"/>
      <c r="S71" s="133">
        <f>DADOS_INVOC!$QO$3</f>
        <v/>
      </c>
      <c r="T71" s="125" t="n"/>
      <c r="U71" s="55" t="inlineStr">
        <is>
          <t>RESTRIÇÕES</t>
        </is>
      </c>
      <c r="V71" s="134" t="n"/>
      <c r="W71" s="16" t="n"/>
      <c r="X71" s="17" t="n"/>
      <c r="Y71" s="133">
        <f>DADOS_INVOC!$QO$4</f>
        <v/>
      </c>
      <c r="Z71" s="125" t="n"/>
      <c r="AB71" s="55" t="inlineStr">
        <is>
          <t>RESTRIÇÕES</t>
        </is>
      </c>
      <c r="AC71" s="134" t="n"/>
      <c r="AD71" s="16" t="n"/>
      <c r="AE71" s="17" t="n"/>
      <c r="AF71" s="133">
        <f>DADOS_INVOC!$QO$80</f>
        <v/>
      </c>
      <c r="AG71" s="125" t="n"/>
      <c r="AH71" s="55" t="inlineStr">
        <is>
          <t>RESTRIÇÕES</t>
        </is>
      </c>
      <c r="AI71" s="134" t="n"/>
      <c r="AJ71" s="16" t="n"/>
      <c r="AK71" s="17" t="n"/>
      <c r="AL71" s="133">
        <f>DADOS_INVOC!$QO$81</f>
        <v/>
      </c>
      <c r="AM71" s="125" t="n"/>
      <c r="AN71" s="55" t="inlineStr">
        <is>
          <t>RESTRIÇÕES</t>
        </is>
      </c>
      <c r="AO71" s="134" t="n"/>
      <c r="AP71" s="16" t="n"/>
      <c r="AQ71" s="17" t="n"/>
      <c r="AR71" s="133">
        <f>DADOS_INVOC!$QO$82</f>
        <v/>
      </c>
      <c r="AS71" s="125" t="n"/>
    </row>
    <row r="72" hidden="1" outlineLevel="2">
      <c r="A72" s="8" t="n"/>
      <c r="B72" s="14" t="n"/>
      <c r="C72" s="125" t="n"/>
      <c r="D72" s="125" t="n"/>
      <c r="E72" s="125" t="n"/>
      <c r="F72" s="125" t="n"/>
      <c r="G72" s="125" t="n"/>
      <c r="I72" s="129" t="n"/>
      <c r="J72" s="134" t="n"/>
      <c r="K72" s="16" t="n"/>
      <c r="L72" s="17" t="n"/>
      <c r="M72" s="133">
        <f>DADOS_INVOC!$QP$2</f>
        <v/>
      </c>
      <c r="N72" s="125" t="n"/>
      <c r="O72" s="129" t="n"/>
      <c r="P72" s="134" t="n"/>
      <c r="Q72" s="16" t="n"/>
      <c r="R72" s="17" t="n"/>
      <c r="S72" s="133">
        <f>DADOS_INVOC!$QP$3</f>
        <v/>
      </c>
      <c r="T72" s="125" t="n"/>
      <c r="U72" s="129" t="n"/>
      <c r="V72" s="134" t="n"/>
      <c r="W72" s="16" t="n"/>
      <c r="X72" s="17" t="n"/>
      <c r="Y72" s="133">
        <f>DADOS_INVOC!$QP$4</f>
        <v/>
      </c>
      <c r="Z72" s="125" t="n"/>
      <c r="AB72" s="129" t="n"/>
      <c r="AC72" s="134" t="n"/>
      <c r="AD72" s="16" t="n"/>
      <c r="AE72" s="17" t="n"/>
      <c r="AF72" s="133">
        <f>DADOS_INVOC!$QP$80</f>
        <v/>
      </c>
      <c r="AG72" s="125" t="n"/>
      <c r="AH72" s="129" t="n"/>
      <c r="AI72" s="134" t="n"/>
      <c r="AJ72" s="16" t="n"/>
      <c r="AK72" s="17" t="n"/>
      <c r="AL72" s="133">
        <f>DADOS_INVOC!$QP$81</f>
        <v/>
      </c>
      <c r="AM72" s="125" t="n"/>
      <c r="AN72" s="129" t="n"/>
      <c r="AO72" s="134" t="n"/>
      <c r="AP72" s="16" t="n"/>
      <c r="AQ72" s="17" t="n"/>
      <c r="AR72" s="133">
        <f>DADOS_INVOC!$QP$82</f>
        <v/>
      </c>
      <c r="AS72" s="125" t="n"/>
    </row>
    <row r="73" hidden="1" outlineLevel="2">
      <c r="A73" s="8" t="n"/>
      <c r="B73" s="14" t="n"/>
      <c r="C73" s="125" t="n"/>
      <c r="D73" s="125" t="n"/>
      <c r="E73" s="125" t="n"/>
      <c r="F73" s="125" t="n"/>
      <c r="G73" s="125" t="n"/>
      <c r="I73" s="55" t="inlineStr">
        <is>
          <t>CONTA</t>
        </is>
      </c>
      <c r="J73" s="136">
        <f>DADOS_INVOC!$QI$2</f>
        <v/>
      </c>
      <c r="K73" s="16" t="n"/>
      <c r="L73" s="16" t="n"/>
      <c r="M73" s="17" t="n"/>
      <c r="N73" s="125" t="n"/>
      <c r="O73" s="55" t="inlineStr">
        <is>
          <t>CONTA</t>
        </is>
      </c>
      <c r="P73" s="136">
        <f>DADOS_INVOC!$QI$3</f>
        <v/>
      </c>
      <c r="Q73" s="16" t="n"/>
      <c r="R73" s="16" t="n"/>
      <c r="S73" s="17" t="n"/>
      <c r="T73" s="125" t="n"/>
      <c r="U73" s="55" t="inlineStr">
        <is>
          <t>CONTA</t>
        </is>
      </c>
      <c r="V73" s="136">
        <f>DADOS_INVOC!$QI$4</f>
        <v/>
      </c>
      <c r="W73" s="16" t="n"/>
      <c r="X73" s="16" t="n"/>
      <c r="Y73" s="17" t="n"/>
      <c r="Z73" s="125" t="n"/>
      <c r="AB73" s="55" t="inlineStr">
        <is>
          <t>CONTA</t>
        </is>
      </c>
      <c r="AC73" s="136">
        <f>DADOS_INVOC!$QI$80</f>
        <v/>
      </c>
      <c r="AD73" s="16" t="n"/>
      <c r="AE73" s="16" t="n"/>
      <c r="AF73" s="17" t="n"/>
      <c r="AG73" s="125" t="n"/>
      <c r="AH73" s="55" t="inlineStr">
        <is>
          <t>CONTA</t>
        </is>
      </c>
      <c r="AI73" s="136">
        <f>DADOS_INVOC!$QI$81</f>
        <v/>
      </c>
      <c r="AJ73" s="16" t="n"/>
      <c r="AK73" s="16" t="n"/>
      <c r="AL73" s="17" t="n"/>
      <c r="AM73" s="125" t="n"/>
      <c r="AN73" s="55" t="inlineStr">
        <is>
          <t>CONTA</t>
        </is>
      </c>
      <c r="AO73" s="136">
        <f>DADOS_INVOC!$QI$82</f>
        <v/>
      </c>
      <c r="AP73" s="16" t="n"/>
      <c r="AQ73" s="16" t="n"/>
      <c r="AR73" s="17" t="n"/>
      <c r="AS73" s="125" t="n"/>
    </row>
    <row r="74" hidden="1" outlineLevel="2">
      <c r="A74" s="8" t="n"/>
      <c r="B74" s="14" t="n"/>
      <c r="C74" s="125" t="n"/>
      <c r="D74" s="125" t="n"/>
      <c r="E74" s="125" t="n"/>
      <c r="F74" s="125" t="n"/>
      <c r="G74" s="125" t="n"/>
      <c r="I74" s="55" t="inlineStr">
        <is>
          <t>AMPLIAR</t>
        </is>
      </c>
      <c r="J74" s="136">
        <f>DADOS_INVOC!$QJ$2</f>
        <v/>
      </c>
      <c r="K74" s="19" t="n"/>
      <c r="L74" s="19" t="n"/>
      <c r="M74" s="20" t="n"/>
      <c r="N74" s="125" t="n"/>
      <c r="O74" s="55" t="inlineStr">
        <is>
          <t>AMPLIAR</t>
        </is>
      </c>
      <c r="P74" s="136">
        <f>DADOS_INVOC!$QJ$3</f>
        <v/>
      </c>
      <c r="Q74" s="19" t="n"/>
      <c r="R74" s="19" t="n"/>
      <c r="S74" s="20" t="n"/>
      <c r="T74" s="125" t="n"/>
      <c r="U74" s="55" t="inlineStr">
        <is>
          <t>AMPLIAR</t>
        </is>
      </c>
      <c r="V74" s="136">
        <f>DADOS_INVOC!$QJ$4</f>
        <v/>
      </c>
      <c r="W74" s="19" t="n"/>
      <c r="X74" s="19" t="n"/>
      <c r="Y74" s="20" t="n"/>
      <c r="Z74" s="125" t="n"/>
      <c r="AB74" s="55" t="inlineStr">
        <is>
          <t>AMPLIAR</t>
        </is>
      </c>
      <c r="AC74" s="136">
        <f>DADOS_INVOC!$QJ$80</f>
        <v/>
      </c>
      <c r="AD74" s="19" t="n"/>
      <c r="AE74" s="19" t="n"/>
      <c r="AF74" s="20" t="n"/>
      <c r="AG74" s="125" t="n"/>
      <c r="AH74" s="55" t="inlineStr">
        <is>
          <t>AMPLIAR</t>
        </is>
      </c>
      <c r="AI74" s="136">
        <f>DADOS_INVOC!$QJ$81</f>
        <v/>
      </c>
      <c r="AJ74" s="19" t="n"/>
      <c r="AK74" s="19" t="n"/>
      <c r="AL74" s="20" t="n"/>
      <c r="AM74" s="125" t="n"/>
      <c r="AN74" s="55" t="inlineStr">
        <is>
          <t>AMPLIAR</t>
        </is>
      </c>
      <c r="AO74" s="136">
        <f>DADOS_INVOC!$QJ$82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DADOS_INVOC!$PW$2</f>
        <v/>
      </c>
      <c r="J76" s="19" t="n"/>
      <c r="K76" s="19" t="n"/>
      <c r="L76" s="19" t="n"/>
      <c r="M76" s="20" t="n"/>
      <c r="N76" s="125" t="n"/>
      <c r="O76" s="136">
        <f>DADOS_INVOC!$PW$3</f>
        <v/>
      </c>
      <c r="P76" s="19" t="n"/>
      <c r="Q76" s="19" t="n"/>
      <c r="R76" s="19" t="n"/>
      <c r="S76" s="20" t="n"/>
      <c r="T76" s="125" t="n"/>
      <c r="U76" s="136">
        <f>DADOS_INVOC!$PW$4</f>
        <v/>
      </c>
      <c r="V76" s="19" t="n"/>
      <c r="W76" s="19" t="n"/>
      <c r="X76" s="19" t="n"/>
      <c r="Y76" s="20" t="n"/>
      <c r="Z76" s="125" t="n"/>
      <c r="AB76" s="136">
        <f>DADOS_INVOC!$PW$80</f>
        <v/>
      </c>
      <c r="AC76" s="19" t="n"/>
      <c r="AD76" s="19" t="n"/>
      <c r="AE76" s="19" t="n"/>
      <c r="AF76" s="20" t="n"/>
      <c r="AG76" s="125" t="n"/>
      <c r="AH76" s="136">
        <f>DADOS_INVOC!$PW$81</f>
        <v/>
      </c>
      <c r="AI76" s="19" t="n"/>
      <c r="AJ76" s="19" t="n"/>
      <c r="AK76" s="19" t="n"/>
      <c r="AL76" s="20" t="n"/>
      <c r="AM76" s="125" t="n"/>
      <c r="AN76" s="136">
        <f>DADOS_INVOC!$PW$82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DADOS_INVOC!$PX$5</f>
        <v/>
      </c>
      <c r="J91" s="16" t="n"/>
      <c r="K91" s="16" t="n"/>
      <c r="L91" s="16" t="n"/>
      <c r="M91" s="17" t="n"/>
      <c r="N91" s="125" t="n"/>
      <c r="O91" s="55">
        <f>DADOS_INVOC!$PX$6</f>
        <v/>
      </c>
      <c r="P91" s="16" t="n"/>
      <c r="Q91" s="16" t="n"/>
      <c r="R91" s="16" t="n"/>
      <c r="S91" s="17" t="n"/>
      <c r="T91" s="125" t="n"/>
      <c r="U91" s="55">
        <f>DADOS_INVOC!$PX$7</f>
        <v/>
      </c>
      <c r="V91" s="16" t="n"/>
      <c r="W91" s="16" t="n"/>
      <c r="X91" s="16" t="n"/>
      <c r="Y91" s="17" t="n"/>
      <c r="Z91" s="125" t="n"/>
      <c r="AB91" s="55">
        <f>DADOS_INVOC!$PX$83</f>
        <v/>
      </c>
      <c r="AC91" s="16" t="n"/>
      <c r="AD91" s="16" t="n"/>
      <c r="AE91" s="16" t="n"/>
      <c r="AF91" s="17" t="n"/>
      <c r="AG91" s="125" t="n"/>
      <c r="AH91" s="55">
        <f>DADOS_INVOC!$PX$84</f>
        <v/>
      </c>
      <c r="AI91" s="16" t="n"/>
      <c r="AJ91" s="16" t="n"/>
      <c r="AK91" s="16" t="n"/>
      <c r="AL91" s="17" t="n"/>
      <c r="AM91" s="125" t="n"/>
      <c r="AN91" s="55">
        <f>DADOS_INVOC!$PX$85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DADOS_INVOC!$PV$5</f>
        <v/>
      </c>
      <c r="N92" s="125" t="n"/>
      <c r="O92" s="131" t="n">
        <v>1</v>
      </c>
      <c r="P92" s="120" t="n"/>
      <c r="Q92" s="16" t="n"/>
      <c r="R92" s="17" t="n"/>
      <c r="S92" s="132">
        <f>DADOS_INVOC!$PV$6</f>
        <v/>
      </c>
      <c r="T92" s="125" t="n"/>
      <c r="U92" s="131" t="n">
        <v>1</v>
      </c>
      <c r="V92" s="120" t="n"/>
      <c r="W92" s="16" t="n"/>
      <c r="X92" s="17" t="n"/>
      <c r="Y92" s="132">
        <f>DADOS_INVOC!$PV$7</f>
        <v/>
      </c>
      <c r="Z92" s="125" t="n"/>
      <c r="AB92" s="131" t="n">
        <v>0</v>
      </c>
      <c r="AC92" s="120" t="n"/>
      <c r="AD92" s="16" t="n"/>
      <c r="AE92" s="17" t="n"/>
      <c r="AF92" s="132">
        <f>DADOS_INVOC!$PV$83</f>
        <v/>
      </c>
      <c r="AG92" s="125" t="n"/>
      <c r="AH92" s="131" t="n">
        <v>1</v>
      </c>
      <c r="AI92" s="120" t="n"/>
      <c r="AJ92" s="16" t="n"/>
      <c r="AK92" s="17" t="n"/>
      <c r="AL92" s="132">
        <f>DADOS_INVOC!$PV$84</f>
        <v/>
      </c>
      <c r="AM92" s="125" t="n"/>
      <c r="AN92" s="131" t="n">
        <v>1</v>
      </c>
      <c r="AO92" s="120" t="n"/>
      <c r="AP92" s="16" t="n"/>
      <c r="AQ92" s="17" t="n"/>
      <c r="AR92" s="132">
        <f>DADOS_INVOC!$PV$85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90" t="inlineStr">
        <is>
          <t>Projétil</t>
        </is>
      </c>
      <c r="J97" s="17" t="n"/>
      <c r="K97" s="68">
        <f>DADOS_INVOC!$QC$5</f>
        <v/>
      </c>
      <c r="L97" s="17" t="n"/>
      <c r="M97" s="68">
        <f>DADOS_INVOC!$PY$5</f>
        <v/>
      </c>
      <c r="N97" s="125" t="n"/>
      <c r="O97" s="90" t="inlineStr">
        <is>
          <t>Projétil</t>
        </is>
      </c>
      <c r="P97" s="17" t="n"/>
      <c r="Q97" s="68">
        <f>DADOS_INVOC!$QC$6</f>
        <v/>
      </c>
      <c r="R97" s="17" t="n"/>
      <c r="S97" s="68">
        <f>DADOS_INVOC!$PY$6</f>
        <v/>
      </c>
      <c r="T97" s="125" t="n"/>
      <c r="U97" s="90" t="inlineStr">
        <is>
          <t>Projétil</t>
        </is>
      </c>
      <c r="V97" s="17" t="n"/>
      <c r="W97" s="68">
        <f>DADOS_INVOC!$QC$7</f>
        <v/>
      </c>
      <c r="X97" s="17" t="n"/>
      <c r="Y97" s="68">
        <f>DADOS_INVOC!$PY$7</f>
        <v/>
      </c>
      <c r="Z97" s="125" t="n"/>
      <c r="AB97" s="90" t="inlineStr">
        <is>
          <t>Projétil</t>
        </is>
      </c>
      <c r="AC97" s="17" t="n"/>
      <c r="AD97" s="68">
        <f>DADOS_INVOC!$QC$83</f>
        <v/>
      </c>
      <c r="AE97" s="17" t="n"/>
      <c r="AF97" s="68">
        <f>DADOS_INVOC!$PY$83</f>
        <v/>
      </c>
      <c r="AG97" s="125" t="n"/>
      <c r="AH97" s="90" t="inlineStr">
        <is>
          <t>Projétil</t>
        </is>
      </c>
      <c r="AI97" s="17" t="n"/>
      <c r="AJ97" s="68">
        <f>DADOS_INVOC!$QC$84</f>
        <v/>
      </c>
      <c r="AK97" s="17" t="n"/>
      <c r="AL97" s="68">
        <f>DADOS_INVOC!$PY$84</f>
        <v/>
      </c>
      <c r="AM97" s="125" t="n"/>
      <c r="AN97" s="90" t="inlineStr">
        <is>
          <t>Projétil</t>
        </is>
      </c>
      <c r="AO97" s="17" t="n"/>
      <c r="AP97" s="68">
        <f>DADOS_INVOC!$QC$85</f>
        <v/>
      </c>
      <c r="AQ97" s="17" t="n"/>
      <c r="AR97" s="68">
        <f>DADOS_INVOC!$PY$85</f>
        <v/>
      </c>
      <c r="AS97" s="125" t="n"/>
    </row>
    <row r="98" hidden="1" outlineLevel="2">
      <c r="A98" s="8" t="n"/>
      <c r="B98" s="14" t="n"/>
      <c r="C98" s="125" t="n"/>
      <c r="D98" s="125" t="n"/>
      <c r="E98" s="125" t="n"/>
      <c r="F98" s="125" t="n"/>
      <c r="G98" s="125" t="n"/>
      <c r="I98" s="90" t="n"/>
      <c r="J98" s="17" t="n"/>
      <c r="K98" s="90" t="n"/>
      <c r="L98" s="16" t="n"/>
      <c r="M98" s="17" t="n"/>
      <c r="N98" s="125" t="n"/>
      <c r="O98" s="90" t="n"/>
      <c r="P98" s="17" t="n"/>
      <c r="Q98" s="90" t="n"/>
      <c r="R98" s="16" t="n"/>
      <c r="S98" s="17" t="n"/>
      <c r="T98" s="125" t="n"/>
      <c r="U98" s="90" t="n"/>
      <c r="V98" s="17" t="n"/>
      <c r="W98" s="90" t="n"/>
      <c r="X98" s="16" t="n"/>
      <c r="Y98" s="17" t="n"/>
      <c r="Z98" s="125" t="n"/>
      <c r="AB98" s="90" t="n"/>
      <c r="AC98" s="17" t="n"/>
      <c r="AD98" s="90" t="n"/>
      <c r="AE98" s="16" t="n"/>
      <c r="AF98" s="17" t="n"/>
      <c r="AG98" s="125" t="n"/>
      <c r="AH98" s="90" t="n"/>
      <c r="AI98" s="17" t="n"/>
      <c r="AJ98" s="90" t="n"/>
      <c r="AK98" s="16" t="n"/>
      <c r="AL98" s="17" t="n"/>
      <c r="AM98" s="125" t="n"/>
      <c r="AN98" s="90" t="n"/>
      <c r="AO98" s="17" t="n"/>
      <c r="AP98" s="90" t="n"/>
      <c r="AQ98" s="16" t="n"/>
      <c r="AR98" s="17" t="n"/>
      <c r="AS98" s="125" t="n"/>
    </row>
    <row r="99" hidden="1" outlineLevel="2">
      <c r="A99" s="8" t="n"/>
      <c r="B99" s="14" t="n"/>
      <c r="C99" s="125" t="n"/>
      <c r="D99" s="125" t="n"/>
      <c r="E99" s="125" t="n"/>
      <c r="F99" s="125" t="n"/>
      <c r="G99" s="125" t="n"/>
      <c r="I99" s="90">
        <f>DADOS_INVOC!$PZ$5</f>
        <v/>
      </c>
      <c r="J99" s="17" t="n"/>
      <c r="K99" s="90">
        <f>DADOS_INVOC!$QB$5</f>
        <v/>
      </c>
      <c r="L99" s="16" t="n"/>
      <c r="M99" s="17" t="n"/>
      <c r="N99" s="125" t="n"/>
      <c r="O99" s="90">
        <f>DADOS_INVOC!$PZ$6</f>
        <v/>
      </c>
      <c r="P99" s="17" t="n"/>
      <c r="Q99" s="90">
        <f>DADOS_INVOC!$QB$6</f>
        <v/>
      </c>
      <c r="R99" s="16" t="n"/>
      <c r="S99" s="17" t="n"/>
      <c r="T99" s="125" t="n"/>
      <c r="U99" s="90">
        <f>DADOS_INVOC!$PZ$7</f>
        <v/>
      </c>
      <c r="V99" s="17" t="n"/>
      <c r="W99" s="90">
        <f>DADOS_INVOC!$QB$7</f>
        <v/>
      </c>
      <c r="X99" s="16" t="n"/>
      <c r="Y99" s="17" t="n"/>
      <c r="Z99" s="125" t="n"/>
      <c r="AB99" s="90">
        <f>DADOS_INVOC!$PZ$83</f>
        <v/>
      </c>
      <c r="AC99" s="17" t="n"/>
      <c r="AD99" s="90">
        <f>DADOS_INVOC!$QB$83</f>
        <v/>
      </c>
      <c r="AE99" s="16" t="n"/>
      <c r="AF99" s="17" t="n"/>
      <c r="AG99" s="125" t="n"/>
      <c r="AH99" s="90">
        <f>DADOS_INVOC!$PZ$84</f>
        <v/>
      </c>
      <c r="AI99" s="17" t="n"/>
      <c r="AJ99" s="90">
        <f>DADOS_INVOC!$QB$84</f>
        <v/>
      </c>
      <c r="AK99" s="16" t="n"/>
      <c r="AL99" s="17" t="n"/>
      <c r="AM99" s="125" t="n"/>
      <c r="AN99" s="90">
        <f>DADOS_INVOC!$PZ$85</f>
        <v/>
      </c>
      <c r="AO99" s="17" t="n"/>
      <c r="AP99" s="90">
        <f>DADOS_INVOC!$QB$85</f>
        <v/>
      </c>
      <c r="AQ99" s="16" t="n"/>
      <c r="AR99" s="17" t="n"/>
      <c r="AS99" s="125" t="n"/>
    </row>
    <row r="100" hidden="1" outlineLevel="2">
      <c r="A100" s="8" t="n"/>
      <c r="B100" s="14" t="n"/>
      <c r="C100" s="125" t="n"/>
      <c r="D100" s="125" t="n"/>
      <c r="E100" s="125" t="n"/>
      <c r="F100" s="125" t="n"/>
      <c r="G100" s="125" t="n"/>
      <c r="I100" s="133">
        <f>DADOS_INVOC!$QH$5</f>
        <v/>
      </c>
      <c r="J100" s="16" t="n"/>
      <c r="K100" s="16" t="n"/>
      <c r="L100" s="16" t="n"/>
      <c r="M100" s="17" t="n"/>
      <c r="N100" s="125" t="n"/>
      <c r="O100" s="133">
        <f>DADOS_INVOC!$QH$6</f>
        <v/>
      </c>
      <c r="P100" s="16" t="n"/>
      <c r="Q100" s="16" t="n"/>
      <c r="R100" s="16" t="n"/>
      <c r="S100" s="17" t="n"/>
      <c r="T100" s="125" t="n"/>
      <c r="U100" s="133">
        <f>DADOS_INVOC!$QH$7</f>
        <v/>
      </c>
      <c r="V100" s="16" t="n"/>
      <c r="W100" s="16" t="n"/>
      <c r="X100" s="16" t="n"/>
      <c r="Y100" s="17" t="n"/>
      <c r="Z100" s="125" t="n"/>
      <c r="AB100" s="133">
        <f>DADOS_INVOC!$QH$83</f>
        <v/>
      </c>
      <c r="AC100" s="16" t="n"/>
      <c r="AD100" s="16" t="n"/>
      <c r="AE100" s="16" t="n"/>
      <c r="AF100" s="17" t="n"/>
      <c r="AG100" s="125" t="n"/>
      <c r="AH100" s="133">
        <f>DADOS_INVOC!$QH$84</f>
        <v/>
      </c>
      <c r="AI100" s="16" t="n"/>
      <c r="AJ100" s="16" t="n"/>
      <c r="AK100" s="16" t="n"/>
      <c r="AL100" s="17" t="n"/>
      <c r="AM100" s="125" t="n"/>
      <c r="AN100" s="133">
        <f>DADOS_INVOC!$QH$85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DADOS_INVOC!$QK$5</f>
        <v/>
      </c>
      <c r="N101" s="125" t="n"/>
      <c r="O101" s="55" t="inlineStr">
        <is>
          <t>MELHORIAS</t>
        </is>
      </c>
      <c r="P101" s="134" t="n"/>
      <c r="Q101" s="16" t="n"/>
      <c r="R101" s="17" t="n"/>
      <c r="S101" s="133">
        <f>DADOS_INVOC!$QK$6</f>
        <v/>
      </c>
      <c r="T101" s="125" t="n"/>
      <c r="U101" s="55" t="inlineStr">
        <is>
          <t>MELHORIAS</t>
        </is>
      </c>
      <c r="V101" s="134" t="n"/>
      <c r="W101" s="16" t="n"/>
      <c r="X101" s="17" t="n"/>
      <c r="Y101" s="133">
        <f>DADOS_INVOC!$QK$7</f>
        <v/>
      </c>
      <c r="Z101" s="125" t="n"/>
      <c r="AB101" s="55" t="inlineStr">
        <is>
          <t>MELHORIAS</t>
        </is>
      </c>
      <c r="AC101" s="134" t="n"/>
      <c r="AD101" s="16" t="n"/>
      <c r="AE101" s="17" t="n"/>
      <c r="AF101" s="133">
        <f>DADOS_INVOC!$QK$83</f>
        <v/>
      </c>
      <c r="AG101" s="125" t="n"/>
      <c r="AH101" s="55" t="inlineStr">
        <is>
          <t>MELHORIAS</t>
        </is>
      </c>
      <c r="AI101" s="134" t="n"/>
      <c r="AJ101" s="16" t="n"/>
      <c r="AK101" s="17" t="n"/>
      <c r="AL101" s="133">
        <f>DADOS_INVOC!$QK$84</f>
        <v/>
      </c>
      <c r="AM101" s="125" t="n"/>
      <c r="AN101" s="55" t="inlineStr">
        <is>
          <t>MELHORIAS</t>
        </is>
      </c>
      <c r="AO101" s="134" t="n"/>
      <c r="AP101" s="16" t="n"/>
      <c r="AQ101" s="17" t="n"/>
      <c r="AR101" s="133">
        <f>DADOS_INVOC!$QK$85</f>
        <v/>
      </c>
      <c r="AS101" s="125" t="n"/>
    </row>
    <row r="102" hidden="1" outlineLevel="3">
      <c r="A102" s="8" t="n"/>
      <c r="B102" s="14" t="n"/>
      <c r="C102" s="125" t="n"/>
      <c r="D102" s="125" t="n"/>
      <c r="E102" s="125" t="n"/>
      <c r="F102" s="125" t="n"/>
      <c r="G102" s="125" t="n"/>
      <c r="I102" s="135" t="n"/>
      <c r="J102" s="134" t="n"/>
      <c r="K102" s="16" t="n"/>
      <c r="L102" s="17" t="n"/>
      <c r="M102" s="133">
        <f>DADOS_INVOC!$QL$5</f>
        <v/>
      </c>
      <c r="N102" s="125" t="n"/>
      <c r="O102" s="135" t="n"/>
      <c r="P102" s="134" t="n"/>
      <c r="Q102" s="16" t="n"/>
      <c r="R102" s="17" t="n"/>
      <c r="S102" s="133">
        <f>DADOS_INVOC!$QL$6</f>
        <v/>
      </c>
      <c r="T102" s="125" t="n"/>
      <c r="U102" s="135" t="n"/>
      <c r="V102" s="134" t="n"/>
      <c r="W102" s="16" t="n"/>
      <c r="X102" s="17" t="n"/>
      <c r="Y102" s="133">
        <f>DADOS_INVOC!$QL$7</f>
        <v/>
      </c>
      <c r="Z102" s="125" t="n"/>
      <c r="AB102" s="135" t="n"/>
      <c r="AC102" s="134" t="n"/>
      <c r="AD102" s="16" t="n"/>
      <c r="AE102" s="17" t="n"/>
      <c r="AF102" s="133">
        <f>DADOS_INVOC!$QL$83</f>
        <v/>
      </c>
      <c r="AG102" s="125" t="n"/>
      <c r="AH102" s="135" t="n"/>
      <c r="AI102" s="134" t="n"/>
      <c r="AJ102" s="16" t="n"/>
      <c r="AK102" s="17" t="n"/>
      <c r="AL102" s="133">
        <f>DADOS_INVOC!$QL$84</f>
        <v/>
      </c>
      <c r="AM102" s="125" t="n"/>
      <c r="AN102" s="135" t="n"/>
      <c r="AO102" s="134" t="n"/>
      <c r="AP102" s="16" t="n"/>
      <c r="AQ102" s="17" t="n"/>
      <c r="AR102" s="133">
        <f>DADOS_INVOC!$QL$85</f>
        <v/>
      </c>
      <c r="AS102" s="125" t="n"/>
    </row>
    <row r="103" hidden="1" outlineLevel="3">
      <c r="A103" s="8" t="n"/>
      <c r="B103" s="14" t="n"/>
      <c r="C103" s="125" t="n"/>
      <c r="D103" s="125" t="n"/>
      <c r="E103" s="125" t="n"/>
      <c r="F103" s="125" t="n"/>
      <c r="G103" s="125" t="n"/>
      <c r="I103" s="135" t="n"/>
      <c r="J103" s="134" t="n"/>
      <c r="K103" s="16" t="n"/>
      <c r="L103" s="17" t="n"/>
      <c r="M103" s="133">
        <f>DADOS_INVOC!$QM$5</f>
        <v/>
      </c>
      <c r="N103" s="125" t="n"/>
      <c r="O103" s="135" t="n"/>
      <c r="P103" s="134" t="n"/>
      <c r="Q103" s="16" t="n"/>
      <c r="R103" s="17" t="n"/>
      <c r="S103" s="133">
        <f>DADOS_INVOC!$QM$6</f>
        <v/>
      </c>
      <c r="T103" s="125" t="n"/>
      <c r="U103" s="135" t="n"/>
      <c r="V103" s="134" t="n"/>
      <c r="W103" s="16" t="n"/>
      <c r="X103" s="17" t="n"/>
      <c r="Y103" s="133">
        <f>DADOS_INVOC!$QM$7</f>
        <v/>
      </c>
      <c r="Z103" s="125" t="n"/>
      <c r="AB103" s="135" t="n"/>
      <c r="AC103" s="134" t="n"/>
      <c r="AD103" s="16" t="n"/>
      <c r="AE103" s="17" t="n"/>
      <c r="AF103" s="133">
        <f>DADOS_INVOC!$QM$83</f>
        <v/>
      </c>
      <c r="AG103" s="125" t="n"/>
      <c r="AH103" s="135" t="n"/>
      <c r="AI103" s="134" t="n"/>
      <c r="AJ103" s="16" t="n"/>
      <c r="AK103" s="17" t="n"/>
      <c r="AL103" s="133">
        <f>DADOS_INVOC!$QM$84</f>
        <v/>
      </c>
      <c r="AM103" s="125" t="n"/>
      <c r="AN103" s="135" t="n"/>
      <c r="AO103" s="134" t="n"/>
      <c r="AP103" s="16" t="n"/>
      <c r="AQ103" s="17" t="n"/>
      <c r="AR103" s="133">
        <f>DADOS_INVOC!$QM$85</f>
        <v/>
      </c>
      <c r="AS103" s="125" t="n"/>
    </row>
    <row r="104" hidden="1" outlineLevel="3">
      <c r="A104" s="8" t="n"/>
      <c r="B104" s="14" t="n"/>
      <c r="C104" s="125" t="n"/>
      <c r="D104" s="125" t="n"/>
      <c r="E104" s="125" t="n"/>
      <c r="F104" s="125" t="n"/>
      <c r="G104" s="125" t="n"/>
      <c r="I104" s="129" t="n"/>
      <c r="J104" s="134" t="n"/>
      <c r="K104" s="16" t="n"/>
      <c r="L104" s="17" t="n"/>
      <c r="M104" s="133">
        <f>DADOS_INVOC!$QN$5</f>
        <v/>
      </c>
      <c r="N104" s="125" t="n"/>
      <c r="O104" s="129" t="n"/>
      <c r="P104" s="134" t="n"/>
      <c r="Q104" s="16" t="n"/>
      <c r="R104" s="17" t="n"/>
      <c r="S104" s="133">
        <f>DADOS_INVOC!$QN$6</f>
        <v/>
      </c>
      <c r="T104" s="125" t="n"/>
      <c r="U104" s="129" t="n"/>
      <c r="V104" s="134" t="n"/>
      <c r="W104" s="16" t="n"/>
      <c r="X104" s="17" t="n"/>
      <c r="Y104" s="133">
        <f>DADOS_INVOC!$QN$7</f>
        <v/>
      </c>
      <c r="Z104" s="125" t="n"/>
      <c r="AB104" s="129" t="n"/>
      <c r="AC104" s="134" t="n"/>
      <c r="AD104" s="16" t="n"/>
      <c r="AE104" s="17" t="n"/>
      <c r="AF104" s="133">
        <f>DADOS_INVOC!$QN$83</f>
        <v/>
      </c>
      <c r="AG104" s="125" t="n"/>
      <c r="AH104" s="129" t="n"/>
      <c r="AI104" s="134" t="n"/>
      <c r="AJ104" s="16" t="n"/>
      <c r="AK104" s="17" t="n"/>
      <c r="AL104" s="133">
        <f>DADOS_INVOC!$QN$84</f>
        <v/>
      </c>
      <c r="AM104" s="125" t="n"/>
      <c r="AN104" s="129" t="n"/>
      <c r="AO104" s="134" t="n"/>
      <c r="AP104" s="16" t="n"/>
      <c r="AQ104" s="17" t="n"/>
      <c r="AR104" s="133">
        <f>DADOS_INVOC!$QN$85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DADOS_INVOC!$QO$5</f>
        <v/>
      </c>
      <c r="N105" s="125" t="n"/>
      <c r="O105" s="55" t="inlineStr">
        <is>
          <t>RESTRIÇÕES</t>
        </is>
      </c>
      <c r="P105" s="134" t="n"/>
      <c r="Q105" s="16" t="n"/>
      <c r="R105" s="17" t="n"/>
      <c r="S105" s="133">
        <f>DADOS_INVOC!$QO$6</f>
        <v/>
      </c>
      <c r="T105" s="125" t="n"/>
      <c r="U105" s="55" t="inlineStr">
        <is>
          <t>RESTRIÇÕES</t>
        </is>
      </c>
      <c r="V105" s="134" t="n"/>
      <c r="W105" s="16" t="n"/>
      <c r="X105" s="17" t="n"/>
      <c r="Y105" s="133">
        <f>DADOS_INVOC!$QO$7</f>
        <v/>
      </c>
      <c r="Z105" s="125" t="n"/>
      <c r="AB105" s="55" t="inlineStr">
        <is>
          <t>RESTRIÇÕES</t>
        </is>
      </c>
      <c r="AC105" s="134" t="n"/>
      <c r="AD105" s="16" t="n"/>
      <c r="AE105" s="17" t="n"/>
      <c r="AF105" s="133">
        <f>DADOS_INVOC!$QO$83</f>
        <v/>
      </c>
      <c r="AG105" s="125" t="n"/>
      <c r="AH105" s="55" t="inlineStr">
        <is>
          <t>RESTRIÇÕES</t>
        </is>
      </c>
      <c r="AI105" s="134" t="n"/>
      <c r="AJ105" s="16" t="n"/>
      <c r="AK105" s="17" t="n"/>
      <c r="AL105" s="133">
        <f>DADOS_INVOC!$QO$84</f>
        <v/>
      </c>
      <c r="AM105" s="125" t="n"/>
      <c r="AN105" s="55" t="inlineStr">
        <is>
          <t>RESTRIÇÕES</t>
        </is>
      </c>
      <c r="AO105" s="134" t="n"/>
      <c r="AP105" s="16" t="n"/>
      <c r="AQ105" s="17" t="n"/>
      <c r="AR105" s="133">
        <f>DADOS_INVOC!$QO$85</f>
        <v/>
      </c>
      <c r="AS105" s="125" t="n"/>
    </row>
    <row r="106" hidden="1" outlineLevel="3">
      <c r="A106" s="8" t="n"/>
      <c r="B106" s="14" t="n"/>
      <c r="C106" s="125" t="n"/>
      <c r="D106" s="125" t="n"/>
      <c r="E106" s="125" t="n"/>
      <c r="F106" s="125" t="n"/>
      <c r="G106" s="125" t="n"/>
      <c r="I106" s="129" t="n"/>
      <c r="J106" s="134" t="n"/>
      <c r="K106" s="16" t="n"/>
      <c r="L106" s="17" t="n"/>
      <c r="M106" s="133">
        <f>DADOS_INVOC!$QP$5</f>
        <v/>
      </c>
      <c r="N106" s="125" t="n"/>
      <c r="O106" s="129" t="n"/>
      <c r="P106" s="134" t="n"/>
      <c r="Q106" s="16" t="n"/>
      <c r="R106" s="17" t="n"/>
      <c r="S106" s="133">
        <f>DADOS_INVOC!$QP$6</f>
        <v/>
      </c>
      <c r="T106" s="125" t="n"/>
      <c r="U106" s="129" t="n"/>
      <c r="V106" s="134" t="n"/>
      <c r="W106" s="16" t="n"/>
      <c r="X106" s="17" t="n"/>
      <c r="Y106" s="133">
        <f>DADOS_INVOC!$QP$7</f>
        <v/>
      </c>
      <c r="Z106" s="125" t="n"/>
      <c r="AB106" s="129" t="n"/>
      <c r="AC106" s="134" t="n"/>
      <c r="AD106" s="16" t="n"/>
      <c r="AE106" s="17" t="n"/>
      <c r="AF106" s="133">
        <f>DADOS_INVOC!$QP$83</f>
        <v/>
      </c>
      <c r="AG106" s="125" t="n"/>
      <c r="AH106" s="129" t="n"/>
      <c r="AI106" s="134" t="n"/>
      <c r="AJ106" s="16" t="n"/>
      <c r="AK106" s="17" t="n"/>
      <c r="AL106" s="133">
        <f>DADOS_INVOC!$QP$84</f>
        <v/>
      </c>
      <c r="AM106" s="125" t="n"/>
      <c r="AN106" s="129" t="n"/>
      <c r="AO106" s="134" t="n"/>
      <c r="AP106" s="16" t="n"/>
      <c r="AQ106" s="17" t="n"/>
      <c r="AR106" s="133">
        <f>DADOS_INVOC!$QP$85</f>
        <v/>
      </c>
      <c r="AS106" s="125" t="n"/>
    </row>
    <row r="107" hidden="1" outlineLevel="3">
      <c r="A107" s="8" t="n"/>
      <c r="B107" s="14" t="n"/>
      <c r="C107" s="125" t="n"/>
      <c r="D107" s="125" t="n"/>
      <c r="E107" s="125" t="n"/>
      <c r="F107" s="125" t="n"/>
      <c r="G107" s="125" t="n"/>
      <c r="I107" s="55" t="inlineStr">
        <is>
          <t>CONTA</t>
        </is>
      </c>
      <c r="J107" s="136">
        <f>DADOS_INVOC!$QI$5</f>
        <v/>
      </c>
      <c r="K107" s="16" t="n"/>
      <c r="L107" s="16" t="n"/>
      <c r="M107" s="17" t="n"/>
      <c r="N107" s="125" t="n"/>
      <c r="O107" s="55" t="inlineStr">
        <is>
          <t>CONTA</t>
        </is>
      </c>
      <c r="P107" s="136">
        <f>DADOS_INVOC!$QI$6</f>
        <v/>
      </c>
      <c r="Q107" s="16" t="n"/>
      <c r="R107" s="16" t="n"/>
      <c r="S107" s="17" t="n"/>
      <c r="T107" s="125" t="n"/>
      <c r="U107" s="55" t="inlineStr">
        <is>
          <t>CONTA</t>
        </is>
      </c>
      <c r="V107" s="136">
        <f>DADOS_INVOC!$QI$7</f>
        <v/>
      </c>
      <c r="W107" s="16" t="n"/>
      <c r="X107" s="16" t="n"/>
      <c r="Y107" s="17" t="n"/>
      <c r="Z107" s="125" t="n"/>
      <c r="AB107" s="55" t="inlineStr">
        <is>
          <t>CONTA</t>
        </is>
      </c>
      <c r="AC107" s="136">
        <f>DADOS_INVOC!$QI$83</f>
        <v/>
      </c>
      <c r="AD107" s="16" t="n"/>
      <c r="AE107" s="16" t="n"/>
      <c r="AF107" s="17" t="n"/>
      <c r="AG107" s="125" t="n"/>
      <c r="AH107" s="55" t="inlineStr">
        <is>
          <t>CONTA</t>
        </is>
      </c>
      <c r="AI107" s="136">
        <f>DADOS_INVOC!$QI$84</f>
        <v/>
      </c>
      <c r="AJ107" s="16" t="n"/>
      <c r="AK107" s="16" t="n"/>
      <c r="AL107" s="17" t="n"/>
      <c r="AM107" s="125" t="n"/>
      <c r="AN107" s="55" t="inlineStr">
        <is>
          <t>CONTA</t>
        </is>
      </c>
      <c r="AO107" s="136">
        <f>DADOS_INVOC!$QI$85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DADOS_INVOC!$QJ$5</f>
        <v/>
      </c>
      <c r="K108" s="19" t="n"/>
      <c r="L108" s="19" t="n"/>
      <c r="M108" s="20" t="n"/>
      <c r="N108" s="125" t="n"/>
      <c r="O108" s="55" t="inlineStr">
        <is>
          <t>AMPLIAR</t>
        </is>
      </c>
      <c r="P108" s="136">
        <f>DADOS_INVOC!$QJ$6</f>
        <v/>
      </c>
      <c r="Q108" s="19" t="n"/>
      <c r="R108" s="19" t="n"/>
      <c r="S108" s="20" t="n"/>
      <c r="T108" s="125" t="n"/>
      <c r="U108" s="55" t="inlineStr">
        <is>
          <t>AMPLIAR</t>
        </is>
      </c>
      <c r="V108" s="136">
        <f>DADOS_INVOC!$QJ$7</f>
        <v/>
      </c>
      <c r="W108" s="19" t="n"/>
      <c r="X108" s="19" t="n"/>
      <c r="Y108" s="20" t="n"/>
      <c r="Z108" s="125" t="n"/>
      <c r="AB108" s="55" t="inlineStr">
        <is>
          <t>AMPLIAR</t>
        </is>
      </c>
      <c r="AC108" s="136">
        <f>DADOS_INVOC!$QJ$83</f>
        <v/>
      </c>
      <c r="AD108" s="19" t="n"/>
      <c r="AE108" s="19" t="n"/>
      <c r="AF108" s="20" t="n"/>
      <c r="AG108" s="125" t="n"/>
      <c r="AH108" s="55" t="inlineStr">
        <is>
          <t>AMPLIAR</t>
        </is>
      </c>
      <c r="AI108" s="136">
        <f>DADOS_INVOC!$QJ$84</f>
        <v/>
      </c>
      <c r="AJ108" s="19" t="n"/>
      <c r="AK108" s="19" t="n"/>
      <c r="AL108" s="20" t="n"/>
      <c r="AM108" s="125" t="n"/>
      <c r="AN108" s="55" t="inlineStr">
        <is>
          <t>AMPLIAR</t>
        </is>
      </c>
      <c r="AO108" s="136">
        <f>DADOS_INVOC!$QJ$85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DADOS_INVOC!$PW$5</f>
        <v/>
      </c>
      <c r="J110" s="19" t="n"/>
      <c r="K110" s="19" t="n"/>
      <c r="L110" s="19" t="n"/>
      <c r="M110" s="20" t="n"/>
      <c r="N110" s="125" t="n"/>
      <c r="O110" s="136">
        <f>DADOS_INVOC!$PW$6</f>
        <v/>
      </c>
      <c r="P110" s="19" t="n"/>
      <c r="Q110" s="19" t="n"/>
      <c r="R110" s="19" t="n"/>
      <c r="S110" s="20" t="n"/>
      <c r="T110" s="125" t="n"/>
      <c r="U110" s="136">
        <f>DADOS_INVOC!$PW$7</f>
        <v/>
      </c>
      <c r="V110" s="19" t="n"/>
      <c r="W110" s="19" t="n"/>
      <c r="X110" s="19" t="n"/>
      <c r="Y110" s="20" t="n"/>
      <c r="Z110" s="125" t="n"/>
      <c r="AB110" s="136">
        <f>DADOS_INVOC!$PW$83</f>
        <v/>
      </c>
      <c r="AC110" s="19" t="n"/>
      <c r="AD110" s="19" t="n"/>
      <c r="AE110" s="19" t="n"/>
      <c r="AF110" s="20" t="n"/>
      <c r="AG110" s="125" t="n"/>
      <c r="AH110" s="136">
        <f>DADOS_INVOC!$PW$84</f>
        <v/>
      </c>
      <c r="AI110" s="19" t="n"/>
      <c r="AJ110" s="19" t="n"/>
      <c r="AK110" s="19" t="n"/>
      <c r="AL110" s="20" t="n"/>
      <c r="AM110" s="125" t="n"/>
      <c r="AN110" s="136">
        <f>DADOS_INVOC!$PW$85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DADOS_INVOC!$PX$8</f>
        <v/>
      </c>
      <c r="J113" s="16" t="n"/>
      <c r="K113" s="16" t="n"/>
      <c r="L113" s="16" t="n"/>
      <c r="M113" s="17" t="n"/>
      <c r="N113" s="125" t="n"/>
      <c r="O113" s="55">
        <f>DADOS_INVOC!$PX$9</f>
        <v/>
      </c>
      <c r="P113" s="16" t="n"/>
      <c r="Q113" s="16" t="n"/>
      <c r="R113" s="16" t="n"/>
      <c r="S113" s="17" t="n"/>
      <c r="T113" s="125" t="n"/>
      <c r="U113" s="55">
        <f>DADOS_INVOC!$PX$10</f>
        <v/>
      </c>
      <c r="V113" s="16" t="n"/>
      <c r="W113" s="16" t="n"/>
      <c r="X113" s="16" t="n"/>
      <c r="Y113" s="17" t="n"/>
      <c r="Z113" s="125" t="n"/>
      <c r="AB113" s="55">
        <f>DADOS_INVOC!$PX$86</f>
        <v/>
      </c>
      <c r="AC113" s="16" t="n"/>
      <c r="AD113" s="16" t="n"/>
      <c r="AE113" s="16" t="n"/>
      <c r="AF113" s="17" t="n"/>
      <c r="AG113" s="125" t="n"/>
      <c r="AH113" s="55">
        <f>DADOS_INVOC!$PX$87</f>
        <v/>
      </c>
      <c r="AI113" s="16" t="n"/>
      <c r="AJ113" s="16" t="n"/>
      <c r="AK113" s="16" t="n"/>
      <c r="AL113" s="17" t="n"/>
      <c r="AM113" s="125" t="n"/>
      <c r="AN113" s="55">
        <f>DADOS_INVOC!$PX$88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DADOS_INVOC!$PV$8</f>
        <v/>
      </c>
      <c r="N114" s="125" t="n"/>
      <c r="O114" s="131" t="n">
        <v>1</v>
      </c>
      <c r="P114" s="120" t="n"/>
      <c r="Q114" s="16" t="n"/>
      <c r="R114" s="17" t="n"/>
      <c r="S114" s="132">
        <f>DADOS_INVOC!$PV$9</f>
        <v/>
      </c>
      <c r="T114" s="125" t="n"/>
      <c r="U114" s="131" t="n">
        <v>1</v>
      </c>
      <c r="V114" s="120" t="n"/>
      <c r="W114" s="16" t="n"/>
      <c r="X114" s="17" t="n"/>
      <c r="Y114" s="132">
        <f>DADOS_INVOC!$PV$10</f>
        <v/>
      </c>
      <c r="Z114" s="125" t="n"/>
      <c r="AB114" s="131" t="n">
        <v>1</v>
      </c>
      <c r="AC114" s="120" t="n"/>
      <c r="AD114" s="16" t="n"/>
      <c r="AE114" s="17" t="n"/>
      <c r="AF114" s="132">
        <f>DADOS_INVOC!$PV$86</f>
        <v/>
      </c>
      <c r="AG114" s="125" t="n"/>
      <c r="AH114" s="131" t="n">
        <v>1</v>
      </c>
      <c r="AI114" s="120" t="n"/>
      <c r="AJ114" s="16" t="n"/>
      <c r="AK114" s="17" t="n"/>
      <c r="AL114" s="132">
        <f>DADOS_INVOC!$PV$87</f>
        <v/>
      </c>
      <c r="AM114" s="125" t="n"/>
      <c r="AN114" s="131" t="n">
        <v>1</v>
      </c>
      <c r="AO114" s="120" t="n"/>
      <c r="AP114" s="16" t="n"/>
      <c r="AQ114" s="17" t="n"/>
      <c r="AR114" s="132">
        <f>DADOS_INVOC!$PV$88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90" t="inlineStr">
        <is>
          <t>Projétil</t>
        </is>
      </c>
      <c r="J119" s="17" t="n"/>
      <c r="K119" s="68">
        <f>DADOS_INVOC!$QC$8</f>
        <v/>
      </c>
      <c r="L119" s="17" t="n"/>
      <c r="M119" s="68">
        <f>DADOS_INVOC!$PY$8</f>
        <v/>
      </c>
      <c r="N119" s="125" t="n"/>
      <c r="O119" s="90" t="inlineStr">
        <is>
          <t>Projétil</t>
        </is>
      </c>
      <c r="P119" s="17" t="n"/>
      <c r="Q119" s="68">
        <f>DADOS_INVOC!$QC$9</f>
        <v/>
      </c>
      <c r="R119" s="17" t="n"/>
      <c r="S119" s="68">
        <f>DADOS_INVOC!$PY$9</f>
        <v/>
      </c>
      <c r="T119" s="125" t="n"/>
      <c r="U119" s="90" t="inlineStr">
        <is>
          <t>Projétil</t>
        </is>
      </c>
      <c r="V119" s="17" t="n"/>
      <c r="W119" s="68">
        <f>DADOS_INVOC!$QC$10</f>
        <v/>
      </c>
      <c r="X119" s="17" t="n"/>
      <c r="Y119" s="68">
        <f>DADOS_INVOC!$PY$10</f>
        <v/>
      </c>
      <c r="Z119" s="125" t="n"/>
      <c r="AB119" s="90" t="inlineStr">
        <is>
          <t>Projétil</t>
        </is>
      </c>
      <c r="AC119" s="17" t="n"/>
      <c r="AD119" s="68">
        <f>DADOS_INVOC!$QC$86</f>
        <v/>
      </c>
      <c r="AE119" s="17" t="n"/>
      <c r="AF119" s="68">
        <f>DADOS_INVOC!$PY$86</f>
        <v/>
      </c>
      <c r="AG119" s="125" t="n"/>
      <c r="AH119" s="90" t="inlineStr">
        <is>
          <t>Projétil</t>
        </is>
      </c>
      <c r="AI119" s="17" t="n"/>
      <c r="AJ119" s="68">
        <f>DADOS_INVOC!$QC$87</f>
        <v/>
      </c>
      <c r="AK119" s="17" t="n"/>
      <c r="AL119" s="68">
        <f>DADOS_INVOC!$PY$87</f>
        <v/>
      </c>
      <c r="AM119" s="125" t="n"/>
      <c r="AN119" s="90" t="inlineStr">
        <is>
          <t>Projétil</t>
        </is>
      </c>
      <c r="AO119" s="17" t="n"/>
      <c r="AP119" s="68">
        <f>DADOS_INVOC!$QC$88</f>
        <v/>
      </c>
      <c r="AQ119" s="17" t="n"/>
      <c r="AR119" s="68">
        <f>DADOS_INVOC!$PY$88</f>
        <v/>
      </c>
      <c r="AS119" s="125" t="n"/>
    </row>
    <row r="120" hidden="1" outlineLevel="2">
      <c r="A120" s="8" t="n"/>
      <c r="B120" s="14" t="n"/>
      <c r="C120" s="125" t="n"/>
      <c r="D120" s="125" t="n"/>
      <c r="E120" s="125" t="n"/>
      <c r="F120" s="125" t="n"/>
      <c r="G120" s="125" t="n"/>
      <c r="I120" s="90" t="n"/>
      <c r="J120" s="17" t="n"/>
      <c r="K120" s="90" t="n"/>
      <c r="L120" s="16" t="n"/>
      <c r="M120" s="17" t="n"/>
      <c r="N120" s="125" t="n"/>
      <c r="O120" s="90" t="n"/>
      <c r="P120" s="17" t="n"/>
      <c r="Q120" s="90" t="n"/>
      <c r="R120" s="16" t="n"/>
      <c r="S120" s="17" t="n"/>
      <c r="T120" s="125" t="n"/>
      <c r="U120" s="90" t="n"/>
      <c r="V120" s="17" t="n"/>
      <c r="W120" s="90" t="n"/>
      <c r="X120" s="16" t="n"/>
      <c r="Y120" s="17" t="n"/>
      <c r="Z120" s="125" t="n"/>
      <c r="AB120" s="90" t="n"/>
      <c r="AC120" s="17" t="n"/>
      <c r="AD120" s="90" t="n"/>
      <c r="AE120" s="16" t="n"/>
      <c r="AF120" s="17" t="n"/>
      <c r="AG120" s="125" t="n"/>
      <c r="AH120" s="90" t="n"/>
      <c r="AI120" s="17" t="n"/>
      <c r="AJ120" s="90" t="n"/>
      <c r="AK120" s="16" t="n"/>
      <c r="AL120" s="17" t="n"/>
      <c r="AM120" s="125" t="n"/>
      <c r="AN120" s="90" t="n"/>
      <c r="AO120" s="17" t="n"/>
      <c r="AP120" s="90" t="n"/>
      <c r="AQ120" s="16" t="n"/>
      <c r="AR120" s="17" t="n"/>
      <c r="AS120" s="125" t="n"/>
    </row>
    <row r="121" hidden="1" outlineLevel="2">
      <c r="A121" s="8" t="n"/>
      <c r="B121" s="14" t="n"/>
      <c r="C121" s="125" t="n"/>
      <c r="D121" s="125" t="n"/>
      <c r="E121" s="125" t="n"/>
      <c r="F121" s="125" t="n"/>
      <c r="G121" s="125" t="n"/>
      <c r="I121" s="90">
        <f>DADOS_INVOC!$PZ$8</f>
        <v/>
      </c>
      <c r="J121" s="17" t="n"/>
      <c r="K121" s="90">
        <f>DADOS_INVOC!$QB$8</f>
        <v/>
      </c>
      <c r="L121" s="16" t="n"/>
      <c r="M121" s="17" t="n"/>
      <c r="N121" s="125" t="n"/>
      <c r="O121" s="90">
        <f>DADOS_INVOC!$PZ$9</f>
        <v/>
      </c>
      <c r="P121" s="17" t="n"/>
      <c r="Q121" s="90">
        <f>DADOS_INVOC!$QB$9</f>
        <v/>
      </c>
      <c r="R121" s="16" t="n"/>
      <c r="S121" s="17" t="n"/>
      <c r="T121" s="125" t="n"/>
      <c r="U121" s="90">
        <f>DADOS_INVOC!$PZ$10</f>
        <v/>
      </c>
      <c r="V121" s="17" t="n"/>
      <c r="W121" s="90">
        <f>DADOS_INVOC!$QB$10</f>
        <v/>
      </c>
      <c r="X121" s="16" t="n"/>
      <c r="Y121" s="17" t="n"/>
      <c r="Z121" s="125" t="n"/>
      <c r="AB121" s="90">
        <f>DADOS_INVOC!$PZ$86</f>
        <v/>
      </c>
      <c r="AC121" s="17" t="n"/>
      <c r="AD121" s="90">
        <f>DADOS_INVOC!$QB$86</f>
        <v/>
      </c>
      <c r="AE121" s="16" t="n"/>
      <c r="AF121" s="17" t="n"/>
      <c r="AG121" s="125" t="n"/>
      <c r="AH121" s="90">
        <f>DADOS_INVOC!$PZ$87</f>
        <v/>
      </c>
      <c r="AI121" s="17" t="n"/>
      <c r="AJ121" s="90">
        <f>DADOS_INVOC!$QB$87</f>
        <v/>
      </c>
      <c r="AK121" s="16" t="n"/>
      <c r="AL121" s="17" t="n"/>
      <c r="AM121" s="125" t="n"/>
      <c r="AN121" s="90">
        <f>DADOS_INVOC!$PZ$88</f>
        <v/>
      </c>
      <c r="AO121" s="17" t="n"/>
      <c r="AP121" s="90">
        <f>DADOS_INVOC!$QB$88</f>
        <v/>
      </c>
      <c r="AQ121" s="16" t="n"/>
      <c r="AR121" s="17" t="n"/>
      <c r="AS121" s="125" t="n"/>
    </row>
    <row r="122" hidden="1" outlineLevel="2">
      <c r="A122" s="8" t="n"/>
      <c r="B122" s="14" t="n"/>
      <c r="C122" s="125" t="n"/>
      <c r="D122" s="125" t="n"/>
      <c r="E122" s="125" t="n"/>
      <c r="F122" s="125" t="n"/>
      <c r="G122" s="125" t="n"/>
      <c r="I122" s="133">
        <f>DADOS_INVOC!$QH$8</f>
        <v/>
      </c>
      <c r="J122" s="16" t="n"/>
      <c r="K122" s="16" t="n"/>
      <c r="L122" s="16" t="n"/>
      <c r="M122" s="17" t="n"/>
      <c r="N122" s="125" t="n"/>
      <c r="O122" s="133">
        <f>DADOS_INVOC!$QH$9</f>
        <v/>
      </c>
      <c r="P122" s="16" t="n"/>
      <c r="Q122" s="16" t="n"/>
      <c r="R122" s="16" t="n"/>
      <c r="S122" s="17" t="n"/>
      <c r="T122" s="125" t="n"/>
      <c r="U122" s="133">
        <f>DADOS_INVOC!$QH$10</f>
        <v/>
      </c>
      <c r="V122" s="16" t="n"/>
      <c r="W122" s="16" t="n"/>
      <c r="X122" s="16" t="n"/>
      <c r="Y122" s="17" t="n"/>
      <c r="Z122" s="125" t="n"/>
      <c r="AB122" s="133">
        <f>DADOS_INVOC!$QH$86</f>
        <v/>
      </c>
      <c r="AC122" s="16" t="n"/>
      <c r="AD122" s="16" t="n"/>
      <c r="AE122" s="16" t="n"/>
      <c r="AF122" s="17" t="n"/>
      <c r="AG122" s="125" t="n"/>
      <c r="AH122" s="133">
        <f>DADOS_INVOC!$QH$87</f>
        <v/>
      </c>
      <c r="AI122" s="16" t="n"/>
      <c r="AJ122" s="16" t="n"/>
      <c r="AK122" s="16" t="n"/>
      <c r="AL122" s="17" t="n"/>
      <c r="AM122" s="125" t="n"/>
      <c r="AN122" s="133">
        <f>DADOS_INVOC!$QH$88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DADOS_INVOC!$QK$8</f>
        <v/>
      </c>
      <c r="N123" s="125" t="n"/>
      <c r="O123" s="55" t="inlineStr">
        <is>
          <t>MELHORIAS</t>
        </is>
      </c>
      <c r="P123" s="134" t="n"/>
      <c r="Q123" s="16" t="n"/>
      <c r="R123" s="17" t="n"/>
      <c r="S123" s="133">
        <f>DADOS_INVOC!$QK$9</f>
        <v/>
      </c>
      <c r="T123" s="125" t="n"/>
      <c r="U123" s="55" t="inlineStr">
        <is>
          <t>MELHORIAS</t>
        </is>
      </c>
      <c r="V123" s="134" t="n"/>
      <c r="W123" s="16" t="n"/>
      <c r="X123" s="17" t="n"/>
      <c r="Y123" s="133">
        <f>DADOS_INVOC!$QK$10</f>
        <v/>
      </c>
      <c r="Z123" s="125" t="n"/>
      <c r="AB123" s="55" t="inlineStr">
        <is>
          <t>MELHORIAS</t>
        </is>
      </c>
      <c r="AC123" s="134" t="n"/>
      <c r="AD123" s="16" t="n"/>
      <c r="AE123" s="17" t="n"/>
      <c r="AF123" s="133">
        <f>DADOS_INVOC!$QK$86</f>
        <v/>
      </c>
      <c r="AG123" s="125" t="n"/>
      <c r="AH123" s="55" t="inlineStr">
        <is>
          <t>MELHORIAS</t>
        </is>
      </c>
      <c r="AI123" s="134" t="n"/>
      <c r="AJ123" s="16" t="n"/>
      <c r="AK123" s="17" t="n"/>
      <c r="AL123" s="133">
        <f>DADOS_INVOC!$QK$87</f>
        <v/>
      </c>
      <c r="AM123" s="125" t="n"/>
      <c r="AN123" s="55" t="inlineStr">
        <is>
          <t>MELHORIAS</t>
        </is>
      </c>
      <c r="AO123" s="134" t="n"/>
      <c r="AP123" s="16" t="n"/>
      <c r="AQ123" s="17" t="n"/>
      <c r="AR123" s="133">
        <f>DADOS_INVOC!$QK$88</f>
        <v/>
      </c>
      <c r="AS123" s="125" t="n"/>
    </row>
    <row r="124" hidden="1" outlineLevel="3">
      <c r="A124" s="8" t="n"/>
      <c r="B124" s="14" t="n"/>
      <c r="C124" s="125" t="n"/>
      <c r="D124" s="125" t="n"/>
      <c r="E124" s="125" t="n"/>
      <c r="F124" s="125" t="n"/>
      <c r="G124" s="125" t="n"/>
      <c r="I124" s="135" t="n"/>
      <c r="J124" s="134" t="n"/>
      <c r="K124" s="16" t="n"/>
      <c r="L124" s="17" t="n"/>
      <c r="M124" s="133">
        <f>DADOS_INVOC!$QL$8</f>
        <v/>
      </c>
      <c r="N124" s="125" t="n"/>
      <c r="O124" s="135" t="n"/>
      <c r="P124" s="134" t="n"/>
      <c r="Q124" s="16" t="n"/>
      <c r="R124" s="17" t="n"/>
      <c r="S124" s="133">
        <f>DADOS_INVOC!$QL$9</f>
        <v/>
      </c>
      <c r="T124" s="125" t="n"/>
      <c r="U124" s="135" t="n"/>
      <c r="V124" s="134" t="n"/>
      <c r="W124" s="16" t="n"/>
      <c r="X124" s="17" t="n"/>
      <c r="Y124" s="133">
        <f>DADOS_INVOC!$QL$10</f>
        <v/>
      </c>
      <c r="Z124" s="125" t="n"/>
      <c r="AB124" s="135" t="n"/>
      <c r="AC124" s="134" t="n"/>
      <c r="AD124" s="16" t="n"/>
      <c r="AE124" s="17" t="n"/>
      <c r="AF124" s="133">
        <f>DADOS_INVOC!$QL$86</f>
        <v/>
      </c>
      <c r="AG124" s="125" t="n"/>
      <c r="AH124" s="135" t="n"/>
      <c r="AI124" s="134" t="n"/>
      <c r="AJ124" s="16" t="n"/>
      <c r="AK124" s="17" t="n"/>
      <c r="AL124" s="133">
        <f>DADOS_INVOC!$QL$87</f>
        <v/>
      </c>
      <c r="AM124" s="125" t="n"/>
      <c r="AN124" s="135" t="n"/>
      <c r="AO124" s="134" t="n"/>
      <c r="AP124" s="16" t="n"/>
      <c r="AQ124" s="17" t="n"/>
      <c r="AR124" s="133">
        <f>DADOS_INVOC!$QL$88</f>
        <v/>
      </c>
      <c r="AS124" s="125" t="n"/>
    </row>
    <row r="125" hidden="1" outlineLevel="3">
      <c r="A125" s="8" t="n"/>
      <c r="B125" s="14" t="n"/>
      <c r="C125" s="125" t="n"/>
      <c r="D125" s="125" t="n"/>
      <c r="E125" s="125" t="n"/>
      <c r="F125" s="125" t="n"/>
      <c r="G125" s="125" t="n"/>
      <c r="I125" s="135" t="n"/>
      <c r="J125" s="134" t="n"/>
      <c r="K125" s="16" t="n"/>
      <c r="L125" s="17" t="n"/>
      <c r="M125" s="133">
        <f>DADOS_INVOC!$QM$8</f>
        <v/>
      </c>
      <c r="N125" s="125" t="n"/>
      <c r="O125" s="135" t="n"/>
      <c r="P125" s="134" t="n"/>
      <c r="Q125" s="16" t="n"/>
      <c r="R125" s="17" t="n"/>
      <c r="S125" s="133">
        <f>DADOS_INVOC!$QM$9</f>
        <v/>
      </c>
      <c r="T125" s="125" t="n"/>
      <c r="U125" s="135" t="n"/>
      <c r="V125" s="134" t="n"/>
      <c r="W125" s="16" t="n"/>
      <c r="X125" s="17" t="n"/>
      <c r="Y125" s="133">
        <f>DADOS_INVOC!$QM$10</f>
        <v/>
      </c>
      <c r="Z125" s="125" t="n"/>
      <c r="AB125" s="135" t="n"/>
      <c r="AC125" s="134" t="n"/>
      <c r="AD125" s="16" t="n"/>
      <c r="AE125" s="17" t="n"/>
      <c r="AF125" s="133">
        <f>DADOS_INVOC!$QM$86</f>
        <v/>
      </c>
      <c r="AG125" s="125" t="n"/>
      <c r="AH125" s="135" t="n"/>
      <c r="AI125" s="134" t="n"/>
      <c r="AJ125" s="16" t="n"/>
      <c r="AK125" s="17" t="n"/>
      <c r="AL125" s="133">
        <f>DADOS_INVOC!$QM$87</f>
        <v/>
      </c>
      <c r="AM125" s="125" t="n"/>
      <c r="AN125" s="135" t="n"/>
      <c r="AO125" s="134" t="n"/>
      <c r="AP125" s="16" t="n"/>
      <c r="AQ125" s="17" t="n"/>
      <c r="AR125" s="133">
        <f>DADOS_INVOC!$QM$88</f>
        <v/>
      </c>
      <c r="AS125" s="125" t="n"/>
    </row>
    <row r="126" hidden="1" outlineLevel="3">
      <c r="A126" s="8" t="n"/>
      <c r="B126" s="14" t="n"/>
      <c r="C126" s="125" t="n"/>
      <c r="D126" s="125" t="n"/>
      <c r="E126" s="125" t="n"/>
      <c r="F126" s="125" t="n"/>
      <c r="G126" s="125" t="n"/>
      <c r="I126" s="129" t="n"/>
      <c r="J126" s="134" t="n"/>
      <c r="K126" s="16" t="n"/>
      <c r="L126" s="17" t="n"/>
      <c r="M126" s="133">
        <f>DADOS_INVOC!$QN$8</f>
        <v/>
      </c>
      <c r="N126" s="125" t="n"/>
      <c r="O126" s="129" t="n"/>
      <c r="P126" s="134" t="n"/>
      <c r="Q126" s="16" t="n"/>
      <c r="R126" s="17" t="n"/>
      <c r="S126" s="133">
        <f>DADOS_INVOC!$QN$9</f>
        <v/>
      </c>
      <c r="T126" s="125" t="n"/>
      <c r="U126" s="129" t="n"/>
      <c r="V126" s="134" t="n"/>
      <c r="W126" s="16" t="n"/>
      <c r="X126" s="17" t="n"/>
      <c r="Y126" s="133">
        <f>DADOS_INVOC!$QN$10</f>
        <v/>
      </c>
      <c r="Z126" s="125" t="n"/>
      <c r="AB126" s="129" t="n"/>
      <c r="AC126" s="134" t="n"/>
      <c r="AD126" s="16" t="n"/>
      <c r="AE126" s="17" t="n"/>
      <c r="AF126" s="133">
        <f>DADOS_INVOC!$QN$86</f>
        <v/>
      </c>
      <c r="AG126" s="125" t="n"/>
      <c r="AH126" s="129" t="n"/>
      <c r="AI126" s="134" t="n"/>
      <c r="AJ126" s="16" t="n"/>
      <c r="AK126" s="17" t="n"/>
      <c r="AL126" s="133">
        <f>DADOS_INVOC!$QN$87</f>
        <v/>
      </c>
      <c r="AM126" s="125" t="n"/>
      <c r="AN126" s="129" t="n"/>
      <c r="AO126" s="134" t="n"/>
      <c r="AP126" s="16" t="n"/>
      <c r="AQ126" s="17" t="n"/>
      <c r="AR126" s="133">
        <f>DADOS_INVOC!$QN$88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DADOS_INVOC!$QO$8</f>
        <v/>
      </c>
      <c r="N127" s="125" t="n"/>
      <c r="O127" s="55" t="inlineStr">
        <is>
          <t>RESTRIÇÕES</t>
        </is>
      </c>
      <c r="P127" s="134" t="n"/>
      <c r="Q127" s="16" t="n"/>
      <c r="R127" s="17" t="n"/>
      <c r="S127" s="133">
        <f>DADOS_INVOC!$QO$9</f>
        <v/>
      </c>
      <c r="T127" s="125" t="n"/>
      <c r="U127" s="55" t="inlineStr">
        <is>
          <t>RESTRIÇÕES</t>
        </is>
      </c>
      <c r="V127" s="134" t="n"/>
      <c r="W127" s="16" t="n"/>
      <c r="X127" s="17" t="n"/>
      <c r="Y127" s="133">
        <f>DADOS_INVOC!$QO$10</f>
        <v/>
      </c>
      <c r="Z127" s="125" t="n"/>
      <c r="AB127" s="55" t="inlineStr">
        <is>
          <t>RESTRIÇÕES</t>
        </is>
      </c>
      <c r="AC127" s="134" t="n"/>
      <c r="AD127" s="16" t="n"/>
      <c r="AE127" s="17" t="n"/>
      <c r="AF127" s="133">
        <f>DADOS_INVOC!$QO$86</f>
        <v/>
      </c>
      <c r="AG127" s="125" t="n"/>
      <c r="AH127" s="55" t="inlineStr">
        <is>
          <t>RESTRIÇÕES</t>
        </is>
      </c>
      <c r="AI127" s="134" t="n"/>
      <c r="AJ127" s="16" t="n"/>
      <c r="AK127" s="17" t="n"/>
      <c r="AL127" s="133">
        <f>DADOS_INVOC!$QO$87</f>
        <v/>
      </c>
      <c r="AM127" s="125" t="n"/>
      <c r="AN127" s="55" t="inlineStr">
        <is>
          <t>RESTRIÇÕES</t>
        </is>
      </c>
      <c r="AO127" s="134" t="n"/>
      <c r="AP127" s="16" t="n"/>
      <c r="AQ127" s="17" t="n"/>
      <c r="AR127" s="133">
        <f>DADOS_INVOC!$QO$88</f>
        <v/>
      </c>
      <c r="AS127" s="125" t="n"/>
    </row>
    <row r="128" hidden="1" outlineLevel="3">
      <c r="A128" s="8" t="n"/>
      <c r="B128" s="14" t="n"/>
      <c r="C128" s="125" t="n"/>
      <c r="D128" s="125" t="n"/>
      <c r="E128" s="125" t="n"/>
      <c r="F128" s="125" t="n"/>
      <c r="G128" s="125" t="n"/>
      <c r="I128" s="129" t="n"/>
      <c r="J128" s="134" t="n"/>
      <c r="K128" s="16" t="n"/>
      <c r="L128" s="17" t="n"/>
      <c r="M128" s="133">
        <f>DADOS_INVOC!$QP$8</f>
        <v/>
      </c>
      <c r="N128" s="125" t="n"/>
      <c r="O128" s="129" t="n"/>
      <c r="P128" s="134" t="n"/>
      <c r="Q128" s="16" t="n"/>
      <c r="R128" s="17" t="n"/>
      <c r="S128" s="133">
        <f>DADOS_INVOC!$QP$9</f>
        <v/>
      </c>
      <c r="T128" s="125" t="n"/>
      <c r="U128" s="129" t="n"/>
      <c r="V128" s="134" t="n"/>
      <c r="W128" s="16" t="n"/>
      <c r="X128" s="17" t="n"/>
      <c r="Y128" s="133">
        <f>DADOS_INVOC!$QP$10</f>
        <v/>
      </c>
      <c r="Z128" s="125" t="n"/>
      <c r="AB128" s="129" t="n"/>
      <c r="AC128" s="134" t="n"/>
      <c r="AD128" s="16" t="n"/>
      <c r="AE128" s="17" t="n"/>
      <c r="AF128" s="133">
        <f>DADOS_INVOC!$QP$86</f>
        <v/>
      </c>
      <c r="AG128" s="125" t="n"/>
      <c r="AH128" s="129" t="n"/>
      <c r="AI128" s="134" t="n"/>
      <c r="AJ128" s="16" t="n"/>
      <c r="AK128" s="17" t="n"/>
      <c r="AL128" s="133">
        <f>DADOS_INVOC!$QP$87</f>
        <v/>
      </c>
      <c r="AM128" s="125" t="n"/>
      <c r="AN128" s="129" t="n"/>
      <c r="AO128" s="134" t="n"/>
      <c r="AP128" s="16" t="n"/>
      <c r="AQ128" s="17" t="n"/>
      <c r="AR128" s="133">
        <f>DADOS_INVOC!$QP$88</f>
        <v/>
      </c>
      <c r="AS128" s="125" t="n"/>
    </row>
    <row r="129" hidden="1" outlineLevel="3">
      <c r="A129" s="8" t="n"/>
      <c r="B129" s="14" t="n"/>
      <c r="C129" s="125" t="n"/>
      <c r="D129" s="125" t="n"/>
      <c r="E129" s="125" t="n"/>
      <c r="F129" s="125" t="n"/>
      <c r="G129" s="125" t="n"/>
      <c r="I129" s="55" t="inlineStr">
        <is>
          <t>CONTA</t>
        </is>
      </c>
      <c r="J129" s="136">
        <f>DADOS_INVOC!$QI$8</f>
        <v/>
      </c>
      <c r="K129" s="16" t="n"/>
      <c r="L129" s="16" t="n"/>
      <c r="M129" s="17" t="n"/>
      <c r="N129" s="125" t="n"/>
      <c r="O129" s="55" t="inlineStr">
        <is>
          <t>CONTA</t>
        </is>
      </c>
      <c r="P129" s="136">
        <f>DADOS_INVOC!$QI$9</f>
        <v/>
      </c>
      <c r="Q129" s="16" t="n"/>
      <c r="R129" s="16" t="n"/>
      <c r="S129" s="17" t="n"/>
      <c r="T129" s="125" t="n"/>
      <c r="U129" s="55" t="inlineStr">
        <is>
          <t>CONTA</t>
        </is>
      </c>
      <c r="V129" s="136">
        <f>DADOS_INVOC!$QI$10</f>
        <v/>
      </c>
      <c r="W129" s="16" t="n"/>
      <c r="X129" s="16" t="n"/>
      <c r="Y129" s="17" t="n"/>
      <c r="Z129" s="125" t="n"/>
      <c r="AB129" s="55" t="inlineStr">
        <is>
          <t>CONTA</t>
        </is>
      </c>
      <c r="AC129" s="136">
        <f>DADOS_INVOC!$QI$86</f>
        <v/>
      </c>
      <c r="AD129" s="16" t="n"/>
      <c r="AE129" s="16" t="n"/>
      <c r="AF129" s="17" t="n"/>
      <c r="AG129" s="125" t="n"/>
      <c r="AH129" s="55" t="inlineStr">
        <is>
          <t>CONTA</t>
        </is>
      </c>
      <c r="AI129" s="136">
        <f>DADOS_INVOC!$QI$87</f>
        <v/>
      </c>
      <c r="AJ129" s="16" t="n"/>
      <c r="AK129" s="16" t="n"/>
      <c r="AL129" s="17" t="n"/>
      <c r="AM129" s="125" t="n"/>
      <c r="AN129" s="55" t="inlineStr">
        <is>
          <t>CONTA</t>
        </is>
      </c>
      <c r="AO129" s="136">
        <f>DADOS_INVOC!$QI$88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DADOS_INVOC!$QJ$8</f>
        <v/>
      </c>
      <c r="K130" s="19" t="n"/>
      <c r="L130" s="19" t="n"/>
      <c r="M130" s="20" t="n"/>
      <c r="N130" s="125" t="n"/>
      <c r="O130" s="55" t="inlineStr">
        <is>
          <t>AMPLIAR</t>
        </is>
      </c>
      <c r="P130" s="136">
        <f>DADOS_INVOC!$QJ$9</f>
        <v/>
      </c>
      <c r="Q130" s="19" t="n"/>
      <c r="R130" s="19" t="n"/>
      <c r="S130" s="20" t="n"/>
      <c r="T130" s="125" t="n"/>
      <c r="U130" s="55" t="inlineStr">
        <is>
          <t>AMPLIAR</t>
        </is>
      </c>
      <c r="V130" s="136">
        <f>DADOS_INVOC!$QJ$10</f>
        <v/>
      </c>
      <c r="W130" s="19" t="n"/>
      <c r="X130" s="19" t="n"/>
      <c r="Y130" s="20" t="n"/>
      <c r="Z130" s="125" t="n"/>
      <c r="AB130" s="55" t="inlineStr">
        <is>
          <t>AMPLIAR</t>
        </is>
      </c>
      <c r="AC130" s="136">
        <f>DADOS_INVOC!$QJ$86</f>
        <v/>
      </c>
      <c r="AD130" s="19" t="n"/>
      <c r="AE130" s="19" t="n"/>
      <c r="AF130" s="20" t="n"/>
      <c r="AG130" s="125" t="n"/>
      <c r="AH130" s="55" t="inlineStr">
        <is>
          <t>AMPLIAR</t>
        </is>
      </c>
      <c r="AI130" s="136">
        <f>DADOS_INVOC!$QJ$87</f>
        <v/>
      </c>
      <c r="AJ130" s="19" t="n"/>
      <c r="AK130" s="19" t="n"/>
      <c r="AL130" s="20" t="n"/>
      <c r="AM130" s="125" t="n"/>
      <c r="AN130" s="55" t="inlineStr">
        <is>
          <t>AMPLIAR</t>
        </is>
      </c>
      <c r="AO130" s="136">
        <f>DADOS_INVOC!$QJ$88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DADOS_INVOC!$PW$8</f>
        <v/>
      </c>
      <c r="J132" s="19" t="n"/>
      <c r="K132" s="19" t="n"/>
      <c r="L132" s="19" t="n"/>
      <c r="M132" s="20" t="n"/>
      <c r="N132" s="125" t="n"/>
      <c r="O132" s="136">
        <f>DADOS_INVOC!$PW$9</f>
        <v/>
      </c>
      <c r="P132" s="19" t="n"/>
      <c r="Q132" s="19" t="n"/>
      <c r="R132" s="19" t="n"/>
      <c r="S132" s="20" t="n"/>
      <c r="T132" s="125" t="n"/>
      <c r="U132" s="136">
        <f>DADOS_INVOC!$PW$10</f>
        <v/>
      </c>
      <c r="V132" s="19" t="n"/>
      <c r="W132" s="19" t="n"/>
      <c r="X132" s="19" t="n"/>
      <c r="Y132" s="20" t="n"/>
      <c r="Z132" s="125" t="n"/>
      <c r="AB132" s="136">
        <f>DADOS_INVOC!$PW$86</f>
        <v/>
      </c>
      <c r="AC132" s="19" t="n"/>
      <c r="AD132" s="19" t="n"/>
      <c r="AE132" s="19" t="n"/>
      <c r="AF132" s="20" t="n"/>
      <c r="AG132" s="125" t="n"/>
      <c r="AH132" s="136">
        <f>DADOS_INVOC!$PW$87</f>
        <v/>
      </c>
      <c r="AI132" s="19" t="n"/>
      <c r="AJ132" s="19" t="n"/>
      <c r="AK132" s="19" t="n"/>
      <c r="AL132" s="20" t="n"/>
      <c r="AM132" s="125" t="n"/>
      <c r="AN132" s="136">
        <f>DADOS_INVOC!$PW$88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DADOS_INVOC!$PX$11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DADOS_INVOC!$PX$89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DADOS_INVOC!$PV$11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DADOS_INVOC!$PV$89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90" t="inlineStr">
        <is>
          <t>Projétil</t>
        </is>
      </c>
      <c r="J141" s="17" t="n"/>
      <c r="K141" s="68">
        <f>DADOS_INVOC!$QC$11</f>
        <v/>
      </c>
      <c r="L141" s="17" t="n"/>
      <c r="M141" s="68">
        <f>DADOS_INVOC!$PY$11</f>
        <v/>
      </c>
      <c r="N141" s="125" t="n"/>
      <c r="O141" s="125" t="n"/>
      <c r="P141" s="125" t="n"/>
      <c r="Q141" s="125" t="n"/>
      <c r="R141" s="125" t="n"/>
      <c r="S141" s="125" t="n"/>
      <c r="T141" s="125" t="n"/>
      <c r="U141" s="125" t="n"/>
      <c r="V141" s="125" t="n"/>
      <c r="W141" s="125" t="n"/>
      <c r="X141" s="125" t="n"/>
      <c r="Y141" s="125" t="n"/>
      <c r="Z141" s="125" t="n"/>
      <c r="AB141" s="90" t="inlineStr">
        <is>
          <t>Projétil</t>
        </is>
      </c>
      <c r="AC141" s="17" t="n"/>
      <c r="AD141" s="68">
        <f>DADOS_INVOC!$QC$89</f>
        <v/>
      </c>
      <c r="AE141" s="17" t="n"/>
      <c r="AF141" s="68">
        <f>DADOS_INVOC!$PY$89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90" t="n"/>
      <c r="J142" s="17" t="n"/>
      <c r="K142" s="90" t="n"/>
      <c r="L142" s="16" t="n"/>
      <c r="M142" s="17" t="n"/>
      <c r="N142" s="125" t="n"/>
      <c r="O142" s="125" t="n"/>
      <c r="P142" s="125" t="n"/>
      <c r="Q142" s="125" t="n"/>
      <c r="R142" s="125" t="n"/>
      <c r="S142" s="125" t="n"/>
      <c r="T142" s="125" t="n"/>
      <c r="U142" s="125" t="n"/>
      <c r="V142" s="125" t="n"/>
      <c r="W142" s="125" t="n"/>
      <c r="X142" s="125" t="n"/>
      <c r="Y142" s="125" t="n"/>
      <c r="Z142" s="125" t="n"/>
      <c r="AB142" s="90" t="n"/>
      <c r="AC142" s="17" t="n"/>
      <c r="AD142" s="90"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90">
        <f>DADOS_INVOC!$PZ$11</f>
        <v/>
      </c>
      <c r="J143" s="17" t="n"/>
      <c r="K143" s="90">
        <f>DADOS_INVOC!$QB$11</f>
        <v/>
      </c>
      <c r="L143" s="16" t="n"/>
      <c r="M143" s="17" t="n"/>
      <c r="N143" s="125" t="n"/>
      <c r="O143" s="125" t="n"/>
      <c r="P143" s="125" t="n"/>
      <c r="Q143" s="125" t="n"/>
      <c r="R143" s="125" t="n"/>
      <c r="S143" s="125" t="n"/>
      <c r="T143" s="125" t="n"/>
      <c r="U143" s="125" t="n"/>
      <c r="V143" s="125" t="n"/>
      <c r="W143" s="125" t="n"/>
      <c r="X143" s="125" t="n"/>
      <c r="Y143" s="125" t="n"/>
      <c r="Z143" s="125" t="n"/>
      <c r="AB143" s="90">
        <f>DADOS_INVOC!$PZ$89</f>
        <v/>
      </c>
      <c r="AC143" s="17" t="n"/>
      <c r="AD143" s="90">
        <f>DADOS_INVOC!$QB$89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DADOS_INVOC!$QH$11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DADOS_INVOC!$QH$89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DADOS_INVOC!$QK$11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DADOS_INVOC!$QK$89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DADOS_INVOC!$QL$11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DADOS_INVOC!$QL$89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DADOS_INVOC!$QM$11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DADOS_INVOC!$QM$89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DADOS_INVOC!$QN$11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DADOS_INVOC!$QN$89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DADOS_INVOC!$QO$11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DADOS_INVOC!$QO$89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DADOS_INVOC!$QP$11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DADOS_INVOC!$QP$89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DADOS_INVOC!$QI$11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DADOS_INVOC!$QI$89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DADOS_INVOC!$QJ$11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DADOS_INVOC!$QJ$89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DADOS_INVOC!$PW$11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DADOS_INVOC!$PW$89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DADOS_INVOC!$PX$12</f>
        <v/>
      </c>
      <c r="J159" s="16" t="n"/>
      <c r="K159" s="16" t="n"/>
      <c r="L159" s="16" t="n"/>
      <c r="M159" s="17" t="n"/>
      <c r="N159" s="125" t="n"/>
      <c r="O159" s="55">
        <f>DADOS_INVOC!$PX$13</f>
        <v/>
      </c>
      <c r="P159" s="16" t="n"/>
      <c r="Q159" s="16" t="n"/>
      <c r="R159" s="16" t="n"/>
      <c r="S159" s="17" t="n"/>
      <c r="T159" s="125" t="n"/>
      <c r="U159" s="55">
        <f>DADOS_INVOC!$PX$14</f>
        <v/>
      </c>
      <c r="V159" s="16" t="n"/>
      <c r="W159" s="16" t="n"/>
      <c r="X159" s="16" t="n"/>
      <c r="Y159" s="17" t="n"/>
      <c r="Z159" s="125" t="n"/>
      <c r="AB159" s="55">
        <f>DADOS_INVOC!$PX$90</f>
        <v/>
      </c>
      <c r="AC159" s="16" t="n"/>
      <c r="AD159" s="16" t="n"/>
      <c r="AE159" s="16" t="n"/>
      <c r="AF159" s="17" t="n"/>
      <c r="AG159" s="125" t="n"/>
      <c r="AH159" s="55">
        <f>DADOS_INVOC!$PX$91</f>
        <v/>
      </c>
      <c r="AI159" s="16" t="n"/>
      <c r="AJ159" s="16" t="n"/>
      <c r="AK159" s="16" t="n"/>
      <c r="AL159" s="17" t="n"/>
      <c r="AM159" s="125" t="n"/>
      <c r="AN159" s="55">
        <f>DADOS_INVOC!$PX$92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DADOS_INVOC!$PV$12</f>
        <v/>
      </c>
      <c r="N160" s="125" t="n"/>
      <c r="O160" s="131" t="n">
        <v>1</v>
      </c>
      <c r="P160" s="120" t="n"/>
      <c r="Q160" s="16" t="n"/>
      <c r="R160" s="17" t="n"/>
      <c r="S160" s="132">
        <f>DADOS_INVOC!$PV$13</f>
        <v/>
      </c>
      <c r="T160" s="125" t="n"/>
      <c r="U160" s="131" t="n">
        <v>1</v>
      </c>
      <c r="V160" s="120" t="n"/>
      <c r="W160" s="16" t="n"/>
      <c r="X160" s="17" t="n"/>
      <c r="Y160" s="132">
        <f>DADOS_INVOC!$PV$14</f>
        <v/>
      </c>
      <c r="Z160" s="125" t="n"/>
      <c r="AB160" s="131" t="n">
        <v>1</v>
      </c>
      <c r="AC160" s="120" t="n"/>
      <c r="AD160" s="16" t="n"/>
      <c r="AE160" s="17" t="n"/>
      <c r="AF160" s="132">
        <f>DADOS_INVOC!$PV$90</f>
        <v/>
      </c>
      <c r="AG160" s="125" t="n"/>
      <c r="AH160" s="131" t="n">
        <v>1</v>
      </c>
      <c r="AI160" s="120" t="n"/>
      <c r="AJ160" s="16" t="n"/>
      <c r="AK160" s="17" t="n"/>
      <c r="AL160" s="132">
        <f>DADOS_INVOC!$PV$91</f>
        <v/>
      </c>
      <c r="AM160" s="125" t="n"/>
      <c r="AN160" s="131" t="n">
        <v>1</v>
      </c>
      <c r="AO160" s="120" t="n"/>
      <c r="AP160" s="16" t="n"/>
      <c r="AQ160" s="17" t="n"/>
      <c r="AR160" s="132">
        <f>DADOS_INVOC!$PV$92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90" t="inlineStr">
        <is>
          <t>Projétil</t>
        </is>
      </c>
      <c r="J165" s="17" t="n"/>
      <c r="K165" s="68">
        <f>DADOS_INVOC!$QC$12</f>
        <v/>
      </c>
      <c r="L165" s="17" t="n"/>
      <c r="M165" s="68">
        <f>DADOS_INVOC!$PY$12</f>
        <v/>
      </c>
      <c r="N165" s="125" t="n"/>
      <c r="O165" s="90" t="inlineStr">
        <is>
          <t>Projétil</t>
        </is>
      </c>
      <c r="P165" s="17" t="n"/>
      <c r="Q165" s="68">
        <f>DADOS_INVOC!$QC$13</f>
        <v/>
      </c>
      <c r="R165" s="17" t="n"/>
      <c r="S165" s="68">
        <f>DADOS_INVOC!$PY$13</f>
        <v/>
      </c>
      <c r="T165" s="125" t="n"/>
      <c r="U165" s="90" t="inlineStr">
        <is>
          <t>Projétil</t>
        </is>
      </c>
      <c r="V165" s="17" t="n"/>
      <c r="W165" s="68">
        <f>DADOS_INVOC!$QC$14</f>
        <v/>
      </c>
      <c r="X165" s="17" t="n"/>
      <c r="Y165" s="68">
        <f>DADOS_INVOC!$PY$14</f>
        <v/>
      </c>
      <c r="Z165" s="125" t="n"/>
      <c r="AB165" s="90" t="inlineStr">
        <is>
          <t>Projétil</t>
        </is>
      </c>
      <c r="AC165" s="17" t="n"/>
      <c r="AD165" s="68">
        <f>DADOS_INVOC!$QC$90</f>
        <v/>
      </c>
      <c r="AE165" s="17" t="n"/>
      <c r="AF165" s="68">
        <f>DADOS_INVOC!$PY$90</f>
        <v/>
      </c>
      <c r="AG165" s="125" t="n"/>
      <c r="AH165" s="90" t="inlineStr">
        <is>
          <t>Projétil</t>
        </is>
      </c>
      <c r="AI165" s="17" t="n"/>
      <c r="AJ165" s="68">
        <f>DADOS_INVOC!$QC$91</f>
        <v/>
      </c>
      <c r="AK165" s="17" t="n"/>
      <c r="AL165" s="68">
        <f>DADOS_INVOC!$PY$91</f>
        <v/>
      </c>
      <c r="AM165" s="125" t="n"/>
      <c r="AN165" s="90" t="inlineStr">
        <is>
          <t>Projétil</t>
        </is>
      </c>
      <c r="AO165" s="17" t="n"/>
      <c r="AP165" s="68">
        <f>DADOS_INVOC!$QC$92</f>
        <v/>
      </c>
      <c r="AQ165" s="17" t="n"/>
      <c r="AR165" s="68">
        <f>DADOS_INVOC!$PY$92</f>
        <v/>
      </c>
      <c r="AS165" s="125" t="n"/>
    </row>
    <row r="166" hidden="1" outlineLevel="2">
      <c r="A166" s="8" t="n"/>
      <c r="B166" s="14" t="n"/>
      <c r="C166" s="125" t="n"/>
      <c r="D166" s="125" t="n"/>
      <c r="E166" s="125" t="n"/>
      <c r="F166" s="125" t="n"/>
      <c r="G166" s="125" t="n"/>
      <c r="I166" s="90" t="n"/>
      <c r="J166" s="17" t="n"/>
      <c r="K166" s="90" t="n"/>
      <c r="L166" s="16" t="n"/>
      <c r="M166" s="17" t="n"/>
      <c r="N166" s="125" t="n"/>
      <c r="O166" s="90" t="n"/>
      <c r="P166" s="17" t="n"/>
      <c r="Q166" s="90" t="n"/>
      <c r="R166" s="16" t="n"/>
      <c r="S166" s="17" t="n"/>
      <c r="T166" s="125" t="n"/>
      <c r="U166" s="90" t="n"/>
      <c r="V166" s="17" t="n"/>
      <c r="W166" s="90" t="n"/>
      <c r="X166" s="16" t="n"/>
      <c r="Y166" s="17" t="n"/>
      <c r="Z166" s="125" t="n"/>
      <c r="AB166" s="90" t="n"/>
      <c r="AC166" s="17" t="n"/>
      <c r="AD166" s="90" t="n"/>
      <c r="AE166" s="16" t="n"/>
      <c r="AF166" s="17" t="n"/>
      <c r="AG166" s="125" t="n"/>
      <c r="AH166" s="90" t="n"/>
      <c r="AI166" s="17" t="n"/>
      <c r="AJ166" s="90" t="n"/>
      <c r="AK166" s="16" t="n"/>
      <c r="AL166" s="17" t="n"/>
      <c r="AM166" s="125" t="n"/>
      <c r="AN166" s="90" t="n"/>
      <c r="AO166" s="17" t="n"/>
      <c r="AP166" s="90" t="n"/>
      <c r="AQ166" s="16" t="n"/>
      <c r="AR166" s="17" t="n"/>
      <c r="AS166" s="125" t="n"/>
    </row>
    <row r="167" hidden="1" outlineLevel="2">
      <c r="A167" s="8" t="n"/>
      <c r="B167" s="14" t="n"/>
      <c r="C167" s="125" t="n"/>
      <c r="D167" s="125" t="n"/>
      <c r="E167" s="125" t="n"/>
      <c r="F167" s="125" t="n"/>
      <c r="G167" s="125" t="n"/>
      <c r="I167" s="90">
        <f>DADOS_INVOC!$PZ$12</f>
        <v/>
      </c>
      <c r="J167" s="17" t="n"/>
      <c r="K167" s="90">
        <f>DADOS_INVOC!$QB$12</f>
        <v/>
      </c>
      <c r="L167" s="16" t="n"/>
      <c r="M167" s="17" t="n"/>
      <c r="N167" s="125" t="n"/>
      <c r="O167" s="90">
        <f>DADOS_INVOC!$PZ$13</f>
        <v/>
      </c>
      <c r="P167" s="17" t="n"/>
      <c r="Q167" s="90">
        <f>DADOS_INVOC!$QB$13</f>
        <v/>
      </c>
      <c r="R167" s="16" t="n"/>
      <c r="S167" s="17" t="n"/>
      <c r="T167" s="125" t="n"/>
      <c r="U167" s="90">
        <f>DADOS_INVOC!$PZ$14</f>
        <v/>
      </c>
      <c r="V167" s="17" t="n"/>
      <c r="W167" s="90">
        <f>DADOS_INVOC!$QB$14</f>
        <v/>
      </c>
      <c r="X167" s="16" t="n"/>
      <c r="Y167" s="17" t="n"/>
      <c r="Z167" s="125" t="n"/>
      <c r="AB167" s="90">
        <f>DADOS_INVOC!$PZ$90</f>
        <v/>
      </c>
      <c r="AC167" s="17" t="n"/>
      <c r="AD167" s="90">
        <f>DADOS_INVOC!$QB$90</f>
        <v/>
      </c>
      <c r="AE167" s="16" t="n"/>
      <c r="AF167" s="17" t="n"/>
      <c r="AG167" s="125" t="n"/>
      <c r="AH167" s="90">
        <f>DADOS_INVOC!$PZ$91</f>
        <v/>
      </c>
      <c r="AI167" s="17" t="n"/>
      <c r="AJ167" s="90">
        <f>DADOS_INVOC!$QB$91</f>
        <v/>
      </c>
      <c r="AK167" s="16" t="n"/>
      <c r="AL167" s="17" t="n"/>
      <c r="AM167" s="125" t="n"/>
      <c r="AN167" s="90">
        <f>DADOS_INVOC!$PZ$92</f>
        <v/>
      </c>
      <c r="AO167" s="17" t="n"/>
      <c r="AP167" s="90">
        <f>DADOS_INVOC!$QB$92</f>
        <v/>
      </c>
      <c r="AQ167" s="16" t="n"/>
      <c r="AR167" s="17" t="n"/>
      <c r="AS167" s="125" t="n"/>
    </row>
    <row r="168" hidden="1" outlineLevel="2">
      <c r="A168" s="8" t="n"/>
      <c r="B168" s="14" t="n"/>
      <c r="C168" s="125" t="n"/>
      <c r="D168" s="125" t="n"/>
      <c r="E168" s="125" t="n"/>
      <c r="F168" s="125" t="n"/>
      <c r="G168" s="125" t="n"/>
      <c r="I168" s="133">
        <f>DADOS_INVOC!$QH$12</f>
        <v/>
      </c>
      <c r="J168" s="16" t="n"/>
      <c r="K168" s="16" t="n"/>
      <c r="L168" s="16" t="n"/>
      <c r="M168" s="17" t="n"/>
      <c r="N168" s="125" t="n"/>
      <c r="O168" s="133">
        <f>DADOS_INVOC!$QH$13</f>
        <v/>
      </c>
      <c r="P168" s="16" t="n"/>
      <c r="Q168" s="16" t="n"/>
      <c r="R168" s="16" t="n"/>
      <c r="S168" s="17" t="n"/>
      <c r="T168" s="125" t="n"/>
      <c r="U168" s="133">
        <f>DADOS_INVOC!$QH$14</f>
        <v/>
      </c>
      <c r="V168" s="16" t="n"/>
      <c r="W168" s="16" t="n"/>
      <c r="X168" s="16" t="n"/>
      <c r="Y168" s="17" t="n"/>
      <c r="Z168" s="125" t="n"/>
      <c r="AB168" s="133">
        <f>DADOS_INVOC!$QH$90</f>
        <v/>
      </c>
      <c r="AC168" s="16" t="n"/>
      <c r="AD168" s="16" t="n"/>
      <c r="AE168" s="16" t="n"/>
      <c r="AF168" s="17" t="n"/>
      <c r="AG168" s="125" t="n"/>
      <c r="AH168" s="133">
        <f>DADOS_INVOC!$QH$91</f>
        <v/>
      </c>
      <c r="AI168" s="16" t="n"/>
      <c r="AJ168" s="16" t="n"/>
      <c r="AK168" s="16" t="n"/>
      <c r="AL168" s="17" t="n"/>
      <c r="AM168" s="125" t="n"/>
      <c r="AN168" s="133">
        <f>DADOS_INVOC!$QH$92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DADOS_INVOC!$QK$12</f>
        <v/>
      </c>
      <c r="N169" s="125" t="n"/>
      <c r="O169" s="55" t="inlineStr">
        <is>
          <t>MELHORIAS</t>
        </is>
      </c>
      <c r="P169" s="134" t="n"/>
      <c r="Q169" s="16" t="n"/>
      <c r="R169" s="17" t="n"/>
      <c r="S169" s="133">
        <f>DADOS_INVOC!$QK$13</f>
        <v/>
      </c>
      <c r="T169" s="125" t="n"/>
      <c r="U169" s="55" t="inlineStr">
        <is>
          <t>MELHORIAS</t>
        </is>
      </c>
      <c r="V169" s="134" t="n"/>
      <c r="W169" s="16" t="n"/>
      <c r="X169" s="17" t="n"/>
      <c r="Y169" s="133">
        <f>DADOS_INVOC!$QK$14</f>
        <v/>
      </c>
      <c r="Z169" s="125" t="n"/>
      <c r="AB169" s="55" t="inlineStr">
        <is>
          <t>MELHORIAS</t>
        </is>
      </c>
      <c r="AC169" s="134" t="n"/>
      <c r="AD169" s="16" t="n"/>
      <c r="AE169" s="17" t="n"/>
      <c r="AF169" s="133">
        <f>DADOS_INVOC!$QK$90</f>
        <v/>
      </c>
      <c r="AG169" s="125" t="n"/>
      <c r="AH169" s="55" t="inlineStr">
        <is>
          <t>MELHORIAS</t>
        </is>
      </c>
      <c r="AI169" s="134" t="n"/>
      <c r="AJ169" s="16" t="n"/>
      <c r="AK169" s="17" t="n"/>
      <c r="AL169" s="133">
        <f>DADOS_INVOC!$QK$91</f>
        <v/>
      </c>
      <c r="AM169" s="125" t="n"/>
      <c r="AN169" s="55" t="inlineStr">
        <is>
          <t>MELHORIAS</t>
        </is>
      </c>
      <c r="AO169" s="134" t="n"/>
      <c r="AP169" s="16" t="n"/>
      <c r="AQ169" s="17" t="n"/>
      <c r="AR169" s="133">
        <f>DADOS_INVOC!$QK$92</f>
        <v/>
      </c>
      <c r="AS169" s="125" t="n"/>
    </row>
    <row r="170" hidden="1" outlineLevel="3">
      <c r="A170" s="8" t="n"/>
      <c r="B170" s="14" t="n"/>
      <c r="C170" s="125" t="n"/>
      <c r="D170" s="125" t="n"/>
      <c r="E170" s="125" t="n"/>
      <c r="F170" s="125" t="n"/>
      <c r="G170" s="125" t="n"/>
      <c r="I170" s="135" t="n"/>
      <c r="J170" s="134" t="n"/>
      <c r="K170" s="16" t="n"/>
      <c r="L170" s="17" t="n"/>
      <c r="M170" s="133">
        <f>DADOS_INVOC!$QL$12</f>
        <v/>
      </c>
      <c r="N170" s="125" t="n"/>
      <c r="O170" s="135" t="n"/>
      <c r="P170" s="134" t="n"/>
      <c r="Q170" s="16" t="n"/>
      <c r="R170" s="17" t="n"/>
      <c r="S170" s="133">
        <f>DADOS_INVOC!$QL$13</f>
        <v/>
      </c>
      <c r="T170" s="125" t="n"/>
      <c r="U170" s="135" t="n"/>
      <c r="V170" s="134" t="n"/>
      <c r="W170" s="16" t="n"/>
      <c r="X170" s="17" t="n"/>
      <c r="Y170" s="133">
        <f>DADOS_INVOC!$QL$14</f>
        <v/>
      </c>
      <c r="Z170" s="125" t="n"/>
      <c r="AB170" s="135" t="n"/>
      <c r="AC170" s="134" t="n"/>
      <c r="AD170" s="16" t="n"/>
      <c r="AE170" s="17" t="n"/>
      <c r="AF170" s="133">
        <f>DADOS_INVOC!$QL$90</f>
        <v/>
      </c>
      <c r="AG170" s="125" t="n"/>
      <c r="AH170" s="135" t="n"/>
      <c r="AI170" s="134" t="n"/>
      <c r="AJ170" s="16" t="n"/>
      <c r="AK170" s="17" t="n"/>
      <c r="AL170" s="133">
        <f>DADOS_INVOC!$QL$91</f>
        <v/>
      </c>
      <c r="AM170" s="125" t="n"/>
      <c r="AN170" s="135" t="n"/>
      <c r="AO170" s="134" t="n"/>
      <c r="AP170" s="16" t="n"/>
      <c r="AQ170" s="17" t="n"/>
      <c r="AR170" s="133">
        <f>DADOS_INVOC!$QL$92</f>
        <v/>
      </c>
      <c r="AS170" s="125" t="n"/>
    </row>
    <row r="171" hidden="1" outlineLevel="3">
      <c r="A171" s="8" t="n"/>
      <c r="B171" s="14" t="n"/>
      <c r="C171" s="125" t="n"/>
      <c r="D171" s="125" t="n"/>
      <c r="E171" s="125" t="n"/>
      <c r="F171" s="125" t="n"/>
      <c r="G171" s="125" t="n"/>
      <c r="I171" s="135" t="n"/>
      <c r="J171" s="134" t="n"/>
      <c r="K171" s="16" t="n"/>
      <c r="L171" s="17" t="n"/>
      <c r="M171" s="133">
        <f>DADOS_INVOC!$QM$12</f>
        <v/>
      </c>
      <c r="N171" s="125" t="n"/>
      <c r="O171" s="135" t="n"/>
      <c r="P171" s="134" t="n"/>
      <c r="Q171" s="16" t="n"/>
      <c r="R171" s="17" t="n"/>
      <c r="S171" s="133">
        <f>DADOS_INVOC!$QM$13</f>
        <v/>
      </c>
      <c r="T171" s="125" t="n"/>
      <c r="U171" s="135" t="n"/>
      <c r="V171" s="134" t="n"/>
      <c r="W171" s="16" t="n"/>
      <c r="X171" s="17" t="n"/>
      <c r="Y171" s="133">
        <f>DADOS_INVOC!$QM$14</f>
        <v/>
      </c>
      <c r="Z171" s="125" t="n"/>
      <c r="AB171" s="135" t="n"/>
      <c r="AC171" s="134" t="n"/>
      <c r="AD171" s="16" t="n"/>
      <c r="AE171" s="17" t="n"/>
      <c r="AF171" s="133">
        <f>DADOS_INVOC!$QM$90</f>
        <v/>
      </c>
      <c r="AG171" s="125" t="n"/>
      <c r="AH171" s="135" t="n"/>
      <c r="AI171" s="134" t="n"/>
      <c r="AJ171" s="16" t="n"/>
      <c r="AK171" s="17" t="n"/>
      <c r="AL171" s="133">
        <f>DADOS_INVOC!$QM$91</f>
        <v/>
      </c>
      <c r="AM171" s="125" t="n"/>
      <c r="AN171" s="135" t="n"/>
      <c r="AO171" s="134" t="n"/>
      <c r="AP171" s="16" t="n"/>
      <c r="AQ171" s="17" t="n"/>
      <c r="AR171" s="133">
        <f>DADOS_INVOC!$QM$92</f>
        <v/>
      </c>
      <c r="AS171" s="125" t="n"/>
    </row>
    <row r="172" hidden="1" outlineLevel="3">
      <c r="A172" s="8" t="n"/>
      <c r="B172" s="14" t="n"/>
      <c r="C172" s="125" t="n"/>
      <c r="D172" s="125" t="n"/>
      <c r="E172" s="125" t="n"/>
      <c r="F172" s="125" t="n"/>
      <c r="G172" s="125" t="n"/>
      <c r="I172" s="129" t="n"/>
      <c r="J172" s="134" t="n"/>
      <c r="K172" s="16" t="n"/>
      <c r="L172" s="17" t="n"/>
      <c r="M172" s="133">
        <f>DADOS_INVOC!$QN$12</f>
        <v/>
      </c>
      <c r="N172" s="125" t="n"/>
      <c r="O172" s="129" t="n"/>
      <c r="P172" s="134" t="n"/>
      <c r="Q172" s="16" t="n"/>
      <c r="R172" s="17" t="n"/>
      <c r="S172" s="133">
        <f>DADOS_INVOC!$QN$13</f>
        <v/>
      </c>
      <c r="T172" s="125" t="n"/>
      <c r="U172" s="129" t="n"/>
      <c r="V172" s="134" t="n"/>
      <c r="W172" s="16" t="n"/>
      <c r="X172" s="17" t="n"/>
      <c r="Y172" s="133">
        <f>DADOS_INVOC!$QN$14</f>
        <v/>
      </c>
      <c r="Z172" s="125" t="n"/>
      <c r="AB172" s="129" t="n"/>
      <c r="AC172" s="134" t="n"/>
      <c r="AD172" s="16" t="n"/>
      <c r="AE172" s="17" t="n"/>
      <c r="AF172" s="133">
        <f>DADOS_INVOC!$QN$90</f>
        <v/>
      </c>
      <c r="AG172" s="125" t="n"/>
      <c r="AH172" s="129" t="n"/>
      <c r="AI172" s="134" t="n"/>
      <c r="AJ172" s="16" t="n"/>
      <c r="AK172" s="17" t="n"/>
      <c r="AL172" s="133">
        <f>DADOS_INVOC!$QN$91</f>
        <v/>
      </c>
      <c r="AM172" s="125" t="n"/>
      <c r="AN172" s="129" t="n"/>
      <c r="AO172" s="134" t="n"/>
      <c r="AP172" s="16" t="n"/>
      <c r="AQ172" s="17" t="n"/>
      <c r="AR172" s="133">
        <f>DADOS_INVOC!$QN$92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DADOS_INVOC!$QO$12</f>
        <v/>
      </c>
      <c r="N173" s="125" t="n"/>
      <c r="O173" s="55" t="inlineStr">
        <is>
          <t>RESTRIÇÕES</t>
        </is>
      </c>
      <c r="P173" s="134" t="n"/>
      <c r="Q173" s="16" t="n"/>
      <c r="R173" s="17" t="n"/>
      <c r="S173" s="133">
        <f>DADOS_INVOC!$QO$13</f>
        <v/>
      </c>
      <c r="T173" s="125" t="n"/>
      <c r="U173" s="55" t="inlineStr">
        <is>
          <t>RESTRIÇÕES</t>
        </is>
      </c>
      <c r="V173" s="134" t="n"/>
      <c r="W173" s="16" t="n"/>
      <c r="X173" s="17" t="n"/>
      <c r="Y173" s="133">
        <f>DADOS_INVOC!$QO$14</f>
        <v/>
      </c>
      <c r="Z173" s="125" t="n"/>
      <c r="AB173" s="55" t="inlineStr">
        <is>
          <t>RESTRIÇÕES</t>
        </is>
      </c>
      <c r="AC173" s="134" t="n"/>
      <c r="AD173" s="16" t="n"/>
      <c r="AE173" s="17" t="n"/>
      <c r="AF173" s="133">
        <f>DADOS_INVOC!$QO$90</f>
        <v/>
      </c>
      <c r="AG173" s="125" t="n"/>
      <c r="AH173" s="55" t="inlineStr">
        <is>
          <t>RESTRIÇÕES</t>
        </is>
      </c>
      <c r="AI173" s="134" t="n"/>
      <c r="AJ173" s="16" t="n"/>
      <c r="AK173" s="17" t="n"/>
      <c r="AL173" s="133">
        <f>DADOS_INVOC!$QO$91</f>
        <v/>
      </c>
      <c r="AM173" s="125" t="n"/>
      <c r="AN173" s="55" t="inlineStr">
        <is>
          <t>RESTRIÇÕES</t>
        </is>
      </c>
      <c r="AO173" s="134" t="n"/>
      <c r="AP173" s="16" t="n"/>
      <c r="AQ173" s="17" t="n"/>
      <c r="AR173" s="133">
        <f>DADOS_INVOC!$QO$92</f>
        <v/>
      </c>
      <c r="AS173" s="125" t="n"/>
    </row>
    <row r="174" hidden="1" outlineLevel="3">
      <c r="A174" s="8" t="n"/>
      <c r="B174" s="14" t="n"/>
      <c r="C174" s="125" t="n"/>
      <c r="D174" s="125" t="n"/>
      <c r="E174" s="125" t="n"/>
      <c r="F174" s="125" t="n"/>
      <c r="G174" s="125" t="n"/>
      <c r="I174" s="129" t="n"/>
      <c r="J174" s="134" t="n"/>
      <c r="K174" s="16" t="n"/>
      <c r="L174" s="17" t="n"/>
      <c r="M174" s="133">
        <f>DADOS_INVOC!$QP$12</f>
        <v/>
      </c>
      <c r="N174" s="125" t="n"/>
      <c r="O174" s="129" t="n"/>
      <c r="P174" s="134" t="n"/>
      <c r="Q174" s="16" t="n"/>
      <c r="R174" s="17" t="n"/>
      <c r="S174" s="133">
        <f>DADOS_INVOC!$QP$13</f>
        <v/>
      </c>
      <c r="T174" s="125" t="n"/>
      <c r="U174" s="129" t="n"/>
      <c r="V174" s="134" t="n"/>
      <c r="W174" s="16" t="n"/>
      <c r="X174" s="17" t="n"/>
      <c r="Y174" s="133">
        <f>DADOS_INVOC!$QP$14</f>
        <v/>
      </c>
      <c r="Z174" s="125" t="n"/>
      <c r="AB174" s="129" t="n"/>
      <c r="AC174" s="134" t="n"/>
      <c r="AD174" s="16" t="n"/>
      <c r="AE174" s="17" t="n"/>
      <c r="AF174" s="133">
        <f>DADOS_INVOC!$QP$90</f>
        <v/>
      </c>
      <c r="AG174" s="125" t="n"/>
      <c r="AH174" s="129" t="n"/>
      <c r="AI174" s="134" t="n"/>
      <c r="AJ174" s="16" t="n"/>
      <c r="AK174" s="17" t="n"/>
      <c r="AL174" s="133">
        <f>DADOS_INVOC!$QP$91</f>
        <v/>
      </c>
      <c r="AM174" s="125" t="n"/>
      <c r="AN174" s="129" t="n"/>
      <c r="AO174" s="134" t="n"/>
      <c r="AP174" s="16" t="n"/>
      <c r="AQ174" s="17" t="n"/>
      <c r="AR174" s="133">
        <f>DADOS_INVOC!$QP$92</f>
        <v/>
      </c>
      <c r="AS174" s="125" t="n"/>
    </row>
    <row r="175" hidden="1" outlineLevel="3">
      <c r="A175" s="8" t="n"/>
      <c r="B175" s="14" t="n"/>
      <c r="C175" s="125" t="n"/>
      <c r="D175" s="125" t="n"/>
      <c r="E175" s="125" t="n"/>
      <c r="F175" s="125" t="n"/>
      <c r="G175" s="125" t="n"/>
      <c r="I175" s="55" t="inlineStr">
        <is>
          <t>CONTA</t>
        </is>
      </c>
      <c r="J175" s="136">
        <f>DADOS_INVOC!$QI$12</f>
        <v/>
      </c>
      <c r="K175" s="16" t="n"/>
      <c r="L175" s="16" t="n"/>
      <c r="M175" s="17" t="n"/>
      <c r="N175" s="125" t="n"/>
      <c r="O175" s="55" t="inlineStr">
        <is>
          <t>CONTA</t>
        </is>
      </c>
      <c r="P175" s="136">
        <f>DADOS_INVOC!$QI$13</f>
        <v/>
      </c>
      <c r="Q175" s="16" t="n"/>
      <c r="R175" s="16" t="n"/>
      <c r="S175" s="17" t="n"/>
      <c r="T175" s="125" t="n"/>
      <c r="U175" s="55" t="inlineStr">
        <is>
          <t>CONTA</t>
        </is>
      </c>
      <c r="V175" s="136">
        <f>DADOS_INVOC!$QI$14</f>
        <v/>
      </c>
      <c r="W175" s="16" t="n"/>
      <c r="X175" s="16" t="n"/>
      <c r="Y175" s="17" t="n"/>
      <c r="Z175" s="125" t="n"/>
      <c r="AB175" s="55" t="inlineStr">
        <is>
          <t>CONTA</t>
        </is>
      </c>
      <c r="AC175" s="136">
        <f>DADOS_INVOC!$QI$90</f>
        <v/>
      </c>
      <c r="AD175" s="16" t="n"/>
      <c r="AE175" s="16" t="n"/>
      <c r="AF175" s="17" t="n"/>
      <c r="AG175" s="125" t="n"/>
      <c r="AH175" s="55" t="inlineStr">
        <is>
          <t>CONTA</t>
        </is>
      </c>
      <c r="AI175" s="136">
        <f>DADOS_INVOC!$QI$91</f>
        <v/>
      </c>
      <c r="AJ175" s="16" t="n"/>
      <c r="AK175" s="16" t="n"/>
      <c r="AL175" s="17" t="n"/>
      <c r="AM175" s="125" t="n"/>
      <c r="AN175" s="55" t="inlineStr">
        <is>
          <t>CONTA</t>
        </is>
      </c>
      <c r="AO175" s="136">
        <f>DADOS_INVOC!$QI$92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DADOS_INVOC!$QJ$12</f>
        <v/>
      </c>
      <c r="K176" s="19" t="n"/>
      <c r="L176" s="19" t="n"/>
      <c r="M176" s="20" t="n"/>
      <c r="N176" s="125" t="n"/>
      <c r="O176" s="55" t="inlineStr">
        <is>
          <t>AMPLIAR</t>
        </is>
      </c>
      <c r="P176" s="136">
        <f>DADOS_INVOC!$QJ$13</f>
        <v/>
      </c>
      <c r="Q176" s="19" t="n"/>
      <c r="R176" s="19" t="n"/>
      <c r="S176" s="20" t="n"/>
      <c r="T176" s="125" t="n"/>
      <c r="U176" s="55" t="inlineStr">
        <is>
          <t>AMPLIAR</t>
        </is>
      </c>
      <c r="V176" s="136">
        <f>DADOS_INVOC!$QJ$14</f>
        <v/>
      </c>
      <c r="W176" s="19" t="n"/>
      <c r="X176" s="19" t="n"/>
      <c r="Y176" s="20" t="n"/>
      <c r="Z176" s="125" t="n"/>
      <c r="AB176" s="55" t="inlineStr">
        <is>
          <t>AMPLIAR</t>
        </is>
      </c>
      <c r="AC176" s="136">
        <f>DADOS_INVOC!$QJ$90</f>
        <v/>
      </c>
      <c r="AD176" s="19" t="n"/>
      <c r="AE176" s="19" t="n"/>
      <c r="AF176" s="20" t="n"/>
      <c r="AG176" s="125" t="n"/>
      <c r="AH176" s="55" t="inlineStr">
        <is>
          <t>AMPLIAR</t>
        </is>
      </c>
      <c r="AI176" s="136">
        <f>DADOS_INVOC!$QJ$91</f>
        <v/>
      </c>
      <c r="AJ176" s="19" t="n"/>
      <c r="AK176" s="19" t="n"/>
      <c r="AL176" s="20" t="n"/>
      <c r="AM176" s="125" t="n"/>
      <c r="AN176" s="55" t="inlineStr">
        <is>
          <t>AMPLIAR</t>
        </is>
      </c>
      <c r="AO176" s="136">
        <f>DADOS_INVOC!$QJ$92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DADOS_INVOC!$PW$12</f>
        <v/>
      </c>
      <c r="J178" s="19" t="n"/>
      <c r="K178" s="19" t="n"/>
      <c r="L178" s="19" t="n"/>
      <c r="M178" s="20" t="n"/>
      <c r="N178" s="125" t="n"/>
      <c r="O178" s="136">
        <f>DADOS_INVOC!$PW$13</f>
        <v/>
      </c>
      <c r="P178" s="19" t="n"/>
      <c r="Q178" s="19" t="n"/>
      <c r="R178" s="19" t="n"/>
      <c r="S178" s="20" t="n"/>
      <c r="T178" s="125" t="n"/>
      <c r="U178" s="136">
        <f>DADOS_INVOC!$PW$14</f>
        <v/>
      </c>
      <c r="V178" s="19" t="n"/>
      <c r="W178" s="19" t="n"/>
      <c r="X178" s="19" t="n"/>
      <c r="Y178" s="20" t="n"/>
      <c r="Z178" s="125" t="n"/>
      <c r="AB178" s="136">
        <f>DADOS_INVOC!$PW$90</f>
        <v/>
      </c>
      <c r="AC178" s="19" t="n"/>
      <c r="AD178" s="19" t="n"/>
      <c r="AE178" s="19" t="n"/>
      <c r="AF178" s="20" t="n"/>
      <c r="AG178" s="125" t="n"/>
      <c r="AH178" s="136">
        <f>DADOS_INVOC!$PW$91</f>
        <v/>
      </c>
      <c r="AI178" s="19" t="n"/>
      <c r="AJ178" s="19" t="n"/>
      <c r="AK178" s="19" t="n"/>
      <c r="AL178" s="20" t="n"/>
      <c r="AM178" s="125" t="n"/>
      <c r="AN178" s="136">
        <f>DADOS_INVOC!$PW$92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90" t="inlineStr">
        <is>
          <t>Sua Ação Completa + a básica dela</t>
        </is>
      </c>
      <c r="J195" s="16" t="n"/>
      <c r="K195" s="16" t="n"/>
      <c r="L195" s="16" t="n"/>
      <c r="M195" s="17" t="n"/>
      <c r="N195" s="125" t="n"/>
      <c r="O195" s="90" t="inlineStr">
        <is>
          <t>Sua Ação Completa + a básica dela</t>
        </is>
      </c>
      <c r="P195" s="16" t="n"/>
      <c r="Q195" s="16" t="n"/>
      <c r="R195" s="16" t="n"/>
      <c r="S195" s="17" t="n"/>
      <c r="T195" s="125" t="n"/>
      <c r="U195" s="90" t="inlineStr">
        <is>
          <t>Sua Ação Completa + a básica dela</t>
        </is>
      </c>
      <c r="V195" s="16" t="n"/>
      <c r="W195" s="16" t="n"/>
      <c r="X195" s="16" t="n"/>
      <c r="Y195" s="17" t="n"/>
      <c r="Z195" s="125" t="n"/>
      <c r="AB195" s="90" t="inlineStr">
        <is>
          <t>Sua Ação Completa + a básica dela</t>
        </is>
      </c>
      <c r="AC195" s="16" t="n"/>
      <c r="AD195" s="16" t="n"/>
      <c r="AE195" s="16" t="n"/>
      <c r="AF195" s="17" t="n"/>
      <c r="AG195" s="125" t="n"/>
      <c r="AH195" s="90" t="inlineStr">
        <is>
          <t>Sua Ação Completa + a básica dela</t>
        </is>
      </c>
      <c r="AI195" s="16" t="n"/>
      <c r="AJ195" s="16" t="n"/>
      <c r="AK195" s="16" t="n"/>
      <c r="AL195" s="17" t="n"/>
      <c r="AM195" s="125" t="n"/>
      <c r="AN195" s="90"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90"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90"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90"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90"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5"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5"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90" t="inlineStr">
        <is>
          <t>Com alma</t>
        </is>
      </c>
      <c r="V216" s="98">
        <f>DADOS_INVOC!$GH$3</f>
        <v/>
      </c>
      <c r="W216" s="98">
        <f>DADOS_INVOC!$GJ$3</f>
        <v/>
      </c>
      <c r="X216" s="90">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90" t="inlineStr">
        <is>
          <t>Com alma</t>
        </is>
      </c>
      <c r="AO216" s="98">
        <f>DADOS_INVOC!$GH$9</f>
        <v/>
      </c>
      <c r="AP216" s="98">
        <f>DADOS_INVOC!$GJ$9</f>
        <v/>
      </c>
      <c r="AQ216" s="90">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90" t="n"/>
      <c r="T227" s="125" t="n"/>
      <c r="U227" s="21" t="n"/>
      <c r="Y227" s="22" t="n"/>
      <c r="Z227" s="125" t="n"/>
      <c r="AB227" s="21" t="n"/>
      <c r="AF227" s="22" t="n"/>
      <c r="AG227" s="125" t="n"/>
      <c r="AH227" s="98">
        <f>DADOS_INVOC!$HN$9</f>
        <v/>
      </c>
      <c r="AI227" s="98">
        <f>DADOS_INVOC!$HO$9</f>
        <v/>
      </c>
      <c r="AJ227" s="98">
        <f>DADOS_INVOC!$HP$9</f>
        <v/>
      </c>
      <c r="AK227" s="98">
        <f>DADOS_INVOC!$HQ$9</f>
        <v/>
      </c>
      <c r="AL227" s="90"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90"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90" t="n"/>
      <c r="AS231" s="125" t="n"/>
    </row>
    <row r="232" hidden="1" outlineLevel="1">
      <c r="A232" s="8" t="n"/>
      <c r="B232" s="14" t="n"/>
      <c r="C232" s="125" t="n"/>
      <c r="D232" s="125" t="n"/>
      <c r="E232" s="125" t="n"/>
      <c r="F232" s="125" t="n"/>
      <c r="G232" s="125" t="n"/>
      <c r="I232" s="21" t="n"/>
      <c r="M232" s="22" t="n"/>
      <c r="N232" s="125" t="n"/>
      <c r="O232" s="90" t="n"/>
      <c r="P232" s="19" t="n"/>
      <c r="Q232" s="20" t="n"/>
      <c r="R232" s="90" t="inlineStr">
        <is>
          <t>Força</t>
        </is>
      </c>
      <c r="S232" s="20" t="n"/>
      <c r="T232" s="125" t="n"/>
      <c r="U232" s="55" t="inlineStr">
        <is>
          <t>MÃO 2</t>
        </is>
      </c>
      <c r="V232" s="134" t="n"/>
      <c r="W232" s="16" t="n"/>
      <c r="X232" s="17" t="n"/>
      <c r="Y232" s="90" t="n"/>
      <c r="Z232" s="125" t="n"/>
      <c r="AB232" s="21" t="n"/>
      <c r="AF232" s="22" t="n"/>
      <c r="AG232" s="125" t="n"/>
      <c r="AH232" s="90" t="n"/>
      <c r="AI232" s="19" t="n"/>
      <c r="AJ232" s="20" t="n"/>
      <c r="AK232" s="90" t="inlineStr">
        <is>
          <t>Força</t>
        </is>
      </c>
      <c r="AL232" s="20" t="n"/>
      <c r="AM232" s="125" t="n"/>
      <c r="AN232" s="55" t="inlineStr">
        <is>
          <t>MÃO 2</t>
        </is>
      </c>
      <c r="AO232" s="134" t="n"/>
      <c r="AP232" s="16" t="n"/>
      <c r="AQ232" s="17" t="n"/>
      <c r="AR232" s="90"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90" t="n"/>
      <c r="Z233" s="125" t="n"/>
      <c r="AB233" s="21" t="n"/>
      <c r="AF233" s="22" t="n"/>
      <c r="AG233" s="125" t="n"/>
      <c r="AH233" s="23" t="n"/>
      <c r="AI233" s="24" t="n"/>
      <c r="AJ233" s="25" t="n"/>
      <c r="AK233" s="23" t="n"/>
      <c r="AL233" s="25" t="n"/>
      <c r="AM233" s="125" t="n"/>
      <c r="AN233" s="55" t="inlineStr">
        <is>
          <t>VESTE</t>
        </is>
      </c>
      <c r="AO233" s="134" t="n"/>
      <c r="AP233" s="16" t="n"/>
      <c r="AQ233" s="17" t="n"/>
      <c r="AR233" s="90"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90" t="n"/>
      <c r="Z235" s="125" t="n"/>
      <c r="AB235" s="21" t="n"/>
      <c r="AF235" s="22" t="n"/>
      <c r="AG235" s="125" t="n"/>
      <c r="AH235" s="55">
        <f>DADOS_INVOC!$HR$9</f>
        <v/>
      </c>
      <c r="AI235" s="16" t="n"/>
      <c r="AJ235" s="16" t="n"/>
      <c r="AK235" s="16" t="n"/>
      <c r="AL235" s="17" t="n"/>
      <c r="AM235" s="125" t="n"/>
      <c r="AN235" s="134" t="n"/>
      <c r="AO235" s="16" t="n"/>
      <c r="AP235" s="16" t="n"/>
      <c r="AQ235" s="17" t="n"/>
      <c r="AR235" s="90" t="n"/>
      <c r="AS235" s="125" t="n"/>
    </row>
    <row r="236" hidden="1" outlineLevel="1">
      <c r="A236" s="8" t="n"/>
      <c r="B236" s="14" t="n"/>
      <c r="C236" s="125" t="n"/>
      <c r="D236" s="125" t="n"/>
      <c r="E236" s="125" t="n"/>
      <c r="F236" s="125" t="n"/>
      <c r="G236" s="125" t="n"/>
      <c r="I236" s="21" t="n"/>
      <c r="M236" s="22" t="n"/>
      <c r="N236" s="125" t="n"/>
      <c r="O236" s="134" t="n"/>
      <c r="P236" s="16" t="n"/>
      <c r="Q236" s="17" t="n"/>
      <c r="R236" s="90">
        <f>DADOS_INVOC!$HS$3</f>
        <v/>
      </c>
      <c r="S236" s="17" t="n"/>
      <c r="T236" s="125" t="n"/>
      <c r="U236" s="134" t="n"/>
      <c r="V236" s="16" t="n"/>
      <c r="W236" s="16" t="n"/>
      <c r="X236" s="17" t="n"/>
      <c r="Y236" s="90" t="n"/>
      <c r="Z236" s="125" t="n"/>
      <c r="AB236" s="21" t="n"/>
      <c r="AF236" s="22" t="n"/>
      <c r="AG236" s="125" t="n"/>
      <c r="AH236" s="134" t="n"/>
      <c r="AI236" s="16" t="n"/>
      <c r="AJ236" s="17" t="n"/>
      <c r="AK236" s="90">
        <f>DADOS_INVOC!$HS$9</f>
        <v/>
      </c>
      <c r="AL236" s="17" t="n"/>
      <c r="AM236" s="125" t="n"/>
      <c r="AN236" s="134" t="n"/>
      <c r="AO236" s="16" t="n"/>
      <c r="AP236" s="16" t="n"/>
      <c r="AQ236" s="17" t="n"/>
      <c r="AR236" s="90" t="n"/>
      <c r="AS236" s="125" t="n"/>
    </row>
    <row r="237" hidden="1" outlineLevel="1">
      <c r="A237" s="8" t="n"/>
      <c r="B237" s="14" t="n"/>
      <c r="C237" s="125" t="n"/>
      <c r="D237" s="125" t="n"/>
      <c r="E237" s="125" t="n"/>
      <c r="F237" s="125" t="n"/>
      <c r="G237" s="125" t="n"/>
      <c r="I237" s="21" t="n"/>
      <c r="M237" s="22" t="n"/>
      <c r="N237" s="125" t="n"/>
      <c r="O237" s="134" t="n"/>
      <c r="P237" s="16" t="n"/>
      <c r="Q237" s="17" t="n"/>
      <c r="R237" s="90">
        <f>DADOS_INVOC!$HT$3</f>
        <v/>
      </c>
      <c r="S237" s="17" t="n"/>
      <c r="T237" s="125" t="n"/>
      <c r="U237" s="134" t="n"/>
      <c r="V237" s="16" t="n"/>
      <c r="W237" s="16" t="n"/>
      <c r="X237" s="17" t="n"/>
      <c r="Y237" s="90" t="n"/>
      <c r="Z237" s="125" t="n"/>
      <c r="AB237" s="21" t="n"/>
      <c r="AF237" s="22" t="n"/>
      <c r="AG237" s="125" t="n"/>
      <c r="AH237" s="134" t="n"/>
      <c r="AI237" s="16" t="n"/>
      <c r="AJ237" s="17" t="n"/>
      <c r="AK237" s="90">
        <f>DADOS_INVOC!$HT$9</f>
        <v/>
      </c>
      <c r="AL237" s="17" t="n"/>
      <c r="AM237" s="125" t="n"/>
      <c r="AN237" s="134" t="n"/>
      <c r="AO237" s="16" t="n"/>
      <c r="AP237" s="16" t="n"/>
      <c r="AQ237" s="17" t="n"/>
      <c r="AR237" s="90"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90">
        <f>DADOS_INVOC!$HU$3</f>
        <v/>
      </c>
      <c r="S238" s="17" t="n"/>
      <c r="T238" s="125" t="n"/>
      <c r="U238" s="134" t="n"/>
      <c r="V238" s="16" t="n"/>
      <c r="W238" s="16" t="n"/>
      <c r="X238" s="17" t="n"/>
      <c r="Y238" s="90" t="n"/>
      <c r="Z238" s="125" t="n"/>
      <c r="AB238" s="23" t="n"/>
      <c r="AC238" s="24" t="n"/>
      <c r="AD238" s="24" t="n"/>
      <c r="AE238" s="24" t="n"/>
      <c r="AF238" s="25" t="n"/>
      <c r="AG238" s="125" t="n"/>
      <c r="AH238" s="134" t="n"/>
      <c r="AI238" s="16" t="n"/>
      <c r="AJ238" s="17" t="n"/>
      <c r="AK238" s="90">
        <f>DADOS_INVOC!$HU$9</f>
        <v/>
      </c>
      <c r="AL238" s="17" t="n"/>
      <c r="AM238" s="125" t="n"/>
      <c r="AN238" s="134" t="n"/>
      <c r="AO238" s="16" t="n"/>
      <c r="AP238" s="16" t="n"/>
      <c r="AQ238" s="17" t="n"/>
      <c r="AR238" s="90"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90">
        <f>DADOS_INVOC!$HV$3</f>
        <v/>
      </c>
      <c r="S239" s="17" t="n"/>
      <c r="T239" s="125" t="n"/>
      <c r="U239" s="134" t="n"/>
      <c r="V239" s="16" t="n"/>
      <c r="W239" s="16" t="n"/>
      <c r="X239" s="17" t="n"/>
      <c r="Y239" s="90" t="n"/>
      <c r="Z239" s="125" t="n"/>
      <c r="AB239" s="125" t="n"/>
      <c r="AC239" s="125" t="n"/>
      <c r="AD239" s="125" t="n"/>
      <c r="AE239" s="125" t="n"/>
      <c r="AF239" s="125" t="n"/>
      <c r="AG239" s="125" t="n"/>
      <c r="AH239" s="134" t="n"/>
      <c r="AI239" s="16" t="n"/>
      <c r="AJ239" s="17" t="n"/>
      <c r="AK239" s="90">
        <f>DADOS_INVOC!$HV$9</f>
        <v/>
      </c>
      <c r="AL239" s="17" t="n"/>
      <c r="AM239" s="125" t="n"/>
      <c r="AN239" s="134" t="n"/>
      <c r="AO239" s="16" t="n"/>
      <c r="AP239" s="16" t="n"/>
      <c r="AQ239" s="17" t="n"/>
      <c r="AR239" s="90"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90">
        <f>DADOS_INVOC!$HW$3</f>
        <v/>
      </c>
      <c r="S240" s="17" t="n"/>
      <c r="T240" s="125" t="n"/>
      <c r="U240" s="134" t="n"/>
      <c r="V240" s="16" t="n"/>
      <c r="W240" s="16" t="n"/>
      <c r="X240" s="17" t="n"/>
      <c r="Y240" s="90" t="n"/>
      <c r="Z240" s="125" t="n"/>
      <c r="AB240" s="55" t="inlineStr">
        <is>
          <t>TIPO</t>
        </is>
      </c>
      <c r="AC240" s="16" t="n"/>
      <c r="AD240" s="16" t="n"/>
      <c r="AE240" s="16" t="n"/>
      <c r="AF240" s="17" t="n"/>
      <c r="AG240" s="125" t="n"/>
      <c r="AH240" s="134" t="n"/>
      <c r="AI240" s="16" t="n"/>
      <c r="AJ240" s="17" t="n"/>
      <c r="AK240" s="90">
        <f>DADOS_INVOC!$HW$9</f>
        <v/>
      </c>
      <c r="AL240" s="17" t="n"/>
      <c r="AM240" s="125" t="n"/>
      <c r="AN240" s="134" t="n"/>
      <c r="AO240" s="16" t="n"/>
      <c r="AP240" s="16" t="n"/>
      <c r="AQ240" s="17" t="n"/>
      <c r="AR240" s="90" t="n"/>
      <c r="AS240" s="125" t="n"/>
    </row>
    <row r="241" hidden="1" outlineLevel="1">
      <c r="A241" s="8" t="n"/>
      <c r="B241" s="14" t="n"/>
      <c r="C241" s="125" t="n"/>
      <c r="D241" s="125" t="n"/>
      <c r="E241" s="125" t="n"/>
      <c r="F241" s="125" t="n"/>
      <c r="G241" s="125" t="n"/>
      <c r="I241" s="90" t="inlineStr">
        <is>
          <t>Shikigami de técnica</t>
        </is>
      </c>
      <c r="J241" s="19" t="n"/>
      <c r="K241" s="19" t="n"/>
      <c r="L241" s="19" t="n"/>
      <c r="M241" s="20" t="n"/>
      <c r="N241" s="125" t="n"/>
      <c r="O241" s="134" t="n"/>
      <c r="P241" s="16" t="n"/>
      <c r="Q241" s="17" t="n"/>
      <c r="R241" s="90">
        <f>DADOS_INVOC!$HX$3</f>
        <v/>
      </c>
      <c r="S241" s="17" t="n"/>
      <c r="T241" s="125" t="n"/>
      <c r="U241" s="125" t="n"/>
      <c r="V241" s="125" t="n"/>
      <c r="W241" s="125" t="n"/>
      <c r="X241" s="125" t="n"/>
      <c r="Y241" s="125" t="n"/>
      <c r="Z241" s="125" t="n"/>
      <c r="AB241" s="90" t="inlineStr">
        <is>
          <t>Shikigami de técnica</t>
        </is>
      </c>
      <c r="AC241" s="19" t="n"/>
      <c r="AD241" s="19" t="n"/>
      <c r="AE241" s="19" t="n"/>
      <c r="AF241" s="20" t="n"/>
      <c r="AG241" s="125" t="n"/>
      <c r="AH241" s="134" t="n"/>
      <c r="AI241" s="16" t="n"/>
      <c r="AJ241" s="17" t="n"/>
      <c r="AK241" s="90">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90">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90">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90" t="inlineStr">
        <is>
          <t>Espaço conhecido</t>
        </is>
      </c>
      <c r="J245" s="20" t="n"/>
      <c r="K245" s="90" t="n"/>
      <c r="L245" s="90"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90" t="inlineStr">
        <is>
          <t>Espaço conhecido</t>
        </is>
      </c>
      <c r="AC245" s="20" t="n"/>
      <c r="AD245" s="90" t="n"/>
      <c r="AE245" s="90"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90" t="n"/>
      <c r="P246" s="90" t="n"/>
      <c r="Q246" s="90" t="n"/>
      <c r="R246" s="90" t="n"/>
      <c r="S246" s="90" t="n"/>
      <c r="T246" s="125" t="n"/>
      <c r="U246" s="21" t="n"/>
      <c r="Y246" s="22" t="n"/>
      <c r="Z246" s="125" t="n"/>
      <c r="AB246" s="23" t="n"/>
      <c r="AC246" s="25" t="n"/>
      <c r="AD246" s="129" t="n"/>
      <c r="AE246" s="23" t="n"/>
      <c r="AF246" s="25" t="n"/>
      <c r="AG246" s="125" t="n"/>
      <c r="AH246" s="90" t="n"/>
      <c r="AI246" s="90" t="n"/>
      <c r="AJ246" s="90" t="n"/>
      <c r="AK246" s="90" t="n"/>
      <c r="AL246" s="90"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DADOS_INVOC!$PX$15</f>
        <v/>
      </c>
      <c r="J255" s="16" t="n"/>
      <c r="K255" s="16" t="n"/>
      <c r="L255" s="16" t="n"/>
      <c r="M255" s="17" t="n"/>
      <c r="N255" s="125" t="n"/>
      <c r="O255" s="55">
        <f>DADOS_INVOC!$PX$16</f>
        <v/>
      </c>
      <c r="P255" s="16" t="n"/>
      <c r="Q255" s="16" t="n"/>
      <c r="R255" s="16" t="n"/>
      <c r="S255" s="17" t="n"/>
      <c r="T255" s="125" t="n"/>
      <c r="U255" s="55">
        <f>DADOS_INVOC!$PX$17</f>
        <v/>
      </c>
      <c r="V255" s="16" t="n"/>
      <c r="W255" s="16" t="n"/>
      <c r="X255" s="16" t="n"/>
      <c r="Y255" s="17" t="n"/>
      <c r="Z255" s="125" t="n"/>
      <c r="AB255" s="55">
        <f>DADOS_INVOC!$PX$93</f>
        <v/>
      </c>
      <c r="AC255" s="16" t="n"/>
      <c r="AD255" s="16" t="n"/>
      <c r="AE255" s="16" t="n"/>
      <c r="AF255" s="17" t="n"/>
      <c r="AG255" s="125" t="n"/>
      <c r="AH255" s="55">
        <f>DADOS_INVOC!$PX$94</f>
        <v/>
      </c>
      <c r="AI255" s="16" t="n"/>
      <c r="AJ255" s="16" t="n"/>
      <c r="AK255" s="16" t="n"/>
      <c r="AL255" s="17" t="n"/>
      <c r="AM255" s="125" t="n"/>
      <c r="AN255" s="55">
        <f>DADOS_INVOC!$PX$95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DADOS_INVOC!$PV$15</f>
        <v/>
      </c>
      <c r="N256" s="125" t="n"/>
      <c r="O256" s="131" t="n">
        <v>1</v>
      </c>
      <c r="P256" s="120" t="n"/>
      <c r="Q256" s="16" t="n"/>
      <c r="R256" s="17" t="n"/>
      <c r="S256" s="132">
        <f>DADOS_INVOC!$PV$16</f>
        <v/>
      </c>
      <c r="T256" s="125" t="n"/>
      <c r="U256" s="131" t="n">
        <v>1</v>
      </c>
      <c r="V256" s="120" t="n"/>
      <c r="W256" s="16" t="n"/>
      <c r="X256" s="17" t="n"/>
      <c r="Y256" s="132">
        <f>DADOS_INVOC!$PV$17</f>
        <v/>
      </c>
      <c r="Z256" s="125" t="n"/>
      <c r="AB256" s="131" t="n">
        <v>0</v>
      </c>
      <c r="AC256" s="120" t="n"/>
      <c r="AD256" s="16" t="n"/>
      <c r="AE256" s="17" t="n"/>
      <c r="AF256" s="132">
        <f>DADOS_INVOC!$PV$93</f>
        <v/>
      </c>
      <c r="AG256" s="125" t="n"/>
      <c r="AH256" s="131" t="n">
        <v>1</v>
      </c>
      <c r="AI256" s="120" t="n"/>
      <c r="AJ256" s="16" t="n"/>
      <c r="AK256" s="17" t="n"/>
      <c r="AL256" s="132">
        <f>DADOS_INVOC!$PV$94</f>
        <v/>
      </c>
      <c r="AM256" s="125" t="n"/>
      <c r="AN256" s="131" t="n">
        <v>1</v>
      </c>
      <c r="AO256" s="120" t="n"/>
      <c r="AP256" s="16" t="n"/>
      <c r="AQ256" s="17" t="n"/>
      <c r="AR256" s="132">
        <f>DADOS_INVOC!$PV$95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90" t="inlineStr">
        <is>
          <t>Projétil</t>
        </is>
      </c>
      <c r="J261" s="17" t="n"/>
      <c r="K261" s="68">
        <f>DADOS_INVOC!$QC$15</f>
        <v/>
      </c>
      <c r="L261" s="17" t="n"/>
      <c r="M261" s="68">
        <f>DADOS_INVOC!$PY$15</f>
        <v/>
      </c>
      <c r="N261" s="125" t="n"/>
      <c r="O261" s="90" t="inlineStr">
        <is>
          <t>Projétil</t>
        </is>
      </c>
      <c r="P261" s="17" t="n"/>
      <c r="Q261" s="68">
        <f>DADOS_INVOC!$QC$16</f>
        <v/>
      </c>
      <c r="R261" s="17" t="n"/>
      <c r="S261" s="68">
        <f>DADOS_INVOC!$PY$16</f>
        <v/>
      </c>
      <c r="T261" s="125" t="n"/>
      <c r="U261" s="90" t="inlineStr">
        <is>
          <t>Projétil</t>
        </is>
      </c>
      <c r="V261" s="17" t="n"/>
      <c r="W261" s="68">
        <f>DADOS_INVOC!$QC$17</f>
        <v/>
      </c>
      <c r="X261" s="17" t="n"/>
      <c r="Y261" s="68">
        <f>DADOS_INVOC!$PY$17</f>
        <v/>
      </c>
      <c r="Z261" s="125" t="n"/>
      <c r="AB261" s="90" t="inlineStr">
        <is>
          <t>Projétil</t>
        </is>
      </c>
      <c r="AC261" s="17" t="n"/>
      <c r="AD261" s="68">
        <f>DADOS_INVOC!$QC$93</f>
        <v/>
      </c>
      <c r="AE261" s="17" t="n"/>
      <c r="AF261" s="68">
        <f>DADOS_INVOC!$PY$93</f>
        <v/>
      </c>
      <c r="AG261" s="125" t="n"/>
      <c r="AH261" s="90" t="inlineStr">
        <is>
          <t>Projétil</t>
        </is>
      </c>
      <c r="AI261" s="17" t="n"/>
      <c r="AJ261" s="68">
        <f>DADOS_INVOC!$QC$94</f>
        <v/>
      </c>
      <c r="AK261" s="17" t="n"/>
      <c r="AL261" s="68">
        <f>DADOS_INVOC!$PY$94</f>
        <v/>
      </c>
      <c r="AM261" s="125" t="n"/>
      <c r="AN261" s="90" t="inlineStr">
        <is>
          <t>Projétil</t>
        </is>
      </c>
      <c r="AO261" s="17" t="n"/>
      <c r="AP261" s="68">
        <f>DADOS_INVOC!$QC$95</f>
        <v/>
      </c>
      <c r="AQ261" s="17" t="n"/>
      <c r="AR261" s="68">
        <f>DADOS_INVOC!$PY$95</f>
        <v/>
      </c>
      <c r="AS261" s="125" t="n"/>
    </row>
    <row r="262" hidden="1" outlineLevel="1">
      <c r="A262" s="8" t="n"/>
      <c r="B262" s="14" t="n"/>
      <c r="C262" s="125" t="n"/>
      <c r="D262" s="125" t="n"/>
      <c r="E262" s="125" t="n"/>
      <c r="F262" s="125" t="n"/>
      <c r="G262" s="125" t="n"/>
      <c r="I262" s="90" t="n"/>
      <c r="J262" s="17" t="n"/>
      <c r="K262" s="90" t="n"/>
      <c r="L262" s="16" t="n"/>
      <c r="M262" s="17" t="n"/>
      <c r="N262" s="125" t="n"/>
      <c r="O262" s="90" t="n"/>
      <c r="P262" s="17" t="n"/>
      <c r="Q262" s="90" t="n"/>
      <c r="R262" s="16" t="n"/>
      <c r="S262" s="17" t="n"/>
      <c r="T262" s="125" t="n"/>
      <c r="U262" s="90" t="n"/>
      <c r="V262" s="17" t="n"/>
      <c r="W262" s="90" t="n"/>
      <c r="X262" s="16" t="n"/>
      <c r="Y262" s="17" t="n"/>
      <c r="Z262" s="125" t="n"/>
      <c r="AB262" s="90" t="n"/>
      <c r="AC262" s="17" t="n"/>
      <c r="AD262" s="90" t="n"/>
      <c r="AE262" s="16" t="n"/>
      <c r="AF262" s="17" t="n"/>
      <c r="AG262" s="125" t="n"/>
      <c r="AH262" s="90" t="n"/>
      <c r="AI262" s="17" t="n"/>
      <c r="AJ262" s="90" t="n"/>
      <c r="AK262" s="16" t="n"/>
      <c r="AL262" s="17" t="n"/>
      <c r="AM262" s="125" t="n"/>
      <c r="AN262" s="90" t="n"/>
      <c r="AO262" s="17" t="n"/>
      <c r="AP262" s="90" t="n"/>
      <c r="AQ262" s="16" t="n"/>
      <c r="AR262" s="17" t="n"/>
      <c r="AS262" s="125" t="n"/>
    </row>
    <row r="263" hidden="1" outlineLevel="1">
      <c r="A263" s="8" t="n"/>
      <c r="B263" s="14" t="n"/>
      <c r="C263" s="125" t="n"/>
      <c r="D263" s="125" t="n"/>
      <c r="E263" s="125" t="n"/>
      <c r="F263" s="125" t="n"/>
      <c r="G263" s="125" t="n"/>
      <c r="I263" s="90">
        <f>DADOS_INVOC!$PZ$15</f>
        <v/>
      </c>
      <c r="J263" s="17" t="n"/>
      <c r="K263" s="90">
        <f>DADOS_INVOC!$QB$15</f>
        <v/>
      </c>
      <c r="L263" s="16" t="n"/>
      <c r="M263" s="17" t="n"/>
      <c r="N263" s="125" t="n"/>
      <c r="O263" s="90">
        <f>DADOS_INVOC!$PZ$16</f>
        <v/>
      </c>
      <c r="P263" s="17" t="n"/>
      <c r="Q263" s="90">
        <f>DADOS_INVOC!$QB$16</f>
        <v/>
      </c>
      <c r="R263" s="16" t="n"/>
      <c r="S263" s="17" t="n"/>
      <c r="T263" s="125" t="n"/>
      <c r="U263" s="90">
        <f>DADOS_INVOC!$PZ$17</f>
        <v/>
      </c>
      <c r="V263" s="17" t="n"/>
      <c r="W263" s="90">
        <f>DADOS_INVOC!$QB$17</f>
        <v/>
      </c>
      <c r="X263" s="16" t="n"/>
      <c r="Y263" s="17" t="n"/>
      <c r="Z263" s="125" t="n"/>
      <c r="AB263" s="90">
        <f>DADOS_INVOC!$PZ$93</f>
        <v/>
      </c>
      <c r="AC263" s="17" t="n"/>
      <c r="AD263" s="90">
        <f>DADOS_INVOC!$QB$93</f>
        <v/>
      </c>
      <c r="AE263" s="16" t="n"/>
      <c r="AF263" s="17" t="n"/>
      <c r="AG263" s="125" t="n"/>
      <c r="AH263" s="90">
        <f>DADOS_INVOC!$PZ$94</f>
        <v/>
      </c>
      <c r="AI263" s="17" t="n"/>
      <c r="AJ263" s="90">
        <f>DADOS_INVOC!$QB$94</f>
        <v/>
      </c>
      <c r="AK263" s="16" t="n"/>
      <c r="AL263" s="17" t="n"/>
      <c r="AM263" s="125" t="n"/>
      <c r="AN263" s="90">
        <f>DADOS_INVOC!$PZ$95</f>
        <v/>
      </c>
      <c r="AO263" s="17" t="n"/>
      <c r="AP263" s="90">
        <f>DADOS_INVOC!$QB$95</f>
        <v/>
      </c>
      <c r="AQ263" s="16" t="n"/>
      <c r="AR263" s="17" t="n"/>
      <c r="AS263" s="125" t="n"/>
    </row>
    <row r="264" hidden="1" outlineLevel="1">
      <c r="A264" s="8" t="n"/>
      <c r="B264" s="14" t="n"/>
      <c r="C264" s="125" t="n"/>
      <c r="D264" s="125" t="n"/>
      <c r="E264" s="125" t="n"/>
      <c r="F264" s="125" t="n"/>
      <c r="G264" s="125" t="n"/>
      <c r="I264" s="133">
        <f>DADOS_INVOC!$QH$15</f>
        <v/>
      </c>
      <c r="J264" s="16" t="n"/>
      <c r="K264" s="16" t="n"/>
      <c r="L264" s="16" t="n"/>
      <c r="M264" s="17" t="n"/>
      <c r="N264" s="125" t="n"/>
      <c r="O264" s="133">
        <f>DADOS_INVOC!$QH$16</f>
        <v/>
      </c>
      <c r="P264" s="16" t="n"/>
      <c r="Q264" s="16" t="n"/>
      <c r="R264" s="16" t="n"/>
      <c r="S264" s="17" t="n"/>
      <c r="T264" s="125" t="n"/>
      <c r="U264" s="133">
        <f>DADOS_INVOC!$QH$17</f>
        <v/>
      </c>
      <c r="V264" s="16" t="n"/>
      <c r="W264" s="16" t="n"/>
      <c r="X264" s="16" t="n"/>
      <c r="Y264" s="17" t="n"/>
      <c r="Z264" s="125" t="n"/>
      <c r="AB264" s="133">
        <f>DADOS_INVOC!$QH$93</f>
        <v/>
      </c>
      <c r="AC264" s="16" t="n"/>
      <c r="AD264" s="16" t="n"/>
      <c r="AE264" s="16" t="n"/>
      <c r="AF264" s="17" t="n"/>
      <c r="AG264" s="125" t="n"/>
      <c r="AH264" s="133">
        <f>DADOS_INVOC!$QH$94</f>
        <v/>
      </c>
      <c r="AI264" s="16" t="n"/>
      <c r="AJ264" s="16" t="n"/>
      <c r="AK264" s="16" t="n"/>
      <c r="AL264" s="17" t="n"/>
      <c r="AM264" s="125" t="n"/>
      <c r="AN264" s="133">
        <f>DADOS_INVOC!$QH$95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DADOS_INVOC!$QK$15</f>
        <v/>
      </c>
      <c r="N265" s="125" t="n"/>
      <c r="O265" s="55" t="inlineStr">
        <is>
          <t>MELHORIAS</t>
        </is>
      </c>
      <c r="P265" s="134" t="n"/>
      <c r="Q265" s="16" t="n"/>
      <c r="R265" s="17" t="n"/>
      <c r="S265" s="133">
        <f>DADOS_INVOC!$QK$16</f>
        <v/>
      </c>
      <c r="T265" s="125" t="n"/>
      <c r="U265" s="55" t="inlineStr">
        <is>
          <t>MELHORIAS</t>
        </is>
      </c>
      <c r="V265" s="134" t="n"/>
      <c r="W265" s="16" t="n"/>
      <c r="X265" s="17" t="n"/>
      <c r="Y265" s="133">
        <f>DADOS_INVOC!$QK$17</f>
        <v/>
      </c>
      <c r="Z265" s="125" t="n"/>
      <c r="AB265" s="55" t="inlineStr">
        <is>
          <t>MELHORIAS</t>
        </is>
      </c>
      <c r="AC265" s="134" t="n"/>
      <c r="AD265" s="16" t="n"/>
      <c r="AE265" s="17" t="n"/>
      <c r="AF265" s="133">
        <f>DADOS_INVOC!$QK$93</f>
        <v/>
      </c>
      <c r="AG265" s="125" t="n"/>
      <c r="AH265" s="55" t="inlineStr">
        <is>
          <t>MELHORIAS</t>
        </is>
      </c>
      <c r="AI265" s="134" t="n"/>
      <c r="AJ265" s="16" t="n"/>
      <c r="AK265" s="17" t="n"/>
      <c r="AL265" s="133">
        <f>DADOS_INVOC!$QK$94</f>
        <v/>
      </c>
      <c r="AM265" s="125" t="n"/>
      <c r="AN265" s="55" t="inlineStr">
        <is>
          <t>MELHORIAS</t>
        </is>
      </c>
      <c r="AO265" s="134" t="n"/>
      <c r="AP265" s="16" t="n"/>
      <c r="AQ265" s="17" t="n"/>
      <c r="AR265" s="133">
        <f>DADOS_INVOC!$QK$95</f>
        <v/>
      </c>
      <c r="AS265" s="125" t="n"/>
    </row>
    <row r="266" hidden="1" outlineLevel="2">
      <c r="A266" s="8" t="n"/>
      <c r="B266" s="14" t="n"/>
      <c r="C266" s="125" t="n"/>
      <c r="D266" s="125" t="n"/>
      <c r="E266" s="125" t="n"/>
      <c r="F266" s="125" t="n"/>
      <c r="G266" s="125" t="n"/>
      <c r="I266" s="135" t="n"/>
      <c r="J266" s="134" t="n"/>
      <c r="K266" s="16" t="n"/>
      <c r="L266" s="17" t="n"/>
      <c r="M266" s="133">
        <f>DADOS_INVOC!$QL$15</f>
        <v/>
      </c>
      <c r="N266" s="125" t="n"/>
      <c r="O266" s="135" t="n"/>
      <c r="P266" s="134" t="n"/>
      <c r="Q266" s="16" t="n"/>
      <c r="R266" s="17" t="n"/>
      <c r="S266" s="133">
        <f>DADOS_INVOC!$QL$16</f>
        <v/>
      </c>
      <c r="T266" s="125" t="n"/>
      <c r="U266" s="135" t="n"/>
      <c r="V266" s="134" t="n"/>
      <c r="W266" s="16" t="n"/>
      <c r="X266" s="17" t="n"/>
      <c r="Y266" s="133">
        <f>DADOS_INVOC!$QL$17</f>
        <v/>
      </c>
      <c r="Z266" s="125" t="n"/>
      <c r="AB266" s="135" t="n"/>
      <c r="AC266" s="134" t="n"/>
      <c r="AD266" s="16" t="n"/>
      <c r="AE266" s="17" t="n"/>
      <c r="AF266" s="133">
        <f>DADOS_INVOC!$QL$93</f>
        <v/>
      </c>
      <c r="AG266" s="125" t="n"/>
      <c r="AH266" s="135" t="n"/>
      <c r="AI266" s="134" t="n"/>
      <c r="AJ266" s="16" t="n"/>
      <c r="AK266" s="17" t="n"/>
      <c r="AL266" s="133">
        <f>DADOS_INVOC!$QL$94</f>
        <v/>
      </c>
      <c r="AM266" s="125" t="n"/>
      <c r="AN266" s="135" t="n"/>
      <c r="AO266" s="134" t="n"/>
      <c r="AP266" s="16" t="n"/>
      <c r="AQ266" s="17" t="n"/>
      <c r="AR266" s="133">
        <f>DADOS_INVOC!$QL$95</f>
        <v/>
      </c>
      <c r="AS266" s="125" t="n"/>
    </row>
    <row r="267" hidden="1" outlineLevel="2">
      <c r="A267" s="8" t="n"/>
      <c r="B267" s="14" t="n"/>
      <c r="C267" s="125" t="n"/>
      <c r="D267" s="125" t="n"/>
      <c r="E267" s="125" t="n"/>
      <c r="F267" s="125" t="n"/>
      <c r="G267" s="125" t="n"/>
      <c r="I267" s="135" t="n"/>
      <c r="J267" s="134" t="n"/>
      <c r="K267" s="16" t="n"/>
      <c r="L267" s="17" t="n"/>
      <c r="M267" s="133">
        <f>DADOS_INVOC!$QM$15</f>
        <v/>
      </c>
      <c r="N267" s="125" t="n"/>
      <c r="O267" s="135" t="n"/>
      <c r="P267" s="134" t="n"/>
      <c r="Q267" s="16" t="n"/>
      <c r="R267" s="17" t="n"/>
      <c r="S267" s="133">
        <f>DADOS_INVOC!$QM$16</f>
        <v/>
      </c>
      <c r="T267" s="125" t="n"/>
      <c r="U267" s="135" t="n"/>
      <c r="V267" s="134" t="n"/>
      <c r="W267" s="16" t="n"/>
      <c r="X267" s="17" t="n"/>
      <c r="Y267" s="133">
        <f>DADOS_INVOC!$QM$17</f>
        <v/>
      </c>
      <c r="Z267" s="125" t="n"/>
      <c r="AB267" s="135" t="n"/>
      <c r="AC267" s="134" t="n"/>
      <c r="AD267" s="16" t="n"/>
      <c r="AE267" s="17" t="n"/>
      <c r="AF267" s="133">
        <f>DADOS_INVOC!$QM$93</f>
        <v/>
      </c>
      <c r="AG267" s="125" t="n"/>
      <c r="AH267" s="135" t="n"/>
      <c r="AI267" s="134" t="n"/>
      <c r="AJ267" s="16" t="n"/>
      <c r="AK267" s="17" t="n"/>
      <c r="AL267" s="133">
        <f>DADOS_INVOC!$QM$94</f>
        <v/>
      </c>
      <c r="AM267" s="125" t="n"/>
      <c r="AN267" s="135" t="n"/>
      <c r="AO267" s="134" t="n"/>
      <c r="AP267" s="16" t="n"/>
      <c r="AQ267" s="17" t="n"/>
      <c r="AR267" s="133">
        <f>DADOS_INVOC!$QM$95</f>
        <v/>
      </c>
      <c r="AS267" s="125" t="n"/>
    </row>
    <row r="268" hidden="1" outlineLevel="2">
      <c r="A268" s="8" t="n"/>
      <c r="B268" s="14" t="n"/>
      <c r="C268" s="125" t="n"/>
      <c r="D268" s="125" t="n"/>
      <c r="E268" s="125" t="n"/>
      <c r="F268" s="125" t="n"/>
      <c r="G268" s="125" t="n"/>
      <c r="I268" s="129" t="n"/>
      <c r="J268" s="134" t="n"/>
      <c r="K268" s="16" t="n"/>
      <c r="L268" s="17" t="n"/>
      <c r="M268" s="133">
        <f>DADOS_INVOC!$QN$15</f>
        <v/>
      </c>
      <c r="N268" s="125" t="n"/>
      <c r="O268" s="129" t="n"/>
      <c r="P268" s="134" t="n"/>
      <c r="Q268" s="16" t="n"/>
      <c r="R268" s="17" t="n"/>
      <c r="S268" s="133">
        <f>DADOS_INVOC!$QN$16</f>
        <v/>
      </c>
      <c r="T268" s="125" t="n"/>
      <c r="U268" s="129" t="n"/>
      <c r="V268" s="134" t="n"/>
      <c r="W268" s="16" t="n"/>
      <c r="X268" s="17" t="n"/>
      <c r="Y268" s="133">
        <f>DADOS_INVOC!$QN$17</f>
        <v/>
      </c>
      <c r="Z268" s="125" t="n"/>
      <c r="AB268" s="129" t="n"/>
      <c r="AC268" s="134" t="n"/>
      <c r="AD268" s="16" t="n"/>
      <c r="AE268" s="17" t="n"/>
      <c r="AF268" s="133">
        <f>DADOS_INVOC!$QN$93</f>
        <v/>
      </c>
      <c r="AG268" s="125" t="n"/>
      <c r="AH268" s="129" t="n"/>
      <c r="AI268" s="134" t="n"/>
      <c r="AJ268" s="16" t="n"/>
      <c r="AK268" s="17" t="n"/>
      <c r="AL268" s="133">
        <f>DADOS_INVOC!$QN$94</f>
        <v/>
      </c>
      <c r="AM268" s="125" t="n"/>
      <c r="AN268" s="129" t="n"/>
      <c r="AO268" s="134" t="n"/>
      <c r="AP268" s="16" t="n"/>
      <c r="AQ268" s="17" t="n"/>
      <c r="AR268" s="133">
        <f>DADOS_INVOC!$QN$95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DADOS_INVOC!$QO$15</f>
        <v/>
      </c>
      <c r="N269" s="125" t="n"/>
      <c r="O269" s="55" t="inlineStr">
        <is>
          <t>RESTRIÇÕES</t>
        </is>
      </c>
      <c r="P269" s="134" t="n"/>
      <c r="Q269" s="16" t="n"/>
      <c r="R269" s="17" t="n"/>
      <c r="S269" s="133">
        <f>DADOS_INVOC!$QO$16</f>
        <v/>
      </c>
      <c r="T269" s="125" t="n"/>
      <c r="U269" s="55" t="inlineStr">
        <is>
          <t>RESTRIÇÕES</t>
        </is>
      </c>
      <c r="V269" s="134" t="n"/>
      <c r="W269" s="16" t="n"/>
      <c r="X269" s="17" t="n"/>
      <c r="Y269" s="133">
        <f>DADOS_INVOC!$QO$17</f>
        <v/>
      </c>
      <c r="Z269" s="125" t="n"/>
      <c r="AB269" s="55" t="inlineStr">
        <is>
          <t>RESTRIÇÕES</t>
        </is>
      </c>
      <c r="AC269" s="134" t="n"/>
      <c r="AD269" s="16" t="n"/>
      <c r="AE269" s="17" t="n"/>
      <c r="AF269" s="133">
        <f>DADOS_INVOC!$QO$93</f>
        <v/>
      </c>
      <c r="AG269" s="125" t="n"/>
      <c r="AH269" s="55" t="inlineStr">
        <is>
          <t>RESTRIÇÕES</t>
        </is>
      </c>
      <c r="AI269" s="134" t="n"/>
      <c r="AJ269" s="16" t="n"/>
      <c r="AK269" s="17" t="n"/>
      <c r="AL269" s="133">
        <f>DADOS_INVOC!$QO$94</f>
        <v/>
      </c>
      <c r="AM269" s="125" t="n"/>
      <c r="AN269" s="55" t="inlineStr">
        <is>
          <t>RESTRIÇÕES</t>
        </is>
      </c>
      <c r="AO269" s="134" t="n"/>
      <c r="AP269" s="16" t="n"/>
      <c r="AQ269" s="17" t="n"/>
      <c r="AR269" s="133">
        <f>DADOS_INVOC!$QO$95</f>
        <v/>
      </c>
      <c r="AS269" s="125" t="n"/>
    </row>
    <row r="270" hidden="1" outlineLevel="2">
      <c r="A270" s="8" t="n"/>
      <c r="B270" s="14" t="n"/>
      <c r="C270" s="125" t="n"/>
      <c r="D270" s="125" t="n"/>
      <c r="E270" s="125" t="n"/>
      <c r="F270" s="125" t="n"/>
      <c r="G270" s="125" t="n"/>
      <c r="I270" s="129" t="n"/>
      <c r="J270" s="134" t="n"/>
      <c r="K270" s="16" t="n"/>
      <c r="L270" s="17" t="n"/>
      <c r="M270" s="133">
        <f>DADOS_INVOC!$QP$15</f>
        <v/>
      </c>
      <c r="N270" s="125" t="n"/>
      <c r="O270" s="129" t="n"/>
      <c r="P270" s="134" t="n"/>
      <c r="Q270" s="16" t="n"/>
      <c r="R270" s="17" t="n"/>
      <c r="S270" s="133">
        <f>DADOS_INVOC!$QP$16</f>
        <v/>
      </c>
      <c r="T270" s="125" t="n"/>
      <c r="U270" s="129" t="n"/>
      <c r="V270" s="134" t="n"/>
      <c r="W270" s="16" t="n"/>
      <c r="X270" s="17" t="n"/>
      <c r="Y270" s="133">
        <f>DADOS_INVOC!$QP$17</f>
        <v/>
      </c>
      <c r="Z270" s="125" t="n"/>
      <c r="AB270" s="129" t="n"/>
      <c r="AC270" s="134" t="n"/>
      <c r="AD270" s="16" t="n"/>
      <c r="AE270" s="17" t="n"/>
      <c r="AF270" s="133">
        <f>DADOS_INVOC!$QP$93</f>
        <v/>
      </c>
      <c r="AG270" s="125" t="n"/>
      <c r="AH270" s="129" t="n"/>
      <c r="AI270" s="134" t="n"/>
      <c r="AJ270" s="16" t="n"/>
      <c r="AK270" s="17" t="n"/>
      <c r="AL270" s="133">
        <f>DADOS_INVOC!$QP$94</f>
        <v/>
      </c>
      <c r="AM270" s="125" t="n"/>
      <c r="AN270" s="129" t="n"/>
      <c r="AO270" s="134" t="n"/>
      <c r="AP270" s="16" t="n"/>
      <c r="AQ270" s="17" t="n"/>
      <c r="AR270" s="133">
        <f>DADOS_INVOC!$QP$95</f>
        <v/>
      </c>
      <c r="AS270" s="125" t="n"/>
    </row>
    <row r="271" hidden="1" outlineLevel="2">
      <c r="A271" s="8" t="n"/>
      <c r="B271" s="14" t="n"/>
      <c r="C271" s="125" t="n"/>
      <c r="D271" s="125" t="n"/>
      <c r="E271" s="125" t="n"/>
      <c r="F271" s="125" t="n"/>
      <c r="G271" s="125" t="n"/>
      <c r="I271" s="55" t="inlineStr">
        <is>
          <t>CONTA</t>
        </is>
      </c>
      <c r="J271" s="136">
        <f>DADOS_INVOC!$QI$15</f>
        <v/>
      </c>
      <c r="K271" s="16" t="n"/>
      <c r="L271" s="16" t="n"/>
      <c r="M271" s="17" t="n"/>
      <c r="N271" s="125" t="n"/>
      <c r="O271" s="55" t="inlineStr">
        <is>
          <t>CONTA</t>
        </is>
      </c>
      <c r="P271" s="136">
        <f>DADOS_INVOC!$QI$16</f>
        <v/>
      </c>
      <c r="Q271" s="16" t="n"/>
      <c r="R271" s="16" t="n"/>
      <c r="S271" s="17" t="n"/>
      <c r="T271" s="125" t="n"/>
      <c r="U271" s="55" t="inlineStr">
        <is>
          <t>CONTA</t>
        </is>
      </c>
      <c r="V271" s="136">
        <f>DADOS_INVOC!$QI$17</f>
        <v/>
      </c>
      <c r="W271" s="16" t="n"/>
      <c r="X271" s="16" t="n"/>
      <c r="Y271" s="17" t="n"/>
      <c r="Z271" s="125" t="n"/>
      <c r="AB271" s="55" t="inlineStr">
        <is>
          <t>CONTA</t>
        </is>
      </c>
      <c r="AC271" s="136">
        <f>DADOS_INVOC!$QI$93</f>
        <v/>
      </c>
      <c r="AD271" s="16" t="n"/>
      <c r="AE271" s="16" t="n"/>
      <c r="AF271" s="17" t="n"/>
      <c r="AG271" s="125" t="n"/>
      <c r="AH271" s="55" t="inlineStr">
        <is>
          <t>CONTA</t>
        </is>
      </c>
      <c r="AI271" s="136">
        <f>DADOS_INVOC!$QI$94</f>
        <v/>
      </c>
      <c r="AJ271" s="16" t="n"/>
      <c r="AK271" s="16" t="n"/>
      <c r="AL271" s="17" t="n"/>
      <c r="AM271" s="125" t="n"/>
      <c r="AN271" s="55" t="inlineStr">
        <is>
          <t>CONTA</t>
        </is>
      </c>
      <c r="AO271" s="136">
        <f>DADOS_INVOC!$QI$95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DADOS_INVOC!$QJ$15</f>
        <v/>
      </c>
      <c r="K272" s="19" t="n"/>
      <c r="L272" s="19" t="n"/>
      <c r="M272" s="20" t="n"/>
      <c r="N272" s="125" t="n"/>
      <c r="O272" s="55" t="inlineStr">
        <is>
          <t>AMPLIAR</t>
        </is>
      </c>
      <c r="P272" s="136">
        <f>DADOS_INVOC!$QJ$16</f>
        <v/>
      </c>
      <c r="Q272" s="19" t="n"/>
      <c r="R272" s="19" t="n"/>
      <c r="S272" s="20" t="n"/>
      <c r="T272" s="125" t="n"/>
      <c r="U272" s="55" t="inlineStr">
        <is>
          <t>AMPLIAR</t>
        </is>
      </c>
      <c r="V272" s="136">
        <f>DADOS_INVOC!$QJ$17</f>
        <v/>
      </c>
      <c r="W272" s="19" t="n"/>
      <c r="X272" s="19" t="n"/>
      <c r="Y272" s="20" t="n"/>
      <c r="Z272" s="125" t="n"/>
      <c r="AB272" s="55" t="inlineStr">
        <is>
          <t>AMPLIAR</t>
        </is>
      </c>
      <c r="AC272" s="136">
        <f>DADOS_INVOC!$QJ$93</f>
        <v/>
      </c>
      <c r="AD272" s="19" t="n"/>
      <c r="AE272" s="19" t="n"/>
      <c r="AF272" s="20" t="n"/>
      <c r="AG272" s="125" t="n"/>
      <c r="AH272" s="55" t="inlineStr">
        <is>
          <t>AMPLIAR</t>
        </is>
      </c>
      <c r="AI272" s="136">
        <f>DADOS_INVOC!$QJ$94</f>
        <v/>
      </c>
      <c r="AJ272" s="19" t="n"/>
      <c r="AK272" s="19" t="n"/>
      <c r="AL272" s="20" t="n"/>
      <c r="AM272" s="125" t="n"/>
      <c r="AN272" s="55" t="inlineStr">
        <is>
          <t>AMPLIAR</t>
        </is>
      </c>
      <c r="AO272" s="136">
        <f>DADOS_INVOC!$QJ$95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DADOS_INVOC!$PW$15</f>
        <v/>
      </c>
      <c r="J274" s="19" t="n"/>
      <c r="K274" s="19" t="n"/>
      <c r="L274" s="19" t="n"/>
      <c r="M274" s="20" t="n"/>
      <c r="N274" s="125" t="n"/>
      <c r="O274" s="136">
        <f>DADOS_INVOC!$PW$16</f>
        <v/>
      </c>
      <c r="P274" s="19" t="n"/>
      <c r="Q274" s="19" t="n"/>
      <c r="R274" s="19" t="n"/>
      <c r="S274" s="20" t="n"/>
      <c r="T274" s="125" t="n"/>
      <c r="U274" s="136">
        <f>DADOS_INVOC!$PW$17</f>
        <v/>
      </c>
      <c r="V274" s="19" t="n"/>
      <c r="W274" s="19" t="n"/>
      <c r="X274" s="19" t="n"/>
      <c r="Y274" s="20" t="n"/>
      <c r="Z274" s="125" t="n"/>
      <c r="AB274" s="136">
        <f>DADOS_INVOC!$PW$93</f>
        <v/>
      </c>
      <c r="AC274" s="19" t="n"/>
      <c r="AD274" s="19" t="n"/>
      <c r="AE274" s="19" t="n"/>
      <c r="AF274" s="20" t="n"/>
      <c r="AG274" s="125" t="n"/>
      <c r="AH274" s="136">
        <f>DADOS_INVOC!$PW$94</f>
        <v/>
      </c>
      <c r="AI274" s="19" t="n"/>
      <c r="AJ274" s="19" t="n"/>
      <c r="AK274" s="19" t="n"/>
      <c r="AL274" s="20" t="n"/>
      <c r="AM274" s="125" t="n"/>
      <c r="AN274" s="136">
        <f>DADOS_INVOC!$PW$95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DADOS_INVOC!$PX$18</f>
        <v/>
      </c>
      <c r="J289" s="16" t="n"/>
      <c r="K289" s="16" t="n"/>
      <c r="L289" s="16" t="n"/>
      <c r="M289" s="17" t="n"/>
      <c r="N289" s="125" t="n"/>
      <c r="O289" s="55">
        <f>DADOS_INVOC!$PX$19</f>
        <v/>
      </c>
      <c r="P289" s="16" t="n"/>
      <c r="Q289" s="16" t="n"/>
      <c r="R289" s="16" t="n"/>
      <c r="S289" s="17" t="n"/>
      <c r="T289" s="125" t="n"/>
      <c r="U289" s="55">
        <f>DADOS_INVOC!$PX$20</f>
        <v/>
      </c>
      <c r="V289" s="16" t="n"/>
      <c r="W289" s="16" t="n"/>
      <c r="X289" s="16" t="n"/>
      <c r="Y289" s="17" t="n"/>
      <c r="Z289" s="125" t="n"/>
      <c r="AB289" s="55">
        <f>DADOS_INVOC!$PX$96</f>
        <v/>
      </c>
      <c r="AC289" s="16" t="n"/>
      <c r="AD289" s="16" t="n"/>
      <c r="AE289" s="16" t="n"/>
      <c r="AF289" s="17" t="n"/>
      <c r="AG289" s="125" t="n"/>
      <c r="AH289" s="55">
        <f>DADOS_INVOC!$PX$97</f>
        <v/>
      </c>
      <c r="AI289" s="16" t="n"/>
      <c r="AJ289" s="16" t="n"/>
      <c r="AK289" s="16" t="n"/>
      <c r="AL289" s="17" t="n"/>
      <c r="AM289" s="125" t="n"/>
      <c r="AN289" s="55">
        <f>DADOS_INVOC!$PX$98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DADOS_INVOC!$PV$18</f>
        <v/>
      </c>
      <c r="N290" s="125" t="n"/>
      <c r="O290" s="131" t="n">
        <v>1</v>
      </c>
      <c r="P290" s="120" t="n"/>
      <c r="Q290" s="16" t="n"/>
      <c r="R290" s="17" t="n"/>
      <c r="S290" s="132">
        <f>DADOS_INVOC!$PV$19</f>
        <v/>
      </c>
      <c r="T290" s="125" t="n"/>
      <c r="U290" s="131" t="n">
        <v>1</v>
      </c>
      <c r="V290" s="120" t="n"/>
      <c r="W290" s="16" t="n"/>
      <c r="X290" s="17" t="n"/>
      <c r="Y290" s="132">
        <f>DADOS_INVOC!$PV$20</f>
        <v/>
      </c>
      <c r="Z290" s="125" t="n"/>
      <c r="AB290" s="131" t="n">
        <v>0</v>
      </c>
      <c r="AC290" s="120" t="n"/>
      <c r="AD290" s="16" t="n"/>
      <c r="AE290" s="17" t="n"/>
      <c r="AF290" s="132">
        <f>DADOS_INVOC!$PV$96</f>
        <v/>
      </c>
      <c r="AG290" s="125" t="n"/>
      <c r="AH290" s="131" t="n">
        <v>1</v>
      </c>
      <c r="AI290" s="120" t="n"/>
      <c r="AJ290" s="16" t="n"/>
      <c r="AK290" s="17" t="n"/>
      <c r="AL290" s="132">
        <f>DADOS_INVOC!$PV$97</f>
        <v/>
      </c>
      <c r="AM290" s="125" t="n"/>
      <c r="AN290" s="131" t="n">
        <v>1</v>
      </c>
      <c r="AO290" s="120" t="n"/>
      <c r="AP290" s="16" t="n"/>
      <c r="AQ290" s="17" t="n"/>
      <c r="AR290" s="132">
        <f>DADOS_INVOC!$PV$98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90" t="inlineStr">
        <is>
          <t>Projétil</t>
        </is>
      </c>
      <c r="J295" s="17" t="n"/>
      <c r="K295" s="68">
        <f>DADOS_INVOC!$QC$18</f>
        <v/>
      </c>
      <c r="L295" s="17" t="n"/>
      <c r="M295" s="68">
        <f>DADOS_INVOC!$PY$18</f>
        <v/>
      </c>
      <c r="N295" s="125" t="n"/>
      <c r="O295" s="90" t="inlineStr">
        <is>
          <t>Projétil</t>
        </is>
      </c>
      <c r="P295" s="17" t="n"/>
      <c r="Q295" s="68">
        <f>DADOS_INVOC!$QC$19</f>
        <v/>
      </c>
      <c r="R295" s="17" t="n"/>
      <c r="S295" s="68">
        <f>DADOS_INVOC!$PY$19</f>
        <v/>
      </c>
      <c r="T295" s="125" t="n"/>
      <c r="U295" s="90" t="inlineStr">
        <is>
          <t>Projétil</t>
        </is>
      </c>
      <c r="V295" s="17" t="n"/>
      <c r="W295" s="68">
        <f>DADOS_INVOC!$QC$20</f>
        <v/>
      </c>
      <c r="X295" s="17" t="n"/>
      <c r="Y295" s="68">
        <f>DADOS_INVOC!$PY$20</f>
        <v/>
      </c>
      <c r="Z295" s="125" t="n"/>
      <c r="AB295" s="90" t="inlineStr">
        <is>
          <t>Projétil</t>
        </is>
      </c>
      <c r="AC295" s="17" t="n"/>
      <c r="AD295" s="68">
        <f>DADOS_INVOC!$QC$96</f>
        <v/>
      </c>
      <c r="AE295" s="17" t="n"/>
      <c r="AF295" s="68">
        <f>DADOS_INVOC!$PY$96</f>
        <v/>
      </c>
      <c r="AG295" s="125" t="n"/>
      <c r="AH295" s="90" t="inlineStr">
        <is>
          <t>Projétil</t>
        </is>
      </c>
      <c r="AI295" s="17" t="n"/>
      <c r="AJ295" s="68">
        <f>DADOS_INVOC!$QC$97</f>
        <v/>
      </c>
      <c r="AK295" s="17" t="n"/>
      <c r="AL295" s="68">
        <f>DADOS_INVOC!$PY$97</f>
        <v/>
      </c>
      <c r="AM295" s="125" t="n"/>
      <c r="AN295" s="90" t="inlineStr">
        <is>
          <t>Projétil</t>
        </is>
      </c>
      <c r="AO295" s="17" t="n"/>
      <c r="AP295" s="68">
        <f>DADOS_INVOC!$QC$98</f>
        <v/>
      </c>
      <c r="AQ295" s="17" t="n"/>
      <c r="AR295" s="68">
        <f>DADOS_INVOC!$PY$98</f>
        <v/>
      </c>
      <c r="AS295" s="125" t="n"/>
    </row>
    <row r="296" hidden="1" outlineLevel="2">
      <c r="A296" s="8" t="n"/>
      <c r="B296" s="14" t="n"/>
      <c r="C296" s="125" t="n"/>
      <c r="D296" s="125" t="n"/>
      <c r="E296" s="125" t="n"/>
      <c r="F296" s="125" t="n"/>
      <c r="G296" s="125" t="n"/>
      <c r="I296" s="90" t="n"/>
      <c r="J296" s="17" t="n"/>
      <c r="K296" s="90" t="n"/>
      <c r="L296" s="16" t="n"/>
      <c r="M296" s="17" t="n"/>
      <c r="N296" s="125" t="n"/>
      <c r="O296" s="90" t="n"/>
      <c r="P296" s="17" t="n"/>
      <c r="Q296" s="90" t="n"/>
      <c r="R296" s="16" t="n"/>
      <c r="S296" s="17" t="n"/>
      <c r="T296" s="125" t="n"/>
      <c r="U296" s="90" t="n"/>
      <c r="V296" s="17" t="n"/>
      <c r="W296" s="90" t="n"/>
      <c r="X296" s="16" t="n"/>
      <c r="Y296" s="17" t="n"/>
      <c r="Z296" s="125" t="n"/>
      <c r="AB296" s="90" t="n"/>
      <c r="AC296" s="17" t="n"/>
      <c r="AD296" s="90" t="n"/>
      <c r="AE296" s="16" t="n"/>
      <c r="AF296" s="17" t="n"/>
      <c r="AG296" s="125" t="n"/>
      <c r="AH296" s="90" t="n"/>
      <c r="AI296" s="17" t="n"/>
      <c r="AJ296" s="90" t="n"/>
      <c r="AK296" s="16" t="n"/>
      <c r="AL296" s="17" t="n"/>
      <c r="AM296" s="125" t="n"/>
      <c r="AN296" s="90" t="n"/>
      <c r="AO296" s="17" t="n"/>
      <c r="AP296" s="90" t="n"/>
      <c r="AQ296" s="16" t="n"/>
      <c r="AR296" s="17" t="n"/>
      <c r="AS296" s="125" t="n"/>
    </row>
    <row r="297" hidden="1" outlineLevel="2">
      <c r="A297" s="8" t="n"/>
      <c r="B297" s="14" t="n"/>
      <c r="C297" s="125" t="n"/>
      <c r="D297" s="125" t="n"/>
      <c r="E297" s="125" t="n"/>
      <c r="F297" s="125" t="n"/>
      <c r="G297" s="125" t="n"/>
      <c r="I297" s="90">
        <f>DADOS_INVOC!$PZ$18</f>
        <v/>
      </c>
      <c r="J297" s="17" t="n"/>
      <c r="K297" s="90">
        <f>DADOS_INVOC!$QB$18</f>
        <v/>
      </c>
      <c r="L297" s="16" t="n"/>
      <c r="M297" s="17" t="n"/>
      <c r="N297" s="125" t="n"/>
      <c r="O297" s="90">
        <f>DADOS_INVOC!$PZ$19</f>
        <v/>
      </c>
      <c r="P297" s="17" t="n"/>
      <c r="Q297" s="90">
        <f>DADOS_INVOC!$QB$19</f>
        <v/>
      </c>
      <c r="R297" s="16" t="n"/>
      <c r="S297" s="17" t="n"/>
      <c r="T297" s="125" t="n"/>
      <c r="U297" s="90">
        <f>DADOS_INVOC!$PZ$20</f>
        <v/>
      </c>
      <c r="V297" s="17" t="n"/>
      <c r="W297" s="90">
        <f>DADOS_INVOC!$QB$20</f>
        <v/>
      </c>
      <c r="X297" s="16" t="n"/>
      <c r="Y297" s="17" t="n"/>
      <c r="Z297" s="125" t="n"/>
      <c r="AB297" s="90">
        <f>DADOS_INVOC!$PZ$96</f>
        <v/>
      </c>
      <c r="AC297" s="17" t="n"/>
      <c r="AD297" s="90">
        <f>DADOS_INVOC!$QB$96</f>
        <v/>
      </c>
      <c r="AE297" s="16" t="n"/>
      <c r="AF297" s="17" t="n"/>
      <c r="AG297" s="125" t="n"/>
      <c r="AH297" s="90">
        <f>DADOS_INVOC!$PZ$97</f>
        <v/>
      </c>
      <c r="AI297" s="17" t="n"/>
      <c r="AJ297" s="90">
        <f>DADOS_INVOC!$QB$97</f>
        <v/>
      </c>
      <c r="AK297" s="16" t="n"/>
      <c r="AL297" s="17" t="n"/>
      <c r="AM297" s="125" t="n"/>
      <c r="AN297" s="90">
        <f>DADOS_INVOC!$PZ$98</f>
        <v/>
      </c>
      <c r="AO297" s="17" t="n"/>
      <c r="AP297" s="90">
        <f>DADOS_INVOC!$QB$98</f>
        <v/>
      </c>
      <c r="AQ297" s="16" t="n"/>
      <c r="AR297" s="17" t="n"/>
      <c r="AS297" s="125" t="n"/>
    </row>
    <row r="298" hidden="1" outlineLevel="2">
      <c r="A298" s="8" t="n"/>
      <c r="B298" s="14" t="n"/>
      <c r="C298" s="125" t="n"/>
      <c r="D298" s="125" t="n"/>
      <c r="E298" s="125" t="n"/>
      <c r="F298" s="125" t="n"/>
      <c r="G298" s="125" t="n"/>
      <c r="I298" s="133">
        <f>DADOS_INVOC!$QH$18</f>
        <v/>
      </c>
      <c r="J298" s="16" t="n"/>
      <c r="K298" s="16" t="n"/>
      <c r="L298" s="16" t="n"/>
      <c r="M298" s="17" t="n"/>
      <c r="N298" s="125" t="n"/>
      <c r="O298" s="133">
        <f>DADOS_INVOC!$QH$19</f>
        <v/>
      </c>
      <c r="P298" s="16" t="n"/>
      <c r="Q298" s="16" t="n"/>
      <c r="R298" s="16" t="n"/>
      <c r="S298" s="17" t="n"/>
      <c r="T298" s="125" t="n"/>
      <c r="U298" s="133">
        <f>DADOS_INVOC!$QH$20</f>
        <v/>
      </c>
      <c r="V298" s="16" t="n"/>
      <c r="W298" s="16" t="n"/>
      <c r="X298" s="16" t="n"/>
      <c r="Y298" s="17" t="n"/>
      <c r="Z298" s="125" t="n"/>
      <c r="AB298" s="133">
        <f>DADOS_INVOC!$QH$96</f>
        <v/>
      </c>
      <c r="AC298" s="16" t="n"/>
      <c r="AD298" s="16" t="n"/>
      <c r="AE298" s="16" t="n"/>
      <c r="AF298" s="17" t="n"/>
      <c r="AG298" s="125" t="n"/>
      <c r="AH298" s="133">
        <f>DADOS_INVOC!$QH$97</f>
        <v/>
      </c>
      <c r="AI298" s="16" t="n"/>
      <c r="AJ298" s="16" t="n"/>
      <c r="AK298" s="16" t="n"/>
      <c r="AL298" s="17" t="n"/>
      <c r="AM298" s="125" t="n"/>
      <c r="AN298" s="133">
        <f>DADOS_INVOC!$QH$98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DADOS_INVOC!$QK$18</f>
        <v/>
      </c>
      <c r="N299" s="125" t="n"/>
      <c r="O299" s="55" t="inlineStr">
        <is>
          <t>MELHORIAS</t>
        </is>
      </c>
      <c r="P299" s="134" t="n"/>
      <c r="Q299" s="16" t="n"/>
      <c r="R299" s="17" t="n"/>
      <c r="S299" s="133">
        <f>DADOS_INVOC!$QK$19</f>
        <v/>
      </c>
      <c r="T299" s="125" t="n"/>
      <c r="U299" s="55" t="inlineStr">
        <is>
          <t>MELHORIAS</t>
        </is>
      </c>
      <c r="V299" s="134" t="n"/>
      <c r="W299" s="16" t="n"/>
      <c r="X299" s="17" t="n"/>
      <c r="Y299" s="133">
        <f>DADOS_INVOC!$QK$20</f>
        <v/>
      </c>
      <c r="Z299" s="125" t="n"/>
      <c r="AB299" s="55" t="inlineStr">
        <is>
          <t>MELHORIAS</t>
        </is>
      </c>
      <c r="AC299" s="134" t="n"/>
      <c r="AD299" s="16" t="n"/>
      <c r="AE299" s="17" t="n"/>
      <c r="AF299" s="133">
        <f>DADOS_INVOC!$QK$96</f>
        <v/>
      </c>
      <c r="AG299" s="125" t="n"/>
      <c r="AH299" s="55" t="inlineStr">
        <is>
          <t>MELHORIAS</t>
        </is>
      </c>
      <c r="AI299" s="134" t="n"/>
      <c r="AJ299" s="16" t="n"/>
      <c r="AK299" s="17" t="n"/>
      <c r="AL299" s="133">
        <f>DADOS_INVOC!$QK$97</f>
        <v/>
      </c>
      <c r="AM299" s="125" t="n"/>
      <c r="AN299" s="55" t="inlineStr">
        <is>
          <t>MELHORIAS</t>
        </is>
      </c>
      <c r="AO299" s="134" t="n"/>
      <c r="AP299" s="16" t="n"/>
      <c r="AQ299" s="17" t="n"/>
      <c r="AR299" s="133">
        <f>DADOS_INVOC!$QK$98</f>
        <v/>
      </c>
      <c r="AS299" s="125" t="n"/>
    </row>
    <row r="300" hidden="1" outlineLevel="3">
      <c r="A300" s="8" t="n"/>
      <c r="B300" s="14" t="n"/>
      <c r="C300" s="125" t="n"/>
      <c r="D300" s="125" t="n"/>
      <c r="E300" s="125" t="n"/>
      <c r="F300" s="125" t="n"/>
      <c r="G300" s="125" t="n"/>
      <c r="I300" s="135" t="n"/>
      <c r="J300" s="134" t="n"/>
      <c r="K300" s="16" t="n"/>
      <c r="L300" s="17" t="n"/>
      <c r="M300" s="133">
        <f>DADOS_INVOC!$QL$18</f>
        <v/>
      </c>
      <c r="N300" s="125" t="n"/>
      <c r="O300" s="135" t="n"/>
      <c r="P300" s="134" t="n"/>
      <c r="Q300" s="16" t="n"/>
      <c r="R300" s="17" t="n"/>
      <c r="S300" s="133">
        <f>DADOS_INVOC!$QL$19</f>
        <v/>
      </c>
      <c r="T300" s="125" t="n"/>
      <c r="U300" s="135" t="n"/>
      <c r="V300" s="134" t="n"/>
      <c r="W300" s="16" t="n"/>
      <c r="X300" s="17" t="n"/>
      <c r="Y300" s="133">
        <f>DADOS_INVOC!$QL$20</f>
        <v/>
      </c>
      <c r="Z300" s="125" t="n"/>
      <c r="AB300" s="135" t="n"/>
      <c r="AC300" s="134" t="n"/>
      <c r="AD300" s="16" t="n"/>
      <c r="AE300" s="17" t="n"/>
      <c r="AF300" s="133">
        <f>DADOS_INVOC!$QL$96</f>
        <v/>
      </c>
      <c r="AG300" s="125" t="n"/>
      <c r="AH300" s="135" t="n"/>
      <c r="AI300" s="134" t="n"/>
      <c r="AJ300" s="16" t="n"/>
      <c r="AK300" s="17" t="n"/>
      <c r="AL300" s="133">
        <f>DADOS_INVOC!$QL$97</f>
        <v/>
      </c>
      <c r="AM300" s="125" t="n"/>
      <c r="AN300" s="135" t="n"/>
      <c r="AO300" s="134" t="n"/>
      <c r="AP300" s="16" t="n"/>
      <c r="AQ300" s="17" t="n"/>
      <c r="AR300" s="133">
        <f>DADOS_INVOC!$QL$98</f>
        <v/>
      </c>
      <c r="AS300" s="125" t="n"/>
    </row>
    <row r="301" hidden="1" outlineLevel="3">
      <c r="A301" s="8" t="n"/>
      <c r="B301" s="14" t="n"/>
      <c r="C301" s="125" t="n"/>
      <c r="D301" s="125" t="n"/>
      <c r="E301" s="125" t="n"/>
      <c r="F301" s="125" t="n"/>
      <c r="G301" s="125" t="n"/>
      <c r="I301" s="135" t="n"/>
      <c r="J301" s="134" t="n"/>
      <c r="K301" s="16" t="n"/>
      <c r="L301" s="17" t="n"/>
      <c r="M301" s="133">
        <f>DADOS_INVOC!$QM$18</f>
        <v/>
      </c>
      <c r="N301" s="125" t="n"/>
      <c r="O301" s="135" t="n"/>
      <c r="P301" s="134" t="n"/>
      <c r="Q301" s="16" t="n"/>
      <c r="R301" s="17" t="n"/>
      <c r="S301" s="133">
        <f>DADOS_INVOC!$QM$19</f>
        <v/>
      </c>
      <c r="T301" s="125" t="n"/>
      <c r="U301" s="135" t="n"/>
      <c r="V301" s="134" t="n"/>
      <c r="W301" s="16" t="n"/>
      <c r="X301" s="17" t="n"/>
      <c r="Y301" s="133">
        <f>DADOS_INVOC!$QM$20</f>
        <v/>
      </c>
      <c r="Z301" s="125" t="n"/>
      <c r="AB301" s="135" t="n"/>
      <c r="AC301" s="134" t="n"/>
      <c r="AD301" s="16" t="n"/>
      <c r="AE301" s="17" t="n"/>
      <c r="AF301" s="133">
        <f>DADOS_INVOC!$QM$96</f>
        <v/>
      </c>
      <c r="AG301" s="125" t="n"/>
      <c r="AH301" s="135" t="n"/>
      <c r="AI301" s="134" t="n"/>
      <c r="AJ301" s="16" t="n"/>
      <c r="AK301" s="17" t="n"/>
      <c r="AL301" s="133">
        <f>DADOS_INVOC!$QM$97</f>
        <v/>
      </c>
      <c r="AM301" s="125" t="n"/>
      <c r="AN301" s="135" t="n"/>
      <c r="AO301" s="134" t="n"/>
      <c r="AP301" s="16" t="n"/>
      <c r="AQ301" s="17" t="n"/>
      <c r="AR301" s="133">
        <f>DADOS_INVOC!$QM$98</f>
        <v/>
      </c>
      <c r="AS301" s="125" t="n"/>
    </row>
    <row r="302" hidden="1" outlineLevel="3">
      <c r="A302" s="8" t="n"/>
      <c r="B302" s="14" t="n"/>
      <c r="C302" s="125" t="n"/>
      <c r="D302" s="125" t="n"/>
      <c r="E302" s="125" t="n"/>
      <c r="F302" s="125" t="n"/>
      <c r="G302" s="125" t="n"/>
      <c r="I302" s="129" t="n"/>
      <c r="J302" s="134" t="n"/>
      <c r="K302" s="16" t="n"/>
      <c r="L302" s="17" t="n"/>
      <c r="M302" s="133">
        <f>DADOS_INVOC!$QN$18</f>
        <v/>
      </c>
      <c r="N302" s="125" t="n"/>
      <c r="O302" s="129" t="n"/>
      <c r="P302" s="134" t="n"/>
      <c r="Q302" s="16" t="n"/>
      <c r="R302" s="17" t="n"/>
      <c r="S302" s="133">
        <f>DADOS_INVOC!$QN$19</f>
        <v/>
      </c>
      <c r="T302" s="125" t="n"/>
      <c r="U302" s="129" t="n"/>
      <c r="V302" s="134" t="n"/>
      <c r="W302" s="16" t="n"/>
      <c r="X302" s="17" t="n"/>
      <c r="Y302" s="133">
        <f>DADOS_INVOC!$QN$20</f>
        <v/>
      </c>
      <c r="Z302" s="125" t="n"/>
      <c r="AB302" s="129" t="n"/>
      <c r="AC302" s="134" t="n"/>
      <c r="AD302" s="16" t="n"/>
      <c r="AE302" s="17" t="n"/>
      <c r="AF302" s="133">
        <f>DADOS_INVOC!$QN$96</f>
        <v/>
      </c>
      <c r="AG302" s="125" t="n"/>
      <c r="AH302" s="129" t="n"/>
      <c r="AI302" s="134" t="n"/>
      <c r="AJ302" s="16" t="n"/>
      <c r="AK302" s="17" t="n"/>
      <c r="AL302" s="133">
        <f>DADOS_INVOC!$QN$97</f>
        <v/>
      </c>
      <c r="AM302" s="125" t="n"/>
      <c r="AN302" s="129" t="n"/>
      <c r="AO302" s="134" t="n"/>
      <c r="AP302" s="16" t="n"/>
      <c r="AQ302" s="17" t="n"/>
      <c r="AR302" s="133">
        <f>DADOS_INVOC!$QN$98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DADOS_INVOC!$QO$18</f>
        <v/>
      </c>
      <c r="N303" s="125" t="n"/>
      <c r="O303" s="55" t="inlineStr">
        <is>
          <t>RESTRIÇÕES</t>
        </is>
      </c>
      <c r="P303" s="134" t="n"/>
      <c r="Q303" s="16" t="n"/>
      <c r="R303" s="17" t="n"/>
      <c r="S303" s="133">
        <f>DADOS_INVOC!$QO$19</f>
        <v/>
      </c>
      <c r="T303" s="125" t="n"/>
      <c r="U303" s="55" t="inlineStr">
        <is>
          <t>RESTRIÇÕES</t>
        </is>
      </c>
      <c r="V303" s="134" t="n"/>
      <c r="W303" s="16" t="n"/>
      <c r="X303" s="17" t="n"/>
      <c r="Y303" s="133">
        <f>DADOS_INVOC!$QO$20</f>
        <v/>
      </c>
      <c r="Z303" s="125" t="n"/>
      <c r="AB303" s="55" t="inlineStr">
        <is>
          <t>RESTRIÇÕES</t>
        </is>
      </c>
      <c r="AC303" s="134" t="n"/>
      <c r="AD303" s="16" t="n"/>
      <c r="AE303" s="17" t="n"/>
      <c r="AF303" s="133">
        <f>DADOS_INVOC!$QO$96</f>
        <v/>
      </c>
      <c r="AG303" s="125" t="n"/>
      <c r="AH303" s="55" t="inlineStr">
        <is>
          <t>RESTRIÇÕES</t>
        </is>
      </c>
      <c r="AI303" s="134" t="n"/>
      <c r="AJ303" s="16" t="n"/>
      <c r="AK303" s="17" t="n"/>
      <c r="AL303" s="133">
        <f>DADOS_INVOC!$QO$97</f>
        <v/>
      </c>
      <c r="AM303" s="125" t="n"/>
      <c r="AN303" s="55" t="inlineStr">
        <is>
          <t>RESTRIÇÕES</t>
        </is>
      </c>
      <c r="AO303" s="134" t="n"/>
      <c r="AP303" s="16" t="n"/>
      <c r="AQ303" s="17" t="n"/>
      <c r="AR303" s="133">
        <f>DADOS_INVOC!$QO$98</f>
        <v/>
      </c>
      <c r="AS303" s="125" t="n"/>
    </row>
    <row r="304" hidden="1" outlineLevel="3">
      <c r="A304" s="8" t="n"/>
      <c r="B304" s="14" t="n"/>
      <c r="C304" s="125" t="n"/>
      <c r="D304" s="125" t="n"/>
      <c r="E304" s="125" t="n"/>
      <c r="F304" s="125" t="n"/>
      <c r="G304" s="125" t="n"/>
      <c r="I304" s="129" t="n"/>
      <c r="J304" s="134" t="n"/>
      <c r="K304" s="16" t="n"/>
      <c r="L304" s="17" t="n"/>
      <c r="M304" s="133">
        <f>DADOS_INVOC!$QP$18</f>
        <v/>
      </c>
      <c r="N304" s="125" t="n"/>
      <c r="O304" s="129" t="n"/>
      <c r="P304" s="134" t="n"/>
      <c r="Q304" s="16" t="n"/>
      <c r="R304" s="17" t="n"/>
      <c r="S304" s="133">
        <f>DADOS_INVOC!$QP$19</f>
        <v/>
      </c>
      <c r="T304" s="125" t="n"/>
      <c r="U304" s="129" t="n"/>
      <c r="V304" s="134" t="n"/>
      <c r="W304" s="16" t="n"/>
      <c r="X304" s="17" t="n"/>
      <c r="Y304" s="133">
        <f>DADOS_INVOC!$QP$20</f>
        <v/>
      </c>
      <c r="Z304" s="125" t="n"/>
      <c r="AB304" s="129" t="n"/>
      <c r="AC304" s="134" t="n"/>
      <c r="AD304" s="16" t="n"/>
      <c r="AE304" s="17" t="n"/>
      <c r="AF304" s="133">
        <f>DADOS_INVOC!$QP$96</f>
        <v/>
      </c>
      <c r="AG304" s="125" t="n"/>
      <c r="AH304" s="129" t="n"/>
      <c r="AI304" s="134" t="n"/>
      <c r="AJ304" s="16" t="n"/>
      <c r="AK304" s="17" t="n"/>
      <c r="AL304" s="133">
        <f>DADOS_INVOC!$QP$97</f>
        <v/>
      </c>
      <c r="AM304" s="125" t="n"/>
      <c r="AN304" s="129" t="n"/>
      <c r="AO304" s="134" t="n"/>
      <c r="AP304" s="16" t="n"/>
      <c r="AQ304" s="17" t="n"/>
      <c r="AR304" s="133">
        <f>DADOS_INVOC!$QP$98</f>
        <v/>
      </c>
      <c r="AS304" s="125" t="n"/>
    </row>
    <row r="305" hidden="1" outlineLevel="3">
      <c r="A305" s="8" t="n"/>
      <c r="B305" s="14" t="n"/>
      <c r="C305" s="125" t="n"/>
      <c r="D305" s="125" t="n"/>
      <c r="E305" s="125" t="n"/>
      <c r="F305" s="125" t="n"/>
      <c r="G305" s="125" t="n"/>
      <c r="I305" s="55" t="inlineStr">
        <is>
          <t>CONTA</t>
        </is>
      </c>
      <c r="J305" s="136">
        <f>DADOS_INVOC!$QI$18</f>
        <v/>
      </c>
      <c r="K305" s="16" t="n"/>
      <c r="L305" s="16" t="n"/>
      <c r="M305" s="17" t="n"/>
      <c r="N305" s="125" t="n"/>
      <c r="O305" s="55" t="inlineStr">
        <is>
          <t>CONTA</t>
        </is>
      </c>
      <c r="P305" s="136">
        <f>DADOS_INVOC!$QI$19</f>
        <v/>
      </c>
      <c r="Q305" s="16" t="n"/>
      <c r="R305" s="16" t="n"/>
      <c r="S305" s="17" t="n"/>
      <c r="T305" s="125" t="n"/>
      <c r="U305" s="55" t="inlineStr">
        <is>
          <t>CONTA</t>
        </is>
      </c>
      <c r="V305" s="136">
        <f>DADOS_INVOC!$QI$20</f>
        <v/>
      </c>
      <c r="W305" s="16" t="n"/>
      <c r="X305" s="16" t="n"/>
      <c r="Y305" s="17" t="n"/>
      <c r="Z305" s="125" t="n"/>
      <c r="AB305" s="55" t="inlineStr">
        <is>
          <t>CONTA</t>
        </is>
      </c>
      <c r="AC305" s="136">
        <f>DADOS_INVOC!$QI$96</f>
        <v/>
      </c>
      <c r="AD305" s="16" t="n"/>
      <c r="AE305" s="16" t="n"/>
      <c r="AF305" s="17" t="n"/>
      <c r="AG305" s="125" t="n"/>
      <c r="AH305" s="55" t="inlineStr">
        <is>
          <t>CONTA</t>
        </is>
      </c>
      <c r="AI305" s="136">
        <f>DADOS_INVOC!$QI$97</f>
        <v/>
      </c>
      <c r="AJ305" s="16" t="n"/>
      <c r="AK305" s="16" t="n"/>
      <c r="AL305" s="17" t="n"/>
      <c r="AM305" s="125" t="n"/>
      <c r="AN305" s="55" t="inlineStr">
        <is>
          <t>CONTA</t>
        </is>
      </c>
      <c r="AO305" s="136">
        <f>DADOS_INVOC!$QI$98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DADOS_INVOC!$QJ$18</f>
        <v/>
      </c>
      <c r="K306" s="19" t="n"/>
      <c r="L306" s="19" t="n"/>
      <c r="M306" s="20" t="n"/>
      <c r="N306" s="125" t="n"/>
      <c r="O306" s="55" t="inlineStr">
        <is>
          <t>AMPLIAR</t>
        </is>
      </c>
      <c r="P306" s="136">
        <f>DADOS_INVOC!$QJ$19</f>
        <v/>
      </c>
      <c r="Q306" s="19" t="n"/>
      <c r="R306" s="19" t="n"/>
      <c r="S306" s="20" t="n"/>
      <c r="T306" s="125" t="n"/>
      <c r="U306" s="55" t="inlineStr">
        <is>
          <t>AMPLIAR</t>
        </is>
      </c>
      <c r="V306" s="136">
        <f>DADOS_INVOC!$QJ$20</f>
        <v/>
      </c>
      <c r="W306" s="19" t="n"/>
      <c r="X306" s="19" t="n"/>
      <c r="Y306" s="20" t="n"/>
      <c r="Z306" s="125" t="n"/>
      <c r="AB306" s="55" t="inlineStr">
        <is>
          <t>AMPLIAR</t>
        </is>
      </c>
      <c r="AC306" s="136">
        <f>DADOS_INVOC!$QJ$96</f>
        <v/>
      </c>
      <c r="AD306" s="19" t="n"/>
      <c r="AE306" s="19" t="n"/>
      <c r="AF306" s="20" t="n"/>
      <c r="AG306" s="125" t="n"/>
      <c r="AH306" s="55" t="inlineStr">
        <is>
          <t>AMPLIAR</t>
        </is>
      </c>
      <c r="AI306" s="136">
        <f>DADOS_INVOC!$QJ$97</f>
        <v/>
      </c>
      <c r="AJ306" s="19" t="n"/>
      <c r="AK306" s="19" t="n"/>
      <c r="AL306" s="20" t="n"/>
      <c r="AM306" s="125" t="n"/>
      <c r="AN306" s="55" t="inlineStr">
        <is>
          <t>AMPLIAR</t>
        </is>
      </c>
      <c r="AO306" s="136">
        <f>DADOS_INVOC!$QJ$98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DADOS_INVOC!$PW$18</f>
        <v/>
      </c>
      <c r="J308" s="19" t="n"/>
      <c r="K308" s="19" t="n"/>
      <c r="L308" s="19" t="n"/>
      <c r="M308" s="20" t="n"/>
      <c r="N308" s="125" t="n"/>
      <c r="O308" s="136">
        <f>DADOS_INVOC!$PW$19</f>
        <v/>
      </c>
      <c r="P308" s="19" t="n"/>
      <c r="Q308" s="19" t="n"/>
      <c r="R308" s="19" t="n"/>
      <c r="S308" s="20" t="n"/>
      <c r="T308" s="125" t="n"/>
      <c r="U308" s="136">
        <f>DADOS_INVOC!$PW$20</f>
        <v/>
      </c>
      <c r="V308" s="19" t="n"/>
      <c r="W308" s="19" t="n"/>
      <c r="X308" s="19" t="n"/>
      <c r="Y308" s="20" t="n"/>
      <c r="Z308" s="125" t="n"/>
      <c r="AB308" s="136">
        <f>DADOS_INVOC!$PW$96</f>
        <v/>
      </c>
      <c r="AC308" s="19" t="n"/>
      <c r="AD308" s="19" t="n"/>
      <c r="AE308" s="19" t="n"/>
      <c r="AF308" s="20" t="n"/>
      <c r="AG308" s="125" t="n"/>
      <c r="AH308" s="136">
        <f>DADOS_INVOC!$PW$97</f>
        <v/>
      </c>
      <c r="AI308" s="19" t="n"/>
      <c r="AJ308" s="19" t="n"/>
      <c r="AK308" s="19" t="n"/>
      <c r="AL308" s="20" t="n"/>
      <c r="AM308" s="125" t="n"/>
      <c r="AN308" s="136">
        <f>DADOS_INVOC!$PW$98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DADOS_INVOC!$PX$21</f>
        <v/>
      </c>
      <c r="J311" s="16" t="n"/>
      <c r="K311" s="16" t="n"/>
      <c r="L311" s="16" t="n"/>
      <c r="M311" s="17" t="n"/>
      <c r="N311" s="125" t="n"/>
      <c r="O311" s="55">
        <f>DADOS_INVOC!$PX$22</f>
        <v/>
      </c>
      <c r="P311" s="16" t="n"/>
      <c r="Q311" s="16" t="n"/>
      <c r="R311" s="16" t="n"/>
      <c r="S311" s="17" t="n"/>
      <c r="T311" s="125" t="n"/>
      <c r="U311" s="55">
        <f>DADOS_INVOC!$PX$23</f>
        <v/>
      </c>
      <c r="V311" s="16" t="n"/>
      <c r="W311" s="16" t="n"/>
      <c r="X311" s="16" t="n"/>
      <c r="Y311" s="17" t="n"/>
      <c r="Z311" s="125" t="n"/>
      <c r="AB311" s="55">
        <f>DADOS_INVOC!$PX$99</f>
        <v/>
      </c>
      <c r="AC311" s="16" t="n"/>
      <c r="AD311" s="16" t="n"/>
      <c r="AE311" s="16" t="n"/>
      <c r="AF311" s="17" t="n"/>
      <c r="AG311" s="125" t="n"/>
      <c r="AH311" s="55">
        <f>DADOS_INVOC!$PX$100</f>
        <v/>
      </c>
      <c r="AI311" s="16" t="n"/>
      <c r="AJ311" s="16" t="n"/>
      <c r="AK311" s="16" t="n"/>
      <c r="AL311" s="17" t="n"/>
      <c r="AM311" s="125" t="n"/>
      <c r="AN311" s="55">
        <f>DADOS_INVOC!$PX$101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DADOS_INVOC!$PV$21</f>
        <v/>
      </c>
      <c r="N312" s="125" t="n"/>
      <c r="O312" s="131" t="n">
        <v>1</v>
      </c>
      <c r="P312" s="120" t="n"/>
      <c r="Q312" s="16" t="n"/>
      <c r="R312" s="17" t="n"/>
      <c r="S312" s="132">
        <f>DADOS_INVOC!$PV$22</f>
        <v/>
      </c>
      <c r="T312" s="125" t="n"/>
      <c r="U312" s="131" t="n">
        <v>1</v>
      </c>
      <c r="V312" s="120" t="n"/>
      <c r="W312" s="16" t="n"/>
      <c r="X312" s="17" t="n"/>
      <c r="Y312" s="132">
        <f>DADOS_INVOC!$PV$23</f>
        <v/>
      </c>
      <c r="Z312" s="125" t="n"/>
      <c r="AB312" s="131" t="n">
        <v>1</v>
      </c>
      <c r="AC312" s="120" t="n"/>
      <c r="AD312" s="16" t="n"/>
      <c r="AE312" s="17" t="n"/>
      <c r="AF312" s="132">
        <f>DADOS_INVOC!$PV$99</f>
        <v/>
      </c>
      <c r="AG312" s="125" t="n"/>
      <c r="AH312" s="131" t="n">
        <v>1</v>
      </c>
      <c r="AI312" s="120" t="n"/>
      <c r="AJ312" s="16" t="n"/>
      <c r="AK312" s="17" t="n"/>
      <c r="AL312" s="132">
        <f>DADOS_INVOC!$PV$100</f>
        <v/>
      </c>
      <c r="AM312" s="125" t="n"/>
      <c r="AN312" s="131" t="n">
        <v>1</v>
      </c>
      <c r="AO312" s="120" t="n"/>
      <c r="AP312" s="16" t="n"/>
      <c r="AQ312" s="17" t="n"/>
      <c r="AR312" s="132">
        <f>DADOS_INVOC!$PV$101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90" t="inlineStr">
        <is>
          <t>Projétil</t>
        </is>
      </c>
      <c r="J317" s="17" t="n"/>
      <c r="K317" s="68">
        <f>DADOS_INVOC!$QC$21</f>
        <v/>
      </c>
      <c r="L317" s="17" t="n"/>
      <c r="M317" s="68">
        <f>DADOS_INVOC!$PY$21</f>
        <v/>
      </c>
      <c r="N317" s="125" t="n"/>
      <c r="O317" s="90" t="inlineStr">
        <is>
          <t>Projétil</t>
        </is>
      </c>
      <c r="P317" s="17" t="n"/>
      <c r="Q317" s="68">
        <f>DADOS_INVOC!$QC$22</f>
        <v/>
      </c>
      <c r="R317" s="17" t="n"/>
      <c r="S317" s="68">
        <f>DADOS_INVOC!$PY$22</f>
        <v/>
      </c>
      <c r="T317" s="125" t="n"/>
      <c r="U317" s="90" t="inlineStr">
        <is>
          <t>Projétil</t>
        </is>
      </c>
      <c r="V317" s="17" t="n"/>
      <c r="W317" s="68">
        <f>DADOS_INVOC!$QC$23</f>
        <v/>
      </c>
      <c r="X317" s="17" t="n"/>
      <c r="Y317" s="68">
        <f>DADOS_INVOC!$PY$23</f>
        <v/>
      </c>
      <c r="Z317" s="125" t="n"/>
      <c r="AB317" s="90" t="inlineStr">
        <is>
          <t>Projétil</t>
        </is>
      </c>
      <c r="AC317" s="17" t="n"/>
      <c r="AD317" s="68">
        <f>DADOS_INVOC!$QC$99</f>
        <v/>
      </c>
      <c r="AE317" s="17" t="n"/>
      <c r="AF317" s="68">
        <f>DADOS_INVOC!$PY$99</f>
        <v/>
      </c>
      <c r="AG317" s="125" t="n"/>
      <c r="AH317" s="90" t="inlineStr">
        <is>
          <t>Projétil</t>
        </is>
      </c>
      <c r="AI317" s="17" t="n"/>
      <c r="AJ317" s="68">
        <f>DADOS_INVOC!$QC$100</f>
        <v/>
      </c>
      <c r="AK317" s="17" t="n"/>
      <c r="AL317" s="68">
        <f>DADOS_INVOC!$PY$100</f>
        <v/>
      </c>
      <c r="AM317" s="125" t="n"/>
      <c r="AN317" s="90" t="inlineStr">
        <is>
          <t>Projétil</t>
        </is>
      </c>
      <c r="AO317" s="17" t="n"/>
      <c r="AP317" s="68">
        <f>DADOS_INVOC!$QC$101</f>
        <v/>
      </c>
      <c r="AQ317" s="17" t="n"/>
      <c r="AR317" s="68">
        <f>DADOS_INVOC!$PY$101</f>
        <v/>
      </c>
      <c r="AS317" s="125" t="n"/>
    </row>
    <row r="318" hidden="1" outlineLevel="2">
      <c r="A318" s="8" t="n"/>
      <c r="B318" s="14" t="n"/>
      <c r="C318" s="125" t="n"/>
      <c r="D318" s="125" t="n"/>
      <c r="E318" s="125" t="n"/>
      <c r="F318" s="125" t="n"/>
      <c r="G318" s="125" t="n"/>
      <c r="I318" s="90" t="n"/>
      <c r="J318" s="17" t="n"/>
      <c r="K318" s="90" t="n"/>
      <c r="L318" s="16" t="n"/>
      <c r="M318" s="17" t="n"/>
      <c r="N318" s="125" t="n"/>
      <c r="O318" s="90" t="n"/>
      <c r="P318" s="17" t="n"/>
      <c r="Q318" s="90" t="n"/>
      <c r="R318" s="16" t="n"/>
      <c r="S318" s="17" t="n"/>
      <c r="T318" s="125" t="n"/>
      <c r="U318" s="90" t="n"/>
      <c r="V318" s="17" t="n"/>
      <c r="W318" s="90" t="n"/>
      <c r="X318" s="16" t="n"/>
      <c r="Y318" s="17" t="n"/>
      <c r="Z318" s="125" t="n"/>
      <c r="AB318" s="90" t="n"/>
      <c r="AC318" s="17" t="n"/>
      <c r="AD318" s="90" t="n"/>
      <c r="AE318" s="16" t="n"/>
      <c r="AF318" s="17" t="n"/>
      <c r="AG318" s="125" t="n"/>
      <c r="AH318" s="90" t="n"/>
      <c r="AI318" s="17" t="n"/>
      <c r="AJ318" s="90" t="n"/>
      <c r="AK318" s="16" t="n"/>
      <c r="AL318" s="17" t="n"/>
      <c r="AM318" s="125" t="n"/>
      <c r="AN318" s="90" t="n"/>
      <c r="AO318" s="17" t="n"/>
      <c r="AP318" s="90" t="n"/>
      <c r="AQ318" s="16" t="n"/>
      <c r="AR318" s="17" t="n"/>
      <c r="AS318" s="125" t="n"/>
    </row>
    <row r="319" hidden="1" outlineLevel="2">
      <c r="A319" s="8" t="n"/>
      <c r="B319" s="14" t="n"/>
      <c r="C319" s="125" t="n"/>
      <c r="D319" s="125" t="n"/>
      <c r="E319" s="125" t="n"/>
      <c r="F319" s="125" t="n"/>
      <c r="G319" s="125" t="n"/>
      <c r="I319" s="90">
        <f>DADOS_INVOC!$PZ$21</f>
        <v/>
      </c>
      <c r="J319" s="17" t="n"/>
      <c r="K319" s="90">
        <f>DADOS_INVOC!$QB$21</f>
        <v/>
      </c>
      <c r="L319" s="16" t="n"/>
      <c r="M319" s="17" t="n"/>
      <c r="N319" s="125" t="n"/>
      <c r="O319" s="90">
        <f>DADOS_INVOC!$PZ$22</f>
        <v/>
      </c>
      <c r="P319" s="17" t="n"/>
      <c r="Q319" s="90">
        <f>DADOS_INVOC!$QB$22</f>
        <v/>
      </c>
      <c r="R319" s="16" t="n"/>
      <c r="S319" s="17" t="n"/>
      <c r="T319" s="125" t="n"/>
      <c r="U319" s="90">
        <f>DADOS_INVOC!$PZ$23</f>
        <v/>
      </c>
      <c r="V319" s="17" t="n"/>
      <c r="W319" s="90">
        <f>DADOS_INVOC!$QB$23</f>
        <v/>
      </c>
      <c r="X319" s="16" t="n"/>
      <c r="Y319" s="17" t="n"/>
      <c r="Z319" s="125" t="n"/>
      <c r="AB319" s="90">
        <f>DADOS_INVOC!$PZ$99</f>
        <v/>
      </c>
      <c r="AC319" s="17" t="n"/>
      <c r="AD319" s="90">
        <f>DADOS_INVOC!$QB$99</f>
        <v/>
      </c>
      <c r="AE319" s="16" t="n"/>
      <c r="AF319" s="17" t="n"/>
      <c r="AG319" s="125" t="n"/>
      <c r="AH319" s="90">
        <f>DADOS_INVOC!$PZ$100</f>
        <v/>
      </c>
      <c r="AI319" s="17" t="n"/>
      <c r="AJ319" s="90">
        <f>DADOS_INVOC!$QB$100</f>
        <v/>
      </c>
      <c r="AK319" s="16" t="n"/>
      <c r="AL319" s="17" t="n"/>
      <c r="AM319" s="125" t="n"/>
      <c r="AN319" s="90">
        <f>DADOS_INVOC!$PZ$101</f>
        <v/>
      </c>
      <c r="AO319" s="17" t="n"/>
      <c r="AP319" s="90">
        <f>DADOS_INVOC!$QB$101</f>
        <v/>
      </c>
      <c r="AQ319" s="16" t="n"/>
      <c r="AR319" s="17" t="n"/>
      <c r="AS319" s="125" t="n"/>
    </row>
    <row r="320" hidden="1" outlineLevel="2">
      <c r="A320" s="8" t="n"/>
      <c r="B320" s="14" t="n"/>
      <c r="C320" s="125" t="n"/>
      <c r="D320" s="125" t="n"/>
      <c r="E320" s="125" t="n"/>
      <c r="F320" s="125" t="n"/>
      <c r="G320" s="125" t="n"/>
      <c r="I320" s="133">
        <f>DADOS_INVOC!$QH$21</f>
        <v/>
      </c>
      <c r="J320" s="16" t="n"/>
      <c r="K320" s="16" t="n"/>
      <c r="L320" s="16" t="n"/>
      <c r="M320" s="17" t="n"/>
      <c r="N320" s="125" t="n"/>
      <c r="O320" s="133">
        <f>DADOS_INVOC!$QH$22</f>
        <v/>
      </c>
      <c r="P320" s="16" t="n"/>
      <c r="Q320" s="16" t="n"/>
      <c r="R320" s="16" t="n"/>
      <c r="S320" s="17" t="n"/>
      <c r="T320" s="125" t="n"/>
      <c r="U320" s="133">
        <f>DADOS_INVOC!$QH$23</f>
        <v/>
      </c>
      <c r="V320" s="16" t="n"/>
      <c r="W320" s="16" t="n"/>
      <c r="X320" s="16" t="n"/>
      <c r="Y320" s="17" t="n"/>
      <c r="Z320" s="125" t="n"/>
      <c r="AB320" s="133">
        <f>DADOS_INVOC!$QH$99</f>
        <v/>
      </c>
      <c r="AC320" s="16" t="n"/>
      <c r="AD320" s="16" t="n"/>
      <c r="AE320" s="16" t="n"/>
      <c r="AF320" s="17" t="n"/>
      <c r="AG320" s="125" t="n"/>
      <c r="AH320" s="133">
        <f>DADOS_INVOC!$QH$100</f>
        <v/>
      </c>
      <c r="AI320" s="16" t="n"/>
      <c r="AJ320" s="16" t="n"/>
      <c r="AK320" s="16" t="n"/>
      <c r="AL320" s="17" t="n"/>
      <c r="AM320" s="125" t="n"/>
      <c r="AN320" s="133">
        <f>DADOS_INVOC!$QH$101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DADOS_INVOC!$QK$21</f>
        <v/>
      </c>
      <c r="N321" s="125" t="n"/>
      <c r="O321" s="55" t="inlineStr">
        <is>
          <t>MELHORIAS</t>
        </is>
      </c>
      <c r="P321" s="134" t="n"/>
      <c r="Q321" s="16" t="n"/>
      <c r="R321" s="17" t="n"/>
      <c r="S321" s="133">
        <f>DADOS_INVOC!$QK$22</f>
        <v/>
      </c>
      <c r="T321" s="125" t="n"/>
      <c r="U321" s="55" t="inlineStr">
        <is>
          <t>MELHORIAS</t>
        </is>
      </c>
      <c r="V321" s="134" t="n"/>
      <c r="W321" s="16" t="n"/>
      <c r="X321" s="17" t="n"/>
      <c r="Y321" s="133">
        <f>DADOS_INVOC!$QK$23</f>
        <v/>
      </c>
      <c r="Z321" s="125" t="n"/>
      <c r="AB321" s="55" t="inlineStr">
        <is>
          <t>MELHORIAS</t>
        </is>
      </c>
      <c r="AC321" s="134" t="n"/>
      <c r="AD321" s="16" t="n"/>
      <c r="AE321" s="17" t="n"/>
      <c r="AF321" s="133">
        <f>DADOS_INVOC!$QK$99</f>
        <v/>
      </c>
      <c r="AG321" s="125" t="n"/>
      <c r="AH321" s="55" t="inlineStr">
        <is>
          <t>MELHORIAS</t>
        </is>
      </c>
      <c r="AI321" s="134" t="n"/>
      <c r="AJ321" s="16" t="n"/>
      <c r="AK321" s="17" t="n"/>
      <c r="AL321" s="133">
        <f>DADOS_INVOC!$QK$100</f>
        <v/>
      </c>
      <c r="AM321" s="125" t="n"/>
      <c r="AN321" s="55" t="inlineStr">
        <is>
          <t>MELHORIAS</t>
        </is>
      </c>
      <c r="AO321" s="134" t="n"/>
      <c r="AP321" s="16" t="n"/>
      <c r="AQ321" s="17" t="n"/>
      <c r="AR321" s="133">
        <f>DADOS_INVOC!$QK$101</f>
        <v/>
      </c>
      <c r="AS321" s="125" t="n"/>
    </row>
    <row r="322" hidden="1" outlineLevel="3">
      <c r="A322" s="8" t="n"/>
      <c r="B322" s="14" t="n"/>
      <c r="C322" s="125" t="n"/>
      <c r="D322" s="125" t="n"/>
      <c r="E322" s="125" t="n"/>
      <c r="F322" s="125" t="n"/>
      <c r="G322" s="125" t="n"/>
      <c r="I322" s="135" t="n"/>
      <c r="J322" s="134" t="n"/>
      <c r="K322" s="16" t="n"/>
      <c r="L322" s="17" t="n"/>
      <c r="M322" s="133">
        <f>DADOS_INVOC!$QL$21</f>
        <v/>
      </c>
      <c r="N322" s="125" t="n"/>
      <c r="O322" s="135" t="n"/>
      <c r="P322" s="134" t="n"/>
      <c r="Q322" s="16" t="n"/>
      <c r="R322" s="17" t="n"/>
      <c r="S322" s="133">
        <f>DADOS_INVOC!$QL$22</f>
        <v/>
      </c>
      <c r="T322" s="125" t="n"/>
      <c r="U322" s="135" t="n"/>
      <c r="V322" s="134" t="n"/>
      <c r="W322" s="16" t="n"/>
      <c r="X322" s="17" t="n"/>
      <c r="Y322" s="133">
        <f>DADOS_INVOC!$QL$23</f>
        <v/>
      </c>
      <c r="Z322" s="125" t="n"/>
      <c r="AB322" s="135" t="n"/>
      <c r="AC322" s="134" t="n"/>
      <c r="AD322" s="16" t="n"/>
      <c r="AE322" s="17" t="n"/>
      <c r="AF322" s="133">
        <f>DADOS_INVOC!$QL$99</f>
        <v/>
      </c>
      <c r="AG322" s="125" t="n"/>
      <c r="AH322" s="135" t="n"/>
      <c r="AI322" s="134" t="n"/>
      <c r="AJ322" s="16" t="n"/>
      <c r="AK322" s="17" t="n"/>
      <c r="AL322" s="133">
        <f>DADOS_INVOC!$QL$100</f>
        <v/>
      </c>
      <c r="AM322" s="125" t="n"/>
      <c r="AN322" s="135" t="n"/>
      <c r="AO322" s="134" t="n"/>
      <c r="AP322" s="16" t="n"/>
      <c r="AQ322" s="17" t="n"/>
      <c r="AR322" s="133">
        <f>DADOS_INVOC!$QL$101</f>
        <v/>
      </c>
      <c r="AS322" s="125" t="n"/>
    </row>
    <row r="323" hidden="1" outlineLevel="3">
      <c r="A323" s="8" t="n"/>
      <c r="B323" s="14" t="n"/>
      <c r="C323" s="125" t="n"/>
      <c r="D323" s="125" t="n"/>
      <c r="E323" s="125" t="n"/>
      <c r="F323" s="125" t="n"/>
      <c r="G323" s="125" t="n"/>
      <c r="I323" s="135" t="n"/>
      <c r="J323" s="134" t="n"/>
      <c r="K323" s="16" t="n"/>
      <c r="L323" s="17" t="n"/>
      <c r="M323" s="133">
        <f>DADOS_INVOC!$QM$21</f>
        <v/>
      </c>
      <c r="N323" s="125" t="n"/>
      <c r="O323" s="135" t="n"/>
      <c r="P323" s="134" t="n"/>
      <c r="Q323" s="16" t="n"/>
      <c r="R323" s="17" t="n"/>
      <c r="S323" s="133">
        <f>DADOS_INVOC!$QM$22</f>
        <v/>
      </c>
      <c r="T323" s="125" t="n"/>
      <c r="U323" s="135" t="n"/>
      <c r="V323" s="134" t="n"/>
      <c r="W323" s="16" t="n"/>
      <c r="X323" s="17" t="n"/>
      <c r="Y323" s="133">
        <f>DADOS_INVOC!$QM$23</f>
        <v/>
      </c>
      <c r="Z323" s="125" t="n"/>
      <c r="AB323" s="135" t="n"/>
      <c r="AC323" s="134" t="n"/>
      <c r="AD323" s="16" t="n"/>
      <c r="AE323" s="17" t="n"/>
      <c r="AF323" s="133">
        <f>DADOS_INVOC!$QM$99</f>
        <v/>
      </c>
      <c r="AG323" s="125" t="n"/>
      <c r="AH323" s="135" t="n"/>
      <c r="AI323" s="134" t="n"/>
      <c r="AJ323" s="16" t="n"/>
      <c r="AK323" s="17" t="n"/>
      <c r="AL323" s="133">
        <f>DADOS_INVOC!$QM$100</f>
        <v/>
      </c>
      <c r="AM323" s="125" t="n"/>
      <c r="AN323" s="135" t="n"/>
      <c r="AO323" s="134" t="n"/>
      <c r="AP323" s="16" t="n"/>
      <c r="AQ323" s="17" t="n"/>
      <c r="AR323" s="133">
        <f>DADOS_INVOC!$QM$101</f>
        <v/>
      </c>
      <c r="AS323" s="125" t="n"/>
    </row>
    <row r="324" hidden="1" outlineLevel="3">
      <c r="A324" s="8" t="n"/>
      <c r="B324" s="14" t="n"/>
      <c r="C324" s="125" t="n"/>
      <c r="D324" s="125" t="n"/>
      <c r="E324" s="125" t="n"/>
      <c r="F324" s="125" t="n"/>
      <c r="G324" s="125" t="n"/>
      <c r="I324" s="129" t="n"/>
      <c r="J324" s="134" t="n"/>
      <c r="K324" s="16" t="n"/>
      <c r="L324" s="17" t="n"/>
      <c r="M324" s="133">
        <f>DADOS_INVOC!$QN$21</f>
        <v/>
      </c>
      <c r="N324" s="125" t="n"/>
      <c r="O324" s="129" t="n"/>
      <c r="P324" s="134" t="n"/>
      <c r="Q324" s="16" t="n"/>
      <c r="R324" s="17" t="n"/>
      <c r="S324" s="133">
        <f>DADOS_INVOC!$QN$22</f>
        <v/>
      </c>
      <c r="T324" s="125" t="n"/>
      <c r="U324" s="129" t="n"/>
      <c r="V324" s="134" t="n"/>
      <c r="W324" s="16" t="n"/>
      <c r="X324" s="17" t="n"/>
      <c r="Y324" s="133">
        <f>DADOS_INVOC!$QN$23</f>
        <v/>
      </c>
      <c r="Z324" s="125" t="n"/>
      <c r="AB324" s="129" t="n"/>
      <c r="AC324" s="134" t="n"/>
      <c r="AD324" s="16" t="n"/>
      <c r="AE324" s="17" t="n"/>
      <c r="AF324" s="133">
        <f>DADOS_INVOC!$QN$99</f>
        <v/>
      </c>
      <c r="AG324" s="125" t="n"/>
      <c r="AH324" s="129" t="n"/>
      <c r="AI324" s="134" t="n"/>
      <c r="AJ324" s="16" t="n"/>
      <c r="AK324" s="17" t="n"/>
      <c r="AL324" s="133">
        <f>DADOS_INVOC!$QN$100</f>
        <v/>
      </c>
      <c r="AM324" s="125" t="n"/>
      <c r="AN324" s="129" t="n"/>
      <c r="AO324" s="134" t="n"/>
      <c r="AP324" s="16" t="n"/>
      <c r="AQ324" s="17" t="n"/>
      <c r="AR324" s="133">
        <f>DADOS_INVOC!$QN$101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DADOS_INVOC!$QO$21</f>
        <v/>
      </c>
      <c r="N325" s="125" t="n"/>
      <c r="O325" s="55" t="inlineStr">
        <is>
          <t>RESTRIÇÕES</t>
        </is>
      </c>
      <c r="P325" s="134" t="n"/>
      <c r="Q325" s="16" t="n"/>
      <c r="R325" s="17" t="n"/>
      <c r="S325" s="133">
        <f>DADOS_INVOC!$QO$22</f>
        <v/>
      </c>
      <c r="T325" s="125" t="n"/>
      <c r="U325" s="55" t="inlineStr">
        <is>
          <t>RESTRIÇÕES</t>
        </is>
      </c>
      <c r="V325" s="134" t="n"/>
      <c r="W325" s="16" t="n"/>
      <c r="X325" s="17" t="n"/>
      <c r="Y325" s="133">
        <f>DADOS_INVOC!$QO$23</f>
        <v/>
      </c>
      <c r="Z325" s="125" t="n"/>
      <c r="AB325" s="55" t="inlineStr">
        <is>
          <t>RESTRIÇÕES</t>
        </is>
      </c>
      <c r="AC325" s="134" t="n"/>
      <c r="AD325" s="16" t="n"/>
      <c r="AE325" s="17" t="n"/>
      <c r="AF325" s="133">
        <f>DADOS_INVOC!$QO$99</f>
        <v/>
      </c>
      <c r="AG325" s="125" t="n"/>
      <c r="AH325" s="55" t="inlineStr">
        <is>
          <t>RESTRIÇÕES</t>
        </is>
      </c>
      <c r="AI325" s="134" t="n"/>
      <c r="AJ325" s="16" t="n"/>
      <c r="AK325" s="17" t="n"/>
      <c r="AL325" s="133">
        <f>DADOS_INVOC!$QO$100</f>
        <v/>
      </c>
      <c r="AM325" s="125" t="n"/>
      <c r="AN325" s="55" t="inlineStr">
        <is>
          <t>RESTRIÇÕES</t>
        </is>
      </c>
      <c r="AO325" s="134" t="n"/>
      <c r="AP325" s="16" t="n"/>
      <c r="AQ325" s="17" t="n"/>
      <c r="AR325" s="133">
        <f>DADOS_INVOC!$QO$101</f>
        <v/>
      </c>
      <c r="AS325" s="125" t="n"/>
    </row>
    <row r="326" hidden="1" outlineLevel="3">
      <c r="A326" s="8" t="n"/>
      <c r="B326" s="14" t="n"/>
      <c r="C326" s="125" t="n"/>
      <c r="D326" s="125" t="n"/>
      <c r="E326" s="125" t="n"/>
      <c r="F326" s="125" t="n"/>
      <c r="G326" s="125" t="n"/>
      <c r="I326" s="129" t="n"/>
      <c r="J326" s="134" t="n"/>
      <c r="K326" s="16" t="n"/>
      <c r="L326" s="17" t="n"/>
      <c r="M326" s="133">
        <f>DADOS_INVOC!$QP$21</f>
        <v/>
      </c>
      <c r="N326" s="125" t="n"/>
      <c r="O326" s="129" t="n"/>
      <c r="P326" s="134" t="n"/>
      <c r="Q326" s="16" t="n"/>
      <c r="R326" s="17" t="n"/>
      <c r="S326" s="133">
        <f>DADOS_INVOC!$QP$22</f>
        <v/>
      </c>
      <c r="T326" s="125" t="n"/>
      <c r="U326" s="129" t="n"/>
      <c r="V326" s="134" t="n"/>
      <c r="W326" s="16" t="n"/>
      <c r="X326" s="17" t="n"/>
      <c r="Y326" s="133">
        <f>DADOS_INVOC!$QP$23</f>
        <v/>
      </c>
      <c r="Z326" s="125" t="n"/>
      <c r="AB326" s="129" t="n"/>
      <c r="AC326" s="134" t="n"/>
      <c r="AD326" s="16" t="n"/>
      <c r="AE326" s="17" t="n"/>
      <c r="AF326" s="133">
        <f>DADOS_INVOC!$QP$99</f>
        <v/>
      </c>
      <c r="AG326" s="125" t="n"/>
      <c r="AH326" s="129" t="n"/>
      <c r="AI326" s="134" t="n"/>
      <c r="AJ326" s="16" t="n"/>
      <c r="AK326" s="17" t="n"/>
      <c r="AL326" s="133">
        <f>DADOS_INVOC!$QP$100</f>
        <v/>
      </c>
      <c r="AM326" s="125" t="n"/>
      <c r="AN326" s="129" t="n"/>
      <c r="AO326" s="134" t="n"/>
      <c r="AP326" s="16" t="n"/>
      <c r="AQ326" s="17" t="n"/>
      <c r="AR326" s="133">
        <f>DADOS_INVOC!$QP$101</f>
        <v/>
      </c>
      <c r="AS326" s="125" t="n"/>
    </row>
    <row r="327" hidden="1" outlineLevel="3">
      <c r="A327" s="8" t="n"/>
      <c r="B327" s="14" t="n"/>
      <c r="C327" s="125" t="n"/>
      <c r="D327" s="125" t="n"/>
      <c r="E327" s="125" t="n"/>
      <c r="F327" s="125" t="n"/>
      <c r="G327" s="125" t="n"/>
      <c r="I327" s="55" t="inlineStr">
        <is>
          <t>CONTA</t>
        </is>
      </c>
      <c r="J327" s="136">
        <f>DADOS_INVOC!$QI$21</f>
        <v/>
      </c>
      <c r="K327" s="16" t="n"/>
      <c r="L327" s="16" t="n"/>
      <c r="M327" s="17" t="n"/>
      <c r="N327" s="125" t="n"/>
      <c r="O327" s="55" t="inlineStr">
        <is>
          <t>CONTA</t>
        </is>
      </c>
      <c r="P327" s="136">
        <f>DADOS_INVOC!$QI$22</f>
        <v/>
      </c>
      <c r="Q327" s="16" t="n"/>
      <c r="R327" s="16" t="n"/>
      <c r="S327" s="17" t="n"/>
      <c r="T327" s="125" t="n"/>
      <c r="U327" s="55" t="inlineStr">
        <is>
          <t>CONTA</t>
        </is>
      </c>
      <c r="V327" s="136">
        <f>DADOS_INVOC!$QI$23</f>
        <v/>
      </c>
      <c r="W327" s="16" t="n"/>
      <c r="X327" s="16" t="n"/>
      <c r="Y327" s="17" t="n"/>
      <c r="Z327" s="125" t="n"/>
      <c r="AB327" s="55" t="inlineStr">
        <is>
          <t>CONTA</t>
        </is>
      </c>
      <c r="AC327" s="136">
        <f>DADOS_INVOC!$QI$99</f>
        <v/>
      </c>
      <c r="AD327" s="16" t="n"/>
      <c r="AE327" s="16" t="n"/>
      <c r="AF327" s="17" t="n"/>
      <c r="AG327" s="125" t="n"/>
      <c r="AH327" s="55" t="inlineStr">
        <is>
          <t>CONTA</t>
        </is>
      </c>
      <c r="AI327" s="136">
        <f>DADOS_INVOC!$QI$100</f>
        <v/>
      </c>
      <c r="AJ327" s="16" t="n"/>
      <c r="AK327" s="16" t="n"/>
      <c r="AL327" s="17" t="n"/>
      <c r="AM327" s="125" t="n"/>
      <c r="AN327" s="55" t="inlineStr">
        <is>
          <t>CONTA</t>
        </is>
      </c>
      <c r="AO327" s="136">
        <f>DADOS_INVOC!$QI$101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DADOS_INVOC!$QJ$21</f>
        <v/>
      </c>
      <c r="K328" s="19" t="n"/>
      <c r="L328" s="19" t="n"/>
      <c r="M328" s="20" t="n"/>
      <c r="N328" s="125" t="n"/>
      <c r="O328" s="55" t="inlineStr">
        <is>
          <t>AMPLIAR</t>
        </is>
      </c>
      <c r="P328" s="136">
        <f>DADOS_INVOC!$QJ$22</f>
        <v/>
      </c>
      <c r="Q328" s="19" t="n"/>
      <c r="R328" s="19" t="n"/>
      <c r="S328" s="20" t="n"/>
      <c r="T328" s="125" t="n"/>
      <c r="U328" s="55" t="inlineStr">
        <is>
          <t>AMPLIAR</t>
        </is>
      </c>
      <c r="V328" s="136">
        <f>DADOS_INVOC!$QJ$23</f>
        <v/>
      </c>
      <c r="W328" s="19" t="n"/>
      <c r="X328" s="19" t="n"/>
      <c r="Y328" s="20" t="n"/>
      <c r="Z328" s="125" t="n"/>
      <c r="AB328" s="55" t="inlineStr">
        <is>
          <t>AMPLIAR</t>
        </is>
      </c>
      <c r="AC328" s="136">
        <f>DADOS_INVOC!$QJ$99</f>
        <v/>
      </c>
      <c r="AD328" s="19" t="n"/>
      <c r="AE328" s="19" t="n"/>
      <c r="AF328" s="20" t="n"/>
      <c r="AG328" s="125" t="n"/>
      <c r="AH328" s="55" t="inlineStr">
        <is>
          <t>AMPLIAR</t>
        </is>
      </c>
      <c r="AI328" s="136">
        <f>DADOS_INVOC!$QJ$100</f>
        <v/>
      </c>
      <c r="AJ328" s="19" t="n"/>
      <c r="AK328" s="19" t="n"/>
      <c r="AL328" s="20" t="n"/>
      <c r="AM328" s="125" t="n"/>
      <c r="AN328" s="55" t="inlineStr">
        <is>
          <t>AMPLIAR</t>
        </is>
      </c>
      <c r="AO328" s="136">
        <f>DADOS_INVOC!$QJ$101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DADOS_INVOC!$PW$21</f>
        <v/>
      </c>
      <c r="J330" s="19" t="n"/>
      <c r="K330" s="19" t="n"/>
      <c r="L330" s="19" t="n"/>
      <c r="M330" s="20" t="n"/>
      <c r="N330" s="125" t="n"/>
      <c r="O330" s="136">
        <f>DADOS_INVOC!$PW$22</f>
        <v/>
      </c>
      <c r="P330" s="19" t="n"/>
      <c r="Q330" s="19" t="n"/>
      <c r="R330" s="19" t="n"/>
      <c r="S330" s="20" t="n"/>
      <c r="T330" s="125" t="n"/>
      <c r="U330" s="136">
        <f>DADOS_INVOC!$PW$23</f>
        <v/>
      </c>
      <c r="V330" s="19" t="n"/>
      <c r="W330" s="19" t="n"/>
      <c r="X330" s="19" t="n"/>
      <c r="Y330" s="20" t="n"/>
      <c r="Z330" s="125" t="n"/>
      <c r="AB330" s="136">
        <f>DADOS_INVOC!$PW$99</f>
        <v/>
      </c>
      <c r="AC330" s="19" t="n"/>
      <c r="AD330" s="19" t="n"/>
      <c r="AE330" s="19" t="n"/>
      <c r="AF330" s="20" t="n"/>
      <c r="AG330" s="125" t="n"/>
      <c r="AH330" s="136">
        <f>DADOS_INVOC!$PW$100</f>
        <v/>
      </c>
      <c r="AI330" s="19" t="n"/>
      <c r="AJ330" s="19" t="n"/>
      <c r="AK330" s="19" t="n"/>
      <c r="AL330" s="20" t="n"/>
      <c r="AM330" s="125" t="n"/>
      <c r="AN330" s="136">
        <f>DADOS_INVOC!$PW$101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DADOS_INVOC!$PX$24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DADOS_INVOC!$PX$102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DADOS_INVOC!$PV$24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DADOS_INVOC!$PV$102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90" t="inlineStr">
        <is>
          <t>Projétil</t>
        </is>
      </c>
      <c r="J339" s="17" t="n"/>
      <c r="K339" s="68">
        <f>DADOS_INVOC!$QC$24</f>
        <v/>
      </c>
      <c r="L339" s="17" t="n"/>
      <c r="M339" s="68">
        <f>DADOS_INVOC!$PY$24</f>
        <v/>
      </c>
      <c r="N339" s="125" t="n"/>
      <c r="O339" s="125" t="n"/>
      <c r="P339" s="125" t="n"/>
      <c r="Q339" s="125" t="n"/>
      <c r="R339" s="125" t="n"/>
      <c r="S339" s="125" t="n"/>
      <c r="T339" s="125" t="n"/>
      <c r="U339" s="125" t="n"/>
      <c r="V339" s="125" t="n"/>
      <c r="W339" s="125" t="n"/>
      <c r="X339" s="125" t="n"/>
      <c r="Y339" s="125" t="n"/>
      <c r="Z339" s="125" t="n"/>
      <c r="AB339" s="90" t="inlineStr">
        <is>
          <t>Projétil</t>
        </is>
      </c>
      <c r="AC339" s="17" t="n"/>
      <c r="AD339" s="68">
        <f>DADOS_INVOC!$QC$102</f>
        <v/>
      </c>
      <c r="AE339" s="17" t="n"/>
      <c r="AF339" s="68">
        <f>DADOS_INVOC!$PY$102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90" t="n"/>
      <c r="J340" s="17" t="n"/>
      <c r="K340" s="90" t="n"/>
      <c r="L340" s="16" t="n"/>
      <c r="M340" s="17" t="n"/>
      <c r="N340" s="125" t="n"/>
      <c r="O340" s="125" t="n"/>
      <c r="P340" s="125" t="n"/>
      <c r="Q340" s="125" t="n"/>
      <c r="R340" s="125" t="n"/>
      <c r="S340" s="125" t="n"/>
      <c r="T340" s="125" t="n"/>
      <c r="U340" s="125" t="n"/>
      <c r="V340" s="125" t="n"/>
      <c r="W340" s="125" t="n"/>
      <c r="X340" s="125" t="n"/>
      <c r="Y340" s="125" t="n"/>
      <c r="Z340" s="125" t="n"/>
      <c r="AB340" s="90" t="n"/>
      <c r="AC340" s="17" t="n"/>
      <c r="AD340" s="90"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90">
        <f>DADOS_INVOC!$PZ$24</f>
        <v/>
      </c>
      <c r="J341" s="17" t="n"/>
      <c r="K341" s="90">
        <f>DADOS_INVOC!$QB$24</f>
        <v/>
      </c>
      <c r="L341" s="16" t="n"/>
      <c r="M341" s="17" t="n"/>
      <c r="N341" s="125" t="n"/>
      <c r="O341" s="125" t="n"/>
      <c r="P341" s="125" t="n"/>
      <c r="Q341" s="125" t="n"/>
      <c r="R341" s="125" t="n"/>
      <c r="S341" s="125" t="n"/>
      <c r="T341" s="125" t="n"/>
      <c r="U341" s="125" t="n"/>
      <c r="V341" s="125" t="n"/>
      <c r="W341" s="125" t="n"/>
      <c r="X341" s="125" t="n"/>
      <c r="Y341" s="125" t="n"/>
      <c r="Z341" s="125" t="n"/>
      <c r="AB341" s="90">
        <f>DADOS_INVOC!$PZ$102</f>
        <v/>
      </c>
      <c r="AC341" s="17" t="n"/>
      <c r="AD341" s="90">
        <f>DADOS_INVOC!$QB$102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DADOS_INVOC!$QH$24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DADOS_INVOC!$QH$102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DADOS_INVOC!$QK$24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DADOS_INVOC!$QK$102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DADOS_INVOC!$QL$24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DADOS_INVOC!$QL$102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DADOS_INVOC!$QM$24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DADOS_INVOC!$QM$102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DADOS_INVOC!$QN$24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DADOS_INVOC!$QN$102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DADOS_INVOC!$QO$24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DADOS_INVOC!$QO$102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DADOS_INVOC!$QP$24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DADOS_INVOC!$QP$102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DADOS_INVOC!$QI$24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DADOS_INVOC!$QI$102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DADOS_INVOC!$QJ$24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DADOS_INVOC!$QJ$102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DADOS_INVOC!$PW$24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DADOS_INVOC!$PW$102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DADOS_INVOC!$PX$25</f>
        <v/>
      </c>
      <c r="J357" s="16" t="n"/>
      <c r="K357" s="16" t="n"/>
      <c r="L357" s="16" t="n"/>
      <c r="M357" s="17" t="n"/>
      <c r="N357" s="125" t="n"/>
      <c r="O357" s="55">
        <f>DADOS_INVOC!$PX$26</f>
        <v/>
      </c>
      <c r="P357" s="16" t="n"/>
      <c r="Q357" s="16" t="n"/>
      <c r="R357" s="16" t="n"/>
      <c r="S357" s="17" t="n"/>
      <c r="T357" s="125" t="n"/>
      <c r="U357" s="55">
        <f>DADOS_INVOC!$PX$27</f>
        <v/>
      </c>
      <c r="V357" s="16" t="n"/>
      <c r="W357" s="16" t="n"/>
      <c r="X357" s="16" t="n"/>
      <c r="Y357" s="17" t="n"/>
      <c r="Z357" s="125" t="n"/>
      <c r="AB357" s="55">
        <f>DADOS_INVOC!$PX$103</f>
        <v/>
      </c>
      <c r="AC357" s="16" t="n"/>
      <c r="AD357" s="16" t="n"/>
      <c r="AE357" s="16" t="n"/>
      <c r="AF357" s="17" t="n"/>
      <c r="AG357" s="125" t="n"/>
      <c r="AH357" s="55">
        <f>DADOS_INVOC!$PX$104</f>
        <v/>
      </c>
      <c r="AI357" s="16" t="n"/>
      <c r="AJ357" s="16" t="n"/>
      <c r="AK357" s="16" t="n"/>
      <c r="AL357" s="17" t="n"/>
      <c r="AM357" s="125" t="n"/>
      <c r="AN357" s="55">
        <f>DADOS_INVOC!$PX$105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DADOS_INVOC!$PV$25</f>
        <v/>
      </c>
      <c r="N358" s="125" t="n"/>
      <c r="O358" s="131" t="n">
        <v>1</v>
      </c>
      <c r="P358" s="120" t="n"/>
      <c r="Q358" s="16" t="n"/>
      <c r="R358" s="17" t="n"/>
      <c r="S358" s="132">
        <f>DADOS_INVOC!$PV$26</f>
        <v/>
      </c>
      <c r="T358" s="125" t="n"/>
      <c r="U358" s="131" t="n">
        <v>1</v>
      </c>
      <c r="V358" s="120" t="n"/>
      <c r="W358" s="16" t="n"/>
      <c r="X358" s="17" t="n"/>
      <c r="Y358" s="132">
        <f>DADOS_INVOC!$PV$27</f>
        <v/>
      </c>
      <c r="Z358" s="125" t="n"/>
      <c r="AB358" s="131" t="n">
        <v>1</v>
      </c>
      <c r="AC358" s="120" t="n"/>
      <c r="AD358" s="16" t="n"/>
      <c r="AE358" s="17" t="n"/>
      <c r="AF358" s="132">
        <f>DADOS_INVOC!$PV$103</f>
        <v/>
      </c>
      <c r="AG358" s="125" t="n"/>
      <c r="AH358" s="131" t="n">
        <v>1</v>
      </c>
      <c r="AI358" s="120" t="n"/>
      <c r="AJ358" s="16" t="n"/>
      <c r="AK358" s="17" t="n"/>
      <c r="AL358" s="132">
        <f>DADOS_INVOC!$PV$104</f>
        <v/>
      </c>
      <c r="AM358" s="125" t="n"/>
      <c r="AN358" s="131" t="n">
        <v>1</v>
      </c>
      <c r="AO358" s="120" t="n"/>
      <c r="AP358" s="16" t="n"/>
      <c r="AQ358" s="17" t="n"/>
      <c r="AR358" s="132">
        <f>DADOS_INVOC!$PV$105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90" t="inlineStr">
        <is>
          <t>Projétil</t>
        </is>
      </c>
      <c r="J363" s="17" t="n"/>
      <c r="K363" s="68">
        <f>DADOS_INVOC!$QC$25</f>
        <v/>
      </c>
      <c r="L363" s="17" t="n"/>
      <c r="M363" s="68">
        <f>DADOS_INVOC!$PY$25</f>
        <v/>
      </c>
      <c r="N363" s="125" t="n"/>
      <c r="O363" s="90" t="inlineStr">
        <is>
          <t>Projétil</t>
        </is>
      </c>
      <c r="P363" s="17" t="n"/>
      <c r="Q363" s="68">
        <f>DADOS_INVOC!$QC$26</f>
        <v/>
      </c>
      <c r="R363" s="17" t="n"/>
      <c r="S363" s="68">
        <f>DADOS_INVOC!$PY$26</f>
        <v/>
      </c>
      <c r="T363" s="125" t="n"/>
      <c r="U363" s="90" t="inlineStr">
        <is>
          <t>Projétil</t>
        </is>
      </c>
      <c r="V363" s="17" t="n"/>
      <c r="W363" s="68">
        <f>DADOS_INVOC!$QC$27</f>
        <v/>
      </c>
      <c r="X363" s="17" t="n"/>
      <c r="Y363" s="68">
        <f>DADOS_INVOC!$PY$27</f>
        <v/>
      </c>
      <c r="Z363" s="125" t="n"/>
      <c r="AB363" s="90" t="inlineStr">
        <is>
          <t>Projétil</t>
        </is>
      </c>
      <c r="AC363" s="17" t="n"/>
      <c r="AD363" s="68">
        <f>DADOS_INVOC!$QC$103</f>
        <v/>
      </c>
      <c r="AE363" s="17" t="n"/>
      <c r="AF363" s="68">
        <f>DADOS_INVOC!$PY$103</f>
        <v/>
      </c>
      <c r="AG363" s="125" t="n"/>
      <c r="AH363" s="90" t="inlineStr">
        <is>
          <t>Projétil</t>
        </is>
      </c>
      <c r="AI363" s="17" t="n"/>
      <c r="AJ363" s="68">
        <f>DADOS_INVOC!$QC$104</f>
        <v/>
      </c>
      <c r="AK363" s="17" t="n"/>
      <c r="AL363" s="68">
        <f>DADOS_INVOC!$PY$104</f>
        <v/>
      </c>
      <c r="AM363" s="125" t="n"/>
      <c r="AN363" s="90" t="inlineStr">
        <is>
          <t>Projétil</t>
        </is>
      </c>
      <c r="AO363" s="17" t="n"/>
      <c r="AP363" s="68">
        <f>DADOS_INVOC!$QC$105</f>
        <v/>
      </c>
      <c r="AQ363" s="17" t="n"/>
      <c r="AR363" s="68">
        <f>DADOS_INVOC!$PY$105</f>
        <v/>
      </c>
      <c r="AS363" s="125" t="n"/>
    </row>
    <row r="364" hidden="1" outlineLevel="2">
      <c r="A364" s="8" t="n"/>
      <c r="B364" s="14" t="n"/>
      <c r="C364" s="125" t="n"/>
      <c r="D364" s="125" t="n"/>
      <c r="E364" s="125" t="n"/>
      <c r="F364" s="125" t="n"/>
      <c r="G364" s="125" t="n"/>
      <c r="I364" s="90" t="n"/>
      <c r="J364" s="17" t="n"/>
      <c r="K364" s="90" t="n"/>
      <c r="L364" s="16" t="n"/>
      <c r="M364" s="17" t="n"/>
      <c r="N364" s="125" t="n"/>
      <c r="O364" s="90" t="n"/>
      <c r="P364" s="17" t="n"/>
      <c r="Q364" s="90" t="n"/>
      <c r="R364" s="16" t="n"/>
      <c r="S364" s="17" t="n"/>
      <c r="T364" s="125" t="n"/>
      <c r="U364" s="90" t="n"/>
      <c r="V364" s="17" t="n"/>
      <c r="W364" s="90" t="n"/>
      <c r="X364" s="16" t="n"/>
      <c r="Y364" s="17" t="n"/>
      <c r="Z364" s="125" t="n"/>
      <c r="AB364" s="90" t="n"/>
      <c r="AC364" s="17" t="n"/>
      <c r="AD364" s="90" t="n"/>
      <c r="AE364" s="16" t="n"/>
      <c r="AF364" s="17" t="n"/>
      <c r="AG364" s="125" t="n"/>
      <c r="AH364" s="90" t="n"/>
      <c r="AI364" s="17" t="n"/>
      <c r="AJ364" s="90" t="n"/>
      <c r="AK364" s="16" t="n"/>
      <c r="AL364" s="17" t="n"/>
      <c r="AM364" s="125" t="n"/>
      <c r="AN364" s="90" t="n"/>
      <c r="AO364" s="17" t="n"/>
      <c r="AP364" s="90" t="n"/>
      <c r="AQ364" s="16" t="n"/>
      <c r="AR364" s="17" t="n"/>
      <c r="AS364" s="125" t="n"/>
    </row>
    <row r="365" hidden="1" outlineLevel="2">
      <c r="A365" s="8" t="n"/>
      <c r="B365" s="14" t="n"/>
      <c r="C365" s="125" t="n"/>
      <c r="D365" s="125" t="n"/>
      <c r="E365" s="125" t="n"/>
      <c r="F365" s="125" t="n"/>
      <c r="G365" s="125" t="n"/>
      <c r="I365" s="90">
        <f>DADOS_INVOC!$PZ$25</f>
        <v/>
      </c>
      <c r="J365" s="17" t="n"/>
      <c r="K365" s="90">
        <f>DADOS_INVOC!$QB$25</f>
        <v/>
      </c>
      <c r="L365" s="16" t="n"/>
      <c r="M365" s="17" t="n"/>
      <c r="N365" s="125" t="n"/>
      <c r="O365" s="90">
        <f>DADOS_INVOC!$PZ$26</f>
        <v/>
      </c>
      <c r="P365" s="17" t="n"/>
      <c r="Q365" s="90">
        <f>DADOS_INVOC!$QB$26</f>
        <v/>
      </c>
      <c r="R365" s="16" t="n"/>
      <c r="S365" s="17" t="n"/>
      <c r="T365" s="125" t="n"/>
      <c r="U365" s="90">
        <f>DADOS_INVOC!$PZ$27</f>
        <v/>
      </c>
      <c r="V365" s="17" t="n"/>
      <c r="W365" s="90">
        <f>DADOS_INVOC!$QB$27</f>
        <v/>
      </c>
      <c r="X365" s="16" t="n"/>
      <c r="Y365" s="17" t="n"/>
      <c r="Z365" s="125" t="n"/>
      <c r="AB365" s="90">
        <f>DADOS_INVOC!$PZ$103</f>
        <v/>
      </c>
      <c r="AC365" s="17" t="n"/>
      <c r="AD365" s="90">
        <f>DADOS_INVOC!$QB$103</f>
        <v/>
      </c>
      <c r="AE365" s="16" t="n"/>
      <c r="AF365" s="17" t="n"/>
      <c r="AG365" s="125" t="n"/>
      <c r="AH365" s="90">
        <f>DADOS_INVOC!$PZ$104</f>
        <v/>
      </c>
      <c r="AI365" s="17" t="n"/>
      <c r="AJ365" s="90">
        <f>DADOS_INVOC!$QB$104</f>
        <v/>
      </c>
      <c r="AK365" s="16" t="n"/>
      <c r="AL365" s="17" t="n"/>
      <c r="AM365" s="125" t="n"/>
      <c r="AN365" s="90">
        <f>DADOS_INVOC!$PZ$105</f>
        <v/>
      </c>
      <c r="AO365" s="17" t="n"/>
      <c r="AP365" s="90">
        <f>DADOS_INVOC!$QB$105</f>
        <v/>
      </c>
      <c r="AQ365" s="16" t="n"/>
      <c r="AR365" s="17" t="n"/>
      <c r="AS365" s="125" t="n"/>
    </row>
    <row r="366" hidden="1" outlineLevel="2">
      <c r="A366" s="8" t="n"/>
      <c r="B366" s="14" t="n"/>
      <c r="C366" s="125" t="n"/>
      <c r="D366" s="125" t="n"/>
      <c r="E366" s="125" t="n"/>
      <c r="F366" s="125" t="n"/>
      <c r="G366" s="125" t="n"/>
      <c r="I366" s="133">
        <f>DADOS_INVOC!$QH$25</f>
        <v/>
      </c>
      <c r="J366" s="16" t="n"/>
      <c r="K366" s="16" t="n"/>
      <c r="L366" s="16" t="n"/>
      <c r="M366" s="17" t="n"/>
      <c r="N366" s="125" t="n"/>
      <c r="O366" s="133">
        <f>DADOS_INVOC!$QH$26</f>
        <v/>
      </c>
      <c r="P366" s="16" t="n"/>
      <c r="Q366" s="16" t="n"/>
      <c r="R366" s="16" t="n"/>
      <c r="S366" s="17" t="n"/>
      <c r="T366" s="125" t="n"/>
      <c r="U366" s="133">
        <f>DADOS_INVOC!$QH$27</f>
        <v/>
      </c>
      <c r="V366" s="16" t="n"/>
      <c r="W366" s="16" t="n"/>
      <c r="X366" s="16" t="n"/>
      <c r="Y366" s="17" t="n"/>
      <c r="Z366" s="125" t="n"/>
      <c r="AB366" s="133">
        <f>DADOS_INVOC!$QH$103</f>
        <v/>
      </c>
      <c r="AC366" s="16" t="n"/>
      <c r="AD366" s="16" t="n"/>
      <c r="AE366" s="16" t="n"/>
      <c r="AF366" s="17" t="n"/>
      <c r="AG366" s="125" t="n"/>
      <c r="AH366" s="133">
        <f>DADOS_INVOC!$QH$104</f>
        <v/>
      </c>
      <c r="AI366" s="16" t="n"/>
      <c r="AJ366" s="16" t="n"/>
      <c r="AK366" s="16" t="n"/>
      <c r="AL366" s="17" t="n"/>
      <c r="AM366" s="125" t="n"/>
      <c r="AN366" s="133">
        <f>DADOS_INVOC!$QH$105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DADOS_INVOC!$QK$25</f>
        <v/>
      </c>
      <c r="N367" s="125" t="n"/>
      <c r="O367" s="55" t="inlineStr">
        <is>
          <t>MELHORIAS</t>
        </is>
      </c>
      <c r="P367" s="134" t="n"/>
      <c r="Q367" s="16" t="n"/>
      <c r="R367" s="17" t="n"/>
      <c r="S367" s="133">
        <f>DADOS_INVOC!$QK$26</f>
        <v/>
      </c>
      <c r="T367" s="125" t="n"/>
      <c r="U367" s="55" t="inlineStr">
        <is>
          <t>MELHORIAS</t>
        </is>
      </c>
      <c r="V367" s="134" t="n"/>
      <c r="W367" s="16" t="n"/>
      <c r="X367" s="17" t="n"/>
      <c r="Y367" s="133">
        <f>DADOS_INVOC!$QK$27</f>
        <v/>
      </c>
      <c r="Z367" s="125" t="n"/>
      <c r="AB367" s="55" t="inlineStr">
        <is>
          <t>MELHORIAS</t>
        </is>
      </c>
      <c r="AC367" s="134" t="n"/>
      <c r="AD367" s="16" t="n"/>
      <c r="AE367" s="17" t="n"/>
      <c r="AF367" s="133">
        <f>DADOS_INVOC!$QK$103</f>
        <v/>
      </c>
      <c r="AG367" s="125" t="n"/>
      <c r="AH367" s="55" t="inlineStr">
        <is>
          <t>MELHORIAS</t>
        </is>
      </c>
      <c r="AI367" s="134" t="n"/>
      <c r="AJ367" s="16" t="n"/>
      <c r="AK367" s="17" t="n"/>
      <c r="AL367" s="133">
        <f>DADOS_INVOC!$QK$104</f>
        <v/>
      </c>
      <c r="AM367" s="125" t="n"/>
      <c r="AN367" s="55" t="inlineStr">
        <is>
          <t>MELHORIAS</t>
        </is>
      </c>
      <c r="AO367" s="134" t="n"/>
      <c r="AP367" s="16" t="n"/>
      <c r="AQ367" s="17" t="n"/>
      <c r="AR367" s="133">
        <f>DADOS_INVOC!$QK$105</f>
        <v/>
      </c>
      <c r="AS367" s="125" t="n"/>
    </row>
    <row r="368" hidden="1" outlineLevel="3">
      <c r="A368" s="8" t="n"/>
      <c r="B368" s="14" t="n"/>
      <c r="C368" s="125" t="n"/>
      <c r="D368" s="125" t="n"/>
      <c r="E368" s="125" t="n"/>
      <c r="F368" s="125" t="n"/>
      <c r="G368" s="125" t="n"/>
      <c r="I368" s="135" t="n"/>
      <c r="J368" s="134" t="n"/>
      <c r="K368" s="16" t="n"/>
      <c r="L368" s="17" t="n"/>
      <c r="M368" s="133">
        <f>DADOS_INVOC!$QL$25</f>
        <v/>
      </c>
      <c r="N368" s="125" t="n"/>
      <c r="O368" s="135" t="n"/>
      <c r="P368" s="134" t="n"/>
      <c r="Q368" s="16" t="n"/>
      <c r="R368" s="17" t="n"/>
      <c r="S368" s="133">
        <f>DADOS_INVOC!$QL$26</f>
        <v/>
      </c>
      <c r="T368" s="125" t="n"/>
      <c r="U368" s="135" t="n"/>
      <c r="V368" s="134" t="n"/>
      <c r="W368" s="16" t="n"/>
      <c r="X368" s="17" t="n"/>
      <c r="Y368" s="133">
        <f>DADOS_INVOC!$QL$27</f>
        <v/>
      </c>
      <c r="Z368" s="125" t="n"/>
      <c r="AB368" s="135" t="n"/>
      <c r="AC368" s="134" t="n"/>
      <c r="AD368" s="16" t="n"/>
      <c r="AE368" s="17" t="n"/>
      <c r="AF368" s="133">
        <f>DADOS_INVOC!$QL$103</f>
        <v/>
      </c>
      <c r="AG368" s="125" t="n"/>
      <c r="AH368" s="135" t="n"/>
      <c r="AI368" s="134" t="n"/>
      <c r="AJ368" s="16" t="n"/>
      <c r="AK368" s="17" t="n"/>
      <c r="AL368" s="133">
        <f>DADOS_INVOC!$QL$104</f>
        <v/>
      </c>
      <c r="AM368" s="125" t="n"/>
      <c r="AN368" s="135" t="n"/>
      <c r="AO368" s="134" t="n"/>
      <c r="AP368" s="16" t="n"/>
      <c r="AQ368" s="17" t="n"/>
      <c r="AR368" s="133">
        <f>DADOS_INVOC!$QL$105</f>
        <v/>
      </c>
      <c r="AS368" s="125" t="n"/>
    </row>
    <row r="369" hidden="1" outlineLevel="3">
      <c r="A369" s="8" t="n"/>
      <c r="B369" s="14" t="n"/>
      <c r="C369" s="125" t="n"/>
      <c r="D369" s="125" t="n"/>
      <c r="E369" s="125" t="n"/>
      <c r="F369" s="125" t="n"/>
      <c r="G369" s="125" t="n"/>
      <c r="I369" s="135" t="n"/>
      <c r="J369" s="134" t="n"/>
      <c r="K369" s="16" t="n"/>
      <c r="L369" s="17" t="n"/>
      <c r="M369" s="133">
        <f>DADOS_INVOC!$QM$25</f>
        <v/>
      </c>
      <c r="N369" s="125" t="n"/>
      <c r="O369" s="135" t="n"/>
      <c r="P369" s="134" t="n"/>
      <c r="Q369" s="16" t="n"/>
      <c r="R369" s="17" t="n"/>
      <c r="S369" s="133">
        <f>DADOS_INVOC!$QM$26</f>
        <v/>
      </c>
      <c r="T369" s="125" t="n"/>
      <c r="U369" s="135" t="n"/>
      <c r="V369" s="134" t="n"/>
      <c r="W369" s="16" t="n"/>
      <c r="X369" s="17" t="n"/>
      <c r="Y369" s="133">
        <f>DADOS_INVOC!$QM$27</f>
        <v/>
      </c>
      <c r="Z369" s="125" t="n"/>
      <c r="AB369" s="135" t="n"/>
      <c r="AC369" s="134" t="n"/>
      <c r="AD369" s="16" t="n"/>
      <c r="AE369" s="17" t="n"/>
      <c r="AF369" s="133">
        <f>DADOS_INVOC!$QM$103</f>
        <v/>
      </c>
      <c r="AG369" s="125" t="n"/>
      <c r="AH369" s="135" t="n"/>
      <c r="AI369" s="134" t="n"/>
      <c r="AJ369" s="16" t="n"/>
      <c r="AK369" s="17" t="n"/>
      <c r="AL369" s="133">
        <f>DADOS_INVOC!$QM$104</f>
        <v/>
      </c>
      <c r="AM369" s="125" t="n"/>
      <c r="AN369" s="135" t="n"/>
      <c r="AO369" s="134" t="n"/>
      <c r="AP369" s="16" t="n"/>
      <c r="AQ369" s="17" t="n"/>
      <c r="AR369" s="133">
        <f>DADOS_INVOC!$QM$105</f>
        <v/>
      </c>
      <c r="AS369" s="125" t="n"/>
    </row>
    <row r="370" hidden="1" outlineLevel="3">
      <c r="A370" s="8" t="n"/>
      <c r="B370" s="14" t="n"/>
      <c r="C370" s="125" t="n"/>
      <c r="D370" s="125" t="n"/>
      <c r="E370" s="125" t="n"/>
      <c r="F370" s="125" t="n"/>
      <c r="G370" s="125" t="n"/>
      <c r="I370" s="129" t="n"/>
      <c r="J370" s="134" t="n"/>
      <c r="K370" s="16" t="n"/>
      <c r="L370" s="17" t="n"/>
      <c r="M370" s="133">
        <f>DADOS_INVOC!$QN$25</f>
        <v/>
      </c>
      <c r="N370" s="125" t="n"/>
      <c r="O370" s="129" t="n"/>
      <c r="P370" s="134" t="n"/>
      <c r="Q370" s="16" t="n"/>
      <c r="R370" s="17" t="n"/>
      <c r="S370" s="133">
        <f>DADOS_INVOC!$QN$26</f>
        <v/>
      </c>
      <c r="T370" s="125" t="n"/>
      <c r="U370" s="129" t="n"/>
      <c r="V370" s="134" t="n"/>
      <c r="W370" s="16" t="n"/>
      <c r="X370" s="17" t="n"/>
      <c r="Y370" s="133">
        <f>DADOS_INVOC!$QN$27</f>
        <v/>
      </c>
      <c r="Z370" s="125" t="n"/>
      <c r="AB370" s="129" t="n"/>
      <c r="AC370" s="134" t="n"/>
      <c r="AD370" s="16" t="n"/>
      <c r="AE370" s="17" t="n"/>
      <c r="AF370" s="133">
        <f>DADOS_INVOC!$QN$103</f>
        <v/>
      </c>
      <c r="AG370" s="125" t="n"/>
      <c r="AH370" s="129" t="n"/>
      <c r="AI370" s="134" t="n"/>
      <c r="AJ370" s="16" t="n"/>
      <c r="AK370" s="17" t="n"/>
      <c r="AL370" s="133">
        <f>DADOS_INVOC!$QN$104</f>
        <v/>
      </c>
      <c r="AM370" s="125" t="n"/>
      <c r="AN370" s="129" t="n"/>
      <c r="AO370" s="134" t="n"/>
      <c r="AP370" s="16" t="n"/>
      <c r="AQ370" s="17" t="n"/>
      <c r="AR370" s="133">
        <f>DADOS_INVOC!$QN$105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DADOS_INVOC!$QO$25</f>
        <v/>
      </c>
      <c r="N371" s="125" t="n"/>
      <c r="O371" s="55" t="inlineStr">
        <is>
          <t>RESTRIÇÕES</t>
        </is>
      </c>
      <c r="P371" s="134" t="n"/>
      <c r="Q371" s="16" t="n"/>
      <c r="R371" s="17" t="n"/>
      <c r="S371" s="133">
        <f>DADOS_INVOC!$QO$26</f>
        <v/>
      </c>
      <c r="T371" s="125" t="n"/>
      <c r="U371" s="55" t="inlineStr">
        <is>
          <t>RESTRIÇÕES</t>
        </is>
      </c>
      <c r="V371" s="134" t="n"/>
      <c r="W371" s="16" t="n"/>
      <c r="X371" s="17" t="n"/>
      <c r="Y371" s="133">
        <f>DADOS_INVOC!$QO$27</f>
        <v/>
      </c>
      <c r="Z371" s="125" t="n"/>
      <c r="AB371" s="55" t="inlineStr">
        <is>
          <t>RESTRIÇÕES</t>
        </is>
      </c>
      <c r="AC371" s="134" t="n"/>
      <c r="AD371" s="16" t="n"/>
      <c r="AE371" s="17" t="n"/>
      <c r="AF371" s="133">
        <f>DADOS_INVOC!$QO$103</f>
        <v/>
      </c>
      <c r="AG371" s="125" t="n"/>
      <c r="AH371" s="55" t="inlineStr">
        <is>
          <t>RESTRIÇÕES</t>
        </is>
      </c>
      <c r="AI371" s="134" t="n"/>
      <c r="AJ371" s="16" t="n"/>
      <c r="AK371" s="17" t="n"/>
      <c r="AL371" s="133">
        <f>DADOS_INVOC!$QO$104</f>
        <v/>
      </c>
      <c r="AM371" s="125" t="n"/>
      <c r="AN371" s="55" t="inlineStr">
        <is>
          <t>RESTRIÇÕES</t>
        </is>
      </c>
      <c r="AO371" s="134" t="n"/>
      <c r="AP371" s="16" t="n"/>
      <c r="AQ371" s="17" t="n"/>
      <c r="AR371" s="133">
        <f>DADOS_INVOC!$QO$105</f>
        <v/>
      </c>
      <c r="AS371" s="125" t="n"/>
    </row>
    <row r="372" hidden="1" outlineLevel="3">
      <c r="A372" s="8" t="n"/>
      <c r="B372" s="14" t="n"/>
      <c r="C372" s="125" t="n"/>
      <c r="D372" s="125" t="n"/>
      <c r="E372" s="125" t="n"/>
      <c r="F372" s="125" t="n"/>
      <c r="G372" s="125" t="n"/>
      <c r="I372" s="129" t="n"/>
      <c r="J372" s="134" t="n"/>
      <c r="K372" s="16" t="n"/>
      <c r="L372" s="17" t="n"/>
      <c r="M372" s="133">
        <f>DADOS_INVOC!$QP$25</f>
        <v/>
      </c>
      <c r="N372" s="125" t="n"/>
      <c r="O372" s="129" t="n"/>
      <c r="P372" s="134" t="n"/>
      <c r="Q372" s="16" t="n"/>
      <c r="R372" s="17" t="n"/>
      <c r="S372" s="133">
        <f>DADOS_INVOC!$QP$26</f>
        <v/>
      </c>
      <c r="T372" s="125" t="n"/>
      <c r="U372" s="129" t="n"/>
      <c r="V372" s="134" t="n"/>
      <c r="W372" s="16" t="n"/>
      <c r="X372" s="17" t="n"/>
      <c r="Y372" s="133">
        <f>DADOS_INVOC!$QP$27</f>
        <v/>
      </c>
      <c r="Z372" s="125" t="n"/>
      <c r="AB372" s="129" t="n"/>
      <c r="AC372" s="134" t="n"/>
      <c r="AD372" s="16" t="n"/>
      <c r="AE372" s="17" t="n"/>
      <c r="AF372" s="133">
        <f>DADOS_INVOC!$QP$103</f>
        <v/>
      </c>
      <c r="AG372" s="125" t="n"/>
      <c r="AH372" s="129" t="n"/>
      <c r="AI372" s="134" t="n"/>
      <c r="AJ372" s="16" t="n"/>
      <c r="AK372" s="17" t="n"/>
      <c r="AL372" s="133">
        <f>DADOS_INVOC!$QP$104</f>
        <v/>
      </c>
      <c r="AM372" s="125" t="n"/>
      <c r="AN372" s="129" t="n"/>
      <c r="AO372" s="134" t="n"/>
      <c r="AP372" s="16" t="n"/>
      <c r="AQ372" s="17" t="n"/>
      <c r="AR372" s="133">
        <f>DADOS_INVOC!$QP$105</f>
        <v/>
      </c>
      <c r="AS372" s="125" t="n"/>
    </row>
    <row r="373" hidden="1" outlineLevel="3">
      <c r="A373" s="8" t="n"/>
      <c r="B373" s="14" t="n"/>
      <c r="C373" s="125" t="n"/>
      <c r="D373" s="125" t="n"/>
      <c r="E373" s="125" t="n"/>
      <c r="F373" s="125" t="n"/>
      <c r="G373" s="125" t="n"/>
      <c r="I373" s="55" t="inlineStr">
        <is>
          <t>CONTA</t>
        </is>
      </c>
      <c r="J373" s="136">
        <f>DADOS_INVOC!$QI$25</f>
        <v/>
      </c>
      <c r="K373" s="16" t="n"/>
      <c r="L373" s="16" t="n"/>
      <c r="M373" s="17" t="n"/>
      <c r="N373" s="125" t="n"/>
      <c r="O373" s="55" t="inlineStr">
        <is>
          <t>CONTA</t>
        </is>
      </c>
      <c r="P373" s="136">
        <f>DADOS_INVOC!$QI$26</f>
        <v/>
      </c>
      <c r="Q373" s="16" t="n"/>
      <c r="R373" s="16" t="n"/>
      <c r="S373" s="17" t="n"/>
      <c r="T373" s="125" t="n"/>
      <c r="U373" s="55" t="inlineStr">
        <is>
          <t>CONTA</t>
        </is>
      </c>
      <c r="V373" s="136">
        <f>DADOS_INVOC!$QI$27</f>
        <v/>
      </c>
      <c r="W373" s="16" t="n"/>
      <c r="X373" s="16" t="n"/>
      <c r="Y373" s="17" t="n"/>
      <c r="Z373" s="125" t="n"/>
      <c r="AB373" s="55" t="inlineStr">
        <is>
          <t>CONTA</t>
        </is>
      </c>
      <c r="AC373" s="136">
        <f>DADOS_INVOC!$QI$103</f>
        <v/>
      </c>
      <c r="AD373" s="16" t="n"/>
      <c r="AE373" s="16" t="n"/>
      <c r="AF373" s="17" t="n"/>
      <c r="AG373" s="125" t="n"/>
      <c r="AH373" s="55" t="inlineStr">
        <is>
          <t>CONTA</t>
        </is>
      </c>
      <c r="AI373" s="136">
        <f>DADOS_INVOC!$QI$104</f>
        <v/>
      </c>
      <c r="AJ373" s="16" t="n"/>
      <c r="AK373" s="16" t="n"/>
      <c r="AL373" s="17" t="n"/>
      <c r="AM373" s="125" t="n"/>
      <c r="AN373" s="55" t="inlineStr">
        <is>
          <t>CONTA</t>
        </is>
      </c>
      <c r="AO373" s="136">
        <f>DADOS_INVOC!$QI$105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DADOS_INVOC!$QJ$25</f>
        <v/>
      </c>
      <c r="K374" s="19" t="n"/>
      <c r="L374" s="19" t="n"/>
      <c r="M374" s="20" t="n"/>
      <c r="N374" s="125" t="n"/>
      <c r="O374" s="55" t="inlineStr">
        <is>
          <t>AMPLIAR</t>
        </is>
      </c>
      <c r="P374" s="136">
        <f>DADOS_INVOC!$QJ$26</f>
        <v/>
      </c>
      <c r="Q374" s="19" t="n"/>
      <c r="R374" s="19" t="n"/>
      <c r="S374" s="20" t="n"/>
      <c r="T374" s="125" t="n"/>
      <c r="U374" s="55" t="inlineStr">
        <is>
          <t>AMPLIAR</t>
        </is>
      </c>
      <c r="V374" s="136">
        <f>DADOS_INVOC!$QJ$27</f>
        <v/>
      </c>
      <c r="W374" s="19" t="n"/>
      <c r="X374" s="19" t="n"/>
      <c r="Y374" s="20" t="n"/>
      <c r="Z374" s="125" t="n"/>
      <c r="AB374" s="55" t="inlineStr">
        <is>
          <t>AMPLIAR</t>
        </is>
      </c>
      <c r="AC374" s="136">
        <f>DADOS_INVOC!$QJ$103</f>
        <v/>
      </c>
      <c r="AD374" s="19" t="n"/>
      <c r="AE374" s="19" t="n"/>
      <c r="AF374" s="20" t="n"/>
      <c r="AG374" s="125" t="n"/>
      <c r="AH374" s="55" t="inlineStr">
        <is>
          <t>AMPLIAR</t>
        </is>
      </c>
      <c r="AI374" s="136">
        <f>DADOS_INVOC!$QJ$104</f>
        <v/>
      </c>
      <c r="AJ374" s="19" t="n"/>
      <c r="AK374" s="19" t="n"/>
      <c r="AL374" s="20" t="n"/>
      <c r="AM374" s="125" t="n"/>
      <c r="AN374" s="55" t="inlineStr">
        <is>
          <t>AMPLIAR</t>
        </is>
      </c>
      <c r="AO374" s="136">
        <f>DADOS_INVOC!$QJ$105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DADOS_INVOC!$PW$25</f>
        <v/>
      </c>
      <c r="J376" s="19" t="n"/>
      <c r="K376" s="19" t="n"/>
      <c r="L376" s="19" t="n"/>
      <c r="M376" s="20" t="n"/>
      <c r="N376" s="125" t="n"/>
      <c r="O376" s="136">
        <f>DADOS_INVOC!$PW$26</f>
        <v/>
      </c>
      <c r="P376" s="19" t="n"/>
      <c r="Q376" s="19" t="n"/>
      <c r="R376" s="19" t="n"/>
      <c r="S376" s="20" t="n"/>
      <c r="T376" s="125" t="n"/>
      <c r="U376" s="136">
        <f>DADOS_INVOC!$PW$27</f>
        <v/>
      </c>
      <c r="V376" s="19" t="n"/>
      <c r="W376" s="19" t="n"/>
      <c r="X376" s="19" t="n"/>
      <c r="Y376" s="20" t="n"/>
      <c r="Z376" s="125" t="n"/>
      <c r="AB376" s="136">
        <f>DADOS_INVOC!$PW$103</f>
        <v/>
      </c>
      <c r="AC376" s="19" t="n"/>
      <c r="AD376" s="19" t="n"/>
      <c r="AE376" s="19" t="n"/>
      <c r="AF376" s="20" t="n"/>
      <c r="AG376" s="125" t="n"/>
      <c r="AH376" s="136">
        <f>DADOS_INVOC!$PW$104</f>
        <v/>
      </c>
      <c r="AI376" s="19" t="n"/>
      <c r="AJ376" s="19" t="n"/>
      <c r="AK376" s="19" t="n"/>
      <c r="AL376" s="20" t="n"/>
      <c r="AM376" s="125" t="n"/>
      <c r="AN376" s="136">
        <f>DADOS_INVOC!$PW$105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90" t="inlineStr">
        <is>
          <t>Sua Ação Completa + a básica dela</t>
        </is>
      </c>
      <c r="J393" s="16" t="n"/>
      <c r="K393" s="16" t="n"/>
      <c r="L393" s="16" t="n"/>
      <c r="M393" s="17" t="n"/>
      <c r="N393" s="125" t="n"/>
      <c r="O393" s="90" t="inlineStr">
        <is>
          <t>Sua Ação Completa + a básica dela</t>
        </is>
      </c>
      <c r="P393" s="16" t="n"/>
      <c r="Q393" s="16" t="n"/>
      <c r="R393" s="16" t="n"/>
      <c r="S393" s="17" t="n"/>
      <c r="T393" s="125" t="n"/>
      <c r="U393" s="90" t="inlineStr">
        <is>
          <t>Sua Ação Completa + a básica dela</t>
        </is>
      </c>
      <c r="V393" s="16" t="n"/>
      <c r="W393" s="16" t="n"/>
      <c r="X393" s="16" t="n"/>
      <c r="Y393" s="17" t="n"/>
      <c r="Z393" s="125" t="n"/>
      <c r="AB393" s="90" t="inlineStr">
        <is>
          <t>Sua Ação Completa + a básica dela</t>
        </is>
      </c>
      <c r="AC393" s="16" t="n"/>
      <c r="AD393" s="16" t="n"/>
      <c r="AE393" s="16" t="n"/>
      <c r="AF393" s="17" t="n"/>
      <c r="AG393" s="125" t="n"/>
      <c r="AH393" s="90" t="inlineStr">
        <is>
          <t>Sua Ação Completa + a básica dela</t>
        </is>
      </c>
      <c r="AI393" s="16" t="n"/>
      <c r="AJ393" s="16" t="n"/>
      <c r="AK393" s="16" t="n"/>
      <c r="AL393" s="17" t="n"/>
      <c r="AM393" s="125" t="n"/>
      <c r="AN393" s="90"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90"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90"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90"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90"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5"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5"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90" t="inlineStr">
        <is>
          <t>Com alma</t>
        </is>
      </c>
      <c r="V414" s="98">
        <f>DADOS_INVOC!$GH$4</f>
        <v/>
      </c>
      <c r="W414" s="98">
        <f>DADOS_INVOC!$GJ$4</f>
        <v/>
      </c>
      <c r="X414" s="90">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90" t="inlineStr">
        <is>
          <t>Com alma</t>
        </is>
      </c>
      <c r="AO414" s="98">
        <f>DADOS_INVOC!$GH$10</f>
        <v/>
      </c>
      <c r="AP414" s="98">
        <f>DADOS_INVOC!$GJ$10</f>
        <v/>
      </c>
      <c r="AQ414" s="90">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90" t="n"/>
      <c r="T425" s="125" t="n"/>
      <c r="U425" s="21" t="n"/>
      <c r="Y425" s="22" t="n"/>
      <c r="Z425" s="125" t="n"/>
      <c r="AB425" s="21" t="n"/>
      <c r="AF425" s="22" t="n"/>
      <c r="AG425" s="125" t="n"/>
      <c r="AH425" s="98">
        <f>DADOS_INVOC!$HN$10</f>
        <v/>
      </c>
      <c r="AI425" s="98">
        <f>DADOS_INVOC!$HO$10</f>
        <v/>
      </c>
      <c r="AJ425" s="98">
        <f>DADOS_INVOC!$HP$10</f>
        <v/>
      </c>
      <c r="AK425" s="98">
        <f>DADOS_INVOC!$HQ$10</f>
        <v/>
      </c>
      <c r="AL425" s="90"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90"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90" t="n"/>
      <c r="AS429" s="125" t="n"/>
    </row>
    <row r="430" hidden="1" outlineLevel="1">
      <c r="A430" s="8" t="n"/>
      <c r="B430" s="14" t="n"/>
      <c r="C430" s="125" t="n"/>
      <c r="D430" s="125" t="n"/>
      <c r="E430" s="125" t="n"/>
      <c r="F430" s="125" t="n"/>
      <c r="G430" s="125" t="n"/>
      <c r="I430" s="21" t="n"/>
      <c r="M430" s="22" t="n"/>
      <c r="N430" s="125" t="n"/>
      <c r="O430" s="90" t="n"/>
      <c r="P430" s="19" t="n"/>
      <c r="Q430" s="20" t="n"/>
      <c r="R430" s="90" t="inlineStr">
        <is>
          <t>Força</t>
        </is>
      </c>
      <c r="S430" s="20" t="n"/>
      <c r="T430" s="125" t="n"/>
      <c r="U430" s="55" t="inlineStr">
        <is>
          <t>MÃO 2</t>
        </is>
      </c>
      <c r="V430" s="134" t="n"/>
      <c r="W430" s="16" t="n"/>
      <c r="X430" s="17" t="n"/>
      <c r="Y430" s="90" t="n"/>
      <c r="Z430" s="125" t="n"/>
      <c r="AB430" s="21" t="n"/>
      <c r="AF430" s="22" t="n"/>
      <c r="AG430" s="125" t="n"/>
      <c r="AH430" s="90" t="n"/>
      <c r="AI430" s="19" t="n"/>
      <c r="AJ430" s="20" t="n"/>
      <c r="AK430" s="90" t="inlineStr">
        <is>
          <t>Força</t>
        </is>
      </c>
      <c r="AL430" s="20" t="n"/>
      <c r="AM430" s="125" t="n"/>
      <c r="AN430" s="55" t="inlineStr">
        <is>
          <t>MÃO 2</t>
        </is>
      </c>
      <c r="AO430" s="134" t="n"/>
      <c r="AP430" s="16" t="n"/>
      <c r="AQ430" s="17" t="n"/>
      <c r="AR430" s="90"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90" t="n"/>
      <c r="Z431" s="125" t="n"/>
      <c r="AB431" s="21" t="n"/>
      <c r="AF431" s="22" t="n"/>
      <c r="AG431" s="125" t="n"/>
      <c r="AH431" s="23" t="n"/>
      <c r="AI431" s="24" t="n"/>
      <c r="AJ431" s="25" t="n"/>
      <c r="AK431" s="23" t="n"/>
      <c r="AL431" s="25" t="n"/>
      <c r="AM431" s="125" t="n"/>
      <c r="AN431" s="55" t="inlineStr">
        <is>
          <t>VESTE</t>
        </is>
      </c>
      <c r="AO431" s="134" t="n"/>
      <c r="AP431" s="16" t="n"/>
      <c r="AQ431" s="17" t="n"/>
      <c r="AR431" s="90"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90" t="n"/>
      <c r="Z433" s="125" t="n"/>
      <c r="AB433" s="21" t="n"/>
      <c r="AF433" s="22" t="n"/>
      <c r="AG433" s="125" t="n"/>
      <c r="AH433" s="55">
        <f>DADOS_INVOC!$HR$10</f>
        <v/>
      </c>
      <c r="AI433" s="16" t="n"/>
      <c r="AJ433" s="16" t="n"/>
      <c r="AK433" s="16" t="n"/>
      <c r="AL433" s="17" t="n"/>
      <c r="AM433" s="125" t="n"/>
      <c r="AN433" s="134" t="n"/>
      <c r="AO433" s="16" t="n"/>
      <c r="AP433" s="16" t="n"/>
      <c r="AQ433" s="17" t="n"/>
      <c r="AR433" s="90" t="n"/>
      <c r="AS433" s="125" t="n"/>
    </row>
    <row r="434" hidden="1" outlineLevel="1">
      <c r="A434" s="8" t="n"/>
      <c r="B434" s="14" t="n"/>
      <c r="C434" s="125" t="n"/>
      <c r="D434" s="125" t="n"/>
      <c r="E434" s="125" t="n"/>
      <c r="F434" s="125" t="n"/>
      <c r="G434" s="125" t="n"/>
      <c r="I434" s="21" t="n"/>
      <c r="M434" s="22" t="n"/>
      <c r="N434" s="125" t="n"/>
      <c r="O434" s="134" t="n"/>
      <c r="P434" s="16" t="n"/>
      <c r="Q434" s="17" t="n"/>
      <c r="R434" s="90">
        <f>DADOS_INVOC!$HS$4</f>
        <v/>
      </c>
      <c r="S434" s="17" t="n"/>
      <c r="T434" s="125" t="n"/>
      <c r="U434" s="134" t="n"/>
      <c r="V434" s="16" t="n"/>
      <c r="W434" s="16" t="n"/>
      <c r="X434" s="17" t="n"/>
      <c r="Y434" s="90" t="n"/>
      <c r="Z434" s="125" t="n"/>
      <c r="AB434" s="21" t="n"/>
      <c r="AF434" s="22" t="n"/>
      <c r="AG434" s="125" t="n"/>
      <c r="AH434" s="134" t="n"/>
      <c r="AI434" s="16" t="n"/>
      <c r="AJ434" s="17" t="n"/>
      <c r="AK434" s="90">
        <f>DADOS_INVOC!$HS$10</f>
        <v/>
      </c>
      <c r="AL434" s="17" t="n"/>
      <c r="AM434" s="125" t="n"/>
      <c r="AN434" s="134" t="n"/>
      <c r="AO434" s="16" t="n"/>
      <c r="AP434" s="16" t="n"/>
      <c r="AQ434" s="17" t="n"/>
      <c r="AR434" s="90" t="n"/>
      <c r="AS434" s="125" t="n"/>
    </row>
    <row r="435" hidden="1" outlineLevel="1">
      <c r="A435" s="8" t="n"/>
      <c r="B435" s="14" t="n"/>
      <c r="C435" s="125" t="n"/>
      <c r="D435" s="125" t="n"/>
      <c r="E435" s="125" t="n"/>
      <c r="F435" s="125" t="n"/>
      <c r="G435" s="125" t="n"/>
      <c r="I435" s="21" t="n"/>
      <c r="M435" s="22" t="n"/>
      <c r="N435" s="125" t="n"/>
      <c r="O435" s="134" t="n"/>
      <c r="P435" s="16" t="n"/>
      <c r="Q435" s="17" t="n"/>
      <c r="R435" s="90">
        <f>DADOS_INVOC!$HT$4</f>
        <v/>
      </c>
      <c r="S435" s="17" t="n"/>
      <c r="T435" s="125" t="n"/>
      <c r="U435" s="134" t="n"/>
      <c r="V435" s="16" t="n"/>
      <c r="W435" s="16" t="n"/>
      <c r="X435" s="17" t="n"/>
      <c r="Y435" s="90" t="n"/>
      <c r="Z435" s="125" t="n"/>
      <c r="AB435" s="21" t="n"/>
      <c r="AF435" s="22" t="n"/>
      <c r="AG435" s="125" t="n"/>
      <c r="AH435" s="134" t="n"/>
      <c r="AI435" s="16" t="n"/>
      <c r="AJ435" s="17" t="n"/>
      <c r="AK435" s="90">
        <f>DADOS_INVOC!$HT$10</f>
        <v/>
      </c>
      <c r="AL435" s="17" t="n"/>
      <c r="AM435" s="125" t="n"/>
      <c r="AN435" s="134" t="n"/>
      <c r="AO435" s="16" t="n"/>
      <c r="AP435" s="16" t="n"/>
      <c r="AQ435" s="17" t="n"/>
      <c r="AR435" s="90"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90">
        <f>DADOS_INVOC!$HU$4</f>
        <v/>
      </c>
      <c r="S436" s="17" t="n"/>
      <c r="T436" s="125" t="n"/>
      <c r="U436" s="134" t="n"/>
      <c r="V436" s="16" t="n"/>
      <c r="W436" s="16" t="n"/>
      <c r="X436" s="17" t="n"/>
      <c r="Y436" s="90" t="n"/>
      <c r="Z436" s="125" t="n"/>
      <c r="AB436" s="23" t="n"/>
      <c r="AC436" s="24" t="n"/>
      <c r="AD436" s="24" t="n"/>
      <c r="AE436" s="24" t="n"/>
      <c r="AF436" s="25" t="n"/>
      <c r="AG436" s="125" t="n"/>
      <c r="AH436" s="134" t="n"/>
      <c r="AI436" s="16" t="n"/>
      <c r="AJ436" s="17" t="n"/>
      <c r="AK436" s="90">
        <f>DADOS_INVOC!$HU$10</f>
        <v/>
      </c>
      <c r="AL436" s="17" t="n"/>
      <c r="AM436" s="125" t="n"/>
      <c r="AN436" s="134" t="n"/>
      <c r="AO436" s="16" t="n"/>
      <c r="AP436" s="16" t="n"/>
      <c r="AQ436" s="17" t="n"/>
      <c r="AR436" s="90"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90">
        <f>DADOS_INVOC!$HV$4</f>
        <v/>
      </c>
      <c r="S437" s="17" t="n"/>
      <c r="T437" s="125" t="n"/>
      <c r="U437" s="134" t="n"/>
      <c r="V437" s="16" t="n"/>
      <c r="W437" s="16" t="n"/>
      <c r="X437" s="17" t="n"/>
      <c r="Y437" s="90" t="n"/>
      <c r="Z437" s="125" t="n"/>
      <c r="AB437" s="125" t="n"/>
      <c r="AC437" s="125" t="n"/>
      <c r="AD437" s="125" t="n"/>
      <c r="AE437" s="125" t="n"/>
      <c r="AF437" s="125" t="n"/>
      <c r="AG437" s="125" t="n"/>
      <c r="AH437" s="134" t="n"/>
      <c r="AI437" s="16" t="n"/>
      <c r="AJ437" s="17" t="n"/>
      <c r="AK437" s="90">
        <f>DADOS_INVOC!$HV$10</f>
        <v/>
      </c>
      <c r="AL437" s="17" t="n"/>
      <c r="AM437" s="125" t="n"/>
      <c r="AN437" s="134" t="n"/>
      <c r="AO437" s="16" t="n"/>
      <c r="AP437" s="16" t="n"/>
      <c r="AQ437" s="17" t="n"/>
      <c r="AR437" s="90"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90">
        <f>DADOS_INVOC!$HW$4</f>
        <v/>
      </c>
      <c r="S438" s="17" t="n"/>
      <c r="T438" s="125" t="n"/>
      <c r="U438" s="134" t="n"/>
      <c r="V438" s="16" t="n"/>
      <c r="W438" s="16" t="n"/>
      <c r="X438" s="17" t="n"/>
      <c r="Y438" s="90" t="n"/>
      <c r="Z438" s="125" t="n"/>
      <c r="AB438" s="55" t="inlineStr">
        <is>
          <t>TIPO</t>
        </is>
      </c>
      <c r="AC438" s="16" t="n"/>
      <c r="AD438" s="16" t="n"/>
      <c r="AE438" s="16" t="n"/>
      <c r="AF438" s="17" t="n"/>
      <c r="AG438" s="125" t="n"/>
      <c r="AH438" s="134" t="n"/>
      <c r="AI438" s="16" t="n"/>
      <c r="AJ438" s="17" t="n"/>
      <c r="AK438" s="90">
        <f>DADOS_INVOC!$HW$10</f>
        <v/>
      </c>
      <c r="AL438" s="17" t="n"/>
      <c r="AM438" s="125" t="n"/>
      <c r="AN438" s="134" t="n"/>
      <c r="AO438" s="16" t="n"/>
      <c r="AP438" s="16" t="n"/>
      <c r="AQ438" s="17" t="n"/>
      <c r="AR438" s="90" t="n"/>
      <c r="AS438" s="125" t="n"/>
    </row>
    <row r="439" hidden="1" outlineLevel="1">
      <c r="A439" s="8" t="n"/>
      <c r="B439" s="14" t="n"/>
      <c r="C439" s="125" t="n"/>
      <c r="D439" s="125" t="n"/>
      <c r="E439" s="125" t="n"/>
      <c r="F439" s="125" t="n"/>
      <c r="G439" s="125" t="n"/>
      <c r="I439" s="90" t="inlineStr">
        <is>
          <t>Shikigami de técnica</t>
        </is>
      </c>
      <c r="J439" s="19" t="n"/>
      <c r="K439" s="19" t="n"/>
      <c r="L439" s="19" t="n"/>
      <c r="M439" s="20" t="n"/>
      <c r="N439" s="125" t="n"/>
      <c r="O439" s="134" t="n"/>
      <c r="P439" s="16" t="n"/>
      <c r="Q439" s="17" t="n"/>
      <c r="R439" s="90">
        <f>DADOS_INVOC!$HX$4</f>
        <v/>
      </c>
      <c r="S439" s="17" t="n"/>
      <c r="T439" s="125" t="n"/>
      <c r="U439" s="125" t="n"/>
      <c r="V439" s="125" t="n"/>
      <c r="W439" s="125" t="n"/>
      <c r="X439" s="125" t="n"/>
      <c r="Y439" s="125" t="n"/>
      <c r="Z439" s="125" t="n"/>
      <c r="AB439" s="90" t="inlineStr">
        <is>
          <t>Shikigami de técnica</t>
        </is>
      </c>
      <c r="AC439" s="19" t="n"/>
      <c r="AD439" s="19" t="n"/>
      <c r="AE439" s="19" t="n"/>
      <c r="AF439" s="20" t="n"/>
      <c r="AG439" s="125" t="n"/>
      <c r="AH439" s="134" t="n"/>
      <c r="AI439" s="16" t="n"/>
      <c r="AJ439" s="17" t="n"/>
      <c r="AK439" s="90">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90">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90">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90" t="inlineStr">
        <is>
          <t>Espaço conhecido</t>
        </is>
      </c>
      <c r="J443" s="20" t="n"/>
      <c r="K443" s="90" t="n"/>
      <c r="L443" s="90"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90" t="inlineStr">
        <is>
          <t>Espaço conhecido</t>
        </is>
      </c>
      <c r="AC443" s="20" t="n"/>
      <c r="AD443" s="90" t="n"/>
      <c r="AE443" s="90"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90" t="n"/>
      <c r="P444" s="90" t="n"/>
      <c r="Q444" s="90" t="n"/>
      <c r="R444" s="90" t="n"/>
      <c r="S444" s="90" t="n"/>
      <c r="T444" s="125" t="n"/>
      <c r="U444" s="21" t="n"/>
      <c r="Y444" s="22" t="n"/>
      <c r="Z444" s="125" t="n"/>
      <c r="AB444" s="23" t="n"/>
      <c r="AC444" s="25" t="n"/>
      <c r="AD444" s="129" t="n"/>
      <c r="AE444" s="23" t="n"/>
      <c r="AF444" s="25" t="n"/>
      <c r="AG444" s="125" t="n"/>
      <c r="AH444" s="90" t="n"/>
      <c r="AI444" s="90" t="n"/>
      <c r="AJ444" s="90" t="n"/>
      <c r="AK444" s="90" t="n"/>
      <c r="AL444" s="90"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DADOS_INVOC!$PX$28</f>
        <v/>
      </c>
      <c r="J453" s="16" t="n"/>
      <c r="K453" s="16" t="n"/>
      <c r="L453" s="16" t="n"/>
      <c r="M453" s="17" t="n"/>
      <c r="N453" s="125" t="n"/>
      <c r="O453" s="55">
        <f>DADOS_INVOC!$PX$29</f>
        <v/>
      </c>
      <c r="P453" s="16" t="n"/>
      <c r="Q453" s="16" t="n"/>
      <c r="R453" s="16" t="n"/>
      <c r="S453" s="17" t="n"/>
      <c r="T453" s="125" t="n"/>
      <c r="U453" s="55">
        <f>DADOS_INVOC!$PX$30</f>
        <v/>
      </c>
      <c r="V453" s="16" t="n"/>
      <c r="W453" s="16" t="n"/>
      <c r="X453" s="16" t="n"/>
      <c r="Y453" s="17" t="n"/>
      <c r="Z453" s="125" t="n"/>
      <c r="AB453" s="55">
        <f>DADOS_INVOC!$PX$106</f>
        <v/>
      </c>
      <c r="AC453" s="16" t="n"/>
      <c r="AD453" s="16" t="n"/>
      <c r="AE453" s="16" t="n"/>
      <c r="AF453" s="17" t="n"/>
      <c r="AG453" s="125" t="n"/>
      <c r="AH453" s="55">
        <f>DADOS_INVOC!$PX$107</f>
        <v/>
      </c>
      <c r="AI453" s="16" t="n"/>
      <c r="AJ453" s="16" t="n"/>
      <c r="AK453" s="16" t="n"/>
      <c r="AL453" s="17" t="n"/>
      <c r="AM453" s="125" t="n"/>
      <c r="AN453" s="55">
        <f>DADOS_INVOC!$PX$108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DADOS_INVOC!$PV$28</f>
        <v/>
      </c>
      <c r="N454" s="125" t="n"/>
      <c r="O454" s="131" t="n">
        <v>1</v>
      </c>
      <c r="P454" s="120" t="n"/>
      <c r="Q454" s="16" t="n"/>
      <c r="R454" s="17" t="n"/>
      <c r="S454" s="132">
        <f>DADOS_INVOC!$PV$29</f>
        <v/>
      </c>
      <c r="T454" s="125" t="n"/>
      <c r="U454" s="131" t="n">
        <v>1</v>
      </c>
      <c r="V454" s="120" t="n"/>
      <c r="W454" s="16" t="n"/>
      <c r="X454" s="17" t="n"/>
      <c r="Y454" s="132">
        <f>DADOS_INVOC!$PV$30</f>
        <v/>
      </c>
      <c r="Z454" s="125" t="n"/>
      <c r="AB454" s="131" t="n">
        <v>0</v>
      </c>
      <c r="AC454" s="120" t="n"/>
      <c r="AD454" s="16" t="n"/>
      <c r="AE454" s="17" t="n"/>
      <c r="AF454" s="132">
        <f>DADOS_INVOC!$PV$106</f>
        <v/>
      </c>
      <c r="AG454" s="125" t="n"/>
      <c r="AH454" s="131" t="n">
        <v>1</v>
      </c>
      <c r="AI454" s="120" t="n"/>
      <c r="AJ454" s="16" t="n"/>
      <c r="AK454" s="17" t="n"/>
      <c r="AL454" s="132">
        <f>DADOS_INVOC!$PV$107</f>
        <v/>
      </c>
      <c r="AM454" s="125" t="n"/>
      <c r="AN454" s="131" t="n">
        <v>1</v>
      </c>
      <c r="AO454" s="120" t="n"/>
      <c r="AP454" s="16" t="n"/>
      <c r="AQ454" s="17" t="n"/>
      <c r="AR454" s="132">
        <f>DADOS_INVOC!$PV$108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90" t="inlineStr">
        <is>
          <t>Projétil</t>
        </is>
      </c>
      <c r="J459" s="17" t="n"/>
      <c r="K459" s="68">
        <f>DADOS_INVOC!$QC$28</f>
        <v/>
      </c>
      <c r="L459" s="17" t="n"/>
      <c r="M459" s="68">
        <f>DADOS_INVOC!$PY$28</f>
        <v/>
      </c>
      <c r="N459" s="125" t="n"/>
      <c r="O459" s="90" t="inlineStr">
        <is>
          <t>Projétil</t>
        </is>
      </c>
      <c r="P459" s="17" t="n"/>
      <c r="Q459" s="68">
        <f>DADOS_INVOC!$QC$29</f>
        <v/>
      </c>
      <c r="R459" s="17" t="n"/>
      <c r="S459" s="68">
        <f>DADOS_INVOC!$PY$29</f>
        <v/>
      </c>
      <c r="T459" s="125" t="n"/>
      <c r="U459" s="90" t="inlineStr">
        <is>
          <t>Projétil</t>
        </is>
      </c>
      <c r="V459" s="17" t="n"/>
      <c r="W459" s="68">
        <f>DADOS_INVOC!$QC$30</f>
        <v/>
      </c>
      <c r="X459" s="17" t="n"/>
      <c r="Y459" s="68">
        <f>DADOS_INVOC!$PY$30</f>
        <v/>
      </c>
      <c r="Z459" s="125" t="n"/>
      <c r="AB459" s="90" t="inlineStr">
        <is>
          <t>Projétil</t>
        </is>
      </c>
      <c r="AC459" s="17" t="n"/>
      <c r="AD459" s="68">
        <f>DADOS_INVOC!$QC$106</f>
        <v/>
      </c>
      <c r="AE459" s="17" t="n"/>
      <c r="AF459" s="68">
        <f>DADOS_INVOC!$PY$106</f>
        <v/>
      </c>
      <c r="AG459" s="125" t="n"/>
      <c r="AH459" s="90" t="inlineStr">
        <is>
          <t>Projétil</t>
        </is>
      </c>
      <c r="AI459" s="17" t="n"/>
      <c r="AJ459" s="68">
        <f>DADOS_INVOC!$QC$107</f>
        <v/>
      </c>
      <c r="AK459" s="17" t="n"/>
      <c r="AL459" s="68">
        <f>DADOS_INVOC!$PY$107</f>
        <v/>
      </c>
      <c r="AM459" s="125" t="n"/>
      <c r="AN459" s="90" t="inlineStr">
        <is>
          <t>Projétil</t>
        </is>
      </c>
      <c r="AO459" s="17" t="n"/>
      <c r="AP459" s="68">
        <f>DADOS_INVOC!$QC$108</f>
        <v/>
      </c>
      <c r="AQ459" s="17" t="n"/>
      <c r="AR459" s="68">
        <f>DADOS_INVOC!$PY$108</f>
        <v/>
      </c>
      <c r="AS459" s="125" t="n"/>
    </row>
    <row r="460" hidden="1" outlineLevel="1">
      <c r="A460" s="8" t="n"/>
      <c r="B460" s="14" t="n"/>
      <c r="C460" s="125" t="n"/>
      <c r="D460" s="125" t="n"/>
      <c r="E460" s="125" t="n"/>
      <c r="F460" s="125" t="n"/>
      <c r="G460" s="125" t="n"/>
      <c r="I460" s="90" t="n"/>
      <c r="J460" s="17" t="n"/>
      <c r="K460" s="90" t="n"/>
      <c r="L460" s="16" t="n"/>
      <c r="M460" s="17" t="n"/>
      <c r="N460" s="125" t="n"/>
      <c r="O460" s="90" t="n"/>
      <c r="P460" s="17" t="n"/>
      <c r="Q460" s="90" t="n"/>
      <c r="R460" s="16" t="n"/>
      <c r="S460" s="17" t="n"/>
      <c r="T460" s="125" t="n"/>
      <c r="U460" s="90" t="n"/>
      <c r="V460" s="17" t="n"/>
      <c r="W460" s="90" t="n"/>
      <c r="X460" s="16" t="n"/>
      <c r="Y460" s="17" t="n"/>
      <c r="Z460" s="125" t="n"/>
      <c r="AB460" s="90" t="n"/>
      <c r="AC460" s="17" t="n"/>
      <c r="AD460" s="90" t="n"/>
      <c r="AE460" s="16" t="n"/>
      <c r="AF460" s="17" t="n"/>
      <c r="AG460" s="125" t="n"/>
      <c r="AH460" s="90" t="n"/>
      <c r="AI460" s="17" t="n"/>
      <c r="AJ460" s="90" t="n"/>
      <c r="AK460" s="16" t="n"/>
      <c r="AL460" s="17" t="n"/>
      <c r="AM460" s="125" t="n"/>
      <c r="AN460" s="90" t="n"/>
      <c r="AO460" s="17" t="n"/>
      <c r="AP460" s="90" t="n"/>
      <c r="AQ460" s="16" t="n"/>
      <c r="AR460" s="17" t="n"/>
      <c r="AS460" s="125" t="n"/>
    </row>
    <row r="461" hidden="1" outlineLevel="1">
      <c r="A461" s="8" t="n"/>
      <c r="B461" s="14" t="n"/>
      <c r="C461" s="125" t="n"/>
      <c r="D461" s="125" t="n"/>
      <c r="E461" s="125" t="n"/>
      <c r="F461" s="125" t="n"/>
      <c r="G461" s="125" t="n"/>
      <c r="I461" s="90">
        <f>DADOS_INVOC!$PZ$28</f>
        <v/>
      </c>
      <c r="J461" s="17" t="n"/>
      <c r="K461" s="90">
        <f>DADOS_INVOC!$QB$28</f>
        <v/>
      </c>
      <c r="L461" s="16" t="n"/>
      <c r="M461" s="17" t="n"/>
      <c r="N461" s="125" t="n"/>
      <c r="O461" s="90">
        <f>DADOS_INVOC!$PZ$29</f>
        <v/>
      </c>
      <c r="P461" s="17" t="n"/>
      <c r="Q461" s="90">
        <f>DADOS_INVOC!$QB$29</f>
        <v/>
      </c>
      <c r="R461" s="16" t="n"/>
      <c r="S461" s="17" t="n"/>
      <c r="T461" s="125" t="n"/>
      <c r="U461" s="90">
        <f>DADOS_INVOC!$PZ$30</f>
        <v/>
      </c>
      <c r="V461" s="17" t="n"/>
      <c r="W461" s="90">
        <f>DADOS_INVOC!$QB$30</f>
        <v/>
      </c>
      <c r="X461" s="16" t="n"/>
      <c r="Y461" s="17" t="n"/>
      <c r="Z461" s="125" t="n"/>
      <c r="AB461" s="90">
        <f>DADOS_INVOC!$PZ$106</f>
        <v/>
      </c>
      <c r="AC461" s="17" t="n"/>
      <c r="AD461" s="90">
        <f>DADOS_INVOC!$QB$106</f>
        <v/>
      </c>
      <c r="AE461" s="16" t="n"/>
      <c r="AF461" s="17" t="n"/>
      <c r="AG461" s="125" t="n"/>
      <c r="AH461" s="90">
        <f>DADOS_INVOC!$PZ$107</f>
        <v/>
      </c>
      <c r="AI461" s="17" t="n"/>
      <c r="AJ461" s="90">
        <f>DADOS_INVOC!$QB$107</f>
        <v/>
      </c>
      <c r="AK461" s="16" t="n"/>
      <c r="AL461" s="17" t="n"/>
      <c r="AM461" s="125" t="n"/>
      <c r="AN461" s="90">
        <f>DADOS_INVOC!$PZ$108</f>
        <v/>
      </c>
      <c r="AO461" s="17" t="n"/>
      <c r="AP461" s="90">
        <f>DADOS_INVOC!$QB$108</f>
        <v/>
      </c>
      <c r="AQ461" s="16" t="n"/>
      <c r="AR461" s="17" t="n"/>
      <c r="AS461" s="125" t="n"/>
    </row>
    <row r="462" hidden="1" outlineLevel="1">
      <c r="A462" s="8" t="n"/>
      <c r="B462" s="14" t="n"/>
      <c r="C462" s="125" t="n"/>
      <c r="D462" s="125" t="n"/>
      <c r="E462" s="125" t="n"/>
      <c r="F462" s="125" t="n"/>
      <c r="G462" s="125" t="n"/>
      <c r="I462" s="133">
        <f>DADOS_INVOC!$QH$28</f>
        <v/>
      </c>
      <c r="J462" s="16" t="n"/>
      <c r="K462" s="16" t="n"/>
      <c r="L462" s="16" t="n"/>
      <c r="M462" s="17" t="n"/>
      <c r="N462" s="125" t="n"/>
      <c r="O462" s="133">
        <f>DADOS_INVOC!$QH$29</f>
        <v/>
      </c>
      <c r="P462" s="16" t="n"/>
      <c r="Q462" s="16" t="n"/>
      <c r="R462" s="16" t="n"/>
      <c r="S462" s="17" t="n"/>
      <c r="T462" s="125" t="n"/>
      <c r="U462" s="133">
        <f>DADOS_INVOC!$QH$30</f>
        <v/>
      </c>
      <c r="V462" s="16" t="n"/>
      <c r="W462" s="16" t="n"/>
      <c r="X462" s="16" t="n"/>
      <c r="Y462" s="17" t="n"/>
      <c r="Z462" s="125" t="n"/>
      <c r="AB462" s="133">
        <f>DADOS_INVOC!$QH$106</f>
        <v/>
      </c>
      <c r="AC462" s="16" t="n"/>
      <c r="AD462" s="16" t="n"/>
      <c r="AE462" s="16" t="n"/>
      <c r="AF462" s="17" t="n"/>
      <c r="AG462" s="125" t="n"/>
      <c r="AH462" s="133">
        <f>DADOS_INVOC!$QH$107</f>
        <v/>
      </c>
      <c r="AI462" s="16" t="n"/>
      <c r="AJ462" s="16" t="n"/>
      <c r="AK462" s="16" t="n"/>
      <c r="AL462" s="17" t="n"/>
      <c r="AM462" s="125" t="n"/>
      <c r="AN462" s="133">
        <f>DADOS_INVOC!$QH$108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DADOS_INVOC!$QK$28</f>
        <v/>
      </c>
      <c r="N463" s="125" t="n"/>
      <c r="O463" s="55" t="inlineStr">
        <is>
          <t>MELHORIAS</t>
        </is>
      </c>
      <c r="P463" s="134" t="n"/>
      <c r="Q463" s="16" t="n"/>
      <c r="R463" s="17" t="n"/>
      <c r="S463" s="133">
        <f>DADOS_INVOC!$QK$29</f>
        <v/>
      </c>
      <c r="T463" s="125" t="n"/>
      <c r="U463" s="55" t="inlineStr">
        <is>
          <t>MELHORIAS</t>
        </is>
      </c>
      <c r="V463" s="134" t="n"/>
      <c r="W463" s="16" t="n"/>
      <c r="X463" s="17" t="n"/>
      <c r="Y463" s="133">
        <f>DADOS_INVOC!$QK$30</f>
        <v/>
      </c>
      <c r="Z463" s="125" t="n"/>
      <c r="AB463" s="55" t="inlineStr">
        <is>
          <t>MELHORIAS</t>
        </is>
      </c>
      <c r="AC463" s="134" t="n"/>
      <c r="AD463" s="16" t="n"/>
      <c r="AE463" s="17" t="n"/>
      <c r="AF463" s="133">
        <f>DADOS_INVOC!$QK$106</f>
        <v/>
      </c>
      <c r="AG463" s="125" t="n"/>
      <c r="AH463" s="55" t="inlineStr">
        <is>
          <t>MELHORIAS</t>
        </is>
      </c>
      <c r="AI463" s="134" t="n"/>
      <c r="AJ463" s="16" t="n"/>
      <c r="AK463" s="17" t="n"/>
      <c r="AL463" s="133">
        <f>DADOS_INVOC!$QK$107</f>
        <v/>
      </c>
      <c r="AM463" s="125" t="n"/>
      <c r="AN463" s="55" t="inlineStr">
        <is>
          <t>MELHORIAS</t>
        </is>
      </c>
      <c r="AO463" s="134" t="n"/>
      <c r="AP463" s="16" t="n"/>
      <c r="AQ463" s="17" t="n"/>
      <c r="AR463" s="133">
        <f>DADOS_INVOC!$QK$108</f>
        <v/>
      </c>
      <c r="AS463" s="125" t="n"/>
    </row>
    <row r="464" hidden="1" outlineLevel="2">
      <c r="A464" s="8" t="n"/>
      <c r="B464" s="14" t="n"/>
      <c r="C464" s="125" t="n"/>
      <c r="D464" s="125" t="n"/>
      <c r="E464" s="125" t="n"/>
      <c r="F464" s="125" t="n"/>
      <c r="G464" s="125" t="n"/>
      <c r="I464" s="135" t="n"/>
      <c r="J464" s="134" t="n"/>
      <c r="K464" s="16" t="n"/>
      <c r="L464" s="17" t="n"/>
      <c r="M464" s="133">
        <f>DADOS_INVOC!$QL$28</f>
        <v/>
      </c>
      <c r="N464" s="125" t="n"/>
      <c r="O464" s="135" t="n"/>
      <c r="P464" s="134" t="n"/>
      <c r="Q464" s="16" t="n"/>
      <c r="R464" s="17" t="n"/>
      <c r="S464" s="133">
        <f>DADOS_INVOC!$QL$29</f>
        <v/>
      </c>
      <c r="T464" s="125" t="n"/>
      <c r="U464" s="135" t="n"/>
      <c r="V464" s="134" t="n"/>
      <c r="W464" s="16" t="n"/>
      <c r="X464" s="17" t="n"/>
      <c r="Y464" s="133">
        <f>DADOS_INVOC!$QL$30</f>
        <v/>
      </c>
      <c r="Z464" s="125" t="n"/>
      <c r="AB464" s="135" t="n"/>
      <c r="AC464" s="134" t="n"/>
      <c r="AD464" s="16" t="n"/>
      <c r="AE464" s="17" t="n"/>
      <c r="AF464" s="133">
        <f>DADOS_INVOC!$QL$106</f>
        <v/>
      </c>
      <c r="AG464" s="125" t="n"/>
      <c r="AH464" s="135" t="n"/>
      <c r="AI464" s="134" t="n"/>
      <c r="AJ464" s="16" t="n"/>
      <c r="AK464" s="17" t="n"/>
      <c r="AL464" s="133">
        <f>DADOS_INVOC!$QL$107</f>
        <v/>
      </c>
      <c r="AM464" s="125" t="n"/>
      <c r="AN464" s="135" t="n"/>
      <c r="AO464" s="134" t="n"/>
      <c r="AP464" s="16" t="n"/>
      <c r="AQ464" s="17" t="n"/>
      <c r="AR464" s="133">
        <f>DADOS_INVOC!$QL$108</f>
        <v/>
      </c>
      <c r="AS464" s="125" t="n"/>
    </row>
    <row r="465" hidden="1" outlineLevel="2">
      <c r="A465" s="8" t="n"/>
      <c r="B465" s="14" t="n"/>
      <c r="C465" s="125" t="n"/>
      <c r="D465" s="125" t="n"/>
      <c r="E465" s="125" t="n"/>
      <c r="F465" s="125" t="n"/>
      <c r="G465" s="125" t="n"/>
      <c r="I465" s="135" t="n"/>
      <c r="J465" s="134" t="n"/>
      <c r="K465" s="16" t="n"/>
      <c r="L465" s="17" t="n"/>
      <c r="M465" s="133">
        <f>DADOS_INVOC!$QM$28</f>
        <v/>
      </c>
      <c r="N465" s="125" t="n"/>
      <c r="O465" s="135" t="n"/>
      <c r="P465" s="134" t="n"/>
      <c r="Q465" s="16" t="n"/>
      <c r="R465" s="17" t="n"/>
      <c r="S465" s="133">
        <f>DADOS_INVOC!$QM$29</f>
        <v/>
      </c>
      <c r="T465" s="125" t="n"/>
      <c r="U465" s="135" t="n"/>
      <c r="V465" s="134" t="n"/>
      <c r="W465" s="16" t="n"/>
      <c r="X465" s="17" t="n"/>
      <c r="Y465" s="133">
        <f>DADOS_INVOC!$QM$30</f>
        <v/>
      </c>
      <c r="Z465" s="125" t="n"/>
      <c r="AB465" s="135" t="n"/>
      <c r="AC465" s="134" t="n"/>
      <c r="AD465" s="16" t="n"/>
      <c r="AE465" s="17" t="n"/>
      <c r="AF465" s="133">
        <f>DADOS_INVOC!$QM$106</f>
        <v/>
      </c>
      <c r="AG465" s="125" t="n"/>
      <c r="AH465" s="135" t="n"/>
      <c r="AI465" s="134" t="n"/>
      <c r="AJ465" s="16" t="n"/>
      <c r="AK465" s="17" t="n"/>
      <c r="AL465" s="133">
        <f>DADOS_INVOC!$QM$107</f>
        <v/>
      </c>
      <c r="AM465" s="125" t="n"/>
      <c r="AN465" s="135" t="n"/>
      <c r="AO465" s="134" t="n"/>
      <c r="AP465" s="16" t="n"/>
      <c r="AQ465" s="17" t="n"/>
      <c r="AR465" s="133">
        <f>DADOS_INVOC!$QM$108</f>
        <v/>
      </c>
      <c r="AS465" s="125" t="n"/>
    </row>
    <row r="466" hidden="1" outlineLevel="2">
      <c r="A466" s="8" t="n"/>
      <c r="B466" s="14" t="n"/>
      <c r="C466" s="125" t="n"/>
      <c r="D466" s="125" t="n"/>
      <c r="E466" s="125" t="n"/>
      <c r="F466" s="125" t="n"/>
      <c r="G466" s="125" t="n"/>
      <c r="I466" s="129" t="n"/>
      <c r="J466" s="134" t="n"/>
      <c r="K466" s="16" t="n"/>
      <c r="L466" s="17" t="n"/>
      <c r="M466" s="133">
        <f>DADOS_INVOC!$QN$28</f>
        <v/>
      </c>
      <c r="N466" s="125" t="n"/>
      <c r="O466" s="129" t="n"/>
      <c r="P466" s="134" t="n"/>
      <c r="Q466" s="16" t="n"/>
      <c r="R466" s="17" t="n"/>
      <c r="S466" s="133">
        <f>DADOS_INVOC!$QN$29</f>
        <v/>
      </c>
      <c r="T466" s="125" t="n"/>
      <c r="U466" s="129" t="n"/>
      <c r="V466" s="134" t="n"/>
      <c r="W466" s="16" t="n"/>
      <c r="X466" s="17" t="n"/>
      <c r="Y466" s="133">
        <f>DADOS_INVOC!$QN$30</f>
        <v/>
      </c>
      <c r="Z466" s="125" t="n"/>
      <c r="AB466" s="129" t="n"/>
      <c r="AC466" s="134" t="n"/>
      <c r="AD466" s="16" t="n"/>
      <c r="AE466" s="17" t="n"/>
      <c r="AF466" s="133">
        <f>DADOS_INVOC!$QN$106</f>
        <v/>
      </c>
      <c r="AG466" s="125" t="n"/>
      <c r="AH466" s="129" t="n"/>
      <c r="AI466" s="134" t="n"/>
      <c r="AJ466" s="16" t="n"/>
      <c r="AK466" s="17" t="n"/>
      <c r="AL466" s="133">
        <f>DADOS_INVOC!$QN$107</f>
        <v/>
      </c>
      <c r="AM466" s="125" t="n"/>
      <c r="AN466" s="129" t="n"/>
      <c r="AO466" s="134" t="n"/>
      <c r="AP466" s="16" t="n"/>
      <c r="AQ466" s="17" t="n"/>
      <c r="AR466" s="133">
        <f>DADOS_INVOC!$QN$108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DADOS_INVOC!$QO$28</f>
        <v/>
      </c>
      <c r="N467" s="125" t="n"/>
      <c r="O467" s="55" t="inlineStr">
        <is>
          <t>RESTRIÇÕES</t>
        </is>
      </c>
      <c r="P467" s="134" t="n"/>
      <c r="Q467" s="16" t="n"/>
      <c r="R467" s="17" t="n"/>
      <c r="S467" s="133">
        <f>DADOS_INVOC!$QO$29</f>
        <v/>
      </c>
      <c r="T467" s="125" t="n"/>
      <c r="U467" s="55" t="inlineStr">
        <is>
          <t>RESTRIÇÕES</t>
        </is>
      </c>
      <c r="V467" s="134" t="n"/>
      <c r="W467" s="16" t="n"/>
      <c r="X467" s="17" t="n"/>
      <c r="Y467" s="133">
        <f>DADOS_INVOC!$QO$30</f>
        <v/>
      </c>
      <c r="Z467" s="125" t="n"/>
      <c r="AB467" s="55" t="inlineStr">
        <is>
          <t>RESTRIÇÕES</t>
        </is>
      </c>
      <c r="AC467" s="134" t="n"/>
      <c r="AD467" s="16" t="n"/>
      <c r="AE467" s="17" t="n"/>
      <c r="AF467" s="133">
        <f>DADOS_INVOC!$QO$106</f>
        <v/>
      </c>
      <c r="AG467" s="125" t="n"/>
      <c r="AH467" s="55" t="inlineStr">
        <is>
          <t>RESTRIÇÕES</t>
        </is>
      </c>
      <c r="AI467" s="134" t="n"/>
      <c r="AJ467" s="16" t="n"/>
      <c r="AK467" s="17" t="n"/>
      <c r="AL467" s="133">
        <f>DADOS_INVOC!$QO$107</f>
        <v/>
      </c>
      <c r="AM467" s="125" t="n"/>
      <c r="AN467" s="55" t="inlineStr">
        <is>
          <t>RESTRIÇÕES</t>
        </is>
      </c>
      <c r="AO467" s="134" t="n"/>
      <c r="AP467" s="16" t="n"/>
      <c r="AQ467" s="17" t="n"/>
      <c r="AR467" s="133">
        <f>DADOS_INVOC!$QO$108</f>
        <v/>
      </c>
      <c r="AS467" s="125" t="n"/>
    </row>
    <row r="468" hidden="1" outlineLevel="2">
      <c r="A468" s="8" t="n"/>
      <c r="B468" s="14" t="n"/>
      <c r="C468" s="125" t="n"/>
      <c r="D468" s="125" t="n"/>
      <c r="E468" s="125" t="n"/>
      <c r="F468" s="125" t="n"/>
      <c r="G468" s="125" t="n"/>
      <c r="I468" s="129" t="n"/>
      <c r="J468" s="134" t="n"/>
      <c r="K468" s="16" t="n"/>
      <c r="L468" s="17" t="n"/>
      <c r="M468" s="133">
        <f>DADOS_INVOC!$QP$28</f>
        <v/>
      </c>
      <c r="N468" s="125" t="n"/>
      <c r="O468" s="129" t="n"/>
      <c r="P468" s="134" t="n"/>
      <c r="Q468" s="16" t="n"/>
      <c r="R468" s="17" t="n"/>
      <c r="S468" s="133">
        <f>DADOS_INVOC!$QP$29</f>
        <v/>
      </c>
      <c r="T468" s="125" t="n"/>
      <c r="U468" s="129" t="n"/>
      <c r="V468" s="134" t="n"/>
      <c r="W468" s="16" t="n"/>
      <c r="X468" s="17" t="n"/>
      <c r="Y468" s="133">
        <f>DADOS_INVOC!$QP$30</f>
        <v/>
      </c>
      <c r="Z468" s="125" t="n"/>
      <c r="AB468" s="129" t="n"/>
      <c r="AC468" s="134" t="n"/>
      <c r="AD468" s="16" t="n"/>
      <c r="AE468" s="17" t="n"/>
      <c r="AF468" s="133">
        <f>DADOS_INVOC!$QP$106</f>
        <v/>
      </c>
      <c r="AG468" s="125" t="n"/>
      <c r="AH468" s="129" t="n"/>
      <c r="AI468" s="134" t="n"/>
      <c r="AJ468" s="16" t="n"/>
      <c r="AK468" s="17" t="n"/>
      <c r="AL468" s="133">
        <f>DADOS_INVOC!$QP$107</f>
        <v/>
      </c>
      <c r="AM468" s="125" t="n"/>
      <c r="AN468" s="129" t="n"/>
      <c r="AO468" s="134" t="n"/>
      <c r="AP468" s="16" t="n"/>
      <c r="AQ468" s="17" t="n"/>
      <c r="AR468" s="133">
        <f>DADOS_INVOC!$QP$108</f>
        <v/>
      </c>
      <c r="AS468" s="125" t="n"/>
    </row>
    <row r="469" hidden="1" outlineLevel="2">
      <c r="A469" s="8" t="n"/>
      <c r="B469" s="14" t="n"/>
      <c r="C469" s="125" t="n"/>
      <c r="D469" s="125" t="n"/>
      <c r="E469" s="125" t="n"/>
      <c r="F469" s="125" t="n"/>
      <c r="G469" s="125" t="n"/>
      <c r="I469" s="55" t="inlineStr">
        <is>
          <t>CONTA</t>
        </is>
      </c>
      <c r="J469" s="136">
        <f>DADOS_INVOC!$QI$28</f>
        <v/>
      </c>
      <c r="K469" s="16" t="n"/>
      <c r="L469" s="16" t="n"/>
      <c r="M469" s="17" t="n"/>
      <c r="N469" s="125" t="n"/>
      <c r="O469" s="55" t="inlineStr">
        <is>
          <t>CONTA</t>
        </is>
      </c>
      <c r="P469" s="136">
        <f>DADOS_INVOC!$QI$29</f>
        <v/>
      </c>
      <c r="Q469" s="16" t="n"/>
      <c r="R469" s="16" t="n"/>
      <c r="S469" s="17" t="n"/>
      <c r="T469" s="125" t="n"/>
      <c r="U469" s="55" t="inlineStr">
        <is>
          <t>CONTA</t>
        </is>
      </c>
      <c r="V469" s="136">
        <f>DADOS_INVOC!$QI$30</f>
        <v/>
      </c>
      <c r="W469" s="16" t="n"/>
      <c r="X469" s="16" t="n"/>
      <c r="Y469" s="17" t="n"/>
      <c r="Z469" s="125" t="n"/>
      <c r="AB469" s="55" t="inlineStr">
        <is>
          <t>CONTA</t>
        </is>
      </c>
      <c r="AC469" s="136">
        <f>DADOS_INVOC!$QI$106</f>
        <v/>
      </c>
      <c r="AD469" s="16" t="n"/>
      <c r="AE469" s="16" t="n"/>
      <c r="AF469" s="17" t="n"/>
      <c r="AG469" s="125" t="n"/>
      <c r="AH469" s="55" t="inlineStr">
        <is>
          <t>CONTA</t>
        </is>
      </c>
      <c r="AI469" s="136">
        <f>DADOS_INVOC!$QI$107</f>
        <v/>
      </c>
      <c r="AJ469" s="16" t="n"/>
      <c r="AK469" s="16" t="n"/>
      <c r="AL469" s="17" t="n"/>
      <c r="AM469" s="125" t="n"/>
      <c r="AN469" s="55" t="inlineStr">
        <is>
          <t>CONTA</t>
        </is>
      </c>
      <c r="AO469" s="136">
        <f>DADOS_INVOC!$QI$108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DADOS_INVOC!$QJ$28</f>
        <v/>
      </c>
      <c r="K470" s="19" t="n"/>
      <c r="L470" s="19" t="n"/>
      <c r="M470" s="20" t="n"/>
      <c r="N470" s="125" t="n"/>
      <c r="O470" s="55" t="inlineStr">
        <is>
          <t>AMPLIAR</t>
        </is>
      </c>
      <c r="P470" s="136">
        <f>DADOS_INVOC!$QJ$29</f>
        <v/>
      </c>
      <c r="Q470" s="19" t="n"/>
      <c r="R470" s="19" t="n"/>
      <c r="S470" s="20" t="n"/>
      <c r="T470" s="125" t="n"/>
      <c r="U470" s="55" t="inlineStr">
        <is>
          <t>AMPLIAR</t>
        </is>
      </c>
      <c r="V470" s="136">
        <f>DADOS_INVOC!$QJ$30</f>
        <v/>
      </c>
      <c r="W470" s="19" t="n"/>
      <c r="X470" s="19" t="n"/>
      <c r="Y470" s="20" t="n"/>
      <c r="Z470" s="125" t="n"/>
      <c r="AB470" s="55" t="inlineStr">
        <is>
          <t>AMPLIAR</t>
        </is>
      </c>
      <c r="AC470" s="136">
        <f>DADOS_INVOC!$QJ$106</f>
        <v/>
      </c>
      <c r="AD470" s="19" t="n"/>
      <c r="AE470" s="19" t="n"/>
      <c r="AF470" s="20" t="n"/>
      <c r="AG470" s="125" t="n"/>
      <c r="AH470" s="55" t="inlineStr">
        <is>
          <t>AMPLIAR</t>
        </is>
      </c>
      <c r="AI470" s="136">
        <f>DADOS_INVOC!$QJ$107</f>
        <v/>
      </c>
      <c r="AJ470" s="19" t="n"/>
      <c r="AK470" s="19" t="n"/>
      <c r="AL470" s="20" t="n"/>
      <c r="AM470" s="125" t="n"/>
      <c r="AN470" s="55" t="inlineStr">
        <is>
          <t>AMPLIAR</t>
        </is>
      </c>
      <c r="AO470" s="136">
        <f>DADOS_INVOC!$QJ$108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DADOS_INVOC!$PW$28</f>
        <v/>
      </c>
      <c r="J472" s="19" t="n"/>
      <c r="K472" s="19" t="n"/>
      <c r="L472" s="19" t="n"/>
      <c r="M472" s="20" t="n"/>
      <c r="N472" s="125" t="n"/>
      <c r="O472" s="136">
        <f>DADOS_INVOC!$PW$29</f>
        <v/>
      </c>
      <c r="P472" s="19" t="n"/>
      <c r="Q472" s="19" t="n"/>
      <c r="R472" s="19" t="n"/>
      <c r="S472" s="20" t="n"/>
      <c r="T472" s="125" t="n"/>
      <c r="U472" s="136">
        <f>DADOS_INVOC!$PW$30</f>
        <v/>
      </c>
      <c r="V472" s="19" t="n"/>
      <c r="W472" s="19" t="n"/>
      <c r="X472" s="19" t="n"/>
      <c r="Y472" s="20" t="n"/>
      <c r="Z472" s="125" t="n"/>
      <c r="AB472" s="136">
        <f>DADOS_INVOC!$PW$106</f>
        <v/>
      </c>
      <c r="AC472" s="19" t="n"/>
      <c r="AD472" s="19" t="n"/>
      <c r="AE472" s="19" t="n"/>
      <c r="AF472" s="20" t="n"/>
      <c r="AG472" s="125" t="n"/>
      <c r="AH472" s="136">
        <f>DADOS_INVOC!$PW$107</f>
        <v/>
      </c>
      <c r="AI472" s="19" t="n"/>
      <c r="AJ472" s="19" t="n"/>
      <c r="AK472" s="19" t="n"/>
      <c r="AL472" s="20" t="n"/>
      <c r="AM472" s="125" t="n"/>
      <c r="AN472" s="136">
        <f>DADOS_INVOC!$PW$108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DADOS_INVOC!$PX$31</f>
        <v/>
      </c>
      <c r="J487" s="16" t="n"/>
      <c r="K487" s="16" t="n"/>
      <c r="L487" s="16" t="n"/>
      <c r="M487" s="17" t="n"/>
      <c r="N487" s="125" t="n"/>
      <c r="O487" s="55">
        <f>DADOS_INVOC!$PX$32</f>
        <v/>
      </c>
      <c r="P487" s="16" t="n"/>
      <c r="Q487" s="16" t="n"/>
      <c r="R487" s="16" t="n"/>
      <c r="S487" s="17" t="n"/>
      <c r="T487" s="125" t="n"/>
      <c r="U487" s="55">
        <f>DADOS_INVOC!$PX$33</f>
        <v/>
      </c>
      <c r="V487" s="16" t="n"/>
      <c r="W487" s="16" t="n"/>
      <c r="X487" s="16" t="n"/>
      <c r="Y487" s="17" t="n"/>
      <c r="Z487" s="125" t="n"/>
      <c r="AB487" s="55">
        <f>DADOS_INVOC!$PX$109</f>
        <v/>
      </c>
      <c r="AC487" s="16" t="n"/>
      <c r="AD487" s="16" t="n"/>
      <c r="AE487" s="16" t="n"/>
      <c r="AF487" s="17" t="n"/>
      <c r="AG487" s="125" t="n"/>
      <c r="AH487" s="55">
        <f>DADOS_INVOC!$PX$110</f>
        <v/>
      </c>
      <c r="AI487" s="16" t="n"/>
      <c r="AJ487" s="16" t="n"/>
      <c r="AK487" s="16" t="n"/>
      <c r="AL487" s="17" t="n"/>
      <c r="AM487" s="125" t="n"/>
      <c r="AN487" s="55">
        <f>DADOS_INVOC!$PX$111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DADOS_INVOC!$PV$31</f>
        <v/>
      </c>
      <c r="N488" s="125" t="n"/>
      <c r="O488" s="131" t="n">
        <v>1</v>
      </c>
      <c r="P488" s="120" t="n"/>
      <c r="Q488" s="16" t="n"/>
      <c r="R488" s="17" t="n"/>
      <c r="S488" s="132">
        <f>DADOS_INVOC!$PV$32</f>
        <v/>
      </c>
      <c r="T488" s="125" t="n"/>
      <c r="U488" s="131" t="n">
        <v>1</v>
      </c>
      <c r="V488" s="120" t="n"/>
      <c r="W488" s="16" t="n"/>
      <c r="X488" s="17" t="n"/>
      <c r="Y488" s="132">
        <f>DADOS_INVOC!$PV$33</f>
        <v/>
      </c>
      <c r="Z488" s="125" t="n"/>
      <c r="AB488" s="131" t="n">
        <v>0</v>
      </c>
      <c r="AC488" s="120" t="n"/>
      <c r="AD488" s="16" t="n"/>
      <c r="AE488" s="17" t="n"/>
      <c r="AF488" s="132">
        <f>DADOS_INVOC!$PV$109</f>
        <v/>
      </c>
      <c r="AG488" s="125" t="n"/>
      <c r="AH488" s="131" t="n">
        <v>1</v>
      </c>
      <c r="AI488" s="120" t="n"/>
      <c r="AJ488" s="16" t="n"/>
      <c r="AK488" s="17" t="n"/>
      <c r="AL488" s="132">
        <f>DADOS_INVOC!$PV$110</f>
        <v/>
      </c>
      <c r="AM488" s="125" t="n"/>
      <c r="AN488" s="131" t="n">
        <v>1</v>
      </c>
      <c r="AO488" s="120" t="n"/>
      <c r="AP488" s="16" t="n"/>
      <c r="AQ488" s="17" t="n"/>
      <c r="AR488" s="132">
        <f>DADOS_INVOC!$PV$111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90" t="inlineStr">
        <is>
          <t>Projétil</t>
        </is>
      </c>
      <c r="J493" s="17" t="n"/>
      <c r="K493" s="68">
        <f>DADOS_INVOC!$QC$31</f>
        <v/>
      </c>
      <c r="L493" s="17" t="n"/>
      <c r="M493" s="68">
        <f>DADOS_INVOC!$PY$31</f>
        <v/>
      </c>
      <c r="N493" s="125" t="n"/>
      <c r="O493" s="90" t="inlineStr">
        <is>
          <t>Projétil</t>
        </is>
      </c>
      <c r="P493" s="17" t="n"/>
      <c r="Q493" s="68">
        <f>DADOS_INVOC!$QC$32</f>
        <v/>
      </c>
      <c r="R493" s="17" t="n"/>
      <c r="S493" s="68">
        <f>DADOS_INVOC!$PY$32</f>
        <v/>
      </c>
      <c r="T493" s="125" t="n"/>
      <c r="U493" s="90" t="inlineStr">
        <is>
          <t>Projétil</t>
        </is>
      </c>
      <c r="V493" s="17" t="n"/>
      <c r="W493" s="68">
        <f>DADOS_INVOC!$QC$33</f>
        <v/>
      </c>
      <c r="X493" s="17" t="n"/>
      <c r="Y493" s="68">
        <f>DADOS_INVOC!$PY$33</f>
        <v/>
      </c>
      <c r="Z493" s="125" t="n"/>
      <c r="AB493" s="90" t="inlineStr">
        <is>
          <t>Projétil</t>
        </is>
      </c>
      <c r="AC493" s="17" t="n"/>
      <c r="AD493" s="68">
        <f>DADOS_INVOC!$QC$109</f>
        <v/>
      </c>
      <c r="AE493" s="17" t="n"/>
      <c r="AF493" s="68">
        <f>DADOS_INVOC!$PY$109</f>
        <v/>
      </c>
      <c r="AG493" s="125" t="n"/>
      <c r="AH493" s="90" t="inlineStr">
        <is>
          <t>Projétil</t>
        </is>
      </c>
      <c r="AI493" s="17" t="n"/>
      <c r="AJ493" s="68">
        <f>DADOS_INVOC!$QC$110</f>
        <v/>
      </c>
      <c r="AK493" s="17" t="n"/>
      <c r="AL493" s="68">
        <f>DADOS_INVOC!$PY$110</f>
        <v/>
      </c>
      <c r="AM493" s="125" t="n"/>
      <c r="AN493" s="90" t="inlineStr">
        <is>
          <t>Projétil</t>
        </is>
      </c>
      <c r="AO493" s="17" t="n"/>
      <c r="AP493" s="68">
        <f>DADOS_INVOC!$QC$111</f>
        <v/>
      </c>
      <c r="AQ493" s="17" t="n"/>
      <c r="AR493" s="68">
        <f>DADOS_INVOC!$PY$111</f>
        <v/>
      </c>
      <c r="AS493" s="125" t="n"/>
    </row>
    <row r="494" hidden="1" outlineLevel="2">
      <c r="A494" s="8" t="n"/>
      <c r="B494" s="14" t="n"/>
      <c r="C494" s="125" t="n"/>
      <c r="D494" s="125" t="n"/>
      <c r="E494" s="125" t="n"/>
      <c r="F494" s="125" t="n"/>
      <c r="G494" s="125" t="n"/>
      <c r="I494" s="90" t="n"/>
      <c r="J494" s="17" t="n"/>
      <c r="K494" s="90" t="n"/>
      <c r="L494" s="16" t="n"/>
      <c r="M494" s="17" t="n"/>
      <c r="N494" s="125" t="n"/>
      <c r="O494" s="90" t="n"/>
      <c r="P494" s="17" t="n"/>
      <c r="Q494" s="90" t="n"/>
      <c r="R494" s="16" t="n"/>
      <c r="S494" s="17" t="n"/>
      <c r="T494" s="125" t="n"/>
      <c r="U494" s="90" t="n"/>
      <c r="V494" s="17" t="n"/>
      <c r="W494" s="90" t="n"/>
      <c r="X494" s="16" t="n"/>
      <c r="Y494" s="17" t="n"/>
      <c r="Z494" s="125" t="n"/>
      <c r="AB494" s="90" t="n"/>
      <c r="AC494" s="17" t="n"/>
      <c r="AD494" s="90" t="n"/>
      <c r="AE494" s="16" t="n"/>
      <c r="AF494" s="17" t="n"/>
      <c r="AG494" s="125" t="n"/>
      <c r="AH494" s="90" t="n"/>
      <c r="AI494" s="17" t="n"/>
      <c r="AJ494" s="90" t="n"/>
      <c r="AK494" s="16" t="n"/>
      <c r="AL494" s="17" t="n"/>
      <c r="AM494" s="125" t="n"/>
      <c r="AN494" s="90" t="n"/>
      <c r="AO494" s="17" t="n"/>
      <c r="AP494" s="90" t="n"/>
      <c r="AQ494" s="16" t="n"/>
      <c r="AR494" s="17" t="n"/>
      <c r="AS494" s="125" t="n"/>
    </row>
    <row r="495" hidden="1" outlineLevel="2">
      <c r="A495" s="8" t="n"/>
      <c r="B495" s="14" t="n"/>
      <c r="C495" s="125" t="n"/>
      <c r="D495" s="125" t="n"/>
      <c r="E495" s="125" t="n"/>
      <c r="F495" s="125" t="n"/>
      <c r="G495" s="125" t="n"/>
      <c r="I495" s="90">
        <f>DADOS_INVOC!$PZ$31</f>
        <v/>
      </c>
      <c r="J495" s="17" t="n"/>
      <c r="K495" s="90">
        <f>DADOS_INVOC!$QB$31</f>
        <v/>
      </c>
      <c r="L495" s="16" t="n"/>
      <c r="M495" s="17" t="n"/>
      <c r="N495" s="125" t="n"/>
      <c r="O495" s="90">
        <f>DADOS_INVOC!$PZ$32</f>
        <v/>
      </c>
      <c r="P495" s="17" t="n"/>
      <c r="Q495" s="90">
        <f>DADOS_INVOC!$QB$32</f>
        <v/>
      </c>
      <c r="R495" s="16" t="n"/>
      <c r="S495" s="17" t="n"/>
      <c r="T495" s="125" t="n"/>
      <c r="U495" s="90">
        <f>DADOS_INVOC!$PZ$33</f>
        <v/>
      </c>
      <c r="V495" s="17" t="n"/>
      <c r="W495" s="90">
        <f>DADOS_INVOC!$QB$33</f>
        <v/>
      </c>
      <c r="X495" s="16" t="n"/>
      <c r="Y495" s="17" t="n"/>
      <c r="Z495" s="125" t="n"/>
      <c r="AB495" s="90">
        <f>DADOS_INVOC!$PZ$109</f>
        <v/>
      </c>
      <c r="AC495" s="17" t="n"/>
      <c r="AD495" s="90">
        <f>DADOS_INVOC!$QB$109</f>
        <v/>
      </c>
      <c r="AE495" s="16" t="n"/>
      <c r="AF495" s="17" t="n"/>
      <c r="AG495" s="125" t="n"/>
      <c r="AH495" s="90">
        <f>DADOS_INVOC!$PZ$110</f>
        <v/>
      </c>
      <c r="AI495" s="17" t="n"/>
      <c r="AJ495" s="90">
        <f>DADOS_INVOC!$QB$110</f>
        <v/>
      </c>
      <c r="AK495" s="16" t="n"/>
      <c r="AL495" s="17" t="n"/>
      <c r="AM495" s="125" t="n"/>
      <c r="AN495" s="90">
        <f>DADOS_INVOC!$PZ$111</f>
        <v/>
      </c>
      <c r="AO495" s="17" t="n"/>
      <c r="AP495" s="90">
        <f>DADOS_INVOC!$QB$111</f>
        <v/>
      </c>
      <c r="AQ495" s="16" t="n"/>
      <c r="AR495" s="17" t="n"/>
      <c r="AS495" s="125" t="n"/>
    </row>
    <row r="496" hidden="1" outlineLevel="2">
      <c r="A496" s="8" t="n"/>
      <c r="B496" s="14" t="n"/>
      <c r="C496" s="125" t="n"/>
      <c r="D496" s="125" t="n"/>
      <c r="E496" s="125" t="n"/>
      <c r="F496" s="125" t="n"/>
      <c r="G496" s="125" t="n"/>
      <c r="I496" s="133">
        <f>DADOS_INVOC!$QH$31</f>
        <v/>
      </c>
      <c r="J496" s="16" t="n"/>
      <c r="K496" s="16" t="n"/>
      <c r="L496" s="16" t="n"/>
      <c r="M496" s="17" t="n"/>
      <c r="N496" s="125" t="n"/>
      <c r="O496" s="133">
        <f>DADOS_INVOC!$QH$32</f>
        <v/>
      </c>
      <c r="P496" s="16" t="n"/>
      <c r="Q496" s="16" t="n"/>
      <c r="R496" s="16" t="n"/>
      <c r="S496" s="17" t="n"/>
      <c r="T496" s="125" t="n"/>
      <c r="U496" s="133">
        <f>DADOS_INVOC!$QH$33</f>
        <v/>
      </c>
      <c r="V496" s="16" t="n"/>
      <c r="W496" s="16" t="n"/>
      <c r="X496" s="16" t="n"/>
      <c r="Y496" s="17" t="n"/>
      <c r="Z496" s="125" t="n"/>
      <c r="AB496" s="133">
        <f>DADOS_INVOC!$QH$109</f>
        <v/>
      </c>
      <c r="AC496" s="16" t="n"/>
      <c r="AD496" s="16" t="n"/>
      <c r="AE496" s="16" t="n"/>
      <c r="AF496" s="17" t="n"/>
      <c r="AG496" s="125" t="n"/>
      <c r="AH496" s="133">
        <f>DADOS_INVOC!$QH$110</f>
        <v/>
      </c>
      <c r="AI496" s="16" t="n"/>
      <c r="AJ496" s="16" t="n"/>
      <c r="AK496" s="16" t="n"/>
      <c r="AL496" s="17" t="n"/>
      <c r="AM496" s="125" t="n"/>
      <c r="AN496" s="133">
        <f>DADOS_INVOC!$QH$111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DADOS_INVOC!$QK$31</f>
        <v/>
      </c>
      <c r="N497" s="125" t="n"/>
      <c r="O497" s="55" t="inlineStr">
        <is>
          <t>MELHORIAS</t>
        </is>
      </c>
      <c r="P497" s="134" t="n"/>
      <c r="Q497" s="16" t="n"/>
      <c r="R497" s="17" t="n"/>
      <c r="S497" s="133">
        <f>DADOS_INVOC!$QK$32</f>
        <v/>
      </c>
      <c r="T497" s="125" t="n"/>
      <c r="U497" s="55" t="inlineStr">
        <is>
          <t>MELHORIAS</t>
        </is>
      </c>
      <c r="V497" s="134" t="n"/>
      <c r="W497" s="16" t="n"/>
      <c r="X497" s="17" t="n"/>
      <c r="Y497" s="133">
        <f>DADOS_INVOC!$QK$33</f>
        <v/>
      </c>
      <c r="Z497" s="125" t="n"/>
      <c r="AB497" s="55" t="inlineStr">
        <is>
          <t>MELHORIAS</t>
        </is>
      </c>
      <c r="AC497" s="134" t="n"/>
      <c r="AD497" s="16" t="n"/>
      <c r="AE497" s="17" t="n"/>
      <c r="AF497" s="133">
        <f>DADOS_INVOC!$QK$109</f>
        <v/>
      </c>
      <c r="AG497" s="125" t="n"/>
      <c r="AH497" s="55" t="inlineStr">
        <is>
          <t>MELHORIAS</t>
        </is>
      </c>
      <c r="AI497" s="134" t="n"/>
      <c r="AJ497" s="16" t="n"/>
      <c r="AK497" s="17" t="n"/>
      <c r="AL497" s="133">
        <f>DADOS_INVOC!$QK$110</f>
        <v/>
      </c>
      <c r="AM497" s="125" t="n"/>
      <c r="AN497" s="55" t="inlineStr">
        <is>
          <t>MELHORIAS</t>
        </is>
      </c>
      <c r="AO497" s="134" t="n"/>
      <c r="AP497" s="16" t="n"/>
      <c r="AQ497" s="17" t="n"/>
      <c r="AR497" s="133">
        <f>DADOS_INVOC!$QK$111</f>
        <v/>
      </c>
      <c r="AS497" s="125" t="n"/>
    </row>
    <row r="498" hidden="1" outlineLevel="3">
      <c r="A498" s="8" t="n"/>
      <c r="B498" s="14" t="n"/>
      <c r="C498" s="125" t="n"/>
      <c r="D498" s="125" t="n"/>
      <c r="E498" s="125" t="n"/>
      <c r="F498" s="125" t="n"/>
      <c r="G498" s="125" t="n"/>
      <c r="I498" s="135" t="n"/>
      <c r="J498" s="134" t="n"/>
      <c r="K498" s="16" t="n"/>
      <c r="L498" s="17" t="n"/>
      <c r="M498" s="133">
        <f>DADOS_INVOC!$QL$31</f>
        <v/>
      </c>
      <c r="N498" s="125" t="n"/>
      <c r="O498" s="135" t="n"/>
      <c r="P498" s="134" t="n"/>
      <c r="Q498" s="16" t="n"/>
      <c r="R498" s="17" t="n"/>
      <c r="S498" s="133">
        <f>DADOS_INVOC!$QL$32</f>
        <v/>
      </c>
      <c r="T498" s="125" t="n"/>
      <c r="U498" s="135" t="n"/>
      <c r="V498" s="134" t="n"/>
      <c r="W498" s="16" t="n"/>
      <c r="X498" s="17" t="n"/>
      <c r="Y498" s="133">
        <f>DADOS_INVOC!$QL$33</f>
        <v/>
      </c>
      <c r="Z498" s="125" t="n"/>
      <c r="AB498" s="135" t="n"/>
      <c r="AC498" s="134" t="n"/>
      <c r="AD498" s="16" t="n"/>
      <c r="AE498" s="17" t="n"/>
      <c r="AF498" s="133">
        <f>DADOS_INVOC!$QL$109</f>
        <v/>
      </c>
      <c r="AG498" s="125" t="n"/>
      <c r="AH498" s="135" t="n"/>
      <c r="AI498" s="134" t="n"/>
      <c r="AJ498" s="16" t="n"/>
      <c r="AK498" s="17" t="n"/>
      <c r="AL498" s="133">
        <f>DADOS_INVOC!$QL$110</f>
        <v/>
      </c>
      <c r="AM498" s="125" t="n"/>
      <c r="AN498" s="135" t="n"/>
      <c r="AO498" s="134" t="n"/>
      <c r="AP498" s="16" t="n"/>
      <c r="AQ498" s="17" t="n"/>
      <c r="AR498" s="133">
        <f>DADOS_INVOC!$QL$111</f>
        <v/>
      </c>
      <c r="AS498" s="125" t="n"/>
    </row>
    <row r="499" hidden="1" outlineLevel="3">
      <c r="A499" s="8" t="n"/>
      <c r="B499" s="14" t="n"/>
      <c r="C499" s="125" t="n"/>
      <c r="D499" s="125" t="n"/>
      <c r="E499" s="125" t="n"/>
      <c r="F499" s="125" t="n"/>
      <c r="G499" s="125" t="n"/>
      <c r="I499" s="135" t="n"/>
      <c r="J499" s="134" t="n"/>
      <c r="K499" s="16" t="n"/>
      <c r="L499" s="17" t="n"/>
      <c r="M499" s="133">
        <f>DADOS_INVOC!$QM$31</f>
        <v/>
      </c>
      <c r="N499" s="125" t="n"/>
      <c r="O499" s="135" t="n"/>
      <c r="P499" s="134" t="n"/>
      <c r="Q499" s="16" t="n"/>
      <c r="R499" s="17" t="n"/>
      <c r="S499" s="133">
        <f>DADOS_INVOC!$QM$32</f>
        <v/>
      </c>
      <c r="T499" s="125" t="n"/>
      <c r="U499" s="135" t="n"/>
      <c r="V499" s="134" t="n"/>
      <c r="W499" s="16" t="n"/>
      <c r="X499" s="17" t="n"/>
      <c r="Y499" s="133">
        <f>DADOS_INVOC!$QM$33</f>
        <v/>
      </c>
      <c r="Z499" s="125" t="n"/>
      <c r="AB499" s="135" t="n"/>
      <c r="AC499" s="134" t="n"/>
      <c r="AD499" s="16" t="n"/>
      <c r="AE499" s="17" t="n"/>
      <c r="AF499" s="133">
        <f>DADOS_INVOC!$QM$109</f>
        <v/>
      </c>
      <c r="AG499" s="125" t="n"/>
      <c r="AH499" s="135" t="n"/>
      <c r="AI499" s="134" t="n"/>
      <c r="AJ499" s="16" t="n"/>
      <c r="AK499" s="17" t="n"/>
      <c r="AL499" s="133">
        <f>DADOS_INVOC!$QM$110</f>
        <v/>
      </c>
      <c r="AM499" s="125" t="n"/>
      <c r="AN499" s="135" t="n"/>
      <c r="AO499" s="134" t="n"/>
      <c r="AP499" s="16" t="n"/>
      <c r="AQ499" s="17" t="n"/>
      <c r="AR499" s="133">
        <f>DADOS_INVOC!$QM$111</f>
        <v/>
      </c>
      <c r="AS499" s="125" t="n"/>
    </row>
    <row r="500" hidden="1" outlineLevel="3">
      <c r="A500" s="8" t="n"/>
      <c r="B500" s="14" t="n"/>
      <c r="C500" s="125" t="n"/>
      <c r="D500" s="125" t="n"/>
      <c r="E500" s="125" t="n"/>
      <c r="F500" s="125" t="n"/>
      <c r="G500" s="125" t="n"/>
      <c r="I500" s="129" t="n"/>
      <c r="J500" s="134" t="n"/>
      <c r="K500" s="16" t="n"/>
      <c r="L500" s="17" t="n"/>
      <c r="M500" s="133">
        <f>DADOS_INVOC!$QN$31</f>
        <v/>
      </c>
      <c r="N500" s="125" t="n"/>
      <c r="O500" s="129" t="n"/>
      <c r="P500" s="134" t="n"/>
      <c r="Q500" s="16" t="n"/>
      <c r="R500" s="17" t="n"/>
      <c r="S500" s="133">
        <f>DADOS_INVOC!$QN$32</f>
        <v/>
      </c>
      <c r="T500" s="125" t="n"/>
      <c r="U500" s="129" t="n"/>
      <c r="V500" s="134" t="n"/>
      <c r="W500" s="16" t="n"/>
      <c r="X500" s="17" t="n"/>
      <c r="Y500" s="133">
        <f>DADOS_INVOC!$QN$33</f>
        <v/>
      </c>
      <c r="Z500" s="125" t="n"/>
      <c r="AB500" s="129" t="n"/>
      <c r="AC500" s="134" t="n"/>
      <c r="AD500" s="16" t="n"/>
      <c r="AE500" s="17" t="n"/>
      <c r="AF500" s="133">
        <f>DADOS_INVOC!$QN$109</f>
        <v/>
      </c>
      <c r="AG500" s="125" t="n"/>
      <c r="AH500" s="129" t="n"/>
      <c r="AI500" s="134" t="n"/>
      <c r="AJ500" s="16" t="n"/>
      <c r="AK500" s="17" t="n"/>
      <c r="AL500" s="133">
        <f>DADOS_INVOC!$QN$110</f>
        <v/>
      </c>
      <c r="AM500" s="125" t="n"/>
      <c r="AN500" s="129" t="n"/>
      <c r="AO500" s="134" t="n"/>
      <c r="AP500" s="16" t="n"/>
      <c r="AQ500" s="17" t="n"/>
      <c r="AR500" s="133">
        <f>DADOS_INVOC!$QN$111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DADOS_INVOC!$QO$31</f>
        <v/>
      </c>
      <c r="N501" s="125" t="n"/>
      <c r="O501" s="55" t="inlineStr">
        <is>
          <t>RESTRIÇÕES</t>
        </is>
      </c>
      <c r="P501" s="134" t="n"/>
      <c r="Q501" s="16" t="n"/>
      <c r="R501" s="17" t="n"/>
      <c r="S501" s="133">
        <f>DADOS_INVOC!$QO$32</f>
        <v/>
      </c>
      <c r="T501" s="125" t="n"/>
      <c r="U501" s="55" t="inlineStr">
        <is>
          <t>RESTRIÇÕES</t>
        </is>
      </c>
      <c r="V501" s="134" t="n"/>
      <c r="W501" s="16" t="n"/>
      <c r="X501" s="17" t="n"/>
      <c r="Y501" s="133">
        <f>DADOS_INVOC!$QO$33</f>
        <v/>
      </c>
      <c r="Z501" s="125" t="n"/>
      <c r="AB501" s="55" t="inlineStr">
        <is>
          <t>RESTRIÇÕES</t>
        </is>
      </c>
      <c r="AC501" s="134" t="n"/>
      <c r="AD501" s="16" t="n"/>
      <c r="AE501" s="17" t="n"/>
      <c r="AF501" s="133">
        <f>DADOS_INVOC!$QO$109</f>
        <v/>
      </c>
      <c r="AG501" s="125" t="n"/>
      <c r="AH501" s="55" t="inlineStr">
        <is>
          <t>RESTRIÇÕES</t>
        </is>
      </c>
      <c r="AI501" s="134" t="n"/>
      <c r="AJ501" s="16" t="n"/>
      <c r="AK501" s="17" t="n"/>
      <c r="AL501" s="133">
        <f>DADOS_INVOC!$QO$110</f>
        <v/>
      </c>
      <c r="AM501" s="125" t="n"/>
      <c r="AN501" s="55" t="inlineStr">
        <is>
          <t>RESTRIÇÕES</t>
        </is>
      </c>
      <c r="AO501" s="134" t="n"/>
      <c r="AP501" s="16" t="n"/>
      <c r="AQ501" s="17" t="n"/>
      <c r="AR501" s="133">
        <f>DADOS_INVOC!$QO$111</f>
        <v/>
      </c>
      <c r="AS501" s="125" t="n"/>
    </row>
    <row r="502" hidden="1" outlineLevel="3">
      <c r="A502" s="8" t="n"/>
      <c r="B502" s="14" t="n"/>
      <c r="C502" s="125" t="n"/>
      <c r="D502" s="125" t="n"/>
      <c r="E502" s="125" t="n"/>
      <c r="F502" s="125" t="n"/>
      <c r="G502" s="125" t="n"/>
      <c r="I502" s="129" t="n"/>
      <c r="J502" s="134" t="n"/>
      <c r="K502" s="16" t="n"/>
      <c r="L502" s="17" t="n"/>
      <c r="M502" s="133">
        <f>DADOS_INVOC!$QP$31</f>
        <v/>
      </c>
      <c r="N502" s="125" t="n"/>
      <c r="O502" s="129" t="n"/>
      <c r="P502" s="134" t="n"/>
      <c r="Q502" s="16" t="n"/>
      <c r="R502" s="17" t="n"/>
      <c r="S502" s="133">
        <f>DADOS_INVOC!$QP$32</f>
        <v/>
      </c>
      <c r="T502" s="125" t="n"/>
      <c r="U502" s="129" t="n"/>
      <c r="V502" s="134" t="n"/>
      <c r="W502" s="16" t="n"/>
      <c r="X502" s="17" t="n"/>
      <c r="Y502" s="133">
        <f>DADOS_INVOC!$QP$33</f>
        <v/>
      </c>
      <c r="Z502" s="125" t="n"/>
      <c r="AB502" s="129" t="n"/>
      <c r="AC502" s="134" t="n"/>
      <c r="AD502" s="16" t="n"/>
      <c r="AE502" s="17" t="n"/>
      <c r="AF502" s="133">
        <f>DADOS_INVOC!$QP$109</f>
        <v/>
      </c>
      <c r="AG502" s="125" t="n"/>
      <c r="AH502" s="129" t="n"/>
      <c r="AI502" s="134" t="n"/>
      <c r="AJ502" s="16" t="n"/>
      <c r="AK502" s="17" t="n"/>
      <c r="AL502" s="133">
        <f>DADOS_INVOC!$QP$110</f>
        <v/>
      </c>
      <c r="AM502" s="125" t="n"/>
      <c r="AN502" s="129" t="n"/>
      <c r="AO502" s="134" t="n"/>
      <c r="AP502" s="16" t="n"/>
      <c r="AQ502" s="17" t="n"/>
      <c r="AR502" s="133">
        <f>DADOS_INVOC!$QP$111</f>
        <v/>
      </c>
      <c r="AS502" s="125" t="n"/>
    </row>
    <row r="503" hidden="1" outlineLevel="3">
      <c r="A503" s="8" t="n"/>
      <c r="B503" s="14" t="n"/>
      <c r="C503" s="125" t="n"/>
      <c r="D503" s="125" t="n"/>
      <c r="E503" s="125" t="n"/>
      <c r="F503" s="125" t="n"/>
      <c r="G503" s="125" t="n"/>
      <c r="I503" s="55" t="inlineStr">
        <is>
          <t>CONTA</t>
        </is>
      </c>
      <c r="J503" s="136">
        <f>DADOS_INVOC!$QI$31</f>
        <v/>
      </c>
      <c r="K503" s="16" t="n"/>
      <c r="L503" s="16" t="n"/>
      <c r="M503" s="17" t="n"/>
      <c r="N503" s="125" t="n"/>
      <c r="O503" s="55" t="inlineStr">
        <is>
          <t>CONTA</t>
        </is>
      </c>
      <c r="P503" s="136">
        <f>DADOS_INVOC!$QI$32</f>
        <v/>
      </c>
      <c r="Q503" s="16" t="n"/>
      <c r="R503" s="16" t="n"/>
      <c r="S503" s="17" t="n"/>
      <c r="T503" s="125" t="n"/>
      <c r="U503" s="55" t="inlineStr">
        <is>
          <t>CONTA</t>
        </is>
      </c>
      <c r="V503" s="136">
        <f>DADOS_INVOC!$QI$33</f>
        <v/>
      </c>
      <c r="W503" s="16" t="n"/>
      <c r="X503" s="16" t="n"/>
      <c r="Y503" s="17" t="n"/>
      <c r="Z503" s="125" t="n"/>
      <c r="AB503" s="55" t="inlineStr">
        <is>
          <t>CONTA</t>
        </is>
      </c>
      <c r="AC503" s="136">
        <f>DADOS_INVOC!$QI$109</f>
        <v/>
      </c>
      <c r="AD503" s="16" t="n"/>
      <c r="AE503" s="16" t="n"/>
      <c r="AF503" s="17" t="n"/>
      <c r="AG503" s="125" t="n"/>
      <c r="AH503" s="55" t="inlineStr">
        <is>
          <t>CONTA</t>
        </is>
      </c>
      <c r="AI503" s="136">
        <f>DADOS_INVOC!$QI$110</f>
        <v/>
      </c>
      <c r="AJ503" s="16" t="n"/>
      <c r="AK503" s="16" t="n"/>
      <c r="AL503" s="17" t="n"/>
      <c r="AM503" s="125" t="n"/>
      <c r="AN503" s="55" t="inlineStr">
        <is>
          <t>CONTA</t>
        </is>
      </c>
      <c r="AO503" s="136">
        <f>DADOS_INVOC!$QI$111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DADOS_INVOC!$QJ$31</f>
        <v/>
      </c>
      <c r="K504" s="19" t="n"/>
      <c r="L504" s="19" t="n"/>
      <c r="M504" s="20" t="n"/>
      <c r="N504" s="125" t="n"/>
      <c r="O504" s="55" t="inlineStr">
        <is>
          <t>AMPLIAR</t>
        </is>
      </c>
      <c r="P504" s="136">
        <f>DADOS_INVOC!$QJ$32</f>
        <v/>
      </c>
      <c r="Q504" s="19" t="n"/>
      <c r="R504" s="19" t="n"/>
      <c r="S504" s="20" t="n"/>
      <c r="T504" s="125" t="n"/>
      <c r="U504" s="55" t="inlineStr">
        <is>
          <t>AMPLIAR</t>
        </is>
      </c>
      <c r="V504" s="136">
        <f>DADOS_INVOC!$QJ$33</f>
        <v/>
      </c>
      <c r="W504" s="19" t="n"/>
      <c r="X504" s="19" t="n"/>
      <c r="Y504" s="20" t="n"/>
      <c r="Z504" s="125" t="n"/>
      <c r="AB504" s="55" t="inlineStr">
        <is>
          <t>AMPLIAR</t>
        </is>
      </c>
      <c r="AC504" s="136">
        <f>DADOS_INVOC!$QJ$109</f>
        <v/>
      </c>
      <c r="AD504" s="19" t="n"/>
      <c r="AE504" s="19" t="n"/>
      <c r="AF504" s="20" t="n"/>
      <c r="AG504" s="125" t="n"/>
      <c r="AH504" s="55" t="inlineStr">
        <is>
          <t>AMPLIAR</t>
        </is>
      </c>
      <c r="AI504" s="136">
        <f>DADOS_INVOC!$QJ$110</f>
        <v/>
      </c>
      <c r="AJ504" s="19" t="n"/>
      <c r="AK504" s="19" t="n"/>
      <c r="AL504" s="20" t="n"/>
      <c r="AM504" s="125" t="n"/>
      <c r="AN504" s="55" t="inlineStr">
        <is>
          <t>AMPLIAR</t>
        </is>
      </c>
      <c r="AO504" s="136">
        <f>DADOS_INVOC!$QJ$111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DADOS_INVOC!$PW$31</f>
        <v/>
      </c>
      <c r="J506" s="19" t="n"/>
      <c r="K506" s="19" t="n"/>
      <c r="L506" s="19" t="n"/>
      <c r="M506" s="20" t="n"/>
      <c r="N506" s="125" t="n"/>
      <c r="O506" s="136">
        <f>DADOS_INVOC!$PW$32</f>
        <v/>
      </c>
      <c r="P506" s="19" t="n"/>
      <c r="Q506" s="19" t="n"/>
      <c r="R506" s="19" t="n"/>
      <c r="S506" s="20" t="n"/>
      <c r="T506" s="125" t="n"/>
      <c r="U506" s="136">
        <f>DADOS_INVOC!$PW$33</f>
        <v/>
      </c>
      <c r="V506" s="19" t="n"/>
      <c r="W506" s="19" t="n"/>
      <c r="X506" s="19" t="n"/>
      <c r="Y506" s="20" t="n"/>
      <c r="Z506" s="125" t="n"/>
      <c r="AB506" s="136">
        <f>DADOS_INVOC!$PW$109</f>
        <v/>
      </c>
      <c r="AC506" s="19" t="n"/>
      <c r="AD506" s="19" t="n"/>
      <c r="AE506" s="19" t="n"/>
      <c r="AF506" s="20" t="n"/>
      <c r="AG506" s="125" t="n"/>
      <c r="AH506" s="136">
        <f>DADOS_INVOC!$PW$110</f>
        <v/>
      </c>
      <c r="AI506" s="19" t="n"/>
      <c r="AJ506" s="19" t="n"/>
      <c r="AK506" s="19" t="n"/>
      <c r="AL506" s="20" t="n"/>
      <c r="AM506" s="125" t="n"/>
      <c r="AN506" s="136">
        <f>DADOS_INVOC!$PW$111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DADOS_INVOC!$PX$34</f>
        <v/>
      </c>
      <c r="J509" s="16" t="n"/>
      <c r="K509" s="16" t="n"/>
      <c r="L509" s="16" t="n"/>
      <c r="M509" s="17" t="n"/>
      <c r="N509" s="125" t="n"/>
      <c r="O509" s="55">
        <f>DADOS_INVOC!$PX$35</f>
        <v/>
      </c>
      <c r="P509" s="16" t="n"/>
      <c r="Q509" s="16" t="n"/>
      <c r="R509" s="16" t="n"/>
      <c r="S509" s="17" t="n"/>
      <c r="T509" s="125" t="n"/>
      <c r="U509" s="55">
        <f>DADOS_INVOC!$PX$36</f>
        <v/>
      </c>
      <c r="V509" s="16" t="n"/>
      <c r="W509" s="16" t="n"/>
      <c r="X509" s="16" t="n"/>
      <c r="Y509" s="17" t="n"/>
      <c r="Z509" s="125" t="n"/>
      <c r="AB509" s="55">
        <f>DADOS_INVOC!$PX$112</f>
        <v/>
      </c>
      <c r="AC509" s="16" t="n"/>
      <c r="AD509" s="16" t="n"/>
      <c r="AE509" s="16" t="n"/>
      <c r="AF509" s="17" t="n"/>
      <c r="AG509" s="125" t="n"/>
      <c r="AH509" s="55">
        <f>DADOS_INVOC!$PX$113</f>
        <v/>
      </c>
      <c r="AI509" s="16" t="n"/>
      <c r="AJ509" s="16" t="n"/>
      <c r="AK509" s="16" t="n"/>
      <c r="AL509" s="17" t="n"/>
      <c r="AM509" s="125" t="n"/>
      <c r="AN509" s="55">
        <f>DADOS_INVOC!$PX$114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DADOS_INVOC!$PV$34</f>
        <v/>
      </c>
      <c r="N510" s="125" t="n"/>
      <c r="O510" s="131" t="n">
        <v>1</v>
      </c>
      <c r="P510" s="120" t="n"/>
      <c r="Q510" s="16" t="n"/>
      <c r="R510" s="17" t="n"/>
      <c r="S510" s="132">
        <f>DADOS_INVOC!$PV$35</f>
        <v/>
      </c>
      <c r="T510" s="125" t="n"/>
      <c r="U510" s="131" t="n">
        <v>1</v>
      </c>
      <c r="V510" s="120" t="n"/>
      <c r="W510" s="16" t="n"/>
      <c r="X510" s="17" t="n"/>
      <c r="Y510" s="132">
        <f>DADOS_INVOC!$PV$36</f>
        <v/>
      </c>
      <c r="Z510" s="125" t="n"/>
      <c r="AB510" s="131" t="n">
        <v>1</v>
      </c>
      <c r="AC510" s="120" t="n"/>
      <c r="AD510" s="16" t="n"/>
      <c r="AE510" s="17" t="n"/>
      <c r="AF510" s="132">
        <f>DADOS_INVOC!$PV$112</f>
        <v/>
      </c>
      <c r="AG510" s="125" t="n"/>
      <c r="AH510" s="131" t="n">
        <v>1</v>
      </c>
      <c r="AI510" s="120" t="n"/>
      <c r="AJ510" s="16" t="n"/>
      <c r="AK510" s="17" t="n"/>
      <c r="AL510" s="132">
        <f>DADOS_INVOC!$PV$113</f>
        <v/>
      </c>
      <c r="AM510" s="125" t="n"/>
      <c r="AN510" s="131" t="n">
        <v>1</v>
      </c>
      <c r="AO510" s="120" t="n"/>
      <c r="AP510" s="16" t="n"/>
      <c r="AQ510" s="17" t="n"/>
      <c r="AR510" s="132">
        <f>DADOS_INVOC!$PV$114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90" t="inlineStr">
        <is>
          <t>Projétil</t>
        </is>
      </c>
      <c r="J515" s="17" t="n"/>
      <c r="K515" s="68">
        <f>DADOS_INVOC!$QC$34</f>
        <v/>
      </c>
      <c r="L515" s="17" t="n"/>
      <c r="M515" s="68">
        <f>DADOS_INVOC!$PY$34</f>
        <v/>
      </c>
      <c r="N515" s="125" t="n"/>
      <c r="O515" s="90" t="inlineStr">
        <is>
          <t>Projétil</t>
        </is>
      </c>
      <c r="P515" s="17" t="n"/>
      <c r="Q515" s="68">
        <f>DADOS_INVOC!$QC$35</f>
        <v/>
      </c>
      <c r="R515" s="17" t="n"/>
      <c r="S515" s="68">
        <f>DADOS_INVOC!$PY$35</f>
        <v/>
      </c>
      <c r="T515" s="125" t="n"/>
      <c r="U515" s="90" t="inlineStr">
        <is>
          <t>Projétil</t>
        </is>
      </c>
      <c r="V515" s="17" t="n"/>
      <c r="W515" s="68">
        <f>DADOS_INVOC!$QC$36</f>
        <v/>
      </c>
      <c r="X515" s="17" t="n"/>
      <c r="Y515" s="68">
        <f>DADOS_INVOC!$PY$36</f>
        <v/>
      </c>
      <c r="Z515" s="125" t="n"/>
      <c r="AB515" s="90" t="inlineStr">
        <is>
          <t>Projétil</t>
        </is>
      </c>
      <c r="AC515" s="17" t="n"/>
      <c r="AD515" s="68">
        <f>DADOS_INVOC!$QC$112</f>
        <v/>
      </c>
      <c r="AE515" s="17" t="n"/>
      <c r="AF515" s="68">
        <f>DADOS_INVOC!$PY$112</f>
        <v/>
      </c>
      <c r="AG515" s="125" t="n"/>
      <c r="AH515" s="90" t="inlineStr">
        <is>
          <t>Projétil</t>
        </is>
      </c>
      <c r="AI515" s="17" t="n"/>
      <c r="AJ515" s="68">
        <f>DADOS_INVOC!$QC$113</f>
        <v/>
      </c>
      <c r="AK515" s="17" t="n"/>
      <c r="AL515" s="68">
        <f>DADOS_INVOC!$PY$113</f>
        <v/>
      </c>
      <c r="AM515" s="125" t="n"/>
      <c r="AN515" s="90" t="inlineStr">
        <is>
          <t>Projétil</t>
        </is>
      </c>
      <c r="AO515" s="17" t="n"/>
      <c r="AP515" s="68">
        <f>DADOS_INVOC!$QC$114</f>
        <v/>
      </c>
      <c r="AQ515" s="17" t="n"/>
      <c r="AR515" s="68">
        <f>DADOS_INVOC!$PY$114</f>
        <v/>
      </c>
      <c r="AS515" s="125" t="n"/>
    </row>
    <row r="516" hidden="1" outlineLevel="2">
      <c r="A516" s="8" t="n"/>
      <c r="B516" s="14" t="n"/>
      <c r="C516" s="125" t="n"/>
      <c r="D516" s="125" t="n"/>
      <c r="E516" s="125" t="n"/>
      <c r="F516" s="125" t="n"/>
      <c r="G516" s="125" t="n"/>
      <c r="I516" s="90" t="n"/>
      <c r="J516" s="17" t="n"/>
      <c r="K516" s="90" t="n"/>
      <c r="L516" s="16" t="n"/>
      <c r="M516" s="17" t="n"/>
      <c r="N516" s="125" t="n"/>
      <c r="O516" s="90" t="n"/>
      <c r="P516" s="17" t="n"/>
      <c r="Q516" s="90" t="n"/>
      <c r="R516" s="16" t="n"/>
      <c r="S516" s="17" t="n"/>
      <c r="T516" s="125" t="n"/>
      <c r="U516" s="90" t="n"/>
      <c r="V516" s="17" t="n"/>
      <c r="W516" s="90" t="n"/>
      <c r="X516" s="16" t="n"/>
      <c r="Y516" s="17" t="n"/>
      <c r="Z516" s="125" t="n"/>
      <c r="AB516" s="90" t="n"/>
      <c r="AC516" s="17" t="n"/>
      <c r="AD516" s="90" t="n"/>
      <c r="AE516" s="16" t="n"/>
      <c r="AF516" s="17" t="n"/>
      <c r="AG516" s="125" t="n"/>
      <c r="AH516" s="90" t="n"/>
      <c r="AI516" s="17" t="n"/>
      <c r="AJ516" s="90" t="n"/>
      <c r="AK516" s="16" t="n"/>
      <c r="AL516" s="17" t="n"/>
      <c r="AM516" s="125" t="n"/>
      <c r="AN516" s="90" t="n"/>
      <c r="AO516" s="17" t="n"/>
      <c r="AP516" s="90" t="n"/>
      <c r="AQ516" s="16" t="n"/>
      <c r="AR516" s="17" t="n"/>
      <c r="AS516" s="125" t="n"/>
    </row>
    <row r="517" hidden="1" outlineLevel="2">
      <c r="A517" s="8" t="n"/>
      <c r="B517" s="14" t="n"/>
      <c r="C517" s="125" t="n"/>
      <c r="D517" s="125" t="n"/>
      <c r="E517" s="125" t="n"/>
      <c r="F517" s="125" t="n"/>
      <c r="G517" s="125" t="n"/>
      <c r="I517" s="90">
        <f>DADOS_INVOC!$PZ$34</f>
        <v/>
      </c>
      <c r="J517" s="17" t="n"/>
      <c r="K517" s="90">
        <f>DADOS_INVOC!$QB$34</f>
        <v/>
      </c>
      <c r="L517" s="16" t="n"/>
      <c r="M517" s="17" t="n"/>
      <c r="N517" s="125" t="n"/>
      <c r="O517" s="90">
        <f>DADOS_INVOC!$PZ$35</f>
        <v/>
      </c>
      <c r="P517" s="17" t="n"/>
      <c r="Q517" s="90">
        <f>DADOS_INVOC!$QB$35</f>
        <v/>
      </c>
      <c r="R517" s="16" t="n"/>
      <c r="S517" s="17" t="n"/>
      <c r="T517" s="125" t="n"/>
      <c r="U517" s="90">
        <f>DADOS_INVOC!$PZ$36</f>
        <v/>
      </c>
      <c r="V517" s="17" t="n"/>
      <c r="W517" s="90">
        <f>DADOS_INVOC!$QB$36</f>
        <v/>
      </c>
      <c r="X517" s="16" t="n"/>
      <c r="Y517" s="17" t="n"/>
      <c r="Z517" s="125" t="n"/>
      <c r="AB517" s="90">
        <f>DADOS_INVOC!$PZ$112</f>
        <v/>
      </c>
      <c r="AC517" s="17" t="n"/>
      <c r="AD517" s="90">
        <f>DADOS_INVOC!$QB$112</f>
        <v/>
      </c>
      <c r="AE517" s="16" t="n"/>
      <c r="AF517" s="17" t="n"/>
      <c r="AG517" s="125" t="n"/>
      <c r="AH517" s="90">
        <f>DADOS_INVOC!$PZ$113</f>
        <v/>
      </c>
      <c r="AI517" s="17" t="n"/>
      <c r="AJ517" s="90">
        <f>DADOS_INVOC!$QB$113</f>
        <v/>
      </c>
      <c r="AK517" s="16" t="n"/>
      <c r="AL517" s="17" t="n"/>
      <c r="AM517" s="125" t="n"/>
      <c r="AN517" s="90">
        <f>DADOS_INVOC!$PZ$114</f>
        <v/>
      </c>
      <c r="AO517" s="17" t="n"/>
      <c r="AP517" s="90">
        <f>DADOS_INVOC!$QB$114</f>
        <v/>
      </c>
      <c r="AQ517" s="16" t="n"/>
      <c r="AR517" s="17" t="n"/>
      <c r="AS517" s="125" t="n"/>
    </row>
    <row r="518" hidden="1" outlineLevel="2">
      <c r="A518" s="8" t="n"/>
      <c r="B518" s="14" t="n"/>
      <c r="C518" s="125" t="n"/>
      <c r="D518" s="125" t="n"/>
      <c r="E518" s="125" t="n"/>
      <c r="F518" s="125" t="n"/>
      <c r="G518" s="125" t="n"/>
      <c r="I518" s="133">
        <f>DADOS_INVOC!$QH$34</f>
        <v/>
      </c>
      <c r="J518" s="16" t="n"/>
      <c r="K518" s="16" t="n"/>
      <c r="L518" s="16" t="n"/>
      <c r="M518" s="17" t="n"/>
      <c r="N518" s="125" t="n"/>
      <c r="O518" s="133">
        <f>DADOS_INVOC!$QH$35</f>
        <v/>
      </c>
      <c r="P518" s="16" t="n"/>
      <c r="Q518" s="16" t="n"/>
      <c r="R518" s="16" t="n"/>
      <c r="S518" s="17" t="n"/>
      <c r="T518" s="125" t="n"/>
      <c r="U518" s="133">
        <f>DADOS_INVOC!$QH$36</f>
        <v/>
      </c>
      <c r="V518" s="16" t="n"/>
      <c r="W518" s="16" t="n"/>
      <c r="X518" s="16" t="n"/>
      <c r="Y518" s="17" t="n"/>
      <c r="Z518" s="125" t="n"/>
      <c r="AB518" s="133">
        <f>DADOS_INVOC!$QH$112</f>
        <v/>
      </c>
      <c r="AC518" s="16" t="n"/>
      <c r="AD518" s="16" t="n"/>
      <c r="AE518" s="16" t="n"/>
      <c r="AF518" s="17" t="n"/>
      <c r="AG518" s="125" t="n"/>
      <c r="AH518" s="133">
        <f>DADOS_INVOC!$QH$113</f>
        <v/>
      </c>
      <c r="AI518" s="16" t="n"/>
      <c r="AJ518" s="16" t="n"/>
      <c r="AK518" s="16" t="n"/>
      <c r="AL518" s="17" t="n"/>
      <c r="AM518" s="125" t="n"/>
      <c r="AN518" s="133">
        <f>DADOS_INVOC!$QH$114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DADOS_INVOC!$QK$34</f>
        <v/>
      </c>
      <c r="N519" s="125" t="n"/>
      <c r="O519" s="55" t="inlineStr">
        <is>
          <t>MELHORIAS</t>
        </is>
      </c>
      <c r="P519" s="134" t="n"/>
      <c r="Q519" s="16" t="n"/>
      <c r="R519" s="17" t="n"/>
      <c r="S519" s="133">
        <f>DADOS_INVOC!$QK$35</f>
        <v/>
      </c>
      <c r="T519" s="125" t="n"/>
      <c r="U519" s="55" t="inlineStr">
        <is>
          <t>MELHORIAS</t>
        </is>
      </c>
      <c r="V519" s="134" t="n"/>
      <c r="W519" s="16" t="n"/>
      <c r="X519" s="17" t="n"/>
      <c r="Y519" s="133">
        <f>DADOS_INVOC!$QK$36</f>
        <v/>
      </c>
      <c r="Z519" s="125" t="n"/>
      <c r="AB519" s="55" t="inlineStr">
        <is>
          <t>MELHORIAS</t>
        </is>
      </c>
      <c r="AC519" s="134" t="n"/>
      <c r="AD519" s="16" t="n"/>
      <c r="AE519" s="17" t="n"/>
      <c r="AF519" s="133">
        <f>DADOS_INVOC!$QK$112</f>
        <v/>
      </c>
      <c r="AG519" s="125" t="n"/>
      <c r="AH519" s="55" t="inlineStr">
        <is>
          <t>MELHORIAS</t>
        </is>
      </c>
      <c r="AI519" s="134" t="n"/>
      <c r="AJ519" s="16" t="n"/>
      <c r="AK519" s="17" t="n"/>
      <c r="AL519" s="133">
        <f>DADOS_INVOC!$QK$113</f>
        <v/>
      </c>
      <c r="AM519" s="125" t="n"/>
      <c r="AN519" s="55" t="inlineStr">
        <is>
          <t>MELHORIAS</t>
        </is>
      </c>
      <c r="AO519" s="134" t="n"/>
      <c r="AP519" s="16" t="n"/>
      <c r="AQ519" s="17" t="n"/>
      <c r="AR519" s="133">
        <f>DADOS_INVOC!$QK$114</f>
        <v/>
      </c>
      <c r="AS519" s="125" t="n"/>
    </row>
    <row r="520" hidden="1" outlineLevel="3">
      <c r="A520" s="8" t="n"/>
      <c r="B520" s="14" t="n"/>
      <c r="C520" s="125" t="n"/>
      <c r="D520" s="125" t="n"/>
      <c r="E520" s="125" t="n"/>
      <c r="F520" s="125" t="n"/>
      <c r="G520" s="125" t="n"/>
      <c r="I520" s="135" t="n"/>
      <c r="J520" s="134" t="n"/>
      <c r="K520" s="16" t="n"/>
      <c r="L520" s="17" t="n"/>
      <c r="M520" s="133">
        <f>DADOS_INVOC!$QL$34</f>
        <v/>
      </c>
      <c r="N520" s="125" t="n"/>
      <c r="O520" s="135" t="n"/>
      <c r="P520" s="134" t="n"/>
      <c r="Q520" s="16" t="n"/>
      <c r="R520" s="17" t="n"/>
      <c r="S520" s="133">
        <f>DADOS_INVOC!$QL$35</f>
        <v/>
      </c>
      <c r="T520" s="125" t="n"/>
      <c r="U520" s="135" t="n"/>
      <c r="V520" s="134" t="n"/>
      <c r="W520" s="16" t="n"/>
      <c r="X520" s="17" t="n"/>
      <c r="Y520" s="133">
        <f>DADOS_INVOC!$QL$36</f>
        <v/>
      </c>
      <c r="Z520" s="125" t="n"/>
      <c r="AB520" s="135" t="n"/>
      <c r="AC520" s="134" t="n"/>
      <c r="AD520" s="16" t="n"/>
      <c r="AE520" s="17" t="n"/>
      <c r="AF520" s="133">
        <f>DADOS_INVOC!$QL$112</f>
        <v/>
      </c>
      <c r="AG520" s="125" t="n"/>
      <c r="AH520" s="135" t="n"/>
      <c r="AI520" s="134" t="n"/>
      <c r="AJ520" s="16" t="n"/>
      <c r="AK520" s="17" t="n"/>
      <c r="AL520" s="133">
        <f>DADOS_INVOC!$QL$113</f>
        <v/>
      </c>
      <c r="AM520" s="125" t="n"/>
      <c r="AN520" s="135" t="n"/>
      <c r="AO520" s="134" t="n"/>
      <c r="AP520" s="16" t="n"/>
      <c r="AQ520" s="17" t="n"/>
      <c r="AR520" s="133">
        <f>DADOS_INVOC!$QL$114</f>
        <v/>
      </c>
      <c r="AS520" s="125" t="n"/>
    </row>
    <row r="521" hidden="1" outlineLevel="3">
      <c r="A521" s="8" t="n"/>
      <c r="B521" s="14" t="n"/>
      <c r="C521" s="125" t="n"/>
      <c r="D521" s="125" t="n"/>
      <c r="E521" s="125" t="n"/>
      <c r="F521" s="125" t="n"/>
      <c r="G521" s="125" t="n"/>
      <c r="I521" s="135" t="n"/>
      <c r="J521" s="134" t="n"/>
      <c r="K521" s="16" t="n"/>
      <c r="L521" s="17" t="n"/>
      <c r="M521" s="133">
        <f>DADOS_INVOC!$QM$34</f>
        <v/>
      </c>
      <c r="N521" s="125" t="n"/>
      <c r="O521" s="135" t="n"/>
      <c r="P521" s="134" t="n"/>
      <c r="Q521" s="16" t="n"/>
      <c r="R521" s="17" t="n"/>
      <c r="S521" s="133">
        <f>DADOS_INVOC!$QM$35</f>
        <v/>
      </c>
      <c r="T521" s="125" t="n"/>
      <c r="U521" s="135" t="n"/>
      <c r="V521" s="134" t="n"/>
      <c r="W521" s="16" t="n"/>
      <c r="X521" s="17" t="n"/>
      <c r="Y521" s="133">
        <f>DADOS_INVOC!$QM$36</f>
        <v/>
      </c>
      <c r="Z521" s="125" t="n"/>
      <c r="AB521" s="135" t="n"/>
      <c r="AC521" s="134" t="n"/>
      <c r="AD521" s="16" t="n"/>
      <c r="AE521" s="17" t="n"/>
      <c r="AF521" s="133">
        <f>DADOS_INVOC!$QM$112</f>
        <v/>
      </c>
      <c r="AG521" s="125" t="n"/>
      <c r="AH521" s="135" t="n"/>
      <c r="AI521" s="134" t="n"/>
      <c r="AJ521" s="16" t="n"/>
      <c r="AK521" s="17" t="n"/>
      <c r="AL521" s="133">
        <f>DADOS_INVOC!$QM$113</f>
        <v/>
      </c>
      <c r="AM521" s="125" t="n"/>
      <c r="AN521" s="135" t="n"/>
      <c r="AO521" s="134" t="n"/>
      <c r="AP521" s="16" t="n"/>
      <c r="AQ521" s="17" t="n"/>
      <c r="AR521" s="133">
        <f>DADOS_INVOC!$QM$114</f>
        <v/>
      </c>
      <c r="AS521" s="125" t="n"/>
    </row>
    <row r="522" hidden="1" outlineLevel="3">
      <c r="A522" s="8" t="n"/>
      <c r="B522" s="14" t="n"/>
      <c r="C522" s="125" t="n"/>
      <c r="D522" s="125" t="n"/>
      <c r="E522" s="125" t="n"/>
      <c r="F522" s="125" t="n"/>
      <c r="G522" s="125" t="n"/>
      <c r="I522" s="129" t="n"/>
      <c r="J522" s="134" t="n"/>
      <c r="K522" s="16" t="n"/>
      <c r="L522" s="17" t="n"/>
      <c r="M522" s="133">
        <f>DADOS_INVOC!$QN$34</f>
        <v/>
      </c>
      <c r="N522" s="125" t="n"/>
      <c r="O522" s="129" t="n"/>
      <c r="P522" s="134" t="n"/>
      <c r="Q522" s="16" t="n"/>
      <c r="R522" s="17" t="n"/>
      <c r="S522" s="133">
        <f>DADOS_INVOC!$QN$35</f>
        <v/>
      </c>
      <c r="T522" s="125" t="n"/>
      <c r="U522" s="129" t="n"/>
      <c r="V522" s="134" t="n"/>
      <c r="W522" s="16" t="n"/>
      <c r="X522" s="17" t="n"/>
      <c r="Y522" s="133">
        <f>DADOS_INVOC!$QN$36</f>
        <v/>
      </c>
      <c r="Z522" s="125" t="n"/>
      <c r="AB522" s="129" t="n"/>
      <c r="AC522" s="134" t="n"/>
      <c r="AD522" s="16" t="n"/>
      <c r="AE522" s="17" t="n"/>
      <c r="AF522" s="133">
        <f>DADOS_INVOC!$QN$112</f>
        <v/>
      </c>
      <c r="AG522" s="125" t="n"/>
      <c r="AH522" s="129" t="n"/>
      <c r="AI522" s="134" t="n"/>
      <c r="AJ522" s="16" t="n"/>
      <c r="AK522" s="17" t="n"/>
      <c r="AL522" s="133">
        <f>DADOS_INVOC!$QN$113</f>
        <v/>
      </c>
      <c r="AM522" s="125" t="n"/>
      <c r="AN522" s="129" t="n"/>
      <c r="AO522" s="134" t="n"/>
      <c r="AP522" s="16" t="n"/>
      <c r="AQ522" s="17" t="n"/>
      <c r="AR522" s="133">
        <f>DADOS_INVOC!$QN$114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DADOS_INVOC!$QO$34</f>
        <v/>
      </c>
      <c r="N523" s="125" t="n"/>
      <c r="O523" s="55" t="inlineStr">
        <is>
          <t>RESTRIÇÕES</t>
        </is>
      </c>
      <c r="P523" s="134" t="n"/>
      <c r="Q523" s="16" t="n"/>
      <c r="R523" s="17" t="n"/>
      <c r="S523" s="133">
        <f>DADOS_INVOC!$QO$35</f>
        <v/>
      </c>
      <c r="T523" s="125" t="n"/>
      <c r="U523" s="55" t="inlineStr">
        <is>
          <t>RESTRIÇÕES</t>
        </is>
      </c>
      <c r="V523" s="134" t="n"/>
      <c r="W523" s="16" t="n"/>
      <c r="X523" s="17" t="n"/>
      <c r="Y523" s="133">
        <f>DADOS_INVOC!$QO$36</f>
        <v/>
      </c>
      <c r="Z523" s="125" t="n"/>
      <c r="AB523" s="55" t="inlineStr">
        <is>
          <t>RESTRIÇÕES</t>
        </is>
      </c>
      <c r="AC523" s="134" t="n"/>
      <c r="AD523" s="16" t="n"/>
      <c r="AE523" s="17" t="n"/>
      <c r="AF523" s="133">
        <f>DADOS_INVOC!$QO$112</f>
        <v/>
      </c>
      <c r="AG523" s="125" t="n"/>
      <c r="AH523" s="55" t="inlineStr">
        <is>
          <t>RESTRIÇÕES</t>
        </is>
      </c>
      <c r="AI523" s="134" t="n"/>
      <c r="AJ523" s="16" t="n"/>
      <c r="AK523" s="17" t="n"/>
      <c r="AL523" s="133">
        <f>DADOS_INVOC!$QO$113</f>
        <v/>
      </c>
      <c r="AM523" s="125" t="n"/>
      <c r="AN523" s="55" t="inlineStr">
        <is>
          <t>RESTRIÇÕES</t>
        </is>
      </c>
      <c r="AO523" s="134" t="n"/>
      <c r="AP523" s="16" t="n"/>
      <c r="AQ523" s="17" t="n"/>
      <c r="AR523" s="133">
        <f>DADOS_INVOC!$QO$114</f>
        <v/>
      </c>
      <c r="AS523" s="125" t="n"/>
    </row>
    <row r="524" hidden="1" outlineLevel="3">
      <c r="A524" s="8" t="n"/>
      <c r="B524" s="14" t="n"/>
      <c r="C524" s="125" t="n"/>
      <c r="D524" s="125" t="n"/>
      <c r="E524" s="125" t="n"/>
      <c r="F524" s="125" t="n"/>
      <c r="G524" s="125" t="n"/>
      <c r="I524" s="129" t="n"/>
      <c r="J524" s="134" t="n"/>
      <c r="K524" s="16" t="n"/>
      <c r="L524" s="17" t="n"/>
      <c r="M524" s="133">
        <f>DADOS_INVOC!$QP$34</f>
        <v/>
      </c>
      <c r="N524" s="125" t="n"/>
      <c r="O524" s="129" t="n"/>
      <c r="P524" s="134" t="n"/>
      <c r="Q524" s="16" t="n"/>
      <c r="R524" s="17" t="n"/>
      <c r="S524" s="133">
        <f>DADOS_INVOC!$QP$35</f>
        <v/>
      </c>
      <c r="T524" s="125" t="n"/>
      <c r="U524" s="129" t="n"/>
      <c r="V524" s="134" t="n"/>
      <c r="W524" s="16" t="n"/>
      <c r="X524" s="17" t="n"/>
      <c r="Y524" s="133">
        <f>DADOS_INVOC!$QP$36</f>
        <v/>
      </c>
      <c r="Z524" s="125" t="n"/>
      <c r="AB524" s="129" t="n"/>
      <c r="AC524" s="134" t="n"/>
      <c r="AD524" s="16" t="n"/>
      <c r="AE524" s="17" t="n"/>
      <c r="AF524" s="133">
        <f>DADOS_INVOC!$QP$112</f>
        <v/>
      </c>
      <c r="AG524" s="125" t="n"/>
      <c r="AH524" s="129" t="n"/>
      <c r="AI524" s="134" t="n"/>
      <c r="AJ524" s="16" t="n"/>
      <c r="AK524" s="17" t="n"/>
      <c r="AL524" s="133">
        <f>DADOS_INVOC!$QP$113</f>
        <v/>
      </c>
      <c r="AM524" s="125" t="n"/>
      <c r="AN524" s="129" t="n"/>
      <c r="AO524" s="134" t="n"/>
      <c r="AP524" s="16" t="n"/>
      <c r="AQ524" s="17" t="n"/>
      <c r="AR524" s="133">
        <f>DADOS_INVOC!$QP$114</f>
        <v/>
      </c>
      <c r="AS524" s="125" t="n"/>
    </row>
    <row r="525" hidden="1" outlineLevel="3">
      <c r="A525" s="8" t="n"/>
      <c r="B525" s="14" t="n"/>
      <c r="C525" s="125" t="n"/>
      <c r="D525" s="125" t="n"/>
      <c r="E525" s="125" t="n"/>
      <c r="F525" s="125" t="n"/>
      <c r="G525" s="125" t="n"/>
      <c r="I525" s="55" t="inlineStr">
        <is>
          <t>CONTA</t>
        </is>
      </c>
      <c r="J525" s="136">
        <f>DADOS_INVOC!$QI$34</f>
        <v/>
      </c>
      <c r="K525" s="16" t="n"/>
      <c r="L525" s="16" t="n"/>
      <c r="M525" s="17" t="n"/>
      <c r="N525" s="125" t="n"/>
      <c r="O525" s="55" t="inlineStr">
        <is>
          <t>CONTA</t>
        </is>
      </c>
      <c r="P525" s="136">
        <f>DADOS_INVOC!$QI$35</f>
        <v/>
      </c>
      <c r="Q525" s="16" t="n"/>
      <c r="R525" s="16" t="n"/>
      <c r="S525" s="17" t="n"/>
      <c r="T525" s="125" t="n"/>
      <c r="U525" s="55" t="inlineStr">
        <is>
          <t>CONTA</t>
        </is>
      </c>
      <c r="V525" s="136">
        <f>DADOS_INVOC!$QI$36</f>
        <v/>
      </c>
      <c r="W525" s="16" t="n"/>
      <c r="X525" s="16" t="n"/>
      <c r="Y525" s="17" t="n"/>
      <c r="Z525" s="125" t="n"/>
      <c r="AB525" s="55" t="inlineStr">
        <is>
          <t>CONTA</t>
        </is>
      </c>
      <c r="AC525" s="136">
        <f>DADOS_INVOC!$QI$112</f>
        <v/>
      </c>
      <c r="AD525" s="16" t="n"/>
      <c r="AE525" s="16" t="n"/>
      <c r="AF525" s="17" t="n"/>
      <c r="AG525" s="125" t="n"/>
      <c r="AH525" s="55" t="inlineStr">
        <is>
          <t>CONTA</t>
        </is>
      </c>
      <c r="AI525" s="136">
        <f>DADOS_INVOC!$QI$113</f>
        <v/>
      </c>
      <c r="AJ525" s="16" t="n"/>
      <c r="AK525" s="16" t="n"/>
      <c r="AL525" s="17" t="n"/>
      <c r="AM525" s="125" t="n"/>
      <c r="AN525" s="55" t="inlineStr">
        <is>
          <t>CONTA</t>
        </is>
      </c>
      <c r="AO525" s="136">
        <f>DADOS_INVOC!$QI$114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DADOS_INVOC!$QJ$34</f>
        <v/>
      </c>
      <c r="K526" s="19" t="n"/>
      <c r="L526" s="19" t="n"/>
      <c r="M526" s="20" t="n"/>
      <c r="N526" s="125" t="n"/>
      <c r="O526" s="55" t="inlineStr">
        <is>
          <t>AMPLIAR</t>
        </is>
      </c>
      <c r="P526" s="136">
        <f>DADOS_INVOC!$QJ$35</f>
        <v/>
      </c>
      <c r="Q526" s="19" t="n"/>
      <c r="R526" s="19" t="n"/>
      <c r="S526" s="20" t="n"/>
      <c r="T526" s="125" t="n"/>
      <c r="U526" s="55" t="inlineStr">
        <is>
          <t>AMPLIAR</t>
        </is>
      </c>
      <c r="V526" s="136">
        <f>DADOS_INVOC!$QJ$36</f>
        <v/>
      </c>
      <c r="W526" s="19" t="n"/>
      <c r="X526" s="19" t="n"/>
      <c r="Y526" s="20" t="n"/>
      <c r="Z526" s="125" t="n"/>
      <c r="AB526" s="55" t="inlineStr">
        <is>
          <t>AMPLIAR</t>
        </is>
      </c>
      <c r="AC526" s="136">
        <f>DADOS_INVOC!$QJ$112</f>
        <v/>
      </c>
      <c r="AD526" s="19" t="n"/>
      <c r="AE526" s="19" t="n"/>
      <c r="AF526" s="20" t="n"/>
      <c r="AG526" s="125" t="n"/>
      <c r="AH526" s="55" t="inlineStr">
        <is>
          <t>AMPLIAR</t>
        </is>
      </c>
      <c r="AI526" s="136">
        <f>DADOS_INVOC!$QJ$113</f>
        <v/>
      </c>
      <c r="AJ526" s="19" t="n"/>
      <c r="AK526" s="19" t="n"/>
      <c r="AL526" s="20" t="n"/>
      <c r="AM526" s="125" t="n"/>
      <c r="AN526" s="55" t="inlineStr">
        <is>
          <t>AMPLIAR</t>
        </is>
      </c>
      <c r="AO526" s="136">
        <f>DADOS_INVOC!$QJ$114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DADOS_INVOC!$PW$34</f>
        <v/>
      </c>
      <c r="J528" s="19" t="n"/>
      <c r="K528" s="19" t="n"/>
      <c r="L528" s="19" t="n"/>
      <c r="M528" s="20" t="n"/>
      <c r="N528" s="125" t="n"/>
      <c r="O528" s="136">
        <f>DADOS_INVOC!$PW$35</f>
        <v/>
      </c>
      <c r="P528" s="19" t="n"/>
      <c r="Q528" s="19" t="n"/>
      <c r="R528" s="19" t="n"/>
      <c r="S528" s="20" t="n"/>
      <c r="T528" s="125" t="n"/>
      <c r="U528" s="136">
        <f>DADOS_INVOC!$PW$36</f>
        <v/>
      </c>
      <c r="V528" s="19" t="n"/>
      <c r="W528" s="19" t="n"/>
      <c r="X528" s="19" t="n"/>
      <c r="Y528" s="20" t="n"/>
      <c r="Z528" s="125" t="n"/>
      <c r="AB528" s="136">
        <f>DADOS_INVOC!$PW$112</f>
        <v/>
      </c>
      <c r="AC528" s="19" t="n"/>
      <c r="AD528" s="19" t="n"/>
      <c r="AE528" s="19" t="n"/>
      <c r="AF528" s="20" t="n"/>
      <c r="AG528" s="125" t="n"/>
      <c r="AH528" s="136">
        <f>DADOS_INVOC!$PW$113</f>
        <v/>
      </c>
      <c r="AI528" s="19" t="n"/>
      <c r="AJ528" s="19" t="n"/>
      <c r="AK528" s="19" t="n"/>
      <c r="AL528" s="20" t="n"/>
      <c r="AM528" s="125" t="n"/>
      <c r="AN528" s="136">
        <f>DADOS_INVOC!$PW$114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DADOS_INVOC!$PX$37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DADOS_INVOC!$PX$115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DADOS_INVOC!$PV$37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DADOS_INVOC!$PV$115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90" t="inlineStr">
        <is>
          <t>Projétil</t>
        </is>
      </c>
      <c r="J537" s="17" t="n"/>
      <c r="K537" s="68">
        <f>DADOS_INVOC!$QC$37</f>
        <v/>
      </c>
      <c r="L537" s="17" t="n"/>
      <c r="M537" s="68">
        <f>DADOS_INVOC!$PY$37</f>
        <v/>
      </c>
      <c r="N537" s="125" t="n"/>
      <c r="O537" s="125" t="n"/>
      <c r="P537" s="125" t="n"/>
      <c r="Q537" s="125" t="n"/>
      <c r="R537" s="125" t="n"/>
      <c r="S537" s="125" t="n"/>
      <c r="T537" s="125" t="n"/>
      <c r="U537" s="125" t="n"/>
      <c r="V537" s="125" t="n"/>
      <c r="W537" s="125" t="n"/>
      <c r="X537" s="125" t="n"/>
      <c r="Y537" s="125" t="n"/>
      <c r="Z537" s="125" t="n"/>
      <c r="AB537" s="90" t="inlineStr">
        <is>
          <t>Projétil</t>
        </is>
      </c>
      <c r="AC537" s="17" t="n"/>
      <c r="AD537" s="68">
        <f>DADOS_INVOC!$QC$115</f>
        <v/>
      </c>
      <c r="AE537" s="17" t="n"/>
      <c r="AF537" s="68">
        <f>DADOS_INVOC!$PY$115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90" t="n"/>
      <c r="J538" s="17" t="n"/>
      <c r="K538" s="90" t="n"/>
      <c r="L538" s="16" t="n"/>
      <c r="M538" s="17" t="n"/>
      <c r="N538" s="125" t="n"/>
      <c r="O538" s="125" t="n"/>
      <c r="P538" s="125" t="n"/>
      <c r="Q538" s="125" t="n"/>
      <c r="R538" s="125" t="n"/>
      <c r="S538" s="125" t="n"/>
      <c r="T538" s="125" t="n"/>
      <c r="U538" s="125" t="n"/>
      <c r="V538" s="125" t="n"/>
      <c r="W538" s="125" t="n"/>
      <c r="X538" s="125" t="n"/>
      <c r="Y538" s="125" t="n"/>
      <c r="Z538" s="125" t="n"/>
      <c r="AB538" s="90" t="n"/>
      <c r="AC538" s="17" t="n"/>
      <c r="AD538" s="90"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90">
        <f>DADOS_INVOC!$PZ$37</f>
        <v/>
      </c>
      <c r="J539" s="17" t="n"/>
      <c r="K539" s="90">
        <f>DADOS_INVOC!$QB$37</f>
        <v/>
      </c>
      <c r="L539" s="16" t="n"/>
      <c r="M539" s="17" t="n"/>
      <c r="N539" s="125" t="n"/>
      <c r="O539" s="125" t="n"/>
      <c r="P539" s="125" t="n"/>
      <c r="Q539" s="125" t="n"/>
      <c r="R539" s="125" t="n"/>
      <c r="S539" s="125" t="n"/>
      <c r="T539" s="125" t="n"/>
      <c r="U539" s="125" t="n"/>
      <c r="V539" s="125" t="n"/>
      <c r="W539" s="125" t="n"/>
      <c r="X539" s="125" t="n"/>
      <c r="Y539" s="125" t="n"/>
      <c r="Z539" s="125" t="n"/>
      <c r="AB539" s="90">
        <f>DADOS_INVOC!$PZ$115</f>
        <v/>
      </c>
      <c r="AC539" s="17" t="n"/>
      <c r="AD539" s="90">
        <f>DADOS_INVOC!$QB$115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DADOS_INVOC!$QH$37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DADOS_INVOC!$QH$115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DADOS_INVOC!$QK$37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DADOS_INVOC!$QK$115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DADOS_INVOC!$QL$37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DADOS_INVOC!$QL$115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DADOS_INVOC!$QM$37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DADOS_INVOC!$QM$115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DADOS_INVOC!$QN$37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DADOS_INVOC!$QN$115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DADOS_INVOC!$QO$37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DADOS_INVOC!$QO$115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DADOS_INVOC!$QP$37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DADOS_INVOC!$QP$115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DADOS_INVOC!$QI$37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DADOS_INVOC!$QI$115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DADOS_INVOC!$QJ$37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DADOS_INVOC!$QJ$115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DADOS_INVOC!$PW$37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DADOS_INVOC!$PW$115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DADOS_INVOC!$PX$38</f>
        <v/>
      </c>
      <c r="J555" s="16" t="n"/>
      <c r="K555" s="16" t="n"/>
      <c r="L555" s="16" t="n"/>
      <c r="M555" s="17" t="n"/>
      <c r="N555" s="125" t="n"/>
      <c r="O555" s="55">
        <f>DADOS_INVOC!$PX$39</f>
        <v/>
      </c>
      <c r="P555" s="16" t="n"/>
      <c r="Q555" s="16" t="n"/>
      <c r="R555" s="16" t="n"/>
      <c r="S555" s="17" t="n"/>
      <c r="T555" s="125" t="n"/>
      <c r="U555" s="55">
        <f>DADOS_INVOC!$PX$40</f>
        <v/>
      </c>
      <c r="V555" s="16" t="n"/>
      <c r="W555" s="16" t="n"/>
      <c r="X555" s="16" t="n"/>
      <c r="Y555" s="17" t="n"/>
      <c r="Z555" s="125" t="n"/>
      <c r="AB555" s="55">
        <f>DADOS_INVOC!$PX$116</f>
        <v/>
      </c>
      <c r="AC555" s="16" t="n"/>
      <c r="AD555" s="16" t="n"/>
      <c r="AE555" s="16" t="n"/>
      <c r="AF555" s="17" t="n"/>
      <c r="AG555" s="125" t="n"/>
      <c r="AH555" s="55">
        <f>DADOS_INVOC!$PX$117</f>
        <v/>
      </c>
      <c r="AI555" s="16" t="n"/>
      <c r="AJ555" s="16" t="n"/>
      <c r="AK555" s="16" t="n"/>
      <c r="AL555" s="17" t="n"/>
      <c r="AM555" s="125" t="n"/>
      <c r="AN555" s="55">
        <f>DADOS_INVOC!$PX$118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DADOS_INVOC!$PV$38</f>
        <v/>
      </c>
      <c r="N556" s="125" t="n"/>
      <c r="O556" s="131" t="n">
        <v>1</v>
      </c>
      <c r="P556" s="120" t="n"/>
      <c r="Q556" s="16" t="n"/>
      <c r="R556" s="17" t="n"/>
      <c r="S556" s="132">
        <f>DADOS_INVOC!$PV$39</f>
        <v/>
      </c>
      <c r="T556" s="125" t="n"/>
      <c r="U556" s="131" t="n">
        <v>1</v>
      </c>
      <c r="V556" s="120" t="n"/>
      <c r="W556" s="16" t="n"/>
      <c r="X556" s="17" t="n"/>
      <c r="Y556" s="132">
        <f>DADOS_INVOC!$PV$40</f>
        <v/>
      </c>
      <c r="Z556" s="125" t="n"/>
      <c r="AB556" s="131" t="n">
        <v>1</v>
      </c>
      <c r="AC556" s="120" t="n"/>
      <c r="AD556" s="16" t="n"/>
      <c r="AE556" s="17" t="n"/>
      <c r="AF556" s="132">
        <f>DADOS_INVOC!$PV$116</f>
        <v/>
      </c>
      <c r="AG556" s="125" t="n"/>
      <c r="AH556" s="131" t="n">
        <v>1</v>
      </c>
      <c r="AI556" s="120" t="n"/>
      <c r="AJ556" s="16" t="n"/>
      <c r="AK556" s="17" t="n"/>
      <c r="AL556" s="132">
        <f>DADOS_INVOC!$PV$117</f>
        <v/>
      </c>
      <c r="AM556" s="125" t="n"/>
      <c r="AN556" s="131" t="n">
        <v>1</v>
      </c>
      <c r="AO556" s="120" t="n"/>
      <c r="AP556" s="16" t="n"/>
      <c r="AQ556" s="17" t="n"/>
      <c r="AR556" s="132">
        <f>DADOS_INVOC!$PV$118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90" t="inlineStr">
        <is>
          <t>Projétil</t>
        </is>
      </c>
      <c r="J561" s="17" t="n"/>
      <c r="K561" s="68">
        <f>DADOS_INVOC!$QC$38</f>
        <v/>
      </c>
      <c r="L561" s="17" t="n"/>
      <c r="M561" s="68">
        <f>DADOS_INVOC!$PY$38</f>
        <v/>
      </c>
      <c r="N561" s="125" t="n"/>
      <c r="O561" s="90" t="inlineStr">
        <is>
          <t>Projétil</t>
        </is>
      </c>
      <c r="P561" s="17" t="n"/>
      <c r="Q561" s="68">
        <f>DADOS_INVOC!$QC$39</f>
        <v/>
      </c>
      <c r="R561" s="17" t="n"/>
      <c r="S561" s="68">
        <f>DADOS_INVOC!$PY$39</f>
        <v/>
      </c>
      <c r="T561" s="125" t="n"/>
      <c r="U561" s="90" t="inlineStr">
        <is>
          <t>Projétil</t>
        </is>
      </c>
      <c r="V561" s="17" t="n"/>
      <c r="W561" s="68">
        <f>DADOS_INVOC!$QC$40</f>
        <v/>
      </c>
      <c r="X561" s="17" t="n"/>
      <c r="Y561" s="68">
        <f>DADOS_INVOC!$PY$40</f>
        <v/>
      </c>
      <c r="Z561" s="125" t="n"/>
      <c r="AB561" s="90" t="inlineStr">
        <is>
          <t>Projétil</t>
        </is>
      </c>
      <c r="AC561" s="17" t="n"/>
      <c r="AD561" s="68">
        <f>DADOS_INVOC!$QC$116</f>
        <v/>
      </c>
      <c r="AE561" s="17" t="n"/>
      <c r="AF561" s="68">
        <f>DADOS_INVOC!$PY$116</f>
        <v/>
      </c>
      <c r="AG561" s="125" t="n"/>
      <c r="AH561" s="90" t="inlineStr">
        <is>
          <t>Projétil</t>
        </is>
      </c>
      <c r="AI561" s="17" t="n"/>
      <c r="AJ561" s="68">
        <f>DADOS_INVOC!$QC$117</f>
        <v/>
      </c>
      <c r="AK561" s="17" t="n"/>
      <c r="AL561" s="68">
        <f>DADOS_INVOC!$PY$117</f>
        <v/>
      </c>
      <c r="AM561" s="125" t="n"/>
      <c r="AN561" s="90" t="inlineStr">
        <is>
          <t>Projétil</t>
        </is>
      </c>
      <c r="AO561" s="17" t="n"/>
      <c r="AP561" s="68">
        <f>DADOS_INVOC!$QC$118</f>
        <v/>
      </c>
      <c r="AQ561" s="17" t="n"/>
      <c r="AR561" s="68">
        <f>DADOS_INVOC!$PY$118</f>
        <v/>
      </c>
      <c r="AS561" s="125" t="n"/>
    </row>
    <row r="562" hidden="1" outlineLevel="2">
      <c r="A562" s="8" t="n"/>
      <c r="B562" s="14" t="n"/>
      <c r="C562" s="125" t="n"/>
      <c r="D562" s="125" t="n"/>
      <c r="E562" s="125" t="n"/>
      <c r="F562" s="125" t="n"/>
      <c r="G562" s="125" t="n"/>
      <c r="I562" s="90" t="n"/>
      <c r="J562" s="17" t="n"/>
      <c r="K562" s="90" t="n"/>
      <c r="L562" s="16" t="n"/>
      <c r="M562" s="17" t="n"/>
      <c r="N562" s="125" t="n"/>
      <c r="O562" s="90" t="n"/>
      <c r="P562" s="17" t="n"/>
      <c r="Q562" s="90" t="n"/>
      <c r="R562" s="16" t="n"/>
      <c r="S562" s="17" t="n"/>
      <c r="T562" s="125" t="n"/>
      <c r="U562" s="90" t="n"/>
      <c r="V562" s="17" t="n"/>
      <c r="W562" s="90" t="n"/>
      <c r="X562" s="16" t="n"/>
      <c r="Y562" s="17" t="n"/>
      <c r="Z562" s="125" t="n"/>
      <c r="AB562" s="90" t="n"/>
      <c r="AC562" s="17" t="n"/>
      <c r="AD562" s="90" t="n"/>
      <c r="AE562" s="16" t="n"/>
      <c r="AF562" s="17" t="n"/>
      <c r="AG562" s="125" t="n"/>
      <c r="AH562" s="90" t="n"/>
      <c r="AI562" s="17" t="n"/>
      <c r="AJ562" s="90" t="n"/>
      <c r="AK562" s="16" t="n"/>
      <c r="AL562" s="17" t="n"/>
      <c r="AM562" s="125" t="n"/>
      <c r="AN562" s="90" t="n"/>
      <c r="AO562" s="17" t="n"/>
      <c r="AP562" s="90" t="n"/>
      <c r="AQ562" s="16" t="n"/>
      <c r="AR562" s="17" t="n"/>
      <c r="AS562" s="125" t="n"/>
    </row>
    <row r="563" hidden="1" outlineLevel="2">
      <c r="A563" s="8" t="n"/>
      <c r="B563" s="14" t="n"/>
      <c r="C563" s="125" t="n"/>
      <c r="D563" s="125" t="n"/>
      <c r="E563" s="125" t="n"/>
      <c r="F563" s="125" t="n"/>
      <c r="G563" s="125" t="n"/>
      <c r="I563" s="90">
        <f>DADOS_INVOC!$PZ$38</f>
        <v/>
      </c>
      <c r="J563" s="17" t="n"/>
      <c r="K563" s="90">
        <f>DADOS_INVOC!$QB$38</f>
        <v/>
      </c>
      <c r="L563" s="16" t="n"/>
      <c r="M563" s="17" t="n"/>
      <c r="N563" s="125" t="n"/>
      <c r="O563" s="90">
        <f>DADOS_INVOC!$PZ$39</f>
        <v/>
      </c>
      <c r="P563" s="17" t="n"/>
      <c r="Q563" s="90">
        <f>DADOS_INVOC!$QB$39</f>
        <v/>
      </c>
      <c r="R563" s="16" t="n"/>
      <c r="S563" s="17" t="n"/>
      <c r="T563" s="125" t="n"/>
      <c r="U563" s="90">
        <f>DADOS_INVOC!$PZ$40</f>
        <v/>
      </c>
      <c r="V563" s="17" t="n"/>
      <c r="W563" s="90">
        <f>DADOS_INVOC!$QB$40</f>
        <v/>
      </c>
      <c r="X563" s="16" t="n"/>
      <c r="Y563" s="17" t="n"/>
      <c r="Z563" s="125" t="n"/>
      <c r="AB563" s="90">
        <f>DADOS_INVOC!$PZ$116</f>
        <v/>
      </c>
      <c r="AC563" s="17" t="n"/>
      <c r="AD563" s="90">
        <f>DADOS_INVOC!$QB$116</f>
        <v/>
      </c>
      <c r="AE563" s="16" t="n"/>
      <c r="AF563" s="17" t="n"/>
      <c r="AG563" s="125" t="n"/>
      <c r="AH563" s="90">
        <f>DADOS_INVOC!$PZ$117</f>
        <v/>
      </c>
      <c r="AI563" s="17" t="n"/>
      <c r="AJ563" s="90">
        <f>DADOS_INVOC!$QB$117</f>
        <v/>
      </c>
      <c r="AK563" s="16" t="n"/>
      <c r="AL563" s="17" t="n"/>
      <c r="AM563" s="125" t="n"/>
      <c r="AN563" s="90">
        <f>DADOS_INVOC!$PZ$118</f>
        <v/>
      </c>
      <c r="AO563" s="17" t="n"/>
      <c r="AP563" s="90">
        <f>DADOS_INVOC!$QB$118</f>
        <v/>
      </c>
      <c r="AQ563" s="16" t="n"/>
      <c r="AR563" s="17" t="n"/>
      <c r="AS563" s="125" t="n"/>
    </row>
    <row r="564" hidden="1" outlineLevel="2">
      <c r="A564" s="8" t="n"/>
      <c r="B564" s="14" t="n"/>
      <c r="C564" s="125" t="n"/>
      <c r="D564" s="125" t="n"/>
      <c r="E564" s="125" t="n"/>
      <c r="F564" s="125" t="n"/>
      <c r="G564" s="125" t="n"/>
      <c r="I564" s="133">
        <f>DADOS_INVOC!$QH$38</f>
        <v/>
      </c>
      <c r="J564" s="16" t="n"/>
      <c r="K564" s="16" t="n"/>
      <c r="L564" s="16" t="n"/>
      <c r="M564" s="17" t="n"/>
      <c r="N564" s="125" t="n"/>
      <c r="O564" s="133">
        <f>DADOS_INVOC!$QH$39</f>
        <v/>
      </c>
      <c r="P564" s="16" t="n"/>
      <c r="Q564" s="16" t="n"/>
      <c r="R564" s="16" t="n"/>
      <c r="S564" s="17" t="n"/>
      <c r="T564" s="125" t="n"/>
      <c r="U564" s="133">
        <f>DADOS_INVOC!$QH$40</f>
        <v/>
      </c>
      <c r="V564" s="16" t="n"/>
      <c r="W564" s="16" t="n"/>
      <c r="X564" s="16" t="n"/>
      <c r="Y564" s="17" t="n"/>
      <c r="Z564" s="125" t="n"/>
      <c r="AB564" s="133">
        <f>DADOS_INVOC!$QH$116</f>
        <v/>
      </c>
      <c r="AC564" s="16" t="n"/>
      <c r="AD564" s="16" t="n"/>
      <c r="AE564" s="16" t="n"/>
      <c r="AF564" s="17" t="n"/>
      <c r="AG564" s="125" t="n"/>
      <c r="AH564" s="133">
        <f>DADOS_INVOC!$QH$117</f>
        <v/>
      </c>
      <c r="AI564" s="16" t="n"/>
      <c r="AJ564" s="16" t="n"/>
      <c r="AK564" s="16" t="n"/>
      <c r="AL564" s="17" t="n"/>
      <c r="AM564" s="125" t="n"/>
      <c r="AN564" s="133">
        <f>DADOS_INVOC!$QH$118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DADOS_INVOC!$QK$38</f>
        <v/>
      </c>
      <c r="N565" s="125" t="n"/>
      <c r="O565" s="55" t="inlineStr">
        <is>
          <t>MELHORIAS</t>
        </is>
      </c>
      <c r="P565" s="134" t="n"/>
      <c r="Q565" s="16" t="n"/>
      <c r="R565" s="17" t="n"/>
      <c r="S565" s="133">
        <f>DADOS_INVOC!$QK$39</f>
        <v/>
      </c>
      <c r="T565" s="125" t="n"/>
      <c r="U565" s="55" t="inlineStr">
        <is>
          <t>MELHORIAS</t>
        </is>
      </c>
      <c r="V565" s="134" t="n"/>
      <c r="W565" s="16" t="n"/>
      <c r="X565" s="17" t="n"/>
      <c r="Y565" s="133">
        <f>DADOS_INVOC!$QK$40</f>
        <v/>
      </c>
      <c r="Z565" s="125" t="n"/>
      <c r="AB565" s="55" t="inlineStr">
        <is>
          <t>MELHORIAS</t>
        </is>
      </c>
      <c r="AC565" s="134" t="n"/>
      <c r="AD565" s="16" t="n"/>
      <c r="AE565" s="17" t="n"/>
      <c r="AF565" s="133">
        <f>DADOS_INVOC!$QK$116</f>
        <v/>
      </c>
      <c r="AG565" s="125" t="n"/>
      <c r="AH565" s="55" t="inlineStr">
        <is>
          <t>MELHORIAS</t>
        </is>
      </c>
      <c r="AI565" s="134" t="n"/>
      <c r="AJ565" s="16" t="n"/>
      <c r="AK565" s="17" t="n"/>
      <c r="AL565" s="133">
        <f>DADOS_INVOC!$QK$117</f>
        <v/>
      </c>
      <c r="AM565" s="125" t="n"/>
      <c r="AN565" s="55" t="inlineStr">
        <is>
          <t>MELHORIAS</t>
        </is>
      </c>
      <c r="AO565" s="134" t="n"/>
      <c r="AP565" s="16" t="n"/>
      <c r="AQ565" s="17" t="n"/>
      <c r="AR565" s="133">
        <f>DADOS_INVOC!$QK$118</f>
        <v/>
      </c>
      <c r="AS565" s="125" t="n"/>
    </row>
    <row r="566" hidden="1" outlineLevel="3">
      <c r="A566" s="8" t="n"/>
      <c r="B566" s="14" t="n"/>
      <c r="C566" s="125" t="n"/>
      <c r="D566" s="125" t="n"/>
      <c r="E566" s="125" t="n"/>
      <c r="F566" s="125" t="n"/>
      <c r="G566" s="125" t="n"/>
      <c r="I566" s="135" t="n"/>
      <c r="J566" s="134" t="n"/>
      <c r="K566" s="16" t="n"/>
      <c r="L566" s="17" t="n"/>
      <c r="M566" s="133">
        <f>DADOS_INVOC!$QL$38</f>
        <v/>
      </c>
      <c r="N566" s="125" t="n"/>
      <c r="O566" s="135" t="n"/>
      <c r="P566" s="134" t="n"/>
      <c r="Q566" s="16" t="n"/>
      <c r="R566" s="17" t="n"/>
      <c r="S566" s="133">
        <f>DADOS_INVOC!$QL$39</f>
        <v/>
      </c>
      <c r="T566" s="125" t="n"/>
      <c r="U566" s="135" t="n"/>
      <c r="V566" s="134" t="n"/>
      <c r="W566" s="16" t="n"/>
      <c r="X566" s="17" t="n"/>
      <c r="Y566" s="133">
        <f>DADOS_INVOC!$QL$40</f>
        <v/>
      </c>
      <c r="Z566" s="125" t="n"/>
      <c r="AB566" s="135" t="n"/>
      <c r="AC566" s="134" t="n"/>
      <c r="AD566" s="16" t="n"/>
      <c r="AE566" s="17" t="n"/>
      <c r="AF566" s="133">
        <f>DADOS_INVOC!$QL$116</f>
        <v/>
      </c>
      <c r="AG566" s="125" t="n"/>
      <c r="AH566" s="135" t="n"/>
      <c r="AI566" s="134" t="n"/>
      <c r="AJ566" s="16" t="n"/>
      <c r="AK566" s="17" t="n"/>
      <c r="AL566" s="133">
        <f>DADOS_INVOC!$QL$117</f>
        <v/>
      </c>
      <c r="AM566" s="125" t="n"/>
      <c r="AN566" s="135" t="n"/>
      <c r="AO566" s="134" t="n"/>
      <c r="AP566" s="16" t="n"/>
      <c r="AQ566" s="17" t="n"/>
      <c r="AR566" s="133">
        <f>DADOS_INVOC!$QL$118</f>
        <v/>
      </c>
      <c r="AS566" s="125" t="n"/>
    </row>
    <row r="567" hidden="1" outlineLevel="3">
      <c r="A567" s="8" t="n"/>
      <c r="B567" s="14" t="n"/>
      <c r="C567" s="125" t="n"/>
      <c r="D567" s="125" t="n"/>
      <c r="E567" s="125" t="n"/>
      <c r="F567" s="125" t="n"/>
      <c r="G567" s="125" t="n"/>
      <c r="I567" s="135" t="n"/>
      <c r="J567" s="134" t="n"/>
      <c r="K567" s="16" t="n"/>
      <c r="L567" s="17" t="n"/>
      <c r="M567" s="133">
        <f>DADOS_INVOC!$QM$38</f>
        <v/>
      </c>
      <c r="N567" s="125" t="n"/>
      <c r="O567" s="135" t="n"/>
      <c r="P567" s="134" t="n"/>
      <c r="Q567" s="16" t="n"/>
      <c r="R567" s="17" t="n"/>
      <c r="S567" s="133">
        <f>DADOS_INVOC!$QM$39</f>
        <v/>
      </c>
      <c r="T567" s="125" t="n"/>
      <c r="U567" s="135" t="n"/>
      <c r="V567" s="134" t="n"/>
      <c r="W567" s="16" t="n"/>
      <c r="X567" s="17" t="n"/>
      <c r="Y567" s="133">
        <f>DADOS_INVOC!$QM$40</f>
        <v/>
      </c>
      <c r="Z567" s="125" t="n"/>
      <c r="AB567" s="135" t="n"/>
      <c r="AC567" s="134" t="n"/>
      <c r="AD567" s="16" t="n"/>
      <c r="AE567" s="17" t="n"/>
      <c r="AF567" s="133">
        <f>DADOS_INVOC!$QM$116</f>
        <v/>
      </c>
      <c r="AG567" s="125" t="n"/>
      <c r="AH567" s="135" t="n"/>
      <c r="AI567" s="134" t="n"/>
      <c r="AJ567" s="16" t="n"/>
      <c r="AK567" s="17" t="n"/>
      <c r="AL567" s="133">
        <f>DADOS_INVOC!$QM$117</f>
        <v/>
      </c>
      <c r="AM567" s="125" t="n"/>
      <c r="AN567" s="135" t="n"/>
      <c r="AO567" s="134" t="n"/>
      <c r="AP567" s="16" t="n"/>
      <c r="AQ567" s="17" t="n"/>
      <c r="AR567" s="133">
        <f>DADOS_INVOC!$QM$118</f>
        <v/>
      </c>
      <c r="AS567" s="125" t="n"/>
    </row>
    <row r="568" hidden="1" outlineLevel="3">
      <c r="A568" s="8" t="n"/>
      <c r="B568" s="14" t="n"/>
      <c r="C568" s="125" t="n"/>
      <c r="D568" s="125" t="n"/>
      <c r="E568" s="125" t="n"/>
      <c r="F568" s="125" t="n"/>
      <c r="G568" s="125" t="n"/>
      <c r="I568" s="129" t="n"/>
      <c r="J568" s="134" t="n"/>
      <c r="K568" s="16" t="n"/>
      <c r="L568" s="17" t="n"/>
      <c r="M568" s="133">
        <f>DADOS_INVOC!$QN$38</f>
        <v/>
      </c>
      <c r="N568" s="125" t="n"/>
      <c r="O568" s="129" t="n"/>
      <c r="P568" s="134" t="n"/>
      <c r="Q568" s="16" t="n"/>
      <c r="R568" s="17" t="n"/>
      <c r="S568" s="133">
        <f>DADOS_INVOC!$QN$39</f>
        <v/>
      </c>
      <c r="T568" s="125" t="n"/>
      <c r="U568" s="129" t="n"/>
      <c r="V568" s="134" t="n"/>
      <c r="W568" s="16" t="n"/>
      <c r="X568" s="17" t="n"/>
      <c r="Y568" s="133">
        <f>DADOS_INVOC!$QN$40</f>
        <v/>
      </c>
      <c r="Z568" s="125" t="n"/>
      <c r="AB568" s="129" t="n"/>
      <c r="AC568" s="134" t="n"/>
      <c r="AD568" s="16" t="n"/>
      <c r="AE568" s="17" t="n"/>
      <c r="AF568" s="133">
        <f>DADOS_INVOC!$QN$116</f>
        <v/>
      </c>
      <c r="AG568" s="125" t="n"/>
      <c r="AH568" s="129" t="n"/>
      <c r="AI568" s="134" t="n"/>
      <c r="AJ568" s="16" t="n"/>
      <c r="AK568" s="17" t="n"/>
      <c r="AL568" s="133">
        <f>DADOS_INVOC!$QN$117</f>
        <v/>
      </c>
      <c r="AM568" s="125" t="n"/>
      <c r="AN568" s="129" t="n"/>
      <c r="AO568" s="134" t="n"/>
      <c r="AP568" s="16" t="n"/>
      <c r="AQ568" s="17" t="n"/>
      <c r="AR568" s="133">
        <f>DADOS_INVOC!$QN$118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DADOS_INVOC!$QO$38</f>
        <v/>
      </c>
      <c r="N569" s="125" t="n"/>
      <c r="O569" s="55" t="inlineStr">
        <is>
          <t>RESTRIÇÕES</t>
        </is>
      </c>
      <c r="P569" s="134" t="n"/>
      <c r="Q569" s="16" t="n"/>
      <c r="R569" s="17" t="n"/>
      <c r="S569" s="133">
        <f>DADOS_INVOC!$QO$39</f>
        <v/>
      </c>
      <c r="T569" s="125" t="n"/>
      <c r="U569" s="55" t="inlineStr">
        <is>
          <t>RESTRIÇÕES</t>
        </is>
      </c>
      <c r="V569" s="134" t="n"/>
      <c r="W569" s="16" t="n"/>
      <c r="X569" s="17" t="n"/>
      <c r="Y569" s="133">
        <f>DADOS_INVOC!$QO$40</f>
        <v/>
      </c>
      <c r="Z569" s="125" t="n"/>
      <c r="AB569" s="55" t="inlineStr">
        <is>
          <t>RESTRIÇÕES</t>
        </is>
      </c>
      <c r="AC569" s="134" t="n"/>
      <c r="AD569" s="16" t="n"/>
      <c r="AE569" s="17" t="n"/>
      <c r="AF569" s="133">
        <f>DADOS_INVOC!$QO$116</f>
        <v/>
      </c>
      <c r="AG569" s="125" t="n"/>
      <c r="AH569" s="55" t="inlineStr">
        <is>
          <t>RESTRIÇÕES</t>
        </is>
      </c>
      <c r="AI569" s="134" t="n"/>
      <c r="AJ569" s="16" t="n"/>
      <c r="AK569" s="17" t="n"/>
      <c r="AL569" s="133">
        <f>DADOS_INVOC!$QO$117</f>
        <v/>
      </c>
      <c r="AM569" s="125" t="n"/>
      <c r="AN569" s="55" t="inlineStr">
        <is>
          <t>RESTRIÇÕES</t>
        </is>
      </c>
      <c r="AO569" s="134" t="n"/>
      <c r="AP569" s="16" t="n"/>
      <c r="AQ569" s="17" t="n"/>
      <c r="AR569" s="133">
        <f>DADOS_INVOC!$QO$118</f>
        <v/>
      </c>
      <c r="AS569" s="125" t="n"/>
    </row>
    <row r="570" hidden="1" outlineLevel="3">
      <c r="A570" s="8" t="n"/>
      <c r="B570" s="14" t="n"/>
      <c r="C570" s="125" t="n"/>
      <c r="D570" s="125" t="n"/>
      <c r="E570" s="125" t="n"/>
      <c r="F570" s="125" t="n"/>
      <c r="G570" s="125" t="n"/>
      <c r="I570" s="129" t="n"/>
      <c r="J570" s="134" t="n"/>
      <c r="K570" s="16" t="n"/>
      <c r="L570" s="17" t="n"/>
      <c r="M570" s="133">
        <f>DADOS_INVOC!$QP$38</f>
        <v/>
      </c>
      <c r="N570" s="125" t="n"/>
      <c r="O570" s="129" t="n"/>
      <c r="P570" s="134" t="n"/>
      <c r="Q570" s="16" t="n"/>
      <c r="R570" s="17" t="n"/>
      <c r="S570" s="133">
        <f>DADOS_INVOC!$QP$39</f>
        <v/>
      </c>
      <c r="T570" s="125" t="n"/>
      <c r="U570" s="129" t="n"/>
      <c r="V570" s="134" t="n"/>
      <c r="W570" s="16" t="n"/>
      <c r="X570" s="17" t="n"/>
      <c r="Y570" s="133">
        <f>DADOS_INVOC!$QP$40</f>
        <v/>
      </c>
      <c r="Z570" s="125" t="n"/>
      <c r="AB570" s="129" t="n"/>
      <c r="AC570" s="134" t="n"/>
      <c r="AD570" s="16" t="n"/>
      <c r="AE570" s="17" t="n"/>
      <c r="AF570" s="133">
        <f>DADOS_INVOC!$QP$116</f>
        <v/>
      </c>
      <c r="AG570" s="125" t="n"/>
      <c r="AH570" s="129" t="n"/>
      <c r="AI570" s="134" t="n"/>
      <c r="AJ570" s="16" t="n"/>
      <c r="AK570" s="17" t="n"/>
      <c r="AL570" s="133">
        <f>DADOS_INVOC!$QP$117</f>
        <v/>
      </c>
      <c r="AM570" s="125" t="n"/>
      <c r="AN570" s="129" t="n"/>
      <c r="AO570" s="134" t="n"/>
      <c r="AP570" s="16" t="n"/>
      <c r="AQ570" s="17" t="n"/>
      <c r="AR570" s="133">
        <f>DADOS_INVOC!$QP$118</f>
        <v/>
      </c>
      <c r="AS570" s="125" t="n"/>
    </row>
    <row r="571" hidden="1" outlineLevel="3">
      <c r="A571" s="8" t="n"/>
      <c r="B571" s="14" t="n"/>
      <c r="C571" s="125" t="n"/>
      <c r="D571" s="125" t="n"/>
      <c r="E571" s="125" t="n"/>
      <c r="F571" s="125" t="n"/>
      <c r="G571" s="125" t="n"/>
      <c r="I571" s="55" t="inlineStr">
        <is>
          <t>CONTA</t>
        </is>
      </c>
      <c r="J571" s="136">
        <f>DADOS_INVOC!$QI$38</f>
        <v/>
      </c>
      <c r="K571" s="16" t="n"/>
      <c r="L571" s="16" t="n"/>
      <c r="M571" s="17" t="n"/>
      <c r="N571" s="125" t="n"/>
      <c r="O571" s="55" t="inlineStr">
        <is>
          <t>CONTA</t>
        </is>
      </c>
      <c r="P571" s="136">
        <f>DADOS_INVOC!$QI$39</f>
        <v/>
      </c>
      <c r="Q571" s="16" t="n"/>
      <c r="R571" s="16" t="n"/>
      <c r="S571" s="17" t="n"/>
      <c r="T571" s="125" t="n"/>
      <c r="U571" s="55" t="inlineStr">
        <is>
          <t>CONTA</t>
        </is>
      </c>
      <c r="V571" s="136">
        <f>DADOS_INVOC!$QI$40</f>
        <v/>
      </c>
      <c r="W571" s="16" t="n"/>
      <c r="X571" s="16" t="n"/>
      <c r="Y571" s="17" t="n"/>
      <c r="Z571" s="125" t="n"/>
      <c r="AB571" s="55" t="inlineStr">
        <is>
          <t>CONTA</t>
        </is>
      </c>
      <c r="AC571" s="136">
        <f>DADOS_INVOC!$QI$116</f>
        <v/>
      </c>
      <c r="AD571" s="16" t="n"/>
      <c r="AE571" s="16" t="n"/>
      <c r="AF571" s="17" t="n"/>
      <c r="AG571" s="125" t="n"/>
      <c r="AH571" s="55" t="inlineStr">
        <is>
          <t>CONTA</t>
        </is>
      </c>
      <c r="AI571" s="136">
        <f>DADOS_INVOC!$QI$117</f>
        <v/>
      </c>
      <c r="AJ571" s="16" t="n"/>
      <c r="AK571" s="16" t="n"/>
      <c r="AL571" s="17" t="n"/>
      <c r="AM571" s="125" t="n"/>
      <c r="AN571" s="55" t="inlineStr">
        <is>
          <t>CONTA</t>
        </is>
      </c>
      <c r="AO571" s="136">
        <f>DADOS_INVOC!$QI$118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DADOS_INVOC!$QJ$38</f>
        <v/>
      </c>
      <c r="K572" s="19" t="n"/>
      <c r="L572" s="19" t="n"/>
      <c r="M572" s="20" t="n"/>
      <c r="N572" s="125" t="n"/>
      <c r="O572" s="55" t="inlineStr">
        <is>
          <t>AMPLIAR</t>
        </is>
      </c>
      <c r="P572" s="136">
        <f>DADOS_INVOC!$QJ$39</f>
        <v/>
      </c>
      <c r="Q572" s="19" t="n"/>
      <c r="R572" s="19" t="n"/>
      <c r="S572" s="20" t="n"/>
      <c r="T572" s="125" t="n"/>
      <c r="U572" s="55" t="inlineStr">
        <is>
          <t>AMPLIAR</t>
        </is>
      </c>
      <c r="V572" s="136">
        <f>DADOS_INVOC!$QJ$40</f>
        <v/>
      </c>
      <c r="W572" s="19" t="n"/>
      <c r="X572" s="19" t="n"/>
      <c r="Y572" s="20" t="n"/>
      <c r="Z572" s="125" t="n"/>
      <c r="AB572" s="55" t="inlineStr">
        <is>
          <t>AMPLIAR</t>
        </is>
      </c>
      <c r="AC572" s="136">
        <f>DADOS_INVOC!$QJ$116</f>
        <v/>
      </c>
      <c r="AD572" s="19" t="n"/>
      <c r="AE572" s="19" t="n"/>
      <c r="AF572" s="20" t="n"/>
      <c r="AG572" s="125" t="n"/>
      <c r="AH572" s="55" t="inlineStr">
        <is>
          <t>AMPLIAR</t>
        </is>
      </c>
      <c r="AI572" s="136">
        <f>DADOS_INVOC!$QJ$117</f>
        <v/>
      </c>
      <c r="AJ572" s="19" t="n"/>
      <c r="AK572" s="19" t="n"/>
      <c r="AL572" s="20" t="n"/>
      <c r="AM572" s="125" t="n"/>
      <c r="AN572" s="55" t="inlineStr">
        <is>
          <t>AMPLIAR</t>
        </is>
      </c>
      <c r="AO572" s="136">
        <f>DADOS_INVOC!$QJ$118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DADOS_INVOC!$PW$38</f>
        <v/>
      </c>
      <c r="J574" s="19" t="n"/>
      <c r="K574" s="19" t="n"/>
      <c r="L574" s="19" t="n"/>
      <c r="M574" s="20" t="n"/>
      <c r="N574" s="125" t="n"/>
      <c r="O574" s="136">
        <f>DADOS_INVOC!$PW$39</f>
        <v/>
      </c>
      <c r="P574" s="19" t="n"/>
      <c r="Q574" s="19" t="n"/>
      <c r="R574" s="19" t="n"/>
      <c r="S574" s="20" t="n"/>
      <c r="T574" s="125" t="n"/>
      <c r="U574" s="136">
        <f>DADOS_INVOC!$PW$40</f>
        <v/>
      </c>
      <c r="V574" s="19" t="n"/>
      <c r="W574" s="19" t="n"/>
      <c r="X574" s="19" t="n"/>
      <c r="Y574" s="20" t="n"/>
      <c r="Z574" s="125" t="n"/>
      <c r="AB574" s="136">
        <f>DADOS_INVOC!$PW$116</f>
        <v/>
      </c>
      <c r="AC574" s="19" t="n"/>
      <c r="AD574" s="19" t="n"/>
      <c r="AE574" s="19" t="n"/>
      <c r="AF574" s="20" t="n"/>
      <c r="AG574" s="125" t="n"/>
      <c r="AH574" s="136">
        <f>DADOS_INVOC!$PW$117</f>
        <v/>
      </c>
      <c r="AI574" s="19" t="n"/>
      <c r="AJ574" s="19" t="n"/>
      <c r="AK574" s="19" t="n"/>
      <c r="AL574" s="20" t="n"/>
      <c r="AM574" s="125" t="n"/>
      <c r="AN574" s="136">
        <f>DADOS_INVOC!$PW$118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90" t="inlineStr">
        <is>
          <t>Sua Ação Completa + a básica dela</t>
        </is>
      </c>
      <c r="J591" s="16" t="n"/>
      <c r="K591" s="16" t="n"/>
      <c r="L591" s="16" t="n"/>
      <c r="M591" s="17" t="n"/>
      <c r="N591" s="125" t="n"/>
      <c r="O591" s="90" t="inlineStr">
        <is>
          <t>Sua Ação Completa + a básica dela</t>
        </is>
      </c>
      <c r="P591" s="16" t="n"/>
      <c r="Q591" s="16" t="n"/>
      <c r="R591" s="16" t="n"/>
      <c r="S591" s="17" t="n"/>
      <c r="T591" s="125" t="n"/>
      <c r="U591" s="90" t="inlineStr">
        <is>
          <t>Sua Ação Completa + a básica dela</t>
        </is>
      </c>
      <c r="V591" s="16" t="n"/>
      <c r="W591" s="16" t="n"/>
      <c r="X591" s="16" t="n"/>
      <c r="Y591" s="17" t="n"/>
      <c r="Z591" s="125" t="n"/>
      <c r="AB591" s="90" t="inlineStr">
        <is>
          <t>Sua Ação Completa + a básica dela</t>
        </is>
      </c>
      <c r="AC591" s="16" t="n"/>
      <c r="AD591" s="16" t="n"/>
      <c r="AE591" s="16" t="n"/>
      <c r="AF591" s="17" t="n"/>
      <c r="AG591" s="125" t="n"/>
      <c r="AH591" s="90" t="inlineStr">
        <is>
          <t>Sua Ação Completa + a básica dela</t>
        </is>
      </c>
      <c r="AI591" s="16" t="n"/>
      <c r="AJ591" s="16" t="n"/>
      <c r="AK591" s="16" t="n"/>
      <c r="AL591" s="17" t="n"/>
      <c r="AM591" s="125" t="n"/>
      <c r="AN591" s="90"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90"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90"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90"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90"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5"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5"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90" t="inlineStr">
        <is>
          <t>Com alma</t>
        </is>
      </c>
      <c r="V612" s="98">
        <f>DADOS_INVOC!$GH$5</f>
        <v/>
      </c>
      <c r="W612" s="98">
        <f>DADOS_INVOC!$GJ$5</f>
        <v/>
      </c>
      <c r="X612" s="90">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90" t="inlineStr">
        <is>
          <t>Com alma</t>
        </is>
      </c>
      <c r="AO612" s="98">
        <f>DADOS_INVOC!$GH$11</f>
        <v/>
      </c>
      <c r="AP612" s="98">
        <f>DADOS_INVOC!$GJ$11</f>
        <v/>
      </c>
      <c r="AQ612" s="90">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90" t="n"/>
      <c r="T623" s="125" t="n"/>
      <c r="U623" s="21" t="n"/>
      <c r="Y623" s="22" t="n"/>
      <c r="Z623" s="125" t="n"/>
      <c r="AB623" s="21" t="n"/>
      <c r="AF623" s="22" t="n"/>
      <c r="AG623" s="125" t="n"/>
      <c r="AH623" s="98">
        <f>DADOS_INVOC!$HN$11</f>
        <v/>
      </c>
      <c r="AI623" s="98">
        <f>DADOS_INVOC!$HO$11</f>
        <v/>
      </c>
      <c r="AJ623" s="98">
        <f>DADOS_INVOC!$HP$11</f>
        <v/>
      </c>
      <c r="AK623" s="98">
        <f>DADOS_INVOC!$HQ$11</f>
        <v/>
      </c>
      <c r="AL623" s="90"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90"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90" t="n"/>
      <c r="AS627" s="125" t="n"/>
    </row>
    <row r="628" hidden="1" outlineLevel="1">
      <c r="A628" s="8" t="n"/>
      <c r="B628" s="14" t="n"/>
      <c r="C628" s="125" t="n"/>
      <c r="D628" s="125" t="n"/>
      <c r="E628" s="125" t="n"/>
      <c r="F628" s="125" t="n"/>
      <c r="G628" s="125" t="n"/>
      <c r="I628" s="21" t="n"/>
      <c r="M628" s="22" t="n"/>
      <c r="N628" s="125" t="n"/>
      <c r="O628" s="90" t="n"/>
      <c r="P628" s="19" t="n"/>
      <c r="Q628" s="20" t="n"/>
      <c r="R628" s="90" t="inlineStr">
        <is>
          <t>Força</t>
        </is>
      </c>
      <c r="S628" s="20" t="n"/>
      <c r="T628" s="125" t="n"/>
      <c r="U628" s="55" t="inlineStr">
        <is>
          <t>MÃO 2</t>
        </is>
      </c>
      <c r="V628" s="134" t="n"/>
      <c r="W628" s="16" t="n"/>
      <c r="X628" s="17" t="n"/>
      <c r="Y628" s="90" t="n"/>
      <c r="Z628" s="125" t="n"/>
      <c r="AB628" s="21" t="n"/>
      <c r="AF628" s="22" t="n"/>
      <c r="AG628" s="125" t="n"/>
      <c r="AH628" s="90" t="n"/>
      <c r="AI628" s="19" t="n"/>
      <c r="AJ628" s="20" t="n"/>
      <c r="AK628" s="90" t="inlineStr">
        <is>
          <t>Força</t>
        </is>
      </c>
      <c r="AL628" s="20" t="n"/>
      <c r="AM628" s="125" t="n"/>
      <c r="AN628" s="55" t="inlineStr">
        <is>
          <t>MÃO 2</t>
        </is>
      </c>
      <c r="AO628" s="134" t="n"/>
      <c r="AP628" s="16" t="n"/>
      <c r="AQ628" s="17" t="n"/>
      <c r="AR628" s="90"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90" t="n"/>
      <c r="Z629" s="125" t="n"/>
      <c r="AB629" s="21" t="n"/>
      <c r="AF629" s="22" t="n"/>
      <c r="AG629" s="125" t="n"/>
      <c r="AH629" s="23" t="n"/>
      <c r="AI629" s="24" t="n"/>
      <c r="AJ629" s="25" t="n"/>
      <c r="AK629" s="23" t="n"/>
      <c r="AL629" s="25" t="n"/>
      <c r="AM629" s="125" t="n"/>
      <c r="AN629" s="55" t="inlineStr">
        <is>
          <t>VESTE</t>
        </is>
      </c>
      <c r="AO629" s="134" t="n"/>
      <c r="AP629" s="16" t="n"/>
      <c r="AQ629" s="17" t="n"/>
      <c r="AR629" s="90"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90" t="n"/>
      <c r="Z631" s="125" t="n"/>
      <c r="AB631" s="21" t="n"/>
      <c r="AF631" s="22" t="n"/>
      <c r="AG631" s="125" t="n"/>
      <c r="AH631" s="55">
        <f>DADOS_INVOC!$HR$11</f>
        <v/>
      </c>
      <c r="AI631" s="16" t="n"/>
      <c r="AJ631" s="16" t="n"/>
      <c r="AK631" s="16" t="n"/>
      <c r="AL631" s="17" t="n"/>
      <c r="AM631" s="125" t="n"/>
      <c r="AN631" s="134" t="n"/>
      <c r="AO631" s="16" t="n"/>
      <c r="AP631" s="16" t="n"/>
      <c r="AQ631" s="17" t="n"/>
      <c r="AR631" s="90" t="n"/>
      <c r="AS631" s="125" t="n"/>
    </row>
    <row r="632" hidden="1" outlineLevel="1">
      <c r="A632" s="8" t="n"/>
      <c r="B632" s="14" t="n"/>
      <c r="C632" s="125" t="n"/>
      <c r="D632" s="125" t="n"/>
      <c r="E632" s="125" t="n"/>
      <c r="F632" s="125" t="n"/>
      <c r="G632" s="125" t="n"/>
      <c r="I632" s="21" t="n"/>
      <c r="M632" s="22" t="n"/>
      <c r="N632" s="125" t="n"/>
      <c r="O632" s="134" t="n"/>
      <c r="P632" s="16" t="n"/>
      <c r="Q632" s="17" t="n"/>
      <c r="R632" s="90">
        <f>DADOS_INVOC!$HS$5</f>
        <v/>
      </c>
      <c r="S632" s="17" t="n"/>
      <c r="T632" s="125" t="n"/>
      <c r="U632" s="134" t="n"/>
      <c r="V632" s="16" t="n"/>
      <c r="W632" s="16" t="n"/>
      <c r="X632" s="17" t="n"/>
      <c r="Y632" s="90" t="n"/>
      <c r="Z632" s="125" t="n"/>
      <c r="AB632" s="21" t="n"/>
      <c r="AF632" s="22" t="n"/>
      <c r="AG632" s="125" t="n"/>
      <c r="AH632" s="134" t="n"/>
      <c r="AI632" s="16" t="n"/>
      <c r="AJ632" s="17" t="n"/>
      <c r="AK632" s="90">
        <f>DADOS_INVOC!$HS$11</f>
        <v/>
      </c>
      <c r="AL632" s="17" t="n"/>
      <c r="AM632" s="125" t="n"/>
      <c r="AN632" s="134" t="n"/>
      <c r="AO632" s="16" t="n"/>
      <c r="AP632" s="16" t="n"/>
      <c r="AQ632" s="17" t="n"/>
      <c r="AR632" s="90" t="n"/>
      <c r="AS632" s="125" t="n"/>
    </row>
    <row r="633" hidden="1" outlineLevel="1">
      <c r="A633" s="8" t="n"/>
      <c r="B633" s="14" t="n"/>
      <c r="C633" s="125" t="n"/>
      <c r="D633" s="125" t="n"/>
      <c r="E633" s="125" t="n"/>
      <c r="F633" s="125" t="n"/>
      <c r="G633" s="125" t="n"/>
      <c r="I633" s="21" t="n"/>
      <c r="M633" s="22" t="n"/>
      <c r="N633" s="125" t="n"/>
      <c r="O633" s="134" t="n"/>
      <c r="P633" s="16" t="n"/>
      <c r="Q633" s="17" t="n"/>
      <c r="R633" s="90">
        <f>DADOS_INVOC!$HT$5</f>
        <v/>
      </c>
      <c r="S633" s="17" t="n"/>
      <c r="T633" s="125" t="n"/>
      <c r="U633" s="134" t="n"/>
      <c r="V633" s="16" t="n"/>
      <c r="W633" s="16" t="n"/>
      <c r="X633" s="17" t="n"/>
      <c r="Y633" s="90" t="n"/>
      <c r="Z633" s="125" t="n"/>
      <c r="AB633" s="21" t="n"/>
      <c r="AF633" s="22" t="n"/>
      <c r="AG633" s="125" t="n"/>
      <c r="AH633" s="134" t="n"/>
      <c r="AI633" s="16" t="n"/>
      <c r="AJ633" s="17" t="n"/>
      <c r="AK633" s="90">
        <f>DADOS_INVOC!$HT$11</f>
        <v/>
      </c>
      <c r="AL633" s="17" t="n"/>
      <c r="AM633" s="125" t="n"/>
      <c r="AN633" s="134" t="n"/>
      <c r="AO633" s="16" t="n"/>
      <c r="AP633" s="16" t="n"/>
      <c r="AQ633" s="17" t="n"/>
      <c r="AR633" s="90"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90">
        <f>DADOS_INVOC!$HU$5</f>
        <v/>
      </c>
      <c r="S634" s="17" t="n"/>
      <c r="T634" s="125" t="n"/>
      <c r="U634" s="134" t="n"/>
      <c r="V634" s="16" t="n"/>
      <c r="W634" s="16" t="n"/>
      <c r="X634" s="17" t="n"/>
      <c r="Y634" s="90" t="n"/>
      <c r="Z634" s="125" t="n"/>
      <c r="AB634" s="23" t="n"/>
      <c r="AC634" s="24" t="n"/>
      <c r="AD634" s="24" t="n"/>
      <c r="AE634" s="24" t="n"/>
      <c r="AF634" s="25" t="n"/>
      <c r="AG634" s="125" t="n"/>
      <c r="AH634" s="134" t="n"/>
      <c r="AI634" s="16" t="n"/>
      <c r="AJ634" s="17" t="n"/>
      <c r="AK634" s="90">
        <f>DADOS_INVOC!$HU$11</f>
        <v/>
      </c>
      <c r="AL634" s="17" t="n"/>
      <c r="AM634" s="125" t="n"/>
      <c r="AN634" s="134" t="n"/>
      <c r="AO634" s="16" t="n"/>
      <c r="AP634" s="16" t="n"/>
      <c r="AQ634" s="17" t="n"/>
      <c r="AR634" s="90"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90">
        <f>DADOS_INVOC!$HV$5</f>
        <v/>
      </c>
      <c r="S635" s="17" t="n"/>
      <c r="T635" s="125" t="n"/>
      <c r="U635" s="134" t="n"/>
      <c r="V635" s="16" t="n"/>
      <c r="W635" s="16" t="n"/>
      <c r="X635" s="17" t="n"/>
      <c r="Y635" s="90" t="n"/>
      <c r="Z635" s="125" t="n"/>
      <c r="AB635" s="125" t="n"/>
      <c r="AC635" s="125" t="n"/>
      <c r="AD635" s="125" t="n"/>
      <c r="AE635" s="125" t="n"/>
      <c r="AF635" s="125" t="n"/>
      <c r="AG635" s="125" t="n"/>
      <c r="AH635" s="134" t="n"/>
      <c r="AI635" s="16" t="n"/>
      <c r="AJ635" s="17" t="n"/>
      <c r="AK635" s="90">
        <f>DADOS_INVOC!$HV$11</f>
        <v/>
      </c>
      <c r="AL635" s="17" t="n"/>
      <c r="AM635" s="125" t="n"/>
      <c r="AN635" s="134" t="n"/>
      <c r="AO635" s="16" t="n"/>
      <c r="AP635" s="16" t="n"/>
      <c r="AQ635" s="17" t="n"/>
      <c r="AR635" s="90"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90">
        <f>DADOS_INVOC!$HW$5</f>
        <v/>
      </c>
      <c r="S636" s="17" t="n"/>
      <c r="T636" s="125" t="n"/>
      <c r="U636" s="134" t="n"/>
      <c r="V636" s="16" t="n"/>
      <c r="W636" s="16" t="n"/>
      <c r="X636" s="17" t="n"/>
      <c r="Y636" s="90" t="n"/>
      <c r="Z636" s="125" t="n"/>
      <c r="AB636" s="55" t="inlineStr">
        <is>
          <t>TIPO</t>
        </is>
      </c>
      <c r="AC636" s="16" t="n"/>
      <c r="AD636" s="16" t="n"/>
      <c r="AE636" s="16" t="n"/>
      <c r="AF636" s="17" t="n"/>
      <c r="AG636" s="125" t="n"/>
      <c r="AH636" s="134" t="n"/>
      <c r="AI636" s="16" t="n"/>
      <c r="AJ636" s="17" t="n"/>
      <c r="AK636" s="90">
        <f>DADOS_INVOC!$HW$11</f>
        <v/>
      </c>
      <c r="AL636" s="17" t="n"/>
      <c r="AM636" s="125" t="n"/>
      <c r="AN636" s="134" t="n"/>
      <c r="AO636" s="16" t="n"/>
      <c r="AP636" s="16" t="n"/>
      <c r="AQ636" s="17" t="n"/>
      <c r="AR636" s="90" t="n"/>
      <c r="AS636" s="125" t="n"/>
    </row>
    <row r="637" hidden="1" outlineLevel="1">
      <c r="A637" s="8" t="n"/>
      <c r="B637" s="14" t="n"/>
      <c r="C637" s="125" t="n"/>
      <c r="D637" s="125" t="n"/>
      <c r="E637" s="125" t="n"/>
      <c r="F637" s="125" t="n"/>
      <c r="G637" s="125" t="n"/>
      <c r="I637" s="90" t="inlineStr">
        <is>
          <t>Shikigami de técnica</t>
        </is>
      </c>
      <c r="J637" s="19" t="n"/>
      <c r="K637" s="19" t="n"/>
      <c r="L637" s="19" t="n"/>
      <c r="M637" s="20" t="n"/>
      <c r="N637" s="125" t="n"/>
      <c r="O637" s="134" t="n"/>
      <c r="P637" s="16" t="n"/>
      <c r="Q637" s="17" t="n"/>
      <c r="R637" s="90">
        <f>DADOS_INVOC!$HX$5</f>
        <v/>
      </c>
      <c r="S637" s="17" t="n"/>
      <c r="T637" s="125" t="n"/>
      <c r="U637" s="125" t="n"/>
      <c r="V637" s="125" t="n"/>
      <c r="W637" s="125" t="n"/>
      <c r="X637" s="125" t="n"/>
      <c r="Y637" s="125" t="n"/>
      <c r="Z637" s="125" t="n"/>
      <c r="AB637" s="90" t="inlineStr">
        <is>
          <t>Shikigami de técnica</t>
        </is>
      </c>
      <c r="AC637" s="19" t="n"/>
      <c r="AD637" s="19" t="n"/>
      <c r="AE637" s="19" t="n"/>
      <c r="AF637" s="20" t="n"/>
      <c r="AG637" s="125" t="n"/>
      <c r="AH637" s="134" t="n"/>
      <c r="AI637" s="16" t="n"/>
      <c r="AJ637" s="17" t="n"/>
      <c r="AK637" s="90">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90">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90">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90" t="inlineStr">
        <is>
          <t>Espaço conhecido</t>
        </is>
      </c>
      <c r="J641" s="20" t="n"/>
      <c r="K641" s="90" t="n"/>
      <c r="L641" s="90"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90" t="inlineStr">
        <is>
          <t>Espaço conhecido</t>
        </is>
      </c>
      <c r="AC641" s="20" t="n"/>
      <c r="AD641" s="90" t="n"/>
      <c r="AE641" s="90"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90" t="n"/>
      <c r="P642" s="90" t="n"/>
      <c r="Q642" s="90" t="n"/>
      <c r="R642" s="90" t="n"/>
      <c r="S642" s="90" t="n"/>
      <c r="T642" s="125" t="n"/>
      <c r="U642" s="21" t="n"/>
      <c r="Y642" s="22" t="n"/>
      <c r="Z642" s="125" t="n"/>
      <c r="AB642" s="23" t="n"/>
      <c r="AC642" s="25" t="n"/>
      <c r="AD642" s="129" t="n"/>
      <c r="AE642" s="23" t="n"/>
      <c r="AF642" s="25" t="n"/>
      <c r="AG642" s="125" t="n"/>
      <c r="AH642" s="90" t="n"/>
      <c r="AI642" s="90" t="n"/>
      <c r="AJ642" s="90" t="n"/>
      <c r="AK642" s="90" t="n"/>
      <c r="AL642" s="90"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DADOS_INVOC!$PX$41</f>
        <v/>
      </c>
      <c r="J651" s="16" t="n"/>
      <c r="K651" s="16" t="n"/>
      <c r="L651" s="16" t="n"/>
      <c r="M651" s="17" t="n"/>
      <c r="N651" s="125" t="n"/>
      <c r="O651" s="55">
        <f>DADOS_INVOC!$PX$42</f>
        <v/>
      </c>
      <c r="P651" s="16" t="n"/>
      <c r="Q651" s="16" t="n"/>
      <c r="R651" s="16" t="n"/>
      <c r="S651" s="17" t="n"/>
      <c r="T651" s="125" t="n"/>
      <c r="U651" s="55">
        <f>DADOS_INVOC!$PX$43</f>
        <v/>
      </c>
      <c r="V651" s="16" t="n"/>
      <c r="W651" s="16" t="n"/>
      <c r="X651" s="16" t="n"/>
      <c r="Y651" s="17" t="n"/>
      <c r="Z651" s="125" t="n"/>
      <c r="AB651" s="55">
        <f>DADOS_INVOC!$PX$119</f>
        <v/>
      </c>
      <c r="AC651" s="16" t="n"/>
      <c r="AD651" s="16" t="n"/>
      <c r="AE651" s="16" t="n"/>
      <c r="AF651" s="17" t="n"/>
      <c r="AG651" s="125" t="n"/>
      <c r="AH651" s="55">
        <f>DADOS_INVOC!$PX$120</f>
        <v/>
      </c>
      <c r="AI651" s="16" t="n"/>
      <c r="AJ651" s="16" t="n"/>
      <c r="AK651" s="16" t="n"/>
      <c r="AL651" s="17" t="n"/>
      <c r="AM651" s="125" t="n"/>
      <c r="AN651" s="55">
        <f>DADOS_INVOC!$PX$121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DADOS_INVOC!$PV$41</f>
        <v/>
      </c>
      <c r="N652" s="125" t="n"/>
      <c r="O652" s="131" t="n">
        <v>1</v>
      </c>
      <c r="P652" s="120" t="n"/>
      <c r="Q652" s="16" t="n"/>
      <c r="R652" s="17" t="n"/>
      <c r="S652" s="132">
        <f>DADOS_INVOC!$PV$42</f>
        <v/>
      </c>
      <c r="T652" s="125" t="n"/>
      <c r="U652" s="131" t="n">
        <v>1</v>
      </c>
      <c r="V652" s="120" t="n"/>
      <c r="W652" s="16" t="n"/>
      <c r="X652" s="17" t="n"/>
      <c r="Y652" s="132">
        <f>DADOS_INVOC!$PV$43</f>
        <v/>
      </c>
      <c r="Z652" s="125" t="n"/>
      <c r="AB652" s="131" t="n">
        <v>0</v>
      </c>
      <c r="AC652" s="120" t="n"/>
      <c r="AD652" s="16" t="n"/>
      <c r="AE652" s="17" t="n"/>
      <c r="AF652" s="132">
        <f>DADOS_INVOC!$PV$119</f>
        <v/>
      </c>
      <c r="AG652" s="125" t="n"/>
      <c r="AH652" s="131" t="n">
        <v>1</v>
      </c>
      <c r="AI652" s="120" t="n"/>
      <c r="AJ652" s="16" t="n"/>
      <c r="AK652" s="17" t="n"/>
      <c r="AL652" s="132">
        <f>DADOS_INVOC!$PV$120</f>
        <v/>
      </c>
      <c r="AM652" s="125" t="n"/>
      <c r="AN652" s="131" t="n">
        <v>1</v>
      </c>
      <c r="AO652" s="120" t="n"/>
      <c r="AP652" s="16" t="n"/>
      <c r="AQ652" s="17" t="n"/>
      <c r="AR652" s="132">
        <f>DADOS_INVOC!$PV$121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90" t="inlineStr">
        <is>
          <t>Projétil</t>
        </is>
      </c>
      <c r="J657" s="17" t="n"/>
      <c r="K657" s="68">
        <f>DADOS_INVOC!$QC$41</f>
        <v/>
      </c>
      <c r="L657" s="17" t="n"/>
      <c r="M657" s="68">
        <f>DADOS_INVOC!$PY$41</f>
        <v/>
      </c>
      <c r="N657" s="125" t="n"/>
      <c r="O657" s="90" t="inlineStr">
        <is>
          <t>Projétil</t>
        </is>
      </c>
      <c r="P657" s="17" t="n"/>
      <c r="Q657" s="68">
        <f>DADOS_INVOC!$QC$42</f>
        <v/>
      </c>
      <c r="R657" s="17" t="n"/>
      <c r="S657" s="68">
        <f>DADOS_INVOC!$PY$42</f>
        <v/>
      </c>
      <c r="T657" s="125" t="n"/>
      <c r="U657" s="90" t="inlineStr">
        <is>
          <t>Projétil</t>
        </is>
      </c>
      <c r="V657" s="17" t="n"/>
      <c r="W657" s="68">
        <f>DADOS_INVOC!$QC$43</f>
        <v/>
      </c>
      <c r="X657" s="17" t="n"/>
      <c r="Y657" s="68">
        <f>DADOS_INVOC!$PY$43</f>
        <v/>
      </c>
      <c r="Z657" s="125" t="n"/>
      <c r="AB657" s="90" t="inlineStr">
        <is>
          <t>Projétil</t>
        </is>
      </c>
      <c r="AC657" s="17" t="n"/>
      <c r="AD657" s="68">
        <f>DADOS_INVOC!$QC$119</f>
        <v/>
      </c>
      <c r="AE657" s="17" t="n"/>
      <c r="AF657" s="68">
        <f>DADOS_INVOC!$PY$119</f>
        <v/>
      </c>
      <c r="AG657" s="125" t="n"/>
      <c r="AH657" s="90" t="inlineStr">
        <is>
          <t>Projétil</t>
        </is>
      </c>
      <c r="AI657" s="17" t="n"/>
      <c r="AJ657" s="68">
        <f>DADOS_INVOC!$QC$120</f>
        <v/>
      </c>
      <c r="AK657" s="17" t="n"/>
      <c r="AL657" s="68">
        <f>DADOS_INVOC!$PY$120</f>
        <v/>
      </c>
      <c r="AM657" s="125" t="n"/>
      <c r="AN657" s="90" t="inlineStr">
        <is>
          <t>Projétil</t>
        </is>
      </c>
      <c r="AO657" s="17" t="n"/>
      <c r="AP657" s="68">
        <f>DADOS_INVOC!$QC$121</f>
        <v/>
      </c>
      <c r="AQ657" s="17" t="n"/>
      <c r="AR657" s="68">
        <f>DADOS_INVOC!$PY$121</f>
        <v/>
      </c>
      <c r="AS657" s="125" t="n"/>
    </row>
    <row r="658" hidden="1" outlineLevel="1">
      <c r="A658" s="8" t="n"/>
      <c r="B658" s="14" t="n"/>
      <c r="C658" s="125" t="n"/>
      <c r="D658" s="125" t="n"/>
      <c r="E658" s="125" t="n"/>
      <c r="F658" s="125" t="n"/>
      <c r="G658" s="125" t="n"/>
      <c r="I658" s="90" t="n"/>
      <c r="J658" s="17" t="n"/>
      <c r="K658" s="90" t="n"/>
      <c r="L658" s="16" t="n"/>
      <c r="M658" s="17" t="n"/>
      <c r="N658" s="125" t="n"/>
      <c r="O658" s="90" t="n"/>
      <c r="P658" s="17" t="n"/>
      <c r="Q658" s="90" t="n"/>
      <c r="R658" s="16" t="n"/>
      <c r="S658" s="17" t="n"/>
      <c r="T658" s="125" t="n"/>
      <c r="U658" s="90" t="n"/>
      <c r="V658" s="17" t="n"/>
      <c r="W658" s="90" t="n"/>
      <c r="X658" s="16" t="n"/>
      <c r="Y658" s="17" t="n"/>
      <c r="Z658" s="125" t="n"/>
      <c r="AB658" s="90" t="n"/>
      <c r="AC658" s="17" t="n"/>
      <c r="AD658" s="90" t="n"/>
      <c r="AE658" s="16" t="n"/>
      <c r="AF658" s="17" t="n"/>
      <c r="AG658" s="125" t="n"/>
      <c r="AH658" s="90" t="n"/>
      <c r="AI658" s="17" t="n"/>
      <c r="AJ658" s="90" t="n"/>
      <c r="AK658" s="16" t="n"/>
      <c r="AL658" s="17" t="n"/>
      <c r="AM658" s="125" t="n"/>
      <c r="AN658" s="90" t="n"/>
      <c r="AO658" s="17" t="n"/>
      <c r="AP658" s="90" t="n"/>
      <c r="AQ658" s="16" t="n"/>
      <c r="AR658" s="17" t="n"/>
      <c r="AS658" s="125" t="n"/>
    </row>
    <row r="659" hidden="1" outlineLevel="1">
      <c r="A659" s="8" t="n"/>
      <c r="B659" s="14" t="n"/>
      <c r="C659" s="125" t="n"/>
      <c r="D659" s="125" t="n"/>
      <c r="E659" s="125" t="n"/>
      <c r="F659" s="125" t="n"/>
      <c r="G659" s="125" t="n"/>
      <c r="I659" s="90">
        <f>DADOS_INVOC!$PZ$41</f>
        <v/>
      </c>
      <c r="J659" s="17" t="n"/>
      <c r="K659" s="90">
        <f>DADOS_INVOC!$QB$41</f>
        <v/>
      </c>
      <c r="L659" s="16" t="n"/>
      <c r="M659" s="17" t="n"/>
      <c r="N659" s="125" t="n"/>
      <c r="O659" s="90">
        <f>DADOS_INVOC!$PZ$42</f>
        <v/>
      </c>
      <c r="P659" s="17" t="n"/>
      <c r="Q659" s="90">
        <f>DADOS_INVOC!$QB$42</f>
        <v/>
      </c>
      <c r="R659" s="16" t="n"/>
      <c r="S659" s="17" t="n"/>
      <c r="T659" s="125" t="n"/>
      <c r="U659" s="90">
        <f>DADOS_INVOC!$PZ$43</f>
        <v/>
      </c>
      <c r="V659" s="17" t="n"/>
      <c r="W659" s="90">
        <f>DADOS_INVOC!$QB$43</f>
        <v/>
      </c>
      <c r="X659" s="16" t="n"/>
      <c r="Y659" s="17" t="n"/>
      <c r="Z659" s="125" t="n"/>
      <c r="AB659" s="90">
        <f>DADOS_INVOC!$PZ$119</f>
        <v/>
      </c>
      <c r="AC659" s="17" t="n"/>
      <c r="AD659" s="90">
        <f>DADOS_INVOC!$QB$119</f>
        <v/>
      </c>
      <c r="AE659" s="16" t="n"/>
      <c r="AF659" s="17" t="n"/>
      <c r="AG659" s="125" t="n"/>
      <c r="AH659" s="90">
        <f>DADOS_INVOC!$PZ$120</f>
        <v/>
      </c>
      <c r="AI659" s="17" t="n"/>
      <c r="AJ659" s="90">
        <f>DADOS_INVOC!$QB$120</f>
        <v/>
      </c>
      <c r="AK659" s="16" t="n"/>
      <c r="AL659" s="17" t="n"/>
      <c r="AM659" s="125" t="n"/>
      <c r="AN659" s="90">
        <f>DADOS_INVOC!$PZ$121</f>
        <v/>
      </c>
      <c r="AO659" s="17" t="n"/>
      <c r="AP659" s="90">
        <f>DADOS_INVOC!$QB$121</f>
        <v/>
      </c>
      <c r="AQ659" s="16" t="n"/>
      <c r="AR659" s="17" t="n"/>
      <c r="AS659" s="125" t="n"/>
    </row>
    <row r="660" hidden="1" outlineLevel="1">
      <c r="A660" s="8" t="n"/>
      <c r="B660" s="14" t="n"/>
      <c r="C660" s="125" t="n"/>
      <c r="D660" s="125" t="n"/>
      <c r="E660" s="125" t="n"/>
      <c r="F660" s="125" t="n"/>
      <c r="G660" s="125" t="n"/>
      <c r="I660" s="133">
        <f>DADOS_INVOC!$QH$41</f>
        <v/>
      </c>
      <c r="J660" s="16" t="n"/>
      <c r="K660" s="16" t="n"/>
      <c r="L660" s="16" t="n"/>
      <c r="M660" s="17" t="n"/>
      <c r="N660" s="125" t="n"/>
      <c r="O660" s="133">
        <f>DADOS_INVOC!$QH$42</f>
        <v/>
      </c>
      <c r="P660" s="16" t="n"/>
      <c r="Q660" s="16" t="n"/>
      <c r="R660" s="16" t="n"/>
      <c r="S660" s="17" t="n"/>
      <c r="T660" s="125" t="n"/>
      <c r="U660" s="133">
        <f>DADOS_INVOC!$QH$43</f>
        <v/>
      </c>
      <c r="V660" s="16" t="n"/>
      <c r="W660" s="16" t="n"/>
      <c r="X660" s="16" t="n"/>
      <c r="Y660" s="17" t="n"/>
      <c r="Z660" s="125" t="n"/>
      <c r="AB660" s="133">
        <f>DADOS_INVOC!$QH$119</f>
        <v/>
      </c>
      <c r="AC660" s="16" t="n"/>
      <c r="AD660" s="16" t="n"/>
      <c r="AE660" s="16" t="n"/>
      <c r="AF660" s="17" t="n"/>
      <c r="AG660" s="125" t="n"/>
      <c r="AH660" s="133">
        <f>DADOS_INVOC!$QH$120</f>
        <v/>
      </c>
      <c r="AI660" s="16" t="n"/>
      <c r="AJ660" s="16" t="n"/>
      <c r="AK660" s="16" t="n"/>
      <c r="AL660" s="17" t="n"/>
      <c r="AM660" s="125" t="n"/>
      <c r="AN660" s="133">
        <f>DADOS_INVOC!$QH$121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DADOS_INVOC!$QK$41</f>
        <v/>
      </c>
      <c r="N661" s="125" t="n"/>
      <c r="O661" s="55" t="inlineStr">
        <is>
          <t>MELHORIAS</t>
        </is>
      </c>
      <c r="P661" s="134" t="n"/>
      <c r="Q661" s="16" t="n"/>
      <c r="R661" s="17" t="n"/>
      <c r="S661" s="133">
        <f>DADOS_INVOC!$QK$42</f>
        <v/>
      </c>
      <c r="T661" s="125" t="n"/>
      <c r="U661" s="55" t="inlineStr">
        <is>
          <t>MELHORIAS</t>
        </is>
      </c>
      <c r="V661" s="134" t="n"/>
      <c r="W661" s="16" t="n"/>
      <c r="X661" s="17" t="n"/>
      <c r="Y661" s="133">
        <f>DADOS_INVOC!$QK$43</f>
        <v/>
      </c>
      <c r="Z661" s="125" t="n"/>
      <c r="AB661" s="55" t="inlineStr">
        <is>
          <t>MELHORIAS</t>
        </is>
      </c>
      <c r="AC661" s="134" t="n"/>
      <c r="AD661" s="16" t="n"/>
      <c r="AE661" s="17" t="n"/>
      <c r="AF661" s="133">
        <f>DADOS_INVOC!$QK$119</f>
        <v/>
      </c>
      <c r="AG661" s="125" t="n"/>
      <c r="AH661" s="55" t="inlineStr">
        <is>
          <t>MELHORIAS</t>
        </is>
      </c>
      <c r="AI661" s="134" t="n"/>
      <c r="AJ661" s="16" t="n"/>
      <c r="AK661" s="17" t="n"/>
      <c r="AL661" s="133">
        <f>DADOS_INVOC!$QK$120</f>
        <v/>
      </c>
      <c r="AM661" s="125" t="n"/>
      <c r="AN661" s="55" t="inlineStr">
        <is>
          <t>MELHORIAS</t>
        </is>
      </c>
      <c r="AO661" s="134" t="n"/>
      <c r="AP661" s="16" t="n"/>
      <c r="AQ661" s="17" t="n"/>
      <c r="AR661" s="133">
        <f>DADOS_INVOC!$QK$121</f>
        <v/>
      </c>
      <c r="AS661" s="125" t="n"/>
    </row>
    <row r="662" hidden="1" outlineLevel="2">
      <c r="A662" s="8" t="n"/>
      <c r="B662" s="14" t="n"/>
      <c r="C662" s="125" t="n"/>
      <c r="D662" s="125" t="n"/>
      <c r="E662" s="125" t="n"/>
      <c r="F662" s="125" t="n"/>
      <c r="G662" s="125" t="n"/>
      <c r="I662" s="135" t="n"/>
      <c r="J662" s="134" t="n"/>
      <c r="K662" s="16" t="n"/>
      <c r="L662" s="17" t="n"/>
      <c r="M662" s="133">
        <f>DADOS_INVOC!$QL$41</f>
        <v/>
      </c>
      <c r="N662" s="125" t="n"/>
      <c r="O662" s="135" t="n"/>
      <c r="P662" s="134" t="n"/>
      <c r="Q662" s="16" t="n"/>
      <c r="R662" s="17" t="n"/>
      <c r="S662" s="133">
        <f>DADOS_INVOC!$QL$42</f>
        <v/>
      </c>
      <c r="T662" s="125" t="n"/>
      <c r="U662" s="135" t="n"/>
      <c r="V662" s="134" t="n"/>
      <c r="W662" s="16" t="n"/>
      <c r="X662" s="17" t="n"/>
      <c r="Y662" s="133">
        <f>DADOS_INVOC!$QL$43</f>
        <v/>
      </c>
      <c r="Z662" s="125" t="n"/>
      <c r="AB662" s="135" t="n"/>
      <c r="AC662" s="134" t="n"/>
      <c r="AD662" s="16" t="n"/>
      <c r="AE662" s="17" t="n"/>
      <c r="AF662" s="133">
        <f>DADOS_INVOC!$QL$119</f>
        <v/>
      </c>
      <c r="AG662" s="125" t="n"/>
      <c r="AH662" s="135" t="n"/>
      <c r="AI662" s="134" t="n"/>
      <c r="AJ662" s="16" t="n"/>
      <c r="AK662" s="17" t="n"/>
      <c r="AL662" s="133">
        <f>DADOS_INVOC!$QL$120</f>
        <v/>
      </c>
      <c r="AM662" s="125" t="n"/>
      <c r="AN662" s="135" t="n"/>
      <c r="AO662" s="134" t="n"/>
      <c r="AP662" s="16" t="n"/>
      <c r="AQ662" s="17" t="n"/>
      <c r="AR662" s="133">
        <f>DADOS_INVOC!$QL$121</f>
        <v/>
      </c>
      <c r="AS662" s="125" t="n"/>
    </row>
    <row r="663" hidden="1" outlineLevel="2">
      <c r="A663" s="8" t="n"/>
      <c r="B663" s="14" t="n"/>
      <c r="C663" s="125" t="n"/>
      <c r="D663" s="125" t="n"/>
      <c r="E663" s="125" t="n"/>
      <c r="F663" s="125" t="n"/>
      <c r="G663" s="125" t="n"/>
      <c r="I663" s="135" t="n"/>
      <c r="J663" s="134" t="n"/>
      <c r="K663" s="16" t="n"/>
      <c r="L663" s="17" t="n"/>
      <c r="M663" s="133">
        <f>DADOS_INVOC!$QM$41</f>
        <v/>
      </c>
      <c r="N663" s="125" t="n"/>
      <c r="O663" s="135" t="n"/>
      <c r="P663" s="134" t="n"/>
      <c r="Q663" s="16" t="n"/>
      <c r="R663" s="17" t="n"/>
      <c r="S663" s="133">
        <f>DADOS_INVOC!$QM$42</f>
        <v/>
      </c>
      <c r="T663" s="125" t="n"/>
      <c r="U663" s="135" t="n"/>
      <c r="V663" s="134" t="n"/>
      <c r="W663" s="16" t="n"/>
      <c r="X663" s="17" t="n"/>
      <c r="Y663" s="133">
        <f>DADOS_INVOC!$QM$43</f>
        <v/>
      </c>
      <c r="Z663" s="125" t="n"/>
      <c r="AB663" s="135" t="n"/>
      <c r="AC663" s="134" t="n"/>
      <c r="AD663" s="16" t="n"/>
      <c r="AE663" s="17" t="n"/>
      <c r="AF663" s="133">
        <f>DADOS_INVOC!$QM$119</f>
        <v/>
      </c>
      <c r="AG663" s="125" t="n"/>
      <c r="AH663" s="135" t="n"/>
      <c r="AI663" s="134" t="n"/>
      <c r="AJ663" s="16" t="n"/>
      <c r="AK663" s="17" t="n"/>
      <c r="AL663" s="133">
        <f>DADOS_INVOC!$QM$120</f>
        <v/>
      </c>
      <c r="AM663" s="125" t="n"/>
      <c r="AN663" s="135" t="n"/>
      <c r="AO663" s="134" t="n"/>
      <c r="AP663" s="16" t="n"/>
      <c r="AQ663" s="17" t="n"/>
      <c r="AR663" s="133">
        <f>DADOS_INVOC!$QM$121</f>
        <v/>
      </c>
      <c r="AS663" s="125" t="n"/>
    </row>
    <row r="664" hidden="1" outlineLevel="2">
      <c r="A664" s="8" t="n"/>
      <c r="B664" s="14" t="n"/>
      <c r="C664" s="125" t="n"/>
      <c r="D664" s="125" t="n"/>
      <c r="E664" s="125" t="n"/>
      <c r="F664" s="125" t="n"/>
      <c r="G664" s="125" t="n"/>
      <c r="I664" s="129" t="n"/>
      <c r="J664" s="134" t="n"/>
      <c r="K664" s="16" t="n"/>
      <c r="L664" s="17" t="n"/>
      <c r="M664" s="133">
        <f>DADOS_INVOC!$QN$41</f>
        <v/>
      </c>
      <c r="N664" s="125" t="n"/>
      <c r="O664" s="129" t="n"/>
      <c r="P664" s="134" t="n"/>
      <c r="Q664" s="16" t="n"/>
      <c r="R664" s="17" t="n"/>
      <c r="S664" s="133">
        <f>DADOS_INVOC!$QN$42</f>
        <v/>
      </c>
      <c r="T664" s="125" t="n"/>
      <c r="U664" s="129" t="n"/>
      <c r="V664" s="134" t="n"/>
      <c r="W664" s="16" t="n"/>
      <c r="X664" s="17" t="n"/>
      <c r="Y664" s="133">
        <f>DADOS_INVOC!$QN$43</f>
        <v/>
      </c>
      <c r="Z664" s="125" t="n"/>
      <c r="AB664" s="129" t="n"/>
      <c r="AC664" s="134" t="n"/>
      <c r="AD664" s="16" t="n"/>
      <c r="AE664" s="17" t="n"/>
      <c r="AF664" s="133">
        <f>DADOS_INVOC!$QN$119</f>
        <v/>
      </c>
      <c r="AG664" s="125" t="n"/>
      <c r="AH664" s="129" t="n"/>
      <c r="AI664" s="134" t="n"/>
      <c r="AJ664" s="16" t="n"/>
      <c r="AK664" s="17" t="n"/>
      <c r="AL664" s="133">
        <f>DADOS_INVOC!$QN$120</f>
        <v/>
      </c>
      <c r="AM664" s="125" t="n"/>
      <c r="AN664" s="129" t="n"/>
      <c r="AO664" s="134" t="n"/>
      <c r="AP664" s="16" t="n"/>
      <c r="AQ664" s="17" t="n"/>
      <c r="AR664" s="133">
        <f>DADOS_INVOC!$QN$121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DADOS_INVOC!$QO$41</f>
        <v/>
      </c>
      <c r="N665" s="125" t="n"/>
      <c r="O665" s="55" t="inlineStr">
        <is>
          <t>RESTRIÇÕES</t>
        </is>
      </c>
      <c r="P665" s="134" t="n"/>
      <c r="Q665" s="16" t="n"/>
      <c r="R665" s="17" t="n"/>
      <c r="S665" s="133">
        <f>DADOS_INVOC!$QO$42</f>
        <v/>
      </c>
      <c r="T665" s="125" t="n"/>
      <c r="U665" s="55" t="inlineStr">
        <is>
          <t>RESTRIÇÕES</t>
        </is>
      </c>
      <c r="V665" s="134" t="n"/>
      <c r="W665" s="16" t="n"/>
      <c r="X665" s="17" t="n"/>
      <c r="Y665" s="133">
        <f>DADOS_INVOC!$QO$43</f>
        <v/>
      </c>
      <c r="Z665" s="125" t="n"/>
      <c r="AB665" s="55" t="inlineStr">
        <is>
          <t>RESTRIÇÕES</t>
        </is>
      </c>
      <c r="AC665" s="134" t="n"/>
      <c r="AD665" s="16" t="n"/>
      <c r="AE665" s="17" t="n"/>
      <c r="AF665" s="133">
        <f>DADOS_INVOC!$QO$119</f>
        <v/>
      </c>
      <c r="AG665" s="125" t="n"/>
      <c r="AH665" s="55" t="inlineStr">
        <is>
          <t>RESTRIÇÕES</t>
        </is>
      </c>
      <c r="AI665" s="134" t="n"/>
      <c r="AJ665" s="16" t="n"/>
      <c r="AK665" s="17" t="n"/>
      <c r="AL665" s="133">
        <f>DADOS_INVOC!$QO$120</f>
        <v/>
      </c>
      <c r="AM665" s="125" t="n"/>
      <c r="AN665" s="55" t="inlineStr">
        <is>
          <t>RESTRIÇÕES</t>
        </is>
      </c>
      <c r="AO665" s="134" t="n"/>
      <c r="AP665" s="16" t="n"/>
      <c r="AQ665" s="17" t="n"/>
      <c r="AR665" s="133">
        <f>DADOS_INVOC!$QO$121</f>
        <v/>
      </c>
      <c r="AS665" s="125" t="n"/>
    </row>
    <row r="666" hidden="1" outlineLevel="2">
      <c r="A666" s="8" t="n"/>
      <c r="B666" s="14" t="n"/>
      <c r="C666" s="125" t="n"/>
      <c r="D666" s="125" t="n"/>
      <c r="E666" s="125" t="n"/>
      <c r="F666" s="125" t="n"/>
      <c r="G666" s="125" t="n"/>
      <c r="I666" s="129" t="n"/>
      <c r="J666" s="134" t="n"/>
      <c r="K666" s="16" t="n"/>
      <c r="L666" s="17" t="n"/>
      <c r="M666" s="133">
        <f>DADOS_INVOC!$QP$41</f>
        <v/>
      </c>
      <c r="N666" s="125" t="n"/>
      <c r="O666" s="129" t="n"/>
      <c r="P666" s="134" t="n"/>
      <c r="Q666" s="16" t="n"/>
      <c r="R666" s="17" t="n"/>
      <c r="S666" s="133">
        <f>DADOS_INVOC!$QP$42</f>
        <v/>
      </c>
      <c r="T666" s="125" t="n"/>
      <c r="U666" s="129" t="n"/>
      <c r="V666" s="134" t="n"/>
      <c r="W666" s="16" t="n"/>
      <c r="X666" s="17" t="n"/>
      <c r="Y666" s="133">
        <f>DADOS_INVOC!$QP$43</f>
        <v/>
      </c>
      <c r="Z666" s="125" t="n"/>
      <c r="AB666" s="129" t="n"/>
      <c r="AC666" s="134" t="n"/>
      <c r="AD666" s="16" t="n"/>
      <c r="AE666" s="17" t="n"/>
      <c r="AF666" s="133">
        <f>DADOS_INVOC!$QP$119</f>
        <v/>
      </c>
      <c r="AG666" s="125" t="n"/>
      <c r="AH666" s="129" t="n"/>
      <c r="AI666" s="134" t="n"/>
      <c r="AJ666" s="16" t="n"/>
      <c r="AK666" s="17" t="n"/>
      <c r="AL666" s="133">
        <f>DADOS_INVOC!$QP$120</f>
        <v/>
      </c>
      <c r="AM666" s="125" t="n"/>
      <c r="AN666" s="129" t="n"/>
      <c r="AO666" s="134" t="n"/>
      <c r="AP666" s="16" t="n"/>
      <c r="AQ666" s="17" t="n"/>
      <c r="AR666" s="133">
        <f>DADOS_INVOC!$QP$121</f>
        <v/>
      </c>
      <c r="AS666" s="125" t="n"/>
    </row>
    <row r="667" hidden="1" outlineLevel="2">
      <c r="A667" s="8" t="n"/>
      <c r="B667" s="14" t="n"/>
      <c r="C667" s="125" t="n"/>
      <c r="D667" s="125" t="n"/>
      <c r="E667" s="125" t="n"/>
      <c r="F667" s="125" t="n"/>
      <c r="G667" s="125" t="n"/>
      <c r="I667" s="55" t="inlineStr">
        <is>
          <t>CONTA</t>
        </is>
      </c>
      <c r="J667" s="136">
        <f>DADOS_INVOC!$QI$41</f>
        <v/>
      </c>
      <c r="K667" s="16" t="n"/>
      <c r="L667" s="16" t="n"/>
      <c r="M667" s="17" t="n"/>
      <c r="N667" s="125" t="n"/>
      <c r="O667" s="55" t="inlineStr">
        <is>
          <t>CONTA</t>
        </is>
      </c>
      <c r="P667" s="136">
        <f>DADOS_INVOC!$QI$42</f>
        <v/>
      </c>
      <c r="Q667" s="16" t="n"/>
      <c r="R667" s="16" t="n"/>
      <c r="S667" s="17" t="n"/>
      <c r="T667" s="125" t="n"/>
      <c r="U667" s="55" t="inlineStr">
        <is>
          <t>CONTA</t>
        </is>
      </c>
      <c r="V667" s="136">
        <f>DADOS_INVOC!$QI$43</f>
        <v/>
      </c>
      <c r="W667" s="16" t="n"/>
      <c r="X667" s="16" t="n"/>
      <c r="Y667" s="17" t="n"/>
      <c r="Z667" s="125" t="n"/>
      <c r="AB667" s="55" t="inlineStr">
        <is>
          <t>CONTA</t>
        </is>
      </c>
      <c r="AC667" s="136">
        <f>DADOS_INVOC!$QI$119</f>
        <v/>
      </c>
      <c r="AD667" s="16" t="n"/>
      <c r="AE667" s="16" t="n"/>
      <c r="AF667" s="17" t="n"/>
      <c r="AG667" s="125" t="n"/>
      <c r="AH667" s="55" t="inlineStr">
        <is>
          <t>CONTA</t>
        </is>
      </c>
      <c r="AI667" s="136">
        <f>DADOS_INVOC!$QI$120</f>
        <v/>
      </c>
      <c r="AJ667" s="16" t="n"/>
      <c r="AK667" s="16" t="n"/>
      <c r="AL667" s="17" t="n"/>
      <c r="AM667" s="125" t="n"/>
      <c r="AN667" s="55" t="inlineStr">
        <is>
          <t>CONTA</t>
        </is>
      </c>
      <c r="AO667" s="136">
        <f>DADOS_INVOC!$QI$121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DADOS_INVOC!$QJ$41</f>
        <v/>
      </c>
      <c r="K668" s="19" t="n"/>
      <c r="L668" s="19" t="n"/>
      <c r="M668" s="20" t="n"/>
      <c r="N668" s="125" t="n"/>
      <c r="O668" s="55" t="inlineStr">
        <is>
          <t>AMPLIAR</t>
        </is>
      </c>
      <c r="P668" s="136">
        <f>DADOS_INVOC!$QJ$42</f>
        <v/>
      </c>
      <c r="Q668" s="19" t="n"/>
      <c r="R668" s="19" t="n"/>
      <c r="S668" s="20" t="n"/>
      <c r="T668" s="125" t="n"/>
      <c r="U668" s="55" t="inlineStr">
        <is>
          <t>AMPLIAR</t>
        </is>
      </c>
      <c r="V668" s="136">
        <f>DADOS_INVOC!$QJ$43</f>
        <v/>
      </c>
      <c r="W668" s="19" t="n"/>
      <c r="X668" s="19" t="n"/>
      <c r="Y668" s="20" t="n"/>
      <c r="Z668" s="125" t="n"/>
      <c r="AB668" s="55" t="inlineStr">
        <is>
          <t>AMPLIAR</t>
        </is>
      </c>
      <c r="AC668" s="136">
        <f>DADOS_INVOC!$QJ$119</f>
        <v/>
      </c>
      <c r="AD668" s="19" t="n"/>
      <c r="AE668" s="19" t="n"/>
      <c r="AF668" s="20" t="n"/>
      <c r="AG668" s="125" t="n"/>
      <c r="AH668" s="55" t="inlineStr">
        <is>
          <t>AMPLIAR</t>
        </is>
      </c>
      <c r="AI668" s="136">
        <f>DADOS_INVOC!$QJ$120</f>
        <v/>
      </c>
      <c r="AJ668" s="19" t="n"/>
      <c r="AK668" s="19" t="n"/>
      <c r="AL668" s="20" t="n"/>
      <c r="AM668" s="125" t="n"/>
      <c r="AN668" s="55" t="inlineStr">
        <is>
          <t>AMPLIAR</t>
        </is>
      </c>
      <c r="AO668" s="136">
        <f>DADOS_INVOC!$QJ$121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DADOS_INVOC!$PW$41</f>
        <v/>
      </c>
      <c r="J670" s="19" t="n"/>
      <c r="K670" s="19" t="n"/>
      <c r="L670" s="19" t="n"/>
      <c r="M670" s="20" t="n"/>
      <c r="N670" s="125" t="n"/>
      <c r="O670" s="136">
        <f>DADOS_INVOC!$PW$42</f>
        <v/>
      </c>
      <c r="P670" s="19" t="n"/>
      <c r="Q670" s="19" t="n"/>
      <c r="R670" s="19" t="n"/>
      <c r="S670" s="20" t="n"/>
      <c r="T670" s="125" t="n"/>
      <c r="U670" s="136">
        <f>DADOS_INVOC!$PW$43</f>
        <v/>
      </c>
      <c r="V670" s="19" t="n"/>
      <c r="W670" s="19" t="n"/>
      <c r="X670" s="19" t="n"/>
      <c r="Y670" s="20" t="n"/>
      <c r="Z670" s="125" t="n"/>
      <c r="AB670" s="136">
        <f>DADOS_INVOC!$PW$119</f>
        <v/>
      </c>
      <c r="AC670" s="19" t="n"/>
      <c r="AD670" s="19" t="n"/>
      <c r="AE670" s="19" t="n"/>
      <c r="AF670" s="20" t="n"/>
      <c r="AG670" s="125" t="n"/>
      <c r="AH670" s="136">
        <f>DADOS_INVOC!$PW$120</f>
        <v/>
      </c>
      <c r="AI670" s="19" t="n"/>
      <c r="AJ670" s="19" t="n"/>
      <c r="AK670" s="19" t="n"/>
      <c r="AL670" s="20" t="n"/>
      <c r="AM670" s="125" t="n"/>
      <c r="AN670" s="136">
        <f>DADOS_INVOC!$PW$121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DADOS_INVOC!$PX$44</f>
        <v/>
      </c>
      <c r="J685" s="16" t="n"/>
      <c r="K685" s="16" t="n"/>
      <c r="L685" s="16" t="n"/>
      <c r="M685" s="17" t="n"/>
      <c r="N685" s="125" t="n"/>
      <c r="O685" s="55">
        <f>DADOS_INVOC!$PX$45</f>
        <v/>
      </c>
      <c r="P685" s="16" t="n"/>
      <c r="Q685" s="16" t="n"/>
      <c r="R685" s="16" t="n"/>
      <c r="S685" s="17" t="n"/>
      <c r="T685" s="125" t="n"/>
      <c r="U685" s="55">
        <f>DADOS_INVOC!$PX$46</f>
        <v/>
      </c>
      <c r="V685" s="16" t="n"/>
      <c r="W685" s="16" t="n"/>
      <c r="X685" s="16" t="n"/>
      <c r="Y685" s="17" t="n"/>
      <c r="Z685" s="125" t="n"/>
      <c r="AB685" s="55">
        <f>DADOS_INVOC!$PX$122</f>
        <v/>
      </c>
      <c r="AC685" s="16" t="n"/>
      <c r="AD685" s="16" t="n"/>
      <c r="AE685" s="16" t="n"/>
      <c r="AF685" s="17" t="n"/>
      <c r="AG685" s="125" t="n"/>
      <c r="AH685" s="55">
        <f>DADOS_INVOC!$PX$123</f>
        <v/>
      </c>
      <c r="AI685" s="16" t="n"/>
      <c r="AJ685" s="16" t="n"/>
      <c r="AK685" s="16" t="n"/>
      <c r="AL685" s="17" t="n"/>
      <c r="AM685" s="125" t="n"/>
      <c r="AN685" s="55">
        <f>DADOS_INVOC!$PX$124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DADOS_INVOC!$PV$44</f>
        <v/>
      </c>
      <c r="N686" s="125" t="n"/>
      <c r="O686" s="131" t="n">
        <v>1</v>
      </c>
      <c r="P686" s="120" t="n"/>
      <c r="Q686" s="16" t="n"/>
      <c r="R686" s="17" t="n"/>
      <c r="S686" s="132">
        <f>DADOS_INVOC!$PV$45</f>
        <v/>
      </c>
      <c r="T686" s="125" t="n"/>
      <c r="U686" s="131" t="n">
        <v>1</v>
      </c>
      <c r="V686" s="120" t="n"/>
      <c r="W686" s="16" t="n"/>
      <c r="X686" s="17" t="n"/>
      <c r="Y686" s="132">
        <f>DADOS_INVOC!$PV$46</f>
        <v/>
      </c>
      <c r="Z686" s="125" t="n"/>
      <c r="AB686" s="131" t="n">
        <v>0</v>
      </c>
      <c r="AC686" s="120" t="n"/>
      <c r="AD686" s="16" t="n"/>
      <c r="AE686" s="17" t="n"/>
      <c r="AF686" s="132">
        <f>DADOS_INVOC!$PV$122</f>
        <v/>
      </c>
      <c r="AG686" s="125" t="n"/>
      <c r="AH686" s="131" t="n">
        <v>1</v>
      </c>
      <c r="AI686" s="120" t="n"/>
      <c r="AJ686" s="16" t="n"/>
      <c r="AK686" s="17" t="n"/>
      <c r="AL686" s="132">
        <f>DADOS_INVOC!$PV$123</f>
        <v/>
      </c>
      <c r="AM686" s="125" t="n"/>
      <c r="AN686" s="131" t="n">
        <v>1</v>
      </c>
      <c r="AO686" s="120" t="n"/>
      <c r="AP686" s="16" t="n"/>
      <c r="AQ686" s="17" t="n"/>
      <c r="AR686" s="132">
        <f>DADOS_INVOC!$PV$124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90" t="inlineStr">
        <is>
          <t>Projétil</t>
        </is>
      </c>
      <c r="J691" s="17" t="n"/>
      <c r="K691" s="68">
        <f>DADOS_INVOC!$QC$44</f>
        <v/>
      </c>
      <c r="L691" s="17" t="n"/>
      <c r="M691" s="68">
        <f>DADOS_INVOC!$PY$44</f>
        <v/>
      </c>
      <c r="N691" s="125" t="n"/>
      <c r="O691" s="90" t="inlineStr">
        <is>
          <t>Projétil</t>
        </is>
      </c>
      <c r="P691" s="17" t="n"/>
      <c r="Q691" s="68">
        <f>DADOS_INVOC!$QC$45</f>
        <v/>
      </c>
      <c r="R691" s="17" t="n"/>
      <c r="S691" s="68">
        <f>DADOS_INVOC!$PY$45</f>
        <v/>
      </c>
      <c r="T691" s="125" t="n"/>
      <c r="U691" s="90" t="inlineStr">
        <is>
          <t>Projétil</t>
        </is>
      </c>
      <c r="V691" s="17" t="n"/>
      <c r="W691" s="68">
        <f>DADOS_INVOC!$QC$46</f>
        <v/>
      </c>
      <c r="X691" s="17" t="n"/>
      <c r="Y691" s="68">
        <f>DADOS_INVOC!$PY$46</f>
        <v/>
      </c>
      <c r="Z691" s="125" t="n"/>
      <c r="AB691" s="90" t="inlineStr">
        <is>
          <t>Projétil</t>
        </is>
      </c>
      <c r="AC691" s="17" t="n"/>
      <c r="AD691" s="68">
        <f>DADOS_INVOC!$QC$122</f>
        <v/>
      </c>
      <c r="AE691" s="17" t="n"/>
      <c r="AF691" s="68">
        <f>DADOS_INVOC!$PY$122</f>
        <v/>
      </c>
      <c r="AG691" s="125" t="n"/>
      <c r="AH691" s="90" t="inlineStr">
        <is>
          <t>Projétil</t>
        </is>
      </c>
      <c r="AI691" s="17" t="n"/>
      <c r="AJ691" s="68">
        <f>DADOS_INVOC!$QC$123</f>
        <v/>
      </c>
      <c r="AK691" s="17" t="n"/>
      <c r="AL691" s="68">
        <f>DADOS_INVOC!$PY$123</f>
        <v/>
      </c>
      <c r="AM691" s="125" t="n"/>
      <c r="AN691" s="90" t="inlineStr">
        <is>
          <t>Projétil</t>
        </is>
      </c>
      <c r="AO691" s="17" t="n"/>
      <c r="AP691" s="68">
        <f>DADOS_INVOC!$QC$124</f>
        <v/>
      </c>
      <c r="AQ691" s="17" t="n"/>
      <c r="AR691" s="68">
        <f>DADOS_INVOC!$PY$124</f>
        <v/>
      </c>
      <c r="AS691" s="125" t="n"/>
    </row>
    <row r="692" hidden="1" outlineLevel="2">
      <c r="A692" s="8" t="n"/>
      <c r="B692" s="14" t="n"/>
      <c r="C692" s="125" t="n"/>
      <c r="D692" s="125" t="n"/>
      <c r="E692" s="125" t="n"/>
      <c r="F692" s="125" t="n"/>
      <c r="G692" s="125" t="n"/>
      <c r="I692" s="90" t="n"/>
      <c r="J692" s="17" t="n"/>
      <c r="K692" s="90" t="n"/>
      <c r="L692" s="16" t="n"/>
      <c r="M692" s="17" t="n"/>
      <c r="N692" s="125" t="n"/>
      <c r="O692" s="90" t="n"/>
      <c r="P692" s="17" t="n"/>
      <c r="Q692" s="90" t="n"/>
      <c r="R692" s="16" t="n"/>
      <c r="S692" s="17" t="n"/>
      <c r="T692" s="125" t="n"/>
      <c r="U692" s="90" t="n"/>
      <c r="V692" s="17" t="n"/>
      <c r="W692" s="90" t="n"/>
      <c r="X692" s="16" t="n"/>
      <c r="Y692" s="17" t="n"/>
      <c r="Z692" s="125" t="n"/>
      <c r="AB692" s="90" t="n"/>
      <c r="AC692" s="17" t="n"/>
      <c r="AD692" s="90" t="n"/>
      <c r="AE692" s="16" t="n"/>
      <c r="AF692" s="17" t="n"/>
      <c r="AG692" s="125" t="n"/>
      <c r="AH692" s="90" t="n"/>
      <c r="AI692" s="17" t="n"/>
      <c r="AJ692" s="90" t="n"/>
      <c r="AK692" s="16" t="n"/>
      <c r="AL692" s="17" t="n"/>
      <c r="AM692" s="125" t="n"/>
      <c r="AN692" s="90" t="n"/>
      <c r="AO692" s="17" t="n"/>
      <c r="AP692" s="90" t="n"/>
      <c r="AQ692" s="16" t="n"/>
      <c r="AR692" s="17" t="n"/>
      <c r="AS692" s="125" t="n"/>
    </row>
    <row r="693" hidden="1" outlineLevel="2">
      <c r="A693" s="8" t="n"/>
      <c r="B693" s="14" t="n"/>
      <c r="C693" s="125" t="n"/>
      <c r="D693" s="125" t="n"/>
      <c r="E693" s="125" t="n"/>
      <c r="F693" s="125" t="n"/>
      <c r="G693" s="125" t="n"/>
      <c r="I693" s="90">
        <f>DADOS_INVOC!$PZ$44</f>
        <v/>
      </c>
      <c r="J693" s="17" t="n"/>
      <c r="K693" s="90">
        <f>DADOS_INVOC!$QB$44</f>
        <v/>
      </c>
      <c r="L693" s="16" t="n"/>
      <c r="M693" s="17" t="n"/>
      <c r="N693" s="125" t="n"/>
      <c r="O693" s="90">
        <f>DADOS_INVOC!$PZ$45</f>
        <v/>
      </c>
      <c r="P693" s="17" t="n"/>
      <c r="Q693" s="90">
        <f>DADOS_INVOC!$QB$45</f>
        <v/>
      </c>
      <c r="R693" s="16" t="n"/>
      <c r="S693" s="17" t="n"/>
      <c r="T693" s="125" t="n"/>
      <c r="U693" s="90">
        <f>DADOS_INVOC!$PZ$46</f>
        <v/>
      </c>
      <c r="V693" s="17" t="n"/>
      <c r="W693" s="90">
        <f>DADOS_INVOC!$QB$46</f>
        <v/>
      </c>
      <c r="X693" s="16" t="n"/>
      <c r="Y693" s="17" t="n"/>
      <c r="Z693" s="125" t="n"/>
      <c r="AB693" s="90">
        <f>DADOS_INVOC!$PZ$122</f>
        <v/>
      </c>
      <c r="AC693" s="17" t="n"/>
      <c r="AD693" s="90">
        <f>DADOS_INVOC!$QB$122</f>
        <v/>
      </c>
      <c r="AE693" s="16" t="n"/>
      <c r="AF693" s="17" t="n"/>
      <c r="AG693" s="125" t="n"/>
      <c r="AH693" s="90">
        <f>DADOS_INVOC!$PZ$123</f>
        <v/>
      </c>
      <c r="AI693" s="17" t="n"/>
      <c r="AJ693" s="90">
        <f>DADOS_INVOC!$QB$123</f>
        <v/>
      </c>
      <c r="AK693" s="16" t="n"/>
      <c r="AL693" s="17" t="n"/>
      <c r="AM693" s="125" t="n"/>
      <c r="AN693" s="90">
        <f>DADOS_INVOC!$PZ$124</f>
        <v/>
      </c>
      <c r="AO693" s="17" t="n"/>
      <c r="AP693" s="90">
        <f>DADOS_INVOC!$QB$124</f>
        <v/>
      </c>
      <c r="AQ693" s="16" t="n"/>
      <c r="AR693" s="17" t="n"/>
      <c r="AS693" s="125" t="n"/>
    </row>
    <row r="694" hidden="1" outlineLevel="2">
      <c r="A694" s="8" t="n"/>
      <c r="B694" s="14" t="n"/>
      <c r="C694" s="125" t="n"/>
      <c r="D694" s="125" t="n"/>
      <c r="E694" s="125" t="n"/>
      <c r="F694" s="125" t="n"/>
      <c r="G694" s="125" t="n"/>
      <c r="I694" s="133">
        <f>DADOS_INVOC!$QH$44</f>
        <v/>
      </c>
      <c r="J694" s="16" t="n"/>
      <c r="K694" s="16" t="n"/>
      <c r="L694" s="16" t="n"/>
      <c r="M694" s="17" t="n"/>
      <c r="N694" s="125" t="n"/>
      <c r="O694" s="133">
        <f>DADOS_INVOC!$QH$45</f>
        <v/>
      </c>
      <c r="P694" s="16" t="n"/>
      <c r="Q694" s="16" t="n"/>
      <c r="R694" s="16" t="n"/>
      <c r="S694" s="17" t="n"/>
      <c r="T694" s="125" t="n"/>
      <c r="U694" s="133">
        <f>DADOS_INVOC!$QH$46</f>
        <v/>
      </c>
      <c r="V694" s="16" t="n"/>
      <c r="W694" s="16" t="n"/>
      <c r="X694" s="16" t="n"/>
      <c r="Y694" s="17" t="n"/>
      <c r="Z694" s="125" t="n"/>
      <c r="AB694" s="133">
        <f>DADOS_INVOC!$QH$122</f>
        <v/>
      </c>
      <c r="AC694" s="16" t="n"/>
      <c r="AD694" s="16" t="n"/>
      <c r="AE694" s="16" t="n"/>
      <c r="AF694" s="17" t="n"/>
      <c r="AG694" s="125" t="n"/>
      <c r="AH694" s="133">
        <f>DADOS_INVOC!$QH$123</f>
        <v/>
      </c>
      <c r="AI694" s="16" t="n"/>
      <c r="AJ694" s="16" t="n"/>
      <c r="AK694" s="16" t="n"/>
      <c r="AL694" s="17" t="n"/>
      <c r="AM694" s="125" t="n"/>
      <c r="AN694" s="133">
        <f>DADOS_INVOC!$QH$124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DADOS_INVOC!$QK$44</f>
        <v/>
      </c>
      <c r="N695" s="125" t="n"/>
      <c r="O695" s="55" t="inlineStr">
        <is>
          <t>MELHORIAS</t>
        </is>
      </c>
      <c r="P695" s="134" t="n"/>
      <c r="Q695" s="16" t="n"/>
      <c r="R695" s="17" t="n"/>
      <c r="S695" s="133">
        <f>DADOS_INVOC!$QK$45</f>
        <v/>
      </c>
      <c r="T695" s="125" t="n"/>
      <c r="U695" s="55" t="inlineStr">
        <is>
          <t>MELHORIAS</t>
        </is>
      </c>
      <c r="V695" s="134" t="n"/>
      <c r="W695" s="16" t="n"/>
      <c r="X695" s="17" t="n"/>
      <c r="Y695" s="133">
        <f>DADOS_INVOC!$QK$46</f>
        <v/>
      </c>
      <c r="Z695" s="125" t="n"/>
      <c r="AB695" s="55" t="inlineStr">
        <is>
          <t>MELHORIAS</t>
        </is>
      </c>
      <c r="AC695" s="134" t="n"/>
      <c r="AD695" s="16" t="n"/>
      <c r="AE695" s="17" t="n"/>
      <c r="AF695" s="133">
        <f>DADOS_INVOC!$QK$122</f>
        <v/>
      </c>
      <c r="AG695" s="125" t="n"/>
      <c r="AH695" s="55" t="inlineStr">
        <is>
          <t>MELHORIAS</t>
        </is>
      </c>
      <c r="AI695" s="134" t="n"/>
      <c r="AJ695" s="16" t="n"/>
      <c r="AK695" s="17" t="n"/>
      <c r="AL695" s="133">
        <f>DADOS_INVOC!$QK$123</f>
        <v/>
      </c>
      <c r="AM695" s="125" t="n"/>
      <c r="AN695" s="55" t="inlineStr">
        <is>
          <t>MELHORIAS</t>
        </is>
      </c>
      <c r="AO695" s="134" t="n"/>
      <c r="AP695" s="16" t="n"/>
      <c r="AQ695" s="17" t="n"/>
      <c r="AR695" s="133">
        <f>DADOS_INVOC!$QK$124</f>
        <v/>
      </c>
      <c r="AS695" s="125" t="n"/>
    </row>
    <row r="696" hidden="1" outlineLevel="3">
      <c r="A696" s="8" t="n"/>
      <c r="B696" s="14" t="n"/>
      <c r="C696" s="125" t="n"/>
      <c r="D696" s="125" t="n"/>
      <c r="E696" s="125" t="n"/>
      <c r="F696" s="125" t="n"/>
      <c r="G696" s="125" t="n"/>
      <c r="I696" s="135" t="n"/>
      <c r="J696" s="134" t="n"/>
      <c r="K696" s="16" t="n"/>
      <c r="L696" s="17" t="n"/>
      <c r="M696" s="133">
        <f>DADOS_INVOC!$QL$44</f>
        <v/>
      </c>
      <c r="N696" s="125" t="n"/>
      <c r="O696" s="135" t="n"/>
      <c r="P696" s="134" t="n"/>
      <c r="Q696" s="16" t="n"/>
      <c r="R696" s="17" t="n"/>
      <c r="S696" s="133">
        <f>DADOS_INVOC!$QL$45</f>
        <v/>
      </c>
      <c r="T696" s="125" t="n"/>
      <c r="U696" s="135" t="n"/>
      <c r="V696" s="134" t="n"/>
      <c r="W696" s="16" t="n"/>
      <c r="X696" s="17" t="n"/>
      <c r="Y696" s="133">
        <f>DADOS_INVOC!$QL$46</f>
        <v/>
      </c>
      <c r="Z696" s="125" t="n"/>
      <c r="AB696" s="135" t="n"/>
      <c r="AC696" s="134" t="n"/>
      <c r="AD696" s="16" t="n"/>
      <c r="AE696" s="17" t="n"/>
      <c r="AF696" s="133">
        <f>DADOS_INVOC!$QL$122</f>
        <v/>
      </c>
      <c r="AG696" s="125" t="n"/>
      <c r="AH696" s="135" t="n"/>
      <c r="AI696" s="134" t="n"/>
      <c r="AJ696" s="16" t="n"/>
      <c r="AK696" s="17" t="n"/>
      <c r="AL696" s="133">
        <f>DADOS_INVOC!$QL$123</f>
        <v/>
      </c>
      <c r="AM696" s="125" t="n"/>
      <c r="AN696" s="135" t="n"/>
      <c r="AO696" s="134" t="n"/>
      <c r="AP696" s="16" t="n"/>
      <c r="AQ696" s="17" t="n"/>
      <c r="AR696" s="133">
        <f>DADOS_INVOC!$QL$124</f>
        <v/>
      </c>
      <c r="AS696" s="125" t="n"/>
    </row>
    <row r="697" hidden="1" outlineLevel="3">
      <c r="A697" s="8" t="n"/>
      <c r="B697" s="14" t="n"/>
      <c r="C697" s="125" t="n"/>
      <c r="D697" s="125" t="n"/>
      <c r="E697" s="125" t="n"/>
      <c r="F697" s="125" t="n"/>
      <c r="G697" s="125" t="n"/>
      <c r="I697" s="135" t="n"/>
      <c r="J697" s="134" t="n"/>
      <c r="K697" s="16" t="n"/>
      <c r="L697" s="17" t="n"/>
      <c r="M697" s="133">
        <f>DADOS_INVOC!$QM$44</f>
        <v/>
      </c>
      <c r="N697" s="125" t="n"/>
      <c r="O697" s="135" t="n"/>
      <c r="P697" s="134" t="n"/>
      <c r="Q697" s="16" t="n"/>
      <c r="R697" s="17" t="n"/>
      <c r="S697" s="133">
        <f>DADOS_INVOC!$QM$45</f>
        <v/>
      </c>
      <c r="T697" s="125" t="n"/>
      <c r="U697" s="135" t="n"/>
      <c r="V697" s="134" t="n"/>
      <c r="W697" s="16" t="n"/>
      <c r="X697" s="17" t="n"/>
      <c r="Y697" s="133">
        <f>DADOS_INVOC!$QM$46</f>
        <v/>
      </c>
      <c r="Z697" s="125" t="n"/>
      <c r="AB697" s="135" t="n"/>
      <c r="AC697" s="134" t="n"/>
      <c r="AD697" s="16" t="n"/>
      <c r="AE697" s="17" t="n"/>
      <c r="AF697" s="133">
        <f>DADOS_INVOC!$QM$122</f>
        <v/>
      </c>
      <c r="AG697" s="125" t="n"/>
      <c r="AH697" s="135" t="n"/>
      <c r="AI697" s="134" t="n"/>
      <c r="AJ697" s="16" t="n"/>
      <c r="AK697" s="17" t="n"/>
      <c r="AL697" s="133">
        <f>DADOS_INVOC!$QM$123</f>
        <v/>
      </c>
      <c r="AM697" s="125" t="n"/>
      <c r="AN697" s="135" t="n"/>
      <c r="AO697" s="134" t="n"/>
      <c r="AP697" s="16" t="n"/>
      <c r="AQ697" s="17" t="n"/>
      <c r="AR697" s="133">
        <f>DADOS_INVOC!$QM$124</f>
        <v/>
      </c>
      <c r="AS697" s="125" t="n"/>
    </row>
    <row r="698" hidden="1" outlineLevel="3">
      <c r="A698" s="8" t="n"/>
      <c r="B698" s="14" t="n"/>
      <c r="C698" s="125" t="n"/>
      <c r="D698" s="125" t="n"/>
      <c r="E698" s="125" t="n"/>
      <c r="F698" s="125" t="n"/>
      <c r="G698" s="125" t="n"/>
      <c r="I698" s="129" t="n"/>
      <c r="J698" s="134" t="n"/>
      <c r="K698" s="16" t="n"/>
      <c r="L698" s="17" t="n"/>
      <c r="M698" s="133">
        <f>DADOS_INVOC!$QN$44</f>
        <v/>
      </c>
      <c r="N698" s="125" t="n"/>
      <c r="O698" s="129" t="n"/>
      <c r="P698" s="134" t="n"/>
      <c r="Q698" s="16" t="n"/>
      <c r="R698" s="17" t="n"/>
      <c r="S698" s="133">
        <f>DADOS_INVOC!$QN$45</f>
        <v/>
      </c>
      <c r="T698" s="125" t="n"/>
      <c r="U698" s="129" t="n"/>
      <c r="V698" s="134" t="n"/>
      <c r="W698" s="16" t="n"/>
      <c r="X698" s="17" t="n"/>
      <c r="Y698" s="133">
        <f>DADOS_INVOC!$QN$46</f>
        <v/>
      </c>
      <c r="Z698" s="125" t="n"/>
      <c r="AB698" s="129" t="n"/>
      <c r="AC698" s="134" t="n"/>
      <c r="AD698" s="16" t="n"/>
      <c r="AE698" s="17" t="n"/>
      <c r="AF698" s="133">
        <f>DADOS_INVOC!$QN$122</f>
        <v/>
      </c>
      <c r="AG698" s="125" t="n"/>
      <c r="AH698" s="129" t="n"/>
      <c r="AI698" s="134" t="n"/>
      <c r="AJ698" s="16" t="n"/>
      <c r="AK698" s="17" t="n"/>
      <c r="AL698" s="133">
        <f>DADOS_INVOC!$QN$123</f>
        <v/>
      </c>
      <c r="AM698" s="125" t="n"/>
      <c r="AN698" s="129" t="n"/>
      <c r="AO698" s="134" t="n"/>
      <c r="AP698" s="16" t="n"/>
      <c r="AQ698" s="17" t="n"/>
      <c r="AR698" s="133">
        <f>DADOS_INVOC!$QN$124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DADOS_INVOC!$QO$44</f>
        <v/>
      </c>
      <c r="N699" s="125" t="n"/>
      <c r="O699" s="55" t="inlineStr">
        <is>
          <t>RESTRIÇÕES</t>
        </is>
      </c>
      <c r="P699" s="134" t="n"/>
      <c r="Q699" s="16" t="n"/>
      <c r="R699" s="17" t="n"/>
      <c r="S699" s="133">
        <f>DADOS_INVOC!$QO$45</f>
        <v/>
      </c>
      <c r="T699" s="125" t="n"/>
      <c r="U699" s="55" t="inlineStr">
        <is>
          <t>RESTRIÇÕES</t>
        </is>
      </c>
      <c r="V699" s="134" t="n"/>
      <c r="W699" s="16" t="n"/>
      <c r="X699" s="17" t="n"/>
      <c r="Y699" s="133">
        <f>DADOS_INVOC!$QO$46</f>
        <v/>
      </c>
      <c r="Z699" s="125" t="n"/>
      <c r="AB699" s="55" t="inlineStr">
        <is>
          <t>RESTRIÇÕES</t>
        </is>
      </c>
      <c r="AC699" s="134" t="n"/>
      <c r="AD699" s="16" t="n"/>
      <c r="AE699" s="17" t="n"/>
      <c r="AF699" s="133">
        <f>DADOS_INVOC!$QO$122</f>
        <v/>
      </c>
      <c r="AG699" s="125" t="n"/>
      <c r="AH699" s="55" t="inlineStr">
        <is>
          <t>RESTRIÇÕES</t>
        </is>
      </c>
      <c r="AI699" s="134" t="n"/>
      <c r="AJ699" s="16" t="n"/>
      <c r="AK699" s="17" t="n"/>
      <c r="AL699" s="133">
        <f>DADOS_INVOC!$QO$123</f>
        <v/>
      </c>
      <c r="AM699" s="125" t="n"/>
      <c r="AN699" s="55" t="inlineStr">
        <is>
          <t>RESTRIÇÕES</t>
        </is>
      </c>
      <c r="AO699" s="134" t="n"/>
      <c r="AP699" s="16" t="n"/>
      <c r="AQ699" s="17" t="n"/>
      <c r="AR699" s="133">
        <f>DADOS_INVOC!$QO$124</f>
        <v/>
      </c>
      <c r="AS699" s="125" t="n"/>
    </row>
    <row r="700" hidden="1" outlineLevel="3">
      <c r="A700" s="8" t="n"/>
      <c r="B700" s="14" t="n"/>
      <c r="C700" s="125" t="n"/>
      <c r="D700" s="125" t="n"/>
      <c r="E700" s="125" t="n"/>
      <c r="F700" s="125" t="n"/>
      <c r="G700" s="125" t="n"/>
      <c r="I700" s="129" t="n"/>
      <c r="J700" s="134" t="n"/>
      <c r="K700" s="16" t="n"/>
      <c r="L700" s="17" t="n"/>
      <c r="M700" s="133">
        <f>DADOS_INVOC!$QP$44</f>
        <v/>
      </c>
      <c r="N700" s="125" t="n"/>
      <c r="O700" s="129" t="n"/>
      <c r="P700" s="134" t="n"/>
      <c r="Q700" s="16" t="n"/>
      <c r="R700" s="17" t="n"/>
      <c r="S700" s="133">
        <f>DADOS_INVOC!$QP$45</f>
        <v/>
      </c>
      <c r="T700" s="125" t="n"/>
      <c r="U700" s="129" t="n"/>
      <c r="V700" s="134" t="n"/>
      <c r="W700" s="16" t="n"/>
      <c r="X700" s="17" t="n"/>
      <c r="Y700" s="133">
        <f>DADOS_INVOC!$QP$46</f>
        <v/>
      </c>
      <c r="Z700" s="125" t="n"/>
      <c r="AB700" s="129" t="n"/>
      <c r="AC700" s="134" t="n"/>
      <c r="AD700" s="16" t="n"/>
      <c r="AE700" s="17" t="n"/>
      <c r="AF700" s="133">
        <f>DADOS_INVOC!$QP$122</f>
        <v/>
      </c>
      <c r="AG700" s="125" t="n"/>
      <c r="AH700" s="129" t="n"/>
      <c r="AI700" s="134" t="n"/>
      <c r="AJ700" s="16" t="n"/>
      <c r="AK700" s="17" t="n"/>
      <c r="AL700" s="133">
        <f>DADOS_INVOC!$QP$123</f>
        <v/>
      </c>
      <c r="AM700" s="125" t="n"/>
      <c r="AN700" s="129" t="n"/>
      <c r="AO700" s="134" t="n"/>
      <c r="AP700" s="16" t="n"/>
      <c r="AQ700" s="17" t="n"/>
      <c r="AR700" s="133">
        <f>DADOS_INVOC!$QP$124</f>
        <v/>
      </c>
      <c r="AS700" s="125" t="n"/>
    </row>
    <row r="701" hidden="1" outlineLevel="3">
      <c r="A701" s="8" t="n"/>
      <c r="B701" s="14" t="n"/>
      <c r="C701" s="125" t="n"/>
      <c r="D701" s="125" t="n"/>
      <c r="E701" s="125" t="n"/>
      <c r="F701" s="125" t="n"/>
      <c r="G701" s="125" t="n"/>
      <c r="I701" s="55" t="inlineStr">
        <is>
          <t>CONTA</t>
        </is>
      </c>
      <c r="J701" s="136">
        <f>DADOS_INVOC!$QI$44</f>
        <v/>
      </c>
      <c r="K701" s="16" t="n"/>
      <c r="L701" s="16" t="n"/>
      <c r="M701" s="17" t="n"/>
      <c r="N701" s="125" t="n"/>
      <c r="O701" s="55" t="inlineStr">
        <is>
          <t>CONTA</t>
        </is>
      </c>
      <c r="P701" s="136">
        <f>DADOS_INVOC!$QI$45</f>
        <v/>
      </c>
      <c r="Q701" s="16" t="n"/>
      <c r="R701" s="16" t="n"/>
      <c r="S701" s="17" t="n"/>
      <c r="T701" s="125" t="n"/>
      <c r="U701" s="55" t="inlineStr">
        <is>
          <t>CONTA</t>
        </is>
      </c>
      <c r="V701" s="136">
        <f>DADOS_INVOC!$QI$46</f>
        <v/>
      </c>
      <c r="W701" s="16" t="n"/>
      <c r="X701" s="16" t="n"/>
      <c r="Y701" s="17" t="n"/>
      <c r="Z701" s="125" t="n"/>
      <c r="AB701" s="55" t="inlineStr">
        <is>
          <t>CONTA</t>
        </is>
      </c>
      <c r="AC701" s="136">
        <f>DADOS_INVOC!$QI$122</f>
        <v/>
      </c>
      <c r="AD701" s="16" t="n"/>
      <c r="AE701" s="16" t="n"/>
      <c r="AF701" s="17" t="n"/>
      <c r="AG701" s="125" t="n"/>
      <c r="AH701" s="55" t="inlineStr">
        <is>
          <t>CONTA</t>
        </is>
      </c>
      <c r="AI701" s="136">
        <f>DADOS_INVOC!$QI$123</f>
        <v/>
      </c>
      <c r="AJ701" s="16" t="n"/>
      <c r="AK701" s="16" t="n"/>
      <c r="AL701" s="17" t="n"/>
      <c r="AM701" s="125" t="n"/>
      <c r="AN701" s="55" t="inlineStr">
        <is>
          <t>CONTA</t>
        </is>
      </c>
      <c r="AO701" s="136">
        <f>DADOS_INVOC!$QI$124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DADOS_INVOC!$QJ$44</f>
        <v/>
      </c>
      <c r="K702" s="19" t="n"/>
      <c r="L702" s="19" t="n"/>
      <c r="M702" s="20" t="n"/>
      <c r="N702" s="125" t="n"/>
      <c r="O702" s="55" t="inlineStr">
        <is>
          <t>AMPLIAR</t>
        </is>
      </c>
      <c r="P702" s="136">
        <f>DADOS_INVOC!$QJ$45</f>
        <v/>
      </c>
      <c r="Q702" s="19" t="n"/>
      <c r="R702" s="19" t="n"/>
      <c r="S702" s="20" t="n"/>
      <c r="T702" s="125" t="n"/>
      <c r="U702" s="55" t="inlineStr">
        <is>
          <t>AMPLIAR</t>
        </is>
      </c>
      <c r="V702" s="136">
        <f>DADOS_INVOC!$QJ$46</f>
        <v/>
      </c>
      <c r="W702" s="19" t="n"/>
      <c r="X702" s="19" t="n"/>
      <c r="Y702" s="20" t="n"/>
      <c r="Z702" s="125" t="n"/>
      <c r="AB702" s="55" t="inlineStr">
        <is>
          <t>AMPLIAR</t>
        </is>
      </c>
      <c r="AC702" s="136">
        <f>DADOS_INVOC!$QJ$122</f>
        <v/>
      </c>
      <c r="AD702" s="19" t="n"/>
      <c r="AE702" s="19" t="n"/>
      <c r="AF702" s="20" t="n"/>
      <c r="AG702" s="125" t="n"/>
      <c r="AH702" s="55" t="inlineStr">
        <is>
          <t>AMPLIAR</t>
        </is>
      </c>
      <c r="AI702" s="136">
        <f>DADOS_INVOC!$QJ$123</f>
        <v/>
      </c>
      <c r="AJ702" s="19" t="n"/>
      <c r="AK702" s="19" t="n"/>
      <c r="AL702" s="20" t="n"/>
      <c r="AM702" s="125" t="n"/>
      <c r="AN702" s="55" t="inlineStr">
        <is>
          <t>AMPLIAR</t>
        </is>
      </c>
      <c r="AO702" s="136">
        <f>DADOS_INVOC!$QJ$124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DADOS_INVOC!$PW$44</f>
        <v/>
      </c>
      <c r="J704" s="19" t="n"/>
      <c r="K704" s="19" t="n"/>
      <c r="L704" s="19" t="n"/>
      <c r="M704" s="20" t="n"/>
      <c r="N704" s="125" t="n"/>
      <c r="O704" s="136">
        <f>DADOS_INVOC!$PW$45</f>
        <v/>
      </c>
      <c r="P704" s="19" t="n"/>
      <c r="Q704" s="19" t="n"/>
      <c r="R704" s="19" t="n"/>
      <c r="S704" s="20" t="n"/>
      <c r="T704" s="125" t="n"/>
      <c r="U704" s="136">
        <f>DADOS_INVOC!$PW$46</f>
        <v/>
      </c>
      <c r="V704" s="19" t="n"/>
      <c r="W704" s="19" t="n"/>
      <c r="X704" s="19" t="n"/>
      <c r="Y704" s="20" t="n"/>
      <c r="Z704" s="125" t="n"/>
      <c r="AB704" s="136">
        <f>DADOS_INVOC!$PW$122</f>
        <v/>
      </c>
      <c r="AC704" s="19" t="n"/>
      <c r="AD704" s="19" t="n"/>
      <c r="AE704" s="19" t="n"/>
      <c r="AF704" s="20" t="n"/>
      <c r="AG704" s="125" t="n"/>
      <c r="AH704" s="136">
        <f>DADOS_INVOC!$PW$123</f>
        <v/>
      </c>
      <c r="AI704" s="19" t="n"/>
      <c r="AJ704" s="19" t="n"/>
      <c r="AK704" s="19" t="n"/>
      <c r="AL704" s="20" t="n"/>
      <c r="AM704" s="125" t="n"/>
      <c r="AN704" s="136">
        <f>DADOS_INVOC!$PW$124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DADOS_INVOC!$PX$47</f>
        <v/>
      </c>
      <c r="J707" s="16" t="n"/>
      <c r="K707" s="16" t="n"/>
      <c r="L707" s="16" t="n"/>
      <c r="M707" s="17" t="n"/>
      <c r="N707" s="125" t="n"/>
      <c r="O707" s="55">
        <f>DADOS_INVOC!$PX$48</f>
        <v/>
      </c>
      <c r="P707" s="16" t="n"/>
      <c r="Q707" s="16" t="n"/>
      <c r="R707" s="16" t="n"/>
      <c r="S707" s="17" t="n"/>
      <c r="T707" s="125" t="n"/>
      <c r="U707" s="55">
        <f>DADOS_INVOC!$PX$49</f>
        <v/>
      </c>
      <c r="V707" s="16" t="n"/>
      <c r="W707" s="16" t="n"/>
      <c r="X707" s="16" t="n"/>
      <c r="Y707" s="17" t="n"/>
      <c r="Z707" s="125" t="n"/>
      <c r="AB707" s="55">
        <f>DADOS_INVOC!$PX$125</f>
        <v/>
      </c>
      <c r="AC707" s="16" t="n"/>
      <c r="AD707" s="16" t="n"/>
      <c r="AE707" s="16" t="n"/>
      <c r="AF707" s="17" t="n"/>
      <c r="AG707" s="125" t="n"/>
      <c r="AH707" s="55">
        <f>DADOS_INVOC!$PX$126</f>
        <v/>
      </c>
      <c r="AI707" s="16" t="n"/>
      <c r="AJ707" s="16" t="n"/>
      <c r="AK707" s="16" t="n"/>
      <c r="AL707" s="17" t="n"/>
      <c r="AM707" s="125" t="n"/>
      <c r="AN707" s="55">
        <f>DADOS_INVOC!$PX$127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DADOS_INVOC!$PV$47</f>
        <v/>
      </c>
      <c r="N708" s="125" t="n"/>
      <c r="O708" s="131" t="n">
        <v>1</v>
      </c>
      <c r="P708" s="120" t="n"/>
      <c r="Q708" s="16" t="n"/>
      <c r="R708" s="17" t="n"/>
      <c r="S708" s="132">
        <f>DADOS_INVOC!$PV$48</f>
        <v/>
      </c>
      <c r="T708" s="125" t="n"/>
      <c r="U708" s="131" t="n">
        <v>1</v>
      </c>
      <c r="V708" s="120" t="n"/>
      <c r="W708" s="16" t="n"/>
      <c r="X708" s="17" t="n"/>
      <c r="Y708" s="132">
        <f>DADOS_INVOC!$PV$49</f>
        <v/>
      </c>
      <c r="Z708" s="125" t="n"/>
      <c r="AB708" s="131" t="n">
        <v>1</v>
      </c>
      <c r="AC708" s="120" t="n"/>
      <c r="AD708" s="16" t="n"/>
      <c r="AE708" s="17" t="n"/>
      <c r="AF708" s="132">
        <f>DADOS_INVOC!$PV$125</f>
        <v/>
      </c>
      <c r="AG708" s="125" t="n"/>
      <c r="AH708" s="131" t="n">
        <v>1</v>
      </c>
      <c r="AI708" s="120" t="n"/>
      <c r="AJ708" s="16" t="n"/>
      <c r="AK708" s="17" t="n"/>
      <c r="AL708" s="132">
        <f>DADOS_INVOC!$PV$126</f>
        <v/>
      </c>
      <c r="AM708" s="125" t="n"/>
      <c r="AN708" s="131" t="n">
        <v>1</v>
      </c>
      <c r="AO708" s="120" t="n"/>
      <c r="AP708" s="16" t="n"/>
      <c r="AQ708" s="17" t="n"/>
      <c r="AR708" s="132">
        <f>DADOS_INVOC!$PV$127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90" t="inlineStr">
        <is>
          <t>Projétil</t>
        </is>
      </c>
      <c r="J713" s="17" t="n"/>
      <c r="K713" s="68">
        <f>DADOS_INVOC!$QC$47</f>
        <v/>
      </c>
      <c r="L713" s="17" t="n"/>
      <c r="M713" s="68">
        <f>DADOS_INVOC!$PY$47</f>
        <v/>
      </c>
      <c r="N713" s="125" t="n"/>
      <c r="O713" s="90" t="inlineStr">
        <is>
          <t>Projétil</t>
        </is>
      </c>
      <c r="P713" s="17" t="n"/>
      <c r="Q713" s="68">
        <f>DADOS_INVOC!$QC$48</f>
        <v/>
      </c>
      <c r="R713" s="17" t="n"/>
      <c r="S713" s="68">
        <f>DADOS_INVOC!$PY$48</f>
        <v/>
      </c>
      <c r="T713" s="125" t="n"/>
      <c r="U713" s="90" t="inlineStr">
        <is>
          <t>Projétil</t>
        </is>
      </c>
      <c r="V713" s="17" t="n"/>
      <c r="W713" s="68">
        <f>DADOS_INVOC!$QC$49</f>
        <v/>
      </c>
      <c r="X713" s="17" t="n"/>
      <c r="Y713" s="68">
        <f>DADOS_INVOC!$PY$49</f>
        <v/>
      </c>
      <c r="Z713" s="125" t="n"/>
      <c r="AB713" s="90" t="inlineStr">
        <is>
          <t>Projétil</t>
        </is>
      </c>
      <c r="AC713" s="17" t="n"/>
      <c r="AD713" s="68">
        <f>DADOS_INVOC!$QC$125</f>
        <v/>
      </c>
      <c r="AE713" s="17" t="n"/>
      <c r="AF713" s="68">
        <f>DADOS_INVOC!$PY$125</f>
        <v/>
      </c>
      <c r="AG713" s="125" t="n"/>
      <c r="AH713" s="90" t="inlineStr">
        <is>
          <t>Projétil</t>
        </is>
      </c>
      <c r="AI713" s="17" t="n"/>
      <c r="AJ713" s="68">
        <f>DADOS_INVOC!$QC$126</f>
        <v/>
      </c>
      <c r="AK713" s="17" t="n"/>
      <c r="AL713" s="68">
        <f>DADOS_INVOC!$PY$126</f>
        <v/>
      </c>
      <c r="AM713" s="125" t="n"/>
      <c r="AN713" s="90" t="inlineStr">
        <is>
          <t>Projétil</t>
        </is>
      </c>
      <c r="AO713" s="17" t="n"/>
      <c r="AP713" s="68">
        <f>DADOS_INVOC!$QC$127</f>
        <v/>
      </c>
      <c r="AQ713" s="17" t="n"/>
      <c r="AR713" s="68">
        <f>DADOS_INVOC!$PY$127</f>
        <v/>
      </c>
      <c r="AS713" s="125" t="n"/>
    </row>
    <row r="714" hidden="1" outlineLevel="2">
      <c r="A714" s="8" t="n"/>
      <c r="B714" s="14" t="n"/>
      <c r="C714" s="125" t="n"/>
      <c r="D714" s="125" t="n"/>
      <c r="E714" s="125" t="n"/>
      <c r="F714" s="125" t="n"/>
      <c r="G714" s="125" t="n"/>
      <c r="I714" s="90" t="n"/>
      <c r="J714" s="17" t="n"/>
      <c r="K714" s="90" t="n"/>
      <c r="L714" s="16" t="n"/>
      <c r="M714" s="17" t="n"/>
      <c r="N714" s="125" t="n"/>
      <c r="O714" s="90" t="n"/>
      <c r="P714" s="17" t="n"/>
      <c r="Q714" s="90" t="n"/>
      <c r="R714" s="16" t="n"/>
      <c r="S714" s="17" t="n"/>
      <c r="T714" s="125" t="n"/>
      <c r="U714" s="90" t="n"/>
      <c r="V714" s="17" t="n"/>
      <c r="W714" s="90" t="n"/>
      <c r="X714" s="16" t="n"/>
      <c r="Y714" s="17" t="n"/>
      <c r="Z714" s="125" t="n"/>
      <c r="AB714" s="90" t="n"/>
      <c r="AC714" s="17" t="n"/>
      <c r="AD714" s="90" t="n"/>
      <c r="AE714" s="16" t="n"/>
      <c r="AF714" s="17" t="n"/>
      <c r="AG714" s="125" t="n"/>
      <c r="AH714" s="90" t="n"/>
      <c r="AI714" s="17" t="n"/>
      <c r="AJ714" s="90" t="n"/>
      <c r="AK714" s="16" t="n"/>
      <c r="AL714" s="17" t="n"/>
      <c r="AM714" s="125" t="n"/>
      <c r="AN714" s="90" t="n"/>
      <c r="AO714" s="17" t="n"/>
      <c r="AP714" s="90" t="n"/>
      <c r="AQ714" s="16" t="n"/>
      <c r="AR714" s="17" t="n"/>
      <c r="AS714" s="125" t="n"/>
    </row>
    <row r="715" hidden="1" outlineLevel="2">
      <c r="A715" s="8" t="n"/>
      <c r="B715" s="14" t="n"/>
      <c r="C715" s="125" t="n"/>
      <c r="D715" s="125" t="n"/>
      <c r="E715" s="125" t="n"/>
      <c r="F715" s="125" t="n"/>
      <c r="G715" s="125" t="n"/>
      <c r="I715" s="90">
        <f>DADOS_INVOC!$PZ$47</f>
        <v/>
      </c>
      <c r="J715" s="17" t="n"/>
      <c r="K715" s="90">
        <f>DADOS_INVOC!$QB$47</f>
        <v/>
      </c>
      <c r="L715" s="16" t="n"/>
      <c r="M715" s="17" t="n"/>
      <c r="N715" s="125" t="n"/>
      <c r="O715" s="90">
        <f>DADOS_INVOC!$PZ$48</f>
        <v/>
      </c>
      <c r="P715" s="17" t="n"/>
      <c r="Q715" s="90">
        <f>DADOS_INVOC!$QB$48</f>
        <v/>
      </c>
      <c r="R715" s="16" t="n"/>
      <c r="S715" s="17" t="n"/>
      <c r="T715" s="125" t="n"/>
      <c r="U715" s="90">
        <f>DADOS_INVOC!$PZ$49</f>
        <v/>
      </c>
      <c r="V715" s="17" t="n"/>
      <c r="W715" s="90">
        <f>DADOS_INVOC!$QB$49</f>
        <v/>
      </c>
      <c r="X715" s="16" t="n"/>
      <c r="Y715" s="17" t="n"/>
      <c r="Z715" s="125" t="n"/>
      <c r="AB715" s="90">
        <f>DADOS_INVOC!$PZ$125</f>
        <v/>
      </c>
      <c r="AC715" s="17" t="n"/>
      <c r="AD715" s="90">
        <f>DADOS_INVOC!$QB$125</f>
        <v/>
      </c>
      <c r="AE715" s="16" t="n"/>
      <c r="AF715" s="17" t="n"/>
      <c r="AG715" s="125" t="n"/>
      <c r="AH715" s="90">
        <f>DADOS_INVOC!$PZ$126</f>
        <v/>
      </c>
      <c r="AI715" s="17" t="n"/>
      <c r="AJ715" s="90">
        <f>DADOS_INVOC!$QB$126</f>
        <v/>
      </c>
      <c r="AK715" s="16" t="n"/>
      <c r="AL715" s="17" t="n"/>
      <c r="AM715" s="125" t="n"/>
      <c r="AN715" s="90">
        <f>DADOS_INVOC!$PZ$127</f>
        <v/>
      </c>
      <c r="AO715" s="17" t="n"/>
      <c r="AP715" s="90">
        <f>DADOS_INVOC!$QB$127</f>
        <v/>
      </c>
      <c r="AQ715" s="16" t="n"/>
      <c r="AR715" s="17" t="n"/>
      <c r="AS715" s="125" t="n"/>
    </row>
    <row r="716" hidden="1" outlineLevel="2">
      <c r="A716" s="8" t="n"/>
      <c r="B716" s="14" t="n"/>
      <c r="C716" s="125" t="n"/>
      <c r="D716" s="125" t="n"/>
      <c r="E716" s="125" t="n"/>
      <c r="F716" s="125" t="n"/>
      <c r="G716" s="125" t="n"/>
      <c r="I716" s="133">
        <f>DADOS_INVOC!$QH$47</f>
        <v/>
      </c>
      <c r="J716" s="16" t="n"/>
      <c r="K716" s="16" t="n"/>
      <c r="L716" s="16" t="n"/>
      <c r="M716" s="17" t="n"/>
      <c r="N716" s="125" t="n"/>
      <c r="O716" s="133">
        <f>DADOS_INVOC!$QH$48</f>
        <v/>
      </c>
      <c r="P716" s="16" t="n"/>
      <c r="Q716" s="16" t="n"/>
      <c r="R716" s="16" t="n"/>
      <c r="S716" s="17" t="n"/>
      <c r="T716" s="125" t="n"/>
      <c r="U716" s="133">
        <f>DADOS_INVOC!$QH$49</f>
        <v/>
      </c>
      <c r="V716" s="16" t="n"/>
      <c r="W716" s="16" t="n"/>
      <c r="X716" s="16" t="n"/>
      <c r="Y716" s="17" t="n"/>
      <c r="Z716" s="125" t="n"/>
      <c r="AB716" s="133">
        <f>DADOS_INVOC!$QH$125</f>
        <v/>
      </c>
      <c r="AC716" s="16" t="n"/>
      <c r="AD716" s="16" t="n"/>
      <c r="AE716" s="16" t="n"/>
      <c r="AF716" s="17" t="n"/>
      <c r="AG716" s="125" t="n"/>
      <c r="AH716" s="133">
        <f>DADOS_INVOC!$QH$126</f>
        <v/>
      </c>
      <c r="AI716" s="16" t="n"/>
      <c r="AJ716" s="16" t="n"/>
      <c r="AK716" s="16" t="n"/>
      <c r="AL716" s="17" t="n"/>
      <c r="AM716" s="125" t="n"/>
      <c r="AN716" s="133">
        <f>DADOS_INVOC!$QH$127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DADOS_INVOC!$QK$47</f>
        <v/>
      </c>
      <c r="N717" s="125" t="n"/>
      <c r="O717" s="55" t="inlineStr">
        <is>
          <t>MELHORIAS</t>
        </is>
      </c>
      <c r="P717" s="134" t="n"/>
      <c r="Q717" s="16" t="n"/>
      <c r="R717" s="17" t="n"/>
      <c r="S717" s="133">
        <f>DADOS_INVOC!$QK$48</f>
        <v/>
      </c>
      <c r="T717" s="125" t="n"/>
      <c r="U717" s="55" t="inlineStr">
        <is>
          <t>MELHORIAS</t>
        </is>
      </c>
      <c r="V717" s="134" t="n"/>
      <c r="W717" s="16" t="n"/>
      <c r="X717" s="17" t="n"/>
      <c r="Y717" s="133">
        <f>DADOS_INVOC!$QK$49</f>
        <v/>
      </c>
      <c r="Z717" s="125" t="n"/>
      <c r="AB717" s="55" t="inlineStr">
        <is>
          <t>MELHORIAS</t>
        </is>
      </c>
      <c r="AC717" s="134" t="n"/>
      <c r="AD717" s="16" t="n"/>
      <c r="AE717" s="17" t="n"/>
      <c r="AF717" s="133">
        <f>DADOS_INVOC!$QK$125</f>
        <v/>
      </c>
      <c r="AG717" s="125" t="n"/>
      <c r="AH717" s="55" t="inlineStr">
        <is>
          <t>MELHORIAS</t>
        </is>
      </c>
      <c r="AI717" s="134" t="n"/>
      <c r="AJ717" s="16" t="n"/>
      <c r="AK717" s="17" t="n"/>
      <c r="AL717" s="133">
        <f>DADOS_INVOC!$QK$126</f>
        <v/>
      </c>
      <c r="AM717" s="125" t="n"/>
      <c r="AN717" s="55" t="inlineStr">
        <is>
          <t>MELHORIAS</t>
        </is>
      </c>
      <c r="AO717" s="134" t="n"/>
      <c r="AP717" s="16" t="n"/>
      <c r="AQ717" s="17" t="n"/>
      <c r="AR717" s="133">
        <f>DADOS_INVOC!$QK$127</f>
        <v/>
      </c>
      <c r="AS717" s="125" t="n"/>
    </row>
    <row r="718" hidden="1" outlineLevel="3">
      <c r="A718" s="8" t="n"/>
      <c r="B718" s="14" t="n"/>
      <c r="C718" s="125" t="n"/>
      <c r="D718" s="125" t="n"/>
      <c r="E718" s="125" t="n"/>
      <c r="F718" s="125" t="n"/>
      <c r="G718" s="125" t="n"/>
      <c r="I718" s="135" t="n"/>
      <c r="J718" s="134" t="n"/>
      <c r="K718" s="16" t="n"/>
      <c r="L718" s="17" t="n"/>
      <c r="M718" s="133">
        <f>DADOS_INVOC!$QL$47</f>
        <v/>
      </c>
      <c r="N718" s="125" t="n"/>
      <c r="O718" s="135" t="n"/>
      <c r="P718" s="134" t="n"/>
      <c r="Q718" s="16" t="n"/>
      <c r="R718" s="17" t="n"/>
      <c r="S718" s="133">
        <f>DADOS_INVOC!$QL$48</f>
        <v/>
      </c>
      <c r="T718" s="125" t="n"/>
      <c r="U718" s="135" t="n"/>
      <c r="V718" s="134" t="n"/>
      <c r="W718" s="16" t="n"/>
      <c r="X718" s="17" t="n"/>
      <c r="Y718" s="133">
        <f>DADOS_INVOC!$QL$49</f>
        <v/>
      </c>
      <c r="Z718" s="125" t="n"/>
      <c r="AB718" s="135" t="n"/>
      <c r="AC718" s="134" t="n"/>
      <c r="AD718" s="16" t="n"/>
      <c r="AE718" s="17" t="n"/>
      <c r="AF718" s="133">
        <f>DADOS_INVOC!$QL$125</f>
        <v/>
      </c>
      <c r="AG718" s="125" t="n"/>
      <c r="AH718" s="135" t="n"/>
      <c r="AI718" s="134" t="n"/>
      <c r="AJ718" s="16" t="n"/>
      <c r="AK718" s="17" t="n"/>
      <c r="AL718" s="133">
        <f>DADOS_INVOC!$QL$126</f>
        <v/>
      </c>
      <c r="AM718" s="125" t="n"/>
      <c r="AN718" s="135" t="n"/>
      <c r="AO718" s="134" t="n"/>
      <c r="AP718" s="16" t="n"/>
      <c r="AQ718" s="17" t="n"/>
      <c r="AR718" s="133">
        <f>DADOS_INVOC!$QL$127</f>
        <v/>
      </c>
      <c r="AS718" s="125" t="n"/>
    </row>
    <row r="719" hidden="1" outlineLevel="3">
      <c r="A719" s="8" t="n"/>
      <c r="B719" s="14" t="n"/>
      <c r="C719" s="125" t="n"/>
      <c r="D719" s="125" t="n"/>
      <c r="E719" s="125" t="n"/>
      <c r="F719" s="125" t="n"/>
      <c r="G719" s="125" t="n"/>
      <c r="I719" s="135" t="n"/>
      <c r="J719" s="134" t="n"/>
      <c r="K719" s="16" t="n"/>
      <c r="L719" s="17" t="n"/>
      <c r="M719" s="133">
        <f>DADOS_INVOC!$QM$47</f>
        <v/>
      </c>
      <c r="N719" s="125" t="n"/>
      <c r="O719" s="135" t="n"/>
      <c r="P719" s="134" t="n"/>
      <c r="Q719" s="16" t="n"/>
      <c r="R719" s="17" t="n"/>
      <c r="S719" s="133">
        <f>DADOS_INVOC!$QM$48</f>
        <v/>
      </c>
      <c r="T719" s="125" t="n"/>
      <c r="U719" s="135" t="n"/>
      <c r="V719" s="134" t="n"/>
      <c r="W719" s="16" t="n"/>
      <c r="X719" s="17" t="n"/>
      <c r="Y719" s="133">
        <f>DADOS_INVOC!$QM$49</f>
        <v/>
      </c>
      <c r="Z719" s="125" t="n"/>
      <c r="AB719" s="135" t="n"/>
      <c r="AC719" s="134" t="n"/>
      <c r="AD719" s="16" t="n"/>
      <c r="AE719" s="17" t="n"/>
      <c r="AF719" s="133">
        <f>DADOS_INVOC!$QM$125</f>
        <v/>
      </c>
      <c r="AG719" s="125" t="n"/>
      <c r="AH719" s="135" t="n"/>
      <c r="AI719" s="134" t="n"/>
      <c r="AJ719" s="16" t="n"/>
      <c r="AK719" s="17" t="n"/>
      <c r="AL719" s="133">
        <f>DADOS_INVOC!$QM$126</f>
        <v/>
      </c>
      <c r="AM719" s="125" t="n"/>
      <c r="AN719" s="135" t="n"/>
      <c r="AO719" s="134" t="n"/>
      <c r="AP719" s="16" t="n"/>
      <c r="AQ719" s="17" t="n"/>
      <c r="AR719" s="133">
        <f>DADOS_INVOC!$QM$127</f>
        <v/>
      </c>
      <c r="AS719" s="125" t="n"/>
    </row>
    <row r="720" hidden="1" outlineLevel="3">
      <c r="A720" s="8" t="n"/>
      <c r="B720" s="14" t="n"/>
      <c r="C720" s="125" t="n"/>
      <c r="D720" s="125" t="n"/>
      <c r="E720" s="125" t="n"/>
      <c r="F720" s="125" t="n"/>
      <c r="G720" s="125" t="n"/>
      <c r="I720" s="129" t="n"/>
      <c r="J720" s="134" t="n"/>
      <c r="K720" s="16" t="n"/>
      <c r="L720" s="17" t="n"/>
      <c r="M720" s="133">
        <f>DADOS_INVOC!$QN$47</f>
        <v/>
      </c>
      <c r="N720" s="125" t="n"/>
      <c r="O720" s="129" t="n"/>
      <c r="P720" s="134" t="n"/>
      <c r="Q720" s="16" t="n"/>
      <c r="R720" s="17" t="n"/>
      <c r="S720" s="133">
        <f>DADOS_INVOC!$QN$48</f>
        <v/>
      </c>
      <c r="T720" s="125" t="n"/>
      <c r="U720" s="129" t="n"/>
      <c r="V720" s="134" t="n"/>
      <c r="W720" s="16" t="n"/>
      <c r="X720" s="17" t="n"/>
      <c r="Y720" s="133">
        <f>DADOS_INVOC!$QN$49</f>
        <v/>
      </c>
      <c r="Z720" s="125" t="n"/>
      <c r="AB720" s="129" t="n"/>
      <c r="AC720" s="134" t="n"/>
      <c r="AD720" s="16" t="n"/>
      <c r="AE720" s="17" t="n"/>
      <c r="AF720" s="133">
        <f>DADOS_INVOC!$QN$125</f>
        <v/>
      </c>
      <c r="AG720" s="125" t="n"/>
      <c r="AH720" s="129" t="n"/>
      <c r="AI720" s="134" t="n"/>
      <c r="AJ720" s="16" t="n"/>
      <c r="AK720" s="17" t="n"/>
      <c r="AL720" s="133">
        <f>DADOS_INVOC!$QN$126</f>
        <v/>
      </c>
      <c r="AM720" s="125" t="n"/>
      <c r="AN720" s="129" t="n"/>
      <c r="AO720" s="134" t="n"/>
      <c r="AP720" s="16" t="n"/>
      <c r="AQ720" s="17" t="n"/>
      <c r="AR720" s="133">
        <f>DADOS_INVOC!$QN$127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DADOS_INVOC!$QO$47</f>
        <v/>
      </c>
      <c r="N721" s="125" t="n"/>
      <c r="O721" s="55" t="inlineStr">
        <is>
          <t>RESTRIÇÕES</t>
        </is>
      </c>
      <c r="P721" s="134" t="n"/>
      <c r="Q721" s="16" t="n"/>
      <c r="R721" s="17" t="n"/>
      <c r="S721" s="133">
        <f>DADOS_INVOC!$QO$48</f>
        <v/>
      </c>
      <c r="T721" s="125" t="n"/>
      <c r="U721" s="55" t="inlineStr">
        <is>
          <t>RESTRIÇÕES</t>
        </is>
      </c>
      <c r="V721" s="134" t="n"/>
      <c r="W721" s="16" t="n"/>
      <c r="X721" s="17" t="n"/>
      <c r="Y721" s="133">
        <f>DADOS_INVOC!$QO$49</f>
        <v/>
      </c>
      <c r="Z721" s="125" t="n"/>
      <c r="AB721" s="55" t="inlineStr">
        <is>
          <t>RESTRIÇÕES</t>
        </is>
      </c>
      <c r="AC721" s="134" t="n"/>
      <c r="AD721" s="16" t="n"/>
      <c r="AE721" s="17" t="n"/>
      <c r="AF721" s="133">
        <f>DADOS_INVOC!$QO$125</f>
        <v/>
      </c>
      <c r="AG721" s="125" t="n"/>
      <c r="AH721" s="55" t="inlineStr">
        <is>
          <t>RESTRIÇÕES</t>
        </is>
      </c>
      <c r="AI721" s="134" t="n"/>
      <c r="AJ721" s="16" t="n"/>
      <c r="AK721" s="17" t="n"/>
      <c r="AL721" s="133">
        <f>DADOS_INVOC!$QO$126</f>
        <v/>
      </c>
      <c r="AM721" s="125" t="n"/>
      <c r="AN721" s="55" t="inlineStr">
        <is>
          <t>RESTRIÇÕES</t>
        </is>
      </c>
      <c r="AO721" s="134" t="n"/>
      <c r="AP721" s="16" t="n"/>
      <c r="AQ721" s="17" t="n"/>
      <c r="AR721" s="133">
        <f>DADOS_INVOC!$QO$127</f>
        <v/>
      </c>
      <c r="AS721" s="125" t="n"/>
    </row>
    <row r="722" hidden="1" outlineLevel="3">
      <c r="A722" s="8" t="n"/>
      <c r="B722" s="14" t="n"/>
      <c r="C722" s="125" t="n"/>
      <c r="D722" s="125" t="n"/>
      <c r="E722" s="125" t="n"/>
      <c r="F722" s="125" t="n"/>
      <c r="G722" s="125" t="n"/>
      <c r="I722" s="129" t="n"/>
      <c r="J722" s="134" t="n"/>
      <c r="K722" s="16" t="n"/>
      <c r="L722" s="17" t="n"/>
      <c r="M722" s="133">
        <f>DADOS_INVOC!$QP$47</f>
        <v/>
      </c>
      <c r="N722" s="125" t="n"/>
      <c r="O722" s="129" t="n"/>
      <c r="P722" s="134" t="n"/>
      <c r="Q722" s="16" t="n"/>
      <c r="R722" s="17" t="n"/>
      <c r="S722" s="133">
        <f>DADOS_INVOC!$QP$48</f>
        <v/>
      </c>
      <c r="T722" s="125" t="n"/>
      <c r="U722" s="129" t="n"/>
      <c r="V722" s="134" t="n"/>
      <c r="W722" s="16" t="n"/>
      <c r="X722" s="17" t="n"/>
      <c r="Y722" s="133">
        <f>DADOS_INVOC!$QP$49</f>
        <v/>
      </c>
      <c r="Z722" s="125" t="n"/>
      <c r="AB722" s="129" t="n"/>
      <c r="AC722" s="134" t="n"/>
      <c r="AD722" s="16" t="n"/>
      <c r="AE722" s="17" t="n"/>
      <c r="AF722" s="133">
        <f>DADOS_INVOC!$QP$125</f>
        <v/>
      </c>
      <c r="AG722" s="125" t="n"/>
      <c r="AH722" s="129" t="n"/>
      <c r="AI722" s="134" t="n"/>
      <c r="AJ722" s="16" t="n"/>
      <c r="AK722" s="17" t="n"/>
      <c r="AL722" s="133">
        <f>DADOS_INVOC!$QP$126</f>
        <v/>
      </c>
      <c r="AM722" s="125" t="n"/>
      <c r="AN722" s="129" t="n"/>
      <c r="AO722" s="134" t="n"/>
      <c r="AP722" s="16" t="n"/>
      <c r="AQ722" s="17" t="n"/>
      <c r="AR722" s="133">
        <f>DADOS_INVOC!$QP$127</f>
        <v/>
      </c>
      <c r="AS722" s="125" t="n"/>
    </row>
    <row r="723" hidden="1" outlineLevel="3">
      <c r="A723" s="8" t="n"/>
      <c r="B723" s="14" t="n"/>
      <c r="C723" s="125" t="n"/>
      <c r="D723" s="125" t="n"/>
      <c r="E723" s="125" t="n"/>
      <c r="F723" s="125" t="n"/>
      <c r="G723" s="125" t="n"/>
      <c r="I723" s="55" t="inlineStr">
        <is>
          <t>CONTA</t>
        </is>
      </c>
      <c r="J723" s="136">
        <f>DADOS_INVOC!$QI$47</f>
        <v/>
      </c>
      <c r="K723" s="16" t="n"/>
      <c r="L723" s="16" t="n"/>
      <c r="M723" s="17" t="n"/>
      <c r="N723" s="125" t="n"/>
      <c r="O723" s="55" t="inlineStr">
        <is>
          <t>CONTA</t>
        </is>
      </c>
      <c r="P723" s="136">
        <f>DADOS_INVOC!$QI$48</f>
        <v/>
      </c>
      <c r="Q723" s="16" t="n"/>
      <c r="R723" s="16" t="n"/>
      <c r="S723" s="17" t="n"/>
      <c r="T723" s="125" t="n"/>
      <c r="U723" s="55" t="inlineStr">
        <is>
          <t>CONTA</t>
        </is>
      </c>
      <c r="V723" s="136">
        <f>DADOS_INVOC!$QI$49</f>
        <v/>
      </c>
      <c r="W723" s="16" t="n"/>
      <c r="X723" s="16" t="n"/>
      <c r="Y723" s="17" t="n"/>
      <c r="Z723" s="125" t="n"/>
      <c r="AB723" s="55" t="inlineStr">
        <is>
          <t>CONTA</t>
        </is>
      </c>
      <c r="AC723" s="136">
        <f>DADOS_INVOC!$QI$125</f>
        <v/>
      </c>
      <c r="AD723" s="16" t="n"/>
      <c r="AE723" s="16" t="n"/>
      <c r="AF723" s="17" t="n"/>
      <c r="AG723" s="125" t="n"/>
      <c r="AH723" s="55" t="inlineStr">
        <is>
          <t>CONTA</t>
        </is>
      </c>
      <c r="AI723" s="136">
        <f>DADOS_INVOC!$QI$126</f>
        <v/>
      </c>
      <c r="AJ723" s="16" t="n"/>
      <c r="AK723" s="16" t="n"/>
      <c r="AL723" s="17" t="n"/>
      <c r="AM723" s="125" t="n"/>
      <c r="AN723" s="55" t="inlineStr">
        <is>
          <t>CONTA</t>
        </is>
      </c>
      <c r="AO723" s="136">
        <f>DADOS_INVOC!$QI$127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DADOS_INVOC!$QJ$47</f>
        <v/>
      </c>
      <c r="K724" s="19" t="n"/>
      <c r="L724" s="19" t="n"/>
      <c r="M724" s="20" t="n"/>
      <c r="N724" s="125" t="n"/>
      <c r="O724" s="55" t="inlineStr">
        <is>
          <t>AMPLIAR</t>
        </is>
      </c>
      <c r="P724" s="136">
        <f>DADOS_INVOC!$QJ$48</f>
        <v/>
      </c>
      <c r="Q724" s="19" t="n"/>
      <c r="R724" s="19" t="n"/>
      <c r="S724" s="20" t="n"/>
      <c r="T724" s="125" t="n"/>
      <c r="U724" s="55" t="inlineStr">
        <is>
          <t>AMPLIAR</t>
        </is>
      </c>
      <c r="V724" s="136">
        <f>DADOS_INVOC!$QJ$49</f>
        <v/>
      </c>
      <c r="W724" s="19" t="n"/>
      <c r="X724" s="19" t="n"/>
      <c r="Y724" s="20" t="n"/>
      <c r="Z724" s="125" t="n"/>
      <c r="AB724" s="55" t="inlineStr">
        <is>
          <t>AMPLIAR</t>
        </is>
      </c>
      <c r="AC724" s="136">
        <f>DADOS_INVOC!$QJ$125</f>
        <v/>
      </c>
      <c r="AD724" s="19" t="n"/>
      <c r="AE724" s="19" t="n"/>
      <c r="AF724" s="20" t="n"/>
      <c r="AG724" s="125" t="n"/>
      <c r="AH724" s="55" t="inlineStr">
        <is>
          <t>AMPLIAR</t>
        </is>
      </c>
      <c r="AI724" s="136">
        <f>DADOS_INVOC!$QJ$126</f>
        <v/>
      </c>
      <c r="AJ724" s="19" t="n"/>
      <c r="AK724" s="19" t="n"/>
      <c r="AL724" s="20" t="n"/>
      <c r="AM724" s="125" t="n"/>
      <c r="AN724" s="55" t="inlineStr">
        <is>
          <t>AMPLIAR</t>
        </is>
      </c>
      <c r="AO724" s="136">
        <f>DADOS_INVOC!$QJ$127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DADOS_INVOC!$PW$47</f>
        <v/>
      </c>
      <c r="J726" s="19" t="n"/>
      <c r="K726" s="19" t="n"/>
      <c r="L726" s="19" t="n"/>
      <c r="M726" s="20" t="n"/>
      <c r="N726" s="125" t="n"/>
      <c r="O726" s="136">
        <f>DADOS_INVOC!$PW$48</f>
        <v/>
      </c>
      <c r="P726" s="19" t="n"/>
      <c r="Q726" s="19" t="n"/>
      <c r="R726" s="19" t="n"/>
      <c r="S726" s="20" t="n"/>
      <c r="T726" s="125" t="n"/>
      <c r="U726" s="136">
        <f>DADOS_INVOC!$PW$49</f>
        <v/>
      </c>
      <c r="V726" s="19" t="n"/>
      <c r="W726" s="19" t="n"/>
      <c r="X726" s="19" t="n"/>
      <c r="Y726" s="20" t="n"/>
      <c r="Z726" s="125" t="n"/>
      <c r="AB726" s="136">
        <f>DADOS_INVOC!$PW$125</f>
        <v/>
      </c>
      <c r="AC726" s="19" t="n"/>
      <c r="AD726" s="19" t="n"/>
      <c r="AE726" s="19" t="n"/>
      <c r="AF726" s="20" t="n"/>
      <c r="AG726" s="125" t="n"/>
      <c r="AH726" s="136">
        <f>DADOS_INVOC!$PW$126</f>
        <v/>
      </c>
      <c r="AI726" s="19" t="n"/>
      <c r="AJ726" s="19" t="n"/>
      <c r="AK726" s="19" t="n"/>
      <c r="AL726" s="20" t="n"/>
      <c r="AM726" s="125" t="n"/>
      <c r="AN726" s="136">
        <f>DADOS_INVOC!$PW$127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DADOS_INVOC!$PX$50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DADOS_INVOC!$PX$128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DADOS_INVOC!$PV$50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DADOS_INVOC!$PV$128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90" t="inlineStr">
        <is>
          <t>Projétil</t>
        </is>
      </c>
      <c r="J735" s="17" t="n"/>
      <c r="K735" s="68">
        <f>DADOS_INVOC!$QC$50</f>
        <v/>
      </c>
      <c r="L735" s="17" t="n"/>
      <c r="M735" s="68">
        <f>DADOS_INVOC!$PY$50</f>
        <v/>
      </c>
      <c r="N735" s="125" t="n"/>
      <c r="O735" s="125" t="n"/>
      <c r="P735" s="125" t="n"/>
      <c r="Q735" s="125" t="n"/>
      <c r="R735" s="125" t="n"/>
      <c r="S735" s="125" t="n"/>
      <c r="T735" s="125" t="n"/>
      <c r="U735" s="125" t="n"/>
      <c r="V735" s="125" t="n"/>
      <c r="W735" s="125" t="n"/>
      <c r="X735" s="125" t="n"/>
      <c r="Y735" s="125" t="n"/>
      <c r="Z735" s="125" t="n"/>
      <c r="AB735" s="90" t="inlineStr">
        <is>
          <t>Projétil</t>
        </is>
      </c>
      <c r="AC735" s="17" t="n"/>
      <c r="AD735" s="68">
        <f>DADOS_INVOC!$QC$128</f>
        <v/>
      </c>
      <c r="AE735" s="17" t="n"/>
      <c r="AF735" s="68">
        <f>DADOS_INVOC!$PY$128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90" t="n"/>
      <c r="J736" s="17" t="n"/>
      <c r="K736" s="90" t="n"/>
      <c r="L736" s="16" t="n"/>
      <c r="M736" s="17" t="n"/>
      <c r="N736" s="125" t="n"/>
      <c r="O736" s="125" t="n"/>
      <c r="P736" s="125" t="n"/>
      <c r="Q736" s="125" t="n"/>
      <c r="R736" s="125" t="n"/>
      <c r="S736" s="125" t="n"/>
      <c r="T736" s="125" t="n"/>
      <c r="U736" s="125" t="n"/>
      <c r="V736" s="125" t="n"/>
      <c r="W736" s="125" t="n"/>
      <c r="X736" s="125" t="n"/>
      <c r="Y736" s="125" t="n"/>
      <c r="Z736" s="125" t="n"/>
      <c r="AB736" s="90" t="n"/>
      <c r="AC736" s="17" t="n"/>
      <c r="AD736" s="90"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90">
        <f>DADOS_INVOC!$PZ$50</f>
        <v/>
      </c>
      <c r="J737" s="17" t="n"/>
      <c r="K737" s="90">
        <f>DADOS_INVOC!$QB$50</f>
        <v/>
      </c>
      <c r="L737" s="16" t="n"/>
      <c r="M737" s="17" t="n"/>
      <c r="N737" s="125" t="n"/>
      <c r="O737" s="125" t="n"/>
      <c r="P737" s="125" t="n"/>
      <c r="Q737" s="125" t="n"/>
      <c r="R737" s="125" t="n"/>
      <c r="S737" s="125" t="n"/>
      <c r="T737" s="125" t="n"/>
      <c r="U737" s="125" t="n"/>
      <c r="V737" s="125" t="n"/>
      <c r="W737" s="125" t="n"/>
      <c r="X737" s="125" t="n"/>
      <c r="Y737" s="125" t="n"/>
      <c r="Z737" s="125" t="n"/>
      <c r="AB737" s="90">
        <f>DADOS_INVOC!$PZ$128</f>
        <v/>
      </c>
      <c r="AC737" s="17" t="n"/>
      <c r="AD737" s="90">
        <f>DADOS_INVOC!$QB$128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DADOS_INVOC!$QH$50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DADOS_INVOC!$QH$128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DADOS_INVOC!$QK$50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DADOS_INVOC!$QK$128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DADOS_INVOC!$QL$50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DADOS_INVOC!$QL$128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DADOS_INVOC!$QM$50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DADOS_INVOC!$QM$128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DADOS_INVOC!$QN$50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DADOS_INVOC!$QN$128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DADOS_INVOC!$QO$50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DADOS_INVOC!$QO$128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DADOS_INVOC!$QP$50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DADOS_INVOC!$QP$128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DADOS_INVOC!$QI$50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DADOS_INVOC!$QI$128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DADOS_INVOC!$QJ$50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DADOS_INVOC!$QJ$128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DADOS_INVOC!$PW$50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DADOS_INVOC!$PW$128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DADOS_INVOC!$PX$51</f>
        <v/>
      </c>
      <c r="J753" s="16" t="n"/>
      <c r="K753" s="16" t="n"/>
      <c r="L753" s="16" t="n"/>
      <c r="M753" s="17" t="n"/>
      <c r="N753" s="125" t="n"/>
      <c r="O753" s="55">
        <f>DADOS_INVOC!$PX$52</f>
        <v/>
      </c>
      <c r="P753" s="16" t="n"/>
      <c r="Q753" s="16" t="n"/>
      <c r="R753" s="16" t="n"/>
      <c r="S753" s="17" t="n"/>
      <c r="T753" s="125" t="n"/>
      <c r="U753" s="55">
        <f>DADOS_INVOC!$PX$53</f>
        <v/>
      </c>
      <c r="V753" s="16" t="n"/>
      <c r="W753" s="16" t="n"/>
      <c r="X753" s="16" t="n"/>
      <c r="Y753" s="17" t="n"/>
      <c r="Z753" s="125" t="n"/>
      <c r="AB753" s="55">
        <f>DADOS_INVOC!$PX$129</f>
        <v/>
      </c>
      <c r="AC753" s="16" t="n"/>
      <c r="AD753" s="16" t="n"/>
      <c r="AE753" s="16" t="n"/>
      <c r="AF753" s="17" t="n"/>
      <c r="AG753" s="125" t="n"/>
      <c r="AH753" s="55">
        <f>DADOS_INVOC!$PX$130</f>
        <v/>
      </c>
      <c r="AI753" s="16" t="n"/>
      <c r="AJ753" s="16" t="n"/>
      <c r="AK753" s="16" t="n"/>
      <c r="AL753" s="17" t="n"/>
      <c r="AM753" s="125" t="n"/>
      <c r="AN753" s="55">
        <f>DADOS_INVOC!$PX$131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DADOS_INVOC!$PV$51</f>
        <v/>
      </c>
      <c r="N754" s="125" t="n"/>
      <c r="O754" s="131" t="n">
        <v>1</v>
      </c>
      <c r="P754" s="120" t="n"/>
      <c r="Q754" s="16" t="n"/>
      <c r="R754" s="17" t="n"/>
      <c r="S754" s="132">
        <f>DADOS_INVOC!$PV$52</f>
        <v/>
      </c>
      <c r="T754" s="125" t="n"/>
      <c r="U754" s="131" t="n">
        <v>1</v>
      </c>
      <c r="V754" s="120" t="n"/>
      <c r="W754" s="16" t="n"/>
      <c r="X754" s="17" t="n"/>
      <c r="Y754" s="132">
        <f>DADOS_INVOC!$PV$53</f>
        <v/>
      </c>
      <c r="Z754" s="125" t="n"/>
      <c r="AB754" s="131" t="n">
        <v>1</v>
      </c>
      <c r="AC754" s="120" t="n"/>
      <c r="AD754" s="16" t="n"/>
      <c r="AE754" s="17" t="n"/>
      <c r="AF754" s="132">
        <f>DADOS_INVOC!$PV$129</f>
        <v/>
      </c>
      <c r="AG754" s="125" t="n"/>
      <c r="AH754" s="131" t="n">
        <v>1</v>
      </c>
      <c r="AI754" s="120" t="n"/>
      <c r="AJ754" s="16" t="n"/>
      <c r="AK754" s="17" t="n"/>
      <c r="AL754" s="132">
        <f>DADOS_INVOC!$PV$130</f>
        <v/>
      </c>
      <c r="AM754" s="125" t="n"/>
      <c r="AN754" s="131" t="n">
        <v>1</v>
      </c>
      <c r="AO754" s="120" t="n"/>
      <c r="AP754" s="16" t="n"/>
      <c r="AQ754" s="17" t="n"/>
      <c r="AR754" s="132">
        <f>DADOS_INVOC!$PV$131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90" t="inlineStr">
        <is>
          <t>Projétil</t>
        </is>
      </c>
      <c r="J759" s="17" t="n"/>
      <c r="K759" s="68">
        <f>DADOS_INVOC!$QC$51</f>
        <v/>
      </c>
      <c r="L759" s="17" t="n"/>
      <c r="M759" s="68">
        <f>DADOS_INVOC!$PY$51</f>
        <v/>
      </c>
      <c r="N759" s="125" t="n"/>
      <c r="O759" s="90" t="inlineStr">
        <is>
          <t>Projétil</t>
        </is>
      </c>
      <c r="P759" s="17" t="n"/>
      <c r="Q759" s="68">
        <f>DADOS_INVOC!$QC$52</f>
        <v/>
      </c>
      <c r="R759" s="17" t="n"/>
      <c r="S759" s="68">
        <f>DADOS_INVOC!$PY$52</f>
        <v/>
      </c>
      <c r="T759" s="125" t="n"/>
      <c r="U759" s="90" t="inlineStr">
        <is>
          <t>Projétil</t>
        </is>
      </c>
      <c r="V759" s="17" t="n"/>
      <c r="W759" s="68">
        <f>DADOS_INVOC!$QC$53</f>
        <v/>
      </c>
      <c r="X759" s="17" t="n"/>
      <c r="Y759" s="68">
        <f>DADOS_INVOC!$PY$53</f>
        <v/>
      </c>
      <c r="Z759" s="125" t="n"/>
      <c r="AB759" s="90" t="inlineStr">
        <is>
          <t>Projétil</t>
        </is>
      </c>
      <c r="AC759" s="17" t="n"/>
      <c r="AD759" s="68">
        <f>DADOS_INVOC!$QC$129</f>
        <v/>
      </c>
      <c r="AE759" s="17" t="n"/>
      <c r="AF759" s="68">
        <f>DADOS_INVOC!$PY$129</f>
        <v/>
      </c>
      <c r="AG759" s="125" t="n"/>
      <c r="AH759" s="90" t="inlineStr">
        <is>
          <t>Projétil</t>
        </is>
      </c>
      <c r="AI759" s="17" t="n"/>
      <c r="AJ759" s="68">
        <f>DADOS_INVOC!$QC$130</f>
        <v/>
      </c>
      <c r="AK759" s="17" t="n"/>
      <c r="AL759" s="68">
        <f>DADOS_INVOC!$PY$130</f>
        <v/>
      </c>
      <c r="AM759" s="125" t="n"/>
      <c r="AN759" s="90" t="inlineStr">
        <is>
          <t>Projétil</t>
        </is>
      </c>
      <c r="AO759" s="17" t="n"/>
      <c r="AP759" s="68">
        <f>DADOS_INVOC!$QC$131</f>
        <v/>
      </c>
      <c r="AQ759" s="17" t="n"/>
      <c r="AR759" s="68">
        <f>DADOS_INVOC!$PY$131</f>
        <v/>
      </c>
      <c r="AS759" s="125" t="n"/>
    </row>
    <row r="760" hidden="1" outlineLevel="2">
      <c r="A760" s="8" t="n"/>
      <c r="B760" s="14" t="n"/>
      <c r="C760" s="125" t="n"/>
      <c r="D760" s="125" t="n"/>
      <c r="E760" s="125" t="n"/>
      <c r="F760" s="125" t="n"/>
      <c r="G760" s="125" t="n"/>
      <c r="I760" s="90" t="n"/>
      <c r="J760" s="17" t="n"/>
      <c r="K760" s="90" t="n"/>
      <c r="L760" s="16" t="n"/>
      <c r="M760" s="17" t="n"/>
      <c r="N760" s="125" t="n"/>
      <c r="O760" s="90" t="n"/>
      <c r="P760" s="17" t="n"/>
      <c r="Q760" s="90" t="n"/>
      <c r="R760" s="16" t="n"/>
      <c r="S760" s="17" t="n"/>
      <c r="T760" s="125" t="n"/>
      <c r="U760" s="90" t="n"/>
      <c r="V760" s="17" t="n"/>
      <c r="W760" s="90" t="n"/>
      <c r="X760" s="16" t="n"/>
      <c r="Y760" s="17" t="n"/>
      <c r="Z760" s="125" t="n"/>
      <c r="AB760" s="90" t="n"/>
      <c r="AC760" s="17" t="n"/>
      <c r="AD760" s="90" t="n"/>
      <c r="AE760" s="16" t="n"/>
      <c r="AF760" s="17" t="n"/>
      <c r="AG760" s="125" t="n"/>
      <c r="AH760" s="90" t="n"/>
      <c r="AI760" s="17" t="n"/>
      <c r="AJ760" s="90" t="n"/>
      <c r="AK760" s="16" t="n"/>
      <c r="AL760" s="17" t="n"/>
      <c r="AM760" s="125" t="n"/>
      <c r="AN760" s="90" t="n"/>
      <c r="AO760" s="17" t="n"/>
      <c r="AP760" s="90" t="n"/>
      <c r="AQ760" s="16" t="n"/>
      <c r="AR760" s="17" t="n"/>
      <c r="AS760" s="125" t="n"/>
    </row>
    <row r="761" hidden="1" outlineLevel="2">
      <c r="A761" s="8" t="n"/>
      <c r="B761" s="14" t="n"/>
      <c r="C761" s="125" t="n"/>
      <c r="D761" s="125" t="n"/>
      <c r="E761" s="125" t="n"/>
      <c r="F761" s="125" t="n"/>
      <c r="G761" s="125" t="n"/>
      <c r="I761" s="90">
        <f>DADOS_INVOC!$PZ$51</f>
        <v/>
      </c>
      <c r="J761" s="17" t="n"/>
      <c r="K761" s="90">
        <f>DADOS_INVOC!$QB$51</f>
        <v/>
      </c>
      <c r="L761" s="16" t="n"/>
      <c r="M761" s="17" t="n"/>
      <c r="N761" s="125" t="n"/>
      <c r="O761" s="90">
        <f>DADOS_INVOC!$PZ$52</f>
        <v/>
      </c>
      <c r="P761" s="17" t="n"/>
      <c r="Q761" s="90">
        <f>DADOS_INVOC!$QB$52</f>
        <v/>
      </c>
      <c r="R761" s="16" t="n"/>
      <c r="S761" s="17" t="n"/>
      <c r="T761" s="125" t="n"/>
      <c r="U761" s="90">
        <f>DADOS_INVOC!$PZ$53</f>
        <v/>
      </c>
      <c r="V761" s="17" t="n"/>
      <c r="W761" s="90">
        <f>DADOS_INVOC!$QB$53</f>
        <v/>
      </c>
      <c r="X761" s="16" t="n"/>
      <c r="Y761" s="17" t="n"/>
      <c r="Z761" s="125" t="n"/>
      <c r="AB761" s="90">
        <f>DADOS_INVOC!$PZ$129</f>
        <v/>
      </c>
      <c r="AC761" s="17" t="n"/>
      <c r="AD761" s="90">
        <f>DADOS_INVOC!$QB$129</f>
        <v/>
      </c>
      <c r="AE761" s="16" t="n"/>
      <c r="AF761" s="17" t="n"/>
      <c r="AG761" s="125" t="n"/>
      <c r="AH761" s="90">
        <f>DADOS_INVOC!$PZ$130</f>
        <v/>
      </c>
      <c r="AI761" s="17" t="n"/>
      <c r="AJ761" s="90">
        <f>DADOS_INVOC!$QB$130</f>
        <v/>
      </c>
      <c r="AK761" s="16" t="n"/>
      <c r="AL761" s="17" t="n"/>
      <c r="AM761" s="125" t="n"/>
      <c r="AN761" s="90">
        <f>DADOS_INVOC!$PZ$131</f>
        <v/>
      </c>
      <c r="AO761" s="17" t="n"/>
      <c r="AP761" s="90">
        <f>DADOS_INVOC!$QB$131</f>
        <v/>
      </c>
      <c r="AQ761" s="16" t="n"/>
      <c r="AR761" s="17" t="n"/>
      <c r="AS761" s="125" t="n"/>
    </row>
    <row r="762" hidden="1" outlineLevel="2">
      <c r="A762" s="8" t="n"/>
      <c r="B762" s="14" t="n"/>
      <c r="C762" s="125" t="n"/>
      <c r="D762" s="125" t="n"/>
      <c r="E762" s="125" t="n"/>
      <c r="F762" s="125" t="n"/>
      <c r="G762" s="125" t="n"/>
      <c r="I762" s="133">
        <f>DADOS_INVOC!$QH$51</f>
        <v/>
      </c>
      <c r="J762" s="16" t="n"/>
      <c r="K762" s="16" t="n"/>
      <c r="L762" s="16" t="n"/>
      <c r="M762" s="17" t="n"/>
      <c r="N762" s="125" t="n"/>
      <c r="O762" s="133">
        <f>DADOS_INVOC!$QH$52</f>
        <v/>
      </c>
      <c r="P762" s="16" t="n"/>
      <c r="Q762" s="16" t="n"/>
      <c r="R762" s="16" t="n"/>
      <c r="S762" s="17" t="n"/>
      <c r="T762" s="125" t="n"/>
      <c r="U762" s="133">
        <f>DADOS_INVOC!$QH$53</f>
        <v/>
      </c>
      <c r="V762" s="16" t="n"/>
      <c r="W762" s="16" t="n"/>
      <c r="X762" s="16" t="n"/>
      <c r="Y762" s="17" t="n"/>
      <c r="Z762" s="125" t="n"/>
      <c r="AB762" s="133">
        <f>DADOS_INVOC!$QH$129</f>
        <v/>
      </c>
      <c r="AC762" s="16" t="n"/>
      <c r="AD762" s="16" t="n"/>
      <c r="AE762" s="16" t="n"/>
      <c r="AF762" s="17" t="n"/>
      <c r="AG762" s="125" t="n"/>
      <c r="AH762" s="133">
        <f>DADOS_INVOC!$QH$130</f>
        <v/>
      </c>
      <c r="AI762" s="16" t="n"/>
      <c r="AJ762" s="16" t="n"/>
      <c r="AK762" s="16" t="n"/>
      <c r="AL762" s="17" t="n"/>
      <c r="AM762" s="125" t="n"/>
      <c r="AN762" s="133">
        <f>DADOS_INVOC!$QH$131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DADOS_INVOC!$QK$51</f>
        <v/>
      </c>
      <c r="N763" s="125" t="n"/>
      <c r="O763" s="55" t="inlineStr">
        <is>
          <t>MELHORIAS</t>
        </is>
      </c>
      <c r="P763" s="134" t="n"/>
      <c r="Q763" s="16" t="n"/>
      <c r="R763" s="17" t="n"/>
      <c r="S763" s="133">
        <f>DADOS_INVOC!$QK$52</f>
        <v/>
      </c>
      <c r="T763" s="125" t="n"/>
      <c r="U763" s="55" t="inlineStr">
        <is>
          <t>MELHORIAS</t>
        </is>
      </c>
      <c r="V763" s="134" t="n"/>
      <c r="W763" s="16" t="n"/>
      <c r="X763" s="17" t="n"/>
      <c r="Y763" s="133">
        <f>DADOS_INVOC!$QK$53</f>
        <v/>
      </c>
      <c r="Z763" s="125" t="n"/>
      <c r="AB763" s="55" t="inlineStr">
        <is>
          <t>MELHORIAS</t>
        </is>
      </c>
      <c r="AC763" s="134" t="n"/>
      <c r="AD763" s="16" t="n"/>
      <c r="AE763" s="17" t="n"/>
      <c r="AF763" s="133">
        <f>DADOS_INVOC!$QK$129</f>
        <v/>
      </c>
      <c r="AG763" s="125" t="n"/>
      <c r="AH763" s="55" t="inlineStr">
        <is>
          <t>MELHORIAS</t>
        </is>
      </c>
      <c r="AI763" s="134" t="n"/>
      <c r="AJ763" s="16" t="n"/>
      <c r="AK763" s="17" t="n"/>
      <c r="AL763" s="133">
        <f>DADOS_INVOC!$QK$130</f>
        <v/>
      </c>
      <c r="AM763" s="125" t="n"/>
      <c r="AN763" s="55" t="inlineStr">
        <is>
          <t>MELHORIAS</t>
        </is>
      </c>
      <c r="AO763" s="134" t="n"/>
      <c r="AP763" s="16" t="n"/>
      <c r="AQ763" s="17" t="n"/>
      <c r="AR763" s="133">
        <f>DADOS_INVOC!$QK$131</f>
        <v/>
      </c>
      <c r="AS763" s="125" t="n"/>
    </row>
    <row r="764" hidden="1" outlineLevel="3">
      <c r="A764" s="8" t="n"/>
      <c r="B764" s="14" t="n"/>
      <c r="C764" s="125" t="n"/>
      <c r="D764" s="125" t="n"/>
      <c r="E764" s="125" t="n"/>
      <c r="F764" s="125" t="n"/>
      <c r="G764" s="125" t="n"/>
      <c r="I764" s="135" t="n"/>
      <c r="J764" s="134" t="n"/>
      <c r="K764" s="16" t="n"/>
      <c r="L764" s="17" t="n"/>
      <c r="M764" s="133">
        <f>DADOS_INVOC!$QL$51</f>
        <v/>
      </c>
      <c r="N764" s="125" t="n"/>
      <c r="O764" s="135" t="n"/>
      <c r="P764" s="134" t="n"/>
      <c r="Q764" s="16" t="n"/>
      <c r="R764" s="17" t="n"/>
      <c r="S764" s="133">
        <f>DADOS_INVOC!$QL$52</f>
        <v/>
      </c>
      <c r="T764" s="125" t="n"/>
      <c r="U764" s="135" t="n"/>
      <c r="V764" s="134" t="n"/>
      <c r="W764" s="16" t="n"/>
      <c r="X764" s="17" t="n"/>
      <c r="Y764" s="133">
        <f>DADOS_INVOC!$QL$53</f>
        <v/>
      </c>
      <c r="Z764" s="125" t="n"/>
      <c r="AB764" s="135" t="n"/>
      <c r="AC764" s="134" t="n"/>
      <c r="AD764" s="16" t="n"/>
      <c r="AE764" s="17" t="n"/>
      <c r="AF764" s="133">
        <f>DADOS_INVOC!$QL$129</f>
        <v/>
      </c>
      <c r="AG764" s="125" t="n"/>
      <c r="AH764" s="135" t="n"/>
      <c r="AI764" s="134" t="n"/>
      <c r="AJ764" s="16" t="n"/>
      <c r="AK764" s="17" t="n"/>
      <c r="AL764" s="133">
        <f>DADOS_INVOC!$QL$130</f>
        <v/>
      </c>
      <c r="AM764" s="125" t="n"/>
      <c r="AN764" s="135" t="n"/>
      <c r="AO764" s="134" t="n"/>
      <c r="AP764" s="16" t="n"/>
      <c r="AQ764" s="17" t="n"/>
      <c r="AR764" s="133">
        <f>DADOS_INVOC!$QL$131</f>
        <v/>
      </c>
      <c r="AS764" s="125" t="n"/>
    </row>
    <row r="765" hidden="1" outlineLevel="3">
      <c r="A765" s="8" t="n"/>
      <c r="B765" s="14" t="n"/>
      <c r="C765" s="125" t="n"/>
      <c r="D765" s="125" t="n"/>
      <c r="E765" s="125" t="n"/>
      <c r="F765" s="125" t="n"/>
      <c r="G765" s="125" t="n"/>
      <c r="I765" s="135" t="n"/>
      <c r="J765" s="134" t="n"/>
      <c r="K765" s="16" t="n"/>
      <c r="L765" s="17" t="n"/>
      <c r="M765" s="133">
        <f>DADOS_INVOC!$QM$51</f>
        <v/>
      </c>
      <c r="N765" s="125" t="n"/>
      <c r="O765" s="135" t="n"/>
      <c r="P765" s="134" t="n"/>
      <c r="Q765" s="16" t="n"/>
      <c r="R765" s="17" t="n"/>
      <c r="S765" s="133">
        <f>DADOS_INVOC!$QM$52</f>
        <v/>
      </c>
      <c r="T765" s="125" t="n"/>
      <c r="U765" s="135" t="n"/>
      <c r="V765" s="134" t="n"/>
      <c r="W765" s="16" t="n"/>
      <c r="X765" s="17" t="n"/>
      <c r="Y765" s="133">
        <f>DADOS_INVOC!$QM$53</f>
        <v/>
      </c>
      <c r="Z765" s="125" t="n"/>
      <c r="AB765" s="135" t="n"/>
      <c r="AC765" s="134" t="n"/>
      <c r="AD765" s="16" t="n"/>
      <c r="AE765" s="17" t="n"/>
      <c r="AF765" s="133">
        <f>DADOS_INVOC!$QM$129</f>
        <v/>
      </c>
      <c r="AG765" s="125" t="n"/>
      <c r="AH765" s="135" t="n"/>
      <c r="AI765" s="134" t="n"/>
      <c r="AJ765" s="16" t="n"/>
      <c r="AK765" s="17" t="n"/>
      <c r="AL765" s="133">
        <f>DADOS_INVOC!$QM$130</f>
        <v/>
      </c>
      <c r="AM765" s="125" t="n"/>
      <c r="AN765" s="135" t="n"/>
      <c r="AO765" s="134" t="n"/>
      <c r="AP765" s="16" t="n"/>
      <c r="AQ765" s="17" t="n"/>
      <c r="AR765" s="133">
        <f>DADOS_INVOC!$QM$131</f>
        <v/>
      </c>
      <c r="AS765" s="125" t="n"/>
    </row>
    <row r="766" hidden="1" outlineLevel="3">
      <c r="A766" s="8" t="n"/>
      <c r="B766" s="14" t="n"/>
      <c r="C766" s="125" t="n"/>
      <c r="D766" s="125" t="n"/>
      <c r="E766" s="125" t="n"/>
      <c r="F766" s="125" t="n"/>
      <c r="G766" s="125" t="n"/>
      <c r="I766" s="129" t="n"/>
      <c r="J766" s="134" t="n"/>
      <c r="K766" s="16" t="n"/>
      <c r="L766" s="17" t="n"/>
      <c r="M766" s="133">
        <f>DADOS_INVOC!$QN$51</f>
        <v/>
      </c>
      <c r="N766" s="125" t="n"/>
      <c r="O766" s="129" t="n"/>
      <c r="P766" s="134" t="n"/>
      <c r="Q766" s="16" t="n"/>
      <c r="R766" s="17" t="n"/>
      <c r="S766" s="133">
        <f>DADOS_INVOC!$QN$52</f>
        <v/>
      </c>
      <c r="T766" s="125" t="n"/>
      <c r="U766" s="129" t="n"/>
      <c r="V766" s="134" t="n"/>
      <c r="W766" s="16" t="n"/>
      <c r="X766" s="17" t="n"/>
      <c r="Y766" s="133">
        <f>DADOS_INVOC!$QN$53</f>
        <v/>
      </c>
      <c r="Z766" s="125" t="n"/>
      <c r="AB766" s="129" t="n"/>
      <c r="AC766" s="134" t="n"/>
      <c r="AD766" s="16" t="n"/>
      <c r="AE766" s="17" t="n"/>
      <c r="AF766" s="133">
        <f>DADOS_INVOC!$QN$129</f>
        <v/>
      </c>
      <c r="AG766" s="125" t="n"/>
      <c r="AH766" s="129" t="n"/>
      <c r="AI766" s="134" t="n"/>
      <c r="AJ766" s="16" t="n"/>
      <c r="AK766" s="17" t="n"/>
      <c r="AL766" s="133">
        <f>DADOS_INVOC!$QN$130</f>
        <v/>
      </c>
      <c r="AM766" s="125" t="n"/>
      <c r="AN766" s="129" t="n"/>
      <c r="AO766" s="134" t="n"/>
      <c r="AP766" s="16" t="n"/>
      <c r="AQ766" s="17" t="n"/>
      <c r="AR766" s="133">
        <f>DADOS_INVOC!$QN$131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DADOS_INVOC!$QO$51</f>
        <v/>
      </c>
      <c r="N767" s="125" t="n"/>
      <c r="O767" s="55" t="inlineStr">
        <is>
          <t>RESTRIÇÕES</t>
        </is>
      </c>
      <c r="P767" s="134" t="n"/>
      <c r="Q767" s="16" t="n"/>
      <c r="R767" s="17" t="n"/>
      <c r="S767" s="133">
        <f>DADOS_INVOC!$QO$52</f>
        <v/>
      </c>
      <c r="T767" s="125" t="n"/>
      <c r="U767" s="55" t="inlineStr">
        <is>
          <t>RESTRIÇÕES</t>
        </is>
      </c>
      <c r="V767" s="134" t="n"/>
      <c r="W767" s="16" t="n"/>
      <c r="X767" s="17" t="n"/>
      <c r="Y767" s="133">
        <f>DADOS_INVOC!$QO$53</f>
        <v/>
      </c>
      <c r="Z767" s="125" t="n"/>
      <c r="AB767" s="55" t="inlineStr">
        <is>
          <t>RESTRIÇÕES</t>
        </is>
      </c>
      <c r="AC767" s="134" t="n"/>
      <c r="AD767" s="16" t="n"/>
      <c r="AE767" s="17" t="n"/>
      <c r="AF767" s="133">
        <f>DADOS_INVOC!$QO$129</f>
        <v/>
      </c>
      <c r="AG767" s="125" t="n"/>
      <c r="AH767" s="55" t="inlineStr">
        <is>
          <t>RESTRIÇÕES</t>
        </is>
      </c>
      <c r="AI767" s="134" t="n"/>
      <c r="AJ767" s="16" t="n"/>
      <c r="AK767" s="17" t="n"/>
      <c r="AL767" s="133">
        <f>DADOS_INVOC!$QO$130</f>
        <v/>
      </c>
      <c r="AM767" s="125" t="n"/>
      <c r="AN767" s="55" t="inlineStr">
        <is>
          <t>RESTRIÇÕES</t>
        </is>
      </c>
      <c r="AO767" s="134" t="n"/>
      <c r="AP767" s="16" t="n"/>
      <c r="AQ767" s="17" t="n"/>
      <c r="AR767" s="133">
        <f>DADOS_INVOC!$QO$131</f>
        <v/>
      </c>
      <c r="AS767" s="125" t="n"/>
    </row>
    <row r="768" hidden="1" outlineLevel="3">
      <c r="A768" s="8" t="n"/>
      <c r="B768" s="14" t="n"/>
      <c r="C768" s="125" t="n"/>
      <c r="D768" s="125" t="n"/>
      <c r="E768" s="125" t="n"/>
      <c r="F768" s="125" t="n"/>
      <c r="G768" s="125" t="n"/>
      <c r="I768" s="129" t="n"/>
      <c r="J768" s="134" t="n"/>
      <c r="K768" s="16" t="n"/>
      <c r="L768" s="17" t="n"/>
      <c r="M768" s="133">
        <f>DADOS_INVOC!$QP$51</f>
        <v/>
      </c>
      <c r="N768" s="125" t="n"/>
      <c r="O768" s="129" t="n"/>
      <c r="P768" s="134" t="n"/>
      <c r="Q768" s="16" t="n"/>
      <c r="R768" s="17" t="n"/>
      <c r="S768" s="133">
        <f>DADOS_INVOC!$QP$52</f>
        <v/>
      </c>
      <c r="T768" s="125" t="n"/>
      <c r="U768" s="129" t="n"/>
      <c r="V768" s="134" t="n"/>
      <c r="W768" s="16" t="n"/>
      <c r="X768" s="17" t="n"/>
      <c r="Y768" s="133">
        <f>DADOS_INVOC!$QP$53</f>
        <v/>
      </c>
      <c r="Z768" s="125" t="n"/>
      <c r="AB768" s="129" t="n"/>
      <c r="AC768" s="134" t="n"/>
      <c r="AD768" s="16" t="n"/>
      <c r="AE768" s="17" t="n"/>
      <c r="AF768" s="133">
        <f>DADOS_INVOC!$QP$129</f>
        <v/>
      </c>
      <c r="AG768" s="125" t="n"/>
      <c r="AH768" s="129" t="n"/>
      <c r="AI768" s="134" t="n"/>
      <c r="AJ768" s="16" t="n"/>
      <c r="AK768" s="17" t="n"/>
      <c r="AL768" s="133">
        <f>DADOS_INVOC!$QP$130</f>
        <v/>
      </c>
      <c r="AM768" s="125" t="n"/>
      <c r="AN768" s="129" t="n"/>
      <c r="AO768" s="134" t="n"/>
      <c r="AP768" s="16" t="n"/>
      <c r="AQ768" s="17" t="n"/>
      <c r="AR768" s="133">
        <f>DADOS_INVOC!$QP$131</f>
        <v/>
      </c>
      <c r="AS768" s="125" t="n"/>
    </row>
    <row r="769" hidden="1" outlineLevel="3">
      <c r="A769" s="8" t="n"/>
      <c r="B769" s="14" t="n"/>
      <c r="C769" s="125" t="n"/>
      <c r="D769" s="125" t="n"/>
      <c r="E769" s="125" t="n"/>
      <c r="F769" s="125" t="n"/>
      <c r="G769" s="125" t="n"/>
      <c r="I769" s="55" t="inlineStr">
        <is>
          <t>CONTA</t>
        </is>
      </c>
      <c r="J769" s="136">
        <f>DADOS_INVOC!$QI$51</f>
        <v/>
      </c>
      <c r="K769" s="16" t="n"/>
      <c r="L769" s="16" t="n"/>
      <c r="M769" s="17" t="n"/>
      <c r="N769" s="125" t="n"/>
      <c r="O769" s="55" t="inlineStr">
        <is>
          <t>CONTA</t>
        </is>
      </c>
      <c r="P769" s="136">
        <f>DADOS_INVOC!$QI$52</f>
        <v/>
      </c>
      <c r="Q769" s="16" t="n"/>
      <c r="R769" s="16" t="n"/>
      <c r="S769" s="17" t="n"/>
      <c r="T769" s="125" t="n"/>
      <c r="U769" s="55" t="inlineStr">
        <is>
          <t>CONTA</t>
        </is>
      </c>
      <c r="V769" s="136">
        <f>DADOS_INVOC!$QI$53</f>
        <v/>
      </c>
      <c r="W769" s="16" t="n"/>
      <c r="X769" s="16" t="n"/>
      <c r="Y769" s="17" t="n"/>
      <c r="Z769" s="125" t="n"/>
      <c r="AB769" s="55" t="inlineStr">
        <is>
          <t>CONTA</t>
        </is>
      </c>
      <c r="AC769" s="136">
        <f>DADOS_INVOC!$QI$129</f>
        <v/>
      </c>
      <c r="AD769" s="16" t="n"/>
      <c r="AE769" s="16" t="n"/>
      <c r="AF769" s="17" t="n"/>
      <c r="AG769" s="125" t="n"/>
      <c r="AH769" s="55" t="inlineStr">
        <is>
          <t>CONTA</t>
        </is>
      </c>
      <c r="AI769" s="136">
        <f>DADOS_INVOC!$QI$130</f>
        <v/>
      </c>
      <c r="AJ769" s="16" t="n"/>
      <c r="AK769" s="16" t="n"/>
      <c r="AL769" s="17" t="n"/>
      <c r="AM769" s="125" t="n"/>
      <c r="AN769" s="55" t="inlineStr">
        <is>
          <t>CONTA</t>
        </is>
      </c>
      <c r="AO769" s="136">
        <f>DADOS_INVOC!$QI$131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DADOS_INVOC!$QJ$51</f>
        <v/>
      </c>
      <c r="K770" s="19" t="n"/>
      <c r="L770" s="19" t="n"/>
      <c r="M770" s="20" t="n"/>
      <c r="N770" s="125" t="n"/>
      <c r="O770" s="55" t="inlineStr">
        <is>
          <t>AMPLIAR</t>
        </is>
      </c>
      <c r="P770" s="136">
        <f>DADOS_INVOC!$QJ$52</f>
        <v/>
      </c>
      <c r="Q770" s="19" t="n"/>
      <c r="R770" s="19" t="n"/>
      <c r="S770" s="20" t="n"/>
      <c r="T770" s="125" t="n"/>
      <c r="U770" s="55" t="inlineStr">
        <is>
          <t>AMPLIAR</t>
        </is>
      </c>
      <c r="V770" s="136">
        <f>DADOS_INVOC!$QJ$53</f>
        <v/>
      </c>
      <c r="W770" s="19" t="n"/>
      <c r="X770" s="19" t="n"/>
      <c r="Y770" s="20" t="n"/>
      <c r="Z770" s="125" t="n"/>
      <c r="AB770" s="55" t="inlineStr">
        <is>
          <t>AMPLIAR</t>
        </is>
      </c>
      <c r="AC770" s="136">
        <f>DADOS_INVOC!$QJ$129</f>
        <v/>
      </c>
      <c r="AD770" s="19" t="n"/>
      <c r="AE770" s="19" t="n"/>
      <c r="AF770" s="20" t="n"/>
      <c r="AG770" s="125" t="n"/>
      <c r="AH770" s="55" t="inlineStr">
        <is>
          <t>AMPLIAR</t>
        </is>
      </c>
      <c r="AI770" s="136">
        <f>DADOS_INVOC!$QJ$130</f>
        <v/>
      </c>
      <c r="AJ770" s="19" t="n"/>
      <c r="AK770" s="19" t="n"/>
      <c r="AL770" s="20" t="n"/>
      <c r="AM770" s="125" t="n"/>
      <c r="AN770" s="55" t="inlineStr">
        <is>
          <t>AMPLIAR</t>
        </is>
      </c>
      <c r="AO770" s="136">
        <f>DADOS_INVOC!$QJ$131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DADOS_INVOC!$PW$51</f>
        <v/>
      </c>
      <c r="J772" s="19" t="n"/>
      <c r="K772" s="19" t="n"/>
      <c r="L772" s="19" t="n"/>
      <c r="M772" s="20" t="n"/>
      <c r="N772" s="125" t="n"/>
      <c r="O772" s="136">
        <f>DADOS_INVOC!$PW$52</f>
        <v/>
      </c>
      <c r="P772" s="19" t="n"/>
      <c r="Q772" s="19" t="n"/>
      <c r="R772" s="19" t="n"/>
      <c r="S772" s="20" t="n"/>
      <c r="T772" s="125" t="n"/>
      <c r="U772" s="136">
        <f>DADOS_INVOC!$PW$53</f>
        <v/>
      </c>
      <c r="V772" s="19" t="n"/>
      <c r="W772" s="19" t="n"/>
      <c r="X772" s="19" t="n"/>
      <c r="Y772" s="20" t="n"/>
      <c r="Z772" s="125" t="n"/>
      <c r="AB772" s="136">
        <f>DADOS_INVOC!$PW$129</f>
        <v/>
      </c>
      <c r="AC772" s="19" t="n"/>
      <c r="AD772" s="19" t="n"/>
      <c r="AE772" s="19" t="n"/>
      <c r="AF772" s="20" t="n"/>
      <c r="AG772" s="125" t="n"/>
      <c r="AH772" s="136">
        <f>DADOS_INVOC!$PW$130</f>
        <v/>
      </c>
      <c r="AI772" s="19" t="n"/>
      <c r="AJ772" s="19" t="n"/>
      <c r="AK772" s="19" t="n"/>
      <c r="AL772" s="20" t="n"/>
      <c r="AM772" s="125" t="n"/>
      <c r="AN772" s="136">
        <f>DADOS_INVOC!$PW$131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90" t="inlineStr">
        <is>
          <t>Sua Ação Completa + a básica dela</t>
        </is>
      </c>
      <c r="J789" s="16" t="n"/>
      <c r="K789" s="16" t="n"/>
      <c r="L789" s="16" t="n"/>
      <c r="M789" s="17" t="n"/>
      <c r="N789" s="125" t="n"/>
      <c r="O789" s="90" t="inlineStr">
        <is>
          <t>Sua Ação Completa + a básica dela</t>
        </is>
      </c>
      <c r="P789" s="16" t="n"/>
      <c r="Q789" s="16" t="n"/>
      <c r="R789" s="16" t="n"/>
      <c r="S789" s="17" t="n"/>
      <c r="T789" s="125" t="n"/>
      <c r="U789" s="90" t="inlineStr">
        <is>
          <t>Sua Ação Completa + a básica dela</t>
        </is>
      </c>
      <c r="V789" s="16" t="n"/>
      <c r="W789" s="16" t="n"/>
      <c r="X789" s="16" t="n"/>
      <c r="Y789" s="17" t="n"/>
      <c r="Z789" s="125" t="n"/>
      <c r="AB789" s="90" t="inlineStr">
        <is>
          <t>Sua Ação Completa + a básica dela</t>
        </is>
      </c>
      <c r="AC789" s="16" t="n"/>
      <c r="AD789" s="16" t="n"/>
      <c r="AE789" s="16" t="n"/>
      <c r="AF789" s="17" t="n"/>
      <c r="AG789" s="125" t="n"/>
      <c r="AH789" s="90" t="inlineStr">
        <is>
          <t>Sua Ação Completa + a básica dela</t>
        </is>
      </c>
      <c r="AI789" s="16" t="n"/>
      <c r="AJ789" s="16" t="n"/>
      <c r="AK789" s="16" t="n"/>
      <c r="AL789" s="17" t="n"/>
      <c r="AM789" s="125" t="n"/>
      <c r="AN789" s="90"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90"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90"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90"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90"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5"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5"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90" t="inlineStr">
        <is>
          <t>Com alma</t>
        </is>
      </c>
      <c r="V810" s="98">
        <f>DADOS_INVOC!$GH$6</f>
        <v/>
      </c>
      <c r="W810" s="98">
        <f>DADOS_INVOC!$GJ$6</f>
        <v/>
      </c>
      <c r="X810" s="90">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90" t="inlineStr">
        <is>
          <t>Com alma</t>
        </is>
      </c>
      <c r="AO810" s="98">
        <f>DADOS_INVOC!$GH$12</f>
        <v/>
      </c>
      <c r="AP810" s="98">
        <f>DADOS_INVOC!$GJ$12</f>
        <v/>
      </c>
      <c r="AQ810" s="90">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90" t="n"/>
      <c r="T821" s="125" t="n"/>
      <c r="U821" s="21" t="n"/>
      <c r="Y821" s="22" t="n"/>
      <c r="Z821" s="125" t="n"/>
      <c r="AB821" s="21" t="n"/>
      <c r="AF821" s="22" t="n"/>
      <c r="AG821" s="125" t="n"/>
      <c r="AH821" s="98">
        <f>DADOS_INVOC!$HN$12</f>
        <v/>
      </c>
      <c r="AI821" s="98">
        <f>DADOS_INVOC!$HO$12</f>
        <v/>
      </c>
      <c r="AJ821" s="98">
        <f>DADOS_INVOC!$HP$12</f>
        <v/>
      </c>
      <c r="AK821" s="98">
        <f>DADOS_INVOC!$HQ$12</f>
        <v/>
      </c>
      <c r="AL821" s="90"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90"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90" t="n"/>
      <c r="AS825" s="125" t="n"/>
    </row>
    <row r="826" hidden="1" outlineLevel="1">
      <c r="A826" s="8" t="n"/>
      <c r="B826" s="14" t="n"/>
      <c r="C826" s="125" t="n"/>
      <c r="D826" s="125" t="n"/>
      <c r="E826" s="125" t="n"/>
      <c r="F826" s="125" t="n"/>
      <c r="G826" s="125" t="n"/>
      <c r="I826" s="21" t="n"/>
      <c r="M826" s="22" t="n"/>
      <c r="N826" s="125" t="n"/>
      <c r="O826" s="90" t="n"/>
      <c r="P826" s="19" t="n"/>
      <c r="Q826" s="20" t="n"/>
      <c r="R826" s="90" t="inlineStr">
        <is>
          <t>Força</t>
        </is>
      </c>
      <c r="S826" s="20" t="n"/>
      <c r="T826" s="125" t="n"/>
      <c r="U826" s="55" t="inlineStr">
        <is>
          <t>MÃO 2</t>
        </is>
      </c>
      <c r="V826" s="134" t="n"/>
      <c r="W826" s="16" t="n"/>
      <c r="X826" s="17" t="n"/>
      <c r="Y826" s="90" t="n"/>
      <c r="Z826" s="125" t="n"/>
      <c r="AB826" s="21" t="n"/>
      <c r="AF826" s="22" t="n"/>
      <c r="AG826" s="125" t="n"/>
      <c r="AH826" s="90" t="n"/>
      <c r="AI826" s="19" t="n"/>
      <c r="AJ826" s="20" t="n"/>
      <c r="AK826" s="90" t="inlineStr">
        <is>
          <t>Força</t>
        </is>
      </c>
      <c r="AL826" s="20" t="n"/>
      <c r="AM826" s="125" t="n"/>
      <c r="AN826" s="55" t="inlineStr">
        <is>
          <t>MÃO 2</t>
        </is>
      </c>
      <c r="AO826" s="134" t="n"/>
      <c r="AP826" s="16" t="n"/>
      <c r="AQ826" s="17" t="n"/>
      <c r="AR826" s="90"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90" t="n"/>
      <c r="Z827" s="125" t="n"/>
      <c r="AB827" s="21" t="n"/>
      <c r="AF827" s="22" t="n"/>
      <c r="AG827" s="125" t="n"/>
      <c r="AH827" s="23" t="n"/>
      <c r="AI827" s="24" t="n"/>
      <c r="AJ827" s="25" t="n"/>
      <c r="AK827" s="23" t="n"/>
      <c r="AL827" s="25" t="n"/>
      <c r="AM827" s="125" t="n"/>
      <c r="AN827" s="55" t="inlineStr">
        <is>
          <t>VESTE</t>
        </is>
      </c>
      <c r="AO827" s="134" t="n"/>
      <c r="AP827" s="16" t="n"/>
      <c r="AQ827" s="17" t="n"/>
      <c r="AR827" s="90"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90" t="n"/>
      <c r="Z829" s="125" t="n"/>
      <c r="AB829" s="21" t="n"/>
      <c r="AF829" s="22" t="n"/>
      <c r="AG829" s="125" t="n"/>
      <c r="AH829" s="55">
        <f>DADOS_INVOC!$HR$12</f>
        <v/>
      </c>
      <c r="AI829" s="16" t="n"/>
      <c r="AJ829" s="16" t="n"/>
      <c r="AK829" s="16" t="n"/>
      <c r="AL829" s="17" t="n"/>
      <c r="AM829" s="125" t="n"/>
      <c r="AN829" s="134" t="n"/>
      <c r="AO829" s="16" t="n"/>
      <c r="AP829" s="16" t="n"/>
      <c r="AQ829" s="17" t="n"/>
      <c r="AR829" s="90" t="n"/>
      <c r="AS829" s="125" t="n"/>
    </row>
    <row r="830" hidden="1" outlineLevel="1">
      <c r="A830" s="8" t="n"/>
      <c r="B830" s="14" t="n"/>
      <c r="C830" s="125" t="n"/>
      <c r="D830" s="125" t="n"/>
      <c r="E830" s="125" t="n"/>
      <c r="F830" s="125" t="n"/>
      <c r="G830" s="125" t="n"/>
      <c r="I830" s="21" t="n"/>
      <c r="M830" s="22" t="n"/>
      <c r="N830" s="125" t="n"/>
      <c r="O830" s="134" t="n"/>
      <c r="P830" s="16" t="n"/>
      <c r="Q830" s="17" t="n"/>
      <c r="R830" s="90">
        <f>DADOS_INVOC!$HS$6</f>
        <v/>
      </c>
      <c r="S830" s="17" t="n"/>
      <c r="T830" s="125" t="n"/>
      <c r="U830" s="134" t="n"/>
      <c r="V830" s="16" t="n"/>
      <c r="W830" s="16" t="n"/>
      <c r="X830" s="17" t="n"/>
      <c r="Y830" s="90" t="n"/>
      <c r="Z830" s="125" t="n"/>
      <c r="AB830" s="21" t="n"/>
      <c r="AF830" s="22" t="n"/>
      <c r="AG830" s="125" t="n"/>
      <c r="AH830" s="134" t="n"/>
      <c r="AI830" s="16" t="n"/>
      <c r="AJ830" s="17" t="n"/>
      <c r="AK830" s="90">
        <f>DADOS_INVOC!$HS$12</f>
        <v/>
      </c>
      <c r="AL830" s="17" t="n"/>
      <c r="AM830" s="125" t="n"/>
      <c r="AN830" s="134" t="n"/>
      <c r="AO830" s="16" t="n"/>
      <c r="AP830" s="16" t="n"/>
      <c r="AQ830" s="17" t="n"/>
      <c r="AR830" s="90" t="n"/>
      <c r="AS830" s="125" t="n"/>
    </row>
    <row r="831" hidden="1" outlineLevel="1">
      <c r="A831" s="8" t="n"/>
      <c r="B831" s="14" t="n"/>
      <c r="C831" s="125" t="n"/>
      <c r="D831" s="125" t="n"/>
      <c r="E831" s="125" t="n"/>
      <c r="F831" s="125" t="n"/>
      <c r="G831" s="125" t="n"/>
      <c r="I831" s="21" t="n"/>
      <c r="M831" s="22" t="n"/>
      <c r="N831" s="125" t="n"/>
      <c r="O831" s="134" t="n"/>
      <c r="P831" s="16" t="n"/>
      <c r="Q831" s="17" t="n"/>
      <c r="R831" s="90">
        <f>DADOS_INVOC!$HT$6</f>
        <v/>
      </c>
      <c r="S831" s="17" t="n"/>
      <c r="T831" s="125" t="n"/>
      <c r="U831" s="134" t="n"/>
      <c r="V831" s="16" t="n"/>
      <c r="W831" s="16" t="n"/>
      <c r="X831" s="17" t="n"/>
      <c r="Y831" s="90" t="n"/>
      <c r="Z831" s="125" t="n"/>
      <c r="AB831" s="21" t="n"/>
      <c r="AF831" s="22" t="n"/>
      <c r="AG831" s="125" t="n"/>
      <c r="AH831" s="134" t="n"/>
      <c r="AI831" s="16" t="n"/>
      <c r="AJ831" s="17" t="n"/>
      <c r="AK831" s="90">
        <f>DADOS_INVOC!$HT$12</f>
        <v/>
      </c>
      <c r="AL831" s="17" t="n"/>
      <c r="AM831" s="125" t="n"/>
      <c r="AN831" s="134" t="n"/>
      <c r="AO831" s="16" t="n"/>
      <c r="AP831" s="16" t="n"/>
      <c r="AQ831" s="17" t="n"/>
      <c r="AR831" s="90"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90">
        <f>DADOS_INVOC!$HU$6</f>
        <v/>
      </c>
      <c r="S832" s="17" t="n"/>
      <c r="T832" s="125" t="n"/>
      <c r="U832" s="134" t="n"/>
      <c r="V832" s="16" t="n"/>
      <c r="W832" s="16" t="n"/>
      <c r="X832" s="17" t="n"/>
      <c r="Y832" s="90" t="n"/>
      <c r="Z832" s="125" t="n"/>
      <c r="AB832" s="23" t="n"/>
      <c r="AC832" s="24" t="n"/>
      <c r="AD832" s="24" t="n"/>
      <c r="AE832" s="24" t="n"/>
      <c r="AF832" s="25" t="n"/>
      <c r="AG832" s="125" t="n"/>
      <c r="AH832" s="134" t="n"/>
      <c r="AI832" s="16" t="n"/>
      <c r="AJ832" s="17" t="n"/>
      <c r="AK832" s="90">
        <f>DADOS_INVOC!$HU$12</f>
        <v/>
      </c>
      <c r="AL832" s="17" t="n"/>
      <c r="AM832" s="125" t="n"/>
      <c r="AN832" s="134" t="n"/>
      <c r="AO832" s="16" t="n"/>
      <c r="AP832" s="16" t="n"/>
      <c r="AQ832" s="17" t="n"/>
      <c r="AR832" s="90"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90">
        <f>DADOS_INVOC!$HV$6</f>
        <v/>
      </c>
      <c r="S833" s="17" t="n"/>
      <c r="T833" s="125" t="n"/>
      <c r="U833" s="134" t="n"/>
      <c r="V833" s="16" t="n"/>
      <c r="W833" s="16" t="n"/>
      <c r="X833" s="17" t="n"/>
      <c r="Y833" s="90" t="n"/>
      <c r="Z833" s="125" t="n"/>
      <c r="AB833" s="125" t="n"/>
      <c r="AC833" s="125" t="n"/>
      <c r="AD833" s="125" t="n"/>
      <c r="AE833" s="125" t="n"/>
      <c r="AF833" s="125" t="n"/>
      <c r="AG833" s="125" t="n"/>
      <c r="AH833" s="134" t="n"/>
      <c r="AI833" s="16" t="n"/>
      <c r="AJ833" s="17" t="n"/>
      <c r="AK833" s="90">
        <f>DADOS_INVOC!$HV$12</f>
        <v/>
      </c>
      <c r="AL833" s="17" t="n"/>
      <c r="AM833" s="125" t="n"/>
      <c r="AN833" s="134" t="n"/>
      <c r="AO833" s="16" t="n"/>
      <c r="AP833" s="16" t="n"/>
      <c r="AQ833" s="17" t="n"/>
      <c r="AR833" s="90"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90">
        <f>DADOS_INVOC!$HW$6</f>
        <v/>
      </c>
      <c r="S834" s="17" t="n"/>
      <c r="T834" s="125" t="n"/>
      <c r="U834" s="134" t="n"/>
      <c r="V834" s="16" t="n"/>
      <c r="W834" s="16" t="n"/>
      <c r="X834" s="17" t="n"/>
      <c r="Y834" s="90" t="n"/>
      <c r="Z834" s="125" t="n"/>
      <c r="AB834" s="55" t="inlineStr">
        <is>
          <t>TIPO</t>
        </is>
      </c>
      <c r="AC834" s="16" t="n"/>
      <c r="AD834" s="16" t="n"/>
      <c r="AE834" s="16" t="n"/>
      <c r="AF834" s="17" t="n"/>
      <c r="AG834" s="125" t="n"/>
      <c r="AH834" s="134" t="n"/>
      <c r="AI834" s="16" t="n"/>
      <c r="AJ834" s="17" t="n"/>
      <c r="AK834" s="90">
        <f>DADOS_INVOC!$HW$12</f>
        <v/>
      </c>
      <c r="AL834" s="17" t="n"/>
      <c r="AM834" s="125" t="n"/>
      <c r="AN834" s="134" t="n"/>
      <c r="AO834" s="16" t="n"/>
      <c r="AP834" s="16" t="n"/>
      <c r="AQ834" s="17" t="n"/>
      <c r="AR834" s="90" t="n"/>
      <c r="AS834" s="125" t="n"/>
    </row>
    <row r="835" hidden="1" outlineLevel="1">
      <c r="A835" s="8" t="n"/>
      <c r="B835" s="14" t="n"/>
      <c r="C835" s="125" t="n"/>
      <c r="D835" s="125" t="n"/>
      <c r="E835" s="125" t="n"/>
      <c r="F835" s="125" t="n"/>
      <c r="G835" s="125" t="n"/>
      <c r="I835" s="90" t="inlineStr">
        <is>
          <t>Shikigami de técnica</t>
        </is>
      </c>
      <c r="J835" s="19" t="n"/>
      <c r="K835" s="19" t="n"/>
      <c r="L835" s="19" t="n"/>
      <c r="M835" s="20" t="n"/>
      <c r="N835" s="125" t="n"/>
      <c r="O835" s="134" t="n"/>
      <c r="P835" s="16" t="n"/>
      <c r="Q835" s="17" t="n"/>
      <c r="R835" s="90">
        <f>DADOS_INVOC!$HX$6</f>
        <v/>
      </c>
      <c r="S835" s="17" t="n"/>
      <c r="T835" s="125" t="n"/>
      <c r="U835" s="125" t="n"/>
      <c r="V835" s="125" t="n"/>
      <c r="W835" s="125" t="n"/>
      <c r="X835" s="125" t="n"/>
      <c r="Y835" s="125" t="n"/>
      <c r="Z835" s="125" t="n"/>
      <c r="AB835" s="90" t="inlineStr">
        <is>
          <t>Shikigami de técnica</t>
        </is>
      </c>
      <c r="AC835" s="19" t="n"/>
      <c r="AD835" s="19" t="n"/>
      <c r="AE835" s="19" t="n"/>
      <c r="AF835" s="20" t="n"/>
      <c r="AG835" s="125" t="n"/>
      <c r="AH835" s="134" t="n"/>
      <c r="AI835" s="16" t="n"/>
      <c r="AJ835" s="17" t="n"/>
      <c r="AK835" s="90">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90">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90">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90" t="inlineStr">
        <is>
          <t>Espaço conhecido</t>
        </is>
      </c>
      <c r="J839" s="20" t="n"/>
      <c r="K839" s="90" t="n"/>
      <c r="L839" s="90"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90" t="inlineStr">
        <is>
          <t>Espaço conhecido</t>
        </is>
      </c>
      <c r="AC839" s="20" t="n"/>
      <c r="AD839" s="90" t="n"/>
      <c r="AE839" s="90"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90" t="n"/>
      <c r="P840" s="90" t="n"/>
      <c r="Q840" s="90" t="n"/>
      <c r="R840" s="90" t="n"/>
      <c r="S840" s="90" t="n"/>
      <c r="T840" s="125" t="n"/>
      <c r="U840" s="21" t="n"/>
      <c r="Y840" s="22" t="n"/>
      <c r="Z840" s="125" t="n"/>
      <c r="AB840" s="23" t="n"/>
      <c r="AC840" s="25" t="n"/>
      <c r="AD840" s="129" t="n"/>
      <c r="AE840" s="23" t="n"/>
      <c r="AF840" s="25" t="n"/>
      <c r="AG840" s="125" t="n"/>
      <c r="AH840" s="90" t="n"/>
      <c r="AI840" s="90" t="n"/>
      <c r="AJ840" s="90" t="n"/>
      <c r="AK840" s="90" t="n"/>
      <c r="AL840" s="90"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DADOS_INVOC!$PX$54</f>
        <v/>
      </c>
      <c r="J849" s="16" t="n"/>
      <c r="K849" s="16" t="n"/>
      <c r="L849" s="16" t="n"/>
      <c r="M849" s="17" t="n"/>
      <c r="N849" s="125" t="n"/>
      <c r="O849" s="55">
        <f>DADOS_INVOC!$PX$55</f>
        <v/>
      </c>
      <c r="P849" s="16" t="n"/>
      <c r="Q849" s="16" t="n"/>
      <c r="R849" s="16" t="n"/>
      <c r="S849" s="17" t="n"/>
      <c r="T849" s="125" t="n"/>
      <c r="U849" s="55">
        <f>DADOS_INVOC!$PX$56</f>
        <v/>
      </c>
      <c r="V849" s="16" t="n"/>
      <c r="W849" s="16" t="n"/>
      <c r="X849" s="16" t="n"/>
      <c r="Y849" s="17" t="n"/>
      <c r="Z849" s="125" t="n"/>
      <c r="AB849" s="55">
        <f>DADOS_INVOC!$PX$132</f>
        <v/>
      </c>
      <c r="AC849" s="16" t="n"/>
      <c r="AD849" s="16" t="n"/>
      <c r="AE849" s="16" t="n"/>
      <c r="AF849" s="17" t="n"/>
      <c r="AG849" s="125" t="n"/>
      <c r="AH849" s="55">
        <f>DADOS_INVOC!$PX$133</f>
        <v/>
      </c>
      <c r="AI849" s="16" t="n"/>
      <c r="AJ849" s="16" t="n"/>
      <c r="AK849" s="16" t="n"/>
      <c r="AL849" s="17" t="n"/>
      <c r="AM849" s="125" t="n"/>
      <c r="AN849" s="55">
        <f>DADOS_INVOC!$PX$134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DADOS_INVOC!$PV$54</f>
        <v/>
      </c>
      <c r="N850" s="125" t="n"/>
      <c r="O850" s="131" t="n">
        <v>1</v>
      </c>
      <c r="P850" s="120" t="n"/>
      <c r="Q850" s="16" t="n"/>
      <c r="R850" s="17" t="n"/>
      <c r="S850" s="132">
        <f>DADOS_INVOC!$PV$55</f>
        <v/>
      </c>
      <c r="T850" s="125" t="n"/>
      <c r="U850" s="131" t="n">
        <v>1</v>
      </c>
      <c r="V850" s="120" t="n"/>
      <c r="W850" s="16" t="n"/>
      <c r="X850" s="17" t="n"/>
      <c r="Y850" s="132">
        <f>DADOS_INVOC!$PV$56</f>
        <v/>
      </c>
      <c r="Z850" s="125" t="n"/>
      <c r="AB850" s="131" t="n">
        <v>0</v>
      </c>
      <c r="AC850" s="120" t="n"/>
      <c r="AD850" s="16" t="n"/>
      <c r="AE850" s="17" t="n"/>
      <c r="AF850" s="132">
        <f>DADOS_INVOC!$PV$132</f>
        <v/>
      </c>
      <c r="AG850" s="125" t="n"/>
      <c r="AH850" s="131" t="n">
        <v>1</v>
      </c>
      <c r="AI850" s="120" t="n"/>
      <c r="AJ850" s="16" t="n"/>
      <c r="AK850" s="17" t="n"/>
      <c r="AL850" s="132">
        <f>DADOS_INVOC!$PV$133</f>
        <v/>
      </c>
      <c r="AM850" s="125" t="n"/>
      <c r="AN850" s="131" t="n">
        <v>1</v>
      </c>
      <c r="AO850" s="120" t="n"/>
      <c r="AP850" s="16" t="n"/>
      <c r="AQ850" s="17" t="n"/>
      <c r="AR850" s="132">
        <f>DADOS_INVOC!$PV$134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90" t="inlineStr">
        <is>
          <t>Projétil</t>
        </is>
      </c>
      <c r="J855" s="17" t="n"/>
      <c r="K855" s="68">
        <f>DADOS_INVOC!$QC$54</f>
        <v/>
      </c>
      <c r="L855" s="17" t="n"/>
      <c r="M855" s="68">
        <f>DADOS_INVOC!$PY$54</f>
        <v/>
      </c>
      <c r="N855" s="125" t="n"/>
      <c r="O855" s="90" t="inlineStr">
        <is>
          <t>Projétil</t>
        </is>
      </c>
      <c r="P855" s="17" t="n"/>
      <c r="Q855" s="68">
        <f>DADOS_INVOC!$QC$55</f>
        <v/>
      </c>
      <c r="R855" s="17" t="n"/>
      <c r="S855" s="68">
        <f>DADOS_INVOC!$PY$55</f>
        <v/>
      </c>
      <c r="T855" s="125" t="n"/>
      <c r="U855" s="90" t="inlineStr">
        <is>
          <t>Projétil</t>
        </is>
      </c>
      <c r="V855" s="17" t="n"/>
      <c r="W855" s="68">
        <f>DADOS_INVOC!$QC$56</f>
        <v/>
      </c>
      <c r="X855" s="17" t="n"/>
      <c r="Y855" s="68">
        <f>DADOS_INVOC!$PY$56</f>
        <v/>
      </c>
      <c r="Z855" s="125" t="n"/>
      <c r="AB855" s="90" t="inlineStr">
        <is>
          <t>Projétil</t>
        </is>
      </c>
      <c r="AC855" s="17" t="n"/>
      <c r="AD855" s="68">
        <f>DADOS_INVOC!$QC$132</f>
        <v/>
      </c>
      <c r="AE855" s="17" t="n"/>
      <c r="AF855" s="68">
        <f>DADOS_INVOC!$PY$132</f>
        <v/>
      </c>
      <c r="AG855" s="125" t="n"/>
      <c r="AH855" s="90" t="inlineStr">
        <is>
          <t>Projétil</t>
        </is>
      </c>
      <c r="AI855" s="17" t="n"/>
      <c r="AJ855" s="68">
        <f>DADOS_INVOC!$QC$133</f>
        <v/>
      </c>
      <c r="AK855" s="17" t="n"/>
      <c r="AL855" s="68">
        <f>DADOS_INVOC!$PY$133</f>
        <v/>
      </c>
      <c r="AM855" s="125" t="n"/>
      <c r="AN855" s="90" t="inlineStr">
        <is>
          <t>Projétil</t>
        </is>
      </c>
      <c r="AO855" s="17" t="n"/>
      <c r="AP855" s="68">
        <f>DADOS_INVOC!$QC$134</f>
        <v/>
      </c>
      <c r="AQ855" s="17" t="n"/>
      <c r="AR855" s="68">
        <f>DADOS_INVOC!$PY$134</f>
        <v/>
      </c>
      <c r="AS855" s="125" t="n"/>
    </row>
    <row r="856" hidden="1" outlineLevel="1">
      <c r="A856" s="8" t="n"/>
      <c r="B856" s="14" t="n"/>
      <c r="C856" s="125" t="n"/>
      <c r="D856" s="125" t="n"/>
      <c r="E856" s="125" t="n"/>
      <c r="F856" s="125" t="n"/>
      <c r="G856" s="125" t="n"/>
      <c r="I856" s="90" t="n"/>
      <c r="J856" s="17" t="n"/>
      <c r="K856" s="90" t="n"/>
      <c r="L856" s="16" t="n"/>
      <c r="M856" s="17" t="n"/>
      <c r="N856" s="125" t="n"/>
      <c r="O856" s="90" t="n"/>
      <c r="P856" s="17" t="n"/>
      <c r="Q856" s="90" t="n"/>
      <c r="R856" s="16" t="n"/>
      <c r="S856" s="17" t="n"/>
      <c r="T856" s="125" t="n"/>
      <c r="U856" s="90" t="n"/>
      <c r="V856" s="17" t="n"/>
      <c r="W856" s="90" t="n"/>
      <c r="X856" s="16" t="n"/>
      <c r="Y856" s="17" t="n"/>
      <c r="Z856" s="125" t="n"/>
      <c r="AB856" s="90" t="n"/>
      <c r="AC856" s="17" t="n"/>
      <c r="AD856" s="90" t="n"/>
      <c r="AE856" s="16" t="n"/>
      <c r="AF856" s="17" t="n"/>
      <c r="AG856" s="125" t="n"/>
      <c r="AH856" s="90" t="n"/>
      <c r="AI856" s="17" t="n"/>
      <c r="AJ856" s="90" t="n"/>
      <c r="AK856" s="16" t="n"/>
      <c r="AL856" s="17" t="n"/>
      <c r="AM856" s="125" t="n"/>
      <c r="AN856" s="90" t="n"/>
      <c r="AO856" s="17" t="n"/>
      <c r="AP856" s="90" t="n"/>
      <c r="AQ856" s="16" t="n"/>
      <c r="AR856" s="17" t="n"/>
      <c r="AS856" s="125" t="n"/>
    </row>
    <row r="857" hidden="1" outlineLevel="1">
      <c r="A857" s="8" t="n"/>
      <c r="B857" s="14" t="n"/>
      <c r="C857" s="125" t="n"/>
      <c r="D857" s="125" t="n"/>
      <c r="E857" s="125" t="n"/>
      <c r="F857" s="125" t="n"/>
      <c r="G857" s="125" t="n"/>
      <c r="I857" s="90">
        <f>DADOS_INVOC!$PZ$54</f>
        <v/>
      </c>
      <c r="J857" s="17" t="n"/>
      <c r="K857" s="90">
        <f>DADOS_INVOC!$QB$54</f>
        <v/>
      </c>
      <c r="L857" s="16" t="n"/>
      <c r="M857" s="17" t="n"/>
      <c r="N857" s="125" t="n"/>
      <c r="O857" s="90">
        <f>DADOS_INVOC!$PZ$55</f>
        <v/>
      </c>
      <c r="P857" s="17" t="n"/>
      <c r="Q857" s="90">
        <f>DADOS_INVOC!$QB$55</f>
        <v/>
      </c>
      <c r="R857" s="16" t="n"/>
      <c r="S857" s="17" t="n"/>
      <c r="T857" s="125" t="n"/>
      <c r="U857" s="90">
        <f>DADOS_INVOC!$PZ$56</f>
        <v/>
      </c>
      <c r="V857" s="17" t="n"/>
      <c r="W857" s="90">
        <f>DADOS_INVOC!$QB$56</f>
        <v/>
      </c>
      <c r="X857" s="16" t="n"/>
      <c r="Y857" s="17" t="n"/>
      <c r="Z857" s="125" t="n"/>
      <c r="AB857" s="90">
        <f>DADOS_INVOC!$PZ$132</f>
        <v/>
      </c>
      <c r="AC857" s="17" t="n"/>
      <c r="AD857" s="90">
        <f>DADOS_INVOC!$QB$132</f>
        <v/>
      </c>
      <c r="AE857" s="16" t="n"/>
      <c r="AF857" s="17" t="n"/>
      <c r="AG857" s="125" t="n"/>
      <c r="AH857" s="90">
        <f>DADOS_INVOC!$PZ$133</f>
        <v/>
      </c>
      <c r="AI857" s="17" t="n"/>
      <c r="AJ857" s="90">
        <f>DADOS_INVOC!$QB$133</f>
        <v/>
      </c>
      <c r="AK857" s="16" t="n"/>
      <c r="AL857" s="17" t="n"/>
      <c r="AM857" s="125" t="n"/>
      <c r="AN857" s="90">
        <f>DADOS_INVOC!$PZ$134</f>
        <v/>
      </c>
      <c r="AO857" s="17" t="n"/>
      <c r="AP857" s="90">
        <f>DADOS_INVOC!$QB$134</f>
        <v/>
      </c>
      <c r="AQ857" s="16" t="n"/>
      <c r="AR857" s="17" t="n"/>
      <c r="AS857" s="125" t="n"/>
    </row>
    <row r="858" hidden="1" outlineLevel="1">
      <c r="A858" s="8" t="n"/>
      <c r="B858" s="14" t="n"/>
      <c r="C858" s="125" t="n"/>
      <c r="D858" s="125" t="n"/>
      <c r="E858" s="125" t="n"/>
      <c r="F858" s="125" t="n"/>
      <c r="G858" s="125" t="n"/>
      <c r="I858" s="133">
        <f>DADOS_INVOC!$QH$54</f>
        <v/>
      </c>
      <c r="J858" s="16" t="n"/>
      <c r="K858" s="16" t="n"/>
      <c r="L858" s="16" t="n"/>
      <c r="M858" s="17" t="n"/>
      <c r="N858" s="125" t="n"/>
      <c r="O858" s="133">
        <f>DADOS_INVOC!$QH$55</f>
        <v/>
      </c>
      <c r="P858" s="16" t="n"/>
      <c r="Q858" s="16" t="n"/>
      <c r="R858" s="16" t="n"/>
      <c r="S858" s="17" t="n"/>
      <c r="T858" s="125" t="n"/>
      <c r="U858" s="133">
        <f>DADOS_INVOC!$QH$56</f>
        <v/>
      </c>
      <c r="V858" s="16" t="n"/>
      <c r="W858" s="16" t="n"/>
      <c r="X858" s="16" t="n"/>
      <c r="Y858" s="17" t="n"/>
      <c r="Z858" s="125" t="n"/>
      <c r="AB858" s="133">
        <f>DADOS_INVOC!$QH$132</f>
        <v/>
      </c>
      <c r="AC858" s="16" t="n"/>
      <c r="AD858" s="16" t="n"/>
      <c r="AE858" s="16" t="n"/>
      <c r="AF858" s="17" t="n"/>
      <c r="AG858" s="125" t="n"/>
      <c r="AH858" s="133">
        <f>DADOS_INVOC!$QH$133</f>
        <v/>
      </c>
      <c r="AI858" s="16" t="n"/>
      <c r="AJ858" s="16" t="n"/>
      <c r="AK858" s="16" t="n"/>
      <c r="AL858" s="17" t="n"/>
      <c r="AM858" s="125" t="n"/>
      <c r="AN858" s="133">
        <f>DADOS_INVOC!$QH$134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DADOS_INVOC!$QK$54</f>
        <v/>
      </c>
      <c r="N859" s="125" t="n"/>
      <c r="O859" s="55" t="inlineStr">
        <is>
          <t>MELHORIAS</t>
        </is>
      </c>
      <c r="P859" s="134" t="n"/>
      <c r="Q859" s="16" t="n"/>
      <c r="R859" s="17" t="n"/>
      <c r="S859" s="133">
        <f>DADOS_INVOC!$QK$55</f>
        <v/>
      </c>
      <c r="T859" s="125" t="n"/>
      <c r="U859" s="55" t="inlineStr">
        <is>
          <t>MELHORIAS</t>
        </is>
      </c>
      <c r="V859" s="134" t="n"/>
      <c r="W859" s="16" t="n"/>
      <c r="X859" s="17" t="n"/>
      <c r="Y859" s="133">
        <f>DADOS_INVOC!$QK$56</f>
        <v/>
      </c>
      <c r="Z859" s="125" t="n"/>
      <c r="AB859" s="55" t="inlineStr">
        <is>
          <t>MELHORIAS</t>
        </is>
      </c>
      <c r="AC859" s="134" t="n"/>
      <c r="AD859" s="16" t="n"/>
      <c r="AE859" s="17" t="n"/>
      <c r="AF859" s="133">
        <f>DADOS_INVOC!$QK$132</f>
        <v/>
      </c>
      <c r="AG859" s="125" t="n"/>
      <c r="AH859" s="55" t="inlineStr">
        <is>
          <t>MELHORIAS</t>
        </is>
      </c>
      <c r="AI859" s="134" t="n"/>
      <c r="AJ859" s="16" t="n"/>
      <c r="AK859" s="17" t="n"/>
      <c r="AL859" s="133">
        <f>DADOS_INVOC!$QK$133</f>
        <v/>
      </c>
      <c r="AM859" s="125" t="n"/>
      <c r="AN859" s="55" t="inlineStr">
        <is>
          <t>MELHORIAS</t>
        </is>
      </c>
      <c r="AO859" s="134" t="n"/>
      <c r="AP859" s="16" t="n"/>
      <c r="AQ859" s="17" t="n"/>
      <c r="AR859" s="133">
        <f>DADOS_INVOC!$QK$134</f>
        <v/>
      </c>
      <c r="AS859" s="125" t="n"/>
    </row>
    <row r="860" hidden="1" outlineLevel="2">
      <c r="A860" s="8" t="n"/>
      <c r="B860" s="14" t="n"/>
      <c r="C860" s="125" t="n"/>
      <c r="D860" s="125" t="n"/>
      <c r="E860" s="125" t="n"/>
      <c r="F860" s="125" t="n"/>
      <c r="G860" s="125" t="n"/>
      <c r="I860" s="135" t="n"/>
      <c r="J860" s="134" t="n"/>
      <c r="K860" s="16" t="n"/>
      <c r="L860" s="17" t="n"/>
      <c r="M860" s="133">
        <f>DADOS_INVOC!$QL$54</f>
        <v/>
      </c>
      <c r="N860" s="125" t="n"/>
      <c r="O860" s="135" t="n"/>
      <c r="P860" s="134" t="n"/>
      <c r="Q860" s="16" t="n"/>
      <c r="R860" s="17" t="n"/>
      <c r="S860" s="133">
        <f>DADOS_INVOC!$QL$55</f>
        <v/>
      </c>
      <c r="T860" s="125" t="n"/>
      <c r="U860" s="135" t="n"/>
      <c r="V860" s="134" t="n"/>
      <c r="W860" s="16" t="n"/>
      <c r="X860" s="17" t="n"/>
      <c r="Y860" s="133">
        <f>DADOS_INVOC!$QL$56</f>
        <v/>
      </c>
      <c r="Z860" s="125" t="n"/>
      <c r="AB860" s="135" t="n"/>
      <c r="AC860" s="134" t="n"/>
      <c r="AD860" s="16" t="n"/>
      <c r="AE860" s="17" t="n"/>
      <c r="AF860" s="133">
        <f>DADOS_INVOC!$QL$132</f>
        <v/>
      </c>
      <c r="AG860" s="125" t="n"/>
      <c r="AH860" s="135" t="n"/>
      <c r="AI860" s="134" t="n"/>
      <c r="AJ860" s="16" t="n"/>
      <c r="AK860" s="17" t="n"/>
      <c r="AL860" s="133">
        <f>DADOS_INVOC!$QL$133</f>
        <v/>
      </c>
      <c r="AM860" s="125" t="n"/>
      <c r="AN860" s="135" t="n"/>
      <c r="AO860" s="134" t="n"/>
      <c r="AP860" s="16" t="n"/>
      <c r="AQ860" s="17" t="n"/>
      <c r="AR860" s="133">
        <f>DADOS_INVOC!$QL$134</f>
        <v/>
      </c>
      <c r="AS860" s="125" t="n"/>
    </row>
    <row r="861" hidden="1" outlineLevel="2">
      <c r="A861" s="8" t="n"/>
      <c r="B861" s="14" t="n"/>
      <c r="C861" s="125" t="n"/>
      <c r="D861" s="125" t="n"/>
      <c r="E861" s="125" t="n"/>
      <c r="F861" s="125" t="n"/>
      <c r="G861" s="125" t="n"/>
      <c r="I861" s="135" t="n"/>
      <c r="J861" s="134" t="n"/>
      <c r="K861" s="16" t="n"/>
      <c r="L861" s="17" t="n"/>
      <c r="M861" s="133">
        <f>DADOS_INVOC!$QM$54</f>
        <v/>
      </c>
      <c r="N861" s="125" t="n"/>
      <c r="O861" s="135" t="n"/>
      <c r="P861" s="134" t="n"/>
      <c r="Q861" s="16" t="n"/>
      <c r="R861" s="17" t="n"/>
      <c r="S861" s="133">
        <f>DADOS_INVOC!$QM$55</f>
        <v/>
      </c>
      <c r="T861" s="125" t="n"/>
      <c r="U861" s="135" t="n"/>
      <c r="V861" s="134" t="n"/>
      <c r="W861" s="16" t="n"/>
      <c r="X861" s="17" t="n"/>
      <c r="Y861" s="133">
        <f>DADOS_INVOC!$QM$56</f>
        <v/>
      </c>
      <c r="Z861" s="125" t="n"/>
      <c r="AB861" s="135" t="n"/>
      <c r="AC861" s="134" t="n"/>
      <c r="AD861" s="16" t="n"/>
      <c r="AE861" s="17" t="n"/>
      <c r="AF861" s="133">
        <f>DADOS_INVOC!$QM$132</f>
        <v/>
      </c>
      <c r="AG861" s="125" t="n"/>
      <c r="AH861" s="135" t="n"/>
      <c r="AI861" s="134" t="n"/>
      <c r="AJ861" s="16" t="n"/>
      <c r="AK861" s="17" t="n"/>
      <c r="AL861" s="133">
        <f>DADOS_INVOC!$QM$133</f>
        <v/>
      </c>
      <c r="AM861" s="125" t="n"/>
      <c r="AN861" s="135" t="n"/>
      <c r="AO861" s="134" t="n"/>
      <c r="AP861" s="16" t="n"/>
      <c r="AQ861" s="17" t="n"/>
      <c r="AR861" s="133">
        <f>DADOS_INVOC!$QM$134</f>
        <v/>
      </c>
      <c r="AS861" s="125" t="n"/>
    </row>
    <row r="862" hidden="1" outlineLevel="2">
      <c r="A862" s="8" t="n"/>
      <c r="B862" s="14" t="n"/>
      <c r="C862" s="125" t="n"/>
      <c r="D862" s="125" t="n"/>
      <c r="E862" s="125" t="n"/>
      <c r="F862" s="125" t="n"/>
      <c r="G862" s="125" t="n"/>
      <c r="I862" s="129" t="n"/>
      <c r="J862" s="134" t="n"/>
      <c r="K862" s="16" t="n"/>
      <c r="L862" s="17" t="n"/>
      <c r="M862" s="133">
        <f>DADOS_INVOC!$QN$54</f>
        <v/>
      </c>
      <c r="N862" s="125" t="n"/>
      <c r="O862" s="129" t="n"/>
      <c r="P862" s="134" t="n"/>
      <c r="Q862" s="16" t="n"/>
      <c r="R862" s="17" t="n"/>
      <c r="S862" s="133">
        <f>DADOS_INVOC!$QN$55</f>
        <v/>
      </c>
      <c r="T862" s="125" t="n"/>
      <c r="U862" s="129" t="n"/>
      <c r="V862" s="134" t="n"/>
      <c r="W862" s="16" t="n"/>
      <c r="X862" s="17" t="n"/>
      <c r="Y862" s="133">
        <f>DADOS_INVOC!$QN$56</f>
        <v/>
      </c>
      <c r="Z862" s="125" t="n"/>
      <c r="AB862" s="129" t="n"/>
      <c r="AC862" s="134" t="n"/>
      <c r="AD862" s="16" t="n"/>
      <c r="AE862" s="17" t="n"/>
      <c r="AF862" s="133">
        <f>DADOS_INVOC!$QN$132</f>
        <v/>
      </c>
      <c r="AG862" s="125" t="n"/>
      <c r="AH862" s="129" t="n"/>
      <c r="AI862" s="134" t="n"/>
      <c r="AJ862" s="16" t="n"/>
      <c r="AK862" s="17" t="n"/>
      <c r="AL862" s="133">
        <f>DADOS_INVOC!$QN$133</f>
        <v/>
      </c>
      <c r="AM862" s="125" t="n"/>
      <c r="AN862" s="129" t="n"/>
      <c r="AO862" s="134" t="n"/>
      <c r="AP862" s="16" t="n"/>
      <c r="AQ862" s="17" t="n"/>
      <c r="AR862" s="133">
        <f>DADOS_INVOC!$QN$134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DADOS_INVOC!$QO$54</f>
        <v/>
      </c>
      <c r="N863" s="125" t="n"/>
      <c r="O863" s="55" t="inlineStr">
        <is>
          <t>RESTRIÇÕES</t>
        </is>
      </c>
      <c r="P863" s="134" t="n"/>
      <c r="Q863" s="16" t="n"/>
      <c r="R863" s="17" t="n"/>
      <c r="S863" s="133">
        <f>DADOS_INVOC!$QO$55</f>
        <v/>
      </c>
      <c r="T863" s="125" t="n"/>
      <c r="U863" s="55" t="inlineStr">
        <is>
          <t>RESTRIÇÕES</t>
        </is>
      </c>
      <c r="V863" s="134" t="n"/>
      <c r="W863" s="16" t="n"/>
      <c r="X863" s="17" t="n"/>
      <c r="Y863" s="133">
        <f>DADOS_INVOC!$QO$56</f>
        <v/>
      </c>
      <c r="Z863" s="125" t="n"/>
      <c r="AB863" s="55" t="inlineStr">
        <is>
          <t>RESTRIÇÕES</t>
        </is>
      </c>
      <c r="AC863" s="134" t="n"/>
      <c r="AD863" s="16" t="n"/>
      <c r="AE863" s="17" t="n"/>
      <c r="AF863" s="133">
        <f>DADOS_INVOC!$QO$132</f>
        <v/>
      </c>
      <c r="AG863" s="125" t="n"/>
      <c r="AH863" s="55" t="inlineStr">
        <is>
          <t>RESTRIÇÕES</t>
        </is>
      </c>
      <c r="AI863" s="134" t="n"/>
      <c r="AJ863" s="16" t="n"/>
      <c r="AK863" s="17" t="n"/>
      <c r="AL863" s="133">
        <f>DADOS_INVOC!$QO$133</f>
        <v/>
      </c>
      <c r="AM863" s="125" t="n"/>
      <c r="AN863" s="55" t="inlineStr">
        <is>
          <t>RESTRIÇÕES</t>
        </is>
      </c>
      <c r="AO863" s="134" t="n"/>
      <c r="AP863" s="16" t="n"/>
      <c r="AQ863" s="17" t="n"/>
      <c r="AR863" s="133">
        <f>DADOS_INVOC!$QO$134</f>
        <v/>
      </c>
      <c r="AS863" s="125" t="n"/>
    </row>
    <row r="864" hidden="1" outlineLevel="2">
      <c r="A864" s="8" t="n"/>
      <c r="B864" s="14" t="n"/>
      <c r="C864" s="125" t="n"/>
      <c r="D864" s="125" t="n"/>
      <c r="E864" s="125" t="n"/>
      <c r="F864" s="125" t="n"/>
      <c r="G864" s="125" t="n"/>
      <c r="I864" s="129" t="n"/>
      <c r="J864" s="134" t="n"/>
      <c r="K864" s="16" t="n"/>
      <c r="L864" s="17" t="n"/>
      <c r="M864" s="133">
        <f>DADOS_INVOC!$QP$54</f>
        <v/>
      </c>
      <c r="N864" s="125" t="n"/>
      <c r="O864" s="129" t="n"/>
      <c r="P864" s="134" t="n"/>
      <c r="Q864" s="16" t="n"/>
      <c r="R864" s="17" t="n"/>
      <c r="S864" s="133">
        <f>DADOS_INVOC!$QP$55</f>
        <v/>
      </c>
      <c r="T864" s="125" t="n"/>
      <c r="U864" s="129" t="n"/>
      <c r="V864" s="134" t="n"/>
      <c r="W864" s="16" t="n"/>
      <c r="X864" s="17" t="n"/>
      <c r="Y864" s="133">
        <f>DADOS_INVOC!$QP$56</f>
        <v/>
      </c>
      <c r="Z864" s="125" t="n"/>
      <c r="AB864" s="129" t="n"/>
      <c r="AC864" s="134" t="n"/>
      <c r="AD864" s="16" t="n"/>
      <c r="AE864" s="17" t="n"/>
      <c r="AF864" s="133">
        <f>DADOS_INVOC!$QP$132</f>
        <v/>
      </c>
      <c r="AG864" s="125" t="n"/>
      <c r="AH864" s="129" t="n"/>
      <c r="AI864" s="134" t="n"/>
      <c r="AJ864" s="16" t="n"/>
      <c r="AK864" s="17" t="n"/>
      <c r="AL864" s="133">
        <f>DADOS_INVOC!$QP$133</f>
        <v/>
      </c>
      <c r="AM864" s="125" t="n"/>
      <c r="AN864" s="129" t="n"/>
      <c r="AO864" s="134" t="n"/>
      <c r="AP864" s="16" t="n"/>
      <c r="AQ864" s="17" t="n"/>
      <c r="AR864" s="133">
        <f>DADOS_INVOC!$QP$134</f>
        <v/>
      </c>
      <c r="AS864" s="125" t="n"/>
    </row>
    <row r="865" hidden="1" outlineLevel="2">
      <c r="A865" s="8" t="n"/>
      <c r="B865" s="14" t="n"/>
      <c r="C865" s="125" t="n"/>
      <c r="D865" s="125" t="n"/>
      <c r="E865" s="125" t="n"/>
      <c r="F865" s="125" t="n"/>
      <c r="G865" s="125" t="n"/>
      <c r="I865" s="55" t="inlineStr">
        <is>
          <t>CONTA</t>
        </is>
      </c>
      <c r="J865" s="136">
        <f>DADOS_INVOC!$QI$54</f>
        <v/>
      </c>
      <c r="K865" s="16" t="n"/>
      <c r="L865" s="16" t="n"/>
      <c r="M865" s="17" t="n"/>
      <c r="N865" s="125" t="n"/>
      <c r="O865" s="55" t="inlineStr">
        <is>
          <t>CONTA</t>
        </is>
      </c>
      <c r="P865" s="136">
        <f>DADOS_INVOC!$QI$55</f>
        <v/>
      </c>
      <c r="Q865" s="16" t="n"/>
      <c r="R865" s="16" t="n"/>
      <c r="S865" s="17" t="n"/>
      <c r="T865" s="125" t="n"/>
      <c r="U865" s="55" t="inlineStr">
        <is>
          <t>CONTA</t>
        </is>
      </c>
      <c r="V865" s="136">
        <f>DADOS_INVOC!$QI$56</f>
        <v/>
      </c>
      <c r="W865" s="16" t="n"/>
      <c r="X865" s="16" t="n"/>
      <c r="Y865" s="17" t="n"/>
      <c r="Z865" s="125" t="n"/>
      <c r="AB865" s="55" t="inlineStr">
        <is>
          <t>CONTA</t>
        </is>
      </c>
      <c r="AC865" s="136">
        <f>DADOS_INVOC!$QI$132</f>
        <v/>
      </c>
      <c r="AD865" s="16" t="n"/>
      <c r="AE865" s="16" t="n"/>
      <c r="AF865" s="17" t="n"/>
      <c r="AG865" s="125" t="n"/>
      <c r="AH865" s="55" t="inlineStr">
        <is>
          <t>CONTA</t>
        </is>
      </c>
      <c r="AI865" s="136">
        <f>DADOS_INVOC!$QI$133</f>
        <v/>
      </c>
      <c r="AJ865" s="16" t="n"/>
      <c r="AK865" s="16" t="n"/>
      <c r="AL865" s="17" t="n"/>
      <c r="AM865" s="125" t="n"/>
      <c r="AN865" s="55" t="inlineStr">
        <is>
          <t>CONTA</t>
        </is>
      </c>
      <c r="AO865" s="136">
        <f>DADOS_INVOC!$QI$134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DADOS_INVOC!$QJ$54</f>
        <v/>
      </c>
      <c r="K866" s="19" t="n"/>
      <c r="L866" s="19" t="n"/>
      <c r="M866" s="20" t="n"/>
      <c r="N866" s="125" t="n"/>
      <c r="O866" s="55" t="inlineStr">
        <is>
          <t>AMPLIAR</t>
        </is>
      </c>
      <c r="P866" s="136">
        <f>DADOS_INVOC!$QJ$55</f>
        <v/>
      </c>
      <c r="Q866" s="19" t="n"/>
      <c r="R866" s="19" t="n"/>
      <c r="S866" s="20" t="n"/>
      <c r="T866" s="125" t="n"/>
      <c r="U866" s="55" t="inlineStr">
        <is>
          <t>AMPLIAR</t>
        </is>
      </c>
      <c r="V866" s="136">
        <f>DADOS_INVOC!$QJ$56</f>
        <v/>
      </c>
      <c r="W866" s="19" t="n"/>
      <c r="X866" s="19" t="n"/>
      <c r="Y866" s="20" t="n"/>
      <c r="Z866" s="125" t="n"/>
      <c r="AB866" s="55" t="inlineStr">
        <is>
          <t>AMPLIAR</t>
        </is>
      </c>
      <c r="AC866" s="136">
        <f>DADOS_INVOC!$QJ$132</f>
        <v/>
      </c>
      <c r="AD866" s="19" t="n"/>
      <c r="AE866" s="19" t="n"/>
      <c r="AF866" s="20" t="n"/>
      <c r="AG866" s="125" t="n"/>
      <c r="AH866" s="55" t="inlineStr">
        <is>
          <t>AMPLIAR</t>
        </is>
      </c>
      <c r="AI866" s="136">
        <f>DADOS_INVOC!$QJ$133</f>
        <v/>
      </c>
      <c r="AJ866" s="19" t="n"/>
      <c r="AK866" s="19" t="n"/>
      <c r="AL866" s="20" t="n"/>
      <c r="AM866" s="125" t="n"/>
      <c r="AN866" s="55" t="inlineStr">
        <is>
          <t>AMPLIAR</t>
        </is>
      </c>
      <c r="AO866" s="136">
        <f>DADOS_INVOC!$QJ$134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DADOS_INVOC!$PW$54</f>
        <v/>
      </c>
      <c r="J868" s="19" t="n"/>
      <c r="K868" s="19" t="n"/>
      <c r="L868" s="19" t="n"/>
      <c r="M868" s="20" t="n"/>
      <c r="N868" s="125" t="n"/>
      <c r="O868" s="136">
        <f>DADOS_INVOC!$PW$55</f>
        <v/>
      </c>
      <c r="P868" s="19" t="n"/>
      <c r="Q868" s="19" t="n"/>
      <c r="R868" s="19" t="n"/>
      <c r="S868" s="20" t="n"/>
      <c r="T868" s="125" t="n"/>
      <c r="U868" s="136">
        <f>DADOS_INVOC!$PW$56</f>
        <v/>
      </c>
      <c r="V868" s="19" t="n"/>
      <c r="W868" s="19" t="n"/>
      <c r="X868" s="19" t="n"/>
      <c r="Y868" s="20" t="n"/>
      <c r="Z868" s="125" t="n"/>
      <c r="AB868" s="136">
        <f>DADOS_INVOC!$PW$132</f>
        <v/>
      </c>
      <c r="AC868" s="19" t="n"/>
      <c r="AD868" s="19" t="n"/>
      <c r="AE868" s="19" t="n"/>
      <c r="AF868" s="20" t="n"/>
      <c r="AG868" s="125" t="n"/>
      <c r="AH868" s="136">
        <f>DADOS_INVOC!$PW$133</f>
        <v/>
      </c>
      <c r="AI868" s="19" t="n"/>
      <c r="AJ868" s="19" t="n"/>
      <c r="AK868" s="19" t="n"/>
      <c r="AL868" s="20" t="n"/>
      <c r="AM868" s="125" t="n"/>
      <c r="AN868" s="136">
        <f>DADOS_INVOC!$PW$134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DADOS_INVOC!$PX$57</f>
        <v/>
      </c>
      <c r="J883" s="16" t="n"/>
      <c r="K883" s="16" t="n"/>
      <c r="L883" s="16" t="n"/>
      <c r="M883" s="17" t="n"/>
      <c r="N883" s="125" t="n"/>
      <c r="O883" s="55">
        <f>DADOS_INVOC!$PX$58</f>
        <v/>
      </c>
      <c r="P883" s="16" t="n"/>
      <c r="Q883" s="16" t="n"/>
      <c r="R883" s="16" t="n"/>
      <c r="S883" s="17" t="n"/>
      <c r="T883" s="125" t="n"/>
      <c r="U883" s="55">
        <f>DADOS_INVOC!$PX$59</f>
        <v/>
      </c>
      <c r="V883" s="16" t="n"/>
      <c r="W883" s="16" t="n"/>
      <c r="X883" s="16" t="n"/>
      <c r="Y883" s="17" t="n"/>
      <c r="Z883" s="125" t="n"/>
      <c r="AB883" s="55">
        <f>DADOS_INVOC!$PX$135</f>
        <v/>
      </c>
      <c r="AC883" s="16" t="n"/>
      <c r="AD883" s="16" t="n"/>
      <c r="AE883" s="16" t="n"/>
      <c r="AF883" s="17" t="n"/>
      <c r="AG883" s="125" t="n"/>
      <c r="AH883" s="55">
        <f>DADOS_INVOC!$PX$136</f>
        <v/>
      </c>
      <c r="AI883" s="16" t="n"/>
      <c r="AJ883" s="16" t="n"/>
      <c r="AK883" s="16" t="n"/>
      <c r="AL883" s="17" t="n"/>
      <c r="AM883" s="125" t="n"/>
      <c r="AN883" s="55">
        <f>DADOS_INVOC!$PX$137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DADOS_INVOC!$PV$57</f>
        <v/>
      </c>
      <c r="N884" s="125" t="n"/>
      <c r="O884" s="131" t="n">
        <v>1</v>
      </c>
      <c r="P884" s="120" t="n"/>
      <c r="Q884" s="16" t="n"/>
      <c r="R884" s="17" t="n"/>
      <c r="S884" s="132">
        <f>DADOS_INVOC!$PV$58</f>
        <v/>
      </c>
      <c r="T884" s="125" t="n"/>
      <c r="U884" s="131" t="n">
        <v>1</v>
      </c>
      <c r="V884" s="120" t="n"/>
      <c r="W884" s="16" t="n"/>
      <c r="X884" s="17" t="n"/>
      <c r="Y884" s="132">
        <f>DADOS_INVOC!$PV$59</f>
        <v/>
      </c>
      <c r="Z884" s="125" t="n"/>
      <c r="AB884" s="131" t="n">
        <v>0</v>
      </c>
      <c r="AC884" s="120" t="n"/>
      <c r="AD884" s="16" t="n"/>
      <c r="AE884" s="17" t="n"/>
      <c r="AF884" s="132">
        <f>DADOS_INVOC!$PV$135</f>
        <v/>
      </c>
      <c r="AG884" s="125" t="n"/>
      <c r="AH884" s="131" t="n">
        <v>1</v>
      </c>
      <c r="AI884" s="120" t="n"/>
      <c r="AJ884" s="16" t="n"/>
      <c r="AK884" s="17" t="n"/>
      <c r="AL884" s="132">
        <f>DADOS_INVOC!$PV$136</f>
        <v/>
      </c>
      <c r="AM884" s="125" t="n"/>
      <c r="AN884" s="131" t="n">
        <v>1</v>
      </c>
      <c r="AO884" s="120" t="n"/>
      <c r="AP884" s="16" t="n"/>
      <c r="AQ884" s="17" t="n"/>
      <c r="AR884" s="132">
        <f>DADOS_INVOC!$PV$137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90" t="inlineStr">
        <is>
          <t>Projétil</t>
        </is>
      </c>
      <c r="J889" s="17" t="n"/>
      <c r="K889" s="68">
        <f>DADOS_INVOC!$QC$57</f>
        <v/>
      </c>
      <c r="L889" s="17" t="n"/>
      <c r="M889" s="68">
        <f>DADOS_INVOC!$PY$57</f>
        <v/>
      </c>
      <c r="N889" s="125" t="n"/>
      <c r="O889" s="90" t="inlineStr">
        <is>
          <t>Projétil</t>
        </is>
      </c>
      <c r="P889" s="17" t="n"/>
      <c r="Q889" s="68">
        <f>DADOS_INVOC!$QC$58</f>
        <v/>
      </c>
      <c r="R889" s="17" t="n"/>
      <c r="S889" s="68">
        <f>DADOS_INVOC!$PY$58</f>
        <v/>
      </c>
      <c r="T889" s="125" t="n"/>
      <c r="U889" s="90" t="inlineStr">
        <is>
          <t>Projétil</t>
        </is>
      </c>
      <c r="V889" s="17" t="n"/>
      <c r="W889" s="68">
        <f>DADOS_INVOC!$QC$59</f>
        <v/>
      </c>
      <c r="X889" s="17" t="n"/>
      <c r="Y889" s="68">
        <f>DADOS_INVOC!$PY$59</f>
        <v/>
      </c>
      <c r="Z889" s="125" t="n"/>
      <c r="AB889" s="90" t="inlineStr">
        <is>
          <t>Projétil</t>
        </is>
      </c>
      <c r="AC889" s="17" t="n"/>
      <c r="AD889" s="68">
        <f>DADOS_INVOC!$QC$135</f>
        <v/>
      </c>
      <c r="AE889" s="17" t="n"/>
      <c r="AF889" s="68">
        <f>DADOS_INVOC!$PY$135</f>
        <v/>
      </c>
      <c r="AG889" s="125" t="n"/>
      <c r="AH889" s="90" t="inlineStr">
        <is>
          <t>Projétil</t>
        </is>
      </c>
      <c r="AI889" s="17" t="n"/>
      <c r="AJ889" s="68">
        <f>DADOS_INVOC!$QC$136</f>
        <v/>
      </c>
      <c r="AK889" s="17" t="n"/>
      <c r="AL889" s="68">
        <f>DADOS_INVOC!$PY$136</f>
        <v/>
      </c>
      <c r="AM889" s="125" t="n"/>
      <c r="AN889" s="90" t="inlineStr">
        <is>
          <t>Projétil</t>
        </is>
      </c>
      <c r="AO889" s="17" t="n"/>
      <c r="AP889" s="68">
        <f>DADOS_INVOC!$QC$137</f>
        <v/>
      </c>
      <c r="AQ889" s="17" t="n"/>
      <c r="AR889" s="68">
        <f>DADOS_INVOC!$PY$137</f>
        <v/>
      </c>
      <c r="AS889" s="125" t="n"/>
    </row>
    <row r="890" hidden="1" outlineLevel="2">
      <c r="A890" s="8" t="n"/>
      <c r="B890" s="14" t="n"/>
      <c r="C890" s="125" t="n"/>
      <c r="D890" s="125" t="n"/>
      <c r="E890" s="125" t="n"/>
      <c r="F890" s="125" t="n"/>
      <c r="G890" s="125" t="n"/>
      <c r="I890" s="90" t="n"/>
      <c r="J890" s="17" t="n"/>
      <c r="K890" s="90" t="n"/>
      <c r="L890" s="16" t="n"/>
      <c r="M890" s="17" t="n"/>
      <c r="N890" s="125" t="n"/>
      <c r="O890" s="90" t="n"/>
      <c r="P890" s="17" t="n"/>
      <c r="Q890" s="90" t="n"/>
      <c r="R890" s="16" t="n"/>
      <c r="S890" s="17" t="n"/>
      <c r="T890" s="125" t="n"/>
      <c r="U890" s="90" t="n"/>
      <c r="V890" s="17" t="n"/>
      <c r="W890" s="90" t="n"/>
      <c r="X890" s="16" t="n"/>
      <c r="Y890" s="17" t="n"/>
      <c r="Z890" s="125" t="n"/>
      <c r="AB890" s="90" t="n"/>
      <c r="AC890" s="17" t="n"/>
      <c r="AD890" s="90" t="n"/>
      <c r="AE890" s="16" t="n"/>
      <c r="AF890" s="17" t="n"/>
      <c r="AG890" s="125" t="n"/>
      <c r="AH890" s="90" t="n"/>
      <c r="AI890" s="17" t="n"/>
      <c r="AJ890" s="90" t="n"/>
      <c r="AK890" s="16" t="n"/>
      <c r="AL890" s="17" t="n"/>
      <c r="AM890" s="125" t="n"/>
      <c r="AN890" s="90" t="n"/>
      <c r="AO890" s="17" t="n"/>
      <c r="AP890" s="90" t="n"/>
      <c r="AQ890" s="16" t="n"/>
      <c r="AR890" s="17" t="n"/>
      <c r="AS890" s="125" t="n"/>
    </row>
    <row r="891" hidden="1" outlineLevel="2">
      <c r="A891" s="8" t="n"/>
      <c r="B891" s="14" t="n"/>
      <c r="C891" s="125" t="n"/>
      <c r="D891" s="125" t="n"/>
      <c r="E891" s="125" t="n"/>
      <c r="F891" s="125" t="n"/>
      <c r="G891" s="125" t="n"/>
      <c r="I891" s="90">
        <f>DADOS_INVOC!$PZ$57</f>
        <v/>
      </c>
      <c r="J891" s="17" t="n"/>
      <c r="K891" s="90">
        <f>DADOS_INVOC!$QB$57</f>
        <v/>
      </c>
      <c r="L891" s="16" t="n"/>
      <c r="M891" s="17" t="n"/>
      <c r="N891" s="125" t="n"/>
      <c r="O891" s="90">
        <f>DADOS_INVOC!$PZ$58</f>
        <v/>
      </c>
      <c r="P891" s="17" t="n"/>
      <c r="Q891" s="90">
        <f>DADOS_INVOC!$QB$58</f>
        <v/>
      </c>
      <c r="R891" s="16" t="n"/>
      <c r="S891" s="17" t="n"/>
      <c r="T891" s="125" t="n"/>
      <c r="U891" s="90">
        <f>DADOS_INVOC!$PZ$59</f>
        <v/>
      </c>
      <c r="V891" s="17" t="n"/>
      <c r="W891" s="90">
        <f>DADOS_INVOC!$QB$59</f>
        <v/>
      </c>
      <c r="X891" s="16" t="n"/>
      <c r="Y891" s="17" t="n"/>
      <c r="Z891" s="125" t="n"/>
      <c r="AB891" s="90">
        <f>DADOS_INVOC!$PZ$135</f>
        <v/>
      </c>
      <c r="AC891" s="17" t="n"/>
      <c r="AD891" s="90">
        <f>DADOS_INVOC!$QB$135</f>
        <v/>
      </c>
      <c r="AE891" s="16" t="n"/>
      <c r="AF891" s="17" t="n"/>
      <c r="AG891" s="125" t="n"/>
      <c r="AH891" s="90">
        <f>DADOS_INVOC!$PZ$136</f>
        <v/>
      </c>
      <c r="AI891" s="17" t="n"/>
      <c r="AJ891" s="90">
        <f>DADOS_INVOC!$QB$136</f>
        <v/>
      </c>
      <c r="AK891" s="16" t="n"/>
      <c r="AL891" s="17" t="n"/>
      <c r="AM891" s="125" t="n"/>
      <c r="AN891" s="90">
        <f>DADOS_INVOC!$PZ$137</f>
        <v/>
      </c>
      <c r="AO891" s="17" t="n"/>
      <c r="AP891" s="90">
        <f>DADOS_INVOC!$QB$137</f>
        <v/>
      </c>
      <c r="AQ891" s="16" t="n"/>
      <c r="AR891" s="17" t="n"/>
      <c r="AS891" s="125" t="n"/>
    </row>
    <row r="892" hidden="1" outlineLevel="2">
      <c r="A892" s="8" t="n"/>
      <c r="B892" s="14" t="n"/>
      <c r="C892" s="125" t="n"/>
      <c r="D892" s="125" t="n"/>
      <c r="E892" s="125" t="n"/>
      <c r="F892" s="125" t="n"/>
      <c r="G892" s="125" t="n"/>
      <c r="I892" s="133">
        <f>DADOS_INVOC!$QH$57</f>
        <v/>
      </c>
      <c r="J892" s="16" t="n"/>
      <c r="K892" s="16" t="n"/>
      <c r="L892" s="16" t="n"/>
      <c r="M892" s="17" t="n"/>
      <c r="N892" s="125" t="n"/>
      <c r="O892" s="133">
        <f>DADOS_INVOC!$QH$58</f>
        <v/>
      </c>
      <c r="P892" s="16" t="n"/>
      <c r="Q892" s="16" t="n"/>
      <c r="R892" s="16" t="n"/>
      <c r="S892" s="17" t="n"/>
      <c r="T892" s="125" t="n"/>
      <c r="U892" s="133">
        <f>DADOS_INVOC!$QH$59</f>
        <v/>
      </c>
      <c r="V892" s="16" t="n"/>
      <c r="W892" s="16" t="n"/>
      <c r="X892" s="16" t="n"/>
      <c r="Y892" s="17" t="n"/>
      <c r="Z892" s="125" t="n"/>
      <c r="AB892" s="133">
        <f>DADOS_INVOC!$QH$135</f>
        <v/>
      </c>
      <c r="AC892" s="16" t="n"/>
      <c r="AD892" s="16" t="n"/>
      <c r="AE892" s="16" t="n"/>
      <c r="AF892" s="17" t="n"/>
      <c r="AG892" s="125" t="n"/>
      <c r="AH892" s="133">
        <f>DADOS_INVOC!$QH$136</f>
        <v/>
      </c>
      <c r="AI892" s="16" t="n"/>
      <c r="AJ892" s="16" t="n"/>
      <c r="AK892" s="16" t="n"/>
      <c r="AL892" s="17" t="n"/>
      <c r="AM892" s="125" t="n"/>
      <c r="AN892" s="133">
        <f>DADOS_INVOC!$QH$137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DADOS_INVOC!$QK$57</f>
        <v/>
      </c>
      <c r="N893" s="125" t="n"/>
      <c r="O893" s="55" t="inlineStr">
        <is>
          <t>MELHORIAS</t>
        </is>
      </c>
      <c r="P893" s="134" t="n"/>
      <c r="Q893" s="16" t="n"/>
      <c r="R893" s="17" t="n"/>
      <c r="S893" s="133">
        <f>DADOS_INVOC!$QK$58</f>
        <v/>
      </c>
      <c r="T893" s="125" t="n"/>
      <c r="U893" s="55" t="inlineStr">
        <is>
          <t>MELHORIAS</t>
        </is>
      </c>
      <c r="V893" s="134" t="n"/>
      <c r="W893" s="16" t="n"/>
      <c r="X893" s="17" t="n"/>
      <c r="Y893" s="133">
        <f>DADOS_INVOC!$QK$59</f>
        <v/>
      </c>
      <c r="Z893" s="125" t="n"/>
      <c r="AB893" s="55" t="inlineStr">
        <is>
          <t>MELHORIAS</t>
        </is>
      </c>
      <c r="AC893" s="134" t="n"/>
      <c r="AD893" s="16" t="n"/>
      <c r="AE893" s="17" t="n"/>
      <c r="AF893" s="133">
        <f>DADOS_INVOC!$QK$135</f>
        <v/>
      </c>
      <c r="AG893" s="125" t="n"/>
      <c r="AH893" s="55" t="inlineStr">
        <is>
          <t>MELHORIAS</t>
        </is>
      </c>
      <c r="AI893" s="134" t="n"/>
      <c r="AJ893" s="16" t="n"/>
      <c r="AK893" s="17" t="n"/>
      <c r="AL893" s="133">
        <f>DADOS_INVOC!$QK$136</f>
        <v/>
      </c>
      <c r="AM893" s="125" t="n"/>
      <c r="AN893" s="55" t="inlineStr">
        <is>
          <t>MELHORIAS</t>
        </is>
      </c>
      <c r="AO893" s="134" t="n"/>
      <c r="AP893" s="16" t="n"/>
      <c r="AQ893" s="17" t="n"/>
      <c r="AR893" s="133">
        <f>DADOS_INVOC!$QK$137</f>
        <v/>
      </c>
      <c r="AS893" s="125" t="n"/>
    </row>
    <row r="894" hidden="1" outlineLevel="3">
      <c r="A894" s="8" t="n"/>
      <c r="B894" s="14" t="n"/>
      <c r="C894" s="125" t="n"/>
      <c r="D894" s="125" t="n"/>
      <c r="E894" s="125" t="n"/>
      <c r="F894" s="125" t="n"/>
      <c r="G894" s="125" t="n"/>
      <c r="I894" s="135" t="n"/>
      <c r="J894" s="134" t="n"/>
      <c r="K894" s="16" t="n"/>
      <c r="L894" s="17" t="n"/>
      <c r="M894" s="133">
        <f>DADOS_INVOC!$QL$57</f>
        <v/>
      </c>
      <c r="N894" s="125" t="n"/>
      <c r="O894" s="135" t="n"/>
      <c r="P894" s="134" t="n"/>
      <c r="Q894" s="16" t="n"/>
      <c r="R894" s="17" t="n"/>
      <c r="S894" s="133">
        <f>DADOS_INVOC!$QL$58</f>
        <v/>
      </c>
      <c r="T894" s="125" t="n"/>
      <c r="U894" s="135" t="n"/>
      <c r="V894" s="134" t="n"/>
      <c r="W894" s="16" t="n"/>
      <c r="X894" s="17" t="n"/>
      <c r="Y894" s="133">
        <f>DADOS_INVOC!$QL$59</f>
        <v/>
      </c>
      <c r="Z894" s="125" t="n"/>
      <c r="AB894" s="135" t="n"/>
      <c r="AC894" s="134" t="n"/>
      <c r="AD894" s="16" t="n"/>
      <c r="AE894" s="17" t="n"/>
      <c r="AF894" s="133">
        <f>DADOS_INVOC!$QL$135</f>
        <v/>
      </c>
      <c r="AG894" s="125" t="n"/>
      <c r="AH894" s="135" t="n"/>
      <c r="AI894" s="134" t="n"/>
      <c r="AJ894" s="16" t="n"/>
      <c r="AK894" s="17" t="n"/>
      <c r="AL894" s="133">
        <f>DADOS_INVOC!$QL$136</f>
        <v/>
      </c>
      <c r="AM894" s="125" t="n"/>
      <c r="AN894" s="135" t="n"/>
      <c r="AO894" s="134" t="n"/>
      <c r="AP894" s="16" t="n"/>
      <c r="AQ894" s="17" t="n"/>
      <c r="AR894" s="133">
        <f>DADOS_INVOC!$QL$137</f>
        <v/>
      </c>
      <c r="AS894" s="125" t="n"/>
    </row>
    <row r="895" hidden="1" outlineLevel="3">
      <c r="A895" s="8" t="n"/>
      <c r="B895" s="14" t="n"/>
      <c r="C895" s="125" t="n"/>
      <c r="D895" s="125" t="n"/>
      <c r="E895" s="125" t="n"/>
      <c r="F895" s="125" t="n"/>
      <c r="G895" s="125" t="n"/>
      <c r="I895" s="135" t="n"/>
      <c r="J895" s="134" t="n"/>
      <c r="K895" s="16" t="n"/>
      <c r="L895" s="17" t="n"/>
      <c r="M895" s="133">
        <f>DADOS_INVOC!$QM$57</f>
        <v/>
      </c>
      <c r="N895" s="125" t="n"/>
      <c r="O895" s="135" t="n"/>
      <c r="P895" s="134" t="n"/>
      <c r="Q895" s="16" t="n"/>
      <c r="R895" s="17" t="n"/>
      <c r="S895" s="133">
        <f>DADOS_INVOC!$QM$58</f>
        <v/>
      </c>
      <c r="T895" s="125" t="n"/>
      <c r="U895" s="135" t="n"/>
      <c r="V895" s="134" t="n"/>
      <c r="W895" s="16" t="n"/>
      <c r="X895" s="17" t="n"/>
      <c r="Y895" s="133">
        <f>DADOS_INVOC!$QM$59</f>
        <v/>
      </c>
      <c r="Z895" s="125" t="n"/>
      <c r="AB895" s="135" t="n"/>
      <c r="AC895" s="134" t="n"/>
      <c r="AD895" s="16" t="n"/>
      <c r="AE895" s="17" t="n"/>
      <c r="AF895" s="133">
        <f>DADOS_INVOC!$QM$135</f>
        <v/>
      </c>
      <c r="AG895" s="125" t="n"/>
      <c r="AH895" s="135" t="n"/>
      <c r="AI895" s="134" t="n"/>
      <c r="AJ895" s="16" t="n"/>
      <c r="AK895" s="17" t="n"/>
      <c r="AL895" s="133">
        <f>DADOS_INVOC!$QM$136</f>
        <v/>
      </c>
      <c r="AM895" s="125" t="n"/>
      <c r="AN895" s="135" t="n"/>
      <c r="AO895" s="134" t="n"/>
      <c r="AP895" s="16" t="n"/>
      <c r="AQ895" s="17" t="n"/>
      <c r="AR895" s="133">
        <f>DADOS_INVOC!$QM$137</f>
        <v/>
      </c>
      <c r="AS895" s="125" t="n"/>
    </row>
    <row r="896" hidden="1" outlineLevel="3">
      <c r="A896" s="8" t="n"/>
      <c r="B896" s="14" t="n"/>
      <c r="C896" s="125" t="n"/>
      <c r="D896" s="125" t="n"/>
      <c r="E896" s="125" t="n"/>
      <c r="F896" s="125" t="n"/>
      <c r="G896" s="125" t="n"/>
      <c r="I896" s="129" t="n"/>
      <c r="J896" s="134" t="n"/>
      <c r="K896" s="16" t="n"/>
      <c r="L896" s="17" t="n"/>
      <c r="M896" s="133">
        <f>DADOS_INVOC!$QN$57</f>
        <v/>
      </c>
      <c r="N896" s="125" t="n"/>
      <c r="O896" s="129" t="n"/>
      <c r="P896" s="134" t="n"/>
      <c r="Q896" s="16" t="n"/>
      <c r="R896" s="17" t="n"/>
      <c r="S896" s="133">
        <f>DADOS_INVOC!$QN$58</f>
        <v/>
      </c>
      <c r="T896" s="125" t="n"/>
      <c r="U896" s="129" t="n"/>
      <c r="V896" s="134" t="n"/>
      <c r="W896" s="16" t="n"/>
      <c r="X896" s="17" t="n"/>
      <c r="Y896" s="133">
        <f>DADOS_INVOC!$QN$59</f>
        <v/>
      </c>
      <c r="Z896" s="125" t="n"/>
      <c r="AB896" s="129" t="n"/>
      <c r="AC896" s="134" t="n"/>
      <c r="AD896" s="16" t="n"/>
      <c r="AE896" s="17" t="n"/>
      <c r="AF896" s="133">
        <f>DADOS_INVOC!$QN$135</f>
        <v/>
      </c>
      <c r="AG896" s="125" t="n"/>
      <c r="AH896" s="129" t="n"/>
      <c r="AI896" s="134" t="n"/>
      <c r="AJ896" s="16" t="n"/>
      <c r="AK896" s="17" t="n"/>
      <c r="AL896" s="133">
        <f>DADOS_INVOC!$QN$136</f>
        <v/>
      </c>
      <c r="AM896" s="125" t="n"/>
      <c r="AN896" s="129" t="n"/>
      <c r="AO896" s="134" t="n"/>
      <c r="AP896" s="16" t="n"/>
      <c r="AQ896" s="17" t="n"/>
      <c r="AR896" s="133">
        <f>DADOS_INVOC!$QN$137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DADOS_INVOC!$QO$57</f>
        <v/>
      </c>
      <c r="N897" s="125" t="n"/>
      <c r="O897" s="55" t="inlineStr">
        <is>
          <t>RESTRIÇÕES</t>
        </is>
      </c>
      <c r="P897" s="134" t="n"/>
      <c r="Q897" s="16" t="n"/>
      <c r="R897" s="17" t="n"/>
      <c r="S897" s="133">
        <f>DADOS_INVOC!$QO$58</f>
        <v/>
      </c>
      <c r="T897" s="125" t="n"/>
      <c r="U897" s="55" t="inlineStr">
        <is>
          <t>RESTRIÇÕES</t>
        </is>
      </c>
      <c r="V897" s="134" t="n"/>
      <c r="W897" s="16" t="n"/>
      <c r="X897" s="17" t="n"/>
      <c r="Y897" s="133">
        <f>DADOS_INVOC!$QO$59</f>
        <v/>
      </c>
      <c r="Z897" s="125" t="n"/>
      <c r="AB897" s="55" t="inlineStr">
        <is>
          <t>RESTRIÇÕES</t>
        </is>
      </c>
      <c r="AC897" s="134" t="n"/>
      <c r="AD897" s="16" t="n"/>
      <c r="AE897" s="17" t="n"/>
      <c r="AF897" s="133">
        <f>DADOS_INVOC!$QO$135</f>
        <v/>
      </c>
      <c r="AG897" s="125" t="n"/>
      <c r="AH897" s="55" t="inlineStr">
        <is>
          <t>RESTRIÇÕES</t>
        </is>
      </c>
      <c r="AI897" s="134" t="n"/>
      <c r="AJ897" s="16" t="n"/>
      <c r="AK897" s="17" t="n"/>
      <c r="AL897" s="133">
        <f>DADOS_INVOC!$QO$136</f>
        <v/>
      </c>
      <c r="AM897" s="125" t="n"/>
      <c r="AN897" s="55" t="inlineStr">
        <is>
          <t>RESTRIÇÕES</t>
        </is>
      </c>
      <c r="AO897" s="134" t="n"/>
      <c r="AP897" s="16" t="n"/>
      <c r="AQ897" s="17" t="n"/>
      <c r="AR897" s="133">
        <f>DADOS_INVOC!$QO$137</f>
        <v/>
      </c>
      <c r="AS897" s="125" t="n"/>
    </row>
    <row r="898" hidden="1" outlineLevel="3">
      <c r="A898" s="8" t="n"/>
      <c r="B898" s="14" t="n"/>
      <c r="C898" s="125" t="n"/>
      <c r="D898" s="125" t="n"/>
      <c r="E898" s="125" t="n"/>
      <c r="F898" s="125" t="n"/>
      <c r="G898" s="125" t="n"/>
      <c r="I898" s="129" t="n"/>
      <c r="J898" s="134" t="n"/>
      <c r="K898" s="16" t="n"/>
      <c r="L898" s="17" t="n"/>
      <c r="M898" s="133">
        <f>DADOS_INVOC!$QP$57</f>
        <v/>
      </c>
      <c r="N898" s="125" t="n"/>
      <c r="O898" s="129" t="n"/>
      <c r="P898" s="134" t="n"/>
      <c r="Q898" s="16" t="n"/>
      <c r="R898" s="17" t="n"/>
      <c r="S898" s="133">
        <f>DADOS_INVOC!$QP$58</f>
        <v/>
      </c>
      <c r="T898" s="125" t="n"/>
      <c r="U898" s="129" t="n"/>
      <c r="V898" s="134" t="n"/>
      <c r="W898" s="16" t="n"/>
      <c r="X898" s="17" t="n"/>
      <c r="Y898" s="133">
        <f>DADOS_INVOC!$QP$59</f>
        <v/>
      </c>
      <c r="Z898" s="125" t="n"/>
      <c r="AB898" s="129" t="n"/>
      <c r="AC898" s="134" t="n"/>
      <c r="AD898" s="16" t="n"/>
      <c r="AE898" s="17" t="n"/>
      <c r="AF898" s="133">
        <f>DADOS_INVOC!$QP$135</f>
        <v/>
      </c>
      <c r="AG898" s="125" t="n"/>
      <c r="AH898" s="129" t="n"/>
      <c r="AI898" s="134" t="n"/>
      <c r="AJ898" s="16" t="n"/>
      <c r="AK898" s="17" t="n"/>
      <c r="AL898" s="133">
        <f>DADOS_INVOC!$QP$136</f>
        <v/>
      </c>
      <c r="AM898" s="125" t="n"/>
      <c r="AN898" s="129" t="n"/>
      <c r="AO898" s="134" t="n"/>
      <c r="AP898" s="16" t="n"/>
      <c r="AQ898" s="17" t="n"/>
      <c r="AR898" s="133">
        <f>DADOS_INVOC!$QP$137</f>
        <v/>
      </c>
      <c r="AS898" s="125" t="n"/>
    </row>
    <row r="899" hidden="1" outlineLevel="3">
      <c r="A899" s="8" t="n"/>
      <c r="B899" s="14" t="n"/>
      <c r="C899" s="125" t="n"/>
      <c r="D899" s="125" t="n"/>
      <c r="E899" s="125" t="n"/>
      <c r="F899" s="125" t="n"/>
      <c r="G899" s="125" t="n"/>
      <c r="I899" s="55" t="inlineStr">
        <is>
          <t>CONTA</t>
        </is>
      </c>
      <c r="J899" s="136">
        <f>DADOS_INVOC!$QI$57</f>
        <v/>
      </c>
      <c r="K899" s="16" t="n"/>
      <c r="L899" s="16" t="n"/>
      <c r="M899" s="17" t="n"/>
      <c r="N899" s="125" t="n"/>
      <c r="O899" s="55" t="inlineStr">
        <is>
          <t>CONTA</t>
        </is>
      </c>
      <c r="P899" s="136">
        <f>DADOS_INVOC!$QI$58</f>
        <v/>
      </c>
      <c r="Q899" s="16" t="n"/>
      <c r="R899" s="16" t="n"/>
      <c r="S899" s="17" t="n"/>
      <c r="T899" s="125" t="n"/>
      <c r="U899" s="55" t="inlineStr">
        <is>
          <t>CONTA</t>
        </is>
      </c>
      <c r="V899" s="136">
        <f>DADOS_INVOC!$QI$59</f>
        <v/>
      </c>
      <c r="W899" s="16" t="n"/>
      <c r="X899" s="16" t="n"/>
      <c r="Y899" s="17" t="n"/>
      <c r="Z899" s="125" t="n"/>
      <c r="AB899" s="55" t="inlineStr">
        <is>
          <t>CONTA</t>
        </is>
      </c>
      <c r="AC899" s="136">
        <f>DADOS_INVOC!$QI$135</f>
        <v/>
      </c>
      <c r="AD899" s="16" t="n"/>
      <c r="AE899" s="16" t="n"/>
      <c r="AF899" s="17" t="n"/>
      <c r="AG899" s="125" t="n"/>
      <c r="AH899" s="55" t="inlineStr">
        <is>
          <t>CONTA</t>
        </is>
      </c>
      <c r="AI899" s="136">
        <f>DADOS_INVOC!$QI$136</f>
        <v/>
      </c>
      <c r="AJ899" s="16" t="n"/>
      <c r="AK899" s="16" t="n"/>
      <c r="AL899" s="17" t="n"/>
      <c r="AM899" s="125" t="n"/>
      <c r="AN899" s="55" t="inlineStr">
        <is>
          <t>CONTA</t>
        </is>
      </c>
      <c r="AO899" s="136">
        <f>DADOS_INVOC!$QI$137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DADOS_INVOC!$QJ$57</f>
        <v/>
      </c>
      <c r="K900" s="19" t="n"/>
      <c r="L900" s="19" t="n"/>
      <c r="M900" s="20" t="n"/>
      <c r="N900" s="125" t="n"/>
      <c r="O900" s="55" t="inlineStr">
        <is>
          <t>AMPLIAR</t>
        </is>
      </c>
      <c r="P900" s="136">
        <f>DADOS_INVOC!$QJ$58</f>
        <v/>
      </c>
      <c r="Q900" s="19" t="n"/>
      <c r="R900" s="19" t="n"/>
      <c r="S900" s="20" t="n"/>
      <c r="T900" s="125" t="n"/>
      <c r="U900" s="55" t="inlineStr">
        <is>
          <t>AMPLIAR</t>
        </is>
      </c>
      <c r="V900" s="136">
        <f>DADOS_INVOC!$QJ$59</f>
        <v/>
      </c>
      <c r="W900" s="19" t="n"/>
      <c r="X900" s="19" t="n"/>
      <c r="Y900" s="20" t="n"/>
      <c r="Z900" s="125" t="n"/>
      <c r="AB900" s="55" t="inlineStr">
        <is>
          <t>AMPLIAR</t>
        </is>
      </c>
      <c r="AC900" s="136">
        <f>DADOS_INVOC!$QJ$135</f>
        <v/>
      </c>
      <c r="AD900" s="19" t="n"/>
      <c r="AE900" s="19" t="n"/>
      <c r="AF900" s="20" t="n"/>
      <c r="AG900" s="125" t="n"/>
      <c r="AH900" s="55" t="inlineStr">
        <is>
          <t>AMPLIAR</t>
        </is>
      </c>
      <c r="AI900" s="136">
        <f>DADOS_INVOC!$QJ$136</f>
        <v/>
      </c>
      <c r="AJ900" s="19" t="n"/>
      <c r="AK900" s="19" t="n"/>
      <c r="AL900" s="20" t="n"/>
      <c r="AM900" s="125" t="n"/>
      <c r="AN900" s="55" t="inlineStr">
        <is>
          <t>AMPLIAR</t>
        </is>
      </c>
      <c r="AO900" s="136">
        <f>DADOS_INVOC!$QJ$137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DADOS_INVOC!$PW$57</f>
        <v/>
      </c>
      <c r="J902" s="19" t="n"/>
      <c r="K902" s="19" t="n"/>
      <c r="L902" s="19" t="n"/>
      <c r="M902" s="20" t="n"/>
      <c r="N902" s="125" t="n"/>
      <c r="O902" s="136">
        <f>DADOS_INVOC!$PW$58</f>
        <v/>
      </c>
      <c r="P902" s="19" t="n"/>
      <c r="Q902" s="19" t="n"/>
      <c r="R902" s="19" t="n"/>
      <c r="S902" s="20" t="n"/>
      <c r="T902" s="125" t="n"/>
      <c r="U902" s="136">
        <f>DADOS_INVOC!$PW$59</f>
        <v/>
      </c>
      <c r="V902" s="19" t="n"/>
      <c r="W902" s="19" t="n"/>
      <c r="X902" s="19" t="n"/>
      <c r="Y902" s="20" t="n"/>
      <c r="Z902" s="125" t="n"/>
      <c r="AB902" s="136">
        <f>DADOS_INVOC!$PW$135</f>
        <v/>
      </c>
      <c r="AC902" s="19" t="n"/>
      <c r="AD902" s="19" t="n"/>
      <c r="AE902" s="19" t="n"/>
      <c r="AF902" s="20" t="n"/>
      <c r="AG902" s="125" t="n"/>
      <c r="AH902" s="136">
        <f>DADOS_INVOC!$PW$136</f>
        <v/>
      </c>
      <c r="AI902" s="19" t="n"/>
      <c r="AJ902" s="19" t="n"/>
      <c r="AK902" s="19" t="n"/>
      <c r="AL902" s="20" t="n"/>
      <c r="AM902" s="125" t="n"/>
      <c r="AN902" s="136">
        <f>DADOS_INVOC!$PW$137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DADOS_INVOC!$PX$60</f>
        <v/>
      </c>
      <c r="J905" s="16" t="n"/>
      <c r="K905" s="16" t="n"/>
      <c r="L905" s="16" t="n"/>
      <c r="M905" s="17" t="n"/>
      <c r="N905" s="125" t="n"/>
      <c r="O905" s="55">
        <f>DADOS_INVOC!$PX$61</f>
        <v/>
      </c>
      <c r="P905" s="16" t="n"/>
      <c r="Q905" s="16" t="n"/>
      <c r="R905" s="16" t="n"/>
      <c r="S905" s="17" t="n"/>
      <c r="T905" s="125" t="n"/>
      <c r="U905" s="55">
        <f>DADOS_INVOC!$PX$62</f>
        <v/>
      </c>
      <c r="V905" s="16" t="n"/>
      <c r="W905" s="16" t="n"/>
      <c r="X905" s="16" t="n"/>
      <c r="Y905" s="17" t="n"/>
      <c r="Z905" s="125" t="n"/>
      <c r="AB905" s="55">
        <f>DADOS_INVOC!$PX$138</f>
        <v/>
      </c>
      <c r="AC905" s="16" t="n"/>
      <c r="AD905" s="16" t="n"/>
      <c r="AE905" s="16" t="n"/>
      <c r="AF905" s="17" t="n"/>
      <c r="AG905" s="125" t="n"/>
      <c r="AH905" s="55">
        <f>DADOS_INVOC!$PX$139</f>
        <v/>
      </c>
      <c r="AI905" s="16" t="n"/>
      <c r="AJ905" s="16" t="n"/>
      <c r="AK905" s="16" t="n"/>
      <c r="AL905" s="17" t="n"/>
      <c r="AM905" s="125" t="n"/>
      <c r="AN905" s="55">
        <f>DADOS_INVOC!$PX$140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DADOS_INVOC!$PV$60</f>
        <v/>
      </c>
      <c r="N906" s="125" t="n"/>
      <c r="O906" s="131" t="n">
        <v>1</v>
      </c>
      <c r="P906" s="120" t="n"/>
      <c r="Q906" s="16" t="n"/>
      <c r="R906" s="17" t="n"/>
      <c r="S906" s="132">
        <f>DADOS_INVOC!$PV$61</f>
        <v/>
      </c>
      <c r="T906" s="125" t="n"/>
      <c r="U906" s="131" t="n">
        <v>1</v>
      </c>
      <c r="V906" s="120" t="n"/>
      <c r="W906" s="16" t="n"/>
      <c r="X906" s="17" t="n"/>
      <c r="Y906" s="132">
        <f>DADOS_INVOC!$PV$62</f>
        <v/>
      </c>
      <c r="Z906" s="125" t="n"/>
      <c r="AB906" s="131" t="n">
        <v>1</v>
      </c>
      <c r="AC906" s="120" t="n"/>
      <c r="AD906" s="16" t="n"/>
      <c r="AE906" s="17" t="n"/>
      <c r="AF906" s="132">
        <f>DADOS_INVOC!$PV$138</f>
        <v/>
      </c>
      <c r="AG906" s="125" t="n"/>
      <c r="AH906" s="131" t="n">
        <v>1</v>
      </c>
      <c r="AI906" s="120" t="n"/>
      <c r="AJ906" s="16" t="n"/>
      <c r="AK906" s="17" t="n"/>
      <c r="AL906" s="132">
        <f>DADOS_INVOC!$PV$139</f>
        <v/>
      </c>
      <c r="AM906" s="125" t="n"/>
      <c r="AN906" s="131" t="n">
        <v>1</v>
      </c>
      <c r="AO906" s="120" t="n"/>
      <c r="AP906" s="16" t="n"/>
      <c r="AQ906" s="17" t="n"/>
      <c r="AR906" s="132">
        <f>DADOS_INVOC!$PV$140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90" t="inlineStr">
        <is>
          <t>Projétil</t>
        </is>
      </c>
      <c r="J911" s="17" t="n"/>
      <c r="K911" s="68">
        <f>DADOS_INVOC!$QC$60</f>
        <v/>
      </c>
      <c r="L911" s="17" t="n"/>
      <c r="M911" s="68">
        <f>DADOS_INVOC!$PY$60</f>
        <v/>
      </c>
      <c r="N911" s="125" t="n"/>
      <c r="O911" s="90" t="inlineStr">
        <is>
          <t>Projétil</t>
        </is>
      </c>
      <c r="P911" s="17" t="n"/>
      <c r="Q911" s="68">
        <f>DADOS_INVOC!$QC$61</f>
        <v/>
      </c>
      <c r="R911" s="17" t="n"/>
      <c r="S911" s="68">
        <f>DADOS_INVOC!$PY$61</f>
        <v/>
      </c>
      <c r="T911" s="125" t="n"/>
      <c r="U911" s="90" t="inlineStr">
        <is>
          <t>Projétil</t>
        </is>
      </c>
      <c r="V911" s="17" t="n"/>
      <c r="W911" s="68">
        <f>DADOS_INVOC!$QC$62</f>
        <v/>
      </c>
      <c r="X911" s="17" t="n"/>
      <c r="Y911" s="68">
        <f>DADOS_INVOC!$PY$62</f>
        <v/>
      </c>
      <c r="Z911" s="125" t="n"/>
      <c r="AB911" s="90" t="inlineStr">
        <is>
          <t>Projétil</t>
        </is>
      </c>
      <c r="AC911" s="17" t="n"/>
      <c r="AD911" s="68">
        <f>DADOS_INVOC!$QC$138</f>
        <v/>
      </c>
      <c r="AE911" s="17" t="n"/>
      <c r="AF911" s="68">
        <f>DADOS_INVOC!$PY$138</f>
        <v/>
      </c>
      <c r="AG911" s="125" t="n"/>
      <c r="AH911" s="90" t="inlineStr">
        <is>
          <t>Projétil</t>
        </is>
      </c>
      <c r="AI911" s="17" t="n"/>
      <c r="AJ911" s="68">
        <f>DADOS_INVOC!$QC$139</f>
        <v/>
      </c>
      <c r="AK911" s="17" t="n"/>
      <c r="AL911" s="68">
        <f>DADOS_INVOC!$PY$139</f>
        <v/>
      </c>
      <c r="AM911" s="125" t="n"/>
      <c r="AN911" s="90" t="inlineStr">
        <is>
          <t>Projétil</t>
        </is>
      </c>
      <c r="AO911" s="17" t="n"/>
      <c r="AP911" s="68">
        <f>DADOS_INVOC!$QC$140</f>
        <v/>
      </c>
      <c r="AQ911" s="17" t="n"/>
      <c r="AR911" s="68">
        <f>DADOS_INVOC!$PY$140</f>
        <v/>
      </c>
      <c r="AS911" s="125" t="n"/>
    </row>
    <row r="912" hidden="1" outlineLevel="2">
      <c r="A912" s="8" t="n"/>
      <c r="B912" s="14" t="n"/>
      <c r="C912" s="125" t="n"/>
      <c r="D912" s="125" t="n"/>
      <c r="E912" s="125" t="n"/>
      <c r="F912" s="125" t="n"/>
      <c r="G912" s="125" t="n"/>
      <c r="I912" s="90" t="n"/>
      <c r="J912" s="17" t="n"/>
      <c r="K912" s="90" t="n"/>
      <c r="L912" s="16" t="n"/>
      <c r="M912" s="17" t="n"/>
      <c r="N912" s="125" t="n"/>
      <c r="O912" s="90" t="n"/>
      <c r="P912" s="17" t="n"/>
      <c r="Q912" s="90" t="n"/>
      <c r="R912" s="16" t="n"/>
      <c r="S912" s="17" t="n"/>
      <c r="T912" s="125" t="n"/>
      <c r="U912" s="90" t="n"/>
      <c r="V912" s="17" t="n"/>
      <c r="W912" s="90" t="n"/>
      <c r="X912" s="16" t="n"/>
      <c r="Y912" s="17" t="n"/>
      <c r="Z912" s="125" t="n"/>
      <c r="AB912" s="90" t="n"/>
      <c r="AC912" s="17" t="n"/>
      <c r="AD912" s="90" t="n"/>
      <c r="AE912" s="16" t="n"/>
      <c r="AF912" s="17" t="n"/>
      <c r="AG912" s="125" t="n"/>
      <c r="AH912" s="90" t="n"/>
      <c r="AI912" s="17" t="n"/>
      <c r="AJ912" s="90" t="n"/>
      <c r="AK912" s="16" t="n"/>
      <c r="AL912" s="17" t="n"/>
      <c r="AM912" s="125" t="n"/>
      <c r="AN912" s="90" t="n"/>
      <c r="AO912" s="17" t="n"/>
      <c r="AP912" s="90" t="n"/>
      <c r="AQ912" s="16" t="n"/>
      <c r="AR912" s="17" t="n"/>
      <c r="AS912" s="125" t="n"/>
    </row>
    <row r="913" hidden="1" outlineLevel="2">
      <c r="A913" s="8" t="n"/>
      <c r="B913" s="14" t="n"/>
      <c r="C913" s="125" t="n"/>
      <c r="D913" s="125" t="n"/>
      <c r="E913" s="125" t="n"/>
      <c r="F913" s="125" t="n"/>
      <c r="G913" s="125" t="n"/>
      <c r="I913" s="90">
        <f>DADOS_INVOC!$PZ$60</f>
        <v/>
      </c>
      <c r="J913" s="17" t="n"/>
      <c r="K913" s="90">
        <f>DADOS_INVOC!$QB$60</f>
        <v/>
      </c>
      <c r="L913" s="16" t="n"/>
      <c r="M913" s="17" t="n"/>
      <c r="N913" s="125" t="n"/>
      <c r="O913" s="90">
        <f>DADOS_INVOC!$PZ$61</f>
        <v/>
      </c>
      <c r="P913" s="17" t="n"/>
      <c r="Q913" s="90">
        <f>DADOS_INVOC!$QB$61</f>
        <v/>
      </c>
      <c r="R913" s="16" t="n"/>
      <c r="S913" s="17" t="n"/>
      <c r="T913" s="125" t="n"/>
      <c r="U913" s="90">
        <f>DADOS_INVOC!$PZ$62</f>
        <v/>
      </c>
      <c r="V913" s="17" t="n"/>
      <c r="W913" s="90">
        <f>DADOS_INVOC!$QB$62</f>
        <v/>
      </c>
      <c r="X913" s="16" t="n"/>
      <c r="Y913" s="17" t="n"/>
      <c r="Z913" s="125" t="n"/>
      <c r="AB913" s="90">
        <f>DADOS_INVOC!$PZ$138</f>
        <v/>
      </c>
      <c r="AC913" s="17" t="n"/>
      <c r="AD913" s="90">
        <f>DADOS_INVOC!$QB$138</f>
        <v/>
      </c>
      <c r="AE913" s="16" t="n"/>
      <c r="AF913" s="17" t="n"/>
      <c r="AG913" s="125" t="n"/>
      <c r="AH913" s="90">
        <f>DADOS_INVOC!$PZ$139</f>
        <v/>
      </c>
      <c r="AI913" s="17" t="n"/>
      <c r="AJ913" s="90">
        <f>DADOS_INVOC!$QB$139</f>
        <v/>
      </c>
      <c r="AK913" s="16" t="n"/>
      <c r="AL913" s="17" t="n"/>
      <c r="AM913" s="125" t="n"/>
      <c r="AN913" s="90">
        <f>DADOS_INVOC!$PZ$140</f>
        <v/>
      </c>
      <c r="AO913" s="17" t="n"/>
      <c r="AP913" s="90">
        <f>DADOS_INVOC!$QB$140</f>
        <v/>
      </c>
      <c r="AQ913" s="16" t="n"/>
      <c r="AR913" s="17" t="n"/>
      <c r="AS913" s="125" t="n"/>
    </row>
    <row r="914" hidden="1" outlineLevel="2">
      <c r="A914" s="8" t="n"/>
      <c r="B914" s="14" t="n"/>
      <c r="C914" s="125" t="n"/>
      <c r="D914" s="125" t="n"/>
      <c r="E914" s="125" t="n"/>
      <c r="F914" s="125" t="n"/>
      <c r="G914" s="125" t="n"/>
      <c r="I914" s="133">
        <f>DADOS_INVOC!$QH$60</f>
        <v/>
      </c>
      <c r="J914" s="16" t="n"/>
      <c r="K914" s="16" t="n"/>
      <c r="L914" s="16" t="n"/>
      <c r="M914" s="17" t="n"/>
      <c r="N914" s="125" t="n"/>
      <c r="O914" s="133">
        <f>DADOS_INVOC!$QH$61</f>
        <v/>
      </c>
      <c r="P914" s="16" t="n"/>
      <c r="Q914" s="16" t="n"/>
      <c r="R914" s="16" t="n"/>
      <c r="S914" s="17" t="n"/>
      <c r="T914" s="125" t="n"/>
      <c r="U914" s="133">
        <f>DADOS_INVOC!$QH$62</f>
        <v/>
      </c>
      <c r="V914" s="16" t="n"/>
      <c r="W914" s="16" t="n"/>
      <c r="X914" s="16" t="n"/>
      <c r="Y914" s="17" t="n"/>
      <c r="Z914" s="125" t="n"/>
      <c r="AB914" s="133">
        <f>DADOS_INVOC!$QH$138</f>
        <v/>
      </c>
      <c r="AC914" s="16" t="n"/>
      <c r="AD914" s="16" t="n"/>
      <c r="AE914" s="16" t="n"/>
      <c r="AF914" s="17" t="n"/>
      <c r="AG914" s="125" t="n"/>
      <c r="AH914" s="133">
        <f>DADOS_INVOC!$QH$139</f>
        <v/>
      </c>
      <c r="AI914" s="16" t="n"/>
      <c r="AJ914" s="16" t="n"/>
      <c r="AK914" s="16" t="n"/>
      <c r="AL914" s="17" t="n"/>
      <c r="AM914" s="125" t="n"/>
      <c r="AN914" s="133">
        <f>DADOS_INVOC!$QH$140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DADOS_INVOC!$QK$60</f>
        <v/>
      </c>
      <c r="N915" s="125" t="n"/>
      <c r="O915" s="55" t="inlineStr">
        <is>
          <t>MELHORIAS</t>
        </is>
      </c>
      <c r="P915" s="134" t="n"/>
      <c r="Q915" s="16" t="n"/>
      <c r="R915" s="17" t="n"/>
      <c r="S915" s="133">
        <f>DADOS_INVOC!$QK$61</f>
        <v/>
      </c>
      <c r="T915" s="125" t="n"/>
      <c r="U915" s="55" t="inlineStr">
        <is>
          <t>MELHORIAS</t>
        </is>
      </c>
      <c r="V915" s="134" t="n"/>
      <c r="W915" s="16" t="n"/>
      <c r="X915" s="17" t="n"/>
      <c r="Y915" s="133">
        <f>DADOS_INVOC!$QK$62</f>
        <v/>
      </c>
      <c r="Z915" s="125" t="n"/>
      <c r="AB915" s="55" t="inlineStr">
        <is>
          <t>MELHORIAS</t>
        </is>
      </c>
      <c r="AC915" s="134" t="n"/>
      <c r="AD915" s="16" t="n"/>
      <c r="AE915" s="17" t="n"/>
      <c r="AF915" s="133">
        <f>DADOS_INVOC!$QK$138</f>
        <v/>
      </c>
      <c r="AG915" s="125" t="n"/>
      <c r="AH915" s="55" t="inlineStr">
        <is>
          <t>MELHORIAS</t>
        </is>
      </c>
      <c r="AI915" s="134" t="n"/>
      <c r="AJ915" s="16" t="n"/>
      <c r="AK915" s="17" t="n"/>
      <c r="AL915" s="133">
        <f>DADOS_INVOC!$QK$139</f>
        <v/>
      </c>
      <c r="AM915" s="125" t="n"/>
      <c r="AN915" s="55" t="inlineStr">
        <is>
          <t>MELHORIAS</t>
        </is>
      </c>
      <c r="AO915" s="134" t="n"/>
      <c r="AP915" s="16" t="n"/>
      <c r="AQ915" s="17" t="n"/>
      <c r="AR915" s="133">
        <f>DADOS_INVOC!$QK$140</f>
        <v/>
      </c>
      <c r="AS915" s="125" t="n"/>
    </row>
    <row r="916" hidden="1" outlineLevel="3">
      <c r="A916" s="8" t="n"/>
      <c r="B916" s="14" t="n"/>
      <c r="C916" s="125" t="n"/>
      <c r="D916" s="125" t="n"/>
      <c r="E916" s="125" t="n"/>
      <c r="F916" s="125" t="n"/>
      <c r="G916" s="125" t="n"/>
      <c r="I916" s="135" t="n"/>
      <c r="J916" s="134" t="n"/>
      <c r="K916" s="16" t="n"/>
      <c r="L916" s="17" t="n"/>
      <c r="M916" s="133">
        <f>DADOS_INVOC!$QL$60</f>
        <v/>
      </c>
      <c r="N916" s="125" t="n"/>
      <c r="O916" s="135" t="n"/>
      <c r="P916" s="134" t="n"/>
      <c r="Q916" s="16" t="n"/>
      <c r="R916" s="17" t="n"/>
      <c r="S916" s="133">
        <f>DADOS_INVOC!$QL$61</f>
        <v/>
      </c>
      <c r="T916" s="125" t="n"/>
      <c r="U916" s="135" t="n"/>
      <c r="V916" s="134" t="n"/>
      <c r="W916" s="16" t="n"/>
      <c r="X916" s="17" t="n"/>
      <c r="Y916" s="133">
        <f>DADOS_INVOC!$QL$62</f>
        <v/>
      </c>
      <c r="Z916" s="125" t="n"/>
      <c r="AB916" s="135" t="n"/>
      <c r="AC916" s="134" t="n"/>
      <c r="AD916" s="16" t="n"/>
      <c r="AE916" s="17" t="n"/>
      <c r="AF916" s="133">
        <f>DADOS_INVOC!$QL$138</f>
        <v/>
      </c>
      <c r="AG916" s="125" t="n"/>
      <c r="AH916" s="135" t="n"/>
      <c r="AI916" s="134" t="n"/>
      <c r="AJ916" s="16" t="n"/>
      <c r="AK916" s="17" t="n"/>
      <c r="AL916" s="133">
        <f>DADOS_INVOC!$QL$139</f>
        <v/>
      </c>
      <c r="AM916" s="125" t="n"/>
      <c r="AN916" s="135" t="n"/>
      <c r="AO916" s="134" t="n"/>
      <c r="AP916" s="16" t="n"/>
      <c r="AQ916" s="17" t="n"/>
      <c r="AR916" s="133">
        <f>DADOS_INVOC!$QL$140</f>
        <v/>
      </c>
      <c r="AS916" s="125" t="n"/>
    </row>
    <row r="917" hidden="1" outlineLevel="3">
      <c r="A917" s="8" t="n"/>
      <c r="B917" s="14" t="n"/>
      <c r="C917" s="125" t="n"/>
      <c r="D917" s="125" t="n"/>
      <c r="E917" s="125" t="n"/>
      <c r="F917" s="125" t="n"/>
      <c r="G917" s="125" t="n"/>
      <c r="I917" s="135" t="n"/>
      <c r="J917" s="134" t="n"/>
      <c r="K917" s="16" t="n"/>
      <c r="L917" s="17" t="n"/>
      <c r="M917" s="133">
        <f>DADOS_INVOC!$QM$60</f>
        <v/>
      </c>
      <c r="N917" s="125" t="n"/>
      <c r="O917" s="135" t="n"/>
      <c r="P917" s="134" t="n"/>
      <c r="Q917" s="16" t="n"/>
      <c r="R917" s="17" t="n"/>
      <c r="S917" s="133">
        <f>DADOS_INVOC!$QM$61</f>
        <v/>
      </c>
      <c r="T917" s="125" t="n"/>
      <c r="U917" s="135" t="n"/>
      <c r="V917" s="134" t="n"/>
      <c r="W917" s="16" t="n"/>
      <c r="X917" s="17" t="n"/>
      <c r="Y917" s="133">
        <f>DADOS_INVOC!$QM$62</f>
        <v/>
      </c>
      <c r="Z917" s="125" t="n"/>
      <c r="AB917" s="135" t="n"/>
      <c r="AC917" s="134" t="n"/>
      <c r="AD917" s="16" t="n"/>
      <c r="AE917" s="17" t="n"/>
      <c r="AF917" s="133">
        <f>DADOS_INVOC!$QM$138</f>
        <v/>
      </c>
      <c r="AG917" s="125" t="n"/>
      <c r="AH917" s="135" t="n"/>
      <c r="AI917" s="134" t="n"/>
      <c r="AJ917" s="16" t="n"/>
      <c r="AK917" s="17" t="n"/>
      <c r="AL917" s="133">
        <f>DADOS_INVOC!$QM$139</f>
        <v/>
      </c>
      <c r="AM917" s="125" t="n"/>
      <c r="AN917" s="135" t="n"/>
      <c r="AO917" s="134" t="n"/>
      <c r="AP917" s="16" t="n"/>
      <c r="AQ917" s="17" t="n"/>
      <c r="AR917" s="133">
        <f>DADOS_INVOC!$QM$140</f>
        <v/>
      </c>
      <c r="AS917" s="125" t="n"/>
    </row>
    <row r="918" hidden="1" outlineLevel="3">
      <c r="A918" s="8" t="n"/>
      <c r="B918" s="14" t="n"/>
      <c r="C918" s="125" t="n"/>
      <c r="D918" s="125" t="n"/>
      <c r="E918" s="125" t="n"/>
      <c r="F918" s="125" t="n"/>
      <c r="G918" s="125" t="n"/>
      <c r="I918" s="129" t="n"/>
      <c r="J918" s="134" t="n"/>
      <c r="K918" s="16" t="n"/>
      <c r="L918" s="17" t="n"/>
      <c r="M918" s="133">
        <f>DADOS_INVOC!$QN$60</f>
        <v/>
      </c>
      <c r="N918" s="125" t="n"/>
      <c r="O918" s="129" t="n"/>
      <c r="P918" s="134" t="n"/>
      <c r="Q918" s="16" t="n"/>
      <c r="R918" s="17" t="n"/>
      <c r="S918" s="133">
        <f>DADOS_INVOC!$QN$61</f>
        <v/>
      </c>
      <c r="T918" s="125" t="n"/>
      <c r="U918" s="129" t="n"/>
      <c r="V918" s="134" t="n"/>
      <c r="W918" s="16" t="n"/>
      <c r="X918" s="17" t="n"/>
      <c r="Y918" s="133">
        <f>DADOS_INVOC!$QN$62</f>
        <v/>
      </c>
      <c r="Z918" s="125" t="n"/>
      <c r="AB918" s="129" t="n"/>
      <c r="AC918" s="134" t="n"/>
      <c r="AD918" s="16" t="n"/>
      <c r="AE918" s="17" t="n"/>
      <c r="AF918" s="133">
        <f>DADOS_INVOC!$QN$138</f>
        <v/>
      </c>
      <c r="AG918" s="125" t="n"/>
      <c r="AH918" s="129" t="n"/>
      <c r="AI918" s="134" t="n"/>
      <c r="AJ918" s="16" t="n"/>
      <c r="AK918" s="17" t="n"/>
      <c r="AL918" s="133">
        <f>DADOS_INVOC!$QN$139</f>
        <v/>
      </c>
      <c r="AM918" s="125" t="n"/>
      <c r="AN918" s="129" t="n"/>
      <c r="AO918" s="134" t="n"/>
      <c r="AP918" s="16" t="n"/>
      <c r="AQ918" s="17" t="n"/>
      <c r="AR918" s="133">
        <f>DADOS_INVOC!$QN$140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DADOS_INVOC!$QO$60</f>
        <v/>
      </c>
      <c r="N919" s="125" t="n"/>
      <c r="O919" s="55" t="inlineStr">
        <is>
          <t>RESTRIÇÕES</t>
        </is>
      </c>
      <c r="P919" s="134" t="n"/>
      <c r="Q919" s="16" t="n"/>
      <c r="R919" s="17" t="n"/>
      <c r="S919" s="133">
        <f>DADOS_INVOC!$QO$61</f>
        <v/>
      </c>
      <c r="T919" s="125" t="n"/>
      <c r="U919" s="55" t="inlineStr">
        <is>
          <t>RESTRIÇÕES</t>
        </is>
      </c>
      <c r="V919" s="134" t="n"/>
      <c r="W919" s="16" t="n"/>
      <c r="X919" s="17" t="n"/>
      <c r="Y919" s="133">
        <f>DADOS_INVOC!$QO$62</f>
        <v/>
      </c>
      <c r="Z919" s="125" t="n"/>
      <c r="AB919" s="55" t="inlineStr">
        <is>
          <t>RESTRIÇÕES</t>
        </is>
      </c>
      <c r="AC919" s="134" t="n"/>
      <c r="AD919" s="16" t="n"/>
      <c r="AE919" s="17" t="n"/>
      <c r="AF919" s="133">
        <f>DADOS_INVOC!$QO$138</f>
        <v/>
      </c>
      <c r="AG919" s="125" t="n"/>
      <c r="AH919" s="55" t="inlineStr">
        <is>
          <t>RESTRIÇÕES</t>
        </is>
      </c>
      <c r="AI919" s="134" t="n"/>
      <c r="AJ919" s="16" t="n"/>
      <c r="AK919" s="17" t="n"/>
      <c r="AL919" s="133">
        <f>DADOS_INVOC!$QO$139</f>
        <v/>
      </c>
      <c r="AM919" s="125" t="n"/>
      <c r="AN919" s="55" t="inlineStr">
        <is>
          <t>RESTRIÇÕES</t>
        </is>
      </c>
      <c r="AO919" s="134" t="n"/>
      <c r="AP919" s="16" t="n"/>
      <c r="AQ919" s="17" t="n"/>
      <c r="AR919" s="133">
        <f>DADOS_INVOC!$QO$140</f>
        <v/>
      </c>
      <c r="AS919" s="125" t="n"/>
    </row>
    <row r="920" hidden="1" outlineLevel="3">
      <c r="A920" s="8" t="n"/>
      <c r="B920" s="14" t="n"/>
      <c r="C920" s="125" t="n"/>
      <c r="D920" s="125" t="n"/>
      <c r="E920" s="125" t="n"/>
      <c r="F920" s="125" t="n"/>
      <c r="G920" s="125" t="n"/>
      <c r="I920" s="129" t="n"/>
      <c r="J920" s="134" t="n"/>
      <c r="K920" s="16" t="n"/>
      <c r="L920" s="17" t="n"/>
      <c r="M920" s="133">
        <f>DADOS_INVOC!$QP$60</f>
        <v/>
      </c>
      <c r="N920" s="125" t="n"/>
      <c r="O920" s="129" t="n"/>
      <c r="P920" s="134" t="n"/>
      <c r="Q920" s="16" t="n"/>
      <c r="R920" s="17" t="n"/>
      <c r="S920" s="133">
        <f>DADOS_INVOC!$QP$61</f>
        <v/>
      </c>
      <c r="T920" s="125" t="n"/>
      <c r="U920" s="129" t="n"/>
      <c r="V920" s="134" t="n"/>
      <c r="W920" s="16" t="n"/>
      <c r="X920" s="17" t="n"/>
      <c r="Y920" s="133">
        <f>DADOS_INVOC!$QP$62</f>
        <v/>
      </c>
      <c r="Z920" s="125" t="n"/>
      <c r="AB920" s="129" t="n"/>
      <c r="AC920" s="134" t="n"/>
      <c r="AD920" s="16" t="n"/>
      <c r="AE920" s="17" t="n"/>
      <c r="AF920" s="133">
        <f>DADOS_INVOC!$QP$138</f>
        <v/>
      </c>
      <c r="AG920" s="125" t="n"/>
      <c r="AH920" s="129" t="n"/>
      <c r="AI920" s="134" t="n"/>
      <c r="AJ920" s="16" t="n"/>
      <c r="AK920" s="17" t="n"/>
      <c r="AL920" s="133">
        <f>DADOS_INVOC!$QP$139</f>
        <v/>
      </c>
      <c r="AM920" s="125" t="n"/>
      <c r="AN920" s="129" t="n"/>
      <c r="AO920" s="134" t="n"/>
      <c r="AP920" s="16" t="n"/>
      <c r="AQ920" s="17" t="n"/>
      <c r="AR920" s="133">
        <f>DADOS_INVOC!$QP$140</f>
        <v/>
      </c>
      <c r="AS920" s="125" t="n"/>
    </row>
    <row r="921" hidden="1" outlineLevel="3">
      <c r="A921" s="8" t="n"/>
      <c r="B921" s="14" t="n"/>
      <c r="C921" s="125" t="n"/>
      <c r="D921" s="125" t="n"/>
      <c r="E921" s="125" t="n"/>
      <c r="F921" s="125" t="n"/>
      <c r="G921" s="125" t="n"/>
      <c r="I921" s="55" t="inlineStr">
        <is>
          <t>CONTA</t>
        </is>
      </c>
      <c r="J921" s="136">
        <f>DADOS_INVOC!$QI$60</f>
        <v/>
      </c>
      <c r="K921" s="16" t="n"/>
      <c r="L921" s="16" t="n"/>
      <c r="M921" s="17" t="n"/>
      <c r="N921" s="125" t="n"/>
      <c r="O921" s="55" t="inlineStr">
        <is>
          <t>CONTA</t>
        </is>
      </c>
      <c r="P921" s="136">
        <f>DADOS_INVOC!$QI$61</f>
        <v/>
      </c>
      <c r="Q921" s="16" t="n"/>
      <c r="R921" s="16" t="n"/>
      <c r="S921" s="17" t="n"/>
      <c r="T921" s="125" t="n"/>
      <c r="U921" s="55" t="inlineStr">
        <is>
          <t>CONTA</t>
        </is>
      </c>
      <c r="V921" s="136">
        <f>DADOS_INVOC!$QI$62</f>
        <v/>
      </c>
      <c r="W921" s="16" t="n"/>
      <c r="X921" s="16" t="n"/>
      <c r="Y921" s="17" t="n"/>
      <c r="Z921" s="125" t="n"/>
      <c r="AB921" s="55" t="inlineStr">
        <is>
          <t>CONTA</t>
        </is>
      </c>
      <c r="AC921" s="136">
        <f>DADOS_INVOC!$QI$138</f>
        <v/>
      </c>
      <c r="AD921" s="16" t="n"/>
      <c r="AE921" s="16" t="n"/>
      <c r="AF921" s="17" t="n"/>
      <c r="AG921" s="125" t="n"/>
      <c r="AH921" s="55" t="inlineStr">
        <is>
          <t>CONTA</t>
        </is>
      </c>
      <c r="AI921" s="136">
        <f>DADOS_INVOC!$QI$139</f>
        <v/>
      </c>
      <c r="AJ921" s="16" t="n"/>
      <c r="AK921" s="16" t="n"/>
      <c r="AL921" s="17" t="n"/>
      <c r="AM921" s="125" t="n"/>
      <c r="AN921" s="55" t="inlineStr">
        <is>
          <t>CONTA</t>
        </is>
      </c>
      <c r="AO921" s="136">
        <f>DADOS_INVOC!$QI$140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DADOS_INVOC!$QJ$60</f>
        <v/>
      </c>
      <c r="K922" s="19" t="n"/>
      <c r="L922" s="19" t="n"/>
      <c r="M922" s="20" t="n"/>
      <c r="N922" s="125" t="n"/>
      <c r="O922" s="55" t="inlineStr">
        <is>
          <t>AMPLIAR</t>
        </is>
      </c>
      <c r="P922" s="136">
        <f>DADOS_INVOC!$QJ$61</f>
        <v/>
      </c>
      <c r="Q922" s="19" t="n"/>
      <c r="R922" s="19" t="n"/>
      <c r="S922" s="20" t="n"/>
      <c r="T922" s="125" t="n"/>
      <c r="U922" s="55" t="inlineStr">
        <is>
          <t>AMPLIAR</t>
        </is>
      </c>
      <c r="V922" s="136">
        <f>DADOS_INVOC!$QJ$62</f>
        <v/>
      </c>
      <c r="W922" s="19" t="n"/>
      <c r="X922" s="19" t="n"/>
      <c r="Y922" s="20" t="n"/>
      <c r="Z922" s="125" t="n"/>
      <c r="AB922" s="55" t="inlineStr">
        <is>
          <t>AMPLIAR</t>
        </is>
      </c>
      <c r="AC922" s="136">
        <f>DADOS_INVOC!$QJ$138</f>
        <v/>
      </c>
      <c r="AD922" s="19" t="n"/>
      <c r="AE922" s="19" t="n"/>
      <c r="AF922" s="20" t="n"/>
      <c r="AG922" s="125" t="n"/>
      <c r="AH922" s="55" t="inlineStr">
        <is>
          <t>AMPLIAR</t>
        </is>
      </c>
      <c r="AI922" s="136">
        <f>DADOS_INVOC!$QJ$139</f>
        <v/>
      </c>
      <c r="AJ922" s="19" t="n"/>
      <c r="AK922" s="19" t="n"/>
      <c r="AL922" s="20" t="n"/>
      <c r="AM922" s="125" t="n"/>
      <c r="AN922" s="55" t="inlineStr">
        <is>
          <t>AMPLIAR</t>
        </is>
      </c>
      <c r="AO922" s="136">
        <f>DADOS_INVOC!$QJ$140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DADOS_INVOC!$PW$60</f>
        <v/>
      </c>
      <c r="J924" s="19" t="n"/>
      <c r="K924" s="19" t="n"/>
      <c r="L924" s="19" t="n"/>
      <c r="M924" s="20" t="n"/>
      <c r="N924" s="125" t="n"/>
      <c r="O924" s="136">
        <f>DADOS_INVOC!$PW$61</f>
        <v/>
      </c>
      <c r="P924" s="19" t="n"/>
      <c r="Q924" s="19" t="n"/>
      <c r="R924" s="19" t="n"/>
      <c r="S924" s="20" t="n"/>
      <c r="T924" s="125" t="n"/>
      <c r="U924" s="136">
        <f>DADOS_INVOC!$PW$62</f>
        <v/>
      </c>
      <c r="V924" s="19" t="n"/>
      <c r="W924" s="19" t="n"/>
      <c r="X924" s="19" t="n"/>
      <c r="Y924" s="20" t="n"/>
      <c r="Z924" s="125" t="n"/>
      <c r="AB924" s="136">
        <f>DADOS_INVOC!$PW$138</f>
        <v/>
      </c>
      <c r="AC924" s="19" t="n"/>
      <c r="AD924" s="19" t="n"/>
      <c r="AE924" s="19" t="n"/>
      <c r="AF924" s="20" t="n"/>
      <c r="AG924" s="125" t="n"/>
      <c r="AH924" s="136">
        <f>DADOS_INVOC!$PW$139</f>
        <v/>
      </c>
      <c r="AI924" s="19" t="n"/>
      <c r="AJ924" s="19" t="n"/>
      <c r="AK924" s="19" t="n"/>
      <c r="AL924" s="20" t="n"/>
      <c r="AM924" s="125" t="n"/>
      <c r="AN924" s="136">
        <f>DADOS_INVOC!$PW$140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DADOS_INVOC!$PX$63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DADOS_INVOC!$PX$141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DADOS_INVOC!$PV$63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DADOS_INVOC!$PV$141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90" t="inlineStr">
        <is>
          <t>Projétil</t>
        </is>
      </c>
      <c r="J933" s="17" t="n"/>
      <c r="K933" s="68">
        <f>DADOS_INVOC!$QC$63</f>
        <v/>
      </c>
      <c r="L933" s="17" t="n"/>
      <c r="M933" s="68">
        <f>DADOS_INVOC!$PY$63</f>
        <v/>
      </c>
      <c r="N933" s="125" t="n"/>
      <c r="O933" s="125" t="n"/>
      <c r="P933" s="125" t="n"/>
      <c r="Q933" s="125" t="n"/>
      <c r="R933" s="125" t="n"/>
      <c r="S933" s="125" t="n"/>
      <c r="T933" s="125" t="n"/>
      <c r="U933" s="125" t="n"/>
      <c r="V933" s="125" t="n"/>
      <c r="W933" s="125" t="n"/>
      <c r="X933" s="125" t="n"/>
      <c r="Y933" s="125" t="n"/>
      <c r="Z933" s="125" t="n"/>
      <c r="AB933" s="90" t="inlineStr">
        <is>
          <t>Projétil</t>
        </is>
      </c>
      <c r="AC933" s="17" t="n"/>
      <c r="AD933" s="68">
        <f>DADOS_INVOC!$QC$141</f>
        <v/>
      </c>
      <c r="AE933" s="17" t="n"/>
      <c r="AF933" s="68">
        <f>DADOS_INVOC!$PY$141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90" t="n"/>
      <c r="J934" s="17" t="n"/>
      <c r="K934" s="90" t="n"/>
      <c r="L934" s="16" t="n"/>
      <c r="M934" s="17" t="n"/>
      <c r="N934" s="125" t="n"/>
      <c r="O934" s="125" t="n"/>
      <c r="P934" s="125" t="n"/>
      <c r="Q934" s="125" t="n"/>
      <c r="R934" s="125" t="n"/>
      <c r="S934" s="125" t="n"/>
      <c r="T934" s="125" t="n"/>
      <c r="U934" s="125" t="n"/>
      <c r="V934" s="125" t="n"/>
      <c r="W934" s="125" t="n"/>
      <c r="X934" s="125" t="n"/>
      <c r="Y934" s="125" t="n"/>
      <c r="Z934" s="125" t="n"/>
      <c r="AB934" s="90" t="n"/>
      <c r="AC934" s="17" t="n"/>
      <c r="AD934" s="90"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90">
        <f>DADOS_INVOC!$PZ$63</f>
        <v/>
      </c>
      <c r="J935" s="17" t="n"/>
      <c r="K935" s="90">
        <f>DADOS_INVOC!$QB$63</f>
        <v/>
      </c>
      <c r="L935" s="16" t="n"/>
      <c r="M935" s="17" t="n"/>
      <c r="N935" s="125" t="n"/>
      <c r="O935" s="125" t="n"/>
      <c r="P935" s="125" t="n"/>
      <c r="Q935" s="125" t="n"/>
      <c r="R935" s="125" t="n"/>
      <c r="S935" s="125" t="n"/>
      <c r="T935" s="125" t="n"/>
      <c r="U935" s="125" t="n"/>
      <c r="V935" s="125" t="n"/>
      <c r="W935" s="125" t="n"/>
      <c r="X935" s="125" t="n"/>
      <c r="Y935" s="125" t="n"/>
      <c r="Z935" s="125" t="n"/>
      <c r="AB935" s="90">
        <f>DADOS_INVOC!$PZ$141</f>
        <v/>
      </c>
      <c r="AC935" s="17" t="n"/>
      <c r="AD935" s="90">
        <f>DADOS_INVOC!$QB$141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DADOS_INVOC!$QH$63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DADOS_INVOC!$QH$141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DADOS_INVOC!$QK$63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DADOS_INVOC!$QK$141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DADOS_INVOC!$QL$63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DADOS_INVOC!$QL$141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DADOS_INVOC!$QM$63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DADOS_INVOC!$QM$141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DADOS_INVOC!$QN$63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DADOS_INVOC!$QN$141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DADOS_INVOC!$QO$63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DADOS_INVOC!$QO$141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DADOS_INVOC!$QP$63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DADOS_INVOC!$QP$141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DADOS_INVOC!$QI$63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DADOS_INVOC!$QI$141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DADOS_INVOC!$QJ$63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DADOS_INVOC!$QJ$141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DADOS_INVOC!$PW$63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DADOS_INVOC!$PW$141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DADOS_INVOC!$PX$64</f>
        <v/>
      </c>
      <c r="J951" s="16" t="n"/>
      <c r="K951" s="16" t="n"/>
      <c r="L951" s="16" t="n"/>
      <c r="M951" s="17" t="n"/>
      <c r="N951" s="125" t="n"/>
      <c r="O951" s="55">
        <f>DADOS_INVOC!$PX$65</f>
        <v/>
      </c>
      <c r="P951" s="16" t="n"/>
      <c r="Q951" s="16" t="n"/>
      <c r="R951" s="16" t="n"/>
      <c r="S951" s="17" t="n"/>
      <c r="T951" s="125" t="n"/>
      <c r="U951" s="55">
        <f>DADOS_INVOC!$PX$66</f>
        <v/>
      </c>
      <c r="V951" s="16" t="n"/>
      <c r="W951" s="16" t="n"/>
      <c r="X951" s="16" t="n"/>
      <c r="Y951" s="17" t="n"/>
      <c r="Z951" s="125" t="n"/>
      <c r="AB951" s="55">
        <f>DADOS_INVOC!$PX$142</f>
        <v/>
      </c>
      <c r="AC951" s="16" t="n"/>
      <c r="AD951" s="16" t="n"/>
      <c r="AE951" s="16" t="n"/>
      <c r="AF951" s="17" t="n"/>
      <c r="AG951" s="125" t="n"/>
      <c r="AH951" s="55">
        <f>DADOS_INVOC!$PX$143</f>
        <v/>
      </c>
      <c r="AI951" s="16" t="n"/>
      <c r="AJ951" s="16" t="n"/>
      <c r="AK951" s="16" t="n"/>
      <c r="AL951" s="17" t="n"/>
      <c r="AM951" s="125" t="n"/>
      <c r="AN951" s="55">
        <f>DADOS_INVOC!$PX$144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DADOS_INVOC!$PV$64</f>
        <v/>
      </c>
      <c r="N952" s="125" t="n"/>
      <c r="O952" s="131" t="n">
        <v>1</v>
      </c>
      <c r="P952" s="120" t="n"/>
      <c r="Q952" s="16" t="n"/>
      <c r="R952" s="17" t="n"/>
      <c r="S952" s="132">
        <f>DADOS_INVOC!$PV$65</f>
        <v/>
      </c>
      <c r="T952" s="125" t="n"/>
      <c r="U952" s="131" t="n">
        <v>1</v>
      </c>
      <c r="V952" s="120" t="n"/>
      <c r="W952" s="16" t="n"/>
      <c r="X952" s="17" t="n"/>
      <c r="Y952" s="132">
        <f>DADOS_INVOC!$PV$66</f>
        <v/>
      </c>
      <c r="Z952" s="125" t="n"/>
      <c r="AB952" s="131" t="n">
        <v>1</v>
      </c>
      <c r="AC952" s="120" t="n"/>
      <c r="AD952" s="16" t="n"/>
      <c r="AE952" s="17" t="n"/>
      <c r="AF952" s="132">
        <f>DADOS_INVOC!$PV$142</f>
        <v/>
      </c>
      <c r="AG952" s="125" t="n"/>
      <c r="AH952" s="131" t="n">
        <v>1</v>
      </c>
      <c r="AI952" s="120" t="n"/>
      <c r="AJ952" s="16" t="n"/>
      <c r="AK952" s="17" t="n"/>
      <c r="AL952" s="132">
        <f>DADOS_INVOC!$PV$143</f>
        <v/>
      </c>
      <c r="AM952" s="125" t="n"/>
      <c r="AN952" s="131" t="n">
        <v>1</v>
      </c>
      <c r="AO952" s="120" t="n"/>
      <c r="AP952" s="16" t="n"/>
      <c r="AQ952" s="17" t="n"/>
      <c r="AR952" s="132">
        <f>DADOS_INVOC!$PV$144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90" t="inlineStr">
        <is>
          <t>Projétil</t>
        </is>
      </c>
      <c r="J957" s="17" t="n"/>
      <c r="K957" s="68">
        <f>DADOS_INVOC!$QC$64</f>
        <v/>
      </c>
      <c r="L957" s="17" t="n"/>
      <c r="M957" s="68">
        <f>DADOS_INVOC!$PY$64</f>
        <v/>
      </c>
      <c r="N957" s="125" t="n"/>
      <c r="O957" s="90" t="inlineStr">
        <is>
          <t>Projétil</t>
        </is>
      </c>
      <c r="P957" s="17" t="n"/>
      <c r="Q957" s="68">
        <f>DADOS_INVOC!$QC$65</f>
        <v/>
      </c>
      <c r="R957" s="17" t="n"/>
      <c r="S957" s="68">
        <f>DADOS_INVOC!$PY$65</f>
        <v/>
      </c>
      <c r="T957" s="125" t="n"/>
      <c r="U957" s="90" t="inlineStr">
        <is>
          <t>Projétil</t>
        </is>
      </c>
      <c r="V957" s="17" t="n"/>
      <c r="W957" s="68">
        <f>DADOS_INVOC!$QC$66</f>
        <v/>
      </c>
      <c r="X957" s="17" t="n"/>
      <c r="Y957" s="68">
        <f>DADOS_INVOC!$PY$66</f>
        <v/>
      </c>
      <c r="Z957" s="125" t="n"/>
      <c r="AB957" s="90" t="inlineStr">
        <is>
          <t>Projétil</t>
        </is>
      </c>
      <c r="AC957" s="17" t="n"/>
      <c r="AD957" s="68">
        <f>DADOS_INVOC!$QC$142</f>
        <v/>
      </c>
      <c r="AE957" s="17" t="n"/>
      <c r="AF957" s="68">
        <f>DADOS_INVOC!$PY$142</f>
        <v/>
      </c>
      <c r="AG957" s="125" t="n"/>
      <c r="AH957" s="90" t="inlineStr">
        <is>
          <t>Projétil</t>
        </is>
      </c>
      <c r="AI957" s="17" t="n"/>
      <c r="AJ957" s="68">
        <f>DADOS_INVOC!$QC$143</f>
        <v/>
      </c>
      <c r="AK957" s="17" t="n"/>
      <c r="AL957" s="68">
        <f>DADOS_INVOC!$PY$143</f>
        <v/>
      </c>
      <c r="AM957" s="125" t="n"/>
      <c r="AN957" s="90" t="inlineStr">
        <is>
          <t>Projétil</t>
        </is>
      </c>
      <c r="AO957" s="17" t="n"/>
      <c r="AP957" s="68">
        <f>DADOS_INVOC!$QC$144</f>
        <v/>
      </c>
      <c r="AQ957" s="17" t="n"/>
      <c r="AR957" s="68">
        <f>DADOS_INVOC!$PY$144</f>
        <v/>
      </c>
      <c r="AS957" s="125" t="n"/>
    </row>
    <row r="958" hidden="1" outlineLevel="2">
      <c r="A958" s="8" t="n"/>
      <c r="B958" s="14" t="n"/>
      <c r="C958" s="125" t="n"/>
      <c r="D958" s="125" t="n"/>
      <c r="E958" s="125" t="n"/>
      <c r="F958" s="125" t="n"/>
      <c r="G958" s="125" t="n"/>
      <c r="I958" s="90" t="n"/>
      <c r="J958" s="17" t="n"/>
      <c r="K958" s="90" t="n"/>
      <c r="L958" s="16" t="n"/>
      <c r="M958" s="17" t="n"/>
      <c r="N958" s="125" t="n"/>
      <c r="O958" s="90" t="n"/>
      <c r="P958" s="17" t="n"/>
      <c r="Q958" s="90" t="n"/>
      <c r="R958" s="16" t="n"/>
      <c r="S958" s="17" t="n"/>
      <c r="T958" s="125" t="n"/>
      <c r="U958" s="90" t="n"/>
      <c r="V958" s="17" t="n"/>
      <c r="W958" s="90" t="n"/>
      <c r="X958" s="16" t="n"/>
      <c r="Y958" s="17" t="n"/>
      <c r="Z958" s="125" t="n"/>
      <c r="AB958" s="90" t="n"/>
      <c r="AC958" s="17" t="n"/>
      <c r="AD958" s="90" t="n"/>
      <c r="AE958" s="16" t="n"/>
      <c r="AF958" s="17" t="n"/>
      <c r="AG958" s="125" t="n"/>
      <c r="AH958" s="90" t="n"/>
      <c r="AI958" s="17" t="n"/>
      <c r="AJ958" s="90" t="n"/>
      <c r="AK958" s="16" t="n"/>
      <c r="AL958" s="17" t="n"/>
      <c r="AM958" s="125" t="n"/>
      <c r="AN958" s="90" t="n"/>
      <c r="AO958" s="17" t="n"/>
      <c r="AP958" s="90" t="n"/>
      <c r="AQ958" s="16" t="n"/>
      <c r="AR958" s="17" t="n"/>
      <c r="AS958" s="125" t="n"/>
    </row>
    <row r="959" hidden="1" outlineLevel="2">
      <c r="A959" s="8" t="n"/>
      <c r="B959" s="14" t="n"/>
      <c r="C959" s="125" t="n"/>
      <c r="D959" s="125" t="n"/>
      <c r="E959" s="125" t="n"/>
      <c r="F959" s="125" t="n"/>
      <c r="G959" s="125" t="n"/>
      <c r="I959" s="90">
        <f>DADOS_INVOC!$PZ$64</f>
        <v/>
      </c>
      <c r="J959" s="17" t="n"/>
      <c r="K959" s="90">
        <f>DADOS_INVOC!$QB$64</f>
        <v/>
      </c>
      <c r="L959" s="16" t="n"/>
      <c r="M959" s="17" t="n"/>
      <c r="N959" s="125" t="n"/>
      <c r="O959" s="90">
        <f>DADOS_INVOC!$PZ$65</f>
        <v/>
      </c>
      <c r="P959" s="17" t="n"/>
      <c r="Q959" s="90">
        <f>DADOS_INVOC!$QB$65</f>
        <v/>
      </c>
      <c r="R959" s="16" t="n"/>
      <c r="S959" s="17" t="n"/>
      <c r="T959" s="125" t="n"/>
      <c r="U959" s="90">
        <f>DADOS_INVOC!$PZ$66</f>
        <v/>
      </c>
      <c r="V959" s="17" t="n"/>
      <c r="W959" s="90">
        <f>DADOS_INVOC!$QB$66</f>
        <v/>
      </c>
      <c r="X959" s="16" t="n"/>
      <c r="Y959" s="17" t="n"/>
      <c r="Z959" s="125" t="n"/>
      <c r="AB959" s="90">
        <f>DADOS_INVOC!$PZ$142</f>
        <v/>
      </c>
      <c r="AC959" s="17" t="n"/>
      <c r="AD959" s="90">
        <f>DADOS_INVOC!$QB$142</f>
        <v/>
      </c>
      <c r="AE959" s="16" t="n"/>
      <c r="AF959" s="17" t="n"/>
      <c r="AG959" s="125" t="n"/>
      <c r="AH959" s="90">
        <f>DADOS_INVOC!$PZ$143</f>
        <v/>
      </c>
      <c r="AI959" s="17" t="n"/>
      <c r="AJ959" s="90">
        <f>DADOS_INVOC!$QB$143</f>
        <v/>
      </c>
      <c r="AK959" s="16" t="n"/>
      <c r="AL959" s="17" t="n"/>
      <c r="AM959" s="125" t="n"/>
      <c r="AN959" s="90">
        <f>DADOS_INVOC!$PZ$144</f>
        <v/>
      </c>
      <c r="AO959" s="17" t="n"/>
      <c r="AP959" s="90">
        <f>DADOS_INVOC!$QB$144</f>
        <v/>
      </c>
      <c r="AQ959" s="16" t="n"/>
      <c r="AR959" s="17" t="n"/>
      <c r="AS959" s="125" t="n"/>
    </row>
    <row r="960" hidden="1" outlineLevel="2">
      <c r="A960" s="8" t="n"/>
      <c r="B960" s="14" t="n"/>
      <c r="C960" s="125" t="n"/>
      <c r="D960" s="125" t="n"/>
      <c r="E960" s="125" t="n"/>
      <c r="F960" s="125" t="n"/>
      <c r="G960" s="125" t="n"/>
      <c r="I960" s="133">
        <f>DADOS_INVOC!$QH$64</f>
        <v/>
      </c>
      <c r="J960" s="16" t="n"/>
      <c r="K960" s="16" t="n"/>
      <c r="L960" s="16" t="n"/>
      <c r="M960" s="17" t="n"/>
      <c r="N960" s="125" t="n"/>
      <c r="O960" s="133">
        <f>DADOS_INVOC!$QH$65</f>
        <v/>
      </c>
      <c r="P960" s="16" t="n"/>
      <c r="Q960" s="16" t="n"/>
      <c r="R960" s="16" t="n"/>
      <c r="S960" s="17" t="n"/>
      <c r="T960" s="125" t="n"/>
      <c r="U960" s="133">
        <f>DADOS_INVOC!$QH$66</f>
        <v/>
      </c>
      <c r="V960" s="16" t="n"/>
      <c r="W960" s="16" t="n"/>
      <c r="X960" s="16" t="n"/>
      <c r="Y960" s="17" t="n"/>
      <c r="Z960" s="125" t="n"/>
      <c r="AB960" s="133">
        <f>DADOS_INVOC!$QH$142</f>
        <v/>
      </c>
      <c r="AC960" s="16" t="n"/>
      <c r="AD960" s="16" t="n"/>
      <c r="AE960" s="16" t="n"/>
      <c r="AF960" s="17" t="n"/>
      <c r="AG960" s="125" t="n"/>
      <c r="AH960" s="133">
        <f>DADOS_INVOC!$QH$143</f>
        <v/>
      </c>
      <c r="AI960" s="16" t="n"/>
      <c r="AJ960" s="16" t="n"/>
      <c r="AK960" s="16" t="n"/>
      <c r="AL960" s="17" t="n"/>
      <c r="AM960" s="125" t="n"/>
      <c r="AN960" s="133">
        <f>DADOS_INVOC!$QH$144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DADOS_INVOC!$QK$64</f>
        <v/>
      </c>
      <c r="N961" s="125" t="n"/>
      <c r="O961" s="55" t="inlineStr">
        <is>
          <t>MELHORIAS</t>
        </is>
      </c>
      <c r="P961" s="134" t="n"/>
      <c r="Q961" s="16" t="n"/>
      <c r="R961" s="17" t="n"/>
      <c r="S961" s="133">
        <f>DADOS_INVOC!$QK$65</f>
        <v/>
      </c>
      <c r="T961" s="125" t="n"/>
      <c r="U961" s="55" t="inlineStr">
        <is>
          <t>MELHORIAS</t>
        </is>
      </c>
      <c r="V961" s="134" t="n"/>
      <c r="W961" s="16" t="n"/>
      <c r="X961" s="17" t="n"/>
      <c r="Y961" s="133">
        <f>DADOS_INVOC!$QK$66</f>
        <v/>
      </c>
      <c r="Z961" s="125" t="n"/>
      <c r="AB961" s="55" t="inlineStr">
        <is>
          <t>MELHORIAS</t>
        </is>
      </c>
      <c r="AC961" s="134" t="n"/>
      <c r="AD961" s="16" t="n"/>
      <c r="AE961" s="17" t="n"/>
      <c r="AF961" s="133">
        <f>DADOS_INVOC!$QK$142</f>
        <v/>
      </c>
      <c r="AG961" s="125" t="n"/>
      <c r="AH961" s="55" t="inlineStr">
        <is>
          <t>MELHORIAS</t>
        </is>
      </c>
      <c r="AI961" s="134" t="n"/>
      <c r="AJ961" s="16" t="n"/>
      <c r="AK961" s="17" t="n"/>
      <c r="AL961" s="133">
        <f>DADOS_INVOC!$QK$143</f>
        <v/>
      </c>
      <c r="AM961" s="125" t="n"/>
      <c r="AN961" s="55" t="inlineStr">
        <is>
          <t>MELHORIAS</t>
        </is>
      </c>
      <c r="AO961" s="134" t="n"/>
      <c r="AP961" s="16" t="n"/>
      <c r="AQ961" s="17" t="n"/>
      <c r="AR961" s="133">
        <f>DADOS_INVOC!$QK$144</f>
        <v/>
      </c>
      <c r="AS961" s="125" t="n"/>
    </row>
    <row r="962" hidden="1" outlineLevel="3">
      <c r="A962" s="8" t="n"/>
      <c r="B962" s="14" t="n"/>
      <c r="C962" s="125" t="n"/>
      <c r="D962" s="125" t="n"/>
      <c r="E962" s="125" t="n"/>
      <c r="F962" s="125" t="n"/>
      <c r="G962" s="125" t="n"/>
      <c r="I962" s="135" t="n"/>
      <c r="J962" s="134" t="n"/>
      <c r="K962" s="16" t="n"/>
      <c r="L962" s="17" t="n"/>
      <c r="M962" s="133">
        <f>DADOS_INVOC!$QL$64</f>
        <v/>
      </c>
      <c r="N962" s="125" t="n"/>
      <c r="O962" s="135" t="n"/>
      <c r="P962" s="134" t="n"/>
      <c r="Q962" s="16" t="n"/>
      <c r="R962" s="17" t="n"/>
      <c r="S962" s="133">
        <f>DADOS_INVOC!$QL$65</f>
        <v/>
      </c>
      <c r="T962" s="125" t="n"/>
      <c r="U962" s="135" t="n"/>
      <c r="V962" s="134" t="n"/>
      <c r="W962" s="16" t="n"/>
      <c r="X962" s="17" t="n"/>
      <c r="Y962" s="133">
        <f>DADOS_INVOC!$QL$66</f>
        <v/>
      </c>
      <c r="Z962" s="125" t="n"/>
      <c r="AB962" s="135" t="n"/>
      <c r="AC962" s="134" t="n"/>
      <c r="AD962" s="16" t="n"/>
      <c r="AE962" s="17" t="n"/>
      <c r="AF962" s="133">
        <f>DADOS_INVOC!$QL$142</f>
        <v/>
      </c>
      <c r="AG962" s="125" t="n"/>
      <c r="AH962" s="135" t="n"/>
      <c r="AI962" s="134" t="n"/>
      <c r="AJ962" s="16" t="n"/>
      <c r="AK962" s="17" t="n"/>
      <c r="AL962" s="133">
        <f>DADOS_INVOC!$QL$143</f>
        <v/>
      </c>
      <c r="AM962" s="125" t="n"/>
      <c r="AN962" s="135" t="n"/>
      <c r="AO962" s="134" t="n"/>
      <c r="AP962" s="16" t="n"/>
      <c r="AQ962" s="17" t="n"/>
      <c r="AR962" s="133">
        <f>DADOS_INVOC!$QL$144</f>
        <v/>
      </c>
      <c r="AS962" s="125" t="n"/>
    </row>
    <row r="963" hidden="1" outlineLevel="3">
      <c r="A963" s="8" t="n"/>
      <c r="B963" s="14" t="n"/>
      <c r="C963" s="125" t="n"/>
      <c r="D963" s="125" t="n"/>
      <c r="E963" s="125" t="n"/>
      <c r="F963" s="125" t="n"/>
      <c r="G963" s="125" t="n"/>
      <c r="I963" s="135" t="n"/>
      <c r="J963" s="134" t="n"/>
      <c r="K963" s="16" t="n"/>
      <c r="L963" s="17" t="n"/>
      <c r="M963" s="133">
        <f>DADOS_INVOC!$QM$64</f>
        <v/>
      </c>
      <c r="N963" s="125" t="n"/>
      <c r="O963" s="135" t="n"/>
      <c r="P963" s="134" t="n"/>
      <c r="Q963" s="16" t="n"/>
      <c r="R963" s="17" t="n"/>
      <c r="S963" s="133">
        <f>DADOS_INVOC!$QM$65</f>
        <v/>
      </c>
      <c r="T963" s="125" t="n"/>
      <c r="U963" s="135" t="n"/>
      <c r="V963" s="134" t="n"/>
      <c r="W963" s="16" t="n"/>
      <c r="X963" s="17" t="n"/>
      <c r="Y963" s="133">
        <f>DADOS_INVOC!$QM$66</f>
        <v/>
      </c>
      <c r="Z963" s="125" t="n"/>
      <c r="AB963" s="135" t="n"/>
      <c r="AC963" s="134" t="n"/>
      <c r="AD963" s="16" t="n"/>
      <c r="AE963" s="17" t="n"/>
      <c r="AF963" s="133">
        <f>DADOS_INVOC!$QM$142</f>
        <v/>
      </c>
      <c r="AG963" s="125" t="n"/>
      <c r="AH963" s="135" t="n"/>
      <c r="AI963" s="134" t="n"/>
      <c r="AJ963" s="16" t="n"/>
      <c r="AK963" s="17" t="n"/>
      <c r="AL963" s="133">
        <f>DADOS_INVOC!$QM$143</f>
        <v/>
      </c>
      <c r="AM963" s="125" t="n"/>
      <c r="AN963" s="135" t="n"/>
      <c r="AO963" s="134" t="n"/>
      <c r="AP963" s="16" t="n"/>
      <c r="AQ963" s="17" t="n"/>
      <c r="AR963" s="133">
        <f>DADOS_INVOC!$QM$144</f>
        <v/>
      </c>
      <c r="AS963" s="125" t="n"/>
    </row>
    <row r="964" hidden="1" outlineLevel="3">
      <c r="A964" s="8" t="n"/>
      <c r="B964" s="14" t="n"/>
      <c r="C964" s="125" t="n"/>
      <c r="D964" s="125" t="n"/>
      <c r="E964" s="125" t="n"/>
      <c r="F964" s="125" t="n"/>
      <c r="G964" s="125" t="n"/>
      <c r="I964" s="129" t="n"/>
      <c r="J964" s="134" t="n"/>
      <c r="K964" s="16" t="n"/>
      <c r="L964" s="17" t="n"/>
      <c r="M964" s="133">
        <f>DADOS_INVOC!$QN$64</f>
        <v/>
      </c>
      <c r="N964" s="125" t="n"/>
      <c r="O964" s="129" t="n"/>
      <c r="P964" s="134" t="n"/>
      <c r="Q964" s="16" t="n"/>
      <c r="R964" s="17" t="n"/>
      <c r="S964" s="133">
        <f>DADOS_INVOC!$QN$65</f>
        <v/>
      </c>
      <c r="T964" s="125" t="n"/>
      <c r="U964" s="129" t="n"/>
      <c r="V964" s="134" t="n"/>
      <c r="W964" s="16" t="n"/>
      <c r="X964" s="17" t="n"/>
      <c r="Y964" s="133">
        <f>DADOS_INVOC!$QN$66</f>
        <v/>
      </c>
      <c r="Z964" s="125" t="n"/>
      <c r="AB964" s="129" t="n"/>
      <c r="AC964" s="134" t="n"/>
      <c r="AD964" s="16" t="n"/>
      <c r="AE964" s="17" t="n"/>
      <c r="AF964" s="133">
        <f>DADOS_INVOC!$QN$142</f>
        <v/>
      </c>
      <c r="AG964" s="125" t="n"/>
      <c r="AH964" s="129" t="n"/>
      <c r="AI964" s="134" t="n"/>
      <c r="AJ964" s="16" t="n"/>
      <c r="AK964" s="17" t="n"/>
      <c r="AL964" s="133">
        <f>DADOS_INVOC!$QN$143</f>
        <v/>
      </c>
      <c r="AM964" s="125" t="n"/>
      <c r="AN964" s="129" t="n"/>
      <c r="AO964" s="134" t="n"/>
      <c r="AP964" s="16" t="n"/>
      <c r="AQ964" s="17" t="n"/>
      <c r="AR964" s="133">
        <f>DADOS_INVOC!$QN$144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DADOS_INVOC!$QO$64</f>
        <v/>
      </c>
      <c r="N965" s="125" t="n"/>
      <c r="O965" s="55" t="inlineStr">
        <is>
          <t>RESTRIÇÕES</t>
        </is>
      </c>
      <c r="P965" s="134" t="n"/>
      <c r="Q965" s="16" t="n"/>
      <c r="R965" s="17" t="n"/>
      <c r="S965" s="133">
        <f>DADOS_INVOC!$QO$65</f>
        <v/>
      </c>
      <c r="T965" s="125" t="n"/>
      <c r="U965" s="55" t="inlineStr">
        <is>
          <t>RESTRIÇÕES</t>
        </is>
      </c>
      <c r="V965" s="134" t="n"/>
      <c r="W965" s="16" t="n"/>
      <c r="X965" s="17" t="n"/>
      <c r="Y965" s="133">
        <f>DADOS_INVOC!$QO$66</f>
        <v/>
      </c>
      <c r="Z965" s="125" t="n"/>
      <c r="AB965" s="55" t="inlineStr">
        <is>
          <t>RESTRIÇÕES</t>
        </is>
      </c>
      <c r="AC965" s="134" t="n"/>
      <c r="AD965" s="16" t="n"/>
      <c r="AE965" s="17" t="n"/>
      <c r="AF965" s="133">
        <f>DADOS_INVOC!$QO$142</f>
        <v/>
      </c>
      <c r="AG965" s="125" t="n"/>
      <c r="AH965" s="55" t="inlineStr">
        <is>
          <t>RESTRIÇÕES</t>
        </is>
      </c>
      <c r="AI965" s="134" t="n"/>
      <c r="AJ965" s="16" t="n"/>
      <c r="AK965" s="17" t="n"/>
      <c r="AL965" s="133">
        <f>DADOS_INVOC!$QO$143</f>
        <v/>
      </c>
      <c r="AM965" s="125" t="n"/>
      <c r="AN965" s="55" t="inlineStr">
        <is>
          <t>RESTRIÇÕES</t>
        </is>
      </c>
      <c r="AO965" s="134" t="n"/>
      <c r="AP965" s="16" t="n"/>
      <c r="AQ965" s="17" t="n"/>
      <c r="AR965" s="133">
        <f>DADOS_INVOC!$QO$144</f>
        <v/>
      </c>
      <c r="AS965" s="125" t="n"/>
    </row>
    <row r="966" hidden="1" outlineLevel="3">
      <c r="A966" s="8" t="n"/>
      <c r="B966" s="14" t="n"/>
      <c r="C966" s="125" t="n"/>
      <c r="D966" s="125" t="n"/>
      <c r="E966" s="125" t="n"/>
      <c r="F966" s="125" t="n"/>
      <c r="G966" s="125" t="n"/>
      <c r="I966" s="129" t="n"/>
      <c r="J966" s="134" t="n"/>
      <c r="K966" s="16" t="n"/>
      <c r="L966" s="17" t="n"/>
      <c r="M966" s="133">
        <f>DADOS_INVOC!$QP$64</f>
        <v/>
      </c>
      <c r="N966" s="125" t="n"/>
      <c r="O966" s="129" t="n"/>
      <c r="P966" s="134" t="n"/>
      <c r="Q966" s="16" t="n"/>
      <c r="R966" s="17" t="n"/>
      <c r="S966" s="133">
        <f>DADOS_INVOC!$QP$65</f>
        <v/>
      </c>
      <c r="T966" s="125" t="n"/>
      <c r="U966" s="129" t="n"/>
      <c r="V966" s="134" t="n"/>
      <c r="W966" s="16" t="n"/>
      <c r="X966" s="17" t="n"/>
      <c r="Y966" s="133">
        <f>DADOS_INVOC!$QP$66</f>
        <v/>
      </c>
      <c r="Z966" s="125" t="n"/>
      <c r="AB966" s="129" t="n"/>
      <c r="AC966" s="134" t="n"/>
      <c r="AD966" s="16" t="n"/>
      <c r="AE966" s="17" t="n"/>
      <c r="AF966" s="133">
        <f>DADOS_INVOC!$QP$142</f>
        <v/>
      </c>
      <c r="AG966" s="125" t="n"/>
      <c r="AH966" s="129" t="n"/>
      <c r="AI966" s="134" t="n"/>
      <c r="AJ966" s="16" t="n"/>
      <c r="AK966" s="17" t="n"/>
      <c r="AL966" s="133">
        <f>DADOS_INVOC!$QP$143</f>
        <v/>
      </c>
      <c r="AM966" s="125" t="n"/>
      <c r="AN966" s="129" t="n"/>
      <c r="AO966" s="134" t="n"/>
      <c r="AP966" s="16" t="n"/>
      <c r="AQ966" s="17" t="n"/>
      <c r="AR966" s="133">
        <f>DADOS_INVOC!$QP$144</f>
        <v/>
      </c>
      <c r="AS966" s="125" t="n"/>
    </row>
    <row r="967" hidden="1" outlineLevel="3">
      <c r="A967" s="8" t="n"/>
      <c r="B967" s="14" t="n"/>
      <c r="C967" s="125" t="n"/>
      <c r="D967" s="125" t="n"/>
      <c r="E967" s="125" t="n"/>
      <c r="F967" s="125" t="n"/>
      <c r="G967" s="125" t="n"/>
      <c r="I967" s="55" t="inlineStr">
        <is>
          <t>CONTA</t>
        </is>
      </c>
      <c r="J967" s="136">
        <f>DADOS_INVOC!$QI$64</f>
        <v/>
      </c>
      <c r="K967" s="16" t="n"/>
      <c r="L967" s="16" t="n"/>
      <c r="M967" s="17" t="n"/>
      <c r="N967" s="125" t="n"/>
      <c r="O967" s="55" t="inlineStr">
        <is>
          <t>CONTA</t>
        </is>
      </c>
      <c r="P967" s="136">
        <f>DADOS_INVOC!$QI$65</f>
        <v/>
      </c>
      <c r="Q967" s="16" t="n"/>
      <c r="R967" s="16" t="n"/>
      <c r="S967" s="17" t="n"/>
      <c r="T967" s="125" t="n"/>
      <c r="U967" s="55" t="inlineStr">
        <is>
          <t>CONTA</t>
        </is>
      </c>
      <c r="V967" s="136">
        <f>DADOS_INVOC!$QI$66</f>
        <v/>
      </c>
      <c r="W967" s="16" t="n"/>
      <c r="X967" s="16" t="n"/>
      <c r="Y967" s="17" t="n"/>
      <c r="Z967" s="125" t="n"/>
      <c r="AB967" s="55" t="inlineStr">
        <is>
          <t>CONTA</t>
        </is>
      </c>
      <c r="AC967" s="136">
        <f>DADOS_INVOC!$QI$142</f>
        <v/>
      </c>
      <c r="AD967" s="16" t="n"/>
      <c r="AE967" s="16" t="n"/>
      <c r="AF967" s="17" t="n"/>
      <c r="AG967" s="125" t="n"/>
      <c r="AH967" s="55" t="inlineStr">
        <is>
          <t>CONTA</t>
        </is>
      </c>
      <c r="AI967" s="136">
        <f>DADOS_INVOC!$QI$143</f>
        <v/>
      </c>
      <c r="AJ967" s="16" t="n"/>
      <c r="AK967" s="16" t="n"/>
      <c r="AL967" s="17" t="n"/>
      <c r="AM967" s="125" t="n"/>
      <c r="AN967" s="55" t="inlineStr">
        <is>
          <t>CONTA</t>
        </is>
      </c>
      <c r="AO967" s="136">
        <f>DADOS_INVOC!$QI$144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DADOS_INVOC!$QJ$64</f>
        <v/>
      </c>
      <c r="K968" s="19" t="n"/>
      <c r="L968" s="19" t="n"/>
      <c r="M968" s="20" t="n"/>
      <c r="N968" s="125" t="n"/>
      <c r="O968" s="55" t="inlineStr">
        <is>
          <t>AMPLIAR</t>
        </is>
      </c>
      <c r="P968" s="136">
        <f>DADOS_INVOC!$QJ$65</f>
        <v/>
      </c>
      <c r="Q968" s="19" t="n"/>
      <c r="R968" s="19" t="n"/>
      <c r="S968" s="20" t="n"/>
      <c r="T968" s="125" t="n"/>
      <c r="U968" s="55" t="inlineStr">
        <is>
          <t>AMPLIAR</t>
        </is>
      </c>
      <c r="V968" s="136">
        <f>DADOS_INVOC!$QJ$66</f>
        <v/>
      </c>
      <c r="W968" s="19" t="n"/>
      <c r="X968" s="19" t="n"/>
      <c r="Y968" s="20" t="n"/>
      <c r="Z968" s="125" t="n"/>
      <c r="AB968" s="55" t="inlineStr">
        <is>
          <t>AMPLIAR</t>
        </is>
      </c>
      <c r="AC968" s="136">
        <f>DADOS_INVOC!$QJ$142</f>
        <v/>
      </c>
      <c r="AD968" s="19" t="n"/>
      <c r="AE968" s="19" t="n"/>
      <c r="AF968" s="20" t="n"/>
      <c r="AG968" s="125" t="n"/>
      <c r="AH968" s="55" t="inlineStr">
        <is>
          <t>AMPLIAR</t>
        </is>
      </c>
      <c r="AI968" s="136">
        <f>DADOS_INVOC!$QJ$143</f>
        <v/>
      </c>
      <c r="AJ968" s="19" t="n"/>
      <c r="AK968" s="19" t="n"/>
      <c r="AL968" s="20" t="n"/>
      <c r="AM968" s="125" t="n"/>
      <c r="AN968" s="55" t="inlineStr">
        <is>
          <t>AMPLIAR</t>
        </is>
      </c>
      <c r="AO968" s="136">
        <f>DADOS_INVOC!$QJ$144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DADOS_INVOC!$PW$64</f>
        <v/>
      </c>
      <c r="J970" s="19" t="n"/>
      <c r="K970" s="19" t="n"/>
      <c r="L970" s="19" t="n"/>
      <c r="M970" s="20" t="n"/>
      <c r="N970" s="125" t="n"/>
      <c r="O970" s="136">
        <f>DADOS_INVOC!$PW$65</f>
        <v/>
      </c>
      <c r="P970" s="19" t="n"/>
      <c r="Q970" s="19" t="n"/>
      <c r="R970" s="19" t="n"/>
      <c r="S970" s="20" t="n"/>
      <c r="T970" s="125" t="n"/>
      <c r="U970" s="136">
        <f>DADOS_INVOC!$PW$66</f>
        <v/>
      </c>
      <c r="V970" s="19" t="n"/>
      <c r="W970" s="19" t="n"/>
      <c r="X970" s="19" t="n"/>
      <c r="Y970" s="20" t="n"/>
      <c r="Z970" s="125" t="n"/>
      <c r="AB970" s="136">
        <f>DADOS_INVOC!$PW$142</f>
        <v/>
      </c>
      <c r="AC970" s="19" t="n"/>
      <c r="AD970" s="19" t="n"/>
      <c r="AE970" s="19" t="n"/>
      <c r="AF970" s="20" t="n"/>
      <c r="AG970" s="125" t="n"/>
      <c r="AH970" s="136">
        <f>DADOS_INVOC!$PW$143</f>
        <v/>
      </c>
      <c r="AI970" s="19" t="n"/>
      <c r="AJ970" s="19" t="n"/>
      <c r="AK970" s="19" t="n"/>
      <c r="AL970" s="20" t="n"/>
      <c r="AM970" s="125" t="n"/>
      <c r="AN970" s="136">
        <f>DADOS_INVOC!$PW$144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90" t="inlineStr">
        <is>
          <t>Sua Ação Completa + a básica dela</t>
        </is>
      </c>
      <c r="J987" s="16" t="n"/>
      <c r="K987" s="16" t="n"/>
      <c r="L987" s="16" t="n"/>
      <c r="M987" s="17" t="n"/>
      <c r="N987" s="125" t="n"/>
      <c r="O987" s="90" t="inlineStr">
        <is>
          <t>Sua Ação Completa + a básica dela</t>
        </is>
      </c>
      <c r="P987" s="16" t="n"/>
      <c r="Q987" s="16" t="n"/>
      <c r="R987" s="16" t="n"/>
      <c r="S987" s="17" t="n"/>
      <c r="T987" s="125" t="n"/>
      <c r="U987" s="90" t="inlineStr">
        <is>
          <t>Sua Ação Completa + a básica dela</t>
        </is>
      </c>
      <c r="V987" s="16" t="n"/>
      <c r="W987" s="16" t="n"/>
      <c r="X987" s="16" t="n"/>
      <c r="Y987" s="17" t="n"/>
      <c r="Z987" s="125" t="n"/>
      <c r="AB987" s="90" t="inlineStr">
        <is>
          <t>Sua Ação Completa + a básica dela</t>
        </is>
      </c>
      <c r="AC987" s="16" t="n"/>
      <c r="AD987" s="16" t="n"/>
      <c r="AE987" s="16" t="n"/>
      <c r="AF987" s="17" t="n"/>
      <c r="AG987" s="125" t="n"/>
      <c r="AH987" s="90" t="inlineStr">
        <is>
          <t>Sua Ação Completa + a básica dela</t>
        </is>
      </c>
      <c r="AI987" s="16" t="n"/>
      <c r="AJ987" s="16" t="n"/>
      <c r="AK987" s="16" t="n"/>
      <c r="AL987" s="17" t="n"/>
      <c r="AM987" s="125" t="n"/>
      <c r="AN987" s="90"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90"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90"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90"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90"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5"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5"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90" t="inlineStr">
        <is>
          <t>Com alma</t>
        </is>
      </c>
      <c r="V1008" s="98">
        <f>DADOS_INVOC!$GH$7</f>
        <v/>
      </c>
      <c r="W1008" s="98">
        <f>DADOS_INVOC!$GJ$7</f>
        <v/>
      </c>
      <c r="X1008" s="90">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90" t="inlineStr">
        <is>
          <t>Com alma</t>
        </is>
      </c>
      <c r="AO1008" s="98">
        <f>DADOS_INVOC!$GH$13</f>
        <v/>
      </c>
      <c r="AP1008" s="98">
        <f>DADOS_INVOC!$GJ$13</f>
        <v/>
      </c>
      <c r="AQ1008" s="90">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90" t="n"/>
      <c r="T1019" s="125" t="n"/>
      <c r="U1019" s="21" t="n"/>
      <c r="Y1019" s="22" t="n"/>
      <c r="Z1019" s="125" t="n"/>
      <c r="AB1019" s="21" t="n"/>
      <c r="AF1019" s="22" t="n"/>
      <c r="AG1019" s="125" t="n"/>
      <c r="AH1019" s="98">
        <f>DADOS_INVOC!$HN$13</f>
        <v/>
      </c>
      <c r="AI1019" s="98">
        <f>DADOS_INVOC!$HO$13</f>
        <v/>
      </c>
      <c r="AJ1019" s="98">
        <f>DADOS_INVOC!$HP$13</f>
        <v/>
      </c>
      <c r="AK1019" s="98">
        <f>DADOS_INVOC!$HQ$13</f>
        <v/>
      </c>
      <c r="AL1019" s="90"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90"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90" t="n"/>
      <c r="AS1023" s="125" t="n"/>
    </row>
    <row r="1024" hidden="1" outlineLevel="1">
      <c r="A1024" s="8" t="n"/>
      <c r="B1024" s="14" t="n"/>
      <c r="C1024" s="125" t="n"/>
      <c r="D1024" s="125" t="n"/>
      <c r="E1024" s="125" t="n"/>
      <c r="F1024" s="125" t="n"/>
      <c r="G1024" s="125" t="n"/>
      <c r="I1024" s="21" t="n"/>
      <c r="M1024" s="22" t="n"/>
      <c r="N1024" s="125" t="n"/>
      <c r="O1024" s="90" t="n"/>
      <c r="P1024" s="19" t="n"/>
      <c r="Q1024" s="20" t="n"/>
      <c r="R1024" s="90" t="inlineStr">
        <is>
          <t>Força</t>
        </is>
      </c>
      <c r="S1024" s="20" t="n"/>
      <c r="T1024" s="125" t="n"/>
      <c r="U1024" s="55" t="inlineStr">
        <is>
          <t>MÃO 2</t>
        </is>
      </c>
      <c r="V1024" s="134" t="n"/>
      <c r="W1024" s="16" t="n"/>
      <c r="X1024" s="17" t="n"/>
      <c r="Y1024" s="90" t="n"/>
      <c r="Z1024" s="125" t="n"/>
      <c r="AB1024" s="21" t="n"/>
      <c r="AF1024" s="22" t="n"/>
      <c r="AG1024" s="125" t="n"/>
      <c r="AH1024" s="90" t="n"/>
      <c r="AI1024" s="19" t="n"/>
      <c r="AJ1024" s="20" t="n"/>
      <c r="AK1024" s="90" t="inlineStr">
        <is>
          <t>Força</t>
        </is>
      </c>
      <c r="AL1024" s="20" t="n"/>
      <c r="AM1024" s="125" t="n"/>
      <c r="AN1024" s="55" t="inlineStr">
        <is>
          <t>MÃO 2</t>
        </is>
      </c>
      <c r="AO1024" s="134" t="n"/>
      <c r="AP1024" s="16" t="n"/>
      <c r="AQ1024" s="17" t="n"/>
      <c r="AR1024" s="90"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90"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90"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90" t="n"/>
      <c r="Z1027" s="125" t="n"/>
      <c r="AB1027" s="21" t="n"/>
      <c r="AF1027" s="22" t="n"/>
      <c r="AG1027" s="125" t="n"/>
      <c r="AH1027" s="55">
        <f>DADOS_INVOC!$HR$13</f>
        <v/>
      </c>
      <c r="AI1027" s="16" t="n"/>
      <c r="AJ1027" s="16" t="n"/>
      <c r="AK1027" s="16" t="n"/>
      <c r="AL1027" s="17" t="n"/>
      <c r="AM1027" s="125" t="n"/>
      <c r="AN1027" s="134" t="n"/>
      <c r="AO1027" s="16" t="n"/>
      <c r="AP1027" s="16" t="n"/>
      <c r="AQ1027" s="17" t="n"/>
      <c r="AR1027" s="90"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90">
        <f>DADOS_INVOC!$HS$7</f>
        <v/>
      </c>
      <c r="S1028" s="17" t="n"/>
      <c r="T1028" s="125" t="n"/>
      <c r="U1028" s="134" t="n"/>
      <c r="V1028" s="16" t="n"/>
      <c r="W1028" s="16" t="n"/>
      <c r="X1028" s="17" t="n"/>
      <c r="Y1028" s="90" t="n"/>
      <c r="Z1028" s="125" t="n"/>
      <c r="AB1028" s="21" t="n"/>
      <c r="AF1028" s="22" t="n"/>
      <c r="AG1028" s="125" t="n"/>
      <c r="AH1028" s="134" t="n"/>
      <c r="AI1028" s="16" t="n"/>
      <c r="AJ1028" s="17" t="n"/>
      <c r="AK1028" s="90">
        <f>DADOS_INVOC!$HS$13</f>
        <v/>
      </c>
      <c r="AL1028" s="17" t="n"/>
      <c r="AM1028" s="125" t="n"/>
      <c r="AN1028" s="134" t="n"/>
      <c r="AO1028" s="16" t="n"/>
      <c r="AP1028" s="16" t="n"/>
      <c r="AQ1028" s="17" t="n"/>
      <c r="AR1028" s="90"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90">
        <f>DADOS_INVOC!$HT$7</f>
        <v/>
      </c>
      <c r="S1029" s="17" t="n"/>
      <c r="T1029" s="125" t="n"/>
      <c r="U1029" s="134" t="n"/>
      <c r="V1029" s="16" t="n"/>
      <c r="W1029" s="16" t="n"/>
      <c r="X1029" s="17" t="n"/>
      <c r="Y1029" s="90" t="n"/>
      <c r="Z1029" s="125" t="n"/>
      <c r="AB1029" s="21" t="n"/>
      <c r="AF1029" s="22" t="n"/>
      <c r="AG1029" s="125" t="n"/>
      <c r="AH1029" s="134" t="n"/>
      <c r="AI1029" s="16" t="n"/>
      <c r="AJ1029" s="17" t="n"/>
      <c r="AK1029" s="90">
        <f>DADOS_INVOC!$HT$13</f>
        <v/>
      </c>
      <c r="AL1029" s="17" t="n"/>
      <c r="AM1029" s="125" t="n"/>
      <c r="AN1029" s="134" t="n"/>
      <c r="AO1029" s="16" t="n"/>
      <c r="AP1029" s="16" t="n"/>
      <c r="AQ1029" s="17" t="n"/>
      <c r="AR1029" s="90"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90">
        <f>DADOS_INVOC!$HU$7</f>
        <v/>
      </c>
      <c r="S1030" s="17" t="n"/>
      <c r="T1030" s="125" t="n"/>
      <c r="U1030" s="134" t="n"/>
      <c r="V1030" s="16" t="n"/>
      <c r="W1030" s="16" t="n"/>
      <c r="X1030" s="17" t="n"/>
      <c r="Y1030" s="90" t="n"/>
      <c r="Z1030" s="125" t="n"/>
      <c r="AB1030" s="23" t="n"/>
      <c r="AC1030" s="24" t="n"/>
      <c r="AD1030" s="24" t="n"/>
      <c r="AE1030" s="24" t="n"/>
      <c r="AF1030" s="25" t="n"/>
      <c r="AG1030" s="125" t="n"/>
      <c r="AH1030" s="134" t="n"/>
      <c r="AI1030" s="16" t="n"/>
      <c r="AJ1030" s="17" t="n"/>
      <c r="AK1030" s="90">
        <f>DADOS_INVOC!$HU$13</f>
        <v/>
      </c>
      <c r="AL1030" s="17" t="n"/>
      <c r="AM1030" s="125" t="n"/>
      <c r="AN1030" s="134" t="n"/>
      <c r="AO1030" s="16" t="n"/>
      <c r="AP1030" s="16" t="n"/>
      <c r="AQ1030" s="17" t="n"/>
      <c r="AR1030" s="90"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90">
        <f>DADOS_INVOC!$HV$7</f>
        <v/>
      </c>
      <c r="S1031" s="17" t="n"/>
      <c r="T1031" s="125" t="n"/>
      <c r="U1031" s="134" t="n"/>
      <c r="V1031" s="16" t="n"/>
      <c r="W1031" s="16" t="n"/>
      <c r="X1031" s="17" t="n"/>
      <c r="Y1031" s="90" t="n"/>
      <c r="Z1031" s="125" t="n"/>
      <c r="AB1031" s="125" t="n"/>
      <c r="AC1031" s="125" t="n"/>
      <c r="AD1031" s="125" t="n"/>
      <c r="AE1031" s="125" t="n"/>
      <c r="AF1031" s="125" t="n"/>
      <c r="AG1031" s="125" t="n"/>
      <c r="AH1031" s="134" t="n"/>
      <c r="AI1031" s="16" t="n"/>
      <c r="AJ1031" s="17" t="n"/>
      <c r="AK1031" s="90">
        <f>DADOS_INVOC!$HV$13</f>
        <v/>
      </c>
      <c r="AL1031" s="17" t="n"/>
      <c r="AM1031" s="125" t="n"/>
      <c r="AN1031" s="134" t="n"/>
      <c r="AO1031" s="16" t="n"/>
      <c r="AP1031" s="16" t="n"/>
      <c r="AQ1031" s="17" t="n"/>
      <c r="AR1031" s="90"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90">
        <f>DADOS_INVOC!$HW$7</f>
        <v/>
      </c>
      <c r="S1032" s="17" t="n"/>
      <c r="T1032" s="125" t="n"/>
      <c r="U1032" s="134" t="n"/>
      <c r="V1032" s="16" t="n"/>
      <c r="W1032" s="16" t="n"/>
      <c r="X1032" s="17" t="n"/>
      <c r="Y1032" s="90" t="n"/>
      <c r="Z1032" s="125" t="n"/>
      <c r="AB1032" s="55" t="inlineStr">
        <is>
          <t>TIPO</t>
        </is>
      </c>
      <c r="AC1032" s="16" t="n"/>
      <c r="AD1032" s="16" t="n"/>
      <c r="AE1032" s="16" t="n"/>
      <c r="AF1032" s="17" t="n"/>
      <c r="AG1032" s="125" t="n"/>
      <c r="AH1032" s="134" t="n"/>
      <c r="AI1032" s="16" t="n"/>
      <c r="AJ1032" s="17" t="n"/>
      <c r="AK1032" s="90">
        <f>DADOS_INVOC!$HW$13</f>
        <v/>
      </c>
      <c r="AL1032" s="17" t="n"/>
      <c r="AM1032" s="125" t="n"/>
      <c r="AN1032" s="134" t="n"/>
      <c r="AO1032" s="16" t="n"/>
      <c r="AP1032" s="16" t="n"/>
      <c r="AQ1032" s="17" t="n"/>
      <c r="AR1032" s="90" t="n"/>
      <c r="AS1032" s="125" t="n"/>
    </row>
    <row r="1033" hidden="1" outlineLevel="1">
      <c r="A1033" s="8" t="n"/>
      <c r="B1033" s="14" t="n"/>
      <c r="C1033" s="125" t="n"/>
      <c r="D1033" s="125" t="n"/>
      <c r="E1033" s="125" t="n"/>
      <c r="F1033" s="125" t="n"/>
      <c r="G1033" s="125" t="n"/>
      <c r="I1033" s="90" t="inlineStr">
        <is>
          <t>Shikigami de técnica</t>
        </is>
      </c>
      <c r="J1033" s="19" t="n"/>
      <c r="K1033" s="19" t="n"/>
      <c r="L1033" s="19" t="n"/>
      <c r="M1033" s="20" t="n"/>
      <c r="N1033" s="125" t="n"/>
      <c r="O1033" s="134" t="n"/>
      <c r="P1033" s="16" t="n"/>
      <c r="Q1033" s="17" t="n"/>
      <c r="R1033" s="90">
        <f>DADOS_INVOC!$HX$7</f>
        <v/>
      </c>
      <c r="S1033" s="17" t="n"/>
      <c r="T1033" s="125" t="n"/>
      <c r="U1033" s="125" t="n"/>
      <c r="V1033" s="125" t="n"/>
      <c r="W1033" s="125" t="n"/>
      <c r="X1033" s="125" t="n"/>
      <c r="Y1033" s="125" t="n"/>
      <c r="Z1033" s="125" t="n"/>
      <c r="AB1033" s="90" t="inlineStr">
        <is>
          <t>Shikigami de técnica</t>
        </is>
      </c>
      <c r="AC1033" s="19" t="n"/>
      <c r="AD1033" s="19" t="n"/>
      <c r="AE1033" s="19" t="n"/>
      <c r="AF1033" s="20" t="n"/>
      <c r="AG1033" s="125" t="n"/>
      <c r="AH1033" s="134" t="n"/>
      <c r="AI1033" s="16" t="n"/>
      <c r="AJ1033" s="17" t="n"/>
      <c r="AK1033" s="90">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90">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90">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90" t="inlineStr">
        <is>
          <t>Espaço conhecido</t>
        </is>
      </c>
      <c r="J1037" s="20" t="n"/>
      <c r="K1037" s="90" t="n"/>
      <c r="L1037" s="90"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90" t="inlineStr">
        <is>
          <t>Espaço conhecido</t>
        </is>
      </c>
      <c r="AC1037" s="20" t="n"/>
      <c r="AD1037" s="90" t="n"/>
      <c r="AE1037" s="90"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90" t="n"/>
      <c r="P1038" s="90" t="n"/>
      <c r="Q1038" s="90" t="n"/>
      <c r="R1038" s="90" t="n"/>
      <c r="S1038" s="90" t="n"/>
      <c r="T1038" s="125" t="n"/>
      <c r="U1038" s="21" t="n"/>
      <c r="Y1038" s="22" t="n"/>
      <c r="Z1038" s="125" t="n"/>
      <c r="AB1038" s="23" t="n"/>
      <c r="AC1038" s="25" t="n"/>
      <c r="AD1038" s="129" t="n"/>
      <c r="AE1038" s="23" t="n"/>
      <c r="AF1038" s="25" t="n"/>
      <c r="AG1038" s="125" t="n"/>
      <c r="AH1038" s="90" t="n"/>
      <c r="AI1038" s="90" t="n"/>
      <c r="AJ1038" s="90" t="n"/>
      <c r="AK1038" s="90" t="n"/>
      <c r="AL1038" s="90"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DADOS_INVOC!$PX$67</f>
        <v/>
      </c>
      <c r="J1047" s="16" t="n"/>
      <c r="K1047" s="16" t="n"/>
      <c r="L1047" s="16" t="n"/>
      <c r="M1047" s="17" t="n"/>
      <c r="N1047" s="125" t="n"/>
      <c r="O1047" s="55">
        <f>DADOS_INVOC!$PX$68</f>
        <v/>
      </c>
      <c r="P1047" s="16" t="n"/>
      <c r="Q1047" s="16" t="n"/>
      <c r="R1047" s="16" t="n"/>
      <c r="S1047" s="17" t="n"/>
      <c r="T1047" s="125" t="n"/>
      <c r="U1047" s="55">
        <f>DADOS_INVOC!$PX$69</f>
        <v/>
      </c>
      <c r="V1047" s="16" t="n"/>
      <c r="W1047" s="16" t="n"/>
      <c r="X1047" s="16" t="n"/>
      <c r="Y1047" s="17" t="n"/>
      <c r="Z1047" s="125" t="n"/>
      <c r="AB1047" s="55">
        <f>DADOS_INVOC!$PX$145</f>
        <v/>
      </c>
      <c r="AC1047" s="16" t="n"/>
      <c r="AD1047" s="16" t="n"/>
      <c r="AE1047" s="16" t="n"/>
      <c r="AF1047" s="17" t="n"/>
      <c r="AG1047" s="125" t="n"/>
      <c r="AH1047" s="55">
        <f>DADOS_INVOC!$PX$146</f>
        <v/>
      </c>
      <c r="AI1047" s="16" t="n"/>
      <c r="AJ1047" s="16" t="n"/>
      <c r="AK1047" s="16" t="n"/>
      <c r="AL1047" s="17" t="n"/>
      <c r="AM1047" s="125" t="n"/>
      <c r="AN1047" s="55">
        <f>DADOS_INVOC!$PX$147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DADOS_INVOC!$PV$67</f>
        <v/>
      </c>
      <c r="N1048" s="125" t="n"/>
      <c r="O1048" s="131" t="n">
        <v>1</v>
      </c>
      <c r="P1048" s="120" t="n"/>
      <c r="Q1048" s="16" t="n"/>
      <c r="R1048" s="17" t="n"/>
      <c r="S1048" s="132">
        <f>DADOS_INVOC!$PV$68</f>
        <v/>
      </c>
      <c r="T1048" s="125" t="n"/>
      <c r="U1048" s="131" t="n">
        <v>1</v>
      </c>
      <c r="V1048" s="120" t="n"/>
      <c r="W1048" s="16" t="n"/>
      <c r="X1048" s="17" t="n"/>
      <c r="Y1048" s="132">
        <f>DADOS_INVOC!$PV$69</f>
        <v/>
      </c>
      <c r="Z1048" s="125" t="n"/>
      <c r="AB1048" s="131" t="n">
        <v>0</v>
      </c>
      <c r="AC1048" s="120" t="n"/>
      <c r="AD1048" s="16" t="n"/>
      <c r="AE1048" s="17" t="n"/>
      <c r="AF1048" s="132">
        <f>DADOS_INVOC!$PV$145</f>
        <v/>
      </c>
      <c r="AG1048" s="125" t="n"/>
      <c r="AH1048" s="131" t="n">
        <v>1</v>
      </c>
      <c r="AI1048" s="120" t="n"/>
      <c r="AJ1048" s="16" t="n"/>
      <c r="AK1048" s="17" t="n"/>
      <c r="AL1048" s="132">
        <f>DADOS_INVOC!$PV$146</f>
        <v/>
      </c>
      <c r="AM1048" s="125" t="n"/>
      <c r="AN1048" s="131" t="n">
        <v>1</v>
      </c>
      <c r="AO1048" s="120" t="n"/>
      <c r="AP1048" s="16" t="n"/>
      <c r="AQ1048" s="17" t="n"/>
      <c r="AR1048" s="132">
        <f>DADOS_INVOC!$PV$147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90" t="inlineStr">
        <is>
          <t>Projétil</t>
        </is>
      </c>
      <c r="J1053" s="17" t="n"/>
      <c r="K1053" s="68">
        <f>DADOS_INVOC!$QC$67</f>
        <v/>
      </c>
      <c r="L1053" s="17" t="n"/>
      <c r="M1053" s="68">
        <f>DADOS_INVOC!$PY$67</f>
        <v/>
      </c>
      <c r="N1053" s="125" t="n"/>
      <c r="O1053" s="90" t="inlineStr">
        <is>
          <t>Projétil</t>
        </is>
      </c>
      <c r="P1053" s="17" t="n"/>
      <c r="Q1053" s="68">
        <f>DADOS_INVOC!$QC$68</f>
        <v/>
      </c>
      <c r="R1053" s="17" t="n"/>
      <c r="S1053" s="68">
        <f>DADOS_INVOC!$PY$68</f>
        <v/>
      </c>
      <c r="T1053" s="125" t="n"/>
      <c r="U1053" s="90" t="inlineStr">
        <is>
          <t>Projétil</t>
        </is>
      </c>
      <c r="V1053" s="17" t="n"/>
      <c r="W1053" s="68">
        <f>DADOS_INVOC!$QC$69</f>
        <v/>
      </c>
      <c r="X1053" s="17" t="n"/>
      <c r="Y1053" s="68">
        <f>DADOS_INVOC!$PY$69</f>
        <v/>
      </c>
      <c r="Z1053" s="125" t="n"/>
      <c r="AB1053" s="90" t="inlineStr">
        <is>
          <t>Projétil</t>
        </is>
      </c>
      <c r="AC1053" s="17" t="n"/>
      <c r="AD1053" s="68">
        <f>DADOS_INVOC!$QC$145</f>
        <v/>
      </c>
      <c r="AE1053" s="17" t="n"/>
      <c r="AF1053" s="68">
        <f>DADOS_INVOC!$PY$145</f>
        <v/>
      </c>
      <c r="AG1053" s="125" t="n"/>
      <c r="AH1053" s="90" t="inlineStr">
        <is>
          <t>Projétil</t>
        </is>
      </c>
      <c r="AI1053" s="17" t="n"/>
      <c r="AJ1053" s="68">
        <f>DADOS_INVOC!$QC$146</f>
        <v/>
      </c>
      <c r="AK1053" s="17" t="n"/>
      <c r="AL1053" s="68">
        <f>DADOS_INVOC!$PY$146</f>
        <v/>
      </c>
      <c r="AM1053" s="125" t="n"/>
      <c r="AN1053" s="90" t="inlineStr">
        <is>
          <t>Projétil</t>
        </is>
      </c>
      <c r="AO1053" s="17" t="n"/>
      <c r="AP1053" s="68">
        <f>DADOS_INVOC!$QC$147</f>
        <v/>
      </c>
      <c r="AQ1053" s="17" t="n"/>
      <c r="AR1053" s="68">
        <f>DADOS_INVOC!$PY$147</f>
        <v/>
      </c>
      <c r="AS1053" s="125" t="n"/>
    </row>
    <row r="1054" hidden="1" outlineLevel="1">
      <c r="A1054" s="8" t="n"/>
      <c r="B1054" s="14" t="n"/>
      <c r="C1054" s="125" t="n"/>
      <c r="D1054" s="125" t="n"/>
      <c r="E1054" s="125" t="n"/>
      <c r="F1054" s="125" t="n"/>
      <c r="G1054" s="125" t="n"/>
      <c r="I1054" s="90" t="n"/>
      <c r="J1054" s="17" t="n"/>
      <c r="K1054" s="90" t="n"/>
      <c r="L1054" s="16" t="n"/>
      <c r="M1054" s="17" t="n"/>
      <c r="N1054" s="125" t="n"/>
      <c r="O1054" s="90" t="n"/>
      <c r="P1054" s="17" t="n"/>
      <c r="Q1054" s="90" t="n"/>
      <c r="R1054" s="16" t="n"/>
      <c r="S1054" s="17" t="n"/>
      <c r="T1054" s="125" t="n"/>
      <c r="U1054" s="90" t="n"/>
      <c r="V1054" s="17" t="n"/>
      <c r="W1054" s="90" t="n"/>
      <c r="X1054" s="16" t="n"/>
      <c r="Y1054" s="17" t="n"/>
      <c r="Z1054" s="125" t="n"/>
      <c r="AB1054" s="90" t="n"/>
      <c r="AC1054" s="17" t="n"/>
      <c r="AD1054" s="90" t="n"/>
      <c r="AE1054" s="16" t="n"/>
      <c r="AF1054" s="17" t="n"/>
      <c r="AG1054" s="125" t="n"/>
      <c r="AH1054" s="90" t="n"/>
      <c r="AI1054" s="17" t="n"/>
      <c r="AJ1054" s="90" t="n"/>
      <c r="AK1054" s="16" t="n"/>
      <c r="AL1054" s="17" t="n"/>
      <c r="AM1054" s="125" t="n"/>
      <c r="AN1054" s="90" t="n"/>
      <c r="AO1054" s="17" t="n"/>
      <c r="AP1054" s="90" t="n"/>
      <c r="AQ1054" s="16" t="n"/>
      <c r="AR1054" s="17" t="n"/>
      <c r="AS1054" s="125" t="n"/>
    </row>
    <row r="1055" hidden="1" outlineLevel="1">
      <c r="A1055" s="8" t="n"/>
      <c r="B1055" s="14" t="n"/>
      <c r="C1055" s="125" t="n"/>
      <c r="D1055" s="125" t="n"/>
      <c r="E1055" s="125" t="n"/>
      <c r="F1055" s="125" t="n"/>
      <c r="G1055" s="125" t="n"/>
      <c r="I1055" s="90">
        <f>DADOS_INVOC!$PZ$67</f>
        <v/>
      </c>
      <c r="J1055" s="17" t="n"/>
      <c r="K1055" s="90">
        <f>DADOS_INVOC!$QB$67</f>
        <v/>
      </c>
      <c r="L1055" s="16" t="n"/>
      <c r="M1055" s="17" t="n"/>
      <c r="N1055" s="125" t="n"/>
      <c r="O1055" s="90">
        <f>DADOS_INVOC!$PZ$68</f>
        <v/>
      </c>
      <c r="P1055" s="17" t="n"/>
      <c r="Q1055" s="90">
        <f>DADOS_INVOC!$QB$68</f>
        <v/>
      </c>
      <c r="R1055" s="16" t="n"/>
      <c r="S1055" s="17" t="n"/>
      <c r="T1055" s="125" t="n"/>
      <c r="U1055" s="90">
        <f>DADOS_INVOC!$PZ$69</f>
        <v/>
      </c>
      <c r="V1055" s="17" t="n"/>
      <c r="W1055" s="90">
        <f>DADOS_INVOC!$QB$69</f>
        <v/>
      </c>
      <c r="X1055" s="16" t="n"/>
      <c r="Y1055" s="17" t="n"/>
      <c r="Z1055" s="125" t="n"/>
      <c r="AB1055" s="90">
        <f>DADOS_INVOC!$PZ$145</f>
        <v/>
      </c>
      <c r="AC1055" s="17" t="n"/>
      <c r="AD1055" s="90">
        <f>DADOS_INVOC!$QB$145</f>
        <v/>
      </c>
      <c r="AE1055" s="16" t="n"/>
      <c r="AF1055" s="17" t="n"/>
      <c r="AG1055" s="125" t="n"/>
      <c r="AH1055" s="90">
        <f>DADOS_INVOC!$PZ$146</f>
        <v/>
      </c>
      <c r="AI1055" s="17" t="n"/>
      <c r="AJ1055" s="90">
        <f>DADOS_INVOC!$QB$146</f>
        <v/>
      </c>
      <c r="AK1055" s="16" t="n"/>
      <c r="AL1055" s="17" t="n"/>
      <c r="AM1055" s="125" t="n"/>
      <c r="AN1055" s="90">
        <f>DADOS_INVOC!$PZ$147</f>
        <v/>
      </c>
      <c r="AO1055" s="17" t="n"/>
      <c r="AP1055" s="90">
        <f>DADOS_INVOC!$QB$147</f>
        <v/>
      </c>
      <c r="AQ1055" s="16" t="n"/>
      <c r="AR1055" s="17" t="n"/>
      <c r="AS1055" s="125" t="n"/>
    </row>
    <row r="1056" hidden="1" outlineLevel="1">
      <c r="A1056" s="8" t="n"/>
      <c r="B1056" s="14" t="n"/>
      <c r="C1056" s="125" t="n"/>
      <c r="D1056" s="125" t="n"/>
      <c r="E1056" s="125" t="n"/>
      <c r="F1056" s="125" t="n"/>
      <c r="G1056" s="125" t="n"/>
      <c r="I1056" s="133">
        <f>DADOS_INVOC!$QH$67</f>
        <v/>
      </c>
      <c r="J1056" s="16" t="n"/>
      <c r="K1056" s="16" t="n"/>
      <c r="L1056" s="16" t="n"/>
      <c r="M1056" s="17" t="n"/>
      <c r="N1056" s="125" t="n"/>
      <c r="O1056" s="133">
        <f>DADOS_INVOC!$QH$68</f>
        <v/>
      </c>
      <c r="P1056" s="16" t="n"/>
      <c r="Q1056" s="16" t="n"/>
      <c r="R1056" s="16" t="n"/>
      <c r="S1056" s="17" t="n"/>
      <c r="T1056" s="125" t="n"/>
      <c r="U1056" s="133">
        <f>DADOS_INVOC!$QH$69</f>
        <v/>
      </c>
      <c r="V1056" s="16" t="n"/>
      <c r="W1056" s="16" t="n"/>
      <c r="X1056" s="16" t="n"/>
      <c r="Y1056" s="17" t="n"/>
      <c r="Z1056" s="125" t="n"/>
      <c r="AB1056" s="133">
        <f>DADOS_INVOC!$QH$145</f>
        <v/>
      </c>
      <c r="AC1056" s="16" t="n"/>
      <c r="AD1056" s="16" t="n"/>
      <c r="AE1056" s="16" t="n"/>
      <c r="AF1056" s="17" t="n"/>
      <c r="AG1056" s="125" t="n"/>
      <c r="AH1056" s="133">
        <f>DADOS_INVOC!$QH$146</f>
        <v/>
      </c>
      <c r="AI1056" s="16" t="n"/>
      <c r="AJ1056" s="16" t="n"/>
      <c r="AK1056" s="16" t="n"/>
      <c r="AL1056" s="17" t="n"/>
      <c r="AM1056" s="125" t="n"/>
      <c r="AN1056" s="133">
        <f>DADOS_INVOC!$QH$147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DADOS_INVOC!$QK$67</f>
        <v/>
      </c>
      <c r="N1057" s="125" t="n"/>
      <c r="O1057" s="55" t="inlineStr">
        <is>
          <t>MELHORIAS</t>
        </is>
      </c>
      <c r="P1057" s="134" t="n"/>
      <c r="Q1057" s="16" t="n"/>
      <c r="R1057" s="17" t="n"/>
      <c r="S1057" s="133">
        <f>DADOS_INVOC!$QK$68</f>
        <v/>
      </c>
      <c r="T1057" s="125" t="n"/>
      <c r="U1057" s="55" t="inlineStr">
        <is>
          <t>MELHORIAS</t>
        </is>
      </c>
      <c r="V1057" s="134" t="n"/>
      <c r="W1057" s="16" t="n"/>
      <c r="X1057" s="17" t="n"/>
      <c r="Y1057" s="133">
        <f>DADOS_INVOC!$QK$69</f>
        <v/>
      </c>
      <c r="Z1057" s="125" t="n"/>
      <c r="AB1057" s="55" t="inlineStr">
        <is>
          <t>MELHORIAS</t>
        </is>
      </c>
      <c r="AC1057" s="134" t="n"/>
      <c r="AD1057" s="16" t="n"/>
      <c r="AE1057" s="17" t="n"/>
      <c r="AF1057" s="133">
        <f>DADOS_INVOC!$QK$145</f>
        <v/>
      </c>
      <c r="AG1057" s="125" t="n"/>
      <c r="AH1057" s="55" t="inlineStr">
        <is>
          <t>MELHORIAS</t>
        </is>
      </c>
      <c r="AI1057" s="134" t="n"/>
      <c r="AJ1057" s="16" t="n"/>
      <c r="AK1057" s="17" t="n"/>
      <c r="AL1057" s="133">
        <f>DADOS_INVOC!$QK$146</f>
        <v/>
      </c>
      <c r="AM1057" s="125" t="n"/>
      <c r="AN1057" s="55" t="inlineStr">
        <is>
          <t>MELHORIAS</t>
        </is>
      </c>
      <c r="AO1057" s="134" t="n"/>
      <c r="AP1057" s="16" t="n"/>
      <c r="AQ1057" s="17" t="n"/>
      <c r="AR1057" s="133">
        <f>DADOS_INVOC!$QK$147</f>
        <v/>
      </c>
      <c r="AS1057" s="125" t="n"/>
    </row>
    <row r="1058" hidden="1" outlineLevel="2">
      <c r="A1058" s="8" t="n"/>
      <c r="B1058" s="14" t="n"/>
      <c r="C1058" s="125" t="n"/>
      <c r="D1058" s="125" t="n"/>
      <c r="E1058" s="125" t="n"/>
      <c r="F1058" s="125" t="n"/>
      <c r="G1058" s="125" t="n"/>
      <c r="I1058" s="135" t="n"/>
      <c r="J1058" s="134" t="n"/>
      <c r="K1058" s="16" t="n"/>
      <c r="L1058" s="17" t="n"/>
      <c r="M1058" s="133">
        <f>DADOS_INVOC!$QL$67</f>
        <v/>
      </c>
      <c r="N1058" s="125" t="n"/>
      <c r="O1058" s="135" t="n"/>
      <c r="P1058" s="134" t="n"/>
      <c r="Q1058" s="16" t="n"/>
      <c r="R1058" s="17" t="n"/>
      <c r="S1058" s="133">
        <f>DADOS_INVOC!$QL$68</f>
        <v/>
      </c>
      <c r="T1058" s="125" t="n"/>
      <c r="U1058" s="135" t="n"/>
      <c r="V1058" s="134" t="n"/>
      <c r="W1058" s="16" t="n"/>
      <c r="X1058" s="17" t="n"/>
      <c r="Y1058" s="133">
        <f>DADOS_INVOC!$QL$69</f>
        <v/>
      </c>
      <c r="Z1058" s="125" t="n"/>
      <c r="AB1058" s="135" t="n"/>
      <c r="AC1058" s="134" t="n"/>
      <c r="AD1058" s="16" t="n"/>
      <c r="AE1058" s="17" t="n"/>
      <c r="AF1058" s="133">
        <f>DADOS_INVOC!$QL$145</f>
        <v/>
      </c>
      <c r="AG1058" s="125" t="n"/>
      <c r="AH1058" s="135" t="n"/>
      <c r="AI1058" s="134" t="n"/>
      <c r="AJ1058" s="16" t="n"/>
      <c r="AK1058" s="17" t="n"/>
      <c r="AL1058" s="133">
        <f>DADOS_INVOC!$QL$146</f>
        <v/>
      </c>
      <c r="AM1058" s="125" t="n"/>
      <c r="AN1058" s="135" t="n"/>
      <c r="AO1058" s="134" t="n"/>
      <c r="AP1058" s="16" t="n"/>
      <c r="AQ1058" s="17" t="n"/>
      <c r="AR1058" s="133">
        <f>DADOS_INVOC!$QL$147</f>
        <v/>
      </c>
      <c r="AS1058" s="125" t="n"/>
    </row>
    <row r="1059" hidden="1" outlineLevel="2">
      <c r="A1059" s="8" t="n"/>
      <c r="B1059" s="14" t="n"/>
      <c r="C1059" s="125" t="n"/>
      <c r="D1059" s="125" t="n"/>
      <c r="E1059" s="125" t="n"/>
      <c r="F1059" s="125" t="n"/>
      <c r="G1059" s="125" t="n"/>
      <c r="I1059" s="135" t="n"/>
      <c r="J1059" s="134" t="n"/>
      <c r="K1059" s="16" t="n"/>
      <c r="L1059" s="17" t="n"/>
      <c r="M1059" s="133">
        <f>DADOS_INVOC!$QM$67</f>
        <v/>
      </c>
      <c r="N1059" s="125" t="n"/>
      <c r="O1059" s="135" t="n"/>
      <c r="P1059" s="134" t="n"/>
      <c r="Q1059" s="16" t="n"/>
      <c r="R1059" s="17" t="n"/>
      <c r="S1059" s="133">
        <f>DADOS_INVOC!$QM$68</f>
        <v/>
      </c>
      <c r="T1059" s="125" t="n"/>
      <c r="U1059" s="135" t="n"/>
      <c r="V1059" s="134" t="n"/>
      <c r="W1059" s="16" t="n"/>
      <c r="X1059" s="17" t="n"/>
      <c r="Y1059" s="133">
        <f>DADOS_INVOC!$QM$69</f>
        <v/>
      </c>
      <c r="Z1059" s="125" t="n"/>
      <c r="AB1059" s="135" t="n"/>
      <c r="AC1059" s="134" t="n"/>
      <c r="AD1059" s="16" t="n"/>
      <c r="AE1059" s="17" t="n"/>
      <c r="AF1059" s="133">
        <f>DADOS_INVOC!$QM$145</f>
        <v/>
      </c>
      <c r="AG1059" s="125" t="n"/>
      <c r="AH1059" s="135" t="n"/>
      <c r="AI1059" s="134" t="n"/>
      <c r="AJ1059" s="16" t="n"/>
      <c r="AK1059" s="17" t="n"/>
      <c r="AL1059" s="133">
        <f>DADOS_INVOC!$QM$146</f>
        <v/>
      </c>
      <c r="AM1059" s="125" t="n"/>
      <c r="AN1059" s="135" t="n"/>
      <c r="AO1059" s="134" t="n"/>
      <c r="AP1059" s="16" t="n"/>
      <c r="AQ1059" s="17" t="n"/>
      <c r="AR1059" s="133">
        <f>DADOS_INVOC!$QM$147</f>
        <v/>
      </c>
      <c r="AS1059" s="125" t="n"/>
    </row>
    <row r="1060" hidden="1" outlineLevel="2">
      <c r="A1060" s="8" t="n"/>
      <c r="B1060" s="14" t="n"/>
      <c r="C1060" s="125" t="n"/>
      <c r="D1060" s="125" t="n"/>
      <c r="E1060" s="125" t="n"/>
      <c r="F1060" s="125" t="n"/>
      <c r="G1060" s="125" t="n"/>
      <c r="I1060" s="129" t="n"/>
      <c r="J1060" s="134" t="n"/>
      <c r="K1060" s="16" t="n"/>
      <c r="L1060" s="17" t="n"/>
      <c r="M1060" s="133">
        <f>DADOS_INVOC!$QN$67</f>
        <v/>
      </c>
      <c r="N1060" s="125" t="n"/>
      <c r="O1060" s="129" t="n"/>
      <c r="P1060" s="134" t="n"/>
      <c r="Q1060" s="16" t="n"/>
      <c r="R1060" s="17" t="n"/>
      <c r="S1060" s="133">
        <f>DADOS_INVOC!$QN$68</f>
        <v/>
      </c>
      <c r="T1060" s="125" t="n"/>
      <c r="U1060" s="129" t="n"/>
      <c r="V1060" s="134" t="n"/>
      <c r="W1060" s="16" t="n"/>
      <c r="X1060" s="17" t="n"/>
      <c r="Y1060" s="133">
        <f>DADOS_INVOC!$QN$69</f>
        <v/>
      </c>
      <c r="Z1060" s="125" t="n"/>
      <c r="AB1060" s="129" t="n"/>
      <c r="AC1060" s="134" t="n"/>
      <c r="AD1060" s="16" t="n"/>
      <c r="AE1060" s="17" t="n"/>
      <c r="AF1060" s="133">
        <f>DADOS_INVOC!$QN$145</f>
        <v/>
      </c>
      <c r="AG1060" s="125" t="n"/>
      <c r="AH1060" s="129" t="n"/>
      <c r="AI1060" s="134" t="n"/>
      <c r="AJ1060" s="16" t="n"/>
      <c r="AK1060" s="17" t="n"/>
      <c r="AL1060" s="133">
        <f>DADOS_INVOC!$QN$146</f>
        <v/>
      </c>
      <c r="AM1060" s="125" t="n"/>
      <c r="AN1060" s="129" t="n"/>
      <c r="AO1060" s="134" t="n"/>
      <c r="AP1060" s="16" t="n"/>
      <c r="AQ1060" s="17" t="n"/>
      <c r="AR1060" s="133">
        <f>DADOS_INVOC!$QN$147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DADOS_INVOC!$QO$67</f>
        <v/>
      </c>
      <c r="N1061" s="125" t="n"/>
      <c r="O1061" s="55" t="inlineStr">
        <is>
          <t>RESTRIÇÕES</t>
        </is>
      </c>
      <c r="P1061" s="134" t="n"/>
      <c r="Q1061" s="16" t="n"/>
      <c r="R1061" s="17" t="n"/>
      <c r="S1061" s="133">
        <f>DADOS_INVOC!$QO$68</f>
        <v/>
      </c>
      <c r="T1061" s="125" t="n"/>
      <c r="U1061" s="55" t="inlineStr">
        <is>
          <t>RESTRIÇÕES</t>
        </is>
      </c>
      <c r="V1061" s="134" t="n"/>
      <c r="W1061" s="16" t="n"/>
      <c r="X1061" s="17" t="n"/>
      <c r="Y1061" s="133">
        <f>DADOS_INVOC!$QO$69</f>
        <v/>
      </c>
      <c r="Z1061" s="125" t="n"/>
      <c r="AB1061" s="55" t="inlineStr">
        <is>
          <t>RESTRIÇÕES</t>
        </is>
      </c>
      <c r="AC1061" s="134" t="n"/>
      <c r="AD1061" s="16" t="n"/>
      <c r="AE1061" s="17" t="n"/>
      <c r="AF1061" s="133">
        <f>DADOS_INVOC!$QO$145</f>
        <v/>
      </c>
      <c r="AG1061" s="125" t="n"/>
      <c r="AH1061" s="55" t="inlineStr">
        <is>
          <t>RESTRIÇÕES</t>
        </is>
      </c>
      <c r="AI1061" s="134" t="n"/>
      <c r="AJ1061" s="16" t="n"/>
      <c r="AK1061" s="17" t="n"/>
      <c r="AL1061" s="133">
        <f>DADOS_INVOC!$QO$146</f>
        <v/>
      </c>
      <c r="AM1061" s="125" t="n"/>
      <c r="AN1061" s="55" t="inlineStr">
        <is>
          <t>RESTRIÇÕES</t>
        </is>
      </c>
      <c r="AO1061" s="134" t="n"/>
      <c r="AP1061" s="16" t="n"/>
      <c r="AQ1061" s="17" t="n"/>
      <c r="AR1061" s="133">
        <f>DADOS_INVOC!$QO$147</f>
        <v/>
      </c>
      <c r="AS1061" s="125" t="n"/>
    </row>
    <row r="1062" hidden="1" outlineLevel="2">
      <c r="A1062" s="8" t="n"/>
      <c r="B1062" s="14" t="n"/>
      <c r="C1062" s="125" t="n"/>
      <c r="D1062" s="125" t="n"/>
      <c r="E1062" s="125" t="n"/>
      <c r="F1062" s="125" t="n"/>
      <c r="G1062" s="125" t="n"/>
      <c r="I1062" s="129" t="n"/>
      <c r="J1062" s="134" t="n"/>
      <c r="K1062" s="16" t="n"/>
      <c r="L1062" s="17" t="n"/>
      <c r="M1062" s="133">
        <f>DADOS_INVOC!$QP$67</f>
        <v/>
      </c>
      <c r="N1062" s="125" t="n"/>
      <c r="O1062" s="129" t="n"/>
      <c r="P1062" s="134" t="n"/>
      <c r="Q1062" s="16" t="n"/>
      <c r="R1062" s="17" t="n"/>
      <c r="S1062" s="133">
        <f>DADOS_INVOC!$QP$68</f>
        <v/>
      </c>
      <c r="T1062" s="125" t="n"/>
      <c r="U1062" s="129" t="n"/>
      <c r="V1062" s="134" t="n"/>
      <c r="W1062" s="16" t="n"/>
      <c r="X1062" s="17" t="n"/>
      <c r="Y1062" s="133">
        <f>DADOS_INVOC!$QP$69</f>
        <v/>
      </c>
      <c r="Z1062" s="125" t="n"/>
      <c r="AB1062" s="129" t="n"/>
      <c r="AC1062" s="134" t="n"/>
      <c r="AD1062" s="16" t="n"/>
      <c r="AE1062" s="17" t="n"/>
      <c r="AF1062" s="133">
        <f>DADOS_INVOC!$QP$145</f>
        <v/>
      </c>
      <c r="AG1062" s="125" t="n"/>
      <c r="AH1062" s="129" t="n"/>
      <c r="AI1062" s="134" t="n"/>
      <c r="AJ1062" s="16" t="n"/>
      <c r="AK1062" s="17" t="n"/>
      <c r="AL1062" s="133">
        <f>DADOS_INVOC!$QP$146</f>
        <v/>
      </c>
      <c r="AM1062" s="125" t="n"/>
      <c r="AN1062" s="129" t="n"/>
      <c r="AO1062" s="134" t="n"/>
      <c r="AP1062" s="16" t="n"/>
      <c r="AQ1062" s="17" t="n"/>
      <c r="AR1062" s="133">
        <f>DADOS_INVOC!$QP$147</f>
        <v/>
      </c>
      <c r="AS1062" s="125" t="n"/>
    </row>
    <row r="1063" hidden="1" outlineLevel="2">
      <c r="A1063" s="8" t="n"/>
      <c r="B1063" s="14" t="n"/>
      <c r="C1063" s="125" t="n"/>
      <c r="D1063" s="125" t="n"/>
      <c r="E1063" s="125" t="n"/>
      <c r="F1063" s="125" t="n"/>
      <c r="G1063" s="125" t="n"/>
      <c r="I1063" s="55" t="inlineStr">
        <is>
          <t>CONTA</t>
        </is>
      </c>
      <c r="J1063" s="136">
        <f>DADOS_INVOC!$QI$67</f>
        <v/>
      </c>
      <c r="K1063" s="16" t="n"/>
      <c r="L1063" s="16" t="n"/>
      <c r="M1063" s="17" t="n"/>
      <c r="N1063" s="125" t="n"/>
      <c r="O1063" s="55" t="inlineStr">
        <is>
          <t>CONTA</t>
        </is>
      </c>
      <c r="P1063" s="136">
        <f>DADOS_INVOC!$QI$68</f>
        <v/>
      </c>
      <c r="Q1063" s="16" t="n"/>
      <c r="R1063" s="16" t="n"/>
      <c r="S1063" s="17" t="n"/>
      <c r="T1063" s="125" t="n"/>
      <c r="U1063" s="55" t="inlineStr">
        <is>
          <t>CONTA</t>
        </is>
      </c>
      <c r="V1063" s="136">
        <f>DADOS_INVOC!$QI$69</f>
        <v/>
      </c>
      <c r="W1063" s="16" t="n"/>
      <c r="X1063" s="16" t="n"/>
      <c r="Y1063" s="17" t="n"/>
      <c r="Z1063" s="125" t="n"/>
      <c r="AB1063" s="55" t="inlineStr">
        <is>
          <t>CONTA</t>
        </is>
      </c>
      <c r="AC1063" s="136">
        <f>DADOS_INVOC!$QI$145</f>
        <v/>
      </c>
      <c r="AD1063" s="16" t="n"/>
      <c r="AE1063" s="16" t="n"/>
      <c r="AF1063" s="17" t="n"/>
      <c r="AG1063" s="125" t="n"/>
      <c r="AH1063" s="55" t="inlineStr">
        <is>
          <t>CONTA</t>
        </is>
      </c>
      <c r="AI1063" s="136">
        <f>DADOS_INVOC!$QI$146</f>
        <v/>
      </c>
      <c r="AJ1063" s="16" t="n"/>
      <c r="AK1063" s="16" t="n"/>
      <c r="AL1063" s="17" t="n"/>
      <c r="AM1063" s="125" t="n"/>
      <c r="AN1063" s="55" t="inlineStr">
        <is>
          <t>CONTA</t>
        </is>
      </c>
      <c r="AO1063" s="136">
        <f>DADOS_INVOC!$QI$147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DADOS_INVOC!$QJ$67</f>
        <v/>
      </c>
      <c r="K1064" s="19" t="n"/>
      <c r="L1064" s="19" t="n"/>
      <c r="M1064" s="20" t="n"/>
      <c r="N1064" s="125" t="n"/>
      <c r="O1064" s="55" t="inlineStr">
        <is>
          <t>AMPLIAR</t>
        </is>
      </c>
      <c r="P1064" s="136">
        <f>DADOS_INVOC!$QJ$68</f>
        <v/>
      </c>
      <c r="Q1064" s="19" t="n"/>
      <c r="R1064" s="19" t="n"/>
      <c r="S1064" s="20" t="n"/>
      <c r="T1064" s="125" t="n"/>
      <c r="U1064" s="55" t="inlineStr">
        <is>
          <t>AMPLIAR</t>
        </is>
      </c>
      <c r="V1064" s="136">
        <f>DADOS_INVOC!$QJ$69</f>
        <v/>
      </c>
      <c r="W1064" s="19" t="n"/>
      <c r="X1064" s="19" t="n"/>
      <c r="Y1064" s="20" t="n"/>
      <c r="Z1064" s="125" t="n"/>
      <c r="AB1064" s="55" t="inlineStr">
        <is>
          <t>AMPLIAR</t>
        </is>
      </c>
      <c r="AC1064" s="136">
        <f>DADOS_INVOC!$QJ$145</f>
        <v/>
      </c>
      <c r="AD1064" s="19" t="n"/>
      <c r="AE1064" s="19" t="n"/>
      <c r="AF1064" s="20" t="n"/>
      <c r="AG1064" s="125" t="n"/>
      <c r="AH1064" s="55" t="inlineStr">
        <is>
          <t>AMPLIAR</t>
        </is>
      </c>
      <c r="AI1064" s="136">
        <f>DADOS_INVOC!$QJ$146</f>
        <v/>
      </c>
      <c r="AJ1064" s="19" t="n"/>
      <c r="AK1064" s="19" t="n"/>
      <c r="AL1064" s="20" t="n"/>
      <c r="AM1064" s="125" t="n"/>
      <c r="AN1064" s="55" t="inlineStr">
        <is>
          <t>AMPLIAR</t>
        </is>
      </c>
      <c r="AO1064" s="136">
        <f>DADOS_INVOC!$QJ$147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DADOS_INVOC!$PW$67</f>
        <v/>
      </c>
      <c r="J1066" s="19" t="n"/>
      <c r="K1066" s="19" t="n"/>
      <c r="L1066" s="19" t="n"/>
      <c r="M1066" s="20" t="n"/>
      <c r="N1066" s="125" t="n"/>
      <c r="O1066" s="136">
        <f>DADOS_INVOC!$PW$68</f>
        <v/>
      </c>
      <c r="P1066" s="19" t="n"/>
      <c r="Q1066" s="19" t="n"/>
      <c r="R1066" s="19" t="n"/>
      <c r="S1066" s="20" t="n"/>
      <c r="T1066" s="125" t="n"/>
      <c r="U1066" s="136">
        <f>DADOS_INVOC!$PW$69</f>
        <v/>
      </c>
      <c r="V1066" s="19" t="n"/>
      <c r="W1066" s="19" t="n"/>
      <c r="X1066" s="19" t="n"/>
      <c r="Y1066" s="20" t="n"/>
      <c r="Z1066" s="125" t="n"/>
      <c r="AB1066" s="136">
        <f>DADOS_INVOC!$PW$145</f>
        <v/>
      </c>
      <c r="AC1066" s="19" t="n"/>
      <c r="AD1066" s="19" t="n"/>
      <c r="AE1066" s="19" t="n"/>
      <c r="AF1066" s="20" t="n"/>
      <c r="AG1066" s="125" t="n"/>
      <c r="AH1066" s="136">
        <f>DADOS_INVOC!$PW$146</f>
        <v/>
      </c>
      <c r="AI1066" s="19" t="n"/>
      <c r="AJ1066" s="19" t="n"/>
      <c r="AK1066" s="19" t="n"/>
      <c r="AL1066" s="20" t="n"/>
      <c r="AM1066" s="125" t="n"/>
      <c r="AN1066" s="136">
        <f>DADOS_INVOC!$PW$147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DADOS_INVOC!$PX$70</f>
        <v/>
      </c>
      <c r="J1081" s="16" t="n"/>
      <c r="K1081" s="16" t="n"/>
      <c r="L1081" s="16" t="n"/>
      <c r="M1081" s="17" t="n"/>
      <c r="N1081" s="125" t="n"/>
      <c r="O1081" s="55">
        <f>DADOS_INVOC!$PX$71</f>
        <v/>
      </c>
      <c r="P1081" s="16" t="n"/>
      <c r="Q1081" s="16" t="n"/>
      <c r="R1081" s="16" t="n"/>
      <c r="S1081" s="17" t="n"/>
      <c r="T1081" s="125" t="n"/>
      <c r="U1081" s="55">
        <f>DADOS_INVOC!$PX$72</f>
        <v/>
      </c>
      <c r="V1081" s="16" t="n"/>
      <c r="W1081" s="16" t="n"/>
      <c r="X1081" s="16" t="n"/>
      <c r="Y1081" s="17" t="n"/>
      <c r="Z1081" s="125" t="n"/>
      <c r="AB1081" s="55">
        <f>DADOS_INVOC!$PX$148</f>
        <v/>
      </c>
      <c r="AC1081" s="16" t="n"/>
      <c r="AD1081" s="16" t="n"/>
      <c r="AE1081" s="16" t="n"/>
      <c r="AF1081" s="17" t="n"/>
      <c r="AG1081" s="125" t="n"/>
      <c r="AH1081" s="55">
        <f>DADOS_INVOC!$PX$149</f>
        <v/>
      </c>
      <c r="AI1081" s="16" t="n"/>
      <c r="AJ1081" s="16" t="n"/>
      <c r="AK1081" s="16" t="n"/>
      <c r="AL1081" s="17" t="n"/>
      <c r="AM1081" s="125" t="n"/>
      <c r="AN1081" s="55">
        <f>DADOS_INVOC!$PX$150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DADOS_INVOC!$PV$70</f>
        <v/>
      </c>
      <c r="N1082" s="125" t="n"/>
      <c r="O1082" s="131" t="n">
        <v>1</v>
      </c>
      <c r="P1082" s="120" t="n"/>
      <c r="Q1082" s="16" t="n"/>
      <c r="R1082" s="17" t="n"/>
      <c r="S1082" s="132">
        <f>DADOS_INVOC!$PV$71</f>
        <v/>
      </c>
      <c r="T1082" s="125" t="n"/>
      <c r="U1082" s="131" t="n">
        <v>1</v>
      </c>
      <c r="V1082" s="120" t="n"/>
      <c r="W1082" s="16" t="n"/>
      <c r="X1082" s="17" t="n"/>
      <c r="Y1082" s="132">
        <f>DADOS_INVOC!$PV$72</f>
        <v/>
      </c>
      <c r="Z1082" s="125" t="n"/>
      <c r="AB1082" s="131" t="n">
        <v>0</v>
      </c>
      <c r="AC1082" s="120" t="n"/>
      <c r="AD1082" s="16" t="n"/>
      <c r="AE1082" s="17" t="n"/>
      <c r="AF1082" s="132">
        <f>DADOS_INVOC!$PV$148</f>
        <v/>
      </c>
      <c r="AG1082" s="125" t="n"/>
      <c r="AH1082" s="131" t="n">
        <v>1</v>
      </c>
      <c r="AI1082" s="120" t="n"/>
      <c r="AJ1082" s="16" t="n"/>
      <c r="AK1082" s="17" t="n"/>
      <c r="AL1082" s="132">
        <f>DADOS_INVOC!$PV$149</f>
        <v/>
      </c>
      <c r="AM1082" s="125" t="n"/>
      <c r="AN1082" s="131" t="n">
        <v>1</v>
      </c>
      <c r="AO1082" s="120" t="n"/>
      <c r="AP1082" s="16" t="n"/>
      <c r="AQ1082" s="17" t="n"/>
      <c r="AR1082" s="132">
        <f>DADOS_INVOC!$PV$150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90" t="inlineStr">
        <is>
          <t>Projétil</t>
        </is>
      </c>
      <c r="J1087" s="17" t="n"/>
      <c r="K1087" s="68">
        <f>DADOS_INVOC!$QC$70</f>
        <v/>
      </c>
      <c r="L1087" s="17" t="n"/>
      <c r="M1087" s="68">
        <f>DADOS_INVOC!$PY$70</f>
        <v/>
      </c>
      <c r="N1087" s="125" t="n"/>
      <c r="O1087" s="90" t="inlineStr">
        <is>
          <t>Projétil</t>
        </is>
      </c>
      <c r="P1087" s="17" t="n"/>
      <c r="Q1087" s="68">
        <f>DADOS_INVOC!$QC$71</f>
        <v/>
      </c>
      <c r="R1087" s="17" t="n"/>
      <c r="S1087" s="68">
        <f>DADOS_INVOC!$PY$71</f>
        <v/>
      </c>
      <c r="T1087" s="125" t="n"/>
      <c r="U1087" s="90" t="inlineStr">
        <is>
          <t>Projétil</t>
        </is>
      </c>
      <c r="V1087" s="17" t="n"/>
      <c r="W1087" s="68">
        <f>DADOS_INVOC!$QC$72</f>
        <v/>
      </c>
      <c r="X1087" s="17" t="n"/>
      <c r="Y1087" s="68">
        <f>DADOS_INVOC!$PY$72</f>
        <v/>
      </c>
      <c r="Z1087" s="125" t="n"/>
      <c r="AB1087" s="90" t="inlineStr">
        <is>
          <t>Projétil</t>
        </is>
      </c>
      <c r="AC1087" s="17" t="n"/>
      <c r="AD1087" s="68">
        <f>DADOS_INVOC!$QC$148</f>
        <v/>
      </c>
      <c r="AE1087" s="17" t="n"/>
      <c r="AF1087" s="68">
        <f>DADOS_INVOC!$PY$148</f>
        <v/>
      </c>
      <c r="AG1087" s="125" t="n"/>
      <c r="AH1087" s="90" t="inlineStr">
        <is>
          <t>Projétil</t>
        </is>
      </c>
      <c r="AI1087" s="17" t="n"/>
      <c r="AJ1087" s="68">
        <f>DADOS_INVOC!$QC$149</f>
        <v/>
      </c>
      <c r="AK1087" s="17" t="n"/>
      <c r="AL1087" s="68">
        <f>DADOS_INVOC!$PY$149</f>
        <v/>
      </c>
      <c r="AM1087" s="125" t="n"/>
      <c r="AN1087" s="90" t="inlineStr">
        <is>
          <t>Projétil</t>
        </is>
      </c>
      <c r="AO1087" s="17" t="n"/>
      <c r="AP1087" s="68">
        <f>DADOS_INVOC!$QC$150</f>
        <v/>
      </c>
      <c r="AQ1087" s="17" t="n"/>
      <c r="AR1087" s="68">
        <f>DADOS_INVOC!$PY$150</f>
        <v/>
      </c>
      <c r="AS1087" s="125" t="n"/>
    </row>
    <row r="1088" hidden="1" outlineLevel="2">
      <c r="A1088" s="8" t="n"/>
      <c r="B1088" s="14" t="n"/>
      <c r="C1088" s="125" t="n"/>
      <c r="D1088" s="125" t="n"/>
      <c r="E1088" s="125" t="n"/>
      <c r="F1088" s="125" t="n"/>
      <c r="G1088" s="125" t="n"/>
      <c r="I1088" s="90" t="n"/>
      <c r="J1088" s="17" t="n"/>
      <c r="K1088" s="90" t="n"/>
      <c r="L1088" s="16" t="n"/>
      <c r="M1088" s="17" t="n"/>
      <c r="N1088" s="125" t="n"/>
      <c r="O1088" s="90" t="n"/>
      <c r="P1088" s="17" t="n"/>
      <c r="Q1088" s="90" t="n"/>
      <c r="R1088" s="16" t="n"/>
      <c r="S1088" s="17" t="n"/>
      <c r="T1088" s="125" t="n"/>
      <c r="U1088" s="90" t="n"/>
      <c r="V1088" s="17" t="n"/>
      <c r="W1088" s="90" t="n"/>
      <c r="X1088" s="16" t="n"/>
      <c r="Y1088" s="17" t="n"/>
      <c r="Z1088" s="125" t="n"/>
      <c r="AB1088" s="90" t="n"/>
      <c r="AC1088" s="17" t="n"/>
      <c r="AD1088" s="90" t="n"/>
      <c r="AE1088" s="16" t="n"/>
      <c r="AF1088" s="17" t="n"/>
      <c r="AG1088" s="125" t="n"/>
      <c r="AH1088" s="90" t="n"/>
      <c r="AI1088" s="17" t="n"/>
      <c r="AJ1088" s="90" t="n"/>
      <c r="AK1088" s="16" t="n"/>
      <c r="AL1088" s="17" t="n"/>
      <c r="AM1088" s="125" t="n"/>
      <c r="AN1088" s="90" t="n"/>
      <c r="AO1088" s="17" t="n"/>
      <c r="AP1088" s="90" t="n"/>
      <c r="AQ1088" s="16" t="n"/>
      <c r="AR1088" s="17" t="n"/>
      <c r="AS1088" s="125" t="n"/>
    </row>
    <row r="1089" hidden="1" outlineLevel="2">
      <c r="A1089" s="8" t="n"/>
      <c r="B1089" s="14" t="n"/>
      <c r="C1089" s="125" t="n"/>
      <c r="D1089" s="125" t="n"/>
      <c r="E1089" s="125" t="n"/>
      <c r="F1089" s="125" t="n"/>
      <c r="G1089" s="125" t="n"/>
      <c r="I1089" s="90">
        <f>DADOS_INVOC!$PZ$70</f>
        <v/>
      </c>
      <c r="J1089" s="17" t="n"/>
      <c r="K1089" s="90">
        <f>DADOS_INVOC!$QB$70</f>
        <v/>
      </c>
      <c r="L1089" s="16" t="n"/>
      <c r="M1089" s="17" t="n"/>
      <c r="N1089" s="125" t="n"/>
      <c r="O1089" s="90">
        <f>DADOS_INVOC!$PZ$71</f>
        <v/>
      </c>
      <c r="P1089" s="17" t="n"/>
      <c r="Q1089" s="90">
        <f>DADOS_INVOC!$QB$71</f>
        <v/>
      </c>
      <c r="R1089" s="16" t="n"/>
      <c r="S1089" s="17" t="n"/>
      <c r="T1089" s="125" t="n"/>
      <c r="U1089" s="90">
        <f>DADOS_INVOC!$PZ$72</f>
        <v/>
      </c>
      <c r="V1089" s="17" t="n"/>
      <c r="W1089" s="90">
        <f>DADOS_INVOC!$QB$72</f>
        <v/>
      </c>
      <c r="X1089" s="16" t="n"/>
      <c r="Y1089" s="17" t="n"/>
      <c r="Z1089" s="125" t="n"/>
      <c r="AB1089" s="90">
        <f>DADOS_INVOC!$PZ$148</f>
        <v/>
      </c>
      <c r="AC1089" s="17" t="n"/>
      <c r="AD1089" s="90">
        <f>DADOS_INVOC!$QB$148</f>
        <v/>
      </c>
      <c r="AE1089" s="16" t="n"/>
      <c r="AF1089" s="17" t="n"/>
      <c r="AG1089" s="125" t="n"/>
      <c r="AH1089" s="90">
        <f>DADOS_INVOC!$PZ$149</f>
        <v/>
      </c>
      <c r="AI1089" s="17" t="n"/>
      <c r="AJ1089" s="90">
        <f>DADOS_INVOC!$QB$149</f>
        <v/>
      </c>
      <c r="AK1089" s="16" t="n"/>
      <c r="AL1089" s="17" t="n"/>
      <c r="AM1089" s="125" t="n"/>
      <c r="AN1089" s="90">
        <f>DADOS_INVOC!$PZ$150</f>
        <v/>
      </c>
      <c r="AO1089" s="17" t="n"/>
      <c r="AP1089" s="90">
        <f>DADOS_INVOC!$QB$150</f>
        <v/>
      </c>
      <c r="AQ1089" s="16" t="n"/>
      <c r="AR1089" s="17" t="n"/>
      <c r="AS1089" s="125" t="n"/>
    </row>
    <row r="1090" hidden="1" outlineLevel="2">
      <c r="A1090" s="8" t="n"/>
      <c r="B1090" s="14" t="n"/>
      <c r="C1090" s="125" t="n"/>
      <c r="D1090" s="125" t="n"/>
      <c r="E1090" s="125" t="n"/>
      <c r="F1090" s="125" t="n"/>
      <c r="G1090" s="125" t="n"/>
      <c r="I1090" s="133">
        <f>DADOS_INVOC!$QH$70</f>
        <v/>
      </c>
      <c r="J1090" s="16" t="n"/>
      <c r="K1090" s="16" t="n"/>
      <c r="L1090" s="16" t="n"/>
      <c r="M1090" s="17" t="n"/>
      <c r="N1090" s="125" t="n"/>
      <c r="O1090" s="133">
        <f>DADOS_INVOC!$QH$71</f>
        <v/>
      </c>
      <c r="P1090" s="16" t="n"/>
      <c r="Q1090" s="16" t="n"/>
      <c r="R1090" s="16" t="n"/>
      <c r="S1090" s="17" t="n"/>
      <c r="T1090" s="125" t="n"/>
      <c r="U1090" s="133">
        <f>DADOS_INVOC!$QH$72</f>
        <v/>
      </c>
      <c r="V1090" s="16" t="n"/>
      <c r="W1090" s="16" t="n"/>
      <c r="X1090" s="16" t="n"/>
      <c r="Y1090" s="17" t="n"/>
      <c r="Z1090" s="125" t="n"/>
      <c r="AB1090" s="133">
        <f>DADOS_INVOC!$QH$148</f>
        <v/>
      </c>
      <c r="AC1090" s="16" t="n"/>
      <c r="AD1090" s="16" t="n"/>
      <c r="AE1090" s="16" t="n"/>
      <c r="AF1090" s="17" t="n"/>
      <c r="AG1090" s="125" t="n"/>
      <c r="AH1090" s="133">
        <f>DADOS_INVOC!$QH$149</f>
        <v/>
      </c>
      <c r="AI1090" s="16" t="n"/>
      <c r="AJ1090" s="16" t="n"/>
      <c r="AK1090" s="16" t="n"/>
      <c r="AL1090" s="17" t="n"/>
      <c r="AM1090" s="125" t="n"/>
      <c r="AN1090" s="133">
        <f>DADOS_INVOC!$QH$150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DADOS_INVOC!$QK$70</f>
        <v/>
      </c>
      <c r="N1091" s="125" t="n"/>
      <c r="O1091" s="55" t="inlineStr">
        <is>
          <t>MELHORIAS</t>
        </is>
      </c>
      <c r="P1091" s="134" t="n"/>
      <c r="Q1091" s="16" t="n"/>
      <c r="R1091" s="17" t="n"/>
      <c r="S1091" s="133">
        <f>DADOS_INVOC!$QK$71</f>
        <v/>
      </c>
      <c r="T1091" s="125" t="n"/>
      <c r="U1091" s="55" t="inlineStr">
        <is>
          <t>MELHORIAS</t>
        </is>
      </c>
      <c r="V1091" s="134" t="n"/>
      <c r="W1091" s="16" t="n"/>
      <c r="X1091" s="17" t="n"/>
      <c r="Y1091" s="133">
        <f>DADOS_INVOC!$QK$72</f>
        <v/>
      </c>
      <c r="Z1091" s="125" t="n"/>
      <c r="AB1091" s="55" t="inlineStr">
        <is>
          <t>MELHORIAS</t>
        </is>
      </c>
      <c r="AC1091" s="134" t="n"/>
      <c r="AD1091" s="16" t="n"/>
      <c r="AE1091" s="17" t="n"/>
      <c r="AF1091" s="133">
        <f>DADOS_INVOC!$QK$148</f>
        <v/>
      </c>
      <c r="AG1091" s="125" t="n"/>
      <c r="AH1091" s="55" t="inlineStr">
        <is>
          <t>MELHORIAS</t>
        </is>
      </c>
      <c r="AI1091" s="134" t="n"/>
      <c r="AJ1091" s="16" t="n"/>
      <c r="AK1091" s="17" t="n"/>
      <c r="AL1091" s="133">
        <f>DADOS_INVOC!$QK$149</f>
        <v/>
      </c>
      <c r="AM1091" s="125" t="n"/>
      <c r="AN1091" s="55" t="inlineStr">
        <is>
          <t>MELHORIAS</t>
        </is>
      </c>
      <c r="AO1091" s="134" t="n"/>
      <c r="AP1091" s="16" t="n"/>
      <c r="AQ1091" s="17" t="n"/>
      <c r="AR1091" s="133">
        <f>DADOS_INVOC!$QK$150</f>
        <v/>
      </c>
      <c r="AS1091" s="125" t="n"/>
    </row>
    <row r="1092" hidden="1" outlineLevel="3">
      <c r="A1092" s="8" t="n"/>
      <c r="B1092" s="14" t="n"/>
      <c r="C1092" s="125" t="n"/>
      <c r="D1092" s="125" t="n"/>
      <c r="E1092" s="125" t="n"/>
      <c r="F1092" s="125" t="n"/>
      <c r="G1092" s="125" t="n"/>
      <c r="I1092" s="135" t="n"/>
      <c r="J1092" s="134" t="n"/>
      <c r="K1092" s="16" t="n"/>
      <c r="L1092" s="17" t="n"/>
      <c r="M1092" s="133">
        <f>DADOS_INVOC!$QL$70</f>
        <v/>
      </c>
      <c r="N1092" s="125" t="n"/>
      <c r="O1092" s="135" t="n"/>
      <c r="P1092" s="134" t="n"/>
      <c r="Q1092" s="16" t="n"/>
      <c r="R1092" s="17" t="n"/>
      <c r="S1092" s="133">
        <f>DADOS_INVOC!$QL$71</f>
        <v/>
      </c>
      <c r="T1092" s="125" t="n"/>
      <c r="U1092" s="135" t="n"/>
      <c r="V1092" s="134" t="n"/>
      <c r="W1092" s="16" t="n"/>
      <c r="X1092" s="17" t="n"/>
      <c r="Y1092" s="133">
        <f>DADOS_INVOC!$QL$72</f>
        <v/>
      </c>
      <c r="Z1092" s="125" t="n"/>
      <c r="AB1092" s="135" t="n"/>
      <c r="AC1092" s="134" t="n"/>
      <c r="AD1092" s="16" t="n"/>
      <c r="AE1092" s="17" t="n"/>
      <c r="AF1092" s="133">
        <f>DADOS_INVOC!$QL$148</f>
        <v/>
      </c>
      <c r="AG1092" s="125" t="n"/>
      <c r="AH1092" s="135" t="n"/>
      <c r="AI1092" s="134" t="n"/>
      <c r="AJ1092" s="16" t="n"/>
      <c r="AK1092" s="17" t="n"/>
      <c r="AL1092" s="133">
        <f>DADOS_INVOC!$QL$149</f>
        <v/>
      </c>
      <c r="AM1092" s="125" t="n"/>
      <c r="AN1092" s="135" t="n"/>
      <c r="AO1092" s="134" t="n"/>
      <c r="AP1092" s="16" t="n"/>
      <c r="AQ1092" s="17" t="n"/>
      <c r="AR1092" s="133">
        <f>DADOS_INVOC!$QL$150</f>
        <v/>
      </c>
      <c r="AS1092" s="125" t="n"/>
    </row>
    <row r="1093" hidden="1" outlineLevel="3">
      <c r="A1093" s="8" t="n"/>
      <c r="B1093" s="14" t="n"/>
      <c r="C1093" s="125" t="n"/>
      <c r="D1093" s="125" t="n"/>
      <c r="E1093" s="125" t="n"/>
      <c r="F1093" s="125" t="n"/>
      <c r="G1093" s="125" t="n"/>
      <c r="I1093" s="135" t="n"/>
      <c r="J1093" s="134" t="n"/>
      <c r="K1093" s="16" t="n"/>
      <c r="L1093" s="17" t="n"/>
      <c r="M1093" s="133">
        <f>DADOS_INVOC!$QM$70</f>
        <v/>
      </c>
      <c r="N1093" s="125" t="n"/>
      <c r="O1093" s="135" t="n"/>
      <c r="P1093" s="134" t="n"/>
      <c r="Q1093" s="16" t="n"/>
      <c r="R1093" s="17" t="n"/>
      <c r="S1093" s="133">
        <f>DADOS_INVOC!$QM$71</f>
        <v/>
      </c>
      <c r="T1093" s="125" t="n"/>
      <c r="U1093" s="135" t="n"/>
      <c r="V1093" s="134" t="n"/>
      <c r="W1093" s="16" t="n"/>
      <c r="X1093" s="17" t="n"/>
      <c r="Y1093" s="133">
        <f>DADOS_INVOC!$QM$72</f>
        <v/>
      </c>
      <c r="Z1093" s="125" t="n"/>
      <c r="AB1093" s="135" t="n"/>
      <c r="AC1093" s="134" t="n"/>
      <c r="AD1093" s="16" t="n"/>
      <c r="AE1093" s="17" t="n"/>
      <c r="AF1093" s="133">
        <f>DADOS_INVOC!$QM$148</f>
        <v/>
      </c>
      <c r="AG1093" s="125" t="n"/>
      <c r="AH1093" s="135" t="n"/>
      <c r="AI1093" s="134" t="n"/>
      <c r="AJ1093" s="16" t="n"/>
      <c r="AK1093" s="17" t="n"/>
      <c r="AL1093" s="133">
        <f>DADOS_INVOC!$QM$149</f>
        <v/>
      </c>
      <c r="AM1093" s="125" t="n"/>
      <c r="AN1093" s="135" t="n"/>
      <c r="AO1093" s="134" t="n"/>
      <c r="AP1093" s="16" t="n"/>
      <c r="AQ1093" s="17" t="n"/>
      <c r="AR1093" s="133">
        <f>DADOS_INVOC!$QM$150</f>
        <v/>
      </c>
      <c r="AS1093" s="125" t="n"/>
    </row>
    <row r="1094" hidden="1" outlineLevel="3">
      <c r="A1094" s="8" t="n"/>
      <c r="B1094" s="14" t="n"/>
      <c r="C1094" s="125" t="n"/>
      <c r="D1094" s="125" t="n"/>
      <c r="E1094" s="125" t="n"/>
      <c r="F1094" s="125" t="n"/>
      <c r="G1094" s="125" t="n"/>
      <c r="I1094" s="129" t="n"/>
      <c r="J1094" s="134" t="n"/>
      <c r="K1094" s="16" t="n"/>
      <c r="L1094" s="17" t="n"/>
      <c r="M1094" s="133">
        <f>DADOS_INVOC!$QN$70</f>
        <v/>
      </c>
      <c r="N1094" s="125" t="n"/>
      <c r="O1094" s="129" t="n"/>
      <c r="P1094" s="134" t="n"/>
      <c r="Q1094" s="16" t="n"/>
      <c r="R1094" s="17" t="n"/>
      <c r="S1094" s="133">
        <f>DADOS_INVOC!$QN$71</f>
        <v/>
      </c>
      <c r="T1094" s="125" t="n"/>
      <c r="U1094" s="129" t="n"/>
      <c r="V1094" s="134" t="n"/>
      <c r="W1094" s="16" t="n"/>
      <c r="X1094" s="17" t="n"/>
      <c r="Y1094" s="133">
        <f>DADOS_INVOC!$QN$72</f>
        <v/>
      </c>
      <c r="Z1094" s="125" t="n"/>
      <c r="AB1094" s="129" t="n"/>
      <c r="AC1094" s="134" t="n"/>
      <c r="AD1094" s="16" t="n"/>
      <c r="AE1094" s="17" t="n"/>
      <c r="AF1094" s="133">
        <f>DADOS_INVOC!$QN$148</f>
        <v/>
      </c>
      <c r="AG1094" s="125" t="n"/>
      <c r="AH1094" s="129" t="n"/>
      <c r="AI1094" s="134" t="n"/>
      <c r="AJ1094" s="16" t="n"/>
      <c r="AK1094" s="17" t="n"/>
      <c r="AL1094" s="133">
        <f>DADOS_INVOC!$QN$149</f>
        <v/>
      </c>
      <c r="AM1094" s="125" t="n"/>
      <c r="AN1094" s="129" t="n"/>
      <c r="AO1094" s="134" t="n"/>
      <c r="AP1094" s="16" t="n"/>
      <c r="AQ1094" s="17" t="n"/>
      <c r="AR1094" s="133">
        <f>DADOS_INVOC!$QN$150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DADOS_INVOC!$QO$70</f>
        <v/>
      </c>
      <c r="N1095" s="125" t="n"/>
      <c r="O1095" s="55" t="inlineStr">
        <is>
          <t>RESTRIÇÕES</t>
        </is>
      </c>
      <c r="P1095" s="134" t="n"/>
      <c r="Q1095" s="16" t="n"/>
      <c r="R1095" s="17" t="n"/>
      <c r="S1095" s="133">
        <f>DADOS_INVOC!$QO$71</f>
        <v/>
      </c>
      <c r="T1095" s="125" t="n"/>
      <c r="U1095" s="55" t="inlineStr">
        <is>
          <t>RESTRIÇÕES</t>
        </is>
      </c>
      <c r="V1095" s="134" t="n"/>
      <c r="W1095" s="16" t="n"/>
      <c r="X1095" s="17" t="n"/>
      <c r="Y1095" s="133">
        <f>DADOS_INVOC!$QO$72</f>
        <v/>
      </c>
      <c r="Z1095" s="125" t="n"/>
      <c r="AB1095" s="55" t="inlineStr">
        <is>
          <t>RESTRIÇÕES</t>
        </is>
      </c>
      <c r="AC1095" s="134" t="n"/>
      <c r="AD1095" s="16" t="n"/>
      <c r="AE1095" s="17" t="n"/>
      <c r="AF1095" s="133">
        <f>DADOS_INVOC!$QO$148</f>
        <v/>
      </c>
      <c r="AG1095" s="125" t="n"/>
      <c r="AH1095" s="55" t="inlineStr">
        <is>
          <t>RESTRIÇÕES</t>
        </is>
      </c>
      <c r="AI1095" s="134" t="n"/>
      <c r="AJ1095" s="16" t="n"/>
      <c r="AK1095" s="17" t="n"/>
      <c r="AL1095" s="133">
        <f>DADOS_INVOC!$QO$149</f>
        <v/>
      </c>
      <c r="AM1095" s="125" t="n"/>
      <c r="AN1095" s="55" t="inlineStr">
        <is>
          <t>RESTRIÇÕES</t>
        </is>
      </c>
      <c r="AO1095" s="134" t="n"/>
      <c r="AP1095" s="16" t="n"/>
      <c r="AQ1095" s="17" t="n"/>
      <c r="AR1095" s="133">
        <f>DADOS_INVOC!$QO$150</f>
        <v/>
      </c>
      <c r="AS1095" s="125" t="n"/>
    </row>
    <row r="1096" hidden="1" outlineLevel="3">
      <c r="A1096" s="8" t="n"/>
      <c r="B1096" s="14" t="n"/>
      <c r="C1096" s="125" t="n"/>
      <c r="D1096" s="125" t="n"/>
      <c r="E1096" s="125" t="n"/>
      <c r="F1096" s="125" t="n"/>
      <c r="G1096" s="125" t="n"/>
      <c r="I1096" s="129" t="n"/>
      <c r="J1096" s="134" t="n"/>
      <c r="K1096" s="16" t="n"/>
      <c r="L1096" s="17" t="n"/>
      <c r="M1096" s="133">
        <f>DADOS_INVOC!$QP$70</f>
        <v/>
      </c>
      <c r="N1096" s="125" t="n"/>
      <c r="O1096" s="129" t="n"/>
      <c r="P1096" s="134" t="n"/>
      <c r="Q1096" s="16" t="n"/>
      <c r="R1096" s="17" t="n"/>
      <c r="S1096" s="133">
        <f>DADOS_INVOC!$QP$71</f>
        <v/>
      </c>
      <c r="T1096" s="125" t="n"/>
      <c r="U1096" s="129" t="n"/>
      <c r="V1096" s="134" t="n"/>
      <c r="W1096" s="16" t="n"/>
      <c r="X1096" s="17" t="n"/>
      <c r="Y1096" s="133">
        <f>DADOS_INVOC!$QP$72</f>
        <v/>
      </c>
      <c r="Z1096" s="125" t="n"/>
      <c r="AB1096" s="129" t="n"/>
      <c r="AC1096" s="134" t="n"/>
      <c r="AD1096" s="16" t="n"/>
      <c r="AE1096" s="17" t="n"/>
      <c r="AF1096" s="133">
        <f>DADOS_INVOC!$QP$148</f>
        <v/>
      </c>
      <c r="AG1096" s="125" t="n"/>
      <c r="AH1096" s="129" t="n"/>
      <c r="AI1096" s="134" t="n"/>
      <c r="AJ1096" s="16" t="n"/>
      <c r="AK1096" s="17" t="n"/>
      <c r="AL1096" s="133">
        <f>DADOS_INVOC!$QP$149</f>
        <v/>
      </c>
      <c r="AM1096" s="125" t="n"/>
      <c r="AN1096" s="129" t="n"/>
      <c r="AO1096" s="134" t="n"/>
      <c r="AP1096" s="16" t="n"/>
      <c r="AQ1096" s="17" t="n"/>
      <c r="AR1096" s="133">
        <f>DADOS_INVOC!$QP$150</f>
        <v/>
      </c>
      <c r="AS1096" s="125" t="n"/>
    </row>
    <row r="1097" hidden="1" outlineLevel="3">
      <c r="A1097" s="8" t="n"/>
      <c r="B1097" s="14" t="n"/>
      <c r="C1097" s="125" t="n"/>
      <c r="D1097" s="125" t="n"/>
      <c r="E1097" s="125" t="n"/>
      <c r="F1097" s="125" t="n"/>
      <c r="G1097" s="125" t="n"/>
      <c r="I1097" s="55" t="inlineStr">
        <is>
          <t>CONTA</t>
        </is>
      </c>
      <c r="J1097" s="136">
        <f>DADOS_INVOC!$QI$70</f>
        <v/>
      </c>
      <c r="K1097" s="16" t="n"/>
      <c r="L1097" s="16" t="n"/>
      <c r="M1097" s="17" t="n"/>
      <c r="N1097" s="125" t="n"/>
      <c r="O1097" s="55" t="inlineStr">
        <is>
          <t>CONTA</t>
        </is>
      </c>
      <c r="P1097" s="136">
        <f>DADOS_INVOC!$QI$71</f>
        <v/>
      </c>
      <c r="Q1097" s="16" t="n"/>
      <c r="R1097" s="16" t="n"/>
      <c r="S1097" s="17" t="n"/>
      <c r="T1097" s="125" t="n"/>
      <c r="U1097" s="55" t="inlineStr">
        <is>
          <t>CONTA</t>
        </is>
      </c>
      <c r="V1097" s="136">
        <f>DADOS_INVOC!$QI$72</f>
        <v/>
      </c>
      <c r="W1097" s="16" t="n"/>
      <c r="X1097" s="16" t="n"/>
      <c r="Y1097" s="17" t="n"/>
      <c r="Z1097" s="125" t="n"/>
      <c r="AB1097" s="55" t="inlineStr">
        <is>
          <t>CONTA</t>
        </is>
      </c>
      <c r="AC1097" s="136">
        <f>DADOS_INVOC!$QI$148</f>
        <v/>
      </c>
      <c r="AD1097" s="16" t="n"/>
      <c r="AE1097" s="16" t="n"/>
      <c r="AF1097" s="17" t="n"/>
      <c r="AG1097" s="125" t="n"/>
      <c r="AH1097" s="55" t="inlineStr">
        <is>
          <t>CONTA</t>
        </is>
      </c>
      <c r="AI1097" s="136">
        <f>DADOS_INVOC!$QI$149</f>
        <v/>
      </c>
      <c r="AJ1097" s="16" t="n"/>
      <c r="AK1097" s="16" t="n"/>
      <c r="AL1097" s="17" t="n"/>
      <c r="AM1097" s="125" t="n"/>
      <c r="AN1097" s="55" t="inlineStr">
        <is>
          <t>CONTA</t>
        </is>
      </c>
      <c r="AO1097" s="136">
        <f>DADOS_INVOC!$QI$150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DADOS_INVOC!$QJ$70</f>
        <v/>
      </c>
      <c r="K1098" s="19" t="n"/>
      <c r="L1098" s="19" t="n"/>
      <c r="M1098" s="20" t="n"/>
      <c r="N1098" s="125" t="n"/>
      <c r="O1098" s="55" t="inlineStr">
        <is>
          <t>AMPLIAR</t>
        </is>
      </c>
      <c r="P1098" s="136">
        <f>DADOS_INVOC!$QJ$71</f>
        <v/>
      </c>
      <c r="Q1098" s="19" t="n"/>
      <c r="R1098" s="19" t="n"/>
      <c r="S1098" s="20" t="n"/>
      <c r="T1098" s="125" t="n"/>
      <c r="U1098" s="55" t="inlineStr">
        <is>
          <t>AMPLIAR</t>
        </is>
      </c>
      <c r="V1098" s="136">
        <f>DADOS_INVOC!$QJ$72</f>
        <v/>
      </c>
      <c r="W1098" s="19" t="n"/>
      <c r="X1098" s="19" t="n"/>
      <c r="Y1098" s="20" t="n"/>
      <c r="Z1098" s="125" t="n"/>
      <c r="AB1098" s="55" t="inlineStr">
        <is>
          <t>AMPLIAR</t>
        </is>
      </c>
      <c r="AC1098" s="136">
        <f>DADOS_INVOC!$QJ$148</f>
        <v/>
      </c>
      <c r="AD1098" s="19" t="n"/>
      <c r="AE1098" s="19" t="n"/>
      <c r="AF1098" s="20" t="n"/>
      <c r="AG1098" s="125" t="n"/>
      <c r="AH1098" s="55" t="inlineStr">
        <is>
          <t>AMPLIAR</t>
        </is>
      </c>
      <c r="AI1098" s="136">
        <f>DADOS_INVOC!$QJ$149</f>
        <v/>
      </c>
      <c r="AJ1098" s="19" t="n"/>
      <c r="AK1098" s="19" t="n"/>
      <c r="AL1098" s="20" t="n"/>
      <c r="AM1098" s="125" t="n"/>
      <c r="AN1098" s="55" t="inlineStr">
        <is>
          <t>AMPLIAR</t>
        </is>
      </c>
      <c r="AO1098" s="136">
        <f>DADOS_INVOC!$QJ$150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DADOS_INVOC!$PW$70</f>
        <v/>
      </c>
      <c r="J1100" s="19" t="n"/>
      <c r="K1100" s="19" t="n"/>
      <c r="L1100" s="19" t="n"/>
      <c r="M1100" s="20" t="n"/>
      <c r="N1100" s="125" t="n"/>
      <c r="O1100" s="136">
        <f>DADOS_INVOC!$PW$71</f>
        <v/>
      </c>
      <c r="P1100" s="19" t="n"/>
      <c r="Q1100" s="19" t="n"/>
      <c r="R1100" s="19" t="n"/>
      <c r="S1100" s="20" t="n"/>
      <c r="T1100" s="125" t="n"/>
      <c r="U1100" s="136">
        <f>DADOS_INVOC!$PW$72</f>
        <v/>
      </c>
      <c r="V1100" s="19" t="n"/>
      <c r="W1100" s="19" t="n"/>
      <c r="X1100" s="19" t="n"/>
      <c r="Y1100" s="20" t="n"/>
      <c r="Z1100" s="125" t="n"/>
      <c r="AB1100" s="136">
        <f>DADOS_INVOC!$PW$148</f>
        <v/>
      </c>
      <c r="AC1100" s="19" t="n"/>
      <c r="AD1100" s="19" t="n"/>
      <c r="AE1100" s="19" t="n"/>
      <c r="AF1100" s="20" t="n"/>
      <c r="AG1100" s="125" t="n"/>
      <c r="AH1100" s="136">
        <f>DADOS_INVOC!$PW$149</f>
        <v/>
      </c>
      <c r="AI1100" s="19" t="n"/>
      <c r="AJ1100" s="19" t="n"/>
      <c r="AK1100" s="19" t="n"/>
      <c r="AL1100" s="20" t="n"/>
      <c r="AM1100" s="125" t="n"/>
      <c r="AN1100" s="136">
        <f>DADOS_INVOC!$PW$150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DADOS_INVOC!$PX$73</f>
        <v/>
      </c>
      <c r="J1103" s="16" t="n"/>
      <c r="K1103" s="16" t="n"/>
      <c r="L1103" s="16" t="n"/>
      <c r="M1103" s="17" t="n"/>
      <c r="N1103" s="125" t="n"/>
      <c r="O1103" s="55">
        <f>DADOS_INVOC!$PX$74</f>
        <v/>
      </c>
      <c r="P1103" s="16" t="n"/>
      <c r="Q1103" s="16" t="n"/>
      <c r="R1103" s="16" t="n"/>
      <c r="S1103" s="17" t="n"/>
      <c r="T1103" s="125" t="n"/>
      <c r="U1103" s="55">
        <f>DADOS_INVOC!$PX$75</f>
        <v/>
      </c>
      <c r="V1103" s="16" t="n"/>
      <c r="W1103" s="16" t="n"/>
      <c r="X1103" s="16" t="n"/>
      <c r="Y1103" s="17" t="n"/>
      <c r="Z1103" s="125" t="n"/>
      <c r="AB1103" s="55">
        <f>DADOS_INVOC!$PX$151</f>
        <v/>
      </c>
      <c r="AC1103" s="16" t="n"/>
      <c r="AD1103" s="16" t="n"/>
      <c r="AE1103" s="16" t="n"/>
      <c r="AF1103" s="17" t="n"/>
      <c r="AG1103" s="125" t="n"/>
      <c r="AH1103" s="55">
        <f>DADOS_INVOC!$PX$152</f>
        <v/>
      </c>
      <c r="AI1103" s="16" t="n"/>
      <c r="AJ1103" s="16" t="n"/>
      <c r="AK1103" s="16" t="n"/>
      <c r="AL1103" s="17" t="n"/>
      <c r="AM1103" s="125" t="n"/>
      <c r="AN1103" s="55">
        <f>DADOS_INVOC!$PX$153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DADOS_INVOC!$PV$73</f>
        <v/>
      </c>
      <c r="N1104" s="125" t="n"/>
      <c r="O1104" s="131" t="n">
        <v>1</v>
      </c>
      <c r="P1104" s="120" t="n"/>
      <c r="Q1104" s="16" t="n"/>
      <c r="R1104" s="17" t="n"/>
      <c r="S1104" s="132">
        <f>DADOS_INVOC!$PV$74</f>
        <v/>
      </c>
      <c r="T1104" s="125" t="n"/>
      <c r="U1104" s="131" t="n">
        <v>1</v>
      </c>
      <c r="V1104" s="120" t="n"/>
      <c r="W1104" s="16" t="n"/>
      <c r="X1104" s="17" t="n"/>
      <c r="Y1104" s="132">
        <f>DADOS_INVOC!$PV$75</f>
        <v/>
      </c>
      <c r="Z1104" s="125" t="n"/>
      <c r="AB1104" s="131" t="n">
        <v>1</v>
      </c>
      <c r="AC1104" s="120" t="n"/>
      <c r="AD1104" s="16" t="n"/>
      <c r="AE1104" s="17" t="n"/>
      <c r="AF1104" s="132">
        <f>DADOS_INVOC!$PV$151</f>
        <v/>
      </c>
      <c r="AG1104" s="125" t="n"/>
      <c r="AH1104" s="131" t="n">
        <v>1</v>
      </c>
      <c r="AI1104" s="120" t="n"/>
      <c r="AJ1104" s="16" t="n"/>
      <c r="AK1104" s="17" t="n"/>
      <c r="AL1104" s="132">
        <f>DADOS_INVOC!$PV$152</f>
        <v/>
      </c>
      <c r="AM1104" s="125" t="n"/>
      <c r="AN1104" s="131" t="n">
        <v>1</v>
      </c>
      <c r="AO1104" s="120" t="n"/>
      <c r="AP1104" s="16" t="n"/>
      <c r="AQ1104" s="17" t="n"/>
      <c r="AR1104" s="132">
        <f>DADOS_INVOC!$PV$153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90" t="inlineStr">
        <is>
          <t>Projétil</t>
        </is>
      </c>
      <c r="J1109" s="17" t="n"/>
      <c r="K1109" s="68">
        <f>DADOS_INVOC!$QC$73</f>
        <v/>
      </c>
      <c r="L1109" s="17" t="n"/>
      <c r="M1109" s="68">
        <f>DADOS_INVOC!$PY$73</f>
        <v/>
      </c>
      <c r="N1109" s="125" t="n"/>
      <c r="O1109" s="90" t="inlineStr">
        <is>
          <t>Projétil</t>
        </is>
      </c>
      <c r="P1109" s="17" t="n"/>
      <c r="Q1109" s="68">
        <f>DADOS_INVOC!$QC$74</f>
        <v/>
      </c>
      <c r="R1109" s="17" t="n"/>
      <c r="S1109" s="68">
        <f>DADOS_INVOC!$PY$74</f>
        <v/>
      </c>
      <c r="T1109" s="125" t="n"/>
      <c r="U1109" s="90" t="inlineStr">
        <is>
          <t>Projétil</t>
        </is>
      </c>
      <c r="V1109" s="17" t="n"/>
      <c r="W1109" s="68">
        <f>DADOS_INVOC!$QC$75</f>
        <v/>
      </c>
      <c r="X1109" s="17" t="n"/>
      <c r="Y1109" s="68">
        <f>DADOS_INVOC!$PY$75</f>
        <v/>
      </c>
      <c r="Z1109" s="125" t="n"/>
      <c r="AB1109" s="90" t="inlineStr">
        <is>
          <t>Projétil</t>
        </is>
      </c>
      <c r="AC1109" s="17" t="n"/>
      <c r="AD1109" s="68">
        <f>DADOS_INVOC!$QC$151</f>
        <v/>
      </c>
      <c r="AE1109" s="17" t="n"/>
      <c r="AF1109" s="68">
        <f>DADOS_INVOC!$PY$151</f>
        <v/>
      </c>
      <c r="AG1109" s="125" t="n"/>
      <c r="AH1109" s="90" t="inlineStr">
        <is>
          <t>Projétil</t>
        </is>
      </c>
      <c r="AI1109" s="17" t="n"/>
      <c r="AJ1109" s="68">
        <f>DADOS_INVOC!$QC$152</f>
        <v/>
      </c>
      <c r="AK1109" s="17" t="n"/>
      <c r="AL1109" s="68">
        <f>DADOS_INVOC!$PY$152</f>
        <v/>
      </c>
      <c r="AM1109" s="125" t="n"/>
      <c r="AN1109" s="90" t="inlineStr">
        <is>
          <t>Projétil</t>
        </is>
      </c>
      <c r="AO1109" s="17" t="n"/>
      <c r="AP1109" s="68">
        <f>DADOS_INVOC!$QC$153</f>
        <v/>
      </c>
      <c r="AQ1109" s="17" t="n"/>
      <c r="AR1109" s="68">
        <f>DADOS_INVOC!$PY$153</f>
        <v/>
      </c>
      <c r="AS1109" s="125" t="n"/>
    </row>
    <row r="1110" hidden="1" outlineLevel="2">
      <c r="A1110" s="8" t="n"/>
      <c r="B1110" s="14" t="n"/>
      <c r="C1110" s="125" t="n"/>
      <c r="D1110" s="125" t="n"/>
      <c r="E1110" s="125" t="n"/>
      <c r="F1110" s="125" t="n"/>
      <c r="G1110" s="125" t="n"/>
      <c r="I1110" s="90" t="n"/>
      <c r="J1110" s="17" t="n"/>
      <c r="K1110" s="90" t="n"/>
      <c r="L1110" s="16" t="n"/>
      <c r="M1110" s="17" t="n"/>
      <c r="N1110" s="125" t="n"/>
      <c r="O1110" s="90" t="n"/>
      <c r="P1110" s="17" t="n"/>
      <c r="Q1110" s="90" t="n"/>
      <c r="R1110" s="16" t="n"/>
      <c r="S1110" s="17" t="n"/>
      <c r="T1110" s="125" t="n"/>
      <c r="U1110" s="90" t="n"/>
      <c r="V1110" s="17" t="n"/>
      <c r="W1110" s="90" t="n"/>
      <c r="X1110" s="16" t="n"/>
      <c r="Y1110" s="17" t="n"/>
      <c r="Z1110" s="125" t="n"/>
      <c r="AB1110" s="90" t="n"/>
      <c r="AC1110" s="17" t="n"/>
      <c r="AD1110" s="90" t="n"/>
      <c r="AE1110" s="16" t="n"/>
      <c r="AF1110" s="17" t="n"/>
      <c r="AG1110" s="125" t="n"/>
      <c r="AH1110" s="90" t="n"/>
      <c r="AI1110" s="17" t="n"/>
      <c r="AJ1110" s="90" t="n"/>
      <c r="AK1110" s="16" t="n"/>
      <c r="AL1110" s="17" t="n"/>
      <c r="AM1110" s="125" t="n"/>
      <c r="AN1110" s="90" t="n"/>
      <c r="AO1110" s="17" t="n"/>
      <c r="AP1110" s="90" t="n"/>
      <c r="AQ1110" s="16" t="n"/>
      <c r="AR1110" s="17" t="n"/>
      <c r="AS1110" s="125" t="n"/>
    </row>
    <row r="1111" hidden="1" outlineLevel="2">
      <c r="A1111" s="8" t="n"/>
      <c r="B1111" s="14" t="n"/>
      <c r="C1111" s="125" t="n"/>
      <c r="D1111" s="125" t="n"/>
      <c r="E1111" s="125" t="n"/>
      <c r="F1111" s="125" t="n"/>
      <c r="G1111" s="125" t="n"/>
      <c r="I1111" s="90">
        <f>DADOS_INVOC!$PZ$73</f>
        <v/>
      </c>
      <c r="J1111" s="17" t="n"/>
      <c r="K1111" s="90">
        <f>DADOS_INVOC!$QB$73</f>
        <v/>
      </c>
      <c r="L1111" s="16" t="n"/>
      <c r="M1111" s="17" t="n"/>
      <c r="N1111" s="125" t="n"/>
      <c r="O1111" s="90">
        <f>DADOS_INVOC!$PZ$74</f>
        <v/>
      </c>
      <c r="P1111" s="17" t="n"/>
      <c r="Q1111" s="90">
        <f>DADOS_INVOC!$QB$74</f>
        <v/>
      </c>
      <c r="R1111" s="16" t="n"/>
      <c r="S1111" s="17" t="n"/>
      <c r="T1111" s="125" t="n"/>
      <c r="U1111" s="90">
        <f>DADOS_INVOC!$PZ$75</f>
        <v/>
      </c>
      <c r="V1111" s="17" t="n"/>
      <c r="W1111" s="90">
        <f>DADOS_INVOC!$QB$75</f>
        <v/>
      </c>
      <c r="X1111" s="16" t="n"/>
      <c r="Y1111" s="17" t="n"/>
      <c r="Z1111" s="125" t="n"/>
      <c r="AB1111" s="90">
        <f>DADOS_INVOC!$PZ$151</f>
        <v/>
      </c>
      <c r="AC1111" s="17" t="n"/>
      <c r="AD1111" s="90">
        <f>DADOS_INVOC!$QB$151</f>
        <v/>
      </c>
      <c r="AE1111" s="16" t="n"/>
      <c r="AF1111" s="17" t="n"/>
      <c r="AG1111" s="125" t="n"/>
      <c r="AH1111" s="90">
        <f>DADOS_INVOC!$PZ$152</f>
        <v/>
      </c>
      <c r="AI1111" s="17" t="n"/>
      <c r="AJ1111" s="90">
        <f>DADOS_INVOC!$QB$152</f>
        <v/>
      </c>
      <c r="AK1111" s="16" t="n"/>
      <c r="AL1111" s="17" t="n"/>
      <c r="AM1111" s="125" t="n"/>
      <c r="AN1111" s="90">
        <f>DADOS_INVOC!$PZ$153</f>
        <v/>
      </c>
      <c r="AO1111" s="17" t="n"/>
      <c r="AP1111" s="90">
        <f>DADOS_INVOC!$QB$153</f>
        <v/>
      </c>
      <c r="AQ1111" s="16" t="n"/>
      <c r="AR1111" s="17" t="n"/>
      <c r="AS1111" s="125" t="n"/>
    </row>
    <row r="1112" hidden="1" outlineLevel="2">
      <c r="A1112" s="8" t="n"/>
      <c r="B1112" s="14" t="n"/>
      <c r="C1112" s="125" t="n"/>
      <c r="D1112" s="125" t="n"/>
      <c r="E1112" s="125" t="n"/>
      <c r="F1112" s="125" t="n"/>
      <c r="G1112" s="125" t="n"/>
      <c r="I1112" s="133">
        <f>DADOS_INVOC!$QH$73</f>
        <v/>
      </c>
      <c r="J1112" s="16" t="n"/>
      <c r="K1112" s="16" t="n"/>
      <c r="L1112" s="16" t="n"/>
      <c r="M1112" s="17" t="n"/>
      <c r="N1112" s="125" t="n"/>
      <c r="O1112" s="133">
        <f>DADOS_INVOC!$QH$74</f>
        <v/>
      </c>
      <c r="P1112" s="16" t="n"/>
      <c r="Q1112" s="16" t="n"/>
      <c r="R1112" s="16" t="n"/>
      <c r="S1112" s="17" t="n"/>
      <c r="T1112" s="125" t="n"/>
      <c r="U1112" s="133">
        <f>DADOS_INVOC!$QH$75</f>
        <v/>
      </c>
      <c r="V1112" s="16" t="n"/>
      <c r="W1112" s="16" t="n"/>
      <c r="X1112" s="16" t="n"/>
      <c r="Y1112" s="17" t="n"/>
      <c r="Z1112" s="125" t="n"/>
      <c r="AB1112" s="133">
        <f>DADOS_INVOC!$QH$151</f>
        <v/>
      </c>
      <c r="AC1112" s="16" t="n"/>
      <c r="AD1112" s="16" t="n"/>
      <c r="AE1112" s="16" t="n"/>
      <c r="AF1112" s="17" t="n"/>
      <c r="AG1112" s="125" t="n"/>
      <c r="AH1112" s="133">
        <f>DADOS_INVOC!$QH$152</f>
        <v/>
      </c>
      <c r="AI1112" s="16" t="n"/>
      <c r="AJ1112" s="16" t="n"/>
      <c r="AK1112" s="16" t="n"/>
      <c r="AL1112" s="17" t="n"/>
      <c r="AM1112" s="125" t="n"/>
      <c r="AN1112" s="133">
        <f>DADOS_INVOC!$QH$153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DADOS_INVOC!$QK$73</f>
        <v/>
      </c>
      <c r="N1113" s="125" t="n"/>
      <c r="O1113" s="55" t="inlineStr">
        <is>
          <t>MELHORIAS</t>
        </is>
      </c>
      <c r="P1113" s="134" t="n"/>
      <c r="Q1113" s="16" t="n"/>
      <c r="R1113" s="17" t="n"/>
      <c r="S1113" s="133">
        <f>DADOS_INVOC!$QK$74</f>
        <v/>
      </c>
      <c r="T1113" s="125" t="n"/>
      <c r="U1113" s="55" t="inlineStr">
        <is>
          <t>MELHORIAS</t>
        </is>
      </c>
      <c r="V1113" s="134" t="n"/>
      <c r="W1113" s="16" t="n"/>
      <c r="X1113" s="17" t="n"/>
      <c r="Y1113" s="133">
        <f>DADOS_INVOC!$QK$75</f>
        <v/>
      </c>
      <c r="Z1113" s="125" t="n"/>
      <c r="AB1113" s="55" t="inlineStr">
        <is>
          <t>MELHORIAS</t>
        </is>
      </c>
      <c r="AC1113" s="134" t="n"/>
      <c r="AD1113" s="16" t="n"/>
      <c r="AE1113" s="17" t="n"/>
      <c r="AF1113" s="133">
        <f>DADOS_INVOC!$QK$151</f>
        <v/>
      </c>
      <c r="AG1113" s="125" t="n"/>
      <c r="AH1113" s="55" t="inlineStr">
        <is>
          <t>MELHORIAS</t>
        </is>
      </c>
      <c r="AI1113" s="134" t="n"/>
      <c r="AJ1113" s="16" t="n"/>
      <c r="AK1113" s="17" t="n"/>
      <c r="AL1113" s="133">
        <f>DADOS_INVOC!$QK$152</f>
        <v/>
      </c>
      <c r="AM1113" s="125" t="n"/>
      <c r="AN1113" s="55" t="inlineStr">
        <is>
          <t>MELHORIAS</t>
        </is>
      </c>
      <c r="AO1113" s="134" t="n"/>
      <c r="AP1113" s="16" t="n"/>
      <c r="AQ1113" s="17" t="n"/>
      <c r="AR1113" s="133">
        <f>DADOS_INVOC!$QK$153</f>
        <v/>
      </c>
      <c r="AS1113" s="125" t="n"/>
    </row>
    <row r="1114" hidden="1" outlineLevel="3">
      <c r="A1114" s="8" t="n"/>
      <c r="B1114" s="14" t="n"/>
      <c r="C1114" s="125" t="n"/>
      <c r="D1114" s="125" t="n"/>
      <c r="E1114" s="125" t="n"/>
      <c r="F1114" s="125" t="n"/>
      <c r="G1114" s="125" t="n"/>
      <c r="I1114" s="135" t="n"/>
      <c r="J1114" s="134" t="n"/>
      <c r="K1114" s="16" t="n"/>
      <c r="L1114" s="17" t="n"/>
      <c r="M1114" s="133">
        <f>DADOS_INVOC!$QL$73</f>
        <v/>
      </c>
      <c r="N1114" s="125" t="n"/>
      <c r="O1114" s="135" t="n"/>
      <c r="P1114" s="134" t="n"/>
      <c r="Q1114" s="16" t="n"/>
      <c r="R1114" s="17" t="n"/>
      <c r="S1114" s="133">
        <f>DADOS_INVOC!$QL$74</f>
        <v/>
      </c>
      <c r="T1114" s="125" t="n"/>
      <c r="U1114" s="135" t="n"/>
      <c r="V1114" s="134" t="n"/>
      <c r="W1114" s="16" t="n"/>
      <c r="X1114" s="17" t="n"/>
      <c r="Y1114" s="133">
        <f>DADOS_INVOC!$QL$75</f>
        <v/>
      </c>
      <c r="Z1114" s="125" t="n"/>
      <c r="AB1114" s="135" t="n"/>
      <c r="AC1114" s="134" t="n"/>
      <c r="AD1114" s="16" t="n"/>
      <c r="AE1114" s="17" t="n"/>
      <c r="AF1114" s="133">
        <f>DADOS_INVOC!$QL$151</f>
        <v/>
      </c>
      <c r="AG1114" s="125" t="n"/>
      <c r="AH1114" s="135" t="n"/>
      <c r="AI1114" s="134" t="n"/>
      <c r="AJ1114" s="16" t="n"/>
      <c r="AK1114" s="17" t="n"/>
      <c r="AL1114" s="133">
        <f>DADOS_INVOC!$QL$152</f>
        <v/>
      </c>
      <c r="AM1114" s="125" t="n"/>
      <c r="AN1114" s="135" t="n"/>
      <c r="AO1114" s="134" t="n"/>
      <c r="AP1114" s="16" t="n"/>
      <c r="AQ1114" s="17" t="n"/>
      <c r="AR1114" s="133">
        <f>DADOS_INVOC!$QL$153</f>
        <v/>
      </c>
      <c r="AS1114" s="125" t="n"/>
    </row>
    <row r="1115" hidden="1" outlineLevel="3">
      <c r="A1115" s="8" t="n"/>
      <c r="B1115" s="14" t="n"/>
      <c r="C1115" s="125" t="n"/>
      <c r="D1115" s="125" t="n"/>
      <c r="E1115" s="125" t="n"/>
      <c r="F1115" s="125" t="n"/>
      <c r="G1115" s="125" t="n"/>
      <c r="I1115" s="135" t="n"/>
      <c r="J1115" s="134" t="n"/>
      <c r="K1115" s="16" t="n"/>
      <c r="L1115" s="17" t="n"/>
      <c r="M1115" s="133">
        <f>DADOS_INVOC!$QM$73</f>
        <v/>
      </c>
      <c r="N1115" s="125" t="n"/>
      <c r="O1115" s="135" t="n"/>
      <c r="P1115" s="134" t="n"/>
      <c r="Q1115" s="16" t="n"/>
      <c r="R1115" s="17" t="n"/>
      <c r="S1115" s="133">
        <f>DADOS_INVOC!$QM$74</f>
        <v/>
      </c>
      <c r="T1115" s="125" t="n"/>
      <c r="U1115" s="135" t="n"/>
      <c r="V1115" s="134" t="n"/>
      <c r="W1115" s="16" t="n"/>
      <c r="X1115" s="17" t="n"/>
      <c r="Y1115" s="133">
        <f>DADOS_INVOC!$QM$75</f>
        <v/>
      </c>
      <c r="Z1115" s="125" t="n"/>
      <c r="AB1115" s="135" t="n"/>
      <c r="AC1115" s="134" t="n"/>
      <c r="AD1115" s="16" t="n"/>
      <c r="AE1115" s="17" t="n"/>
      <c r="AF1115" s="133">
        <f>DADOS_INVOC!$QM$151</f>
        <v/>
      </c>
      <c r="AG1115" s="125" t="n"/>
      <c r="AH1115" s="135" t="n"/>
      <c r="AI1115" s="134" t="n"/>
      <c r="AJ1115" s="16" t="n"/>
      <c r="AK1115" s="17" t="n"/>
      <c r="AL1115" s="133">
        <f>DADOS_INVOC!$QM$152</f>
        <v/>
      </c>
      <c r="AM1115" s="125" t="n"/>
      <c r="AN1115" s="135" t="n"/>
      <c r="AO1115" s="134" t="n"/>
      <c r="AP1115" s="16" t="n"/>
      <c r="AQ1115" s="17" t="n"/>
      <c r="AR1115" s="133">
        <f>DADOS_INVOC!$QM$153</f>
        <v/>
      </c>
      <c r="AS1115" s="125" t="n"/>
    </row>
    <row r="1116" hidden="1" outlineLevel="3">
      <c r="A1116" s="8" t="n"/>
      <c r="B1116" s="14" t="n"/>
      <c r="C1116" s="125" t="n"/>
      <c r="D1116" s="125" t="n"/>
      <c r="E1116" s="125" t="n"/>
      <c r="F1116" s="125" t="n"/>
      <c r="G1116" s="125" t="n"/>
      <c r="I1116" s="129" t="n"/>
      <c r="J1116" s="134" t="n"/>
      <c r="K1116" s="16" t="n"/>
      <c r="L1116" s="17" t="n"/>
      <c r="M1116" s="133">
        <f>DADOS_INVOC!$QN$73</f>
        <v/>
      </c>
      <c r="N1116" s="125" t="n"/>
      <c r="O1116" s="129" t="n"/>
      <c r="P1116" s="134" t="n"/>
      <c r="Q1116" s="16" t="n"/>
      <c r="R1116" s="17" t="n"/>
      <c r="S1116" s="133">
        <f>DADOS_INVOC!$QN$74</f>
        <v/>
      </c>
      <c r="T1116" s="125" t="n"/>
      <c r="U1116" s="129" t="n"/>
      <c r="V1116" s="134" t="n"/>
      <c r="W1116" s="16" t="n"/>
      <c r="X1116" s="17" t="n"/>
      <c r="Y1116" s="133">
        <f>DADOS_INVOC!$QN$75</f>
        <v/>
      </c>
      <c r="Z1116" s="125" t="n"/>
      <c r="AB1116" s="129" t="n"/>
      <c r="AC1116" s="134" t="n"/>
      <c r="AD1116" s="16" t="n"/>
      <c r="AE1116" s="17" t="n"/>
      <c r="AF1116" s="133">
        <f>DADOS_INVOC!$QN$151</f>
        <v/>
      </c>
      <c r="AG1116" s="125" t="n"/>
      <c r="AH1116" s="129" t="n"/>
      <c r="AI1116" s="134" t="n"/>
      <c r="AJ1116" s="16" t="n"/>
      <c r="AK1116" s="17" t="n"/>
      <c r="AL1116" s="133">
        <f>DADOS_INVOC!$QN$152</f>
        <v/>
      </c>
      <c r="AM1116" s="125" t="n"/>
      <c r="AN1116" s="129" t="n"/>
      <c r="AO1116" s="134" t="n"/>
      <c r="AP1116" s="16" t="n"/>
      <c r="AQ1116" s="17" t="n"/>
      <c r="AR1116" s="133">
        <f>DADOS_INVOC!$QN$153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DADOS_INVOC!$QO$73</f>
        <v/>
      </c>
      <c r="N1117" s="125" t="n"/>
      <c r="O1117" s="55" t="inlineStr">
        <is>
          <t>RESTRIÇÕES</t>
        </is>
      </c>
      <c r="P1117" s="134" t="n"/>
      <c r="Q1117" s="16" t="n"/>
      <c r="R1117" s="17" t="n"/>
      <c r="S1117" s="133">
        <f>DADOS_INVOC!$QO$74</f>
        <v/>
      </c>
      <c r="T1117" s="125" t="n"/>
      <c r="U1117" s="55" t="inlineStr">
        <is>
          <t>RESTRIÇÕES</t>
        </is>
      </c>
      <c r="V1117" s="134" t="n"/>
      <c r="W1117" s="16" t="n"/>
      <c r="X1117" s="17" t="n"/>
      <c r="Y1117" s="133">
        <f>DADOS_INVOC!$QO$75</f>
        <v/>
      </c>
      <c r="Z1117" s="125" t="n"/>
      <c r="AB1117" s="55" t="inlineStr">
        <is>
          <t>RESTRIÇÕES</t>
        </is>
      </c>
      <c r="AC1117" s="134" t="n"/>
      <c r="AD1117" s="16" t="n"/>
      <c r="AE1117" s="17" t="n"/>
      <c r="AF1117" s="133">
        <f>DADOS_INVOC!$QO$151</f>
        <v/>
      </c>
      <c r="AG1117" s="125" t="n"/>
      <c r="AH1117" s="55" t="inlineStr">
        <is>
          <t>RESTRIÇÕES</t>
        </is>
      </c>
      <c r="AI1117" s="134" t="n"/>
      <c r="AJ1117" s="16" t="n"/>
      <c r="AK1117" s="17" t="n"/>
      <c r="AL1117" s="133">
        <f>DADOS_INVOC!$QO$152</f>
        <v/>
      </c>
      <c r="AM1117" s="125" t="n"/>
      <c r="AN1117" s="55" t="inlineStr">
        <is>
          <t>RESTRIÇÕES</t>
        </is>
      </c>
      <c r="AO1117" s="134" t="n"/>
      <c r="AP1117" s="16" t="n"/>
      <c r="AQ1117" s="17" t="n"/>
      <c r="AR1117" s="133">
        <f>DADOS_INVOC!$QO$153</f>
        <v/>
      </c>
      <c r="AS1117" s="125" t="n"/>
    </row>
    <row r="1118" hidden="1" outlineLevel="3">
      <c r="A1118" s="8" t="n"/>
      <c r="B1118" s="14" t="n"/>
      <c r="C1118" s="125" t="n"/>
      <c r="D1118" s="125" t="n"/>
      <c r="E1118" s="125" t="n"/>
      <c r="F1118" s="125" t="n"/>
      <c r="G1118" s="125" t="n"/>
      <c r="I1118" s="129" t="n"/>
      <c r="J1118" s="134" t="n"/>
      <c r="K1118" s="16" t="n"/>
      <c r="L1118" s="17" t="n"/>
      <c r="M1118" s="133">
        <f>DADOS_INVOC!$QP$73</f>
        <v/>
      </c>
      <c r="N1118" s="125" t="n"/>
      <c r="O1118" s="129" t="n"/>
      <c r="P1118" s="134" t="n"/>
      <c r="Q1118" s="16" t="n"/>
      <c r="R1118" s="17" t="n"/>
      <c r="S1118" s="133">
        <f>DADOS_INVOC!$QP$74</f>
        <v/>
      </c>
      <c r="T1118" s="125" t="n"/>
      <c r="U1118" s="129" t="n"/>
      <c r="V1118" s="134" t="n"/>
      <c r="W1118" s="16" t="n"/>
      <c r="X1118" s="17" t="n"/>
      <c r="Y1118" s="133">
        <f>DADOS_INVOC!$QP$75</f>
        <v/>
      </c>
      <c r="Z1118" s="125" t="n"/>
      <c r="AB1118" s="129" t="n"/>
      <c r="AC1118" s="134" t="n"/>
      <c r="AD1118" s="16" t="n"/>
      <c r="AE1118" s="17" t="n"/>
      <c r="AF1118" s="133">
        <f>DADOS_INVOC!$QP$151</f>
        <v/>
      </c>
      <c r="AG1118" s="125" t="n"/>
      <c r="AH1118" s="129" t="n"/>
      <c r="AI1118" s="134" t="n"/>
      <c r="AJ1118" s="16" t="n"/>
      <c r="AK1118" s="17" t="n"/>
      <c r="AL1118" s="133">
        <f>DADOS_INVOC!$QP$152</f>
        <v/>
      </c>
      <c r="AM1118" s="125" t="n"/>
      <c r="AN1118" s="129" t="n"/>
      <c r="AO1118" s="134" t="n"/>
      <c r="AP1118" s="16" t="n"/>
      <c r="AQ1118" s="17" t="n"/>
      <c r="AR1118" s="133">
        <f>DADOS_INVOC!$QP$153</f>
        <v/>
      </c>
      <c r="AS1118" s="125" t="n"/>
    </row>
    <row r="1119" hidden="1" outlineLevel="3">
      <c r="A1119" s="8" t="n"/>
      <c r="B1119" s="14" t="n"/>
      <c r="C1119" s="125" t="n"/>
      <c r="D1119" s="125" t="n"/>
      <c r="E1119" s="125" t="n"/>
      <c r="F1119" s="125" t="n"/>
      <c r="G1119" s="125" t="n"/>
      <c r="I1119" s="55" t="inlineStr">
        <is>
          <t>CONTA</t>
        </is>
      </c>
      <c r="J1119" s="136">
        <f>DADOS_INVOC!$QI$73</f>
        <v/>
      </c>
      <c r="K1119" s="16" t="n"/>
      <c r="L1119" s="16" t="n"/>
      <c r="M1119" s="17" t="n"/>
      <c r="N1119" s="125" t="n"/>
      <c r="O1119" s="55" t="inlineStr">
        <is>
          <t>CONTA</t>
        </is>
      </c>
      <c r="P1119" s="136">
        <f>DADOS_INVOC!$QI$74</f>
        <v/>
      </c>
      <c r="Q1119" s="16" t="n"/>
      <c r="R1119" s="16" t="n"/>
      <c r="S1119" s="17" t="n"/>
      <c r="T1119" s="125" t="n"/>
      <c r="U1119" s="55" t="inlineStr">
        <is>
          <t>CONTA</t>
        </is>
      </c>
      <c r="V1119" s="136">
        <f>DADOS_INVOC!$QI$75</f>
        <v/>
      </c>
      <c r="W1119" s="16" t="n"/>
      <c r="X1119" s="16" t="n"/>
      <c r="Y1119" s="17" t="n"/>
      <c r="Z1119" s="125" t="n"/>
      <c r="AB1119" s="55" t="inlineStr">
        <is>
          <t>CONTA</t>
        </is>
      </c>
      <c r="AC1119" s="136">
        <f>DADOS_INVOC!$QI$151</f>
        <v/>
      </c>
      <c r="AD1119" s="16" t="n"/>
      <c r="AE1119" s="16" t="n"/>
      <c r="AF1119" s="17" t="n"/>
      <c r="AG1119" s="125" t="n"/>
      <c r="AH1119" s="55" t="inlineStr">
        <is>
          <t>CONTA</t>
        </is>
      </c>
      <c r="AI1119" s="136">
        <f>DADOS_INVOC!$QI$152</f>
        <v/>
      </c>
      <c r="AJ1119" s="16" t="n"/>
      <c r="AK1119" s="16" t="n"/>
      <c r="AL1119" s="17" t="n"/>
      <c r="AM1119" s="125" t="n"/>
      <c r="AN1119" s="55" t="inlineStr">
        <is>
          <t>CONTA</t>
        </is>
      </c>
      <c r="AO1119" s="136">
        <f>DADOS_INVOC!$QI$153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DADOS_INVOC!$QJ$73</f>
        <v/>
      </c>
      <c r="K1120" s="19" t="n"/>
      <c r="L1120" s="19" t="n"/>
      <c r="M1120" s="20" t="n"/>
      <c r="N1120" s="125" t="n"/>
      <c r="O1120" s="55" t="inlineStr">
        <is>
          <t>AMPLIAR</t>
        </is>
      </c>
      <c r="P1120" s="136">
        <f>DADOS_INVOC!$QJ$74</f>
        <v/>
      </c>
      <c r="Q1120" s="19" t="n"/>
      <c r="R1120" s="19" t="n"/>
      <c r="S1120" s="20" t="n"/>
      <c r="T1120" s="125" t="n"/>
      <c r="U1120" s="55" t="inlineStr">
        <is>
          <t>AMPLIAR</t>
        </is>
      </c>
      <c r="V1120" s="136">
        <f>DADOS_INVOC!$QJ$75</f>
        <v/>
      </c>
      <c r="W1120" s="19" t="n"/>
      <c r="X1120" s="19" t="n"/>
      <c r="Y1120" s="20" t="n"/>
      <c r="Z1120" s="125" t="n"/>
      <c r="AB1120" s="55" t="inlineStr">
        <is>
          <t>AMPLIAR</t>
        </is>
      </c>
      <c r="AC1120" s="136">
        <f>DADOS_INVOC!$QJ$151</f>
        <v/>
      </c>
      <c r="AD1120" s="19" t="n"/>
      <c r="AE1120" s="19" t="n"/>
      <c r="AF1120" s="20" t="n"/>
      <c r="AG1120" s="125" t="n"/>
      <c r="AH1120" s="55" t="inlineStr">
        <is>
          <t>AMPLIAR</t>
        </is>
      </c>
      <c r="AI1120" s="136">
        <f>DADOS_INVOC!$QJ$152</f>
        <v/>
      </c>
      <c r="AJ1120" s="19" t="n"/>
      <c r="AK1120" s="19" t="n"/>
      <c r="AL1120" s="20" t="n"/>
      <c r="AM1120" s="125" t="n"/>
      <c r="AN1120" s="55" t="inlineStr">
        <is>
          <t>AMPLIAR</t>
        </is>
      </c>
      <c r="AO1120" s="136">
        <f>DADOS_INVOC!$QJ$153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DADOS_INVOC!$PW$73</f>
        <v/>
      </c>
      <c r="J1122" s="19" t="n"/>
      <c r="K1122" s="19" t="n"/>
      <c r="L1122" s="19" t="n"/>
      <c r="M1122" s="20" t="n"/>
      <c r="N1122" s="125" t="n"/>
      <c r="O1122" s="136">
        <f>DADOS_INVOC!$PW$74</f>
        <v/>
      </c>
      <c r="P1122" s="19" t="n"/>
      <c r="Q1122" s="19" t="n"/>
      <c r="R1122" s="19" t="n"/>
      <c r="S1122" s="20" t="n"/>
      <c r="T1122" s="125" t="n"/>
      <c r="U1122" s="136">
        <f>DADOS_INVOC!$PW$75</f>
        <v/>
      </c>
      <c r="V1122" s="19" t="n"/>
      <c r="W1122" s="19" t="n"/>
      <c r="X1122" s="19" t="n"/>
      <c r="Y1122" s="20" t="n"/>
      <c r="Z1122" s="125" t="n"/>
      <c r="AB1122" s="136">
        <f>DADOS_INVOC!$PW$151</f>
        <v/>
      </c>
      <c r="AC1122" s="19" t="n"/>
      <c r="AD1122" s="19" t="n"/>
      <c r="AE1122" s="19" t="n"/>
      <c r="AF1122" s="20" t="n"/>
      <c r="AG1122" s="125" t="n"/>
      <c r="AH1122" s="136">
        <f>DADOS_INVOC!$PW$152</f>
        <v/>
      </c>
      <c r="AI1122" s="19" t="n"/>
      <c r="AJ1122" s="19" t="n"/>
      <c r="AK1122" s="19" t="n"/>
      <c r="AL1122" s="20" t="n"/>
      <c r="AM1122" s="125" t="n"/>
      <c r="AN1122" s="136">
        <f>DADOS_INVOC!$PW$153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DADOS_INVOC!$PX$76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DADOS_INVOC!$PX$154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DADOS_INVOC!$PV$76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DADOS_INVOC!$PV$154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90" t="inlineStr">
        <is>
          <t>Projétil</t>
        </is>
      </c>
      <c r="J1131" s="17" t="n"/>
      <c r="K1131" s="68">
        <f>DADOS_INVOC!$QC$76</f>
        <v/>
      </c>
      <c r="L1131" s="17" t="n"/>
      <c r="M1131" s="68">
        <f>DADOS_INVOC!$PY$76</f>
        <v/>
      </c>
      <c r="N1131" s="125" t="n"/>
      <c r="O1131" s="125" t="n"/>
      <c r="P1131" s="125" t="n"/>
      <c r="Q1131" s="125" t="n"/>
      <c r="R1131" s="125" t="n"/>
      <c r="S1131" s="125" t="n"/>
      <c r="T1131" s="125" t="n"/>
      <c r="U1131" s="125" t="n"/>
      <c r="V1131" s="125" t="n"/>
      <c r="W1131" s="125" t="n"/>
      <c r="X1131" s="125" t="n"/>
      <c r="Y1131" s="125" t="n"/>
      <c r="Z1131" s="125" t="n"/>
      <c r="AB1131" s="90" t="inlineStr">
        <is>
          <t>Projétil</t>
        </is>
      </c>
      <c r="AC1131" s="17" t="n"/>
      <c r="AD1131" s="68">
        <f>DADOS_INVOC!$QC$154</f>
        <v/>
      </c>
      <c r="AE1131" s="17" t="n"/>
      <c r="AF1131" s="68">
        <f>DADOS_INVOC!$PY$154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90" t="n"/>
      <c r="J1132" s="17" t="n"/>
      <c r="K1132" s="90" t="n"/>
      <c r="L1132" s="16" t="n"/>
      <c r="M1132" s="17" t="n"/>
      <c r="N1132" s="125" t="n"/>
      <c r="O1132" s="125" t="n"/>
      <c r="P1132" s="125" t="n"/>
      <c r="Q1132" s="125" t="n"/>
      <c r="R1132" s="125" t="n"/>
      <c r="S1132" s="125" t="n"/>
      <c r="T1132" s="125" t="n"/>
      <c r="U1132" s="125" t="n"/>
      <c r="V1132" s="125" t="n"/>
      <c r="W1132" s="125" t="n"/>
      <c r="X1132" s="125" t="n"/>
      <c r="Y1132" s="125" t="n"/>
      <c r="Z1132" s="125" t="n"/>
      <c r="AB1132" s="90" t="n"/>
      <c r="AC1132" s="17" t="n"/>
      <c r="AD1132" s="90"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90">
        <f>DADOS_INVOC!$PZ$76</f>
        <v/>
      </c>
      <c r="J1133" s="17" t="n"/>
      <c r="K1133" s="90">
        <f>DADOS_INVOC!$QB$76</f>
        <v/>
      </c>
      <c r="L1133" s="16" t="n"/>
      <c r="M1133" s="17" t="n"/>
      <c r="N1133" s="125" t="n"/>
      <c r="O1133" s="125" t="n"/>
      <c r="P1133" s="125" t="n"/>
      <c r="Q1133" s="125" t="n"/>
      <c r="R1133" s="125" t="n"/>
      <c r="S1133" s="125" t="n"/>
      <c r="T1133" s="125" t="n"/>
      <c r="U1133" s="125" t="n"/>
      <c r="V1133" s="125" t="n"/>
      <c r="W1133" s="125" t="n"/>
      <c r="X1133" s="125" t="n"/>
      <c r="Y1133" s="125" t="n"/>
      <c r="Z1133" s="125" t="n"/>
      <c r="AB1133" s="90">
        <f>DADOS_INVOC!$PZ$154</f>
        <v/>
      </c>
      <c r="AC1133" s="17" t="n"/>
      <c r="AD1133" s="90">
        <f>DADOS_INVOC!$QB$154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DADOS_INVOC!$QH$76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DADOS_INVOC!$QH$154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DADOS_INVOC!$QK$76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DADOS_INVOC!$QK$154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DADOS_INVOC!$QL$76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DADOS_INVOC!$QL$154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DADOS_INVOC!$QM$76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DADOS_INVOC!$QM$154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DADOS_INVOC!$QN$76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DADOS_INVOC!$QN$154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DADOS_INVOC!$QO$76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DADOS_INVOC!$QO$154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DADOS_INVOC!$QP$76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DADOS_INVOC!$QP$154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DADOS_INVOC!$QI$76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DADOS_INVOC!$QI$154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DADOS_INVOC!$QJ$76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DADOS_INVOC!$QJ$154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DADOS_INVOC!$PW$76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DADOS_INVOC!$PW$154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DADOS_INVOC!$PX$77</f>
        <v/>
      </c>
      <c r="J1149" s="16" t="n"/>
      <c r="K1149" s="16" t="n"/>
      <c r="L1149" s="16" t="n"/>
      <c r="M1149" s="17" t="n"/>
      <c r="N1149" s="125" t="n"/>
      <c r="O1149" s="55">
        <f>DADOS_INVOC!$PX$78</f>
        <v/>
      </c>
      <c r="P1149" s="16" t="n"/>
      <c r="Q1149" s="16" t="n"/>
      <c r="R1149" s="16" t="n"/>
      <c r="S1149" s="17" t="n"/>
      <c r="T1149" s="125" t="n"/>
      <c r="U1149" s="55">
        <f>DADOS_INVOC!$PX$79</f>
        <v/>
      </c>
      <c r="V1149" s="16" t="n"/>
      <c r="W1149" s="16" t="n"/>
      <c r="X1149" s="16" t="n"/>
      <c r="Y1149" s="17" t="n"/>
      <c r="Z1149" s="125" t="n"/>
      <c r="AB1149" s="55">
        <f>DADOS_INVOC!$PX$155</f>
        <v/>
      </c>
      <c r="AC1149" s="16" t="n"/>
      <c r="AD1149" s="16" t="n"/>
      <c r="AE1149" s="16" t="n"/>
      <c r="AF1149" s="17" t="n"/>
      <c r="AG1149" s="125" t="n"/>
      <c r="AH1149" s="55">
        <f>DADOS_INVOC!$PX$156</f>
        <v/>
      </c>
      <c r="AI1149" s="16" t="n"/>
      <c r="AJ1149" s="16" t="n"/>
      <c r="AK1149" s="16" t="n"/>
      <c r="AL1149" s="17" t="n"/>
      <c r="AM1149" s="125" t="n"/>
      <c r="AN1149" s="55">
        <f>DADOS_INVOC!$PX$157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DADOS_INVOC!$PV$77</f>
        <v/>
      </c>
      <c r="N1150" s="125" t="n"/>
      <c r="O1150" s="131" t="n">
        <v>1</v>
      </c>
      <c r="P1150" s="120" t="n"/>
      <c r="Q1150" s="16" t="n"/>
      <c r="R1150" s="17" t="n"/>
      <c r="S1150" s="132">
        <f>DADOS_INVOC!$PV$78</f>
        <v/>
      </c>
      <c r="T1150" s="125" t="n"/>
      <c r="U1150" s="131" t="n">
        <v>1</v>
      </c>
      <c r="V1150" s="120" t="n"/>
      <c r="W1150" s="16" t="n"/>
      <c r="X1150" s="17" t="n"/>
      <c r="Y1150" s="132">
        <f>DADOS_INVOC!$PV$79</f>
        <v/>
      </c>
      <c r="Z1150" s="125" t="n"/>
      <c r="AB1150" s="131" t="n">
        <v>1</v>
      </c>
      <c r="AC1150" s="120" t="n"/>
      <c r="AD1150" s="16" t="n"/>
      <c r="AE1150" s="17" t="n"/>
      <c r="AF1150" s="132">
        <f>DADOS_INVOC!$PV$155</f>
        <v/>
      </c>
      <c r="AG1150" s="125" t="n"/>
      <c r="AH1150" s="131" t="n">
        <v>1</v>
      </c>
      <c r="AI1150" s="120" t="n"/>
      <c r="AJ1150" s="16" t="n"/>
      <c r="AK1150" s="17" t="n"/>
      <c r="AL1150" s="132">
        <f>DADOS_INVOC!$PV$156</f>
        <v/>
      </c>
      <c r="AM1150" s="125" t="n"/>
      <c r="AN1150" s="131" t="n">
        <v>1</v>
      </c>
      <c r="AO1150" s="120" t="n"/>
      <c r="AP1150" s="16" t="n"/>
      <c r="AQ1150" s="17" t="n"/>
      <c r="AR1150" s="132">
        <f>DADOS_INVOC!$PV$157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90" t="inlineStr">
        <is>
          <t>Projétil</t>
        </is>
      </c>
      <c r="J1155" s="17" t="n"/>
      <c r="K1155" s="68">
        <f>DADOS_INVOC!$QC$77</f>
        <v/>
      </c>
      <c r="L1155" s="17" t="n"/>
      <c r="M1155" s="68">
        <f>DADOS_INVOC!$PY$77</f>
        <v/>
      </c>
      <c r="N1155" s="125" t="n"/>
      <c r="O1155" s="90" t="inlineStr">
        <is>
          <t>Projétil</t>
        </is>
      </c>
      <c r="P1155" s="17" t="n"/>
      <c r="Q1155" s="68">
        <f>DADOS_INVOC!$QC$78</f>
        <v/>
      </c>
      <c r="R1155" s="17" t="n"/>
      <c r="S1155" s="68">
        <f>DADOS_INVOC!$PY$78</f>
        <v/>
      </c>
      <c r="T1155" s="125" t="n"/>
      <c r="U1155" s="90" t="inlineStr">
        <is>
          <t>Projétil</t>
        </is>
      </c>
      <c r="V1155" s="17" t="n"/>
      <c r="W1155" s="68">
        <f>DADOS_INVOC!$QC$79</f>
        <v/>
      </c>
      <c r="X1155" s="17" t="n"/>
      <c r="Y1155" s="68">
        <f>DADOS_INVOC!$PY$79</f>
        <v/>
      </c>
      <c r="Z1155" s="125" t="n"/>
      <c r="AB1155" s="90" t="inlineStr">
        <is>
          <t>Projétil</t>
        </is>
      </c>
      <c r="AC1155" s="17" t="n"/>
      <c r="AD1155" s="68">
        <f>DADOS_INVOC!$QC$155</f>
        <v/>
      </c>
      <c r="AE1155" s="17" t="n"/>
      <c r="AF1155" s="68">
        <f>DADOS_INVOC!$PY$155</f>
        <v/>
      </c>
      <c r="AG1155" s="125" t="n"/>
      <c r="AH1155" s="90" t="inlineStr">
        <is>
          <t>Projétil</t>
        </is>
      </c>
      <c r="AI1155" s="17" t="n"/>
      <c r="AJ1155" s="68">
        <f>DADOS_INVOC!$QC$156</f>
        <v/>
      </c>
      <c r="AK1155" s="17" t="n"/>
      <c r="AL1155" s="68">
        <f>DADOS_INVOC!$PY$156</f>
        <v/>
      </c>
      <c r="AM1155" s="125" t="n"/>
      <c r="AN1155" s="90" t="inlineStr">
        <is>
          <t>Projétil</t>
        </is>
      </c>
      <c r="AO1155" s="17" t="n"/>
      <c r="AP1155" s="68">
        <f>DADOS_INVOC!$QC$157</f>
        <v/>
      </c>
      <c r="AQ1155" s="17" t="n"/>
      <c r="AR1155" s="68">
        <f>DADOS_INVOC!$PY$157</f>
        <v/>
      </c>
      <c r="AS1155" s="125" t="n"/>
    </row>
    <row r="1156" hidden="1" outlineLevel="2">
      <c r="A1156" s="8" t="n"/>
      <c r="B1156" s="14" t="n"/>
      <c r="C1156" s="125" t="n"/>
      <c r="D1156" s="125" t="n"/>
      <c r="E1156" s="125" t="n"/>
      <c r="F1156" s="125" t="n"/>
      <c r="G1156" s="125" t="n"/>
      <c r="I1156" s="90" t="n"/>
      <c r="J1156" s="17" t="n"/>
      <c r="K1156" s="90" t="n"/>
      <c r="L1156" s="16" t="n"/>
      <c r="M1156" s="17" t="n"/>
      <c r="N1156" s="125" t="n"/>
      <c r="O1156" s="90" t="n"/>
      <c r="P1156" s="17" t="n"/>
      <c r="Q1156" s="90" t="n"/>
      <c r="R1156" s="16" t="n"/>
      <c r="S1156" s="17" t="n"/>
      <c r="T1156" s="125" t="n"/>
      <c r="U1156" s="90" t="n"/>
      <c r="V1156" s="17" t="n"/>
      <c r="W1156" s="90" t="n"/>
      <c r="X1156" s="16" t="n"/>
      <c r="Y1156" s="17" t="n"/>
      <c r="Z1156" s="125" t="n"/>
      <c r="AB1156" s="90" t="n"/>
      <c r="AC1156" s="17" t="n"/>
      <c r="AD1156" s="90" t="n"/>
      <c r="AE1156" s="16" t="n"/>
      <c r="AF1156" s="17" t="n"/>
      <c r="AG1156" s="125" t="n"/>
      <c r="AH1156" s="90" t="n"/>
      <c r="AI1156" s="17" t="n"/>
      <c r="AJ1156" s="90" t="n"/>
      <c r="AK1156" s="16" t="n"/>
      <c r="AL1156" s="17" t="n"/>
      <c r="AM1156" s="125" t="n"/>
      <c r="AN1156" s="90" t="n"/>
      <c r="AO1156" s="17" t="n"/>
      <c r="AP1156" s="90" t="n"/>
      <c r="AQ1156" s="16" t="n"/>
      <c r="AR1156" s="17" t="n"/>
      <c r="AS1156" s="125" t="n"/>
    </row>
    <row r="1157" hidden="1" outlineLevel="2">
      <c r="A1157" s="8" t="n"/>
      <c r="B1157" s="14" t="n"/>
      <c r="C1157" s="125" t="n"/>
      <c r="D1157" s="125" t="n"/>
      <c r="E1157" s="125" t="n"/>
      <c r="F1157" s="125" t="n"/>
      <c r="G1157" s="125" t="n"/>
      <c r="I1157" s="90">
        <f>DADOS_INVOC!$PZ$77</f>
        <v/>
      </c>
      <c r="J1157" s="17" t="n"/>
      <c r="K1157" s="90">
        <f>DADOS_INVOC!$QB$77</f>
        <v/>
      </c>
      <c r="L1157" s="16" t="n"/>
      <c r="M1157" s="17" t="n"/>
      <c r="N1157" s="125" t="n"/>
      <c r="O1157" s="90">
        <f>DADOS_INVOC!$PZ$78</f>
        <v/>
      </c>
      <c r="P1157" s="17" t="n"/>
      <c r="Q1157" s="90">
        <f>DADOS_INVOC!$QB$78</f>
        <v/>
      </c>
      <c r="R1157" s="16" t="n"/>
      <c r="S1157" s="17" t="n"/>
      <c r="T1157" s="125" t="n"/>
      <c r="U1157" s="90">
        <f>DADOS_INVOC!$PZ$79</f>
        <v/>
      </c>
      <c r="V1157" s="17" t="n"/>
      <c r="W1157" s="90">
        <f>DADOS_INVOC!$QB$79</f>
        <v/>
      </c>
      <c r="X1157" s="16" t="n"/>
      <c r="Y1157" s="17" t="n"/>
      <c r="Z1157" s="125" t="n"/>
      <c r="AB1157" s="90">
        <f>DADOS_INVOC!$PZ$155</f>
        <v/>
      </c>
      <c r="AC1157" s="17" t="n"/>
      <c r="AD1157" s="90">
        <f>DADOS_INVOC!$QB$155</f>
        <v/>
      </c>
      <c r="AE1157" s="16" t="n"/>
      <c r="AF1157" s="17" t="n"/>
      <c r="AG1157" s="125" t="n"/>
      <c r="AH1157" s="90">
        <f>DADOS_INVOC!$PZ$156</f>
        <v/>
      </c>
      <c r="AI1157" s="17" t="n"/>
      <c r="AJ1157" s="90">
        <f>DADOS_INVOC!$QB$156</f>
        <v/>
      </c>
      <c r="AK1157" s="16" t="n"/>
      <c r="AL1157" s="17" t="n"/>
      <c r="AM1157" s="125" t="n"/>
      <c r="AN1157" s="90">
        <f>DADOS_INVOC!$PZ$157</f>
        <v/>
      </c>
      <c r="AO1157" s="17" t="n"/>
      <c r="AP1157" s="90">
        <f>DADOS_INVOC!$QB$157</f>
        <v/>
      </c>
      <c r="AQ1157" s="16" t="n"/>
      <c r="AR1157" s="17" t="n"/>
      <c r="AS1157" s="125" t="n"/>
    </row>
    <row r="1158" hidden="1" outlineLevel="2">
      <c r="A1158" s="8" t="n"/>
      <c r="B1158" s="14" t="n"/>
      <c r="C1158" s="125" t="n"/>
      <c r="D1158" s="125" t="n"/>
      <c r="E1158" s="125" t="n"/>
      <c r="F1158" s="125" t="n"/>
      <c r="G1158" s="125" t="n"/>
      <c r="I1158" s="133">
        <f>DADOS_INVOC!$QH$77</f>
        <v/>
      </c>
      <c r="J1158" s="16" t="n"/>
      <c r="K1158" s="16" t="n"/>
      <c r="L1158" s="16" t="n"/>
      <c r="M1158" s="17" t="n"/>
      <c r="N1158" s="125" t="n"/>
      <c r="O1158" s="133">
        <f>DADOS_INVOC!$QH$78</f>
        <v/>
      </c>
      <c r="P1158" s="16" t="n"/>
      <c r="Q1158" s="16" t="n"/>
      <c r="R1158" s="16" t="n"/>
      <c r="S1158" s="17" t="n"/>
      <c r="T1158" s="125" t="n"/>
      <c r="U1158" s="133">
        <f>DADOS_INVOC!$QH$79</f>
        <v/>
      </c>
      <c r="V1158" s="16" t="n"/>
      <c r="W1158" s="16" t="n"/>
      <c r="X1158" s="16" t="n"/>
      <c r="Y1158" s="17" t="n"/>
      <c r="Z1158" s="125" t="n"/>
      <c r="AB1158" s="133">
        <f>DADOS_INVOC!$QH$155</f>
        <v/>
      </c>
      <c r="AC1158" s="16" t="n"/>
      <c r="AD1158" s="16" t="n"/>
      <c r="AE1158" s="16" t="n"/>
      <c r="AF1158" s="17" t="n"/>
      <c r="AG1158" s="125" t="n"/>
      <c r="AH1158" s="133">
        <f>DADOS_INVOC!$QH$156</f>
        <v/>
      </c>
      <c r="AI1158" s="16" t="n"/>
      <c r="AJ1158" s="16" t="n"/>
      <c r="AK1158" s="16" t="n"/>
      <c r="AL1158" s="17" t="n"/>
      <c r="AM1158" s="125" t="n"/>
      <c r="AN1158" s="133">
        <f>DADOS_INVOC!$QH$157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DADOS_INVOC!$QK$77</f>
        <v/>
      </c>
      <c r="N1159" s="125" t="n"/>
      <c r="O1159" s="55" t="inlineStr">
        <is>
          <t>MELHORIAS</t>
        </is>
      </c>
      <c r="P1159" s="134" t="n"/>
      <c r="Q1159" s="16" t="n"/>
      <c r="R1159" s="17" t="n"/>
      <c r="S1159" s="133">
        <f>DADOS_INVOC!$QK$78</f>
        <v/>
      </c>
      <c r="T1159" s="125" t="n"/>
      <c r="U1159" s="55" t="inlineStr">
        <is>
          <t>MELHORIAS</t>
        </is>
      </c>
      <c r="V1159" s="134" t="n"/>
      <c r="W1159" s="16" t="n"/>
      <c r="X1159" s="17" t="n"/>
      <c r="Y1159" s="133">
        <f>DADOS_INVOC!$QK$79</f>
        <v/>
      </c>
      <c r="Z1159" s="125" t="n"/>
      <c r="AB1159" s="55" t="inlineStr">
        <is>
          <t>MELHORIAS</t>
        </is>
      </c>
      <c r="AC1159" s="134" t="n"/>
      <c r="AD1159" s="16" t="n"/>
      <c r="AE1159" s="17" t="n"/>
      <c r="AF1159" s="133">
        <f>DADOS_INVOC!$QK$155</f>
        <v/>
      </c>
      <c r="AG1159" s="125" t="n"/>
      <c r="AH1159" s="55" t="inlineStr">
        <is>
          <t>MELHORIAS</t>
        </is>
      </c>
      <c r="AI1159" s="134" t="n"/>
      <c r="AJ1159" s="16" t="n"/>
      <c r="AK1159" s="17" t="n"/>
      <c r="AL1159" s="133">
        <f>DADOS_INVOC!$QK$156</f>
        <v/>
      </c>
      <c r="AM1159" s="125" t="n"/>
      <c r="AN1159" s="55" t="inlineStr">
        <is>
          <t>MELHORIAS</t>
        </is>
      </c>
      <c r="AO1159" s="134" t="n"/>
      <c r="AP1159" s="16" t="n"/>
      <c r="AQ1159" s="17" t="n"/>
      <c r="AR1159" s="133">
        <f>DADOS_INVOC!$QK$157</f>
        <v/>
      </c>
      <c r="AS1159" s="125" t="n"/>
    </row>
    <row r="1160" hidden="1" outlineLevel="3">
      <c r="A1160" s="8" t="n"/>
      <c r="B1160" s="14" t="n"/>
      <c r="C1160" s="125" t="n"/>
      <c r="D1160" s="125" t="n"/>
      <c r="E1160" s="125" t="n"/>
      <c r="F1160" s="125" t="n"/>
      <c r="G1160" s="125" t="n"/>
      <c r="I1160" s="135" t="n"/>
      <c r="J1160" s="134" t="n"/>
      <c r="K1160" s="16" t="n"/>
      <c r="L1160" s="17" t="n"/>
      <c r="M1160" s="133">
        <f>DADOS_INVOC!$QL$77</f>
        <v/>
      </c>
      <c r="N1160" s="125" t="n"/>
      <c r="O1160" s="135" t="n"/>
      <c r="P1160" s="134" t="n"/>
      <c r="Q1160" s="16" t="n"/>
      <c r="R1160" s="17" t="n"/>
      <c r="S1160" s="133">
        <f>DADOS_INVOC!$QL$78</f>
        <v/>
      </c>
      <c r="T1160" s="125" t="n"/>
      <c r="U1160" s="135" t="n"/>
      <c r="V1160" s="134" t="n"/>
      <c r="W1160" s="16" t="n"/>
      <c r="X1160" s="17" t="n"/>
      <c r="Y1160" s="133">
        <f>DADOS_INVOC!$QL$79</f>
        <v/>
      </c>
      <c r="Z1160" s="125" t="n"/>
      <c r="AB1160" s="135" t="n"/>
      <c r="AC1160" s="134" t="n"/>
      <c r="AD1160" s="16" t="n"/>
      <c r="AE1160" s="17" t="n"/>
      <c r="AF1160" s="133">
        <f>DADOS_INVOC!$QL$155</f>
        <v/>
      </c>
      <c r="AG1160" s="125" t="n"/>
      <c r="AH1160" s="135" t="n"/>
      <c r="AI1160" s="134" t="n"/>
      <c r="AJ1160" s="16" t="n"/>
      <c r="AK1160" s="17" t="n"/>
      <c r="AL1160" s="133">
        <f>DADOS_INVOC!$QL$156</f>
        <v/>
      </c>
      <c r="AM1160" s="125" t="n"/>
      <c r="AN1160" s="135" t="n"/>
      <c r="AO1160" s="134" t="n"/>
      <c r="AP1160" s="16" t="n"/>
      <c r="AQ1160" s="17" t="n"/>
      <c r="AR1160" s="133">
        <f>DADOS_INVOC!$QL$157</f>
        <v/>
      </c>
      <c r="AS1160" s="125" t="n"/>
    </row>
    <row r="1161" hidden="1" outlineLevel="3">
      <c r="A1161" s="8" t="n"/>
      <c r="B1161" s="14" t="n"/>
      <c r="C1161" s="125" t="n"/>
      <c r="D1161" s="125" t="n"/>
      <c r="E1161" s="125" t="n"/>
      <c r="F1161" s="125" t="n"/>
      <c r="G1161" s="125" t="n"/>
      <c r="I1161" s="135" t="n"/>
      <c r="J1161" s="134" t="n"/>
      <c r="K1161" s="16" t="n"/>
      <c r="L1161" s="17" t="n"/>
      <c r="M1161" s="133">
        <f>DADOS_INVOC!$QM$77</f>
        <v/>
      </c>
      <c r="N1161" s="125" t="n"/>
      <c r="O1161" s="135" t="n"/>
      <c r="P1161" s="134" t="n"/>
      <c r="Q1161" s="16" t="n"/>
      <c r="R1161" s="17" t="n"/>
      <c r="S1161" s="133">
        <f>DADOS_INVOC!$QM$78</f>
        <v/>
      </c>
      <c r="T1161" s="125" t="n"/>
      <c r="U1161" s="135" t="n"/>
      <c r="V1161" s="134" t="n"/>
      <c r="W1161" s="16" t="n"/>
      <c r="X1161" s="17" t="n"/>
      <c r="Y1161" s="133">
        <f>DADOS_INVOC!$QM$79</f>
        <v/>
      </c>
      <c r="Z1161" s="125" t="n"/>
      <c r="AB1161" s="135" t="n"/>
      <c r="AC1161" s="134" t="n"/>
      <c r="AD1161" s="16" t="n"/>
      <c r="AE1161" s="17" t="n"/>
      <c r="AF1161" s="133">
        <f>DADOS_INVOC!$QM$155</f>
        <v/>
      </c>
      <c r="AG1161" s="125" t="n"/>
      <c r="AH1161" s="135" t="n"/>
      <c r="AI1161" s="134" t="n"/>
      <c r="AJ1161" s="16" t="n"/>
      <c r="AK1161" s="17" t="n"/>
      <c r="AL1161" s="133">
        <f>DADOS_INVOC!$QM$156</f>
        <v/>
      </c>
      <c r="AM1161" s="125" t="n"/>
      <c r="AN1161" s="135" t="n"/>
      <c r="AO1161" s="134" t="n"/>
      <c r="AP1161" s="16" t="n"/>
      <c r="AQ1161" s="17" t="n"/>
      <c r="AR1161" s="133">
        <f>DADOS_INVOC!$QM$157</f>
        <v/>
      </c>
      <c r="AS1161" s="125" t="n"/>
    </row>
    <row r="1162" hidden="1" outlineLevel="3">
      <c r="A1162" s="8" t="n"/>
      <c r="B1162" s="14" t="n"/>
      <c r="C1162" s="125" t="n"/>
      <c r="D1162" s="125" t="n"/>
      <c r="E1162" s="125" t="n"/>
      <c r="F1162" s="125" t="n"/>
      <c r="G1162" s="125" t="n"/>
      <c r="I1162" s="129" t="n"/>
      <c r="J1162" s="134" t="n"/>
      <c r="K1162" s="16" t="n"/>
      <c r="L1162" s="17" t="n"/>
      <c r="M1162" s="133">
        <f>DADOS_INVOC!$QN$77</f>
        <v/>
      </c>
      <c r="N1162" s="125" t="n"/>
      <c r="O1162" s="129" t="n"/>
      <c r="P1162" s="134" t="n"/>
      <c r="Q1162" s="16" t="n"/>
      <c r="R1162" s="17" t="n"/>
      <c r="S1162" s="133">
        <f>DADOS_INVOC!$QN$78</f>
        <v/>
      </c>
      <c r="T1162" s="125" t="n"/>
      <c r="U1162" s="129" t="n"/>
      <c r="V1162" s="134" t="n"/>
      <c r="W1162" s="16" t="n"/>
      <c r="X1162" s="17" t="n"/>
      <c r="Y1162" s="133">
        <f>DADOS_INVOC!$QN$79</f>
        <v/>
      </c>
      <c r="Z1162" s="125" t="n"/>
      <c r="AB1162" s="129" t="n"/>
      <c r="AC1162" s="134" t="n"/>
      <c r="AD1162" s="16" t="n"/>
      <c r="AE1162" s="17" t="n"/>
      <c r="AF1162" s="133">
        <f>DADOS_INVOC!$QN$155</f>
        <v/>
      </c>
      <c r="AG1162" s="125" t="n"/>
      <c r="AH1162" s="129" t="n"/>
      <c r="AI1162" s="134" t="n"/>
      <c r="AJ1162" s="16" t="n"/>
      <c r="AK1162" s="17" t="n"/>
      <c r="AL1162" s="133">
        <f>DADOS_INVOC!$QN$156</f>
        <v/>
      </c>
      <c r="AM1162" s="125" t="n"/>
      <c r="AN1162" s="129" t="n"/>
      <c r="AO1162" s="134" t="n"/>
      <c r="AP1162" s="16" t="n"/>
      <c r="AQ1162" s="17" t="n"/>
      <c r="AR1162" s="133">
        <f>DADOS_INVOC!$QN$157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DADOS_INVOC!$QO$77</f>
        <v/>
      </c>
      <c r="N1163" s="125" t="n"/>
      <c r="O1163" s="55" t="inlineStr">
        <is>
          <t>RESTRIÇÕES</t>
        </is>
      </c>
      <c r="P1163" s="134" t="n"/>
      <c r="Q1163" s="16" t="n"/>
      <c r="R1163" s="17" t="n"/>
      <c r="S1163" s="133">
        <f>DADOS_INVOC!$QO$78</f>
        <v/>
      </c>
      <c r="T1163" s="125" t="n"/>
      <c r="U1163" s="55" t="inlineStr">
        <is>
          <t>RESTRIÇÕES</t>
        </is>
      </c>
      <c r="V1163" s="134" t="n"/>
      <c r="W1163" s="16" t="n"/>
      <c r="X1163" s="17" t="n"/>
      <c r="Y1163" s="133">
        <f>DADOS_INVOC!$QO$79</f>
        <v/>
      </c>
      <c r="Z1163" s="125" t="n"/>
      <c r="AB1163" s="55" t="inlineStr">
        <is>
          <t>RESTRIÇÕES</t>
        </is>
      </c>
      <c r="AC1163" s="134" t="n"/>
      <c r="AD1163" s="16" t="n"/>
      <c r="AE1163" s="17" t="n"/>
      <c r="AF1163" s="133">
        <f>DADOS_INVOC!$QO$155</f>
        <v/>
      </c>
      <c r="AG1163" s="125" t="n"/>
      <c r="AH1163" s="55" t="inlineStr">
        <is>
          <t>RESTRIÇÕES</t>
        </is>
      </c>
      <c r="AI1163" s="134" t="n"/>
      <c r="AJ1163" s="16" t="n"/>
      <c r="AK1163" s="17" t="n"/>
      <c r="AL1163" s="133">
        <f>DADOS_INVOC!$QO$156</f>
        <v/>
      </c>
      <c r="AM1163" s="125" t="n"/>
      <c r="AN1163" s="55" t="inlineStr">
        <is>
          <t>RESTRIÇÕES</t>
        </is>
      </c>
      <c r="AO1163" s="134" t="n"/>
      <c r="AP1163" s="16" t="n"/>
      <c r="AQ1163" s="17" t="n"/>
      <c r="AR1163" s="133">
        <f>DADOS_INVOC!$QO$157</f>
        <v/>
      </c>
      <c r="AS1163" s="125" t="n"/>
    </row>
    <row r="1164" hidden="1" outlineLevel="3">
      <c r="A1164" s="8" t="n"/>
      <c r="B1164" s="14" t="n"/>
      <c r="C1164" s="125" t="n"/>
      <c r="D1164" s="125" t="n"/>
      <c r="E1164" s="125" t="n"/>
      <c r="F1164" s="125" t="n"/>
      <c r="G1164" s="125" t="n"/>
      <c r="I1164" s="129" t="n"/>
      <c r="J1164" s="134" t="n"/>
      <c r="K1164" s="16" t="n"/>
      <c r="L1164" s="17" t="n"/>
      <c r="M1164" s="133">
        <f>DADOS_INVOC!$QP$77</f>
        <v/>
      </c>
      <c r="N1164" s="125" t="n"/>
      <c r="O1164" s="129" t="n"/>
      <c r="P1164" s="134" t="n"/>
      <c r="Q1164" s="16" t="n"/>
      <c r="R1164" s="17" t="n"/>
      <c r="S1164" s="133">
        <f>DADOS_INVOC!$QP$78</f>
        <v/>
      </c>
      <c r="T1164" s="125" t="n"/>
      <c r="U1164" s="129" t="n"/>
      <c r="V1164" s="134" t="n"/>
      <c r="W1164" s="16" t="n"/>
      <c r="X1164" s="17" t="n"/>
      <c r="Y1164" s="133">
        <f>DADOS_INVOC!$QP$79</f>
        <v/>
      </c>
      <c r="Z1164" s="125" t="n"/>
      <c r="AB1164" s="129" t="n"/>
      <c r="AC1164" s="134" t="n"/>
      <c r="AD1164" s="16" t="n"/>
      <c r="AE1164" s="17" t="n"/>
      <c r="AF1164" s="133">
        <f>DADOS_INVOC!$QP$155</f>
        <v/>
      </c>
      <c r="AG1164" s="125" t="n"/>
      <c r="AH1164" s="129" t="n"/>
      <c r="AI1164" s="134" t="n"/>
      <c r="AJ1164" s="16" t="n"/>
      <c r="AK1164" s="17" t="n"/>
      <c r="AL1164" s="133">
        <f>DADOS_INVOC!$QP$156</f>
        <v/>
      </c>
      <c r="AM1164" s="125" t="n"/>
      <c r="AN1164" s="129" t="n"/>
      <c r="AO1164" s="134" t="n"/>
      <c r="AP1164" s="16" t="n"/>
      <c r="AQ1164" s="17" t="n"/>
      <c r="AR1164" s="133">
        <f>DADOS_INVOC!$QP$157</f>
        <v/>
      </c>
      <c r="AS1164" s="125" t="n"/>
    </row>
    <row r="1165" hidden="1" outlineLevel="3">
      <c r="A1165" s="8" t="n"/>
      <c r="B1165" s="14" t="n"/>
      <c r="C1165" s="125" t="n"/>
      <c r="D1165" s="125" t="n"/>
      <c r="E1165" s="125" t="n"/>
      <c r="F1165" s="125" t="n"/>
      <c r="G1165" s="125" t="n"/>
      <c r="I1165" s="55" t="inlineStr">
        <is>
          <t>CONTA</t>
        </is>
      </c>
      <c r="J1165" s="136">
        <f>DADOS_INVOC!$QI$77</f>
        <v/>
      </c>
      <c r="K1165" s="16" t="n"/>
      <c r="L1165" s="16" t="n"/>
      <c r="M1165" s="17" t="n"/>
      <c r="N1165" s="125" t="n"/>
      <c r="O1165" s="55" t="inlineStr">
        <is>
          <t>CONTA</t>
        </is>
      </c>
      <c r="P1165" s="136">
        <f>DADOS_INVOC!$QI$78</f>
        <v/>
      </c>
      <c r="Q1165" s="16" t="n"/>
      <c r="R1165" s="16" t="n"/>
      <c r="S1165" s="17" t="n"/>
      <c r="T1165" s="125" t="n"/>
      <c r="U1165" s="55" t="inlineStr">
        <is>
          <t>CONTA</t>
        </is>
      </c>
      <c r="V1165" s="136">
        <f>DADOS_INVOC!$QI$79</f>
        <v/>
      </c>
      <c r="W1165" s="16" t="n"/>
      <c r="X1165" s="16" t="n"/>
      <c r="Y1165" s="17" t="n"/>
      <c r="Z1165" s="125" t="n"/>
      <c r="AB1165" s="55" t="inlineStr">
        <is>
          <t>CONTA</t>
        </is>
      </c>
      <c r="AC1165" s="136">
        <f>DADOS_INVOC!$QI$155</f>
        <v/>
      </c>
      <c r="AD1165" s="16" t="n"/>
      <c r="AE1165" s="16" t="n"/>
      <c r="AF1165" s="17" t="n"/>
      <c r="AG1165" s="125" t="n"/>
      <c r="AH1165" s="55" t="inlineStr">
        <is>
          <t>CONTA</t>
        </is>
      </c>
      <c r="AI1165" s="136">
        <f>DADOS_INVOC!$QI$156</f>
        <v/>
      </c>
      <c r="AJ1165" s="16" t="n"/>
      <c r="AK1165" s="16" t="n"/>
      <c r="AL1165" s="17" t="n"/>
      <c r="AM1165" s="125" t="n"/>
      <c r="AN1165" s="55" t="inlineStr">
        <is>
          <t>CONTA</t>
        </is>
      </c>
      <c r="AO1165" s="136">
        <f>DADOS_INVOC!$QI$157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DADOS_INVOC!$QJ$77</f>
        <v/>
      </c>
      <c r="K1166" s="19" t="n"/>
      <c r="L1166" s="19" t="n"/>
      <c r="M1166" s="20" t="n"/>
      <c r="N1166" s="125" t="n"/>
      <c r="O1166" s="55" t="inlineStr">
        <is>
          <t>AMPLIAR</t>
        </is>
      </c>
      <c r="P1166" s="136">
        <f>DADOS_INVOC!$QJ$78</f>
        <v/>
      </c>
      <c r="Q1166" s="19" t="n"/>
      <c r="R1166" s="19" t="n"/>
      <c r="S1166" s="20" t="n"/>
      <c r="T1166" s="125" t="n"/>
      <c r="U1166" s="55" t="inlineStr">
        <is>
          <t>AMPLIAR</t>
        </is>
      </c>
      <c r="V1166" s="136">
        <f>DADOS_INVOC!$QJ$79</f>
        <v/>
      </c>
      <c r="W1166" s="19" t="n"/>
      <c r="X1166" s="19" t="n"/>
      <c r="Y1166" s="20" t="n"/>
      <c r="Z1166" s="125" t="n"/>
      <c r="AB1166" s="55" t="inlineStr">
        <is>
          <t>AMPLIAR</t>
        </is>
      </c>
      <c r="AC1166" s="136">
        <f>DADOS_INVOC!$QJ$155</f>
        <v/>
      </c>
      <c r="AD1166" s="19" t="n"/>
      <c r="AE1166" s="19" t="n"/>
      <c r="AF1166" s="20" t="n"/>
      <c r="AG1166" s="125" t="n"/>
      <c r="AH1166" s="55" t="inlineStr">
        <is>
          <t>AMPLIAR</t>
        </is>
      </c>
      <c r="AI1166" s="136">
        <f>DADOS_INVOC!$QJ$156</f>
        <v/>
      </c>
      <c r="AJ1166" s="19" t="n"/>
      <c r="AK1166" s="19" t="n"/>
      <c r="AL1166" s="20" t="n"/>
      <c r="AM1166" s="125" t="n"/>
      <c r="AN1166" s="55" t="inlineStr">
        <is>
          <t>AMPLIAR</t>
        </is>
      </c>
      <c r="AO1166" s="136">
        <f>DADOS_INVOC!$QJ$157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DADOS_INVOC!$PW$77</f>
        <v/>
      </c>
      <c r="J1168" s="19" t="n"/>
      <c r="K1168" s="19" t="n"/>
      <c r="L1168" s="19" t="n"/>
      <c r="M1168" s="20" t="n"/>
      <c r="N1168" s="125" t="n"/>
      <c r="O1168" s="136">
        <f>DADOS_INVOC!$PW$78</f>
        <v/>
      </c>
      <c r="P1168" s="19" t="n"/>
      <c r="Q1168" s="19" t="n"/>
      <c r="R1168" s="19" t="n"/>
      <c r="S1168" s="20" t="n"/>
      <c r="T1168" s="125" t="n"/>
      <c r="U1168" s="136">
        <f>DADOS_INVOC!$PW$79</f>
        <v/>
      </c>
      <c r="V1168" s="19" t="n"/>
      <c r="W1168" s="19" t="n"/>
      <c r="X1168" s="19" t="n"/>
      <c r="Y1168" s="20" t="n"/>
      <c r="Z1168" s="125" t="n"/>
      <c r="AB1168" s="136">
        <f>DADOS_INVOC!$PW$155</f>
        <v/>
      </c>
      <c r="AC1168" s="19" t="n"/>
      <c r="AD1168" s="19" t="n"/>
      <c r="AE1168" s="19" t="n"/>
      <c r="AF1168" s="20" t="n"/>
      <c r="AG1168" s="125" t="n"/>
      <c r="AH1168" s="136">
        <f>DADOS_INVOC!$PW$156</f>
        <v/>
      </c>
      <c r="AI1168" s="19" t="n"/>
      <c r="AJ1168" s="19" t="n"/>
      <c r="AK1168" s="19" t="n"/>
      <c r="AL1168" s="20" t="n"/>
      <c r="AM1168" s="125" t="n"/>
      <c r="AN1168" s="136">
        <f>DADOS_INVOC!$PW$157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90" t="inlineStr">
        <is>
          <t>Sua Ação Completa + a básica dela</t>
        </is>
      </c>
      <c r="J1185" s="16" t="n"/>
      <c r="K1185" s="16" t="n"/>
      <c r="L1185" s="16" t="n"/>
      <c r="M1185" s="17" t="n"/>
      <c r="N1185" s="125" t="n"/>
      <c r="O1185" s="90" t="inlineStr">
        <is>
          <t>Sua Ação Completa + a básica dela</t>
        </is>
      </c>
      <c r="P1185" s="16" t="n"/>
      <c r="Q1185" s="16" t="n"/>
      <c r="R1185" s="16" t="n"/>
      <c r="S1185" s="17" t="n"/>
      <c r="T1185" s="125" t="n"/>
      <c r="U1185" s="90" t="inlineStr">
        <is>
          <t>Sua Ação Completa + a básica dela</t>
        </is>
      </c>
      <c r="V1185" s="16" t="n"/>
      <c r="W1185" s="16" t="n"/>
      <c r="X1185" s="16" t="n"/>
      <c r="Y1185" s="17" t="n"/>
      <c r="Z1185" s="125" t="n"/>
      <c r="AB1185" s="90" t="inlineStr">
        <is>
          <t>Sua Ação Completa + a básica dela</t>
        </is>
      </c>
      <c r="AC1185" s="16" t="n"/>
      <c r="AD1185" s="16" t="n"/>
      <c r="AE1185" s="16" t="n"/>
      <c r="AF1185" s="17" t="n"/>
      <c r="AG1185" s="125" t="n"/>
      <c r="AH1185" s="90" t="inlineStr">
        <is>
          <t>Sua Ação Completa + a básica dela</t>
        </is>
      </c>
      <c r="AI1185" s="16" t="n"/>
      <c r="AJ1185" s="16" t="n"/>
      <c r="AK1185" s="16" t="n"/>
      <c r="AL1185" s="17" t="n"/>
      <c r="AM1185" s="125" t="n"/>
      <c r="AN1185" s="90"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90"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90"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90"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90"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DADOS_INVOC!$JS$2:$JS$84</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DADOS_INVOC!$JR$2:$JR$84</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DADOS_INVOC!$JY$2:$JY$84</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DADOS_INVOC!$JX$2:$JX$84</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DADOS_INVOC!$KE$2:$KE$84</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DADOS_INVOC!$KD$2:$KD$84</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DADOS_INVOC!$KK$2:$KK$84</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DADOS_INVOC!$KJ$2:$KJ$84</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DADOS_INVOC!$KQ$2:$KQ$84</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DADOS_INVOC!$KP$2:$KP$84</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DADOS_INVOC!$KW$2:$KW$84</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DADOS_INVOC!$KV$2:$KV$84</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DADOS_INVOC!$LC$2:$LC$84</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DADOS_INVOC!$LB$2:$LB$84</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DADOS_INVOC!$LI$2:$LI$84</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DADOS_INVOC!$LH$2:$LH$84</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DADOS_INVOC!$LO$2:$LO$84</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DADOS_INVOC!$LN$2:$LN$84</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DADOS_INVOC!$LU$2:$LU$84</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DADOS_INVOC!$LT$2:$LT$84</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DADOS_INVOC!$MA$2:$MA$84</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DADOS_INVOC!$LZ$2:$LZ$84</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DADOS_INVOC!$MG$2:$MG$84</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IF(DADOS!$CZ$48&gt;=30,"NÍVEL MÁXIMO","FALTA PARA O NÍVEL "&amp;(DADOS!$CZ$48+1))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5">
        <f>FICHA!AB2</f>
        <v/>
      </c>
      <c r="R11" s="19" t="n"/>
      <c r="S11" s="19" t="n"/>
      <c r="T11" s="19" t="n"/>
      <c r="U11" s="19" t="n"/>
      <c r="V11" s="19" t="n"/>
      <c r="W11" s="19" t="n"/>
      <c r="X11" s="19" t="n"/>
      <c r="Y11" s="19" t="n"/>
      <c r="Z11" s="20" t="n"/>
      <c r="AA11" s="125" t="n"/>
      <c r="AB11" s="85" t="inlineStr">
        <is>
          <t>Grau 4</t>
        </is>
      </c>
      <c r="AC11" s="19" t="n"/>
      <c r="AD11" s="19" t="n"/>
      <c r="AE11" s="19" t="n"/>
      <c r="AF11" s="19" t="n"/>
      <c r="AG11" s="20" t="n"/>
      <c r="AH11" s="125" t="n"/>
      <c r="AI11" s="85" t="n"/>
      <c r="AJ11" s="19" t="n"/>
      <c r="AK11" s="19" t="n"/>
      <c r="AL11" s="19" t="n"/>
      <c r="AM11" s="20" t="n"/>
      <c r="AN11" s="125" t="n"/>
      <c r="AO11" s="85" t="n"/>
      <c r="AP11" s="19" t="n"/>
      <c r="AQ11" s="19" t="n"/>
      <c r="AR11" s="19" t="n"/>
      <c r="AS11" s="19" t="n"/>
      <c r="AT11" s="20" t="n"/>
      <c r="AU11" s="125" t="n"/>
      <c r="AV11" s="125" t="n"/>
      <c r="AW11" s="98">
        <f>DADOS!$CZ$47</f>
        <v/>
      </c>
      <c r="AX11" s="19" t="n"/>
      <c r="AY11" s="19" t="n"/>
      <c r="AZ11" s="19" t="n"/>
      <c r="BA11" s="20" t="n"/>
      <c r="BB11" s="125" t="n"/>
      <c r="BC11" s="98">
        <f>IF(DADOS!$CZ$49&amp;""="","—",MAX(0,DADOS!$CZ$49-DADOS!$CZ$47))</f>
        <v/>
      </c>
      <c r="BD11" s="20" t="n"/>
      <c r="BE11" s="134">
        <f>IFERROR(SPARKLINE(MAX(0,DADOS!$CZ$47-DADOS!$CZ$50),{"charttype","bar";"max",MAX(1,N(DADOS!$CZ$49)-DADOS!$CZ$50);"color1",DADOS!$CZ$51}),"")</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5" t="n"/>
      <c r="R15" s="19" t="n"/>
      <c r="S15" s="19" t="n"/>
      <c r="T15" s="19" t="n"/>
      <c r="U15" s="19" t="n"/>
      <c r="V15" s="19" t="n"/>
      <c r="W15" s="20" t="n"/>
      <c r="X15" s="125" t="n"/>
      <c r="Y15" s="85" t="n"/>
      <c r="Z15" s="19" t="n"/>
      <c r="AA15" s="19" t="n"/>
      <c r="AB15" s="19" t="n"/>
      <c r="AC15" s="19" t="n"/>
      <c r="AD15" s="19" t="n"/>
      <c r="AE15" s="20" t="n"/>
      <c r="AF15" s="125" t="n"/>
      <c r="AG15" s="85" t="n"/>
      <c r="AH15" s="19" t="n"/>
      <c r="AI15" s="19" t="n"/>
      <c r="AJ15" s="19" t="n"/>
      <c r="AK15" s="19" t="n"/>
      <c r="AL15" s="19" t="n"/>
      <c r="AM15" s="20" t="n"/>
      <c r="AN15" s="125" t="n"/>
      <c r="AO15" s="85" t="n"/>
      <c r="AP15" s="19" t="n"/>
      <c r="AQ15" s="19" t="n"/>
      <c r="AR15" s="19" t="n"/>
      <c r="AS15" s="19" t="n"/>
      <c r="AT15" s="20" t="n"/>
      <c r="AU15" s="125" t="n"/>
      <c r="AV15" s="125" t="n"/>
      <c r="AW15" s="134" t="n"/>
      <c r="AX15" s="134" t="n"/>
      <c r="AY15" s="90" t="n"/>
      <c r="AZ15" s="90" t="n"/>
      <c r="BA15" s="90">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90" t="n"/>
      <c r="BF15" s="90" t="n"/>
      <c r="BG15" s="90">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90" t="n"/>
      <c r="BL15" s="90" t="n"/>
      <c r="BM15" s="90">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90" t="n"/>
      <c r="BR15" s="90" t="n"/>
      <c r="BS15" s="90">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90" t="n"/>
      <c r="AZ16" s="90" t="n"/>
      <c r="BA16" s="90">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90" t="n"/>
      <c r="BF16" s="90" t="n"/>
      <c r="BG16" s="90">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90" t="n"/>
      <c r="BL16" s="90" t="n"/>
      <c r="BM16" s="90">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90" t="n"/>
      <c r="BR16" s="90" t="n"/>
      <c r="BS16" s="90">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90" t="n"/>
      <c r="AZ17" s="90" t="n"/>
      <c r="BA17" s="90">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90" t="n"/>
      <c r="BF17" s="90" t="n"/>
      <c r="BG17" s="90">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90" t="n"/>
      <c r="BL17" s="90" t="n"/>
      <c r="BM17" s="90">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90" t="n"/>
      <c r="BR17" s="90" t="n"/>
      <c r="BS17" s="90">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90" t="n"/>
      <c r="AZ18" s="90" t="n"/>
      <c r="BA18" s="90">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90" t="n"/>
      <c r="BF18" s="90" t="n"/>
      <c r="BG18" s="90">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90" t="n"/>
      <c r="BL18" s="90" t="n"/>
      <c r="BM18" s="90">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90" t="n"/>
      <c r="BR18" s="90" t="n"/>
      <c r="BS18" s="90">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90" t="n"/>
      <c r="AZ19" s="90" t="n"/>
      <c r="BA19" s="90">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90" t="n"/>
      <c r="BF19" s="90" t="n"/>
      <c r="BG19" s="90">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90" t="n"/>
      <c r="BL19" s="90" t="n"/>
      <c r="BM19" s="90">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90" t="n"/>
      <c r="BR19" s="90" t="n"/>
      <c r="BS19" s="90">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90" t="n"/>
      <c r="AZ20" s="90" t="n"/>
      <c r="BA20" s="90">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90" t="n"/>
      <c r="BF20" s="90" t="n"/>
      <c r="BG20" s="90">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90" t="n"/>
      <c r="BL20" s="90" t="n"/>
      <c r="BM20" s="90">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90" t="n"/>
      <c r="BR20" s="90" t="n"/>
      <c r="BS20" s="90">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90" t="n"/>
      <c r="AZ21" s="90" t="n"/>
      <c r="BA21" s="90">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90" t="n"/>
      <c r="BF21" s="90" t="n"/>
      <c r="BG21" s="90">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90" t="n"/>
      <c r="BL21" s="90" t="n"/>
      <c r="BM21" s="90">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90" t="n"/>
      <c r="BR21" s="90" t="n"/>
      <c r="BS21" s="90">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90" t="n"/>
      <c r="AZ22" s="90" t="n"/>
      <c r="BA22" s="90">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90" t="n"/>
      <c r="BF22" s="90" t="n"/>
      <c r="BG22" s="90">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90" t="n"/>
      <c r="BL22" s="90" t="n"/>
      <c r="BM22" s="90">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90" t="n"/>
      <c r="BR22" s="90" t="n"/>
      <c r="BS22" s="90">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90" t="n"/>
      <c r="AZ23" s="90" t="n"/>
      <c r="BA23" s="90">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90" t="n"/>
      <c r="BF23" s="90" t="n"/>
      <c r="BG23" s="90">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90" t="n"/>
      <c r="BL23" s="90" t="n"/>
      <c r="BM23" s="90">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90" t="n"/>
      <c r="BR23" s="90" t="n"/>
      <c r="BS23" s="90">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90" t="n"/>
      <c r="AZ24" s="90" t="n"/>
      <c r="BA24" s="90">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90" t="n"/>
      <c r="BF24" s="90" t="n"/>
      <c r="BG24" s="90">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90" t="n"/>
      <c r="BL24" s="90" t="n"/>
      <c r="BM24" s="90">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90" t="n"/>
      <c r="BR24" s="90" t="n"/>
      <c r="BS24" s="90">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90" t="n"/>
      <c r="AZ25" s="90" t="n"/>
      <c r="BA25" s="90">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90" t="n"/>
      <c r="BF25" s="90" t="n"/>
      <c r="BG25" s="90">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90" t="n"/>
      <c r="BL25" s="90" t="n"/>
      <c r="BM25" s="90">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90" t="n"/>
      <c r="BR25" s="90" t="n"/>
      <c r="BS25" s="90">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90" t="n"/>
      <c r="AZ26" s="90" t="n"/>
      <c r="BA26" s="90">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90" t="n"/>
      <c r="BF26" s="90" t="n"/>
      <c r="BG26" s="90">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90" t="n"/>
      <c r="BL26" s="90" t="n"/>
      <c r="BM26" s="90">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90" t="n"/>
      <c r="BR26" s="90" t="n"/>
      <c r="BS26" s="90">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90" t="n"/>
      <c r="AZ27" s="90" t="n"/>
      <c r="BA27" s="90">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90" t="n"/>
      <c r="BF27" s="90" t="n"/>
      <c r="BG27" s="90">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90" t="n"/>
      <c r="BL27" s="90" t="n"/>
      <c r="BM27" s="90">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90" t="n"/>
      <c r="BR27" s="90" t="n"/>
      <c r="BS27" s="90">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90" t="n"/>
      <c r="AZ28" s="90" t="n"/>
      <c r="BA28" s="90">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90" t="n"/>
      <c r="BF28" s="90" t="n"/>
      <c r="BG28" s="90">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90" t="n"/>
      <c r="BL28" s="90" t="n"/>
      <c r="BM28" s="90">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90" t="n"/>
      <c r="BR28" s="90" t="n"/>
      <c r="BS28" s="90">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90" t="n"/>
      <c r="AZ29" s="90" t="n"/>
      <c r="BA29" s="90">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90" t="n"/>
      <c r="BF29" s="90" t="n"/>
      <c r="BG29" s="90">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90" t="n"/>
      <c r="BL29" s="90" t="n"/>
      <c r="BM29" s="90">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90" t="n"/>
      <c r="BR29" s="90" t="n"/>
      <c r="BS29" s="90">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90" t="n"/>
      <c r="AZ30" s="90" t="n"/>
      <c r="BA30" s="90">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90" t="n"/>
      <c r="BF30" s="90" t="n"/>
      <c r="BG30" s="90">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90" t="n"/>
      <c r="BL30" s="90" t="n"/>
      <c r="BM30" s="90">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90" t="n"/>
      <c r="BR30" s="90" t="n"/>
      <c r="BS30" s="90">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90" t="n"/>
      <c r="AZ31" s="90" t="n"/>
      <c r="BA31" s="90">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90" t="n"/>
      <c r="BF31" s="90" t="n"/>
      <c r="BG31" s="90">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90" t="n"/>
      <c r="BL31" s="90" t="n"/>
      <c r="BM31" s="90">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90" t="n"/>
      <c r="BR31" s="90" t="n"/>
      <c r="BS31" s="90">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90" t="n"/>
      <c r="AZ32" s="90" t="n"/>
      <c r="BA32" s="90">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90" t="n"/>
      <c r="BF32" s="90" t="n"/>
      <c r="BG32" s="90">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90" t="n"/>
      <c r="BL32" s="90" t="n"/>
      <c r="BM32" s="90">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90" t="n"/>
      <c r="BR32" s="90" t="n"/>
      <c r="BS32" s="90">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90" t="n"/>
      <c r="AZ33" s="90" t="n"/>
      <c r="BA33" s="90">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90" t="n"/>
      <c r="BF33" s="90" t="n"/>
      <c r="BG33" s="90">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90" t="n"/>
      <c r="BL33" s="90" t="n"/>
      <c r="BM33" s="90">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90" t="n"/>
      <c r="BR33" s="90" t="n"/>
      <c r="BS33" s="90">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90" t="n"/>
      <c r="AZ34" s="90" t="n"/>
      <c r="BA34" s="90">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90" t="n"/>
      <c r="BF34" s="90" t="n"/>
      <c r="BG34" s="90">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90" t="n"/>
      <c r="BL34" s="90" t="n"/>
      <c r="BM34" s="90">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90" t="n"/>
      <c r="BR34" s="90" t="n"/>
      <c r="BS34" s="90">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90" t="n"/>
      <c r="AZ35" s="90" t="n"/>
      <c r="BA35" s="90">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90" t="n"/>
      <c r="BF35" s="90" t="n"/>
      <c r="BG35" s="90">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90" t="n"/>
      <c r="BL35" s="90" t="n"/>
      <c r="BM35" s="90">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90" t="n"/>
      <c r="BR35" s="90" t="n"/>
      <c r="BS35" s="90">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90" t="n"/>
      <c r="AZ36" s="90" t="n"/>
      <c r="BA36" s="90">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90" t="n"/>
      <c r="BF36" s="90" t="n"/>
      <c r="BG36" s="90">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90" t="n"/>
      <c r="BL36" s="90" t="n"/>
      <c r="BM36" s="90">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90" t="n"/>
      <c r="BR36" s="90" t="n"/>
      <c r="BS36" s="90">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90" t="n"/>
      <c r="AZ37" s="90" t="n"/>
      <c r="BA37" s="90">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90" t="n"/>
      <c r="BF37" s="90" t="n"/>
      <c r="BG37" s="90">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90" t="n"/>
      <c r="BL37" s="90" t="n"/>
      <c r="BM37" s="90">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90" t="n"/>
      <c r="BR37" s="90" t="n"/>
      <c r="BS37" s="90">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90" t="n"/>
      <c r="AZ38" s="90" t="n"/>
      <c r="BA38" s="90">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90" t="n"/>
      <c r="BF38" s="90" t="n"/>
      <c r="BG38" s="90">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90" t="n"/>
      <c r="BL38" s="90" t="n"/>
      <c r="BM38" s="90">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90" t="n"/>
      <c r="BR38" s="90" t="n"/>
      <c r="BS38" s="90">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90" t="n"/>
      <c r="AZ39" s="90" t="n"/>
      <c r="BA39" s="90">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90" t="n"/>
      <c r="BF39" s="90" t="n"/>
      <c r="BG39" s="90">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90" t="n"/>
      <c r="BL39" s="90" t="n"/>
      <c r="BM39" s="90">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90" t="n"/>
      <c r="BR39" s="90" t="n"/>
      <c r="BS39" s="90">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90" t="n"/>
      <c r="AZ40" s="90" t="n"/>
      <c r="BA40" s="90">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90" t="n"/>
      <c r="BF40" s="90" t="n"/>
      <c r="BG40" s="90">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90" t="n"/>
      <c r="BL40" s="90" t="n"/>
      <c r="BM40" s="90">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90" t="n"/>
      <c r="BR40" s="90" t="n"/>
      <c r="BS40" s="90">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90"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90" t="n"/>
      <c r="AN41" s="16" t="n"/>
      <c r="AO41" s="16" t="n"/>
      <c r="AP41" s="16" t="n"/>
      <c r="AQ41" s="16" t="n"/>
      <c r="AR41" s="16" t="n"/>
      <c r="AS41" s="16" t="n"/>
      <c r="AT41" s="17" t="n"/>
      <c r="AU41" s="125" t="n"/>
      <c r="AV41" s="125" t="n"/>
      <c r="AW41" s="134" t="n"/>
      <c r="AX41" s="134" t="n"/>
      <c r="AY41" s="90" t="n"/>
      <c r="AZ41" s="90" t="n"/>
      <c r="BA41" s="90">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90" t="n"/>
      <c r="BF41" s="90" t="n"/>
      <c r="BG41" s="90">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90" t="n"/>
      <c r="BL41" s="90" t="n"/>
      <c r="BM41" s="90">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90" t="n"/>
      <c r="BR41" s="90" t="n"/>
      <c r="BS41" s="90">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90" t="n"/>
      <c r="AZ42" s="90" t="n"/>
      <c r="BA42" s="90">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90" t="n"/>
      <c r="BF42" s="90" t="n"/>
      <c r="BG42" s="90">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90" t="n"/>
      <c r="BL42" s="90" t="n"/>
      <c r="BM42" s="90">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90" t="n"/>
      <c r="BR42" s="90" t="n"/>
      <c r="BS42" s="90">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90" t="n"/>
      <c r="AZ43" s="90" t="n"/>
      <c r="BA43" s="90">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90" t="n"/>
      <c r="BF43" s="90" t="n"/>
      <c r="BG43" s="90">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90" t="n"/>
      <c r="BL43" s="90" t="n"/>
      <c r="BM43" s="90">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90" t="n"/>
      <c r="BR43" s="90" t="n"/>
      <c r="BS43" s="90">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90" t="n"/>
      <c r="AZ44" s="90" t="n"/>
      <c r="BA44" s="90">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90" t="n"/>
      <c r="BF44" s="90" t="n"/>
      <c r="BG44" s="90">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90" t="n"/>
      <c r="BL44" s="90" t="n"/>
      <c r="BM44" s="90">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90" t="n"/>
      <c r="BR44" s="90" t="n"/>
      <c r="BS44" s="90">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90" t="n"/>
      <c r="AZ45" s="90" t="n"/>
      <c r="BA45" s="90">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90" t="n"/>
      <c r="BF45" s="90" t="n"/>
      <c r="BG45" s="90">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90" t="n"/>
      <c r="BL45" s="90" t="n"/>
      <c r="BM45" s="90">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90" t="n"/>
      <c r="BR45" s="90" t="n"/>
      <c r="BS45" s="90">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90" t="n"/>
      <c r="AZ46" s="90" t="n"/>
      <c r="BA46" s="90">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90" t="n"/>
      <c r="BF46" s="90" t="n"/>
      <c r="BG46" s="90">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90" t="n"/>
      <c r="BL46" s="90" t="n"/>
      <c r="BM46" s="90">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90" t="n"/>
      <c r="BR46" s="90" t="n"/>
      <c r="BS46" s="90">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90" t="n"/>
      <c r="AZ47" s="90" t="n"/>
      <c r="BA47" s="90">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90" t="n"/>
      <c r="BF47" s="90" t="n"/>
      <c r="BG47" s="90">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90" t="n"/>
      <c r="BL47" s="90" t="n"/>
      <c r="BM47" s="90">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90" t="n"/>
      <c r="BR47" s="90" t="n"/>
      <c r="BS47" s="90">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90" t="n"/>
      <c r="AZ48" s="90" t="n"/>
      <c r="BA48" s="90">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90" t="n"/>
      <c r="BF48" s="90" t="n"/>
      <c r="BG48" s="90">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90" t="n"/>
      <c r="BL48" s="90" t="n"/>
      <c r="BM48" s="90">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90" t="n"/>
      <c r="BR48" s="90" t="n"/>
      <c r="BS48" s="90">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5" t="inlineStr">
        <is>
          <t>Soco</t>
        </is>
      </c>
      <c r="E49" s="19" t="n"/>
      <c r="F49" s="19" t="n"/>
      <c r="G49" s="19" t="n"/>
      <c r="H49" s="19" t="n"/>
      <c r="I49" s="19" t="n"/>
      <c r="J49" s="19" t="n"/>
      <c r="K49" s="19" t="n"/>
      <c r="L49" s="19" t="n"/>
      <c r="M49" s="19" t="n"/>
      <c r="N49" s="19" t="n"/>
      <c r="O49" s="19" t="n"/>
      <c r="P49" s="19" t="n"/>
      <c r="Q49" s="20" t="n"/>
      <c r="R49" s="125" t="n"/>
      <c r="S49" s="85" t="inlineStr">
        <is>
          <t>—</t>
        </is>
      </c>
      <c r="T49" s="19" t="n"/>
      <c r="U49" s="19" t="n"/>
      <c r="V49" s="19" t="n"/>
      <c r="W49" s="19" t="n"/>
      <c r="X49" s="19" t="n"/>
      <c r="Y49" s="19" t="n"/>
      <c r="Z49" s="19" t="n"/>
      <c r="AA49" s="19" t="n"/>
      <c r="AB49" s="19" t="n"/>
      <c r="AC49" s="19" t="n"/>
      <c r="AD49" s="19" t="n"/>
      <c r="AE49" s="19" t="n"/>
      <c r="AF49" s="20" t="n"/>
      <c r="AG49" s="125" t="n"/>
      <c r="AH49" s="85"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90" t="n"/>
      <c r="AZ49" s="90" t="n"/>
      <c r="BA49" s="90">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90" t="n"/>
      <c r="BF49" s="90" t="n"/>
      <c r="BG49" s="90">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90" t="n"/>
      <c r="BL49" s="90" t="n"/>
      <c r="BM49" s="90">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90" t="n"/>
      <c r="BR49" s="90" t="n"/>
      <c r="BS49" s="90">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90" t="n"/>
      <c r="AZ50" s="90" t="n"/>
      <c r="BA50" s="90">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90" t="n"/>
      <c r="BF50" s="90" t="n"/>
      <c r="BG50" s="90">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90" t="n"/>
      <c r="BL50" s="90" t="n"/>
      <c r="BM50" s="90">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90" t="n"/>
      <c r="BR50" s="90" t="n"/>
      <c r="BS50" s="90">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90" t="n"/>
      <c r="AZ51" s="90" t="n"/>
      <c r="BA51" s="90">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90" t="n"/>
      <c r="BF51" s="90" t="n"/>
      <c r="BG51" s="90">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90" t="n"/>
      <c r="BL51" s="90" t="n"/>
      <c r="BM51" s="90">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90" t="n"/>
      <c r="BR51" s="90" t="n"/>
      <c r="BS51" s="90">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90" t="n"/>
      <c r="AZ52" s="90" t="n"/>
      <c r="BA52" s="90">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90" t="n"/>
      <c r="BF52" s="90" t="n"/>
      <c r="BG52" s="90">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90" t="n"/>
      <c r="BL52" s="90" t="n"/>
      <c r="BM52" s="90">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90" t="n"/>
      <c r="BR52" s="90" t="n"/>
      <c r="BS52" s="90">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90" t="n"/>
      <c r="AZ53" s="90" t="n"/>
      <c r="BA53" s="90">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90" t="n"/>
      <c r="BF53" s="90" t="n"/>
      <c r="BG53" s="90">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90" t="n"/>
      <c r="BL53" s="90" t="n"/>
      <c r="BM53" s="90">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90" t="n"/>
      <c r="BR53" s="90" t="n"/>
      <c r="BS53" s="90">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90" t="n"/>
      <c r="AZ54" s="90" t="n"/>
      <c r="BA54" s="90">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90" t="n"/>
      <c r="BF54" s="90" t="n"/>
      <c r="BG54" s="90">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90" t="n"/>
      <c r="BL54" s="90" t="n"/>
      <c r="BM54" s="90">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90" t="n"/>
      <c r="BR54" s="90" t="n"/>
      <c r="BS54" s="90">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90" t="n"/>
      <c r="AZ55" s="90" t="n"/>
      <c r="BA55" s="90">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90" t="n"/>
      <c r="BF55" s="90" t="n"/>
      <c r="BG55" s="90">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90" t="n"/>
      <c r="BL55" s="90" t="n"/>
      <c r="BM55" s="90">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90" t="n"/>
      <c r="BR55" s="90" t="n"/>
      <c r="BS55" s="90">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90" t="n"/>
      <c r="AZ56" s="90" t="n"/>
      <c r="BA56" s="90">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90" t="n"/>
      <c r="BF56" s="90" t="n"/>
      <c r="BG56" s="90">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90" t="n"/>
      <c r="BL56" s="90" t="n"/>
      <c r="BM56" s="90">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90" t="n"/>
      <c r="BR56" s="90" t="n"/>
      <c r="BS56" s="90">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90" t="b">
        <v>0</v>
      </c>
      <c r="E57" s="134" t="inlineStr">
        <is>
          <t>Espada Longa</t>
        </is>
      </c>
      <c r="F57" s="16" t="n"/>
      <c r="G57" s="16" t="n"/>
      <c r="H57" s="16" t="n"/>
      <c r="I57" s="16" t="n"/>
      <c r="J57" s="16" t="n"/>
      <c r="K57" s="16" t="n"/>
      <c r="L57" s="17" t="n"/>
      <c r="M57" s="90" t="b">
        <v>0</v>
      </c>
      <c r="N57" s="134" t="inlineStr">
        <is>
          <t>Espingarda</t>
        </is>
      </c>
      <c r="O57" s="16" t="n"/>
      <c r="P57" s="16" t="n"/>
      <c r="Q57" s="16" t="n"/>
      <c r="R57" s="16" t="n"/>
      <c r="S57" s="16" t="n"/>
      <c r="T57" s="16" t="n"/>
      <c r="U57" s="17" t="n"/>
      <c r="V57" s="90" t="b">
        <v>0</v>
      </c>
      <c r="W57" s="134" t="inlineStr">
        <is>
          <t>Bastão</t>
        </is>
      </c>
      <c r="X57" s="16" t="n"/>
      <c r="Y57" s="16" t="n"/>
      <c r="Z57" s="16" t="n"/>
      <c r="AA57" s="16" t="n"/>
      <c r="AB57" s="16" t="n"/>
      <c r="AC57" s="16" t="n"/>
      <c r="AD57" s="17" t="n"/>
      <c r="AE57" s="90" t="b">
        <v>0</v>
      </c>
      <c r="AF57" s="134" t="inlineStr">
        <is>
          <t>Canivete</t>
        </is>
      </c>
      <c r="AG57" s="16" t="n"/>
      <c r="AH57" s="16" t="n"/>
      <c r="AI57" s="16" t="n"/>
      <c r="AJ57" s="16" t="n"/>
      <c r="AK57" s="16" t="n"/>
      <c r="AL57" s="17" t="n"/>
      <c r="AM57" s="90" t="b">
        <v>0</v>
      </c>
      <c r="AN57" s="134" t="inlineStr">
        <is>
          <t>Kanabō</t>
        </is>
      </c>
      <c r="AO57" s="16" t="n"/>
      <c r="AP57" s="16" t="n"/>
      <c r="AQ57" s="16" t="n"/>
      <c r="AR57" s="16" t="n"/>
      <c r="AS57" s="16" t="n"/>
      <c r="AT57" s="17" t="n"/>
      <c r="AU57" s="125" t="n"/>
      <c r="AV57" s="125" t="n"/>
      <c r="AW57" s="134" t="n"/>
      <c r="AX57" s="134" t="n"/>
      <c r="AY57" s="90" t="n"/>
      <c r="AZ57" s="90" t="n"/>
      <c r="BA57" s="90">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90" t="n"/>
      <c r="BF57" s="90" t="n"/>
      <c r="BG57" s="90">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90" t="n"/>
      <c r="BL57" s="90" t="n"/>
      <c r="BM57" s="90">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90" t="n"/>
      <c r="BR57" s="90" t="n"/>
      <c r="BS57" s="90">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90" t="b">
        <v>0</v>
      </c>
      <c r="E58" s="134" t="inlineStr">
        <is>
          <t>Espadão</t>
        </is>
      </c>
      <c r="F58" s="16" t="n"/>
      <c r="G58" s="16" t="n"/>
      <c r="H58" s="16" t="n"/>
      <c r="I58" s="16" t="n"/>
      <c r="J58" s="16" t="n"/>
      <c r="K58" s="16" t="n"/>
      <c r="L58" s="17" t="n"/>
      <c r="M58" s="90" t="b">
        <v>0</v>
      </c>
      <c r="N58" s="134" t="inlineStr">
        <is>
          <t>Metralhadora Pesada</t>
        </is>
      </c>
      <c r="O58" s="16" t="n"/>
      <c r="P58" s="16" t="n"/>
      <c r="Q58" s="16" t="n"/>
      <c r="R58" s="16" t="n"/>
      <c r="S58" s="16" t="n"/>
      <c r="T58" s="16" t="n"/>
      <c r="U58" s="17" t="n"/>
      <c r="V58" s="90" t="b">
        <v>0</v>
      </c>
      <c r="W58" s="134" t="inlineStr">
        <is>
          <t>Bō</t>
        </is>
      </c>
      <c r="X58" s="16" t="n"/>
      <c r="Y58" s="16" t="n"/>
      <c r="Z58" s="16" t="n"/>
      <c r="AA58" s="16" t="n"/>
      <c r="AB58" s="16" t="n"/>
      <c r="AC58" s="16" t="n"/>
      <c r="AD58" s="17" t="n"/>
      <c r="AE58" s="90" t="b">
        <v>0</v>
      </c>
      <c r="AF58" s="134" t="inlineStr">
        <is>
          <t>Faca</t>
        </is>
      </c>
      <c r="AG58" s="16" t="n"/>
      <c r="AH58" s="16" t="n"/>
      <c r="AI58" s="16" t="n"/>
      <c r="AJ58" s="16" t="n"/>
      <c r="AK58" s="16" t="n"/>
      <c r="AL58" s="17" t="n"/>
      <c r="AM58" s="90" t="b">
        <v>0</v>
      </c>
      <c r="AN58" s="134" t="inlineStr">
        <is>
          <t>Marreta</t>
        </is>
      </c>
      <c r="AO58" s="16" t="n"/>
      <c r="AP58" s="16" t="n"/>
      <c r="AQ58" s="16" t="n"/>
      <c r="AR58" s="16" t="n"/>
      <c r="AS58" s="16" t="n"/>
      <c r="AT58" s="17" t="n"/>
      <c r="AU58" s="125" t="n"/>
      <c r="AV58" s="125" t="n"/>
      <c r="AW58" s="134" t="n"/>
      <c r="AX58" s="134" t="n"/>
      <c r="AY58" s="90" t="n"/>
      <c r="AZ58" s="90" t="n"/>
      <c r="BA58" s="90">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90" t="n"/>
      <c r="BF58" s="90" t="n"/>
      <c r="BG58" s="90">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90" t="n"/>
      <c r="BL58" s="90" t="n"/>
      <c r="BM58" s="90">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90" t="n"/>
      <c r="BR58" s="90" t="n"/>
      <c r="BS58" s="90">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90" t="b">
        <v>0</v>
      </c>
      <c r="E59" s="134" t="inlineStr">
        <is>
          <t>Katana</t>
        </is>
      </c>
      <c r="F59" s="16" t="n"/>
      <c r="G59" s="16" t="n"/>
      <c r="H59" s="16" t="n"/>
      <c r="I59" s="16" t="n"/>
      <c r="J59" s="16" t="n"/>
      <c r="K59" s="16" t="n"/>
      <c r="L59" s="17" t="n"/>
      <c r="M59" s="90" t="b">
        <v>0</v>
      </c>
      <c r="N59" s="134" t="inlineStr">
        <is>
          <t>Pistola</t>
        </is>
      </c>
      <c r="O59" s="16" t="n"/>
      <c r="P59" s="16" t="n"/>
      <c r="Q59" s="16" t="n"/>
      <c r="R59" s="16" t="n"/>
      <c r="S59" s="16" t="n"/>
      <c r="T59" s="16" t="n"/>
      <c r="U59" s="17" t="n"/>
      <c r="V59" s="90" t="b">
        <v>0</v>
      </c>
      <c r="W59" s="134" t="inlineStr">
        <is>
          <t>Cassetete</t>
        </is>
      </c>
      <c r="X59" s="16" t="n"/>
      <c r="Y59" s="16" t="n"/>
      <c r="Z59" s="16" t="n"/>
      <c r="AA59" s="16" t="n"/>
      <c r="AB59" s="16" t="n"/>
      <c r="AC59" s="16" t="n"/>
      <c r="AD59" s="17" t="n"/>
      <c r="AE59" s="90" t="b">
        <v>0</v>
      </c>
      <c r="AF59" s="134" t="inlineStr">
        <is>
          <t>Punhal</t>
        </is>
      </c>
      <c r="AG59" s="16" t="n"/>
      <c r="AH59" s="16" t="n"/>
      <c r="AI59" s="16" t="n"/>
      <c r="AJ59" s="16" t="n"/>
      <c r="AK59" s="16" t="n"/>
      <c r="AL59" s="17" t="n"/>
      <c r="AM59" s="90" t="b">
        <v>0</v>
      </c>
      <c r="AN59" s="134" t="inlineStr">
        <is>
          <t>Maul</t>
        </is>
      </c>
      <c r="AO59" s="16" t="n"/>
      <c r="AP59" s="16" t="n"/>
      <c r="AQ59" s="16" t="n"/>
      <c r="AR59" s="16" t="n"/>
      <c r="AS59" s="16" t="n"/>
      <c r="AT59" s="17" t="n"/>
      <c r="AU59" s="125" t="n"/>
      <c r="AV59" s="125" t="n"/>
      <c r="AW59" s="134" t="n"/>
      <c r="AX59" s="134" t="n"/>
      <c r="AY59" s="90" t="n"/>
      <c r="AZ59" s="90" t="n"/>
      <c r="BA59" s="90">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90" t="n"/>
      <c r="BF59" s="90" t="n"/>
      <c r="BG59" s="90">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90" t="n"/>
      <c r="BL59" s="90" t="n"/>
      <c r="BM59" s="90">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90" t="n"/>
      <c r="BR59" s="90" t="n"/>
      <c r="BS59" s="90">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90" t="b">
        <v>0</v>
      </c>
      <c r="E60" s="134" t="inlineStr">
        <is>
          <t>Machete</t>
        </is>
      </c>
      <c r="F60" s="16" t="n"/>
      <c r="G60" s="16" t="n"/>
      <c r="H60" s="16" t="n"/>
      <c r="I60" s="16" t="n"/>
      <c r="J60" s="16" t="n"/>
      <c r="K60" s="16" t="n"/>
      <c r="L60" s="17" t="n"/>
      <c r="M60" s="90" t="b">
        <v>0</v>
      </c>
      <c r="N60" s="134" t="inlineStr">
        <is>
          <t>Revólver</t>
        </is>
      </c>
      <c r="O60" s="16" t="n"/>
      <c r="P60" s="16" t="n"/>
      <c r="Q60" s="16" t="n"/>
      <c r="R60" s="16" t="n"/>
      <c r="S60" s="16" t="n"/>
      <c r="T60" s="16" t="n"/>
      <c r="U60" s="17" t="n"/>
      <c r="V60" s="90" t="b">
        <v>0</v>
      </c>
      <c r="W60" s="134" t="inlineStr">
        <is>
          <t>Nunchaku</t>
        </is>
      </c>
      <c r="X60" s="16" t="n"/>
      <c r="Y60" s="16" t="n"/>
      <c r="Z60" s="16" t="n"/>
      <c r="AA60" s="16" t="n"/>
      <c r="AB60" s="16" t="n"/>
      <c r="AC60" s="16" t="n"/>
      <c r="AD60" s="17" t="n"/>
      <c r="AE60" s="90" t="b">
        <v>0</v>
      </c>
      <c r="AF60" s="134" t="inlineStr">
        <is>
          <t>Sai</t>
        </is>
      </c>
      <c r="AG60" s="16" t="n"/>
      <c r="AH60" s="16" t="n"/>
      <c r="AI60" s="16" t="n"/>
      <c r="AJ60" s="16" t="n"/>
      <c r="AK60" s="16" t="n"/>
      <c r="AL60" s="17" t="n"/>
      <c r="AM60" s="90" t="b">
        <v>0</v>
      </c>
      <c r="AN60" s="134" t="inlineStr">
        <is>
          <t>Maça</t>
        </is>
      </c>
      <c r="AO60" s="16" t="n"/>
      <c r="AP60" s="16" t="n"/>
      <c r="AQ60" s="16" t="n"/>
      <c r="AR60" s="16" t="n"/>
      <c r="AS60" s="16" t="n"/>
      <c r="AT60" s="17" t="n"/>
      <c r="AU60" s="125" t="n"/>
      <c r="AV60" s="125" t="n"/>
      <c r="AW60" s="134" t="n"/>
      <c r="AX60" s="134" t="n"/>
      <c r="AY60" s="90" t="n"/>
      <c r="AZ60" s="90" t="n"/>
      <c r="BA60" s="90">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90" t="n"/>
      <c r="BF60" s="90" t="n"/>
      <c r="BG60" s="90">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90" t="n"/>
      <c r="BL60" s="90" t="n"/>
      <c r="BM60" s="90">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90" t="n"/>
      <c r="BR60" s="90" t="n"/>
      <c r="BS60" s="90">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90" t="b">
        <v>0</v>
      </c>
      <c r="E61" s="134" t="inlineStr">
        <is>
          <t>Nodachi</t>
        </is>
      </c>
      <c r="F61" s="16" t="n"/>
      <c r="G61" s="16" t="n"/>
      <c r="H61" s="16" t="n"/>
      <c r="I61" s="16" t="n"/>
      <c r="J61" s="16" t="n"/>
      <c r="K61" s="16" t="n"/>
      <c r="L61" s="17" t="n"/>
      <c r="M61" s="90" t="b">
        <v>0</v>
      </c>
      <c r="N61" s="134" t="inlineStr">
        <is>
          <t>Rifle</t>
        </is>
      </c>
      <c r="O61" s="16" t="n"/>
      <c r="P61" s="16" t="n"/>
      <c r="Q61" s="16" t="n"/>
      <c r="R61" s="16" t="n"/>
      <c r="S61" s="16" t="n"/>
      <c r="T61" s="16" t="n"/>
      <c r="U61" s="17" t="n"/>
      <c r="V61" s="90" t="b">
        <v>0</v>
      </c>
      <c r="W61" s="134" t="inlineStr">
        <is>
          <t>Tonfa</t>
        </is>
      </c>
      <c r="X61" s="16" t="n"/>
      <c r="Y61" s="16" t="n"/>
      <c r="Z61" s="16" t="n"/>
      <c r="AA61" s="16" t="n"/>
      <c r="AB61" s="16" t="n"/>
      <c r="AC61" s="16" t="n"/>
      <c r="AD61" s="17" t="n"/>
      <c r="AE61" s="90" t="b">
        <v>0</v>
      </c>
      <c r="AF61" s="134" t="inlineStr">
        <is>
          <t>Tanto</t>
        </is>
      </c>
      <c r="AG61" s="16" t="n"/>
      <c r="AH61" s="16" t="n"/>
      <c r="AI61" s="16" t="n"/>
      <c r="AJ61" s="16" t="n"/>
      <c r="AK61" s="16" t="n"/>
      <c r="AL61" s="17" t="n"/>
      <c r="AM61" s="90" t="b">
        <v>0</v>
      </c>
      <c r="AN61" s="134" t="inlineStr">
        <is>
          <t>Taco</t>
        </is>
      </c>
      <c r="AO61" s="16" t="n"/>
      <c r="AP61" s="16" t="n"/>
      <c r="AQ61" s="16" t="n"/>
      <c r="AR61" s="16" t="n"/>
      <c r="AS61" s="16" t="n"/>
      <c r="AT61" s="17" t="n"/>
      <c r="AU61" s="125" t="n"/>
      <c r="AV61" s="125" t="n"/>
      <c r="AW61" s="134" t="n"/>
      <c r="AX61" s="134" t="n"/>
      <c r="AY61" s="90" t="n"/>
      <c r="AZ61" s="90" t="n"/>
      <c r="BA61" s="90">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90" t="n"/>
      <c r="BF61" s="90" t="n"/>
      <c r="BG61" s="90">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90" t="n"/>
      <c r="BL61" s="90" t="n"/>
      <c r="BM61" s="90">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90" t="n"/>
      <c r="BR61" s="90" t="n"/>
      <c r="BS61" s="90">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90" t="b">
        <v>0</v>
      </c>
      <c r="E62" s="134" t="inlineStr">
        <is>
          <t>Odachi</t>
        </is>
      </c>
      <c r="F62" s="16" t="n"/>
      <c r="G62" s="16" t="n"/>
      <c r="H62" s="16" t="n"/>
      <c r="I62" s="16" t="n"/>
      <c r="J62" s="16" t="n"/>
      <c r="K62" s="16" t="n"/>
      <c r="L62" s="17" t="n"/>
      <c r="M62" s="90"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90" t="n"/>
      <c r="AZ62" s="90" t="n"/>
      <c r="BA62" s="90">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90" t="n"/>
      <c r="BF62" s="90" t="n"/>
      <c r="BG62" s="90">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90" t="n"/>
      <c r="BL62" s="90" t="n"/>
      <c r="BM62" s="90">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90" t="n"/>
      <c r="BR62" s="90" t="n"/>
      <c r="BS62" s="90">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90" t="b">
        <v>0</v>
      </c>
      <c r="E63" s="134" t="inlineStr">
        <is>
          <t>Rapieira</t>
        </is>
      </c>
      <c r="F63" s="16" t="n"/>
      <c r="G63" s="16" t="n"/>
      <c r="H63" s="16" t="n"/>
      <c r="I63" s="16" t="n"/>
      <c r="J63" s="16" t="n"/>
      <c r="K63" s="16" t="n"/>
      <c r="L63" s="17" t="n"/>
      <c r="M63" s="90" t="b">
        <v>0</v>
      </c>
      <c r="N63" s="134" t="inlineStr">
        <is>
          <t>Submetralhadora</t>
        </is>
      </c>
      <c r="O63" s="16" t="n"/>
      <c r="P63" s="16" t="n"/>
      <c r="Q63" s="16" t="n"/>
      <c r="R63" s="16" t="n"/>
      <c r="S63" s="16" t="n"/>
      <c r="T63" s="16" t="n"/>
      <c r="U63" s="17" t="n"/>
      <c r="V63" s="90" t="b">
        <v>0</v>
      </c>
      <c r="W63" s="134" t="inlineStr">
        <is>
          <t>Foice</t>
        </is>
      </c>
      <c r="X63" s="16" t="n"/>
      <c r="Y63" s="16" t="n"/>
      <c r="Z63" s="16" t="n"/>
      <c r="AA63" s="16" t="n"/>
      <c r="AB63" s="16" t="n"/>
      <c r="AC63" s="16" t="n"/>
      <c r="AD63" s="17" t="n"/>
      <c r="AE63" s="90" t="b">
        <v>0</v>
      </c>
      <c r="AF63" s="134" t="inlineStr">
        <is>
          <t>Chicote</t>
        </is>
      </c>
      <c r="AG63" s="16" t="n"/>
      <c r="AH63" s="16" t="n"/>
      <c r="AI63" s="16" t="n"/>
      <c r="AJ63" s="16" t="n"/>
      <c r="AK63" s="16" t="n"/>
      <c r="AL63" s="17" t="n"/>
      <c r="AM63" s="90" t="b">
        <v>0</v>
      </c>
      <c r="AN63" s="134" t="inlineStr">
        <is>
          <t>Lança</t>
        </is>
      </c>
      <c r="AO63" s="16" t="n"/>
      <c r="AP63" s="16" t="n"/>
      <c r="AQ63" s="16" t="n"/>
      <c r="AR63" s="16" t="n"/>
      <c r="AS63" s="16" t="n"/>
      <c r="AT63" s="17" t="n"/>
      <c r="AU63" s="125" t="n"/>
      <c r="AV63" s="125" t="n"/>
      <c r="AW63" s="134" t="n"/>
      <c r="AX63" s="134" t="n"/>
      <c r="AY63" s="90" t="n"/>
      <c r="AZ63" s="90" t="n"/>
      <c r="BA63" s="90">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90" t="n"/>
      <c r="BF63" s="90" t="n"/>
      <c r="BG63" s="90">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90" t="n"/>
      <c r="BL63" s="90" t="n"/>
      <c r="BM63" s="90">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90" t="n"/>
      <c r="BR63" s="90" t="n"/>
      <c r="BS63" s="90">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90"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90" t="b">
        <v>0</v>
      </c>
      <c r="W64" s="134" t="inlineStr">
        <is>
          <t>Kama</t>
        </is>
      </c>
      <c r="X64" s="16" t="n"/>
      <c r="Y64" s="16" t="n"/>
      <c r="Z64" s="16" t="n"/>
      <c r="AA64" s="16" t="n"/>
      <c r="AB64" s="16" t="n"/>
      <c r="AC64" s="16" t="n"/>
      <c r="AD64" s="17" t="n"/>
      <c r="AE64" s="90" t="b">
        <v>0</v>
      </c>
      <c r="AF64" s="134" t="inlineStr">
        <is>
          <t>Corrente</t>
        </is>
      </c>
      <c r="AG64" s="16" t="n"/>
      <c r="AH64" s="16" t="n"/>
      <c r="AI64" s="16" t="n"/>
      <c r="AJ64" s="16" t="n"/>
      <c r="AK64" s="16" t="n"/>
      <c r="AL64" s="17" t="n"/>
      <c r="AM64" s="90" t="b">
        <v>0</v>
      </c>
      <c r="AN64" s="134" t="inlineStr">
        <is>
          <t>Naginata</t>
        </is>
      </c>
      <c r="AO64" s="16" t="n"/>
      <c r="AP64" s="16" t="n"/>
      <c r="AQ64" s="16" t="n"/>
      <c r="AR64" s="16" t="n"/>
      <c r="AS64" s="16" t="n"/>
      <c r="AT64" s="17" t="n"/>
      <c r="AU64" s="125" t="n"/>
      <c r="AV64" s="125" t="n"/>
      <c r="AW64" s="134" t="n"/>
      <c r="AX64" s="134" t="n"/>
      <c r="AY64" s="90" t="n"/>
      <c r="AZ64" s="90" t="n"/>
      <c r="BA64" s="90">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90" t="n"/>
      <c r="BF64" s="90" t="n"/>
      <c r="BG64" s="90">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90" t="n"/>
      <c r="BL64" s="90" t="n"/>
      <c r="BM64" s="90">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90" t="n"/>
      <c r="BR64" s="90" t="n"/>
      <c r="BS64" s="90">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90" t="b">
        <v>0</v>
      </c>
      <c r="N65" s="134" t="inlineStr">
        <is>
          <t>Chakram</t>
        </is>
      </c>
      <c r="O65" s="16" t="n"/>
      <c r="P65" s="16" t="n"/>
      <c r="Q65" s="16" t="n"/>
      <c r="R65" s="16" t="n"/>
      <c r="S65" s="16" t="n"/>
      <c r="T65" s="16" t="n"/>
      <c r="U65" s="17" t="n"/>
      <c r="V65" s="90" t="b">
        <v>0</v>
      </c>
      <c r="W65" s="134" t="inlineStr">
        <is>
          <t>Kusarigama</t>
        </is>
      </c>
      <c r="X65" s="16" t="n"/>
      <c r="Y65" s="16" t="n"/>
      <c r="Z65" s="16" t="n"/>
      <c r="AA65" s="16" t="n"/>
      <c r="AB65" s="16" t="n"/>
      <c r="AC65" s="16" t="n"/>
      <c r="AD65" s="17" t="n"/>
      <c r="AE65" s="90" t="b">
        <v>0</v>
      </c>
      <c r="AF65" s="134" t="inlineStr">
        <is>
          <t>Manriki</t>
        </is>
      </c>
      <c r="AG65" s="16" t="n"/>
      <c r="AH65" s="16" t="n"/>
      <c r="AI65" s="16" t="n"/>
      <c r="AJ65" s="16" t="n"/>
      <c r="AK65" s="16" t="n"/>
      <c r="AL65" s="17" t="n"/>
      <c r="AM65" s="90" t="b">
        <v>0</v>
      </c>
      <c r="AN65" s="134" t="inlineStr">
        <is>
          <t>Yari</t>
        </is>
      </c>
      <c r="AO65" s="16" t="n"/>
      <c r="AP65" s="16" t="n"/>
      <c r="AQ65" s="16" t="n"/>
      <c r="AR65" s="16" t="n"/>
      <c r="AS65" s="16" t="n"/>
      <c r="AT65" s="17" t="n"/>
      <c r="AU65" s="125" t="n"/>
      <c r="AV65" s="125" t="n"/>
      <c r="AW65" s="134" t="n"/>
      <c r="AX65" s="134" t="n"/>
      <c r="AY65" s="90" t="n"/>
      <c r="AZ65" s="90" t="n"/>
      <c r="BA65" s="90">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90" t="n"/>
      <c r="BF65" s="90" t="n"/>
      <c r="BG65" s="90">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90" t="n"/>
      <c r="BL65" s="90" t="n"/>
      <c r="BM65" s="90">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90" t="n"/>
      <c r="BR65" s="90" t="n"/>
      <c r="BS65" s="90">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90" t="b">
        <v>0</v>
      </c>
      <c r="E66" s="134" t="inlineStr">
        <is>
          <t>Machadinha</t>
        </is>
      </c>
      <c r="F66" s="16" t="n"/>
      <c r="G66" s="16" t="n"/>
      <c r="H66" s="16" t="n"/>
      <c r="I66" s="16" t="n"/>
      <c r="J66" s="16" t="n"/>
      <c r="K66" s="16" t="n"/>
      <c r="L66" s="17" t="n"/>
      <c r="M66" s="90"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90" t="n"/>
      <c r="AZ66" s="90" t="n"/>
      <c r="BA66" s="90">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90" t="n"/>
      <c r="BF66" s="90" t="n"/>
      <c r="BG66" s="90">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90" t="n"/>
      <c r="BL66" s="90" t="n"/>
      <c r="BM66" s="90">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90" t="n"/>
      <c r="BR66" s="90" t="n"/>
      <c r="BS66" s="90">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90" t="b">
        <v>0</v>
      </c>
      <c r="E67" s="134" t="inlineStr">
        <is>
          <t>Machado</t>
        </is>
      </c>
      <c r="F67" s="16" t="n"/>
      <c r="G67" s="16" t="n"/>
      <c r="H67" s="16" t="n"/>
      <c r="I67" s="16" t="n"/>
      <c r="J67" s="16" t="n"/>
      <c r="K67" s="16" t="n"/>
      <c r="L67" s="17" t="n"/>
      <c r="M67" s="90" t="b">
        <v>0</v>
      </c>
      <c r="N67" s="134" t="inlineStr">
        <is>
          <t>Shuriken</t>
        </is>
      </c>
      <c r="O67" s="16" t="n"/>
      <c r="P67" s="16" t="n"/>
      <c r="Q67" s="16" t="n"/>
      <c r="R67" s="16" t="n"/>
      <c r="S67" s="16" t="n"/>
      <c r="T67" s="16" t="n"/>
      <c r="U67" s="17" t="n"/>
      <c r="V67" s="90" t="b">
        <v>0</v>
      </c>
      <c r="W67" s="134" t="inlineStr">
        <is>
          <t>Besta</t>
        </is>
      </c>
      <c r="X67" s="16" t="n"/>
      <c r="Y67" s="16" t="n"/>
      <c r="Z67" s="16" t="n"/>
      <c r="AA67" s="16" t="n"/>
      <c r="AB67" s="16" t="n"/>
      <c r="AC67" s="16" t="n"/>
      <c r="AD67" s="17" t="n"/>
      <c r="AE67" s="90" t="b">
        <v>0</v>
      </c>
      <c r="AF67" s="134" t="inlineStr">
        <is>
          <t>Soqueira</t>
        </is>
      </c>
      <c r="AG67" s="16" t="n"/>
      <c r="AH67" s="16" t="n"/>
      <c r="AI67" s="16" t="n"/>
      <c r="AJ67" s="16" t="n"/>
      <c r="AK67" s="16" t="n"/>
      <c r="AL67" s="17" t="n"/>
      <c r="AM67" s="90" t="b">
        <v>0</v>
      </c>
      <c r="AN67" s="134" t="inlineStr">
        <is>
          <t>Daikyū</t>
        </is>
      </c>
      <c r="AO67" s="16" t="n"/>
      <c r="AP67" s="16" t="n"/>
      <c r="AQ67" s="16" t="n"/>
      <c r="AR67" s="16" t="n"/>
      <c r="AS67" s="16" t="n"/>
      <c r="AT67" s="17" t="n"/>
      <c r="AU67" s="125" t="n"/>
      <c r="AV67" s="125" t="n"/>
      <c r="AW67" s="134" t="n"/>
      <c r="AX67" s="134" t="n"/>
      <c r="AY67" s="90" t="n"/>
      <c r="AZ67" s="90" t="n"/>
      <c r="BA67" s="90">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90" t="n"/>
      <c r="BF67" s="90" t="n"/>
      <c r="BG67" s="90">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90" t="n"/>
      <c r="BL67" s="90" t="n"/>
      <c r="BM67" s="90">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90" t="n"/>
      <c r="BR67" s="90" t="n"/>
      <c r="BS67" s="90">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90" t="b">
        <v>0</v>
      </c>
      <c r="E68" s="134" t="inlineStr">
        <is>
          <t>Machado de Guerra</t>
        </is>
      </c>
      <c r="F68" s="16" t="n"/>
      <c r="G68" s="16" t="n"/>
      <c r="H68" s="16" t="n"/>
      <c r="I68" s="16" t="n"/>
      <c r="J68" s="16" t="n"/>
      <c r="K68" s="16" t="n"/>
      <c r="L68" s="17" t="n"/>
      <c r="M68" s="90" t="b">
        <v>0</v>
      </c>
      <c r="N68" s="134" t="inlineStr">
        <is>
          <t>Tessen</t>
        </is>
      </c>
      <c r="O68" s="16" t="n"/>
      <c r="P68" s="16" t="n"/>
      <c r="Q68" s="16" t="n"/>
      <c r="R68" s="16" t="n"/>
      <c r="S68" s="16" t="n"/>
      <c r="T68" s="16" t="n"/>
      <c r="U68" s="17" t="n"/>
      <c r="V68" s="90" t="b">
        <v>0</v>
      </c>
      <c r="W68" s="134" t="inlineStr">
        <is>
          <t>Besta de Uma Mão</t>
        </is>
      </c>
      <c r="X68" s="16" t="n"/>
      <c r="Y68" s="16" t="n"/>
      <c r="Z68" s="16" t="n"/>
      <c r="AA68" s="16" t="n"/>
      <c r="AB68" s="16" t="n"/>
      <c r="AC68" s="16" t="n"/>
      <c r="AD68" s="17" t="n"/>
      <c r="AE68" s="90" t="b">
        <v>0</v>
      </c>
      <c r="AF68" s="134" t="inlineStr">
        <is>
          <t>Tekko</t>
        </is>
      </c>
      <c r="AG68" s="16" t="n"/>
      <c r="AH68" s="16" t="n"/>
      <c r="AI68" s="16" t="n"/>
      <c r="AJ68" s="16" t="n"/>
      <c r="AK68" s="16" t="n"/>
      <c r="AL68" s="17" t="n"/>
      <c r="AM68" s="90" t="b">
        <v>0</v>
      </c>
      <c r="AN68" s="134" t="inlineStr">
        <is>
          <t>Hankyū</t>
        </is>
      </c>
      <c r="AO68" s="16" t="n"/>
      <c r="AP68" s="16" t="n"/>
      <c r="AQ68" s="16" t="n"/>
      <c r="AR68" s="16" t="n"/>
      <c r="AS68" s="16" t="n"/>
      <c r="AT68" s="17" t="n"/>
      <c r="AU68" s="125" t="n"/>
      <c r="AV68" s="125" t="n"/>
      <c r="AW68" s="134" t="n"/>
      <c r="AX68" s="134" t="n"/>
      <c r="AY68" s="90" t="n"/>
      <c r="AZ68" s="90" t="n"/>
      <c r="BA68" s="90">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90" t="n"/>
      <c r="BF68" s="90" t="n"/>
      <c r="BG68" s="90">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90" t="n"/>
      <c r="BL68" s="90" t="n"/>
      <c r="BM68" s="90">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90" t="n"/>
      <c r="BR68" s="90" t="n"/>
      <c r="BS68" s="90">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90" t="n"/>
      <c r="AZ69" s="90" t="n"/>
      <c r="BA69" s="90">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90" t="n"/>
      <c r="BF69" s="90" t="n"/>
      <c r="BG69" s="90">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90" t="n"/>
      <c r="BL69" s="90" t="n"/>
      <c r="BM69" s="90">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90" t="n"/>
      <c r="BR69" s="90" t="n"/>
      <c r="BS69" s="90">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90" t="n"/>
      <c r="AZ70" s="90" t="n"/>
      <c r="BA70" s="90">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90" t="n"/>
      <c r="BF70" s="90" t="n"/>
      <c r="BG70" s="90">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90" t="n"/>
      <c r="BL70" s="90" t="n"/>
      <c r="BM70" s="90">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90" t="n"/>
      <c r="BR70" s="90" t="n"/>
      <c r="BS70" s="90">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"&amp;DADOS!$CZ$41&amp;IF(DADOS!$CZ$42=1," · acima","")</f>
        <v/>
      </c>
      <c r="E71" s="19" t="n"/>
      <c r="F71" s="19" t="n"/>
      <c r="G71" s="19" t="n"/>
      <c r="H71" s="20" t="n"/>
      <c r="I71" s="134">
        <f>IFERROR(SPARKLINE(MIN(DADOS!$CZ$40,DADOS!$CZ$41),{"charttype","bar";"max",DADOS!$CZ$41;"color1",IF(DADOS!$CZ$42=1,"#C2334D",DADOS!$CZ$51)}),"")</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5">
        <f>IF(DADOS!$CZ$36+DADOS!$CZ$37+DADOS!$CZ$38=0,"Cumprido","Não cumprido")</f>
        <v/>
      </c>
      <c r="AG71" s="19" t="n"/>
      <c r="AH71" s="19" t="n"/>
      <c r="AI71" s="19" t="n"/>
      <c r="AJ71" s="19" t="n"/>
      <c r="AK71" s="19" t="n"/>
      <c r="AL71" s="20" t="n"/>
      <c r="AM71" s="125" t="n"/>
      <c r="AN71" s="85" t="n"/>
      <c r="AO71" s="19" t="n"/>
      <c r="AP71" s="19" t="n"/>
      <c r="AQ71" s="19" t="n"/>
      <c r="AR71" s="19" t="n"/>
      <c r="AS71" s="19" t="n"/>
      <c r="AT71" s="20" t="n"/>
      <c r="AU71" s="125" t="n"/>
      <c r="AV71" s="125" t="n"/>
      <c r="AW71" s="134" t="n"/>
      <c r="AX71" s="134" t="n"/>
      <c r="AY71" s="90" t="n"/>
      <c r="AZ71" s="90" t="n"/>
      <c r="BA71" s="90">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90" t="n"/>
      <c r="BF71" s="90" t="n"/>
      <c r="BG71" s="90">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90" t="n"/>
      <c r="BL71" s="90" t="n"/>
      <c r="BM71" s="90">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90" t="n"/>
      <c r="BR71" s="90" t="n"/>
      <c r="BS71" s="90">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90" t="n"/>
      <c r="AZ72" s="90" t="n"/>
      <c r="BA72" s="90">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90" t="n"/>
      <c r="BF72" s="90" t="n"/>
      <c r="BG72" s="90">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90" t="n"/>
      <c r="BL72" s="90" t="n"/>
      <c r="BM72" s="90">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90" t="n"/>
      <c r="BR72" s="90" t="n"/>
      <c r="BS72" s="90">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90" t="n"/>
      <c r="L77" s="17" t="n"/>
      <c r="M77" s="134">
        <f>IF($D77="","",IFERROR(VLOOKUP($D77,DADOS!$BD$5:$BN$59,2,FALSE),""))</f>
        <v/>
      </c>
      <c r="N77" s="16" t="n"/>
      <c r="O77" s="16" t="n"/>
      <c r="P77" s="16" t="n"/>
      <c r="Q77" s="16" t="n"/>
      <c r="R77" s="17" t="n"/>
      <c r="S77" s="90">
        <f>IF($D77="","",IFERROR(VLOOKUP($D77,DADOS!$BD$5:$BN$59,3,FALSE),""))</f>
        <v/>
      </c>
      <c r="T77" s="17" t="n"/>
      <c r="U77" s="90">
        <f>IF($D77="","",IFERROR(VLOOKUP($D77,DADOS!$BD$5:$BN$59,4,FALSE),""))</f>
        <v/>
      </c>
      <c r="V77" s="17" t="n"/>
      <c r="W77" s="134">
        <f>IF($D77="","",IFERROR(VLOOKUP($D77,DADOS!$BD$5:$BN$59,5,FALSE),""))</f>
        <v/>
      </c>
      <c r="X77" s="16" t="n"/>
      <c r="Y77" s="16" t="n"/>
      <c r="Z77" s="16" t="n"/>
      <c r="AA77" s="16" t="n"/>
      <c r="AB77" s="16" t="n"/>
      <c r="AC77" s="16" t="n"/>
      <c r="AD77" s="17" t="n"/>
      <c r="AE77" s="90">
        <f>IF($D77="","",IFERROR(VLOOKUP($D77,DADOS!$BD$5:$BN$59,6,FALSE),""))</f>
        <v/>
      </c>
      <c r="AF77" s="17" t="n"/>
      <c r="AG77" s="90">
        <f>IF($D77="","",IFERROR(IF($K77="",1,$K77)*VLOOKUP($D77,DADOS!$BD$5:$BN$59,7,FALSE),""))</f>
        <v/>
      </c>
      <c r="AH77" s="17" t="n"/>
      <c r="AI77" s="90" t="n"/>
      <c r="AJ77" s="17" t="n"/>
      <c r="AK77" s="134" t="n"/>
      <c r="AL77" s="16" t="n"/>
      <c r="AM77" s="16" t="n"/>
      <c r="AN77" s="16" t="n"/>
      <c r="AO77" s="16" t="n"/>
      <c r="AP77" s="17" t="n"/>
      <c r="AQ77" s="90" t="n"/>
      <c r="AR77" s="16" t="n"/>
      <c r="AS77" s="16" t="n"/>
      <c r="AT77" s="17" t="n"/>
      <c r="AU77" s="125" t="n"/>
      <c r="AV77" s="125" t="n"/>
      <c r="AW77" s="90">
        <f>IF(DADOS!$CZ$48=2,"▸ 2",2)</f>
        <v/>
      </c>
      <c r="AX77" s="90" t="inlineStr">
        <is>
          <t>200</t>
        </is>
      </c>
      <c r="AY77" s="17" t="n"/>
      <c r="AZ77" s="90" t="inlineStr">
        <is>
          <t>0</t>
        </is>
      </c>
      <c r="BA77" s="17" t="n"/>
      <c r="BB77" s="125" t="n"/>
      <c r="BC77" s="90">
        <f>IF(DADOS!$CZ$48=17,"▸ 17",17)</f>
        <v/>
      </c>
      <c r="BD77" s="90" t="inlineStr">
        <is>
          <t>1300</t>
        </is>
      </c>
      <c r="BE77" s="17" t="n"/>
      <c r="BF77" s="90"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90" t="n"/>
      <c r="L78" s="17" t="n"/>
      <c r="M78" s="134">
        <f>IF($D78="","",IFERROR(VLOOKUP($D78,DADOS!$BD$5:$BN$59,2,FALSE),""))</f>
        <v/>
      </c>
      <c r="N78" s="16" t="n"/>
      <c r="O78" s="16" t="n"/>
      <c r="P78" s="16" t="n"/>
      <c r="Q78" s="16" t="n"/>
      <c r="R78" s="17" t="n"/>
      <c r="S78" s="90">
        <f>IF($D78="","",IFERROR(VLOOKUP($D78,DADOS!$BD$5:$BN$59,3,FALSE),""))</f>
        <v/>
      </c>
      <c r="T78" s="17" t="n"/>
      <c r="U78" s="90">
        <f>IF($D78="","",IFERROR(VLOOKUP($D78,DADOS!$BD$5:$BN$59,4,FALSE),""))</f>
        <v/>
      </c>
      <c r="V78" s="17" t="n"/>
      <c r="W78" s="134">
        <f>IF($D78="","",IFERROR(VLOOKUP($D78,DADOS!$BD$5:$BN$59,5,FALSE),""))</f>
        <v/>
      </c>
      <c r="X78" s="16" t="n"/>
      <c r="Y78" s="16" t="n"/>
      <c r="Z78" s="16" t="n"/>
      <c r="AA78" s="16" t="n"/>
      <c r="AB78" s="16" t="n"/>
      <c r="AC78" s="16" t="n"/>
      <c r="AD78" s="17" t="n"/>
      <c r="AE78" s="90">
        <f>IF($D78="","",IFERROR(VLOOKUP($D78,DADOS!$BD$5:$BN$59,6,FALSE),""))</f>
        <v/>
      </c>
      <c r="AF78" s="17" t="n"/>
      <c r="AG78" s="90">
        <f>IF($D78="","",IFERROR(IF($K78="",1,$K78)*VLOOKUP($D78,DADOS!$BD$5:$BN$59,7,FALSE),""))</f>
        <v/>
      </c>
      <c r="AH78" s="17" t="n"/>
      <c r="AI78" s="90" t="n"/>
      <c r="AJ78" s="17" t="n"/>
      <c r="AK78" s="134" t="n"/>
      <c r="AL78" s="16" t="n"/>
      <c r="AM78" s="16" t="n"/>
      <c r="AN78" s="16" t="n"/>
      <c r="AO78" s="16" t="n"/>
      <c r="AP78" s="17" t="n"/>
      <c r="AQ78" s="90" t="n"/>
      <c r="AR78" s="16" t="n"/>
      <c r="AS78" s="16" t="n"/>
      <c r="AT78" s="17" t="n"/>
      <c r="AU78" s="125" t="n"/>
      <c r="AV78" s="125" t="n"/>
      <c r="AW78" s="90">
        <f>IF(DADOS!$CZ$48=3,"▸ 3",3)</f>
        <v/>
      </c>
      <c r="AX78" s="90" t="inlineStr">
        <is>
          <t>300</t>
        </is>
      </c>
      <c r="AY78" s="17" t="n"/>
      <c r="AZ78" s="90" t="inlineStr">
        <is>
          <t>200</t>
        </is>
      </c>
      <c r="BA78" s="17" t="n"/>
      <c r="BB78" s="125" t="n"/>
      <c r="BC78" s="90">
        <f>IF(DADOS!$CZ$48=18,"▸ 18",18)</f>
        <v/>
      </c>
      <c r="BD78" s="90" t="inlineStr">
        <is>
          <t>1300</t>
        </is>
      </c>
      <c r="BE78" s="17" t="n"/>
      <c r="BF78" s="90"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90" t="n"/>
      <c r="L79" s="17" t="n"/>
      <c r="M79" s="134">
        <f>IF($D79="","",IFERROR(VLOOKUP($D79,DADOS!$BD$5:$BN$59,2,FALSE),""))</f>
        <v/>
      </c>
      <c r="N79" s="16" t="n"/>
      <c r="O79" s="16" t="n"/>
      <c r="P79" s="16" t="n"/>
      <c r="Q79" s="16" t="n"/>
      <c r="R79" s="17" t="n"/>
      <c r="S79" s="90">
        <f>IF($D79="","",IFERROR(VLOOKUP($D79,DADOS!$BD$5:$BN$59,3,FALSE),""))</f>
        <v/>
      </c>
      <c r="T79" s="17" t="n"/>
      <c r="U79" s="90">
        <f>IF($D79="","",IFERROR(VLOOKUP($D79,DADOS!$BD$5:$BN$59,4,FALSE),""))</f>
        <v/>
      </c>
      <c r="V79" s="17" t="n"/>
      <c r="W79" s="134">
        <f>IF($D79="","",IFERROR(VLOOKUP($D79,DADOS!$BD$5:$BN$59,5,FALSE),""))</f>
        <v/>
      </c>
      <c r="X79" s="16" t="n"/>
      <c r="Y79" s="16" t="n"/>
      <c r="Z79" s="16" t="n"/>
      <c r="AA79" s="16" t="n"/>
      <c r="AB79" s="16" t="n"/>
      <c r="AC79" s="16" t="n"/>
      <c r="AD79" s="17" t="n"/>
      <c r="AE79" s="90">
        <f>IF($D79="","",IFERROR(VLOOKUP($D79,DADOS!$BD$5:$BN$59,6,FALSE),""))</f>
        <v/>
      </c>
      <c r="AF79" s="17" t="n"/>
      <c r="AG79" s="90">
        <f>IF($D79="","",IFERROR(IF($K79="",1,$K79)*VLOOKUP($D79,DADOS!$BD$5:$BN$59,7,FALSE),""))</f>
        <v/>
      </c>
      <c r="AH79" s="17" t="n"/>
      <c r="AI79" s="90" t="n"/>
      <c r="AJ79" s="17" t="n"/>
      <c r="AK79" s="134" t="n"/>
      <c r="AL79" s="16" t="n"/>
      <c r="AM79" s="16" t="n"/>
      <c r="AN79" s="16" t="n"/>
      <c r="AO79" s="16" t="n"/>
      <c r="AP79" s="17" t="n"/>
      <c r="AQ79" s="90" t="n"/>
      <c r="AR79" s="16" t="n"/>
      <c r="AS79" s="16" t="n"/>
      <c r="AT79" s="17" t="n"/>
      <c r="AU79" s="125" t="n"/>
      <c r="AV79" s="125" t="n"/>
      <c r="AW79" s="90">
        <f>IF(DADOS!$CZ$48=4,"▸ 4",4)</f>
        <v/>
      </c>
      <c r="AX79" s="90" t="inlineStr">
        <is>
          <t>300</t>
        </is>
      </c>
      <c r="AY79" s="17" t="n"/>
      <c r="AZ79" s="90" t="inlineStr">
        <is>
          <t>500</t>
        </is>
      </c>
      <c r="BA79" s="17" t="n"/>
      <c r="BB79" s="125" t="n"/>
      <c r="BC79" s="90">
        <f>IF(DADOS!$CZ$48=19,"▸ 19",19)</f>
        <v/>
      </c>
      <c r="BD79" s="90" t="inlineStr">
        <is>
          <t>1300</t>
        </is>
      </c>
      <c r="BE79" s="17" t="n"/>
      <c r="BF79" s="90"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90" t="n"/>
      <c r="L80" s="17" t="n"/>
      <c r="M80" s="134">
        <f>IF($D80="","",IFERROR(VLOOKUP($D80,DADOS!$BD$5:$BN$59,2,FALSE),""))</f>
        <v/>
      </c>
      <c r="N80" s="16" t="n"/>
      <c r="O80" s="16" t="n"/>
      <c r="P80" s="16" t="n"/>
      <c r="Q80" s="16" t="n"/>
      <c r="R80" s="17" t="n"/>
      <c r="S80" s="90">
        <f>IF($D80="","",IFERROR(VLOOKUP($D80,DADOS!$BD$5:$BN$59,3,FALSE),""))</f>
        <v/>
      </c>
      <c r="T80" s="17" t="n"/>
      <c r="U80" s="90">
        <f>IF($D80="","",IFERROR(VLOOKUP($D80,DADOS!$BD$5:$BN$59,4,FALSE),""))</f>
        <v/>
      </c>
      <c r="V80" s="17" t="n"/>
      <c r="W80" s="134">
        <f>IF($D80="","",IFERROR(VLOOKUP($D80,DADOS!$BD$5:$BN$59,5,FALSE),""))</f>
        <v/>
      </c>
      <c r="X80" s="16" t="n"/>
      <c r="Y80" s="16" t="n"/>
      <c r="Z80" s="16" t="n"/>
      <c r="AA80" s="16" t="n"/>
      <c r="AB80" s="16" t="n"/>
      <c r="AC80" s="16" t="n"/>
      <c r="AD80" s="17" t="n"/>
      <c r="AE80" s="90">
        <f>IF($D80="","",IFERROR(VLOOKUP($D80,DADOS!$BD$5:$BN$59,6,FALSE),""))</f>
        <v/>
      </c>
      <c r="AF80" s="17" t="n"/>
      <c r="AG80" s="90">
        <f>IF($D80="","",IFERROR(IF($K80="",1,$K80)*VLOOKUP($D80,DADOS!$BD$5:$BN$59,7,FALSE),""))</f>
        <v/>
      </c>
      <c r="AH80" s="17" t="n"/>
      <c r="AI80" s="90" t="n"/>
      <c r="AJ80" s="17" t="n"/>
      <c r="AK80" s="134" t="n"/>
      <c r="AL80" s="16" t="n"/>
      <c r="AM80" s="16" t="n"/>
      <c r="AN80" s="16" t="n"/>
      <c r="AO80" s="16" t="n"/>
      <c r="AP80" s="17" t="n"/>
      <c r="AQ80" s="90" t="n"/>
      <c r="AR80" s="16" t="n"/>
      <c r="AS80" s="16" t="n"/>
      <c r="AT80" s="17" t="n"/>
      <c r="AU80" s="125" t="n"/>
      <c r="AV80" s="125" t="n"/>
      <c r="AW80" s="90">
        <f>IF(DADOS!$CZ$48=5,"▸ 5",5)</f>
        <v/>
      </c>
      <c r="AX80" s="90" t="inlineStr">
        <is>
          <t>500</t>
        </is>
      </c>
      <c r="AY80" s="17" t="n"/>
      <c r="AZ80" s="90" t="inlineStr">
        <is>
          <t>800</t>
        </is>
      </c>
      <c r="BA80" s="17" t="n"/>
      <c r="BB80" s="125" t="n"/>
      <c r="BC80" s="90">
        <f>IF(DADOS!$CZ$48=20,"▸ 20",20)</f>
        <v/>
      </c>
      <c r="BD80" s="90" t="inlineStr">
        <is>
          <t>1500 e um feito</t>
        </is>
      </c>
      <c r="BE80" s="17" t="n"/>
      <c r="BF80" s="90"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90" t="n"/>
      <c r="L81" s="17" t="n"/>
      <c r="M81" s="134">
        <f>IF($D81="","",IFERROR(VLOOKUP($D81,DADOS!$BD$5:$BN$59,2,FALSE),""))</f>
        <v/>
      </c>
      <c r="N81" s="16" t="n"/>
      <c r="O81" s="16" t="n"/>
      <c r="P81" s="16" t="n"/>
      <c r="Q81" s="16" t="n"/>
      <c r="R81" s="17" t="n"/>
      <c r="S81" s="90">
        <f>IF($D81="","",IFERROR(VLOOKUP($D81,DADOS!$BD$5:$BN$59,3,FALSE),""))</f>
        <v/>
      </c>
      <c r="T81" s="17" t="n"/>
      <c r="U81" s="90">
        <f>IF($D81="","",IFERROR(VLOOKUP($D81,DADOS!$BD$5:$BN$59,4,FALSE),""))</f>
        <v/>
      </c>
      <c r="V81" s="17" t="n"/>
      <c r="W81" s="134">
        <f>IF($D81="","",IFERROR(VLOOKUP($D81,DADOS!$BD$5:$BN$59,5,FALSE),""))</f>
        <v/>
      </c>
      <c r="X81" s="16" t="n"/>
      <c r="Y81" s="16" t="n"/>
      <c r="Z81" s="16" t="n"/>
      <c r="AA81" s="16" t="n"/>
      <c r="AB81" s="16" t="n"/>
      <c r="AC81" s="16" t="n"/>
      <c r="AD81" s="17" t="n"/>
      <c r="AE81" s="90">
        <f>IF($D81="","",IFERROR(VLOOKUP($D81,DADOS!$BD$5:$BN$59,6,FALSE),""))</f>
        <v/>
      </c>
      <c r="AF81" s="17" t="n"/>
      <c r="AG81" s="90">
        <f>IF($D81="","",IFERROR(IF($K81="",1,$K81)*VLOOKUP($D81,DADOS!$BD$5:$BN$59,7,FALSE),""))</f>
        <v/>
      </c>
      <c r="AH81" s="17" t="n"/>
      <c r="AI81" s="90" t="n"/>
      <c r="AJ81" s="17" t="n"/>
      <c r="AK81" s="134" t="n"/>
      <c r="AL81" s="16" t="n"/>
      <c r="AM81" s="16" t="n"/>
      <c r="AN81" s="16" t="n"/>
      <c r="AO81" s="16" t="n"/>
      <c r="AP81" s="17" t="n"/>
      <c r="AQ81" s="90" t="n"/>
      <c r="AR81" s="16" t="n"/>
      <c r="AS81" s="16" t="n"/>
      <c r="AT81" s="17" t="n"/>
      <c r="AU81" s="125" t="n"/>
      <c r="AV81" s="125" t="n"/>
      <c r="AW81" s="90">
        <f>IF(DADOS!$CZ$48=6,"▸ 6",6)</f>
        <v/>
      </c>
      <c r="AX81" s="90" t="inlineStr">
        <is>
          <t>500</t>
        </is>
      </c>
      <c r="AY81" s="17" t="n"/>
      <c r="AZ81" s="90" t="inlineStr">
        <is>
          <t>1.300</t>
        </is>
      </c>
      <c r="BA81" s="17" t="n"/>
      <c r="BB81" s="125" t="n"/>
      <c r="BC81" s="90">
        <f>IF(DADOS!$CZ$48=21,"▸ 21",21)</f>
        <v/>
      </c>
      <c r="BD81" s="90" t="inlineStr">
        <is>
          <t>1500</t>
        </is>
      </c>
      <c r="BE81" s="17" t="n"/>
      <c r="BF81" s="90"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90" t="n"/>
      <c r="L82" s="17" t="n"/>
      <c r="M82" s="134">
        <f>IF($D82="","",IFERROR(VLOOKUP($D82,DADOS!$BD$5:$BN$59,2,FALSE),""))</f>
        <v/>
      </c>
      <c r="N82" s="16" t="n"/>
      <c r="O82" s="16" t="n"/>
      <c r="P82" s="16" t="n"/>
      <c r="Q82" s="16" t="n"/>
      <c r="R82" s="17" t="n"/>
      <c r="S82" s="90">
        <f>IF($D82="","",IFERROR(VLOOKUP($D82,DADOS!$BD$5:$BN$59,3,FALSE),""))</f>
        <v/>
      </c>
      <c r="T82" s="17" t="n"/>
      <c r="U82" s="90">
        <f>IF($D82="","",IFERROR(VLOOKUP($D82,DADOS!$BD$5:$BN$59,4,FALSE),""))</f>
        <v/>
      </c>
      <c r="V82" s="17" t="n"/>
      <c r="W82" s="134">
        <f>IF($D82="","",IFERROR(VLOOKUP($D82,DADOS!$BD$5:$BN$59,5,FALSE),""))</f>
        <v/>
      </c>
      <c r="X82" s="16" t="n"/>
      <c r="Y82" s="16" t="n"/>
      <c r="Z82" s="16" t="n"/>
      <c r="AA82" s="16" t="n"/>
      <c r="AB82" s="16" t="n"/>
      <c r="AC82" s="16" t="n"/>
      <c r="AD82" s="17" t="n"/>
      <c r="AE82" s="90">
        <f>IF($D82="","",IFERROR(VLOOKUP($D82,DADOS!$BD$5:$BN$59,6,FALSE),""))</f>
        <v/>
      </c>
      <c r="AF82" s="17" t="n"/>
      <c r="AG82" s="90">
        <f>IF($D82="","",IFERROR(IF($K82="",1,$K82)*VLOOKUP($D82,DADOS!$BD$5:$BN$59,7,FALSE),""))</f>
        <v/>
      </c>
      <c r="AH82" s="17" t="n"/>
      <c r="AI82" s="90" t="n"/>
      <c r="AJ82" s="17" t="n"/>
      <c r="AK82" s="134" t="n"/>
      <c r="AL82" s="16" t="n"/>
      <c r="AM82" s="16" t="n"/>
      <c r="AN82" s="16" t="n"/>
      <c r="AO82" s="16" t="n"/>
      <c r="AP82" s="17" t="n"/>
      <c r="AQ82" s="90" t="n"/>
      <c r="AR82" s="16" t="n"/>
      <c r="AS82" s="16" t="n"/>
      <c r="AT82" s="17" t="n"/>
      <c r="AU82" s="125" t="n"/>
      <c r="AV82" s="125" t="n"/>
      <c r="AW82" s="90">
        <f>IF(DADOS!$CZ$48=7,"▸ 7",7)</f>
        <v/>
      </c>
      <c r="AX82" s="90" t="inlineStr">
        <is>
          <t>500</t>
        </is>
      </c>
      <c r="AY82" s="17" t="n"/>
      <c r="AZ82" s="90" t="inlineStr">
        <is>
          <t>1.800</t>
        </is>
      </c>
      <c r="BA82" s="17" t="n"/>
      <c r="BB82" s="125" t="n"/>
      <c r="BC82" s="90">
        <f>IF(DADOS!$CZ$48=22,"▸ 22",22)</f>
        <v/>
      </c>
      <c r="BD82" s="90" t="inlineStr">
        <is>
          <t>1500</t>
        </is>
      </c>
      <c r="BE82" s="17" t="n"/>
      <c r="BF82" s="90"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90" t="n"/>
      <c r="L83" s="17" t="n"/>
      <c r="M83" s="134" t="n"/>
      <c r="N83" s="16" t="n"/>
      <c r="O83" s="16" t="n"/>
      <c r="P83" s="16" t="n"/>
      <c r="Q83" s="16" t="n"/>
      <c r="R83" s="17" t="n"/>
      <c r="S83" s="90" t="n"/>
      <c r="T83" s="17" t="n"/>
      <c r="U83" s="90" t="n"/>
      <c r="V83" s="17" t="n"/>
      <c r="W83" s="134" t="n"/>
      <c r="X83" s="16" t="n"/>
      <c r="Y83" s="16" t="n"/>
      <c r="Z83" s="16" t="n"/>
      <c r="AA83" s="16" t="n"/>
      <c r="AB83" s="16" t="n"/>
      <c r="AC83" s="16" t="n"/>
      <c r="AD83" s="17" t="n"/>
      <c r="AE83" s="90" t="n"/>
      <c r="AF83" s="17" t="n"/>
      <c r="AG83" s="90" t="n"/>
      <c r="AH83" s="17" t="n"/>
      <c r="AI83" s="90" t="n"/>
      <c r="AJ83" s="17" t="n"/>
      <c r="AK83" s="134" t="n"/>
      <c r="AL83" s="16" t="n"/>
      <c r="AM83" s="16" t="n"/>
      <c r="AN83" s="16" t="n"/>
      <c r="AO83" s="16" t="n"/>
      <c r="AP83" s="17" t="n"/>
      <c r="AQ83" s="90" t="n"/>
      <c r="AR83" s="16" t="n"/>
      <c r="AS83" s="16" t="n"/>
      <c r="AT83" s="17" t="n"/>
      <c r="AU83" s="125" t="n"/>
      <c r="AV83" s="125" t="n"/>
      <c r="AW83" s="90">
        <f>IF(DADOS!$CZ$48=8,"▸ 8",8)</f>
        <v/>
      </c>
      <c r="AX83" s="90" t="inlineStr">
        <is>
          <t>700</t>
        </is>
      </c>
      <c r="AY83" s="17" t="n"/>
      <c r="AZ83" s="90" t="inlineStr">
        <is>
          <t>2.300</t>
        </is>
      </c>
      <c r="BA83" s="17" t="n"/>
      <c r="BB83" s="125" t="n"/>
      <c r="BC83" s="90">
        <f>IF(DADOS!$CZ$48=23,"▸ 23",23)</f>
        <v/>
      </c>
      <c r="BD83" s="90" t="inlineStr">
        <is>
          <t>1700</t>
        </is>
      </c>
      <c r="BE83" s="17" t="n"/>
      <c r="BF83" s="90"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90" t="n"/>
      <c r="L84" s="17" t="n"/>
      <c r="M84" s="134" t="n"/>
      <c r="N84" s="16" t="n"/>
      <c r="O84" s="16" t="n"/>
      <c r="P84" s="16" t="n"/>
      <c r="Q84" s="16" t="n"/>
      <c r="R84" s="17" t="n"/>
      <c r="S84" s="90" t="n"/>
      <c r="T84" s="17" t="n"/>
      <c r="U84" s="90" t="n"/>
      <c r="V84" s="17" t="n"/>
      <c r="W84" s="134" t="n"/>
      <c r="X84" s="16" t="n"/>
      <c r="Y84" s="16" t="n"/>
      <c r="Z84" s="16" t="n"/>
      <c r="AA84" s="16" t="n"/>
      <c r="AB84" s="16" t="n"/>
      <c r="AC84" s="16" t="n"/>
      <c r="AD84" s="17" t="n"/>
      <c r="AE84" s="90" t="n"/>
      <c r="AF84" s="17" t="n"/>
      <c r="AG84" s="90" t="n"/>
      <c r="AH84" s="17" t="n"/>
      <c r="AI84" s="90" t="n"/>
      <c r="AJ84" s="17" t="n"/>
      <c r="AK84" s="134" t="n"/>
      <c r="AL84" s="16" t="n"/>
      <c r="AM84" s="16" t="n"/>
      <c r="AN84" s="16" t="n"/>
      <c r="AO84" s="16" t="n"/>
      <c r="AP84" s="17" t="n"/>
      <c r="AQ84" s="90" t="n"/>
      <c r="AR84" s="16" t="n"/>
      <c r="AS84" s="16" t="n"/>
      <c r="AT84" s="17" t="n"/>
      <c r="AU84" s="125" t="n"/>
      <c r="AV84" s="125" t="n"/>
      <c r="AW84" s="90">
        <f>IF(DADOS!$CZ$48=9,"▸ 9",9)</f>
        <v/>
      </c>
      <c r="AX84" s="90" t="inlineStr">
        <is>
          <t>700</t>
        </is>
      </c>
      <c r="AY84" s="17" t="n"/>
      <c r="AZ84" s="90" t="inlineStr">
        <is>
          <t>3.000</t>
        </is>
      </c>
      <c r="BA84" s="17" t="n"/>
      <c r="BB84" s="125" t="n"/>
      <c r="BC84" s="90">
        <f>IF(DADOS!$CZ$48=24,"▸ 24",24)</f>
        <v/>
      </c>
      <c r="BD84" s="90" t="inlineStr">
        <is>
          <t>1700</t>
        </is>
      </c>
      <c r="BE84" s="17" t="n"/>
      <c r="BF84" s="90"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90">
        <f>IF(DADOS!$CZ$48=10,"▸ 10",10)</f>
        <v/>
      </c>
      <c r="AX85" s="90" t="inlineStr">
        <is>
          <t>700</t>
        </is>
      </c>
      <c r="AY85" s="17" t="n"/>
      <c r="AZ85" s="90" t="inlineStr">
        <is>
          <t>3.700</t>
        </is>
      </c>
      <c r="BA85" s="17" t="n"/>
      <c r="BB85" s="125" t="n"/>
      <c r="BC85" s="90">
        <f>IF(DADOS!$CZ$48=25,"▸ 25",25)</f>
        <v/>
      </c>
      <c r="BD85" s="90" t="inlineStr">
        <is>
          <t>1700</t>
        </is>
      </c>
      <c r="BE85" s="17" t="n"/>
      <c r="BF85" s="90"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90">
        <f>IF(DADOS!$CZ$48=11,"▸ 11",11)</f>
        <v/>
      </c>
      <c r="AX86" s="90" t="inlineStr">
        <is>
          <t>900</t>
        </is>
      </c>
      <c r="AY86" s="17" t="n"/>
      <c r="AZ86" s="90" t="inlineStr">
        <is>
          <t>4.400</t>
        </is>
      </c>
      <c r="BA86" s="17" t="n"/>
      <c r="BB86" s="125" t="n"/>
      <c r="BC86" s="90">
        <f>IF(DADOS!$CZ$48=26,"▸ 26",26)</f>
        <v/>
      </c>
      <c r="BD86" s="90" t="inlineStr">
        <is>
          <t>1700</t>
        </is>
      </c>
      <c r="BE86" s="17" t="n"/>
      <c r="BF86" s="90"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90">
        <f>IF(DADOS!$CZ$48=12,"▸ 12",12)</f>
        <v/>
      </c>
      <c r="AX87" s="90" t="inlineStr">
        <is>
          <t>900</t>
        </is>
      </c>
      <c r="AY87" s="17" t="n"/>
      <c r="AZ87" s="90" t="inlineStr">
        <is>
          <t>5.300</t>
        </is>
      </c>
      <c r="BA87" s="17" t="n"/>
      <c r="BB87" s="125" t="n"/>
      <c r="BC87" s="90">
        <f>IF(DADOS!$CZ$48=27,"▸ 27",27)</f>
        <v/>
      </c>
      <c r="BD87" s="90" t="inlineStr">
        <is>
          <t>1700</t>
        </is>
      </c>
      <c r="BE87" s="17" t="n"/>
      <c r="BF87" s="90"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90">
        <f>IF(DADOS!$CZ$48=13,"▸ 13",13)</f>
        <v/>
      </c>
      <c r="AX88" s="90" t="inlineStr">
        <is>
          <t>900</t>
        </is>
      </c>
      <c r="AY88" s="17" t="n"/>
      <c r="AZ88" s="90" t="inlineStr">
        <is>
          <t>6.200</t>
        </is>
      </c>
      <c r="BA88" s="17" t="n"/>
      <c r="BB88" s="125" t="n"/>
      <c r="BC88" s="90">
        <f>IF(DADOS!$CZ$48=28,"▸ 28",28)</f>
        <v/>
      </c>
      <c r="BD88" s="90" t="inlineStr">
        <is>
          <t>1700</t>
        </is>
      </c>
      <c r="BE88" s="17" t="n"/>
      <c r="BF88" s="90"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90" t="n"/>
      <c r="U89" s="17" t="n"/>
      <c r="V89" s="90">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90" t="n"/>
      <c r="AQ89" s="17" t="n"/>
      <c r="AR89" s="90">
        <f>IF($Z89="","",IF($AP89="",1,$AP89)*0.1)</f>
        <v/>
      </c>
      <c r="AS89" s="16" t="n"/>
      <c r="AT89" s="17" t="n"/>
      <c r="AU89" s="125" t="n"/>
      <c r="AV89" s="125" t="n"/>
      <c r="AW89" s="90">
        <f>IF(DADOS!$CZ$48=14,"▸ 14",14)</f>
        <v/>
      </c>
      <c r="AX89" s="90" t="inlineStr">
        <is>
          <t>1100</t>
        </is>
      </c>
      <c r="AY89" s="17" t="n"/>
      <c r="AZ89" s="90" t="inlineStr">
        <is>
          <t>7.100</t>
        </is>
      </c>
      <c r="BA89" s="17" t="n"/>
      <c r="BB89" s="125" t="n"/>
      <c r="BC89" s="90">
        <f>IF(DADOS!$CZ$48=29,"▸ 29",29)</f>
        <v/>
      </c>
      <c r="BD89" s="90" t="inlineStr">
        <is>
          <t>1700</t>
        </is>
      </c>
      <c r="BE89" s="17" t="n"/>
      <c r="BF89" s="90"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90" t="n"/>
      <c r="U90" s="17" t="n"/>
      <c r="V90" s="90">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90" t="n"/>
      <c r="AQ90" s="17" t="n"/>
      <c r="AR90" s="90">
        <f>IF($Z90="","",IF($AP90="",1,$AP90)*0.1)</f>
        <v/>
      </c>
      <c r="AS90" s="16" t="n"/>
      <c r="AT90" s="17" t="n"/>
      <c r="AU90" s="125" t="n"/>
      <c r="AV90" s="125" t="n"/>
      <c r="AW90" s="90">
        <f>IF(DADOS!$CZ$48=15,"▸ 15",15)</f>
        <v/>
      </c>
      <c r="AX90" s="90" t="inlineStr">
        <is>
          <t>1100</t>
        </is>
      </c>
      <c r="AY90" s="17" t="n"/>
      <c r="AZ90" s="90" t="inlineStr">
        <is>
          <t>8.200</t>
        </is>
      </c>
      <c r="BA90" s="17" t="n"/>
      <c r="BB90" s="125" t="n"/>
      <c r="BC90" s="90">
        <f>IF(DADOS!$CZ$48=30,"▸ 30",30)</f>
        <v/>
      </c>
      <c r="BD90" s="90" t="inlineStr">
        <is>
          <t>—</t>
        </is>
      </c>
      <c r="BE90" s="17" t="n"/>
      <c r="BF90" s="90"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90" t="n"/>
      <c r="U91" s="17" t="n"/>
      <c r="V91" s="90">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90" t="n"/>
      <c r="AQ91" s="17" t="n"/>
      <c r="AR91" s="90">
        <f>IF($Z91="","",IF($AP91="",1,$AP91)*0.1)</f>
        <v/>
      </c>
      <c r="AS91" s="16" t="n"/>
      <c r="AT91" s="17" t="n"/>
      <c r="AU91" s="125" t="n"/>
      <c r="AV91" s="125" t="n"/>
      <c r="AW91" s="90">
        <f>IF(DADOS!$CZ$48=16,"▸ 16",16)</f>
        <v/>
      </c>
      <c r="AX91" s="90" t="inlineStr">
        <is>
          <t>1100</t>
        </is>
      </c>
      <c r="AY91" s="17" t="n"/>
      <c r="AZ91" s="90"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90" t="n"/>
      <c r="U92" s="17" t="n"/>
      <c r="V92" s="90">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90" t="n"/>
      <c r="AQ92" s="17" t="n"/>
      <c r="AR92" s="90">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90" t="n"/>
      <c r="U93" s="17" t="n"/>
      <c r="V93" s="90">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90" t="n"/>
      <c r="AQ93" s="17" t="n"/>
      <c r="AR93" s="90">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90" t="n"/>
      <c r="U94" s="17" t="n"/>
      <c r="V94" s="90">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90" t="n"/>
      <c r="AQ94" s="17" t="n"/>
      <c r="AR94" s="90">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muda o atributo do golpe ou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não pode ser preparado e não dá a proteção dele: a Defesa já desconta.",""))</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IF(DADOS!$CZ$42=1,"Você passou do limite: não pode se deslocar com essa carga. Largue ou guarde o que passou antes de andar, nadar, escalar ou voar.","")</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Troca</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Muito Maior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Escolher</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Mais Um</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Rajada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Fica</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Salto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Contorno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Precisão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Certeiro</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Inescapável</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De Novo</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DADOS_AM!$HK$26</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DADOS_AM!$HK$25</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meia marcha</t>
        </is>
      </c>
      <c r="CZ44" s="155">
        <f>DADOS!$CZ$43</f>
        <v/>
      </c>
    </row>
    <row r="45" ht="17.25" customHeight="1">
      <c r="A45" s="41" t="n"/>
      <c r="B45" s="41" t="n"/>
      <c r="C45" s="41" t="n"/>
      <c r="D45" s="41" t="n"/>
      <c r="E45" s="41" t="n"/>
      <c r="F45" s="153"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proteção sem força</t>
        </is>
      </c>
      <c r="CZ45" s="155">
        <f>IF(DADOS!$CZ$38=1,DADOS!$CZ$28,0)+IF(AND(DADOS!$CZ$37=1,DADOS!$CZ$19=1),IFERROR(VLOOKUP('FICHA PESSOAL'!$S$49,DADOS!$AE$5:$AF$31,2,FALSE),0),0)</f>
        <v/>
      </c>
    </row>
    <row r="46" ht="17.25" customHeight="1">
      <c r="A46" s="41" t="n"/>
      <c r="B46" s="41" t="n"/>
      <c r="C46" s="41" t="n"/>
      <c r="D46" s="41" t="n"/>
      <c r="E46" s="41" t="n"/>
      <c r="F46" s="153"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DADOS!$CZ$42</f>
        <v/>
      </c>
    </row>
    <row r="47" ht="17.25" customHeight="1">
      <c r="A47" s="41" t="n"/>
      <c r="B47" s="41" t="n"/>
      <c r="C47" s="41" t="n"/>
      <c r="D47" s="41" t="n"/>
      <c r="E47" s="41" t="n"/>
      <c r="F47" s="153"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concede</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Uma aptidão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IFERROR(VLOOKUP($EC2,$BC$2:$BK$84,4,FALSE),0)</f>
        <v/>
      </c>
      <c r="EM2" s="155">
        <f>IFERROR(VLOOKUP($ED2,$BC$2:$BK$84,4,FALSE),0)</f>
        <v/>
      </c>
      <c r="EN2" s="155">
        <f>IFERROR(VLOOKUP($EE2,$BC$2:$BK$84,4,FALSE),0)</f>
        <v/>
      </c>
      <c r="EO2" s="155">
        <f>IFERROR(VLOOKUP($EF2,$BC$2:$BK$84,4,FALSE),0)</f>
        <v/>
      </c>
      <c r="EP2" s="155">
        <f>IF($EJ2=0,0,INDEX($AC$2:$AC$11,$EJ2))</f>
        <v/>
      </c>
      <c r="EQ2" s="155">
        <f>IFERROR(VLOOKUP($EC2,$BC$2:$BK$84,5,FALSE),0)</f>
        <v/>
      </c>
      <c r="ER2" s="155">
        <f>IFERROR(VLOOKUP($ED2,$BC$2:$BK$84,5,FALSE),0)</f>
        <v/>
      </c>
      <c r="ES2" s="155">
        <f>IFERROR(VLOOKUP($EE2,$BC$2:$BK$84,5,FALSE),0)</f>
        <v/>
      </c>
      <c r="ET2" s="155">
        <f>IFERROR(VLOOKUP($EF2,$BC$2:$BK$84,5,FALSE),0)</f>
        <v/>
      </c>
      <c r="EU2" s="155">
        <f>IFERROR(VLOOKUP($EC2,$BC$2:$BK$84,6,FALSE),0)+IFERROR(VLOOKUP($ED2,$BC$2:$BK$84,6,FALSE),0)+IFERROR(VLOOKUP($EE2,$BC$2:$BK$84,6,FALSE),0)+IFERROR(VLOOKUP($EF2,$BC$2:$BK$84,6,FALSE),0)</f>
        <v/>
      </c>
      <c r="EV2" s="155">
        <f>IFERROR(VLOOKUP($EC2,$BC$2:$BK$84,9,FALSE),0)+IFERROR(VLOOKUP($ED2,$BC$2:$BK$84,9,FALSE),0)+IFERROR(VLOOKUP($EE2,$BC$2:$BK$84,9,FALSE),0)+IFERROR(VLOOKUP($EF2,$BC$2:$BK$84,9,FALSE),0)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f>
        <v/>
      </c>
      <c r="FR2" s="155">
        <f>$FP2-$FQ2</f>
        <v/>
      </c>
      <c r="FS2" s="155">
        <f>3*$DZ2-$FN2+$FQ2</f>
        <v/>
      </c>
      <c r="FT2" s="155">
        <f>MAX(0,$FS2)+$DX2*$DZ2</f>
        <v/>
      </c>
      <c r="FU2" s="155">
        <f>(IF(COUNTIF($EC2:$EF2,"Salto")&gt;0,1,0)+IF(COUNTIF($EC2:$EF2,"Queima")&gt;0,1,0)+IF(COUNTIF($EC2:$EF2,"Estilhaço")&gt;0,1,0))*FLOOR($FT2/2,1)</f>
        <v/>
      </c>
      <c r="FV2" s="155">
        <f>MAX(0,3-SUMPRODUCT($FD2:$FI2,$Q$2:$V$2)+MIN(2,$FJ2*1+$FK2*1,SUMPRODUCT($FD2:$FI2,$Q$2:$V$2)))+$DX2*1</f>
        <v/>
      </c>
      <c r="FW2" s="155">
        <f>MAX(0,6-SUMPRODUCT($FD2:$FI2,$Q$3:$V$3)+MIN(4,$FJ2*1+$FK2*2,SUMPRODUCT($FD2:$FI2,$Q$3:$V$3)))+$DX2*2</f>
        <v/>
      </c>
      <c r="FX2" s="155">
        <f>MAX(0,9-SUMPRODUCT($FD2:$FI2,$Q$4:$V$4)+MIN(6,$FJ2*2+$FK2*3,SUMPRODUCT($FD2:$FI2,$Q$4:$V$4)))+$DX2*3</f>
        <v/>
      </c>
      <c r="FY2" s="155">
        <f>MAX(0,12-SUMPRODUCT($FD2:$FI2,$Q$5:$V$5)+MIN(8,$FJ2*2+$FK2*4,SUMPRODUCT($FD2:$FI2,$Q$5:$V$5)))+$DX2*4</f>
        <v/>
      </c>
      <c r="FZ2" s="155">
        <f>MAX(0,15-SUMPRODUCT($FD2:$FI2,$Q$6:$V$6)+MIN(10,$FJ2*3+$FK2*5,SUMPRODUCT($FD2:$FI2,$Q$6:$V$6)))+$DX2*5</f>
        <v/>
      </c>
      <c r="GA2" s="155">
        <f>MAX(0,18-SUMPRODUCT($FD2:$FI2,$Q$7:$V$7)+MIN(12,$FJ2*3+$FK2*6,SUMPRODUCT($FD2:$FI2,$Q$7:$V$7)))+$DX2*6</f>
        <v/>
      </c>
      <c r="GB2" s="155">
        <f>MAX(0,21-SUMPRODUCT($FD2:$FI2,$Q$8:$V$8)+MIN(14,$FJ2*4+$FK2*7,SUMPRODUCT($FD2:$FI2,$Q$8:$V$8)))+$DX2*7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peça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"&amp;IFERROR(VLOOKUP($HX2,$CD$2:$CM$33,2,FALSE),""))</f>
        <v/>
      </c>
      <c r="HZ2" s="155">
        <f>IF($HX2="","",IFERROR(IF(ISNUMBER(VLOOKUP($HX2,$CD$2:$CM$33,3,FALSE)),"CE "&amp;VLOOKUP($HX2,$CD$2:$CM$33,3,FALSE),VLOOKUP($HX2,$CD$2:$CM$33,3,FALSE)),""))</f>
        <v/>
      </c>
      <c r="IA2" s="155">
        <f>IF($HX2="","",IFERROR(VLOOKUP($HX2,$CD$2:$CM$33,4,FALSE),""))</f>
        <v/>
      </c>
      <c r="IB2" s="155">
        <f>IF($HX2="","",IFERROR(VLOOKUP($HX2,$CD$2:$CM$33,5,FALSE),""))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$HK$11-IF($IH2&lt;&gt;"",1,0)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ADDRESS(ROW(FICHA!G103),COLUMN(FICHA!G103),4)</f>
        <v/>
      </c>
      <c r="IX2" s="155">
        <f>ADDRESS(ROW(FICHA!D104),COLUMN(FICHA!D104),4)</f>
        <v/>
      </c>
      <c r="IZ2" s="153" t="inlineStr">
        <is>
          <t>Caminho · Anotações</t>
        </is>
      </c>
      <c r="JA2" s="155">
        <f>ADDRESS(ROW(FICHA!D134),COLUMN(FICHA!D134),4)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"&amp;IFERROR(VLOOKUP($KM2,$CD$2:$CM$33,10,FALSE),"")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Um espaço conhecido</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IFERROR(VLOOKUP($EC3,$BC$2:$BK$84,4,FALSE),0)</f>
        <v/>
      </c>
      <c r="EM3" s="155">
        <f>IFERROR(VLOOKUP($ED3,$BC$2:$BK$84,4,FALSE),0)</f>
        <v/>
      </c>
      <c r="EN3" s="155">
        <f>IFERROR(VLOOKUP($EE3,$BC$2:$BK$84,4,FALSE),0)</f>
        <v/>
      </c>
      <c r="EO3" s="155">
        <f>IFERROR(VLOOKUP($EF3,$BC$2:$BK$84,4,FALSE),0)</f>
        <v/>
      </c>
      <c r="EP3" s="155">
        <f>IF($EJ3=0,0,INDEX($AC$2:$AC$11,$EJ3))</f>
        <v/>
      </c>
      <c r="EQ3" s="155">
        <f>IFERROR(VLOOKUP($EC3,$BC$2:$BK$84,5,FALSE),0)</f>
        <v/>
      </c>
      <c r="ER3" s="155">
        <f>IFERROR(VLOOKUP($ED3,$BC$2:$BK$84,5,FALSE),0)</f>
        <v/>
      </c>
      <c r="ES3" s="155">
        <f>IFERROR(VLOOKUP($EE3,$BC$2:$BK$84,5,FALSE),0)</f>
        <v/>
      </c>
      <c r="ET3" s="155">
        <f>IFERROR(VLOOKUP($EF3,$BC$2:$BK$84,5,FALSE),0)</f>
        <v/>
      </c>
      <c r="EU3" s="155">
        <f>IFERROR(VLOOKUP($EC3,$BC$2:$BK$84,6,FALSE),0)+IFERROR(VLOOKUP($ED3,$BC$2:$BK$84,6,FALSE),0)+IFERROR(VLOOKUP($EE3,$BC$2:$BK$84,6,FALSE),0)+IFERROR(VLOOKUP($EF3,$BC$2:$BK$84,6,FALSE),0)</f>
        <v/>
      </c>
      <c r="EV3" s="155">
        <f>IFERROR(VLOOKUP($EC3,$BC$2:$BK$84,9,FALSE),0)+IFERROR(VLOOKUP($ED3,$BC$2:$BK$84,9,FALSE),0)+IFERROR(VLOOKUP($EE3,$BC$2:$BK$84,9,FALSE),0)+IFERROR(VLOOKUP($EF3,$BC$2:$BK$84,9,FALSE),0)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f>
        <v/>
      </c>
      <c r="FR3" s="155">
        <f>$FP3-$FQ3</f>
        <v/>
      </c>
      <c r="FS3" s="155">
        <f>3*$DZ3-$FN3+$FQ3</f>
        <v/>
      </c>
      <c r="FT3" s="155">
        <f>MAX(0,$FS3)+$DX3*$DZ3</f>
        <v/>
      </c>
      <c r="FU3" s="155">
        <f>(IF(COUNTIF($EC3:$EF3,"Salto")&gt;0,1,0)+IF(COUNTIF($EC3:$EF3,"Queima")&gt;0,1,0)+IF(COUNTIF($EC3:$EF3,"Estilhaço")&gt;0,1,0))*FLOOR($FT3/2,1)</f>
        <v/>
      </c>
      <c r="FV3" s="155">
        <f>MAX(0,3-SUMPRODUCT($FD3:$FI3,$Q$2:$V$2)+MIN(2,$FJ3*1+$FK3*1,SUMPRODUCT($FD3:$FI3,$Q$2:$V$2)))+$DX3*1</f>
        <v/>
      </c>
      <c r="FW3" s="155">
        <f>MAX(0,6-SUMPRODUCT($FD3:$FI3,$Q$3:$V$3)+MIN(4,$FJ3*1+$FK3*2,SUMPRODUCT($FD3:$FI3,$Q$3:$V$3)))+$DX3*2</f>
        <v/>
      </c>
      <c r="FX3" s="155">
        <f>MAX(0,9-SUMPRODUCT($FD3:$FI3,$Q$4:$V$4)+MIN(6,$FJ3*2+$FK3*3,SUMPRODUCT($FD3:$FI3,$Q$4:$V$4)))+$DX3*3</f>
        <v/>
      </c>
      <c r="FY3" s="155">
        <f>MAX(0,12-SUMPRODUCT($FD3:$FI3,$Q$5:$V$5)+MIN(8,$FJ3*2+$FK3*4,SUMPRODUCT($FD3:$FI3,$Q$5:$V$5)))+$DX3*4</f>
        <v/>
      </c>
      <c r="FZ3" s="155">
        <f>MAX(0,15-SUMPRODUCT($FD3:$FI3,$Q$6:$V$6)+MIN(10,$FJ3*3+$FK3*5,SUMPRODUCT($FD3:$FI3,$Q$6:$V$6)))+$DX3*5</f>
        <v/>
      </c>
      <c r="GA3" s="155">
        <f>MAX(0,18-SUMPRODUCT($FD3:$FI3,$Q$7:$V$7)+MIN(12,$FJ3*3+$FK3*6,SUMPRODUCT($FD3:$FI3,$Q$7:$V$7)))+$DX3*6</f>
        <v/>
      </c>
      <c r="GB3" s="155">
        <f>MAX(0,21-SUMPRODUCT($FD3:$FI3,$Q$8:$V$8)+MIN(14,$FJ3*4+$FK3*7,SUMPRODUCT($FD3:$FI3,$Q$8:$V$8)))+$DX3*7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peça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N(FICHA!$D$62)</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"&amp;IFERROR(VLOOKUP($HX3,$CD$2:$CM$33,2,FALSE),""))</f>
        <v/>
      </c>
      <c r="HZ3" s="155">
        <f>IF($HX3="","",IFERROR(IF(ISNUMBER(VLOOKUP($HX3,$CD$2:$CM$33,3,FALSE)),"CE "&amp;VLOOKUP($HX3,$CD$2:$CM$33,3,FALSE),VLOOKUP($HX3,$CD$2:$CM$33,3,FALSE)),""))</f>
        <v/>
      </c>
      <c r="IA3" s="155">
        <f>IF($HX3="","",IFERROR(VLOOKUP($HX3,$CD$2:$CM$33,4,FALSE),""))</f>
        <v/>
      </c>
      <c r="IB3" s="155">
        <f>IF($HX3="","",IFERROR(VLOOKUP($HX3,$CD$2:$CM$33,5,FALSE),""))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$HK$11-IF($IH3&lt;&gt;"",1,0)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ADDRESS(ROW(FICHA!G109),COLUMN(FICHA!G109),4)</f>
        <v/>
      </c>
      <c r="IX3" s="155">
        <f>ADDRESS(ROW(FICHA!D110),COLUMN(FICHA!D110),4)</f>
        <v/>
      </c>
      <c r="IZ3" s="153" t="inlineStr">
        <is>
          <t>Trilha · Escolhas da Trilha</t>
        </is>
      </c>
      <c r="JA3" s="155">
        <f>ADDRESS(ROW(FICHA!D165),COLUMN(FICHA!D165),4)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"&amp;IFERROR(VLOOKUP($KM3,$CD$2:$CM$33,10,FALSE),"")</f>
        <v/>
      </c>
      <c r="KP3" s="153" t="inlineStr">
        <is>
          <t>feitiços</t>
        </is>
      </c>
      <c r="KQ3" s="155">
        <f>UPPER(INDEX($D$3:$G$3,1,$A$2))&amp;"  ·  "&amp;$HK$15&amp;" de 36"</f>
        <v/>
      </c>
      <c r="KS3" s="153" t="inlineStr">
        <is>
          <t>L12</t>
        </is>
      </c>
      <c r="KT3" s="155">
        <f>IF(DADOS_AM!$HK$42=1,IF(DADOS_AM!$HK$49=0,"Escolha os grupos",IF(DADOS_AM!$HK$49=1,IF(DADOS_AM!$HK$43&lt;&gt;"",DADOS_AM!$HK$43,IF(DADOS_AM!$HK$44&lt;&gt;"",DADOS_AM!$HK$44,DADOS_AM!$HK$45))&amp;",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PE máximo igual à maior Classe</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IFERROR(VLOOKUP($EC4,$BC$2:$BK$84,4,FALSE),0)</f>
        <v/>
      </c>
      <c r="EM4" s="155">
        <f>IFERROR(VLOOKUP($ED4,$BC$2:$BK$84,4,FALSE),0)</f>
        <v/>
      </c>
      <c r="EN4" s="155">
        <f>IFERROR(VLOOKUP($EE4,$BC$2:$BK$84,4,FALSE),0)</f>
        <v/>
      </c>
      <c r="EO4" s="155">
        <f>IFERROR(VLOOKUP($EF4,$BC$2:$BK$84,4,FALSE),0)</f>
        <v/>
      </c>
      <c r="EP4" s="155">
        <f>IF($EJ4=0,0,INDEX($AC$2:$AC$11,$EJ4))</f>
        <v/>
      </c>
      <c r="EQ4" s="155">
        <f>IFERROR(VLOOKUP($EC4,$BC$2:$BK$84,5,FALSE),0)</f>
        <v/>
      </c>
      <c r="ER4" s="155">
        <f>IFERROR(VLOOKUP($ED4,$BC$2:$BK$84,5,FALSE),0)</f>
        <v/>
      </c>
      <c r="ES4" s="155">
        <f>IFERROR(VLOOKUP($EE4,$BC$2:$BK$84,5,FALSE),0)</f>
        <v/>
      </c>
      <c r="ET4" s="155">
        <f>IFERROR(VLOOKUP($EF4,$BC$2:$BK$84,5,FALSE),0)</f>
        <v/>
      </c>
      <c r="EU4" s="155">
        <f>IFERROR(VLOOKUP($EC4,$BC$2:$BK$84,6,FALSE),0)+IFERROR(VLOOKUP($ED4,$BC$2:$BK$84,6,FALSE),0)+IFERROR(VLOOKUP($EE4,$BC$2:$BK$84,6,FALSE),0)+IFERROR(VLOOKUP($EF4,$BC$2:$BK$84,6,FALSE),0)</f>
        <v/>
      </c>
      <c r="EV4" s="155">
        <f>IFERROR(VLOOKUP($EC4,$BC$2:$BK$84,9,FALSE),0)+IFERROR(VLOOKUP($ED4,$BC$2:$BK$84,9,FALSE),0)+IFERROR(VLOOKUP($EE4,$BC$2:$BK$84,9,FALSE),0)+IFERROR(VLOOKUP($EF4,$BC$2:$BK$84,9,FALSE),0)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f>
        <v/>
      </c>
      <c r="FR4" s="155">
        <f>$FP4-$FQ4</f>
        <v/>
      </c>
      <c r="FS4" s="155">
        <f>3*$DZ4-$FN4+$FQ4</f>
        <v/>
      </c>
      <c r="FT4" s="155">
        <f>MAX(0,$FS4)+$DX4*$DZ4</f>
        <v/>
      </c>
      <c r="FU4" s="155">
        <f>(IF(COUNTIF($EC4:$EF4,"Salto")&gt;0,1,0)+IF(COUNTIF($EC4:$EF4,"Queima")&gt;0,1,0)+IF(COUNTIF($EC4:$EF4,"Estilhaço")&gt;0,1,0))*FLOOR($FT4/2,1)</f>
        <v/>
      </c>
      <c r="FV4" s="155">
        <f>MAX(0,3-SUMPRODUCT($FD4:$FI4,$Q$2:$V$2)+MIN(2,$FJ4*1+$FK4*1,SUMPRODUCT($FD4:$FI4,$Q$2:$V$2)))+$DX4*1</f>
        <v/>
      </c>
      <c r="FW4" s="155">
        <f>MAX(0,6-SUMPRODUCT($FD4:$FI4,$Q$3:$V$3)+MIN(4,$FJ4*1+$FK4*2,SUMPRODUCT($FD4:$FI4,$Q$3:$V$3)))+$DX4*2</f>
        <v/>
      </c>
      <c r="FX4" s="155">
        <f>MAX(0,9-SUMPRODUCT($FD4:$FI4,$Q$4:$V$4)+MIN(6,$FJ4*2+$FK4*3,SUMPRODUCT($FD4:$FI4,$Q$4:$V$4)))+$DX4*3</f>
        <v/>
      </c>
      <c r="FY4" s="155">
        <f>MAX(0,12-SUMPRODUCT($FD4:$FI4,$Q$5:$V$5)+MIN(8,$FJ4*2+$FK4*4,SUMPRODUCT($FD4:$FI4,$Q$5:$V$5)))+$DX4*4</f>
        <v/>
      </c>
      <c r="FZ4" s="155">
        <f>MAX(0,15-SUMPRODUCT($FD4:$FI4,$Q$6:$V$6)+MIN(10,$FJ4*3+$FK4*5,SUMPRODUCT($FD4:$FI4,$Q$6:$V$6)))+$DX4*5</f>
        <v/>
      </c>
      <c r="GA4" s="155">
        <f>MAX(0,18-SUMPRODUCT($FD4:$FI4,$Q$7:$V$7)+MIN(12,$FJ4*3+$FK4*6,SUMPRODUCT($FD4:$FI4,$Q$7:$V$7)))+$DX4*6</f>
        <v/>
      </c>
      <c r="GB4" s="155">
        <f>MAX(0,21-SUMPRODUCT($FD4:$FI4,$Q$8:$V$8)+MIN(14,$FJ4*4+$FK4*7,SUMPRODUCT($FD4:$FI4,$Q$8:$V$8)))+$DX4*7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peça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MAX(1,MIN(7,N(FICHA!$Z$68)))</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"&amp;IFERROR(VLOOKUP($HX4,$CD$2:$CM$33,2,FALSE),""))</f>
        <v/>
      </c>
      <c r="HZ4" s="155">
        <f>IF($HX4="","",IFERROR(IF(ISNUMBER(VLOOKUP($HX4,$CD$2:$CM$33,3,FALSE)),"CE "&amp;VLOOKUP($HX4,$CD$2:$CM$33,3,FALSE),VLOOKUP($HX4,$CD$2:$CM$33,3,FALSE)),""))</f>
        <v/>
      </c>
      <c r="IA4" s="155">
        <f>IF($HX4="","",IFERROR(VLOOKUP($HX4,$CD$2:$CM$33,4,FALSE),""))</f>
        <v/>
      </c>
      <c r="IB4" s="155">
        <f>IF($HX4="","",IFERROR(VLOOKUP($HX4,$CD$2:$CM$33,5,FALSE),""))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$HK$11-IF($IH4&lt;&gt;"",1,0)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ADDRESS(ROW(FICHA!G115),COLUMN(FICHA!G115),4)</f>
        <v/>
      </c>
      <c r="IX4" s="155">
        <f>ADDRESS(ROW(FICHA!D116),COLUMN(FICHA!D116),4)</f>
        <v/>
      </c>
      <c r="IZ4" s="153" t="inlineStr">
        <is>
          <t>Trilha · Anotações</t>
        </is>
      </c>
      <c r="JA4" s="155">
        <f>ADDRESS(ROW(FICHA!D171),COLUMN(FICHA!D171),4)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IF($KK4=0,"",IF(INDEX($IC$2:$IC$13,$KK4)&lt;&gt;"",INDEX($IC$2:$IC$13,$KK4),IF(IFERROR(VLOOKUP(INDEX($HX$2:$HX$13,$KK4),$CD$2:$CM$33,10,FALSE),"")&lt;&gt;"","Do livro: "&amp;IFERROR(VLOOKUP(INDEX($HX$2:$HX$13,$KK4),$CD$2:$CM$33,10,FALSE),""),"")))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IFERROR(VLOOKUP($EC5,$BC$2:$BK$84,4,FALSE),0)</f>
        <v/>
      </c>
      <c r="EM5" s="155">
        <f>IFERROR(VLOOKUP($ED5,$BC$2:$BK$84,4,FALSE),0)</f>
        <v/>
      </c>
      <c r="EN5" s="155">
        <f>IFERROR(VLOOKUP($EE5,$BC$2:$BK$84,4,FALSE),0)</f>
        <v/>
      </c>
      <c r="EO5" s="155">
        <f>IFERROR(VLOOKUP($EF5,$BC$2:$BK$84,4,FALSE),0)</f>
        <v/>
      </c>
      <c r="EP5" s="155">
        <f>IF($EJ5=0,0,INDEX($AC$2:$AC$11,$EJ5))</f>
        <v/>
      </c>
      <c r="EQ5" s="155">
        <f>IFERROR(VLOOKUP($EC5,$BC$2:$BK$84,5,FALSE),0)</f>
        <v/>
      </c>
      <c r="ER5" s="155">
        <f>IFERROR(VLOOKUP($ED5,$BC$2:$BK$84,5,FALSE),0)</f>
        <v/>
      </c>
      <c r="ES5" s="155">
        <f>IFERROR(VLOOKUP($EE5,$BC$2:$BK$84,5,FALSE),0)</f>
        <v/>
      </c>
      <c r="ET5" s="155">
        <f>IFERROR(VLOOKUP($EF5,$BC$2:$BK$84,5,FALSE),0)</f>
        <v/>
      </c>
      <c r="EU5" s="155">
        <f>IFERROR(VLOOKUP($EC5,$BC$2:$BK$84,6,FALSE),0)+IFERROR(VLOOKUP($ED5,$BC$2:$BK$84,6,FALSE),0)+IFERROR(VLOOKUP($EE5,$BC$2:$BK$84,6,FALSE),0)+IFERROR(VLOOKUP($EF5,$BC$2:$BK$84,6,FALSE),0)</f>
        <v/>
      </c>
      <c r="EV5" s="155">
        <f>IFERROR(VLOOKUP($EC5,$BC$2:$BK$84,9,FALSE),0)+IFERROR(VLOOKUP($ED5,$BC$2:$BK$84,9,FALSE),0)+IFERROR(VLOOKUP($EE5,$BC$2:$BK$84,9,FALSE),0)+IFERROR(VLOOKUP($EF5,$BC$2:$BK$84,9,FALSE),0)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f>
        <v/>
      </c>
      <c r="FR5" s="155">
        <f>$FP5-$FQ5</f>
        <v/>
      </c>
      <c r="FS5" s="155">
        <f>3*$DZ5-$FN5+$FQ5</f>
        <v/>
      </c>
      <c r="FT5" s="155">
        <f>MAX(0,$FS5)+$DX5*$DZ5</f>
        <v/>
      </c>
      <c r="FU5" s="155">
        <f>(IF(COUNTIF($EC5:$EF5,"Salto")&gt;0,1,0)+IF(COUNTIF($EC5:$EF5,"Queima")&gt;0,1,0)+IF(COUNTIF($EC5:$EF5,"Estilhaço")&gt;0,1,0))*FLOOR($FT5/2,1)</f>
        <v/>
      </c>
      <c r="FV5" s="155">
        <f>MAX(0,3-SUMPRODUCT($FD5:$FI5,$Q$2:$V$2)+MIN(2,$FJ5*1+$FK5*1,SUMPRODUCT($FD5:$FI5,$Q$2:$V$2)))+$DX5*1</f>
        <v/>
      </c>
      <c r="FW5" s="155">
        <f>MAX(0,6-SUMPRODUCT($FD5:$FI5,$Q$3:$V$3)+MIN(4,$FJ5*1+$FK5*2,SUMPRODUCT($FD5:$FI5,$Q$3:$V$3)))+$DX5*2</f>
        <v/>
      </c>
      <c r="FX5" s="155">
        <f>MAX(0,9-SUMPRODUCT($FD5:$FI5,$Q$4:$V$4)+MIN(6,$FJ5*2+$FK5*3,SUMPRODUCT($FD5:$FI5,$Q$4:$V$4)))+$DX5*3</f>
        <v/>
      </c>
      <c r="FY5" s="155">
        <f>MAX(0,12-SUMPRODUCT($FD5:$FI5,$Q$5:$V$5)+MIN(8,$FJ5*2+$FK5*4,SUMPRODUCT($FD5:$FI5,$Q$5:$V$5)))+$DX5*4</f>
        <v/>
      </c>
      <c r="FZ5" s="155">
        <f>MAX(0,15-SUMPRODUCT($FD5:$FI5,$Q$6:$V$6)+MIN(10,$FJ5*3+$FK5*5,SUMPRODUCT($FD5:$FI5,$Q$6:$V$6)))+$DX5*5</f>
        <v/>
      </c>
      <c r="GA5" s="155">
        <f>MAX(0,18-SUMPRODUCT($FD5:$FI5,$Q$7:$V$7)+MIN(12,$FJ5*3+$FK5*6,SUMPRODUCT($FD5:$FI5,$Q$7:$V$7)))+$DX5*6</f>
        <v/>
      </c>
      <c r="GB5" s="155">
        <f>MAX(0,21-SUMPRODUCT($FD5:$FI5,$Q$8:$V$8)+MIN(14,$FJ5*4+$FK5*7,SUMPRODUCT($FD5:$FI5,$Q$8:$V$8)))+$DX5*7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peça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"&amp;IFERROR(VLOOKUP($HX5,$CD$2:$CM$33,2,FALSE),""))</f>
        <v/>
      </c>
      <c r="HZ5" s="155">
        <f>IF($HX5="","",IFERROR(IF(ISNUMBER(VLOOKUP($HX5,$CD$2:$CM$33,3,FALSE)),"CE "&amp;VLOOKUP($HX5,$CD$2:$CM$33,3,FALSE),VLOOKUP($HX5,$CD$2:$CM$33,3,FALSE)),""))</f>
        <v/>
      </c>
      <c r="IA5" s="155">
        <f>IF($HX5="","",IFERROR(VLOOKUP($HX5,$CD$2:$CM$33,4,FALSE),""))</f>
        <v/>
      </c>
      <c r="IB5" s="155">
        <f>IF($HX5="","",IFERROR(VLOOKUP($HX5,$CD$2:$CM$33,5,FALSE),""))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$HK$11-IF($IH5&lt;&gt;"",1,0)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ADDRESS(ROW(FICHA!G121),COLUMN(FICHA!G121),4)</f>
        <v/>
      </c>
      <c r="IX5" s="155">
        <f>ADDRESS(ROW(FICHA!D122),COLUMN(FICHA!D122),4)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IF($KK5=0,"",IF(INDEX($IC$2:$IC$13,$KK5)&lt;&gt;"",INDEX($IC$2:$IC$13,$KK5),IF(IFERROR(VLOOKUP(INDEX($HX$2:$HX$13,$KK5),$CD$2:$CM$33,10,FALSE),"")&lt;&gt;"","Do livro: "&amp;IFERROR(VLOOKUP(INDEX($HX$2:$HX$13,$KK5),$CD$2:$CM$33,10,FALSE),""),"")))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IFERROR(VLOOKUP($EC6,$BC$2:$BK$84,4,FALSE),0)</f>
        <v/>
      </c>
      <c r="EM6" s="155">
        <f>IFERROR(VLOOKUP($ED6,$BC$2:$BK$84,4,FALSE),0)</f>
        <v/>
      </c>
      <c r="EN6" s="155">
        <f>IFERROR(VLOOKUP($EE6,$BC$2:$BK$84,4,FALSE),0)</f>
        <v/>
      </c>
      <c r="EO6" s="155">
        <f>IFERROR(VLOOKUP($EF6,$BC$2:$BK$84,4,FALSE),0)</f>
        <v/>
      </c>
      <c r="EP6" s="155">
        <f>IF($EJ6=0,0,INDEX($AC$2:$AC$11,$EJ6))</f>
        <v/>
      </c>
      <c r="EQ6" s="155">
        <f>IFERROR(VLOOKUP($EC6,$BC$2:$BK$84,5,FALSE),0)</f>
        <v/>
      </c>
      <c r="ER6" s="155">
        <f>IFERROR(VLOOKUP($ED6,$BC$2:$BK$84,5,FALSE),0)</f>
        <v/>
      </c>
      <c r="ES6" s="155">
        <f>IFERROR(VLOOKUP($EE6,$BC$2:$BK$84,5,FALSE),0)</f>
        <v/>
      </c>
      <c r="ET6" s="155">
        <f>IFERROR(VLOOKUP($EF6,$BC$2:$BK$84,5,FALSE),0)</f>
        <v/>
      </c>
      <c r="EU6" s="155">
        <f>IFERROR(VLOOKUP($EC6,$BC$2:$BK$84,6,FALSE),0)+IFERROR(VLOOKUP($ED6,$BC$2:$BK$84,6,FALSE),0)+IFERROR(VLOOKUP($EE6,$BC$2:$BK$84,6,FALSE),0)+IFERROR(VLOOKUP($EF6,$BC$2:$BK$84,6,FALSE),0)</f>
        <v/>
      </c>
      <c r="EV6" s="155">
        <f>IFERROR(VLOOKUP($EC6,$BC$2:$BK$84,9,FALSE),0)+IFERROR(VLOOKUP($ED6,$BC$2:$BK$84,9,FALSE),0)+IFERROR(VLOOKUP($EE6,$BC$2:$BK$84,9,FALSE),0)+IFERROR(VLOOKUP($EF6,$BC$2:$BK$84,9,FALSE),0)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f>
        <v/>
      </c>
      <c r="FR6" s="155">
        <f>$FP6-$FQ6</f>
        <v/>
      </c>
      <c r="FS6" s="155">
        <f>3*$DZ6-$FN6+$FQ6</f>
        <v/>
      </c>
      <c r="FT6" s="155">
        <f>MAX(0,$FS6)+$DX6*$DZ6</f>
        <v/>
      </c>
      <c r="FU6" s="155">
        <f>(IF(COUNTIF($EC6:$EF6,"Salto")&gt;0,1,0)+IF(COUNTIF($EC6:$EF6,"Queima")&gt;0,1,0)+IF(COUNTIF($EC6:$EF6,"Estilhaço")&gt;0,1,0))*FLOOR($FT6/2,1)</f>
        <v/>
      </c>
      <c r="FV6" s="155">
        <f>MAX(0,3-SUMPRODUCT($FD6:$FI6,$Q$2:$V$2)+MIN(2,$FJ6*1+$FK6*1,SUMPRODUCT($FD6:$FI6,$Q$2:$V$2)))+$DX6*1</f>
        <v/>
      </c>
      <c r="FW6" s="155">
        <f>MAX(0,6-SUMPRODUCT($FD6:$FI6,$Q$3:$V$3)+MIN(4,$FJ6*1+$FK6*2,SUMPRODUCT($FD6:$FI6,$Q$3:$V$3)))+$DX6*2</f>
        <v/>
      </c>
      <c r="FX6" s="155">
        <f>MAX(0,9-SUMPRODUCT($FD6:$FI6,$Q$4:$V$4)+MIN(6,$FJ6*2+$FK6*3,SUMPRODUCT($FD6:$FI6,$Q$4:$V$4)))+$DX6*3</f>
        <v/>
      </c>
      <c r="FY6" s="155">
        <f>MAX(0,12-SUMPRODUCT($FD6:$FI6,$Q$5:$V$5)+MIN(8,$FJ6*2+$FK6*4,SUMPRODUCT($FD6:$FI6,$Q$5:$V$5)))+$DX6*4</f>
        <v/>
      </c>
      <c r="FZ6" s="155">
        <f>MAX(0,15-SUMPRODUCT($FD6:$FI6,$Q$6:$V$6)+MIN(10,$FJ6*3+$FK6*5,SUMPRODUCT($FD6:$FI6,$Q$6:$V$6)))+$DX6*5</f>
        <v/>
      </c>
      <c r="GA6" s="155">
        <f>MAX(0,18-SUMPRODUCT($FD6:$FI6,$Q$7:$V$7)+MIN(12,$FJ6*3+$FK6*6,SUMPRODUCT($FD6:$FI6,$Q$7:$V$7)))+$DX6*6</f>
        <v/>
      </c>
      <c r="GB6" s="155">
        <f>MAX(0,21-SUMPRODUCT($FD6:$FI6,$Q$8:$V$8)+MIN(14,$FJ6*4+$FK6*7,SUMPRODUCT($FD6:$FI6,$Q$8:$V$8)))+$DX6*7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peça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"&amp;IFERROR(VLOOKUP($HX6,$CD$2:$CM$33,2,FALSE),""))</f>
        <v/>
      </c>
      <c r="HZ6" s="155">
        <f>IF($HX6="","",IFERROR(IF(ISNUMBER(VLOOKUP($HX6,$CD$2:$CM$33,3,FALSE)),"CE "&amp;VLOOKUP($HX6,$CD$2:$CM$33,3,FALSE),VLOOKUP($HX6,$CD$2:$CM$33,3,FALSE)),""))</f>
        <v/>
      </c>
      <c r="IA6" s="155">
        <f>IF($HX6="","",IFERROR(VLOOKUP($HX6,$CD$2:$CM$33,4,FALSE),""))</f>
        <v/>
      </c>
      <c r="IB6" s="155">
        <f>IF($HX6="","",IFERROR(VLOOKUP($HX6,$CD$2:$CM$33,5,FALSE),""))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$HK$11-IF($IH6&lt;&gt;"",1,0)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ADDRESS(ROW(FICHA!G127),COLUMN(FICHA!G127),4)</f>
        <v/>
      </c>
      <c r="IX6" s="155">
        <f>ADDRESS(ROW(FICHA!D128),COLUMN(FICHA!D128),4)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IF($KK6=0,"",IF(INDEX($IC$2:$IC$13,$KK6)&lt;&gt;"",INDEX($IC$2:$IC$13,$KK6),IF(IFERROR(VLOOKUP(INDEX($HX$2:$HX$13,$KK6),$CD$2:$CM$33,10,FALSE),"")&lt;&gt;"","Do livro: "&amp;IFERROR(VLOOKUP(INDEX($HX$2:$HX$13,$KK6),$CD$2:$CM$33,10,FALSE),""),"")))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IFERROR(VLOOKUP($EC7,$BC$2:$BK$84,4,FALSE),0)</f>
        <v/>
      </c>
      <c r="EM7" s="155">
        <f>IFERROR(VLOOKUP($ED7,$BC$2:$BK$84,4,FALSE),0)</f>
        <v/>
      </c>
      <c r="EN7" s="155">
        <f>IFERROR(VLOOKUP($EE7,$BC$2:$BK$84,4,FALSE),0)</f>
        <v/>
      </c>
      <c r="EO7" s="155">
        <f>IFERROR(VLOOKUP($EF7,$BC$2:$BK$84,4,FALSE),0)</f>
        <v/>
      </c>
      <c r="EP7" s="155">
        <f>IF($EJ7=0,0,INDEX($AC$2:$AC$11,$EJ7))</f>
        <v/>
      </c>
      <c r="EQ7" s="155">
        <f>IFERROR(VLOOKUP($EC7,$BC$2:$BK$84,5,FALSE),0)</f>
        <v/>
      </c>
      <c r="ER7" s="155">
        <f>IFERROR(VLOOKUP($ED7,$BC$2:$BK$84,5,FALSE),0)</f>
        <v/>
      </c>
      <c r="ES7" s="155">
        <f>IFERROR(VLOOKUP($EE7,$BC$2:$BK$84,5,FALSE),0)</f>
        <v/>
      </c>
      <c r="ET7" s="155">
        <f>IFERROR(VLOOKUP($EF7,$BC$2:$BK$84,5,FALSE),0)</f>
        <v/>
      </c>
      <c r="EU7" s="155">
        <f>IFERROR(VLOOKUP($EC7,$BC$2:$BK$84,6,FALSE),0)+IFERROR(VLOOKUP($ED7,$BC$2:$BK$84,6,FALSE),0)+IFERROR(VLOOKUP($EE7,$BC$2:$BK$84,6,FALSE),0)+IFERROR(VLOOKUP($EF7,$BC$2:$BK$84,6,FALSE),0)</f>
        <v/>
      </c>
      <c r="EV7" s="155">
        <f>IFERROR(VLOOKUP($EC7,$BC$2:$BK$84,9,FALSE),0)+IFERROR(VLOOKUP($ED7,$BC$2:$BK$84,9,FALSE),0)+IFERROR(VLOOKUP($EE7,$BC$2:$BK$84,9,FALSE),0)+IFERROR(VLOOKUP($EF7,$BC$2:$BK$84,9,FALSE),0)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f>
        <v/>
      </c>
      <c r="FR7" s="155">
        <f>$FP7-$FQ7</f>
        <v/>
      </c>
      <c r="FS7" s="155">
        <f>3*$DZ7-$FN7+$FQ7</f>
        <v/>
      </c>
      <c r="FT7" s="155">
        <f>MAX(0,$FS7)+$DX7*$DZ7</f>
        <v/>
      </c>
      <c r="FU7" s="155">
        <f>(IF(COUNTIF($EC7:$EF7,"Salto")&gt;0,1,0)+IF(COUNTIF($EC7:$EF7,"Queima")&gt;0,1,0)+IF(COUNTIF($EC7:$EF7,"Estilhaço")&gt;0,1,0))*FLOOR($FT7/2,1)</f>
        <v/>
      </c>
      <c r="FV7" s="155">
        <f>MAX(0,3-SUMPRODUCT($FD7:$FI7,$Q$2:$V$2)+MIN(2,$FJ7*1+$FK7*1,SUMPRODUCT($FD7:$FI7,$Q$2:$V$2)))+$DX7*1</f>
        <v/>
      </c>
      <c r="FW7" s="155">
        <f>MAX(0,6-SUMPRODUCT($FD7:$FI7,$Q$3:$V$3)+MIN(4,$FJ7*1+$FK7*2,SUMPRODUCT($FD7:$FI7,$Q$3:$V$3)))+$DX7*2</f>
        <v/>
      </c>
      <c r="FX7" s="155">
        <f>MAX(0,9-SUMPRODUCT($FD7:$FI7,$Q$4:$V$4)+MIN(6,$FJ7*2+$FK7*3,SUMPRODUCT($FD7:$FI7,$Q$4:$V$4)))+$DX7*3</f>
        <v/>
      </c>
      <c r="FY7" s="155">
        <f>MAX(0,12-SUMPRODUCT($FD7:$FI7,$Q$5:$V$5)+MIN(8,$FJ7*2+$FK7*4,SUMPRODUCT($FD7:$FI7,$Q$5:$V$5)))+$DX7*4</f>
        <v/>
      </c>
      <c r="FZ7" s="155">
        <f>MAX(0,15-SUMPRODUCT($FD7:$FI7,$Q$6:$V$6)+MIN(10,$FJ7*3+$FK7*5,SUMPRODUCT($FD7:$FI7,$Q$6:$V$6)))+$DX7*5</f>
        <v/>
      </c>
      <c r="GA7" s="155">
        <f>MAX(0,18-SUMPRODUCT($FD7:$FI7,$Q$7:$V$7)+MIN(12,$FJ7*3+$FK7*6,SUMPRODUCT($FD7:$FI7,$Q$7:$V$7)))+$DX7*6</f>
        <v/>
      </c>
      <c r="GB7" s="155">
        <f>MAX(0,21-SUMPRODUCT($FD7:$FI7,$Q$8:$V$8)+MIN(14,$FJ7*4+$FK7*7,SUMPRODUCT($FD7:$FI7,$Q$8:$V$8)))+$DX7*7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peça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"&amp;IFERROR(VLOOKUP($HX7,$CD$2:$CM$33,2,FALSE),""))</f>
        <v/>
      </c>
      <c r="HZ7" s="155">
        <f>IF($HX7="","",IFERROR(IF(ISNUMBER(VLOOKUP($HX7,$CD$2:$CM$33,3,FALSE)),"CE "&amp;VLOOKUP($HX7,$CD$2:$CM$33,3,FALSE),VLOOKUP($HX7,$CD$2:$CM$33,3,FALSE)),""))</f>
        <v/>
      </c>
      <c r="IA7" s="155">
        <f>IF($HX7="","",IFERROR(VLOOKUP($HX7,$CD$2:$CM$33,4,FALSE),""))</f>
        <v/>
      </c>
      <c r="IB7" s="155">
        <f>IF($HX7="","",IFERROR(VLOOKUP($HX7,$CD$2:$CM$33,5,FALSE),""))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ADDRESS(ROW(FICHA!G140),COLUMN(FICHA!G140),4)</f>
        <v/>
      </c>
      <c r="IX7" s="155">
        <f>ADDRESS(ROW(FICHA!D141),COLUMN(FICHA!D141),4)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IF($KK7=0,"",IF(INDEX($IC$2:$IC$13,$KK7)&lt;&gt;"",INDEX($IC$2:$IC$13,$KK7),IF(IFERROR(VLOOKUP(INDEX($HX$2:$HX$13,$KK7),$CD$2:$CM$33,10,FALSE),"")&lt;&gt;"","Do livro: "&amp;IFERROR(VLOOKUP(INDEX($HX$2:$HX$13,$KK7),$CD$2:$CM$33,10,FALSE),""),"")))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Troca</t>
        </is>
      </c>
      <c r="BD8" s="153" t="inlineStr">
        <is>
          <t>Alcance</t>
        </is>
      </c>
      <c r="BE8" s="155" t="n">
        <v>2</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IFERROR(VLOOKUP($EC8,$BC$2:$BK$84,4,FALSE),0)</f>
        <v/>
      </c>
      <c r="EM8" s="155">
        <f>IFERROR(VLOOKUP($ED8,$BC$2:$BK$84,4,FALSE),0)</f>
        <v/>
      </c>
      <c r="EN8" s="155">
        <f>IFERROR(VLOOKUP($EE8,$BC$2:$BK$84,4,FALSE),0)</f>
        <v/>
      </c>
      <c r="EO8" s="155">
        <f>IFERROR(VLOOKUP($EF8,$BC$2:$BK$84,4,FALSE),0)</f>
        <v/>
      </c>
      <c r="EP8" s="155">
        <f>IF($EJ8=0,0,INDEX($AC$2:$AC$11,$EJ8))</f>
        <v/>
      </c>
      <c r="EQ8" s="155">
        <f>IFERROR(VLOOKUP($EC8,$BC$2:$BK$84,5,FALSE),0)</f>
        <v/>
      </c>
      <c r="ER8" s="155">
        <f>IFERROR(VLOOKUP($ED8,$BC$2:$BK$84,5,FALSE),0)</f>
        <v/>
      </c>
      <c r="ES8" s="155">
        <f>IFERROR(VLOOKUP($EE8,$BC$2:$BK$84,5,FALSE),0)</f>
        <v/>
      </c>
      <c r="ET8" s="155">
        <f>IFERROR(VLOOKUP($EF8,$BC$2:$BK$84,5,FALSE),0)</f>
        <v/>
      </c>
      <c r="EU8" s="155">
        <f>IFERROR(VLOOKUP($EC8,$BC$2:$BK$84,6,FALSE),0)+IFERROR(VLOOKUP($ED8,$BC$2:$BK$84,6,FALSE),0)+IFERROR(VLOOKUP($EE8,$BC$2:$BK$84,6,FALSE),0)+IFERROR(VLOOKUP($EF8,$BC$2:$BK$84,6,FALSE),0)</f>
        <v/>
      </c>
      <c r="EV8" s="155">
        <f>IFERROR(VLOOKUP($EC8,$BC$2:$BK$84,9,FALSE),0)+IFERROR(VLOOKUP($ED8,$BC$2:$BK$84,9,FALSE),0)+IFERROR(VLOOKUP($EE8,$BC$2:$BK$84,9,FALSE),0)+IFERROR(VLOOKUP($EF8,$BC$2:$BK$84,9,FALSE),0)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f>
        <v/>
      </c>
      <c r="FR8" s="155">
        <f>$FP8-$FQ8</f>
        <v/>
      </c>
      <c r="FS8" s="155">
        <f>3*$DZ8-$FN8+$FQ8</f>
        <v/>
      </c>
      <c r="FT8" s="155">
        <f>MAX(0,$FS8)+$DX8*$DZ8</f>
        <v/>
      </c>
      <c r="FU8" s="155">
        <f>(IF(COUNTIF($EC8:$EF8,"Salto")&gt;0,1,0)+IF(COUNTIF($EC8:$EF8,"Queima")&gt;0,1,0)+IF(COUNTIF($EC8:$EF8,"Estilhaço")&gt;0,1,0))*FLOOR($FT8/2,1)</f>
        <v/>
      </c>
      <c r="FV8" s="155">
        <f>MAX(0,3-SUMPRODUCT($FD8:$FI8,$Q$2:$V$2)+MIN(2,$FJ8*1+$FK8*1,SUMPRODUCT($FD8:$FI8,$Q$2:$V$2)))+$DX8*1</f>
        <v/>
      </c>
      <c r="FW8" s="155">
        <f>MAX(0,6-SUMPRODUCT($FD8:$FI8,$Q$3:$V$3)+MIN(4,$FJ8*1+$FK8*2,SUMPRODUCT($FD8:$FI8,$Q$3:$V$3)))+$DX8*2</f>
        <v/>
      </c>
      <c r="FX8" s="155">
        <f>MAX(0,9-SUMPRODUCT($FD8:$FI8,$Q$4:$V$4)+MIN(6,$FJ8*2+$FK8*3,SUMPRODUCT($FD8:$FI8,$Q$4:$V$4)))+$DX8*3</f>
        <v/>
      </c>
      <c r="FY8" s="155">
        <f>MAX(0,12-SUMPRODUCT($FD8:$FI8,$Q$5:$V$5)+MIN(8,$FJ8*2+$FK8*4,SUMPRODUCT($FD8:$FI8,$Q$5:$V$5)))+$DX8*4</f>
        <v/>
      </c>
      <c r="FZ8" s="155">
        <f>MAX(0,15-SUMPRODUCT($FD8:$FI8,$Q$6:$V$6)+MIN(10,$FJ8*3+$FK8*5,SUMPRODUCT($FD8:$FI8,$Q$6:$V$6)))+$DX8*5</f>
        <v/>
      </c>
      <c r="GA8" s="155">
        <f>MAX(0,18-SUMPRODUCT($FD8:$FI8,$Q$7:$V$7)+MIN(12,$FJ8*3+$FK8*6,SUMPRODUCT($FD8:$FI8,$Q$7:$V$7)))+$DX8*6</f>
        <v/>
      </c>
      <c r="GB8" s="155">
        <f>MAX(0,21-SUMPRODUCT($FD8:$FI8,$Q$8:$V$8)+MIN(14,$FJ8*4+$FK8*7,SUMPRODUCT($FD8:$FI8,$Q$8:$V$8)))+$DX8*7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peça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"&amp;IFERROR(VLOOKUP($HX8,$CD$2:$CM$33,2,FALSE),""))</f>
        <v/>
      </c>
      <c r="HZ8" s="155">
        <f>IF($HX8="","",IFERROR(IF(ISNUMBER(VLOOKUP($HX8,$CD$2:$CM$33,3,FALSE)),"CE "&amp;VLOOKUP($HX8,$CD$2:$CM$33,3,FALSE),VLOOKUP($HX8,$CD$2:$CM$33,3,FALSE)),""))</f>
        <v/>
      </c>
      <c r="IA8" s="155">
        <f>IF($HX8="","",IFERROR(VLOOKUP($HX8,$CD$2:$CM$33,4,FALSE),""))</f>
        <v/>
      </c>
      <c r="IB8" s="155">
        <f>IF($HX8="","",IFERROR(VLOOKUP($HX8,$CD$2:$CM$33,5,FALSE),""))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ADDRESS(ROW(FICHA!G146),COLUMN(FICHA!G146),4)</f>
        <v/>
      </c>
      <c r="IX8" s="155">
        <f>ADDRESS(ROW(FICHA!D147),COLUMN(FICHA!D147),4)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IF($KK8=0,"",IF(INDEX($IC$2:$IC$13,$KK8)&lt;&gt;"",INDEX($IC$2:$IC$13,$KK8),IF(IFERROR(VLOOKUP(INDEX($HX$2:$HX$13,$KK8),$CD$2:$CM$33,10,FALSE),"")&lt;&gt;"","Do livro: "&amp;IFERROR(VLOOKUP(INDEX($HX$2:$HX$13,$KK8),$CD$2:$CM$33,10,FALSE),""),"")))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Maior</t>
        </is>
      </c>
      <c r="BD9" s="153" t="inlineStr">
        <is>
          <t>Área</t>
        </is>
      </c>
      <c r="BE9" s="155" t="n">
        <v>1</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IFERROR(VLOOKUP($EC9,$BC$2:$BK$84,4,FALSE),0)</f>
        <v/>
      </c>
      <c r="EM9" s="155">
        <f>IFERROR(VLOOKUP($ED9,$BC$2:$BK$84,4,FALSE),0)</f>
        <v/>
      </c>
      <c r="EN9" s="155">
        <f>IFERROR(VLOOKUP($EE9,$BC$2:$BK$84,4,FALSE),0)</f>
        <v/>
      </c>
      <c r="EO9" s="155">
        <f>IFERROR(VLOOKUP($EF9,$BC$2:$BK$84,4,FALSE),0)</f>
        <v/>
      </c>
      <c r="EP9" s="155">
        <f>IF($EJ9=0,0,INDEX($AC$2:$AC$11,$EJ9))</f>
        <v/>
      </c>
      <c r="EQ9" s="155">
        <f>IFERROR(VLOOKUP($EC9,$BC$2:$BK$84,5,FALSE),0)</f>
        <v/>
      </c>
      <c r="ER9" s="155">
        <f>IFERROR(VLOOKUP($ED9,$BC$2:$BK$84,5,FALSE),0)</f>
        <v/>
      </c>
      <c r="ES9" s="155">
        <f>IFERROR(VLOOKUP($EE9,$BC$2:$BK$84,5,FALSE),0)</f>
        <v/>
      </c>
      <c r="ET9" s="155">
        <f>IFERROR(VLOOKUP($EF9,$BC$2:$BK$84,5,FALSE),0)</f>
        <v/>
      </c>
      <c r="EU9" s="155">
        <f>IFERROR(VLOOKUP($EC9,$BC$2:$BK$84,6,FALSE),0)+IFERROR(VLOOKUP($ED9,$BC$2:$BK$84,6,FALSE),0)+IFERROR(VLOOKUP($EE9,$BC$2:$BK$84,6,FALSE),0)+IFERROR(VLOOKUP($EF9,$BC$2:$BK$84,6,FALSE),0)</f>
        <v/>
      </c>
      <c r="EV9" s="155">
        <f>IFERROR(VLOOKUP($EC9,$BC$2:$BK$84,9,FALSE),0)+IFERROR(VLOOKUP($ED9,$BC$2:$BK$84,9,FALSE),0)+IFERROR(VLOOKUP($EE9,$BC$2:$BK$84,9,FALSE),0)+IFERROR(VLOOKUP($EF9,$BC$2:$BK$84,9,FALSE),0)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f>
        <v/>
      </c>
      <c r="FR9" s="155">
        <f>$FP9-$FQ9</f>
        <v/>
      </c>
      <c r="FS9" s="155">
        <f>3*$DZ9-$FN9+$FQ9</f>
        <v/>
      </c>
      <c r="FT9" s="155">
        <f>MAX(0,$FS9)+$DX9*$DZ9</f>
        <v/>
      </c>
      <c r="FU9" s="155">
        <f>(IF(COUNTIF($EC9:$EF9,"Salto")&gt;0,1,0)+IF(COUNTIF($EC9:$EF9,"Queima")&gt;0,1,0)+IF(COUNTIF($EC9:$EF9,"Estilhaço")&gt;0,1,0))*FLOOR($FT9/2,1)</f>
        <v/>
      </c>
      <c r="FV9" s="155">
        <f>MAX(0,3-SUMPRODUCT($FD9:$FI9,$Q$2:$V$2)+MIN(2,$FJ9*1+$FK9*1,SUMPRODUCT($FD9:$FI9,$Q$2:$V$2)))+$DX9*1</f>
        <v/>
      </c>
      <c r="FW9" s="155">
        <f>MAX(0,6-SUMPRODUCT($FD9:$FI9,$Q$3:$V$3)+MIN(4,$FJ9*1+$FK9*2,SUMPRODUCT($FD9:$FI9,$Q$3:$V$3)))+$DX9*2</f>
        <v/>
      </c>
      <c r="FX9" s="155">
        <f>MAX(0,9-SUMPRODUCT($FD9:$FI9,$Q$4:$V$4)+MIN(6,$FJ9*2+$FK9*3,SUMPRODUCT($FD9:$FI9,$Q$4:$V$4)))+$DX9*3</f>
        <v/>
      </c>
      <c r="FY9" s="155">
        <f>MAX(0,12-SUMPRODUCT($FD9:$FI9,$Q$5:$V$5)+MIN(8,$FJ9*2+$FK9*4,SUMPRODUCT($FD9:$FI9,$Q$5:$V$5)))+$DX9*4</f>
        <v/>
      </c>
      <c r="FZ9" s="155">
        <f>MAX(0,15-SUMPRODUCT($FD9:$FI9,$Q$6:$V$6)+MIN(10,$FJ9*3+$FK9*5,SUMPRODUCT($FD9:$FI9,$Q$6:$V$6)))+$DX9*5</f>
        <v/>
      </c>
      <c r="GA9" s="155">
        <f>MAX(0,18-SUMPRODUCT($FD9:$FI9,$Q$7:$V$7)+MIN(12,$FJ9*3+$FK9*6,SUMPRODUCT($FD9:$FI9,$Q$7:$V$7)))+$DX9*6</f>
        <v/>
      </c>
      <c r="GB9" s="155">
        <f>MAX(0,21-SUMPRODUCT($FD9:$FI9,$Q$8:$V$8)+MIN(14,$FJ9*4+$FK9*7,SUMPRODUCT($FD9:$FI9,$Q$8:$V$8)))+$DX9*7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peça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"&amp;IFERROR(VLOOKUP($HX9,$CD$2:$CM$33,2,FALSE),""))</f>
        <v/>
      </c>
      <c r="HZ9" s="155">
        <f>IF($HX9="","",IFERROR(IF(ISNUMBER(VLOOKUP($HX9,$CD$2:$CM$33,3,FALSE)),"CE "&amp;VLOOKUP($HX9,$CD$2:$CM$33,3,FALSE),VLOOKUP($HX9,$CD$2:$CM$33,3,FALSE)),""))</f>
        <v/>
      </c>
      <c r="IA9" s="155">
        <f>IF($HX9="","",IFERROR(VLOOKUP($HX9,$CD$2:$CM$33,4,FALSE),""))</f>
        <v/>
      </c>
      <c r="IB9" s="155">
        <f>IF($HX9="","",IFERROR(VLOOKUP($HX9,$CD$2:$CM$33,5,FALSE),""))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ADDRESS(ROW(FICHA!G152),COLUMN(FICHA!G152),4)</f>
        <v/>
      </c>
      <c r="IX9" s="155">
        <f>ADDRESS(ROW(FICHA!D153),COLUMN(FICHA!D153),4)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IF($KK9=0,"",IF(INDEX($IC$2:$IC$13,$KK9)&lt;&gt;"",INDEX($IC$2:$IC$13,$KK9),IF(IFERROR(VLOOKUP(INDEX($HX$2:$HX$13,$KK9),$CD$2:$CM$33,10,FALSE),"")&lt;&gt;"","Do livro: "&amp;IFERROR(VLOOKUP(INDEX($HX$2:$HX$13,$KK9),$CD$2:$CM$33,10,FALSE),""),"")))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Muito Maior</t>
        </is>
      </c>
      <c r="BD10" s="153" t="inlineStr">
        <is>
          <t>Área</t>
        </is>
      </c>
      <c r="BE10" s="155" t="n">
        <v>3</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IFERROR(VLOOKUP($EC10,$BC$2:$BK$84,4,FALSE),0)</f>
        <v/>
      </c>
      <c r="EM10" s="155">
        <f>IFERROR(VLOOKUP($ED10,$BC$2:$BK$84,4,FALSE),0)</f>
        <v/>
      </c>
      <c r="EN10" s="155">
        <f>IFERROR(VLOOKUP($EE10,$BC$2:$BK$84,4,FALSE),0)</f>
        <v/>
      </c>
      <c r="EO10" s="155">
        <f>IFERROR(VLOOKUP($EF10,$BC$2:$BK$84,4,FALSE),0)</f>
        <v/>
      </c>
      <c r="EP10" s="155">
        <f>IF($EJ10=0,0,INDEX($AC$2:$AC$11,$EJ10))</f>
        <v/>
      </c>
      <c r="EQ10" s="155">
        <f>IFERROR(VLOOKUP($EC10,$BC$2:$BK$84,5,FALSE),0)</f>
        <v/>
      </c>
      <c r="ER10" s="155">
        <f>IFERROR(VLOOKUP($ED10,$BC$2:$BK$84,5,FALSE),0)</f>
        <v/>
      </c>
      <c r="ES10" s="155">
        <f>IFERROR(VLOOKUP($EE10,$BC$2:$BK$84,5,FALSE),0)</f>
        <v/>
      </c>
      <c r="ET10" s="155">
        <f>IFERROR(VLOOKUP($EF10,$BC$2:$BK$84,5,FALSE),0)</f>
        <v/>
      </c>
      <c r="EU10" s="155">
        <f>IFERROR(VLOOKUP($EC10,$BC$2:$BK$84,6,FALSE),0)+IFERROR(VLOOKUP($ED10,$BC$2:$BK$84,6,FALSE),0)+IFERROR(VLOOKUP($EE10,$BC$2:$BK$84,6,FALSE),0)+IFERROR(VLOOKUP($EF10,$BC$2:$BK$84,6,FALSE),0)</f>
        <v/>
      </c>
      <c r="EV10" s="155">
        <f>IFERROR(VLOOKUP($EC10,$BC$2:$BK$84,9,FALSE),0)+IFERROR(VLOOKUP($ED10,$BC$2:$BK$84,9,FALSE),0)+IFERROR(VLOOKUP($EE10,$BC$2:$BK$84,9,FALSE),0)+IFERROR(VLOOKUP($EF10,$BC$2:$BK$84,9,FALSE),0)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MAX(0,3-SUMPRODUCT($FD10:$FI10,$Q$2:$V$2)+MIN(2,$FJ10*1+$FK10*1,SUMPRODUCT($FD10:$FI10,$Q$2:$V$2)))+$DX10*1</f>
        <v/>
      </c>
      <c r="FW10" s="155">
        <f>MAX(0,6-SUMPRODUCT($FD10:$FI10,$Q$3:$V$3)+MIN(4,$FJ10*1+$FK10*2,SUMPRODUCT($FD10:$FI10,$Q$3:$V$3)))+$DX10*2</f>
        <v/>
      </c>
      <c r="FX10" s="155">
        <f>MAX(0,9-SUMPRODUCT($FD10:$FI10,$Q$4:$V$4)+MIN(6,$FJ10*2+$FK10*3,SUMPRODUCT($FD10:$FI10,$Q$4:$V$4)))+$DX10*3</f>
        <v/>
      </c>
      <c r="FY10" s="155">
        <f>MAX(0,12-SUMPRODUCT($FD10:$FI10,$Q$5:$V$5)+MIN(8,$FJ10*2+$FK10*4,SUMPRODUCT($FD10:$FI10,$Q$5:$V$5)))+$DX10*4</f>
        <v/>
      </c>
      <c r="FZ10" s="155">
        <f>MAX(0,15-SUMPRODUCT($FD10:$FI10,$Q$6:$V$6)+MIN(10,$FJ10*3+$FK10*5,SUMPRODUCT($FD10:$FI10,$Q$6:$V$6)))+$DX10*5</f>
        <v/>
      </c>
      <c r="GA10" s="155">
        <f>MAX(0,18-SUMPRODUCT($FD10:$FI10,$Q$7:$V$7)+MIN(12,$FJ10*3+$FK10*6,SUMPRODUCT($FD10:$FI10,$Q$7:$V$7)))+$DX10*6</f>
        <v/>
      </c>
      <c r="GB10" s="155">
        <f>MAX(0,21-SUMPRODUCT($FD10:$FI10,$Q$8:$V$8)+MIN(14,$FJ10*4+$FK10*7,SUMPRODUCT($FD10:$FI10,$Q$8:$V$8)))+$DX10*7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peça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"&amp;IFERROR(VLOOKUP($HX10,$CD$2:$CM$33,2,FALSE),""))</f>
        <v/>
      </c>
      <c r="HZ10" s="155">
        <f>IF($HX10="","",IFERROR(IF(ISNUMBER(VLOOKUP($HX10,$CD$2:$CM$33,3,FALSE)),"CE "&amp;VLOOKUP($HX10,$CD$2:$CM$33,3,FALSE),VLOOKUP($HX10,$CD$2:$CM$33,3,FALSE)),""))</f>
        <v/>
      </c>
      <c r="IA10" s="155">
        <f>IF($HX10="","",IFERROR(VLOOKUP($HX10,$CD$2:$CM$33,4,FALSE),""))</f>
        <v/>
      </c>
      <c r="IB10" s="155">
        <f>IF($HX10="","",IFERROR(VLOOKUP($HX10,$CD$2:$CM$33,5,FALSE),""))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ADDRESS(ROW(FICHA!G158),COLUMN(FICHA!G158),4)</f>
        <v/>
      </c>
      <c r="IX10" s="155">
        <f>ADDRESS(ROW(FICHA!D159),COLUMN(FICHA!D159),4)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IF($KK10=0,"",IF(INDEX($IC$2:$IC$13,$KK10)&lt;&gt;"",INDEX($IC$2:$IC$13,$KK10),IF(IFERROR(VLOOKUP(INDEX($HX$2:$HX$13,$KK10),$CD$2:$CM$33,10,FALSE),"")&lt;&gt;"","Do livro: "&amp;IFERROR(VLOOKUP(INDEX($HX$2:$HX$13,$KK10),$CD$2:$CM$33,10,FALSE),""),"")))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Escolher</t>
        </is>
      </c>
      <c r="BD11" s="153" t="inlineStr">
        <is>
          <t>Área</t>
        </is>
      </c>
      <c r="BE11" s="155" t="n">
        <v>2</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IFERROR(VLOOKUP($EC11,$BC$2:$BK$84,4,FALSE),0)</f>
        <v/>
      </c>
      <c r="EM11" s="155">
        <f>IFERROR(VLOOKUP($ED11,$BC$2:$BK$84,4,FALSE),0)</f>
        <v/>
      </c>
      <c r="EN11" s="155">
        <f>IFERROR(VLOOKUP($EE11,$BC$2:$BK$84,4,FALSE),0)</f>
        <v/>
      </c>
      <c r="EO11" s="155">
        <f>IFERROR(VLOOKUP($EF11,$BC$2:$BK$84,4,FALSE),0)</f>
        <v/>
      </c>
      <c r="EP11" s="155">
        <f>IF($EJ11=0,0,INDEX($AC$2:$AC$11,$EJ11))</f>
        <v/>
      </c>
      <c r="EQ11" s="155">
        <f>IFERROR(VLOOKUP($EC11,$BC$2:$BK$84,5,FALSE),0)</f>
        <v/>
      </c>
      <c r="ER11" s="155">
        <f>IFERROR(VLOOKUP($ED11,$BC$2:$BK$84,5,FALSE),0)</f>
        <v/>
      </c>
      <c r="ES11" s="155">
        <f>IFERROR(VLOOKUP($EE11,$BC$2:$BK$84,5,FALSE),0)</f>
        <v/>
      </c>
      <c r="ET11" s="155">
        <f>IFERROR(VLOOKUP($EF11,$BC$2:$BK$84,5,FALSE),0)</f>
        <v/>
      </c>
      <c r="EU11" s="155">
        <f>IFERROR(VLOOKUP($EC11,$BC$2:$BK$84,6,FALSE),0)+IFERROR(VLOOKUP($ED11,$BC$2:$BK$84,6,FALSE),0)+IFERROR(VLOOKUP($EE11,$BC$2:$BK$84,6,FALSE),0)+IFERROR(VLOOKUP($EF11,$BC$2:$BK$84,6,FALSE),0)</f>
        <v/>
      </c>
      <c r="EV11" s="155">
        <f>IFERROR(VLOOKUP($EC11,$BC$2:$BK$84,9,FALSE),0)+IFERROR(VLOOKUP($ED11,$BC$2:$BK$84,9,FALSE),0)+IFERROR(VLOOKUP($EE11,$BC$2:$BK$84,9,FALSE),0)+IFERROR(VLOOKUP($EF11,$BC$2:$BK$84,9,FALSE),0)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MAX(0,3-SUMPRODUCT($FD11:$FI11,$Q$2:$V$2)+MIN(2,$FJ11*1+$FK11*1,SUMPRODUCT($FD11:$FI11,$Q$2:$V$2)))+$DX11*1</f>
        <v/>
      </c>
      <c r="FW11" s="155">
        <f>MAX(0,6-SUMPRODUCT($FD11:$FI11,$Q$3:$V$3)+MIN(4,$FJ11*1+$FK11*2,SUMPRODUCT($FD11:$FI11,$Q$3:$V$3)))+$DX11*2</f>
        <v/>
      </c>
      <c r="FX11" s="155">
        <f>MAX(0,9-SUMPRODUCT($FD11:$FI11,$Q$4:$V$4)+MIN(6,$FJ11*2+$FK11*3,SUMPRODUCT($FD11:$FI11,$Q$4:$V$4)))+$DX11*3</f>
        <v/>
      </c>
      <c r="FY11" s="155">
        <f>MAX(0,12-SUMPRODUCT($FD11:$FI11,$Q$5:$V$5)+MIN(8,$FJ11*2+$FK11*4,SUMPRODUCT($FD11:$FI11,$Q$5:$V$5)))+$DX11*4</f>
        <v/>
      </c>
      <c r="FZ11" s="155">
        <f>MAX(0,15-SUMPRODUCT($FD11:$FI11,$Q$6:$V$6)+MIN(10,$FJ11*3+$FK11*5,SUMPRODUCT($FD11:$FI11,$Q$6:$V$6)))+$DX11*5</f>
        <v/>
      </c>
      <c r="GA11" s="155">
        <f>MAX(0,18-SUMPRODUCT($FD11:$FI11,$Q$7:$V$7)+MIN(12,$FJ11*3+$FK11*6,SUMPRODUCT($FD11:$FI11,$Q$7:$V$7)))+$DX11*6</f>
        <v/>
      </c>
      <c r="GB11" s="155">
        <f>MAX(0,21-SUMPRODUCT($FD11:$FI11,$Q$8:$V$8)+MIN(14,$FJ11*4+$FK11*7,SUMPRODUCT($FD11:$FI11,$Q$8:$V$8)))+$DX11*7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peça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"&amp;IFERROR(VLOOKUP($HX11,$CD$2:$CM$33,2,FALSE),""))</f>
        <v/>
      </c>
      <c r="HZ11" s="155">
        <f>IF($HX11="","",IFERROR(IF(ISNUMBER(VLOOKUP($HX11,$CD$2:$CM$33,3,FALSE)),"CE "&amp;VLOOKUP($HX11,$CD$2:$CM$33,3,FALSE),VLOOKUP($HX11,$CD$2:$CM$33,3,FALSE)),""))</f>
        <v/>
      </c>
      <c r="IA11" s="155">
        <f>IF($HX11="","",IFERROR(VLOOKUP($HX11,$CD$2:$CM$33,4,FALSE),""))</f>
        <v/>
      </c>
      <c r="IB11" s="155">
        <f>IF($HX11="","",IFERROR(VLOOKUP($HX11,$CD$2:$CM$33,5,FALSE),""))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IF($KK11=0,"",IF(INDEX($IC$2:$IC$13,$KK11)&lt;&gt;"",INDEX($IC$2:$IC$13,$KK11),IF(IFERROR(VLOOKUP(INDEX($HX$2:$HX$13,$KK11),$CD$2:$CM$33,10,FALSE),"")&lt;&gt;"","Do livro: "&amp;IFERROR(VLOOKUP(INDEX($HX$2:$HX$13,$KK11),$CD$2:$CM$33,10,FALSE),""),"")))</f>
        <v/>
      </c>
      <c r="KP11" s="153" t="inlineStr">
        <is>
          <t>par 4</t>
        </is>
      </c>
      <c r="KQ11" s="155">
        <f>UPPER(INDEX($D$3:$G$3,1,$A$2))&amp;" 13 A 18"</f>
        <v/>
      </c>
      <c r="KS11" s="153" t="inlineStr">
        <is>
          <t>D19</t>
        </is>
      </c>
      <c r="KT11" s="155">
        <f>IF(DADOS_AM!$HK$43="","",DADOS_AM!$HK$43&amp;" · "&amp;"d20 + "&amp;(DADOS_AM!$HK$3+DADOS_AM!$HK$46+IFERROR(VALUE(FICHA!$W$58&amp;""),0))&amp;" · CD "&amp;(8+DADOS_AM!$HK$3+DADOS_AM!$HK$46+IFERROR(VALUE(FICHA!$L$58&amp;""),0)))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Mais Um</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IFERROR(VLOOKUP($EC12,$BC$2:$BK$84,4,FALSE),0)</f>
        <v/>
      </c>
      <c r="EM12" s="155">
        <f>IFERROR(VLOOKUP($ED12,$BC$2:$BK$84,4,FALSE),0)</f>
        <v/>
      </c>
      <c r="EN12" s="155">
        <f>IFERROR(VLOOKUP($EE12,$BC$2:$BK$84,4,FALSE),0)</f>
        <v/>
      </c>
      <c r="EO12" s="155">
        <f>IFERROR(VLOOKUP($EF12,$BC$2:$BK$84,4,FALSE),0)</f>
        <v/>
      </c>
      <c r="EP12" s="155">
        <f>IF($EJ12=0,0,INDEX($AC$2:$AC$11,$EJ12))</f>
        <v/>
      </c>
      <c r="EQ12" s="155">
        <f>IFERROR(VLOOKUP($EC12,$BC$2:$BK$84,5,FALSE),0)</f>
        <v/>
      </c>
      <c r="ER12" s="155">
        <f>IFERROR(VLOOKUP($ED12,$BC$2:$BK$84,5,FALSE),0)</f>
        <v/>
      </c>
      <c r="ES12" s="155">
        <f>IFERROR(VLOOKUP($EE12,$BC$2:$BK$84,5,FALSE),0)</f>
        <v/>
      </c>
      <c r="ET12" s="155">
        <f>IFERROR(VLOOKUP($EF12,$BC$2:$BK$84,5,FALSE),0)</f>
        <v/>
      </c>
      <c r="EU12" s="155">
        <f>IFERROR(VLOOKUP($EC12,$BC$2:$BK$84,6,FALSE),0)+IFERROR(VLOOKUP($ED12,$BC$2:$BK$84,6,FALSE),0)+IFERROR(VLOOKUP($EE12,$BC$2:$BK$84,6,FALSE),0)+IFERROR(VLOOKUP($EF12,$BC$2:$BK$84,6,FALSE),0)</f>
        <v/>
      </c>
      <c r="EV12" s="155">
        <f>IFERROR(VLOOKUP($EC12,$BC$2:$BK$84,9,FALSE),0)+IFERROR(VLOOKUP($ED12,$BC$2:$BK$84,9,FALSE),0)+IFERROR(VLOOKUP($EE12,$BC$2:$BK$84,9,FALSE),0)+IFERROR(VLOOKUP($EF12,$BC$2:$BK$84,9,FALSE),0)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MAX(0,3-SUMPRODUCT($FD12:$FI12,$Q$2:$V$2)+MIN(2,$FJ12*1+$FK12*1,SUMPRODUCT($FD12:$FI12,$Q$2:$V$2)))+$DX12*1</f>
        <v/>
      </c>
      <c r="FW12" s="155">
        <f>MAX(0,6-SUMPRODUCT($FD12:$FI12,$Q$3:$V$3)+MIN(4,$FJ12*1+$FK12*2,SUMPRODUCT($FD12:$FI12,$Q$3:$V$3)))+$DX12*2</f>
        <v/>
      </c>
      <c r="FX12" s="155">
        <f>MAX(0,9-SUMPRODUCT($FD12:$FI12,$Q$4:$V$4)+MIN(6,$FJ12*2+$FK12*3,SUMPRODUCT($FD12:$FI12,$Q$4:$V$4)))+$DX12*3</f>
        <v/>
      </c>
      <c r="FY12" s="155">
        <f>MAX(0,12-SUMPRODUCT($FD12:$FI12,$Q$5:$V$5)+MIN(8,$FJ12*2+$FK12*4,SUMPRODUCT($FD12:$FI12,$Q$5:$V$5)))+$DX12*4</f>
        <v/>
      </c>
      <c r="FZ12" s="155">
        <f>MAX(0,15-SUMPRODUCT($FD12:$FI12,$Q$6:$V$6)+MIN(10,$FJ12*3+$FK12*5,SUMPRODUCT($FD12:$FI12,$Q$6:$V$6)))+$DX12*5</f>
        <v/>
      </c>
      <c r="GA12" s="155">
        <f>MAX(0,18-SUMPRODUCT($FD12:$FI12,$Q$7:$V$7)+MIN(12,$FJ12*3+$FK12*6,SUMPRODUCT($FD12:$FI12,$Q$7:$V$7)))+$DX12*6</f>
        <v/>
      </c>
      <c r="GB12" s="155">
        <f>MAX(0,21-SUMPRODUCT($FD12:$FI12,$Q$8:$V$8)+MIN(14,$FJ12*4+$FK12*7,SUMPRODUCT($FD12:$FI12,$Q$8:$V$8)))+$DX12*7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peça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"&amp;IFERROR(VLOOKUP($HX12,$CD$2:$CM$33,2,FALSE),""))</f>
        <v/>
      </c>
      <c r="HZ12" s="155">
        <f>IF($HX12="","",IFERROR(IF(ISNUMBER(VLOOKUP($HX12,$CD$2:$CM$33,3,FALSE)),"CE "&amp;VLOOKUP($HX12,$CD$2:$CM$33,3,FALSE),VLOOKUP($HX12,$CD$2:$CM$33,3,FALSE)),""))</f>
        <v/>
      </c>
      <c r="IA12" s="155">
        <f>IF($HX12="","",IFERROR(VLOOKUP($HX12,$CD$2:$CM$33,4,FALSE),""))</f>
        <v/>
      </c>
      <c r="IB12" s="155">
        <f>IF($HX12="","",IFERROR(VLOOKUP($HX12,$CD$2:$CM$33,5,FALSE),""))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IF($KK12=0,"",IF(INDEX($IC$2:$IC$13,$KK12)&lt;&gt;"",INDEX($IC$2:$IC$13,$KK12),IF(IFERROR(VLOOKUP(INDEX($HX$2:$HX$13,$KK12),$CD$2:$CM$33,10,FALSE),"")&lt;&gt;"","Do livro: "&amp;IFERROR(VLOOKUP(INDEX($HX$2:$HX$13,$KK12),$CD$2:$CM$33,10,FALSE),""),"")))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Rajada</t>
        </is>
      </c>
      <c r="BD13" s="153" t="inlineStr">
        <is>
          <t>Área</t>
        </is>
      </c>
      <c r="BE13" s="155" t="n">
        <v>1</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IFERROR(VLOOKUP($EC13,$BC$2:$BK$84,4,FALSE),0)</f>
        <v/>
      </c>
      <c r="EM13" s="155">
        <f>IFERROR(VLOOKUP($ED13,$BC$2:$BK$84,4,FALSE),0)</f>
        <v/>
      </c>
      <c r="EN13" s="155">
        <f>IFERROR(VLOOKUP($EE13,$BC$2:$BK$84,4,FALSE),0)</f>
        <v/>
      </c>
      <c r="EO13" s="155">
        <f>IFERROR(VLOOKUP($EF13,$BC$2:$BK$84,4,FALSE),0)</f>
        <v/>
      </c>
      <c r="EP13" s="155">
        <f>IF($EJ13=0,0,INDEX($AC$2:$AC$11,$EJ13))</f>
        <v/>
      </c>
      <c r="EQ13" s="155">
        <f>IFERROR(VLOOKUP($EC13,$BC$2:$BK$84,5,FALSE),0)</f>
        <v/>
      </c>
      <c r="ER13" s="155">
        <f>IFERROR(VLOOKUP($ED13,$BC$2:$BK$84,5,FALSE),0)</f>
        <v/>
      </c>
      <c r="ES13" s="155">
        <f>IFERROR(VLOOKUP($EE13,$BC$2:$BK$84,5,FALSE),0)</f>
        <v/>
      </c>
      <c r="ET13" s="155">
        <f>IFERROR(VLOOKUP($EF13,$BC$2:$BK$84,5,FALSE),0)</f>
        <v/>
      </c>
      <c r="EU13" s="155">
        <f>IFERROR(VLOOKUP($EC13,$BC$2:$BK$84,6,FALSE),0)+IFERROR(VLOOKUP($ED13,$BC$2:$BK$84,6,FALSE),0)+IFERROR(VLOOKUP($EE13,$BC$2:$BK$84,6,FALSE),0)+IFERROR(VLOOKUP($EF13,$BC$2:$BK$84,6,FALSE),0)</f>
        <v/>
      </c>
      <c r="EV13" s="155">
        <f>IFERROR(VLOOKUP($EC13,$BC$2:$BK$84,9,FALSE),0)+IFERROR(VLOOKUP($ED13,$BC$2:$BK$84,9,FALSE),0)+IFERROR(VLOOKUP($EE13,$BC$2:$BK$84,9,FALSE),0)+IFERROR(VLOOKUP($EF13,$BC$2:$BK$84,9,FALSE),0)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MAX(0,3-SUMPRODUCT($FD13:$FI13,$Q$2:$V$2)+MIN(2,$FJ13*1+$FK13*1,SUMPRODUCT($FD13:$FI13,$Q$2:$V$2)))+$DX13*1</f>
        <v/>
      </c>
      <c r="FW13" s="155">
        <f>MAX(0,6-SUMPRODUCT($FD13:$FI13,$Q$3:$V$3)+MIN(4,$FJ13*1+$FK13*2,SUMPRODUCT($FD13:$FI13,$Q$3:$V$3)))+$DX13*2</f>
        <v/>
      </c>
      <c r="FX13" s="155">
        <f>MAX(0,9-SUMPRODUCT($FD13:$FI13,$Q$4:$V$4)+MIN(6,$FJ13*2+$FK13*3,SUMPRODUCT($FD13:$FI13,$Q$4:$V$4)))+$DX13*3</f>
        <v/>
      </c>
      <c r="FY13" s="155">
        <f>MAX(0,12-SUMPRODUCT($FD13:$FI13,$Q$5:$V$5)+MIN(8,$FJ13*2+$FK13*4,SUMPRODUCT($FD13:$FI13,$Q$5:$V$5)))+$DX13*4</f>
        <v/>
      </c>
      <c r="FZ13" s="155">
        <f>MAX(0,15-SUMPRODUCT($FD13:$FI13,$Q$6:$V$6)+MIN(10,$FJ13*3+$FK13*5,SUMPRODUCT($FD13:$FI13,$Q$6:$V$6)))+$DX13*5</f>
        <v/>
      </c>
      <c r="GA13" s="155">
        <f>MAX(0,18-SUMPRODUCT($FD13:$FI13,$Q$7:$V$7)+MIN(12,$FJ13*3+$FK13*6,SUMPRODUCT($FD13:$FI13,$Q$7:$V$7)))+$DX13*6</f>
        <v/>
      </c>
      <c r="GB13" s="155">
        <f>MAX(0,21-SUMPRODUCT($FD13:$FI13,$Q$8:$V$8)+MIN(14,$FJ13*4+$FK13*7,SUMPRODUCT($FD13:$FI13,$Q$8:$V$8)))+$DX13*7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peça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 de pacto</t>
        </is>
      </c>
      <c r="HK13" s="155">
        <f>IF(AND('FICHA AMALDIÇOADA'!$L$518="Permanente",'FICHA AMALDIÇOADA'!$P$518="Um espaço conhecido"),1,0)+IF(AND('FICHA AMALDIÇOADA'!$L$528="Permanente",'FICHA AMALDIÇOADA'!$P$528="Um espaço conhecido"),1,0)+IF(AND('FICHA AMALDIÇOADA'!$L$538="Permanente",'FICHA AMALDIÇOADA'!$P$538="Um espaço conhecido"),1,0)</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"&amp;IFERROR(VLOOKUP($HX13,$CD$2:$CM$33,2,FALSE),""))</f>
        <v/>
      </c>
      <c r="HZ13" s="155">
        <f>IF($HX13="","",IFERROR(IF(ISNUMBER(VLOOKUP($HX13,$CD$2:$CM$33,3,FALSE)),"CE "&amp;VLOOKUP($HX13,$CD$2:$CM$33,3,FALSE),VLOOKUP($HX13,$CD$2:$CM$33,3,FALSE)),""))</f>
        <v/>
      </c>
      <c r="IA13" s="155">
        <f>IF($HX13="","",IFERROR(VLOOKUP($HX13,$CD$2:$CM$33,4,FALSE),""))</f>
        <v/>
      </c>
      <c r="IB13" s="155">
        <f>IF($HX13="","",IFERROR(VLOOKUP($HX13,$CD$2:$CM$33,5,FALSE),""))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IF($KK13=0,"",IF(INDEX($IC$2:$IC$13,$KK13)&lt;&gt;"",INDEX($IC$2:$IC$13,$KK13),IF(IFERROR(VLOOKUP(INDEX($HX$2:$HX$13,$KK13),$CD$2:$CM$33,10,FALSE),"")&lt;&gt;"","Do livro: "&amp;IFERROR(VLOOKUP(INDEX($HX$2:$HX$13,$KK13),$CD$2:$CM$33,10,FALSE),""),"")))</f>
        <v/>
      </c>
      <c r="KP13" s="153" t="inlineStr">
        <is>
          <t>par 8</t>
        </is>
      </c>
      <c r="KQ13" s="155">
        <f>UPPER(INDEX($D$3:$G$3,1,$A$2))&amp;" 25 A 30"</f>
        <v/>
      </c>
      <c r="KS13" s="153" t="inlineStr">
        <is>
          <t>J19</t>
        </is>
      </c>
      <c r="KT13" s="155">
        <f>IF(DADOS_AM!$HK$44="","",DADOS_AM!$HK$44&amp;" · "&amp;"d20 + "&amp;(DADOS_AM!$HK$3+DADOS_AM!$HK$47+IFERROR(VALUE(FICHA!$W$58&amp;""),0))&amp;" · CD "&amp;(8+DADOS_AM!$HK$3+DADOS_AM!$HK$47+IFERROR(VALUE(FICHA!$L$58&amp;""),0)))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Fica</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IFERROR(VLOOKUP($EC14,$BC$2:$BK$84,4,FALSE),0)</f>
        <v/>
      </c>
      <c r="EM14" s="155">
        <f>IFERROR(VLOOKUP($ED14,$BC$2:$BK$84,4,FALSE),0)</f>
        <v/>
      </c>
      <c r="EN14" s="155">
        <f>IFERROR(VLOOKUP($EE14,$BC$2:$BK$84,4,FALSE),0)</f>
        <v/>
      </c>
      <c r="EO14" s="155">
        <f>IFERROR(VLOOKUP($EF14,$BC$2:$BK$84,4,FALSE),0)</f>
        <v/>
      </c>
      <c r="EP14" s="155">
        <f>IF($EJ14=0,0,INDEX($AC$2:$AC$11,$EJ14))</f>
        <v/>
      </c>
      <c r="EQ14" s="155">
        <f>IFERROR(VLOOKUP($EC14,$BC$2:$BK$84,5,FALSE),0)</f>
        <v/>
      </c>
      <c r="ER14" s="155">
        <f>IFERROR(VLOOKUP($ED14,$BC$2:$BK$84,5,FALSE),0)</f>
        <v/>
      </c>
      <c r="ES14" s="155">
        <f>IFERROR(VLOOKUP($EE14,$BC$2:$BK$84,5,FALSE),0)</f>
        <v/>
      </c>
      <c r="ET14" s="155">
        <f>IFERROR(VLOOKUP($EF14,$BC$2:$BK$84,5,FALSE),0)</f>
        <v/>
      </c>
      <c r="EU14" s="155">
        <f>IFERROR(VLOOKUP($EC14,$BC$2:$BK$84,6,FALSE),0)+IFERROR(VLOOKUP($ED14,$BC$2:$BK$84,6,FALSE),0)+IFERROR(VLOOKUP($EE14,$BC$2:$BK$84,6,FALSE),0)+IFERROR(VLOOKUP($EF14,$BC$2:$BK$84,6,FALSE),0)</f>
        <v/>
      </c>
      <c r="EV14" s="155">
        <f>IFERROR(VLOOKUP($EC14,$BC$2:$BK$84,9,FALSE),0)+IFERROR(VLOOKUP($ED14,$BC$2:$BK$84,9,FALSE),0)+IFERROR(VLOOKUP($EE14,$BC$2:$BK$84,9,FALSE),0)+IFERROR(VLOOKUP($EF14,$BC$2:$BK$84,9,FALSE),0)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MAX(0,3-SUMPRODUCT($FD14:$FI14,$Q$2:$V$2)+MIN(2,$FJ14*1+$FK14*1,SUMPRODUCT($FD14:$FI14,$Q$2:$V$2)))+$DX14*1</f>
        <v/>
      </c>
      <c r="FW14" s="155">
        <f>MAX(0,6-SUMPRODUCT($FD14:$FI14,$Q$3:$V$3)+MIN(4,$FJ14*1+$FK14*2,SUMPRODUCT($FD14:$FI14,$Q$3:$V$3)))+$DX14*2</f>
        <v/>
      </c>
      <c r="FX14" s="155">
        <f>MAX(0,9-SUMPRODUCT($FD14:$FI14,$Q$4:$V$4)+MIN(6,$FJ14*2+$FK14*3,SUMPRODUCT($FD14:$FI14,$Q$4:$V$4)))+$DX14*3</f>
        <v/>
      </c>
      <c r="FY14" s="155">
        <f>MAX(0,12-SUMPRODUCT($FD14:$FI14,$Q$5:$V$5)+MIN(8,$FJ14*2+$FK14*4,SUMPRODUCT($FD14:$FI14,$Q$5:$V$5)))+$DX14*4</f>
        <v/>
      </c>
      <c r="FZ14" s="155">
        <f>MAX(0,15-SUMPRODUCT($FD14:$FI14,$Q$6:$V$6)+MIN(10,$FJ14*3+$FK14*5,SUMPRODUCT($FD14:$FI14,$Q$6:$V$6)))+$DX14*5</f>
        <v/>
      </c>
      <c r="GA14" s="155">
        <f>MAX(0,18-SUMPRODUCT($FD14:$FI14,$Q$7:$V$7)+MIN(12,$FJ14*3+$FK14*6,SUMPRODUCT($FD14:$FI14,$Q$7:$V$7)))+$DX14*6</f>
        <v/>
      </c>
      <c r="GB14" s="155">
        <f>MAX(0,21-SUMPRODUCT($FD14:$FI14,$Q$8:$V$8)+MIN(14,$FJ14*4+$FK14*7,SUMPRODUCT($FD14:$FI14,$Q$8:$V$8)))+$DX14*7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peça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espaços</t>
        </is>
      </c>
      <c r="HK14" s="155">
        <f>$HK$12+$HK$13</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IF($KK14=0,"",IF(INDEX($IC$2:$IC$13,$KK14)&lt;&gt;"",INDEX($IC$2:$IC$13,$KK14),IF(IFERROR(VLOOKUP(INDEX($HX$2:$HX$13,$KK14),$CD$2:$CM$33,10,FALSE),"")&lt;&gt;"","Do livro: "&amp;IFERROR(VLOOKUP(INDEX($HX$2:$HX$13,$KK14),$CD$2:$CM$33,10,FALSE),""),"")))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Salto</t>
        </is>
      </c>
      <c r="BD15" s="153" t="inlineStr">
        <is>
          <t>Área</t>
        </is>
      </c>
      <c r="BE15" s="155" t="n">
        <v>2</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IFERROR(VLOOKUP($EC15,$BC$2:$BK$84,4,FALSE),0)</f>
        <v/>
      </c>
      <c r="EM15" s="155">
        <f>IFERROR(VLOOKUP($ED15,$BC$2:$BK$84,4,FALSE),0)</f>
        <v/>
      </c>
      <c r="EN15" s="155">
        <f>IFERROR(VLOOKUP($EE15,$BC$2:$BK$84,4,FALSE),0)</f>
        <v/>
      </c>
      <c r="EO15" s="155">
        <f>IFERROR(VLOOKUP($EF15,$BC$2:$BK$84,4,FALSE),0)</f>
        <v/>
      </c>
      <c r="EP15" s="155">
        <f>IF($EJ15=0,0,INDEX($AC$2:$AC$11,$EJ15))</f>
        <v/>
      </c>
      <c r="EQ15" s="155">
        <f>IFERROR(VLOOKUP($EC15,$BC$2:$BK$84,5,FALSE),0)</f>
        <v/>
      </c>
      <c r="ER15" s="155">
        <f>IFERROR(VLOOKUP($ED15,$BC$2:$BK$84,5,FALSE),0)</f>
        <v/>
      </c>
      <c r="ES15" s="155">
        <f>IFERROR(VLOOKUP($EE15,$BC$2:$BK$84,5,FALSE),0)</f>
        <v/>
      </c>
      <c r="ET15" s="155">
        <f>IFERROR(VLOOKUP($EF15,$BC$2:$BK$84,5,FALSE),0)</f>
        <v/>
      </c>
      <c r="EU15" s="155">
        <f>IFERROR(VLOOKUP($EC15,$BC$2:$BK$84,6,FALSE),0)+IFERROR(VLOOKUP($ED15,$BC$2:$BK$84,6,FALSE),0)+IFERROR(VLOOKUP($EE15,$BC$2:$BK$84,6,FALSE),0)+IFERROR(VLOOKUP($EF15,$BC$2:$BK$84,6,FALSE),0)</f>
        <v/>
      </c>
      <c r="EV15" s="155">
        <f>IFERROR(VLOOKUP($EC15,$BC$2:$BK$84,9,FALSE),0)+IFERROR(VLOOKUP($ED15,$BC$2:$BK$84,9,FALSE),0)+IFERROR(VLOOKUP($EE15,$BC$2:$BK$84,9,FALSE),0)+IFERROR(VLOOKUP($EF15,$BC$2:$BK$84,9,FALSE),0)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MAX(0,3-SUMPRODUCT($FD15:$FI15,$Q$2:$V$2)+MIN(2,$FJ15*1+$FK15*1,SUMPRODUCT($FD15:$FI15,$Q$2:$V$2)))+$DX15*1</f>
        <v/>
      </c>
      <c r="FW15" s="155">
        <f>MAX(0,6-SUMPRODUCT($FD15:$FI15,$Q$3:$V$3)+MIN(4,$FJ15*1+$FK15*2,SUMPRODUCT($FD15:$FI15,$Q$3:$V$3)))+$DX15*2</f>
        <v/>
      </c>
      <c r="FX15" s="155">
        <f>MAX(0,9-SUMPRODUCT($FD15:$FI15,$Q$4:$V$4)+MIN(6,$FJ15*2+$FK15*3,SUMPRODUCT($FD15:$FI15,$Q$4:$V$4)))+$DX15*3</f>
        <v/>
      </c>
      <c r="FY15" s="155">
        <f>MAX(0,12-SUMPRODUCT($FD15:$FI15,$Q$5:$V$5)+MIN(8,$FJ15*2+$FK15*4,SUMPRODUCT($FD15:$FI15,$Q$5:$V$5)))+$DX15*4</f>
        <v/>
      </c>
      <c r="FZ15" s="155">
        <f>MAX(0,15-SUMPRODUCT($FD15:$FI15,$Q$6:$V$6)+MIN(10,$FJ15*3+$FK15*5,SUMPRODUCT($FD15:$FI15,$Q$6:$V$6)))+$DX15*5</f>
        <v/>
      </c>
      <c r="GA15" s="155">
        <f>MAX(0,18-SUMPRODUCT($FD15:$FI15,$Q$7:$V$7)+MIN(12,$FJ15*3+$FK15*6,SUMPRODUCT($FD15:$FI15,$Q$7:$V$7)))+$DX15*6</f>
        <v/>
      </c>
      <c r="GB15" s="155">
        <f>MAX(0,21-SUMPRODUCT($FD15:$FI15,$Q$8:$V$8)+MIN(14,$FJ15*4+$FK15*7,SUMPRODUCT($FD15:$FI15,$Q$8:$V$8)))+$DX15*7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peça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feitiços montados</t>
        </is>
      </c>
      <c r="HK15" s="155">
        <f>SUM($EI$2:$EI$37)</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IF($KK15=0,"",IF(INDEX($IC$2:$IC$13,$KK15)&lt;&gt;"",INDEX($IC$2:$IC$13,$KK15),IF(IFERROR(VLOOKUP(INDEX($HX$2:$HX$13,$KK15),$CD$2:$CM$33,10,FALSE),"")&lt;&gt;"","Do livro: "&amp;IFERROR(VLOOKUP(INDEX($HX$2:$HX$13,$KK15),$CD$2:$CM$33,10,FALSE),""),"")))</f>
        <v/>
      </c>
      <c r="KP15" s="153" t="inlineStr">
        <is>
          <t>par passivas 2</t>
        </is>
      </c>
      <c r="KQ15" s="155">
        <f>"TALENTOS 7 A 12"</f>
        <v/>
      </c>
      <c r="KS15" s="153" t="inlineStr">
        <is>
          <t>P19</t>
        </is>
      </c>
      <c r="KT15" s="155">
        <f>IF(DADOS_AM!$HK$45="","",DADOS_AM!$HK$45&amp;" · "&amp;"d20 + "&amp;(DADOS_AM!$HK$3+DADOS_AM!$HK$48+IFERROR(VALUE(FICHA!$W$58&amp;""),0))&amp;" · CD "&amp;(8+DADOS_AM!$HK$3+DADOS_AM!$HK$48+IFERROR(VALUE(FICHA!$L$58&amp;""),0)))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Contorno</t>
        </is>
      </c>
      <c r="BD16" s="153" t="inlineStr">
        <is>
          <t>Área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IFERROR(VLOOKUP($EC16,$BC$2:$BK$84,4,FALSE),0)</f>
        <v/>
      </c>
      <c r="EM16" s="155">
        <f>IFERROR(VLOOKUP($ED16,$BC$2:$BK$84,4,FALSE),0)</f>
        <v/>
      </c>
      <c r="EN16" s="155">
        <f>IFERROR(VLOOKUP($EE16,$BC$2:$BK$84,4,FALSE),0)</f>
        <v/>
      </c>
      <c r="EO16" s="155">
        <f>IFERROR(VLOOKUP($EF16,$BC$2:$BK$84,4,FALSE),0)</f>
        <v/>
      </c>
      <c r="EP16" s="155">
        <f>IF($EJ16=0,0,INDEX($AC$2:$AC$11,$EJ16))</f>
        <v/>
      </c>
      <c r="EQ16" s="155">
        <f>IFERROR(VLOOKUP($EC16,$BC$2:$BK$84,5,FALSE),0)</f>
        <v/>
      </c>
      <c r="ER16" s="155">
        <f>IFERROR(VLOOKUP($ED16,$BC$2:$BK$84,5,FALSE),0)</f>
        <v/>
      </c>
      <c r="ES16" s="155">
        <f>IFERROR(VLOOKUP($EE16,$BC$2:$BK$84,5,FALSE),0)</f>
        <v/>
      </c>
      <c r="ET16" s="155">
        <f>IFERROR(VLOOKUP($EF16,$BC$2:$BK$84,5,FALSE),0)</f>
        <v/>
      </c>
      <c r="EU16" s="155">
        <f>IFERROR(VLOOKUP($EC16,$BC$2:$BK$84,6,FALSE),0)+IFERROR(VLOOKUP($ED16,$BC$2:$BK$84,6,FALSE),0)+IFERROR(VLOOKUP($EE16,$BC$2:$BK$84,6,FALSE),0)+IFERROR(VLOOKUP($EF16,$BC$2:$BK$84,6,FALSE),0)</f>
        <v/>
      </c>
      <c r="EV16" s="155">
        <f>IFERROR(VLOOKUP($EC16,$BC$2:$BK$84,9,FALSE),0)+IFERROR(VLOOKUP($ED16,$BC$2:$BK$84,9,FALSE),0)+IFERROR(VLOOKUP($EE16,$BC$2:$BK$84,9,FALSE),0)+IFERROR(VLOOKUP($EF16,$BC$2:$BK$84,9,FALSE),0)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MAX(0,3-SUMPRODUCT($FD16:$FI16,$Q$2:$V$2)+MIN(2,$FJ16*1+$FK16*1,SUMPRODUCT($FD16:$FI16,$Q$2:$V$2)))+$DX16*1</f>
        <v/>
      </c>
      <c r="FW16" s="155">
        <f>MAX(0,6-SUMPRODUCT($FD16:$FI16,$Q$3:$V$3)+MIN(4,$FJ16*1+$FK16*2,SUMPRODUCT($FD16:$FI16,$Q$3:$V$3)))+$DX16*2</f>
        <v/>
      </c>
      <c r="FX16" s="155">
        <f>MAX(0,9-SUMPRODUCT($FD16:$FI16,$Q$4:$V$4)+MIN(6,$FJ16*2+$FK16*3,SUMPRODUCT($FD16:$FI16,$Q$4:$V$4)))+$DX16*3</f>
        <v/>
      </c>
      <c r="FY16" s="155">
        <f>MAX(0,12-SUMPRODUCT($FD16:$FI16,$Q$5:$V$5)+MIN(8,$FJ16*2+$FK16*4,SUMPRODUCT($FD16:$FI16,$Q$5:$V$5)))+$DX16*4</f>
        <v/>
      </c>
      <c r="FZ16" s="155">
        <f>MAX(0,15-SUMPRODUCT($FD16:$FI16,$Q$6:$V$6)+MIN(10,$FJ16*3+$FK16*5,SUMPRODUCT($FD16:$FI16,$Q$6:$V$6)))+$DX16*5</f>
        <v/>
      </c>
      <c r="GA16" s="155">
        <f>MAX(0,18-SUMPRODUCT($FD16:$FI16,$Q$7:$V$7)+MIN(12,$FJ16*3+$FK16*6,SUMPRODUCT($FD16:$FI16,$Q$7:$V$7)))+$DX16*6</f>
        <v/>
      </c>
      <c r="GB16" s="155">
        <f>MAX(0,21-SUMPRODUCT($FD16:$FI16,$Q$8:$V$8)+MIN(14,$FJ16*4+$FK16*7,SUMPRODUCT($FD16:$FI16,$Q$8:$V$8)))+$DX16*7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peça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classe passiva da regra própria</t>
        </is>
      </c>
      <c r="HK16" s="155">
        <f>N('FICHA AMALDIÇOADA'!$P$33)</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Precisão</t>
        </is>
      </c>
      <c r="BD17" s="153" t="inlineStr">
        <is>
          <t>Mira</t>
        </is>
      </c>
      <c r="BE17" s="155" t="n">
        <v>1</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7" s="155">
        <f>IF($CL17=1,"",IF($A$2=4,IF($CJ17=1,$CD17,""),IF(OR($CJ17=1,AND($A$2=3,$CK17=1)),"",$CD17)))</f>
        <v/>
      </c>
      <c r="CJ17" s="155" t="n">
        <v>0</v>
      </c>
      <c r="CK17" s="155" t="n">
        <v>0</v>
      </c>
      <c r="CL17" s="155" t="n">
        <v>0</v>
      </c>
      <c r="CM17" s="153" t="inlineStr">
        <is>
          <t>Você cria uma aptidão com o mestre antes da sessão.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IFERROR(VLOOKUP($EC17,$BC$2:$BK$84,4,FALSE),0)</f>
        <v/>
      </c>
      <c r="EM17" s="155">
        <f>IFERROR(VLOOKUP($ED17,$BC$2:$BK$84,4,FALSE),0)</f>
        <v/>
      </c>
      <c r="EN17" s="155">
        <f>IFERROR(VLOOKUP($EE17,$BC$2:$BK$84,4,FALSE),0)</f>
        <v/>
      </c>
      <c r="EO17" s="155">
        <f>IFERROR(VLOOKUP($EF17,$BC$2:$BK$84,4,FALSE),0)</f>
        <v/>
      </c>
      <c r="EP17" s="155">
        <f>IF($EJ17=0,0,INDEX($AC$2:$AC$11,$EJ17))</f>
        <v/>
      </c>
      <c r="EQ17" s="155">
        <f>IFERROR(VLOOKUP($EC17,$BC$2:$BK$84,5,FALSE),0)</f>
        <v/>
      </c>
      <c r="ER17" s="155">
        <f>IFERROR(VLOOKUP($ED17,$BC$2:$BK$84,5,FALSE),0)</f>
        <v/>
      </c>
      <c r="ES17" s="155">
        <f>IFERROR(VLOOKUP($EE17,$BC$2:$BK$84,5,FALSE),0)</f>
        <v/>
      </c>
      <c r="ET17" s="155">
        <f>IFERROR(VLOOKUP($EF17,$BC$2:$BK$84,5,FALSE),0)</f>
        <v/>
      </c>
      <c r="EU17" s="155">
        <f>IFERROR(VLOOKUP($EC17,$BC$2:$BK$84,6,FALSE),0)+IFERROR(VLOOKUP($ED17,$BC$2:$BK$84,6,FALSE),0)+IFERROR(VLOOKUP($EE17,$BC$2:$BK$84,6,FALSE),0)+IFERROR(VLOOKUP($EF17,$BC$2:$BK$84,6,FALSE),0)</f>
        <v/>
      </c>
      <c r="EV17" s="155">
        <f>IFERROR(VLOOKUP($EC17,$BC$2:$BK$84,9,FALSE),0)+IFERROR(VLOOKUP($ED17,$BC$2:$BK$84,9,FALSE),0)+IFERROR(VLOOKUP($EE17,$BC$2:$BK$84,9,FALSE),0)+IFERROR(VLOOKUP($EF17,$BC$2:$BK$84,9,FALSE),0)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MAX(0,3-SUMPRODUCT($FD17:$FI17,$Q$2:$V$2)+MIN(2,$FJ17*1+$FK17*1,SUMPRODUCT($FD17:$FI17,$Q$2:$V$2)))+$DX17*1</f>
        <v/>
      </c>
      <c r="FW17" s="155">
        <f>MAX(0,6-SUMPRODUCT($FD17:$FI17,$Q$3:$V$3)+MIN(4,$FJ17*1+$FK17*2,SUMPRODUCT($FD17:$FI17,$Q$3:$V$3)))+$DX17*2</f>
        <v/>
      </c>
      <c r="FX17" s="155">
        <f>MAX(0,9-SUMPRODUCT($FD17:$FI17,$Q$4:$V$4)+MIN(6,$FJ17*2+$FK17*3,SUMPRODUCT($FD17:$FI17,$Q$4:$V$4)))+$DX17*3</f>
        <v/>
      </c>
      <c r="FY17" s="155">
        <f>MAX(0,12-SUMPRODUCT($FD17:$FI17,$Q$5:$V$5)+MIN(8,$FJ17*2+$FK17*4,SUMPRODUCT($FD17:$FI17,$Q$5:$V$5)))+$DX17*4</f>
        <v/>
      </c>
      <c r="FZ17" s="155">
        <f>MAX(0,15-SUMPRODUCT($FD17:$FI17,$Q$6:$V$6)+MIN(10,$FJ17*3+$FK17*5,SUMPRODUCT($FD17:$FI17,$Q$6:$V$6)))+$DX17*5</f>
        <v/>
      </c>
      <c r="GA17" s="155">
        <f>MAX(0,18-SUMPRODUCT($FD17:$FI17,$Q$7:$V$7)+MIN(12,$FJ17*3+$FK17*6,SUMPRODUCT($FD17:$FI17,$Q$7:$V$7)))+$DX17*6</f>
        <v/>
      </c>
      <c r="GB17" s="155">
        <f>MAX(0,21-SUMPRODUCT($FD17:$FI17,$Q$8:$V$8)+MIN(14,$FJ17*4+$FK17*7,SUMPRODUCT($FD17:$FI17,$Q$8:$V$8)))+$DX17*7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peça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da regra própria</t>
        </is>
      </c>
      <c r="HK17" s="155">
        <f>MAX(0,$HK$16-1)</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IF(DADOS_AM!$HK$16=0,"—",IF(IFERROR(VLOOKUP(DADOS_AM!$HK$16,DADOS_AM!$CA$2:$CB$4,2,FALSE),0)&gt;DADOS_AM!$HK$2,"⚠ Nível "&amp;VLOOKUP(DADOS_AM!$HK$16,DADOS_AM!$CA$2:$CB$4,2,FALSE),IF(DADOS_AM!$HK$16&gt;1,DADOS_AM!$HK$16-1,"De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Certeiro</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I18" s="155">
        <f>IF($CL18=1,"",IF($A$2=4,IF($CJ18=1,$CD18,""),IF(OR($CJ18=1,AND($A$2=3,$CK18=1)),"",$CD18)))</f>
        <v/>
      </c>
      <c r="CJ18" s="155" t="n">
        <v>0</v>
      </c>
      <c r="CK18" s="155" t="n">
        <v>0</v>
      </c>
      <c r="CL18" s="155" t="n">
        <v>0</v>
      </c>
      <c r="CM18" s="153" t="inlineStr">
        <is>
          <t>Você cria uma aptidão com o mestre antes da sessão.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IFERROR(VLOOKUP($EC18,$BC$2:$BK$84,4,FALSE),0)</f>
        <v/>
      </c>
      <c r="EM18" s="155">
        <f>IFERROR(VLOOKUP($ED18,$BC$2:$BK$84,4,FALSE),0)</f>
        <v/>
      </c>
      <c r="EN18" s="155">
        <f>IFERROR(VLOOKUP($EE18,$BC$2:$BK$84,4,FALSE),0)</f>
        <v/>
      </c>
      <c r="EO18" s="155">
        <f>IFERROR(VLOOKUP($EF18,$BC$2:$BK$84,4,FALSE),0)</f>
        <v/>
      </c>
      <c r="EP18" s="155">
        <f>IF($EJ18=0,0,INDEX($AC$2:$AC$11,$EJ18))</f>
        <v/>
      </c>
      <c r="EQ18" s="155">
        <f>IFERROR(VLOOKUP($EC18,$BC$2:$BK$84,5,FALSE),0)</f>
        <v/>
      </c>
      <c r="ER18" s="155">
        <f>IFERROR(VLOOKUP($ED18,$BC$2:$BK$84,5,FALSE),0)</f>
        <v/>
      </c>
      <c r="ES18" s="155">
        <f>IFERROR(VLOOKUP($EE18,$BC$2:$BK$84,5,FALSE),0)</f>
        <v/>
      </c>
      <c r="ET18" s="155">
        <f>IFERROR(VLOOKUP($EF18,$BC$2:$BK$84,5,FALSE),0)</f>
        <v/>
      </c>
      <c r="EU18" s="155">
        <f>IFERROR(VLOOKUP($EC18,$BC$2:$BK$84,6,FALSE),0)+IFERROR(VLOOKUP($ED18,$BC$2:$BK$84,6,FALSE),0)+IFERROR(VLOOKUP($EE18,$BC$2:$BK$84,6,FALSE),0)+IFERROR(VLOOKUP($EF18,$BC$2:$BK$84,6,FALSE),0)</f>
        <v/>
      </c>
      <c r="EV18" s="155">
        <f>IFERROR(VLOOKUP($EC18,$BC$2:$BK$84,9,FALSE),0)+IFERROR(VLOOKUP($ED18,$BC$2:$BK$84,9,FALSE),0)+IFERROR(VLOOKUP($EE18,$BC$2:$BK$84,9,FALSE),0)+IFERROR(VLOOKUP($EF18,$BC$2:$BK$84,9,FALSE),0)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MAX(0,3-SUMPRODUCT($FD18:$FI18,$Q$2:$V$2)+MIN(2,$FJ18*1+$FK18*1,SUMPRODUCT($FD18:$FI18,$Q$2:$V$2)))+$DX18*1</f>
        <v/>
      </c>
      <c r="FW18" s="155">
        <f>MAX(0,6-SUMPRODUCT($FD18:$FI18,$Q$3:$V$3)+MIN(4,$FJ18*1+$FK18*2,SUMPRODUCT($FD18:$FI18,$Q$3:$V$3)))+$DX18*2</f>
        <v/>
      </c>
      <c r="FX18" s="155">
        <f>MAX(0,9-SUMPRODUCT($FD18:$FI18,$Q$4:$V$4)+MIN(6,$FJ18*2+$FK18*3,SUMPRODUCT($FD18:$FI18,$Q$4:$V$4)))+$DX18*3</f>
        <v/>
      </c>
      <c r="FY18" s="155">
        <f>MAX(0,12-SUMPRODUCT($FD18:$FI18,$Q$5:$V$5)+MIN(8,$FJ18*2+$FK18*4,SUMPRODUCT($FD18:$FI18,$Q$5:$V$5)))+$DX18*4</f>
        <v/>
      </c>
      <c r="FZ18" s="155">
        <f>MAX(0,15-SUMPRODUCT($FD18:$FI18,$Q$6:$V$6)+MIN(10,$FJ18*3+$FK18*5,SUMPRODUCT($FD18:$FI18,$Q$6:$V$6)))+$DX18*5</f>
        <v/>
      </c>
      <c r="GA18" s="155">
        <f>MAX(0,18-SUMPRODUCT($FD18:$FI18,$Q$7:$V$7)+MIN(12,$FJ18*3+$FK18*6,SUMPRODUCT($FD18:$FI18,$Q$7:$V$7)))+$DX18*6</f>
        <v/>
      </c>
      <c r="GB18" s="155">
        <f>MAX(0,21-SUMPRODUCT($FD18:$FI18,$Q$8:$V$8)+MIN(14,$FJ18*4+$FK18*7,SUMPRODUCT($FD18:$FI18,$Q$8:$V$8)))+$DX18*7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peça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em passivas</t>
        </is>
      </c>
      <c r="HK18" s="155">
        <f>IFERROR(VLOOKUP('FICHA AMALDIÇOADA'!$D$379,$BS$2:$BY$24,2,FALSE),0)+IFERROR(VLOOKUP('FICHA AMALDIÇOADA'!$J$379,$BS$2:$BY$24,2,FALSE),0)+IFERROR(VLOOKUP('FICHA AMALDIÇOADA'!$P$379,$BS$2:$BY$24,2,FALSE),0)+IFERROR(VLOOKUP('FICHA AMALDIÇOADA'!$D$387,$BS$2:$BY$24,2,FALSE),0)+IFERROR(VLOOKUP('FICHA AMALDIÇOADA'!$J$387,$BS$2:$BY$24,2,FALSE),0)+$HK$17</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Inescapável</t>
        </is>
      </c>
      <c r="BD19" s="153" t="inlineStr">
        <is>
          <t>Mira</t>
        </is>
      </c>
      <c r="BE19" s="155" t="n">
        <v>2</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IFERROR(VLOOKUP($EC19,$BC$2:$BK$84,4,FALSE),0)</f>
        <v/>
      </c>
      <c r="EM19" s="155">
        <f>IFERROR(VLOOKUP($ED19,$BC$2:$BK$84,4,FALSE),0)</f>
        <v/>
      </c>
      <c r="EN19" s="155">
        <f>IFERROR(VLOOKUP($EE19,$BC$2:$BK$84,4,FALSE),0)</f>
        <v/>
      </c>
      <c r="EO19" s="155">
        <f>IFERROR(VLOOKUP($EF19,$BC$2:$BK$84,4,FALSE),0)</f>
        <v/>
      </c>
      <c r="EP19" s="155">
        <f>IF($EJ19=0,0,INDEX($AC$2:$AC$11,$EJ19))</f>
        <v/>
      </c>
      <c r="EQ19" s="155">
        <f>IFERROR(VLOOKUP($EC19,$BC$2:$BK$84,5,FALSE),0)</f>
        <v/>
      </c>
      <c r="ER19" s="155">
        <f>IFERROR(VLOOKUP($ED19,$BC$2:$BK$84,5,FALSE),0)</f>
        <v/>
      </c>
      <c r="ES19" s="155">
        <f>IFERROR(VLOOKUP($EE19,$BC$2:$BK$84,5,FALSE),0)</f>
        <v/>
      </c>
      <c r="ET19" s="155">
        <f>IFERROR(VLOOKUP($EF19,$BC$2:$BK$84,5,FALSE),0)</f>
        <v/>
      </c>
      <c r="EU19" s="155">
        <f>IFERROR(VLOOKUP($EC19,$BC$2:$BK$84,6,FALSE),0)+IFERROR(VLOOKUP($ED19,$BC$2:$BK$84,6,FALSE),0)+IFERROR(VLOOKUP($EE19,$BC$2:$BK$84,6,FALSE),0)+IFERROR(VLOOKUP($EF19,$BC$2:$BK$84,6,FALSE),0)</f>
        <v/>
      </c>
      <c r="EV19" s="155">
        <f>IFERROR(VLOOKUP($EC19,$BC$2:$BK$84,9,FALSE),0)+IFERROR(VLOOKUP($ED19,$BC$2:$BK$84,9,FALSE),0)+IFERROR(VLOOKUP($EE19,$BC$2:$BK$84,9,FALSE),0)+IFERROR(VLOOKUP($EF19,$BC$2:$BK$84,9,FALSE),0)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MAX(0,3-SUMPRODUCT($FD19:$FI19,$Q$2:$V$2)+MIN(2,$FJ19*1+$FK19*1,SUMPRODUCT($FD19:$FI19,$Q$2:$V$2)))+$DX19*1</f>
        <v/>
      </c>
      <c r="FW19" s="155">
        <f>MAX(0,6-SUMPRODUCT($FD19:$FI19,$Q$3:$V$3)+MIN(4,$FJ19*1+$FK19*2,SUMPRODUCT($FD19:$FI19,$Q$3:$V$3)))+$DX19*2</f>
        <v/>
      </c>
      <c r="FX19" s="155">
        <f>MAX(0,9-SUMPRODUCT($FD19:$FI19,$Q$4:$V$4)+MIN(6,$FJ19*2+$FK19*3,SUMPRODUCT($FD19:$FI19,$Q$4:$V$4)))+$DX19*3</f>
        <v/>
      </c>
      <c r="FY19" s="155">
        <f>MAX(0,12-SUMPRODUCT($FD19:$FI19,$Q$5:$V$5)+MIN(8,$FJ19*2+$FK19*4,SUMPRODUCT($FD19:$FI19,$Q$5:$V$5)))+$DX19*4</f>
        <v/>
      </c>
      <c r="FZ19" s="155">
        <f>MAX(0,15-SUMPRODUCT($FD19:$FI19,$Q$6:$V$6)+MIN(10,$FJ19*3+$FK19*5,SUMPRODUCT($FD19:$FI19,$Q$6:$V$6)))+$DX19*5</f>
        <v/>
      </c>
      <c r="GA19" s="155">
        <f>MAX(0,18-SUMPRODUCT($FD19:$FI19,$Q$7:$V$7)+MIN(12,$FJ19*3+$FK19*6,SUMPRODUCT($FD19:$FI19,$Q$7:$V$7)))+$DX19*6</f>
        <v/>
      </c>
      <c r="GB19" s="155">
        <f>MAX(0,21-SUMPRODUCT($FD19:$FI19,$Q$8:$V$8)+MIN(14,$FJ19*4+$FK19*7,SUMPRODUCT($FD19:$FI19,$Q$8:$V$8)))+$DX19*7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peça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no domínio</t>
        </is>
      </c>
      <c r="HK19" s="155">
        <f>IF($A$2&lt;&gt;1,0,IFERROR(VLOOKUP($HK$35,$DL$2:$DP$4,2,FALSE),0))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De Novo</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IFERROR(VLOOKUP($EC20,$BC$2:$BK$84,4,FALSE),0)</f>
        <v/>
      </c>
      <c r="EM20" s="155">
        <f>IFERROR(VLOOKUP($ED20,$BC$2:$BK$84,4,FALSE),0)</f>
        <v/>
      </c>
      <c r="EN20" s="155">
        <f>IFERROR(VLOOKUP($EE20,$BC$2:$BK$84,4,FALSE),0)</f>
        <v/>
      </c>
      <c r="EO20" s="155">
        <f>IFERROR(VLOOKUP($EF20,$BC$2:$BK$84,4,FALSE),0)</f>
        <v/>
      </c>
      <c r="EP20" s="155">
        <f>IF($EJ20=0,0,INDEX($AC$2:$AC$11,$EJ20))</f>
        <v/>
      </c>
      <c r="EQ20" s="155">
        <f>IFERROR(VLOOKUP($EC20,$BC$2:$BK$84,5,FALSE),0)</f>
        <v/>
      </c>
      <c r="ER20" s="155">
        <f>IFERROR(VLOOKUP($ED20,$BC$2:$BK$84,5,FALSE),0)</f>
        <v/>
      </c>
      <c r="ES20" s="155">
        <f>IFERROR(VLOOKUP($EE20,$BC$2:$BK$84,5,FALSE),0)</f>
        <v/>
      </c>
      <c r="ET20" s="155">
        <f>IFERROR(VLOOKUP($EF20,$BC$2:$BK$84,5,FALSE),0)</f>
        <v/>
      </c>
      <c r="EU20" s="155">
        <f>IFERROR(VLOOKUP($EC20,$BC$2:$BK$84,6,FALSE),0)+IFERROR(VLOOKUP($ED20,$BC$2:$BK$84,6,FALSE),0)+IFERROR(VLOOKUP($EE20,$BC$2:$BK$84,6,FALSE),0)+IFERROR(VLOOKUP($EF20,$BC$2:$BK$84,6,FALSE),0)</f>
        <v/>
      </c>
      <c r="EV20" s="155">
        <f>IFERROR(VLOOKUP($EC20,$BC$2:$BK$84,9,FALSE),0)+IFERROR(VLOOKUP($ED20,$BC$2:$BK$84,9,FALSE),0)+IFERROR(VLOOKUP($EE20,$BC$2:$BK$84,9,FALSE),0)+IFERROR(VLOOKUP($EF20,$BC$2:$BK$84,9,FALSE),0)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MAX(0,3-SUMPRODUCT($FD20:$FI20,$Q$2:$V$2)+MIN(2,$FJ20*1+$FK20*1,SUMPRODUCT($FD20:$FI20,$Q$2:$V$2)))+$DX20*1</f>
        <v/>
      </c>
      <c r="FW20" s="155">
        <f>MAX(0,6-SUMPRODUCT($FD20:$FI20,$Q$3:$V$3)+MIN(4,$FJ20*1+$FK20*2,SUMPRODUCT($FD20:$FI20,$Q$3:$V$3)))+$DX20*2</f>
        <v/>
      </c>
      <c r="FX20" s="155">
        <f>MAX(0,9-SUMPRODUCT($FD20:$FI20,$Q$4:$V$4)+MIN(6,$FJ20*2+$FK20*3,SUMPRODUCT($FD20:$FI20,$Q$4:$V$4)))+$DX20*3</f>
        <v/>
      </c>
      <c r="FY20" s="155">
        <f>MAX(0,12-SUMPRODUCT($FD20:$FI20,$Q$5:$V$5)+MIN(8,$FJ20*2+$FK20*4,SUMPRODUCT($FD20:$FI20,$Q$5:$V$5)))+$DX20*4</f>
        <v/>
      </c>
      <c r="FZ20" s="155">
        <f>MAX(0,15-SUMPRODUCT($FD20:$FI20,$Q$6:$V$6)+MIN(10,$FJ20*3+$FK20*5,SUMPRODUCT($FD20:$FI20,$Q$6:$V$6)))+$DX20*5</f>
        <v/>
      </c>
      <c r="GA20" s="155">
        <f>MAX(0,18-SUMPRODUCT($FD20:$FI20,$Q$7:$V$7)+MIN(12,$FJ20*3+$FK20*6,SUMPRODUCT($FD20:$FI20,$Q$7:$V$7)))+$DX20*6</f>
        <v/>
      </c>
      <c r="GB20" s="155">
        <f>MAX(0,21-SUMPRODUCT($FD20:$FI20,$Q$8:$V$8)+MIN(14,$FJ20*4+$FK20*7,SUMPRODUCT($FD20:$FI20,$Q$8:$V$8)))+$DX20*7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peça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espaços em invocações</t>
        </is>
      </c>
      <c r="HK20" s="155">
        <f>IFERROR(INDEX(DADOS_INVOC!$2:$2,MATCH("espaços por invocação",DADOS_INVOC!$1:$1,0)),0)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Fura</t>
        </is>
      </c>
      <c r="BD21" s="153" t="inlineStr">
        <is>
          <t>Mira</t>
        </is>
      </c>
      <c r="BE21" s="155" t="n">
        <v>2</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IFERROR(VLOOKUP($EC21,$BC$2:$BK$84,4,FALSE),0)</f>
        <v/>
      </c>
      <c r="EM21" s="155">
        <f>IFERROR(VLOOKUP($ED21,$BC$2:$BK$84,4,FALSE),0)</f>
        <v/>
      </c>
      <c r="EN21" s="155">
        <f>IFERROR(VLOOKUP($EE21,$BC$2:$BK$84,4,FALSE),0)</f>
        <v/>
      </c>
      <c r="EO21" s="155">
        <f>IFERROR(VLOOKUP($EF21,$BC$2:$BK$84,4,FALSE),0)</f>
        <v/>
      </c>
      <c r="EP21" s="155">
        <f>IF($EJ21=0,0,INDEX($AC$2:$AC$11,$EJ21))</f>
        <v/>
      </c>
      <c r="EQ21" s="155">
        <f>IFERROR(VLOOKUP($EC21,$BC$2:$BK$84,5,FALSE),0)</f>
        <v/>
      </c>
      <c r="ER21" s="155">
        <f>IFERROR(VLOOKUP($ED21,$BC$2:$BK$84,5,FALSE),0)</f>
        <v/>
      </c>
      <c r="ES21" s="155">
        <f>IFERROR(VLOOKUP($EE21,$BC$2:$BK$84,5,FALSE),0)</f>
        <v/>
      </c>
      <c r="ET21" s="155">
        <f>IFERROR(VLOOKUP($EF21,$BC$2:$BK$84,5,FALSE),0)</f>
        <v/>
      </c>
      <c r="EU21" s="155">
        <f>IFERROR(VLOOKUP($EC21,$BC$2:$BK$84,6,FALSE),0)+IFERROR(VLOOKUP($ED21,$BC$2:$BK$84,6,FALSE),0)+IFERROR(VLOOKUP($EE21,$BC$2:$BK$84,6,FALSE),0)+IFERROR(VLOOKUP($EF21,$BC$2:$BK$84,6,FALSE),0)</f>
        <v/>
      </c>
      <c r="EV21" s="155">
        <f>IFERROR(VLOOKUP($EC21,$BC$2:$BK$84,9,FALSE),0)+IFERROR(VLOOKUP($ED21,$BC$2:$BK$84,9,FALSE),0)+IFERROR(VLOOKUP($EE21,$BC$2:$BK$84,9,FALSE),0)+IFERROR(VLOOKUP($EF21,$BC$2:$BK$84,9,FALSE),0)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MAX(0,3-SUMPRODUCT($FD21:$FI21,$Q$2:$V$2)+MIN(2,$FJ21*1+$FK21*1,SUMPRODUCT($FD21:$FI21,$Q$2:$V$2)))+$DX21*1</f>
        <v/>
      </c>
      <c r="FW21" s="155">
        <f>MAX(0,6-SUMPRODUCT($FD21:$FI21,$Q$3:$V$3)+MIN(4,$FJ21*1+$FK21*2,SUMPRODUCT($FD21:$FI21,$Q$3:$V$3)))+$DX21*2</f>
        <v/>
      </c>
      <c r="FX21" s="155">
        <f>MAX(0,9-SUMPRODUCT($FD21:$FI21,$Q$4:$V$4)+MIN(6,$FJ21*2+$FK21*3,SUMPRODUCT($FD21:$FI21,$Q$4:$V$4)))+$DX21*3</f>
        <v/>
      </c>
      <c r="FY21" s="155">
        <f>MAX(0,12-SUMPRODUCT($FD21:$FI21,$Q$5:$V$5)+MIN(8,$FJ21*2+$FK21*4,SUMPRODUCT($FD21:$FI21,$Q$5:$V$5)))+$DX21*4</f>
        <v/>
      </c>
      <c r="FZ21" s="155">
        <f>MAX(0,15-SUMPRODUCT($FD21:$FI21,$Q$6:$V$6)+MIN(10,$FJ21*3+$FK21*5,SUMPRODUCT($FD21:$FI21,$Q$6:$V$6)))+$DX21*5</f>
        <v/>
      </c>
      <c r="GA21" s="155">
        <f>MAX(0,18-SUMPRODUCT($FD21:$FI21,$Q$7:$V$7)+MIN(12,$FJ21*3+$FK21*6,SUMPRODUCT($FD21:$FI21,$Q$7:$V$7)))+$DX21*6</f>
        <v/>
      </c>
      <c r="GB21" s="155">
        <f>MAX(0,21-SUMPRODUCT($FD21:$FI21,$Q$8:$V$8)+MIN(14,$FJ21*4+$FK21*7,SUMPRODUCT($FD21:$FI21,$Q$8:$V$8)))+$DX21*7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peça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sem espaço</t>
        </is>
      </c>
      <c r="HK21" s="155">
        <f>IF($HK$18+$HK$19+$HK$20&gt;$HK$14,1,0)</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IF(DADOS_AM!$HK$21=1,"⚠ ","")&amp;DADOS_AM!$HK$18</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Corrói</t>
        </is>
      </c>
      <c r="BD22" s="153" t="inlineStr">
        <is>
          <t>Mira</t>
        </is>
      </c>
      <c r="BE22" s="155" t="n">
        <v>3</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IFERROR(VLOOKUP($EC22,$BC$2:$BK$84,4,FALSE),0)</f>
        <v/>
      </c>
      <c r="EM22" s="155">
        <f>IFERROR(VLOOKUP($ED22,$BC$2:$BK$84,4,FALSE),0)</f>
        <v/>
      </c>
      <c r="EN22" s="155">
        <f>IFERROR(VLOOKUP($EE22,$BC$2:$BK$84,4,FALSE),0)</f>
        <v/>
      </c>
      <c r="EO22" s="155">
        <f>IFERROR(VLOOKUP($EF22,$BC$2:$BK$84,4,FALSE),0)</f>
        <v/>
      </c>
      <c r="EP22" s="155">
        <f>IF($EJ22=0,0,INDEX($AC$2:$AC$11,$EJ22))</f>
        <v/>
      </c>
      <c r="EQ22" s="155">
        <f>IFERROR(VLOOKUP($EC22,$BC$2:$BK$84,5,FALSE),0)</f>
        <v/>
      </c>
      <c r="ER22" s="155">
        <f>IFERROR(VLOOKUP($ED22,$BC$2:$BK$84,5,FALSE),0)</f>
        <v/>
      </c>
      <c r="ES22" s="155">
        <f>IFERROR(VLOOKUP($EE22,$BC$2:$BK$84,5,FALSE),0)</f>
        <v/>
      </c>
      <c r="ET22" s="155">
        <f>IFERROR(VLOOKUP($EF22,$BC$2:$BK$84,5,FALSE),0)</f>
        <v/>
      </c>
      <c r="EU22" s="155">
        <f>IFERROR(VLOOKUP($EC22,$BC$2:$BK$84,6,FALSE),0)+IFERROR(VLOOKUP($ED22,$BC$2:$BK$84,6,FALSE),0)+IFERROR(VLOOKUP($EE22,$BC$2:$BK$84,6,FALSE),0)+IFERROR(VLOOKUP($EF22,$BC$2:$BK$84,6,FALSE),0)</f>
        <v/>
      </c>
      <c r="EV22" s="155">
        <f>IFERROR(VLOOKUP($EC22,$BC$2:$BK$84,9,FALSE),0)+IFERROR(VLOOKUP($ED22,$BC$2:$BK$84,9,FALSE),0)+IFERROR(VLOOKUP($EE22,$BC$2:$BK$84,9,FALSE),0)+IFERROR(VLOOKUP($EF22,$BC$2:$BK$84,9,FALSE),0)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MAX(0,3-SUMPRODUCT($FD22:$FI22,$Q$2:$V$2)+MIN(2,$FJ22*1+$FK22*1,SUMPRODUCT($FD22:$FI22,$Q$2:$V$2)))+$DX22*1</f>
        <v/>
      </c>
      <c r="FW22" s="155">
        <f>MAX(0,6-SUMPRODUCT($FD22:$FI22,$Q$3:$V$3)+MIN(4,$FJ22*1+$FK22*2,SUMPRODUCT($FD22:$FI22,$Q$3:$V$3)))+$DX22*2</f>
        <v/>
      </c>
      <c r="FX22" s="155">
        <f>MAX(0,9-SUMPRODUCT($FD22:$FI22,$Q$4:$V$4)+MIN(6,$FJ22*2+$FK22*3,SUMPRODUCT($FD22:$FI22,$Q$4:$V$4)))+$DX22*3</f>
        <v/>
      </c>
      <c r="FY22" s="155">
        <f>MAX(0,12-SUMPRODUCT($FD22:$FI22,$Q$5:$V$5)+MIN(8,$FJ22*2+$FK22*4,SUMPRODUCT($FD22:$FI22,$Q$5:$V$5)))+$DX22*4</f>
        <v/>
      </c>
      <c r="FZ22" s="155">
        <f>MAX(0,15-SUMPRODUCT($FD22:$FI22,$Q$6:$V$6)+MIN(10,$FJ22*3+$FK22*5,SUMPRODUCT($FD22:$FI22,$Q$6:$V$6)))+$DX22*5</f>
        <v/>
      </c>
      <c r="GA22" s="155">
        <f>MAX(0,18-SUMPRODUCT($FD22:$FI22,$Q$7:$V$7)+MIN(12,$FJ22*3+$FK22*6,SUMPRODUCT($FD22:$FI22,$Q$7:$V$7)))+$DX22*6</f>
        <v/>
      </c>
      <c r="GB22" s="155">
        <f>MAX(0,21-SUMPRODUCT($FD22:$FI22,$Q$8:$V$8)+MIN(14,$FJ22*4+$FK22*7,SUMPRODUCT($FD22:$FI22,$Q$8:$V$8)))+$DX22*7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peça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cabem</t>
        </is>
      </c>
      <c r="HK22" s="155">
        <f>$HK$14+$HK$8-$HK$18-$HK$19-$HK$20</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IF(DADOS_AM!$HK$21=1,"⚠ ","")&amp;DADOS_AM!$HK$19</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Sem Cobertura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IFERROR(VLOOKUP($EC23,$BC$2:$BK$84,4,FALSE),0)</f>
        <v/>
      </c>
      <c r="EM23" s="155">
        <f>IFERROR(VLOOKUP($ED23,$BC$2:$BK$84,4,FALSE),0)</f>
        <v/>
      </c>
      <c r="EN23" s="155">
        <f>IFERROR(VLOOKUP($EE23,$BC$2:$BK$84,4,FALSE),0)</f>
        <v/>
      </c>
      <c r="EO23" s="155">
        <f>IFERROR(VLOOKUP($EF23,$BC$2:$BK$84,4,FALSE),0)</f>
        <v/>
      </c>
      <c r="EP23" s="155">
        <f>IF($EJ23=0,0,INDEX($AC$2:$AC$11,$EJ23))</f>
        <v/>
      </c>
      <c r="EQ23" s="155">
        <f>IFERROR(VLOOKUP($EC23,$BC$2:$BK$84,5,FALSE),0)</f>
        <v/>
      </c>
      <c r="ER23" s="155">
        <f>IFERROR(VLOOKUP($ED23,$BC$2:$BK$84,5,FALSE),0)</f>
        <v/>
      </c>
      <c r="ES23" s="155">
        <f>IFERROR(VLOOKUP($EE23,$BC$2:$BK$84,5,FALSE),0)</f>
        <v/>
      </c>
      <c r="ET23" s="155">
        <f>IFERROR(VLOOKUP($EF23,$BC$2:$BK$84,5,FALSE),0)</f>
        <v/>
      </c>
      <c r="EU23" s="155">
        <f>IFERROR(VLOOKUP($EC23,$BC$2:$BK$84,6,FALSE),0)+IFERROR(VLOOKUP($ED23,$BC$2:$BK$84,6,FALSE),0)+IFERROR(VLOOKUP($EE23,$BC$2:$BK$84,6,FALSE),0)+IFERROR(VLOOKUP($EF23,$BC$2:$BK$84,6,FALSE),0)</f>
        <v/>
      </c>
      <c r="EV23" s="155">
        <f>IFERROR(VLOOKUP($EC23,$BC$2:$BK$84,9,FALSE),0)+IFERROR(VLOOKUP($ED23,$BC$2:$BK$84,9,FALSE),0)+IFERROR(VLOOKUP($EE23,$BC$2:$BK$84,9,FALSE),0)+IFERROR(VLOOKUP($EF23,$BC$2:$BK$84,9,FALSE),0)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MAX(0,3-SUMPRODUCT($FD23:$FI23,$Q$2:$V$2)+MIN(2,$FJ23*1+$FK23*1,SUMPRODUCT($FD23:$FI23,$Q$2:$V$2)))+$DX23*1</f>
        <v/>
      </c>
      <c r="FW23" s="155">
        <f>MAX(0,6-SUMPRODUCT($FD23:$FI23,$Q$3:$V$3)+MIN(4,$FJ23*1+$FK23*2,SUMPRODUCT($FD23:$FI23,$Q$3:$V$3)))+$DX23*2</f>
        <v/>
      </c>
      <c r="FX23" s="155">
        <f>MAX(0,9-SUMPRODUCT($FD23:$FI23,$Q$4:$V$4)+MIN(6,$FJ23*2+$FK23*3,SUMPRODUCT($FD23:$FI23,$Q$4:$V$4)))+$DX23*3</f>
        <v/>
      </c>
      <c r="FY23" s="155">
        <f>MAX(0,12-SUMPRODUCT($FD23:$FI23,$Q$5:$V$5)+MIN(8,$FJ23*2+$FK23*4,SUMPRODUCT($FD23:$FI23,$Q$5:$V$5)))+$DX23*4</f>
        <v/>
      </c>
      <c r="FZ23" s="155">
        <f>MAX(0,15-SUMPRODUCT($FD23:$FI23,$Q$6:$V$6)+MIN(10,$FJ23*3+$FK23*5,SUMPRODUCT($FD23:$FI23,$Q$6:$V$6)))+$DX23*5</f>
        <v/>
      </c>
      <c r="GA23" s="155">
        <f>MAX(0,18-SUMPRODUCT($FD23:$FI23,$Q$7:$V$7)+MIN(12,$FJ23*3+$FK23*6,SUMPRODUCT($FD23:$FI23,$Q$7:$V$7)))+$DX23*6</f>
        <v/>
      </c>
      <c r="GB23" s="155">
        <f>MAX(0,21-SUMPRODUCT($FD23:$FI23,$Q$8:$V$8)+MIN(14,$FJ23*4+$FK23*7,SUMPRODUCT($FD23:$FI23,$Q$8:$V$8)))+$DX23*7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peça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livres</t>
        </is>
      </c>
      <c r="HK23" s="155">
        <f>$HK$22-$HK$15</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IF(DADOS_AM!$HK$21=1,"⚠ ","")&amp;DADOS_AM!$HK$20</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Toca a Alma</t>
        </is>
      </c>
      <c r="BD24" s="153" t="inlineStr">
        <is>
          <t>Mira</t>
        </is>
      </c>
      <c r="BE24" s="155" t="n">
        <v>1</v>
      </c>
      <c r="BF24" s="155">
        <f>$BE24+3*IFERROR(VLOOKUP($BD24,$I$2:$L$10,3,FALSE),0)</f>
        <v/>
      </c>
      <c r="BG24" s="155">
        <f>IFERROR(VLOOKUP($BD24,$I$2:$L$10,4,FALSE),0)</f>
        <v/>
      </c>
      <c r="BH24" s="155" t="n">
        <v>0</v>
      </c>
      <c r="BI24" s="155">
        <f>IF($BG24=1,"",$BC24)</f>
        <v/>
      </c>
      <c r="BJ24" s="155">
        <f>IF(AND($BE24=1,$BG24=0),$BC24,"")</f>
        <v/>
      </c>
      <c r="BK24" s="155" t="n">
        <v>0</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IFERROR(VLOOKUP($EC24,$BC$2:$BK$84,4,FALSE),0)</f>
        <v/>
      </c>
      <c r="EM24" s="155">
        <f>IFERROR(VLOOKUP($ED24,$BC$2:$BK$84,4,FALSE),0)</f>
        <v/>
      </c>
      <c r="EN24" s="155">
        <f>IFERROR(VLOOKUP($EE24,$BC$2:$BK$84,4,FALSE),0)</f>
        <v/>
      </c>
      <c r="EO24" s="155">
        <f>IFERROR(VLOOKUP($EF24,$BC$2:$BK$84,4,FALSE),0)</f>
        <v/>
      </c>
      <c r="EP24" s="155">
        <f>IF($EJ24=0,0,INDEX($AC$2:$AC$11,$EJ24))</f>
        <v/>
      </c>
      <c r="EQ24" s="155">
        <f>IFERROR(VLOOKUP($EC24,$BC$2:$BK$84,5,FALSE),0)</f>
        <v/>
      </c>
      <c r="ER24" s="155">
        <f>IFERROR(VLOOKUP($ED24,$BC$2:$BK$84,5,FALSE),0)</f>
        <v/>
      </c>
      <c r="ES24" s="155">
        <f>IFERROR(VLOOKUP($EE24,$BC$2:$BK$84,5,FALSE),0)</f>
        <v/>
      </c>
      <c r="ET24" s="155">
        <f>IFERROR(VLOOKUP($EF24,$BC$2:$BK$84,5,FALSE),0)</f>
        <v/>
      </c>
      <c r="EU24" s="155">
        <f>IFERROR(VLOOKUP($EC24,$BC$2:$BK$84,6,FALSE),0)+IFERROR(VLOOKUP($ED24,$BC$2:$BK$84,6,FALSE),0)+IFERROR(VLOOKUP($EE24,$BC$2:$BK$84,6,FALSE),0)+IFERROR(VLOOKUP($EF24,$BC$2:$BK$84,6,FALSE),0)</f>
        <v/>
      </c>
      <c r="EV24" s="155">
        <f>IFERROR(VLOOKUP($EC24,$BC$2:$BK$84,9,FALSE),0)+IFERROR(VLOOKUP($ED24,$BC$2:$BK$84,9,FALSE),0)+IFERROR(VLOOKUP($EE24,$BC$2:$BK$84,9,FALSE),0)+IFERROR(VLOOKUP($EF24,$BC$2:$BK$84,9,FALSE),0)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MAX(0,3-SUMPRODUCT($FD24:$FI24,$Q$2:$V$2)+MIN(2,$FJ24*1+$FK24*1,SUMPRODUCT($FD24:$FI24,$Q$2:$V$2)))+$DX24*1</f>
        <v/>
      </c>
      <c r="FW24" s="155">
        <f>MAX(0,6-SUMPRODUCT($FD24:$FI24,$Q$3:$V$3)+MIN(4,$FJ24*1+$FK24*2,SUMPRODUCT($FD24:$FI24,$Q$3:$V$3)))+$DX24*2</f>
        <v/>
      </c>
      <c r="FX24" s="155">
        <f>MAX(0,9-SUMPRODUCT($FD24:$FI24,$Q$4:$V$4)+MIN(6,$FJ24*2+$FK24*3,SUMPRODUCT($FD24:$FI24,$Q$4:$V$4)))+$DX24*3</f>
        <v/>
      </c>
      <c r="FY24" s="155">
        <f>MAX(0,12-SUMPRODUCT($FD24:$FI24,$Q$5:$V$5)+MIN(8,$FJ24*2+$FK24*4,SUMPRODUCT($FD24:$FI24,$Q$5:$V$5)))+$DX24*4</f>
        <v/>
      </c>
      <c r="FZ24" s="155">
        <f>MAX(0,15-SUMPRODUCT($FD24:$FI24,$Q$6:$V$6)+MIN(10,$FJ24*3+$FK24*5,SUMPRODUCT($FD24:$FI24,$Q$6:$V$6)))+$DX24*5</f>
        <v/>
      </c>
      <c r="GA24" s="155">
        <f>MAX(0,18-SUMPRODUCT($FD24:$FI24,$Q$7:$V$7)+MIN(12,$FJ24*3+$FK24*6,SUMPRODUCT($FD24:$FI24,$Q$7:$V$7)))+$DX24*6</f>
        <v/>
      </c>
      <c r="GB24" s="155">
        <f>MAX(0,21-SUMPRODUCT($FD24:$FI24,$Q$8:$V$8)+MIN(14,$FJ24*4+$FK24*7,SUMPRODUCT($FD24:$FI24,$Q$8:$V$8)))+$DX24*7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peça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pagas</t>
        </is>
      </c>
      <c r="HK24" s="155">
        <f>IF('FICHA AMALDIÇOADA'!$D$379&lt;&gt;"",1,0)+IF('FICHA AMALDIÇOADA'!$J$379&lt;&gt;"",1,0)+IF('FICHA AMALDIÇOADA'!$P$379&lt;&gt;"",1,0)+IF('FICHA AMALDIÇOADA'!$D$387&lt;&gt;"",1,0)+IF('FICHA AMALDIÇOADA'!$J$387&lt;&gt;"",1,0)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IF(DADOS_AM!$HK$23&lt;0,"⚠ ","")&amp;DADOS_AM!$HK$23</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Lento</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IFERROR(VLOOKUP($EC25,$BC$2:$BK$84,4,FALSE),0)</f>
        <v/>
      </c>
      <c r="EM25" s="155">
        <f>IFERROR(VLOOKUP($ED25,$BC$2:$BK$84,4,FALSE),0)</f>
        <v/>
      </c>
      <c r="EN25" s="155">
        <f>IFERROR(VLOOKUP($EE25,$BC$2:$BK$84,4,FALSE),0)</f>
        <v/>
      </c>
      <c r="EO25" s="155">
        <f>IFERROR(VLOOKUP($EF25,$BC$2:$BK$84,4,FALSE),0)</f>
        <v/>
      </c>
      <c r="EP25" s="155">
        <f>IF($EJ25=0,0,INDEX($AC$2:$AC$11,$EJ25))</f>
        <v/>
      </c>
      <c r="EQ25" s="155">
        <f>IFERROR(VLOOKUP($EC25,$BC$2:$BK$84,5,FALSE),0)</f>
        <v/>
      </c>
      <c r="ER25" s="155">
        <f>IFERROR(VLOOKUP($ED25,$BC$2:$BK$84,5,FALSE),0)</f>
        <v/>
      </c>
      <c r="ES25" s="155">
        <f>IFERROR(VLOOKUP($EE25,$BC$2:$BK$84,5,FALSE),0)</f>
        <v/>
      </c>
      <c r="ET25" s="155">
        <f>IFERROR(VLOOKUP($EF25,$BC$2:$BK$84,5,FALSE),0)</f>
        <v/>
      </c>
      <c r="EU25" s="155">
        <f>IFERROR(VLOOKUP($EC25,$BC$2:$BK$84,6,FALSE),0)+IFERROR(VLOOKUP($ED25,$BC$2:$BK$84,6,FALSE),0)+IFERROR(VLOOKUP($EE25,$BC$2:$BK$84,6,FALSE),0)+IFERROR(VLOOKUP($EF25,$BC$2:$BK$84,6,FALSE),0)</f>
        <v/>
      </c>
      <c r="EV25" s="155">
        <f>IFERROR(VLOOKUP($EC25,$BC$2:$BK$84,9,FALSE),0)+IFERROR(VLOOKUP($ED25,$BC$2:$BK$84,9,FALSE),0)+IFERROR(VLOOKUP($EE25,$BC$2:$BK$84,9,FALSE),0)+IFERROR(VLOOKUP($EF25,$BC$2:$BK$84,9,FALSE),0)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MAX(0,3-SUMPRODUCT($FD25:$FI25,$Q$2:$V$2)+MIN(2,$FJ25*1+$FK25*1,SUMPRODUCT($FD25:$FI25,$Q$2:$V$2)))+$DX25*1</f>
        <v/>
      </c>
      <c r="FW25" s="155">
        <f>MAX(0,6-SUMPRODUCT($FD25:$FI25,$Q$3:$V$3)+MIN(4,$FJ25*1+$FK25*2,SUMPRODUCT($FD25:$FI25,$Q$3:$V$3)))+$DX25*2</f>
        <v/>
      </c>
      <c r="FX25" s="155">
        <f>MAX(0,9-SUMPRODUCT($FD25:$FI25,$Q$4:$V$4)+MIN(6,$FJ25*2+$FK25*3,SUMPRODUCT($FD25:$FI25,$Q$4:$V$4)))+$DX25*3</f>
        <v/>
      </c>
      <c r="FY25" s="155">
        <f>MAX(0,12-SUMPRODUCT($FD25:$FI25,$Q$5:$V$5)+MIN(8,$FJ25*2+$FK25*4,SUMPRODUCT($FD25:$FI25,$Q$5:$V$5)))+$DX25*4</f>
        <v/>
      </c>
      <c r="FZ25" s="155">
        <f>MAX(0,15-SUMPRODUCT($FD25:$FI25,$Q$6:$V$6)+MIN(10,$FJ25*3+$FK25*5,SUMPRODUCT($FD25:$FI25,$Q$6:$V$6)))+$DX25*5</f>
        <v/>
      </c>
      <c r="GA25" s="155">
        <f>MAX(0,18-SUMPRODUCT($FD25:$FI25,$Q$7:$V$7)+MIN(12,$FJ25*3+$FK25*6,SUMPRODUCT($FD25:$FI25,$Q$7:$V$7)))+$DX25*6</f>
        <v/>
      </c>
      <c r="GB25" s="155">
        <f>MAX(0,21-SUMPRODUCT($FD25:$FI25,$Q$8:$V$8)+MIN(14,$FJ25*4+$FK25*7,SUMPRODUCT($FD25:$FI25,$Q$8:$V$8)))+$DX25*7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peça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passivas do Leque</t>
        </is>
      </c>
      <c r="HK25" s="155">
        <f>IF('FICHA AMALDIÇOADA'!$D$397&lt;&gt;"",1,0)+IF('FICHA AMALDIÇOADA'!$J$397&lt;&gt;"",1,0)+IF('FICHA AMALDIÇOADA'!$P$397&lt;&gt;"",1,0)+IF('FICHA AMALDIÇOADA'!$D$405&lt;&gt;"",1,0)+IF('FICHA AMALDIÇOADA'!$J$405&lt;&gt;"",1,0)+IF('FICHA AMALDIÇOADA'!$P$405&lt;&gt;"",1,0)+IF('FICHA AMALDIÇOADA'!$D$413&lt;&gt;"",1,0)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Guarda Aberta</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IFERROR(VLOOKUP($EC26,$BC$2:$BK$84,4,FALSE),0)</f>
        <v/>
      </c>
      <c r="EM26" s="155">
        <f>IFERROR(VLOOKUP($ED26,$BC$2:$BK$84,4,FALSE),0)</f>
        <v/>
      </c>
      <c r="EN26" s="155">
        <f>IFERROR(VLOOKUP($EE26,$BC$2:$BK$84,4,FALSE),0)</f>
        <v/>
      </c>
      <c r="EO26" s="155">
        <f>IFERROR(VLOOKUP($EF26,$BC$2:$BK$84,4,FALSE),0)</f>
        <v/>
      </c>
      <c r="EP26" s="155">
        <f>IF($EJ26=0,0,INDEX($AC$2:$AC$11,$EJ26))</f>
        <v/>
      </c>
      <c r="EQ26" s="155">
        <f>IFERROR(VLOOKUP($EC26,$BC$2:$BK$84,5,FALSE),0)</f>
        <v/>
      </c>
      <c r="ER26" s="155">
        <f>IFERROR(VLOOKUP($ED26,$BC$2:$BK$84,5,FALSE),0)</f>
        <v/>
      </c>
      <c r="ES26" s="155">
        <f>IFERROR(VLOOKUP($EE26,$BC$2:$BK$84,5,FALSE),0)</f>
        <v/>
      </c>
      <c r="ET26" s="155">
        <f>IFERROR(VLOOKUP($EF26,$BC$2:$BK$84,5,FALSE),0)</f>
        <v/>
      </c>
      <c r="EU26" s="155">
        <f>IFERROR(VLOOKUP($EC26,$BC$2:$BK$84,6,FALSE),0)+IFERROR(VLOOKUP($ED26,$BC$2:$BK$84,6,FALSE),0)+IFERROR(VLOOKUP($EE26,$BC$2:$BK$84,6,FALSE),0)+IFERROR(VLOOKUP($EF26,$BC$2:$BK$84,6,FALSE),0)</f>
        <v/>
      </c>
      <c r="EV26" s="155">
        <f>IFERROR(VLOOKUP($EC26,$BC$2:$BK$84,9,FALSE),0)+IFERROR(VLOOKUP($ED26,$BC$2:$BK$84,9,FALSE),0)+IFERROR(VLOOKUP($EE26,$BC$2:$BK$84,9,FALSE),0)+IFERROR(VLOOKUP($EF26,$BC$2:$BK$84,9,FALSE),0)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MAX(0,3-SUMPRODUCT($FD26:$FI26,$Q$2:$V$2)+MIN(2,$FJ26*1+$FK26*1,SUMPRODUCT($FD26:$FI26,$Q$2:$V$2)))+$DX26*1</f>
        <v/>
      </c>
      <c r="FW26" s="155">
        <f>MAX(0,6-SUMPRODUCT($FD26:$FI26,$Q$3:$V$3)+MIN(4,$FJ26*1+$FK26*2,SUMPRODUCT($FD26:$FI26,$Q$3:$V$3)))+$DX26*2</f>
        <v/>
      </c>
      <c r="FX26" s="155">
        <f>MAX(0,9-SUMPRODUCT($FD26:$FI26,$Q$4:$V$4)+MIN(6,$FJ26*2+$FK26*3,SUMPRODUCT($FD26:$FI26,$Q$4:$V$4)))+$DX26*3</f>
        <v/>
      </c>
      <c r="FY26" s="155">
        <f>MAX(0,12-SUMPRODUCT($FD26:$FI26,$Q$5:$V$5)+MIN(8,$FJ26*2+$FK26*4,SUMPRODUCT($FD26:$FI26,$Q$5:$V$5)))+$DX26*4</f>
        <v/>
      </c>
      <c r="FZ26" s="155">
        <f>MAX(0,15-SUMPRODUCT($FD26:$FI26,$Q$6:$V$6)+MIN(10,$FJ26*3+$FK26*5,SUMPRODUCT($FD26:$FI26,$Q$6:$V$6)))+$DX26*5</f>
        <v/>
      </c>
      <c r="GA26" s="155">
        <f>MAX(0,18-SUMPRODUCT($FD26:$FI26,$Q$7:$V$7)+MIN(12,$FJ26*3+$FK26*6,SUMPRODUCT($FD26:$FI26,$Q$7:$V$7)))+$DX26*6</f>
        <v/>
      </c>
      <c r="GB26" s="155">
        <f>MAX(0,21-SUMPRODUCT($FD26:$FI26,$Q$8:$V$8)+MIN(14,$FJ26*4+$FK26*7,SUMPRODUCT($FD26:$FI26,$Q$8:$V$8)))+$DX26*7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peça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anotadas</t>
        </is>
      </c>
      <c r="HK26"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Derrubado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IFERROR(VLOOKUP($EC27,$BC$2:$BK$84,4,FALSE),0)</f>
        <v/>
      </c>
      <c r="EM27" s="155">
        <f>IFERROR(VLOOKUP($ED27,$BC$2:$BK$84,4,FALSE),0)</f>
        <v/>
      </c>
      <c r="EN27" s="155">
        <f>IFERROR(VLOOKUP($EE27,$BC$2:$BK$84,4,FALSE),0)</f>
        <v/>
      </c>
      <c r="EO27" s="155">
        <f>IFERROR(VLOOKUP($EF27,$BC$2:$BK$84,4,FALSE),0)</f>
        <v/>
      </c>
      <c r="EP27" s="155">
        <f>IF($EJ27=0,0,INDEX($AC$2:$AC$11,$EJ27))</f>
        <v/>
      </c>
      <c r="EQ27" s="155">
        <f>IFERROR(VLOOKUP($EC27,$BC$2:$BK$84,5,FALSE),0)</f>
        <v/>
      </c>
      <c r="ER27" s="155">
        <f>IFERROR(VLOOKUP($ED27,$BC$2:$BK$84,5,FALSE),0)</f>
        <v/>
      </c>
      <c r="ES27" s="155">
        <f>IFERROR(VLOOKUP($EE27,$BC$2:$BK$84,5,FALSE),0)</f>
        <v/>
      </c>
      <c r="ET27" s="155">
        <f>IFERROR(VLOOKUP($EF27,$BC$2:$BK$84,5,FALSE),0)</f>
        <v/>
      </c>
      <c r="EU27" s="155">
        <f>IFERROR(VLOOKUP($EC27,$BC$2:$BK$84,6,FALSE),0)+IFERROR(VLOOKUP($ED27,$BC$2:$BK$84,6,FALSE),0)+IFERROR(VLOOKUP($EE27,$BC$2:$BK$84,6,FALSE),0)+IFERROR(VLOOKUP($EF27,$BC$2:$BK$84,6,FALSE),0)</f>
        <v/>
      </c>
      <c r="EV27" s="155">
        <f>IFERROR(VLOOKUP($EC27,$BC$2:$BK$84,9,FALSE),0)+IFERROR(VLOOKUP($ED27,$BC$2:$BK$84,9,FALSE),0)+IFERROR(VLOOKUP($EE27,$BC$2:$BK$84,9,FALSE),0)+IFERROR(VLOOKUP($EF27,$BC$2:$BK$84,9,FALSE),0)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MAX(0,3-SUMPRODUCT($FD27:$FI27,$Q$2:$V$2)+MIN(2,$FJ27*1+$FK27*1,SUMPRODUCT($FD27:$FI27,$Q$2:$V$2)))+$DX27*1</f>
        <v/>
      </c>
      <c r="FW27" s="155">
        <f>MAX(0,6-SUMPRODUCT($FD27:$FI27,$Q$3:$V$3)+MIN(4,$FJ27*1+$FK27*2,SUMPRODUCT($FD27:$FI27,$Q$3:$V$3)))+$DX27*2</f>
        <v/>
      </c>
      <c r="FX27" s="155">
        <f>MAX(0,9-SUMPRODUCT($FD27:$FI27,$Q$4:$V$4)+MIN(6,$FJ27*2+$FK27*3,SUMPRODUCT($FD27:$FI27,$Q$4:$V$4)))+$DX27*3</f>
        <v/>
      </c>
      <c r="FY27" s="155">
        <f>MAX(0,12-SUMPRODUCT($FD27:$FI27,$Q$5:$V$5)+MIN(8,$FJ27*2+$FK27*4,SUMPRODUCT($FD27:$FI27,$Q$5:$V$5)))+$DX27*4</f>
        <v/>
      </c>
      <c r="FZ27" s="155">
        <f>MAX(0,15-SUMPRODUCT($FD27:$FI27,$Q$6:$V$6)+MIN(10,$FJ27*3+$FK27*5,SUMPRODUCT($FD27:$FI27,$Q$6:$V$6)))+$DX27*5</f>
        <v/>
      </c>
      <c r="GA27" s="155">
        <f>MAX(0,18-SUMPRODUCT($FD27:$FI27,$Q$7:$V$7)+MIN(12,$FJ27*3+$FK27*6,SUMPRODUCT($FD27:$FI27,$Q$7:$V$7)))+$DX27*6</f>
        <v/>
      </c>
      <c r="GB27" s="155">
        <f>MAX(0,21-SUMPRODUCT($FD27:$FI27,$Q$8:$V$8)+MIN(14,$FJ27*4+$FK27*7,SUMPRODUCT($FD27:$FI27,$Q$8:$V$8)))+$DX27*7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peça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aptidões compráveis</t>
        </is>
      </c>
      <c r="HK27" s="155">
        <f>MAX(0,N(DADOS!$AK$36)-2)</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Agarrado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IFERROR(VLOOKUP($EC28,$BC$2:$BK$84,4,FALSE),0)</f>
        <v/>
      </c>
      <c r="EM28" s="155">
        <f>IFERROR(VLOOKUP($ED28,$BC$2:$BK$84,4,FALSE),0)</f>
        <v/>
      </c>
      <c r="EN28" s="155">
        <f>IFERROR(VLOOKUP($EE28,$BC$2:$BK$84,4,FALSE),0)</f>
        <v/>
      </c>
      <c r="EO28" s="155">
        <f>IFERROR(VLOOKUP($EF28,$BC$2:$BK$84,4,FALSE),0)</f>
        <v/>
      </c>
      <c r="EP28" s="155">
        <f>IF($EJ28=0,0,INDEX($AC$2:$AC$11,$EJ28))</f>
        <v/>
      </c>
      <c r="EQ28" s="155">
        <f>IFERROR(VLOOKUP($EC28,$BC$2:$BK$84,5,FALSE),0)</f>
        <v/>
      </c>
      <c r="ER28" s="155">
        <f>IFERROR(VLOOKUP($ED28,$BC$2:$BK$84,5,FALSE),0)</f>
        <v/>
      </c>
      <c r="ES28" s="155">
        <f>IFERROR(VLOOKUP($EE28,$BC$2:$BK$84,5,FALSE),0)</f>
        <v/>
      </c>
      <c r="ET28" s="155">
        <f>IFERROR(VLOOKUP($EF28,$BC$2:$BK$84,5,FALSE),0)</f>
        <v/>
      </c>
      <c r="EU28" s="155">
        <f>IFERROR(VLOOKUP($EC28,$BC$2:$BK$84,6,FALSE),0)+IFERROR(VLOOKUP($ED28,$BC$2:$BK$84,6,FALSE),0)+IFERROR(VLOOKUP($EE28,$BC$2:$BK$84,6,FALSE),0)+IFERROR(VLOOKUP($EF28,$BC$2:$BK$84,6,FALSE),0)</f>
        <v/>
      </c>
      <c r="EV28" s="155">
        <f>IFERROR(VLOOKUP($EC28,$BC$2:$BK$84,9,FALSE),0)+IFERROR(VLOOKUP($ED28,$BC$2:$BK$84,9,FALSE),0)+IFERROR(VLOOKUP($EE28,$BC$2:$BK$84,9,FALSE),0)+IFERROR(VLOOKUP($EF28,$BC$2:$BK$84,9,FALSE),0)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MAX(0,3-SUMPRODUCT($FD28:$FI28,$Q$2:$V$2)+MIN(2,$FJ28*1+$FK28*1,SUMPRODUCT($FD28:$FI28,$Q$2:$V$2)))+$DX28*1</f>
        <v/>
      </c>
      <c r="FW28" s="155">
        <f>MAX(0,6-SUMPRODUCT($FD28:$FI28,$Q$3:$V$3)+MIN(4,$FJ28*1+$FK28*2,SUMPRODUCT($FD28:$FI28,$Q$3:$V$3)))+$DX28*2</f>
        <v/>
      </c>
      <c r="FX28" s="155">
        <f>MAX(0,9-SUMPRODUCT($FD28:$FI28,$Q$4:$V$4)+MIN(6,$FJ28*2+$FK28*3,SUMPRODUCT($FD28:$FI28,$Q$4:$V$4)))+$DX28*3</f>
        <v/>
      </c>
      <c r="FY28" s="155">
        <f>MAX(0,12-SUMPRODUCT($FD28:$FI28,$Q$5:$V$5)+MIN(8,$FJ28*2+$FK28*4,SUMPRODUCT($FD28:$FI28,$Q$5:$V$5)))+$DX28*4</f>
        <v/>
      </c>
      <c r="FZ28" s="155">
        <f>MAX(0,15-SUMPRODUCT($FD28:$FI28,$Q$6:$V$6)+MIN(10,$FJ28*3+$FK28*5,SUMPRODUCT($FD28:$FI28,$Q$6:$V$6)))+$DX28*5</f>
        <v/>
      </c>
      <c r="GA28" s="155">
        <f>MAX(0,18-SUMPRODUCT($FD28:$FI28,$Q$7:$V$7)+MIN(12,$FJ28*3+$FK28*6,SUMPRODUCT($FD28:$FI28,$Q$7:$V$7)))+$DX28*6</f>
        <v/>
      </c>
      <c r="GB28" s="155">
        <f>MAX(0,21-SUMPRODUCT($FD28:$FI28,$Q$8:$V$8)+MIN(14,$FJ28*4+$FK28*7,SUMPRODUCT($FD28:$FI28,$Q$8:$V$8)))+$DX28*7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peça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permanentes</t>
        </is>
      </c>
      <c r="HK28" s="155">
        <f>IF('FICHA AMALDIÇOADA'!$L$518="Permanente",1,0)+IF('FICHA AMALDIÇOADA'!$L$528="Permanente",1,0)+IF('FICHA AMALDIÇOADA'!$L$538="Permanente",1,0)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Desarmado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IFERROR(VLOOKUP($EC29,$BC$2:$BK$84,4,FALSE),0)</f>
        <v/>
      </c>
      <c r="EM29" s="155">
        <f>IFERROR(VLOOKUP($ED29,$BC$2:$BK$84,4,FALSE),0)</f>
        <v/>
      </c>
      <c r="EN29" s="155">
        <f>IFERROR(VLOOKUP($EE29,$BC$2:$BK$84,4,FALSE),0)</f>
        <v/>
      </c>
      <c r="EO29" s="155">
        <f>IFERROR(VLOOKUP($EF29,$BC$2:$BK$84,4,FALSE),0)</f>
        <v/>
      </c>
      <c r="EP29" s="155">
        <f>IF($EJ29=0,0,INDEX($AC$2:$AC$11,$EJ29))</f>
        <v/>
      </c>
      <c r="EQ29" s="155">
        <f>IFERROR(VLOOKUP($EC29,$BC$2:$BK$84,5,FALSE),0)</f>
        <v/>
      </c>
      <c r="ER29" s="155">
        <f>IFERROR(VLOOKUP($ED29,$BC$2:$BK$84,5,FALSE),0)</f>
        <v/>
      </c>
      <c r="ES29" s="155">
        <f>IFERROR(VLOOKUP($EE29,$BC$2:$BK$84,5,FALSE),0)</f>
        <v/>
      </c>
      <c r="ET29" s="155">
        <f>IFERROR(VLOOKUP($EF29,$BC$2:$BK$84,5,FALSE),0)</f>
        <v/>
      </c>
      <c r="EU29" s="155">
        <f>IFERROR(VLOOKUP($EC29,$BC$2:$BK$84,6,FALSE),0)+IFERROR(VLOOKUP($ED29,$BC$2:$BK$84,6,FALSE),0)+IFERROR(VLOOKUP($EE29,$BC$2:$BK$84,6,FALSE),0)+IFERROR(VLOOKUP($EF29,$BC$2:$BK$84,6,FALSE),0)</f>
        <v/>
      </c>
      <c r="EV29" s="155">
        <f>IFERROR(VLOOKUP($EC29,$BC$2:$BK$84,9,FALSE),0)+IFERROR(VLOOKUP($ED29,$BC$2:$BK$84,9,FALSE),0)+IFERROR(VLOOKUP($EE29,$BC$2:$BK$84,9,FALSE),0)+IFERROR(VLOOKUP($EF29,$BC$2:$BK$84,9,FALSE),0)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MAX(0,3-SUMPRODUCT($FD29:$FI29,$Q$2:$V$2)+MIN(2,$FJ29*1+$FK29*1,SUMPRODUCT($FD29:$FI29,$Q$2:$V$2)))+$DX29*1</f>
        <v/>
      </c>
      <c r="FW29" s="155">
        <f>MAX(0,6-SUMPRODUCT($FD29:$FI29,$Q$3:$V$3)+MIN(4,$FJ29*1+$FK29*2,SUMPRODUCT($FD29:$FI29,$Q$3:$V$3)))+$DX29*2</f>
        <v/>
      </c>
      <c r="FX29" s="155">
        <f>MAX(0,9-SUMPRODUCT($FD29:$FI29,$Q$4:$V$4)+MIN(6,$FJ29*2+$FK29*3,SUMPRODUCT($FD29:$FI29,$Q$4:$V$4)))+$DX29*3</f>
        <v/>
      </c>
      <c r="FY29" s="155">
        <f>MAX(0,12-SUMPRODUCT($FD29:$FI29,$Q$5:$V$5)+MIN(8,$FJ29*2+$FK29*4,SUMPRODUCT($FD29:$FI29,$Q$5:$V$5)))+$DX29*4</f>
        <v/>
      </c>
      <c r="FZ29" s="155">
        <f>MAX(0,15-SUMPRODUCT($FD29:$FI29,$Q$6:$V$6)+MIN(10,$FJ29*3+$FK29*5,SUMPRODUCT($FD29:$FI29,$Q$6:$V$6)))+$DX29*5</f>
        <v/>
      </c>
      <c r="GA29" s="155">
        <f>MAX(0,18-SUMPRODUCT($FD29:$FI29,$Q$7:$V$7)+MIN(12,$FJ29*3+$FK29*6,SUMPRODUCT($FD29:$FI29,$Q$7:$V$7)))+$DX29*6</f>
        <v/>
      </c>
      <c r="GB29" s="155">
        <f>MAX(0,21-SUMPRODUCT($FD29:$FI29,$Q$8:$V$8)+MIN(14,$FJ29*4+$FK29*7,SUMPRODUCT($FD29:$FI29,$Q$8:$V$8)))+$DX29*7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peça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Surdo</t>
        </is>
      </c>
      <c r="BD30" s="153" t="inlineStr">
        <is>
          <t>Controle</t>
        </is>
      </c>
      <c r="BE30" s="155" t="n">
        <v>1</v>
      </c>
      <c r="BF30" s="155">
        <f>$BE30+3*IFERROR(VLOOKUP($BD30,$I$2:$L$10,3,FALSE),0)</f>
        <v/>
      </c>
      <c r="BG30" s="155">
        <f>IFERROR(VLOOKUP($BD30,$I$2:$L$10,4,FALSE),0)</f>
        <v/>
      </c>
      <c r="BH30" s="155" t="n">
        <v>1</v>
      </c>
      <c r="BI30" s="155">
        <f>IF($BG30=1,"",$BC30)</f>
        <v/>
      </c>
      <c r="BJ30" s="155">
        <f>IF(AND($BE30=1,$BG30=0),$BC30,"")</f>
        <v/>
      </c>
      <c r="BK30" s="155" t="n">
        <v>1</v>
      </c>
      <c r="CD30" s="153" t="inlineStr">
        <is>
          <t>Campo</t>
        </is>
      </c>
      <c r="CE30" s="153" t="inlineStr">
        <is>
          <t>Lapidação 1</t>
        </is>
      </c>
      <c r="CF30" s="155" t="n">
        <v>1</v>
      </c>
      <c r="CG30" s="153" t="inlineStr">
        <is>
          <t>—</t>
        </is>
      </c>
      <c r="CH30" s="153" t="inlineStr">
        <is>
          <t>Uma vez por cena, você pode realizar Estudar como Ação Bônus, em vez de Ação Padrão. Use a ação descrita em Ações — Estudar, com seus alvos, testes e informações disponíveis.</t>
        </is>
      </c>
      <c r="CI30" s="155">
        <f>IF($CL30=1,"",IF($A$2=4,IF($CJ30=1,$CD30,""),IF(OR($CJ30=1,AND($A$2=3,$CK30=1)),"",$CD30)))</f>
        <v/>
      </c>
      <c r="CJ30" s="155" t="n">
        <v>1</v>
      </c>
      <c r="CK30" s="155" t="n">
        <v>0</v>
      </c>
      <c r="CL30" s="155" t="n">
        <v>0</v>
      </c>
      <c r="CM30" s="153" t="inlineStr">
        <is>
          <t>Uma vez por cena, você pode realizar Estudar como Ação Bônus, em vez de Ação Padrão. Use a ação descrita em Ações — Estudar, com seus alvos, testes e informações disponíveis.</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IFERROR(VLOOKUP($EC30,$BC$2:$BK$84,4,FALSE),0)</f>
        <v/>
      </c>
      <c r="EM30" s="155">
        <f>IFERROR(VLOOKUP($ED30,$BC$2:$BK$84,4,FALSE),0)</f>
        <v/>
      </c>
      <c r="EN30" s="155">
        <f>IFERROR(VLOOKUP($EE30,$BC$2:$BK$84,4,FALSE),0)</f>
        <v/>
      </c>
      <c r="EO30" s="155">
        <f>IFERROR(VLOOKUP($EF30,$BC$2:$BK$84,4,FALSE),0)</f>
        <v/>
      </c>
      <c r="EP30" s="155">
        <f>IF($EJ30=0,0,INDEX($AC$2:$AC$11,$EJ30))</f>
        <v/>
      </c>
      <c r="EQ30" s="155">
        <f>IFERROR(VLOOKUP($EC30,$BC$2:$BK$84,5,FALSE),0)</f>
        <v/>
      </c>
      <c r="ER30" s="155">
        <f>IFERROR(VLOOKUP($ED30,$BC$2:$BK$84,5,FALSE),0)</f>
        <v/>
      </c>
      <c r="ES30" s="155">
        <f>IFERROR(VLOOKUP($EE30,$BC$2:$BK$84,5,FALSE),0)</f>
        <v/>
      </c>
      <c r="ET30" s="155">
        <f>IFERROR(VLOOKUP($EF30,$BC$2:$BK$84,5,FALSE),0)</f>
        <v/>
      </c>
      <c r="EU30" s="155">
        <f>IFERROR(VLOOKUP($EC30,$BC$2:$BK$84,6,FALSE),0)+IFERROR(VLOOKUP($ED30,$BC$2:$BK$84,6,FALSE),0)+IFERROR(VLOOKUP($EE30,$BC$2:$BK$84,6,FALSE),0)+IFERROR(VLOOKUP($EF30,$BC$2:$BK$84,6,FALSE),0)</f>
        <v/>
      </c>
      <c r="EV30" s="155">
        <f>IFERROR(VLOOKUP($EC30,$BC$2:$BK$84,9,FALSE),0)+IFERROR(VLOOKUP($ED30,$BC$2:$BK$84,9,FALSE),0)+IFERROR(VLOOKUP($EE30,$BC$2:$BK$84,9,FALSE),0)+IFERROR(VLOOKUP($EF30,$BC$2:$BK$84,9,FALSE),0)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MAX(0,3-SUMPRODUCT($FD30:$FI30,$Q$2:$V$2)+MIN(2,$FJ30*1+$FK30*1,SUMPRODUCT($FD30:$FI30,$Q$2:$V$2)))+$DX30*1</f>
        <v/>
      </c>
      <c r="FW30" s="155">
        <f>MAX(0,6-SUMPRODUCT($FD30:$FI30,$Q$3:$V$3)+MIN(4,$FJ30*1+$FK30*2,SUMPRODUCT($FD30:$FI30,$Q$3:$V$3)))+$DX30*2</f>
        <v/>
      </c>
      <c r="FX30" s="155">
        <f>MAX(0,9-SUMPRODUCT($FD30:$FI30,$Q$4:$V$4)+MIN(6,$FJ30*2+$FK30*3,SUMPRODUCT($FD30:$FI30,$Q$4:$V$4)))+$DX30*3</f>
        <v/>
      </c>
      <c r="FY30" s="155">
        <f>MAX(0,12-SUMPRODUCT($FD30:$FI30,$Q$5:$V$5)+MIN(8,$FJ30*2+$FK30*4,SUMPRODUCT($FD30:$FI30,$Q$5:$V$5)))+$DX30*4</f>
        <v/>
      </c>
      <c r="FZ30" s="155">
        <f>MAX(0,15-SUMPRODUCT($FD30:$FI30,$Q$6:$V$6)+MIN(10,$FJ30*3+$FK30*5,SUMPRODUCT($FD30:$FI30,$Q$6:$V$6)))+$DX30*5</f>
        <v/>
      </c>
      <c r="GA30" s="155">
        <f>MAX(0,18-SUMPRODUCT($FD30:$FI30,$Q$7:$V$7)+MIN(12,$FJ30*3+$FK30*6,SUMPRODUCT($FD30:$FI30,$Q$7:$V$7)))+$DX30*6</f>
        <v/>
      </c>
      <c r="GB30" s="155">
        <f>MAX(0,21-SUMPRODUCT($FD30:$FI30,$Q$8:$V$8)+MIN(14,$FJ30*4+$FK30*7,SUMPRODUCT($FD30:$FI30,$Q$8:$V$8)))+$DX30*7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peça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Calado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Assombro</t>
        </is>
      </c>
      <c r="CE31" s="153" t="inlineStr">
        <is>
          <t>Lapidação 1 e Essência 4</t>
        </is>
      </c>
      <c r="CF31" s="155" t="n">
        <v>1</v>
      </c>
      <c r="CG31" s="153" t="inlineStr">
        <is>
          <t>—</t>
        </is>
      </c>
      <c r="CH31"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1" s="155">
        <f>IF($CL31=1,"",IF($A$2=4,IF($CJ31=1,$CD31,""),IF(OR($CJ31=1,AND($A$2=3,$CK31=1)),"",$CD31)))</f>
        <v/>
      </c>
      <c r="CJ31" s="155" t="n">
        <v>1</v>
      </c>
      <c r="CK31" s="155" t="n">
        <v>0</v>
      </c>
      <c r="CL31" s="155" t="n">
        <v>0</v>
      </c>
      <c r="CM31" s="153" t="inlineStr">
        <is>
          <t>Uma vez por cena, ao entrar nela ou ser visto pela primeira vez, escolha até metade de sua Lapidação, arredondada para baixo, mínimo 1, entre as criaturas presentes que enxerguem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IFERROR(VLOOKUP($EC31,$BC$2:$BK$84,4,FALSE),0)</f>
        <v/>
      </c>
      <c r="EM31" s="155">
        <f>IFERROR(VLOOKUP($ED31,$BC$2:$BK$84,4,FALSE),0)</f>
        <v/>
      </c>
      <c r="EN31" s="155">
        <f>IFERROR(VLOOKUP($EE31,$BC$2:$BK$84,4,FALSE),0)</f>
        <v/>
      </c>
      <c r="EO31" s="155">
        <f>IFERROR(VLOOKUP($EF31,$BC$2:$BK$84,4,FALSE),0)</f>
        <v/>
      </c>
      <c r="EP31" s="155">
        <f>IF($EJ31=0,0,INDEX($AC$2:$AC$11,$EJ31))</f>
        <v/>
      </c>
      <c r="EQ31" s="155">
        <f>IFERROR(VLOOKUP($EC31,$BC$2:$BK$84,5,FALSE),0)</f>
        <v/>
      </c>
      <c r="ER31" s="155">
        <f>IFERROR(VLOOKUP($ED31,$BC$2:$BK$84,5,FALSE),0)</f>
        <v/>
      </c>
      <c r="ES31" s="155">
        <f>IFERROR(VLOOKUP($EE31,$BC$2:$BK$84,5,FALSE),0)</f>
        <v/>
      </c>
      <c r="ET31" s="155">
        <f>IFERROR(VLOOKUP($EF31,$BC$2:$BK$84,5,FALSE),0)</f>
        <v/>
      </c>
      <c r="EU31" s="155">
        <f>IFERROR(VLOOKUP($EC31,$BC$2:$BK$84,6,FALSE),0)+IFERROR(VLOOKUP($ED31,$BC$2:$BK$84,6,FALSE),0)+IFERROR(VLOOKUP($EE31,$BC$2:$BK$84,6,FALSE),0)+IFERROR(VLOOKUP($EF31,$BC$2:$BK$84,6,FALSE),0)</f>
        <v/>
      </c>
      <c r="EV31" s="155">
        <f>IFERROR(VLOOKUP($EC31,$BC$2:$BK$84,9,FALSE),0)+IFERROR(VLOOKUP($ED31,$BC$2:$BK$84,9,FALSE),0)+IFERROR(VLOOKUP($EE31,$BC$2:$BK$84,9,FALSE),0)+IFERROR(VLOOKUP($EF31,$BC$2:$BK$84,9,FALSE),0)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MAX(0,3-SUMPRODUCT($FD31:$FI31,$Q$2:$V$2)+MIN(2,$FJ31*1+$FK31*1,SUMPRODUCT($FD31:$FI31,$Q$2:$V$2)))+$DX31*1</f>
        <v/>
      </c>
      <c r="FW31" s="155">
        <f>MAX(0,6-SUMPRODUCT($FD31:$FI31,$Q$3:$V$3)+MIN(4,$FJ31*1+$FK31*2,SUMPRODUCT($FD31:$FI31,$Q$3:$V$3)))+$DX31*2</f>
        <v/>
      </c>
      <c r="FX31" s="155">
        <f>MAX(0,9-SUMPRODUCT($FD31:$FI31,$Q$4:$V$4)+MIN(6,$FJ31*2+$FK31*3,SUMPRODUCT($FD31:$FI31,$Q$4:$V$4)))+$DX31*3</f>
        <v/>
      </c>
      <c r="FY31" s="155">
        <f>MAX(0,12-SUMPRODUCT($FD31:$FI31,$Q$5:$V$5)+MIN(8,$FJ31*2+$FK31*4,SUMPRODUCT($FD31:$FI31,$Q$5:$V$5)))+$DX31*4</f>
        <v/>
      </c>
      <c r="FZ31" s="155">
        <f>MAX(0,15-SUMPRODUCT($FD31:$FI31,$Q$6:$V$6)+MIN(10,$FJ31*3+$FK31*5,SUMPRODUCT($FD31:$FI31,$Q$6:$V$6)))+$DX31*5</f>
        <v/>
      </c>
      <c r="GA31" s="155">
        <f>MAX(0,18-SUMPRODUCT($FD31:$FI31,$Q$7:$V$7)+MIN(12,$FJ31*3+$FK31*6,SUMPRODUCT($FD31:$FI31,$Q$7:$V$7)))+$DX31*6</f>
        <v/>
      </c>
      <c r="GB31" s="155">
        <f>MAX(0,21-SUMPRODUCT($FD31:$FI31,$Q$8:$V$8)+MIN(14,$FJ31*4+$FK31*7,SUMPRODUCT($FD31:$FI31,$Q$8:$V$8)))+$DX31*7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peça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Enfeitiçado</t>
        </is>
      </c>
      <c r="BD32" s="153" t="inlineStr">
        <is>
          <t>Controle</t>
        </is>
      </c>
      <c r="BE32" s="155" t="n">
        <v>2</v>
      </c>
      <c r="BF32" s="155">
        <f>$BE32+3*IFERROR(VLOOKUP($BD32,$I$2:$L$10,3,FALSE),0)</f>
        <v/>
      </c>
      <c r="BG32" s="155">
        <f>IFERROR(VLOOKUP($BD32,$I$2:$L$10,4,FALSE),0)</f>
        <v/>
      </c>
      <c r="BH32" s="155" t="n">
        <v>1</v>
      </c>
      <c r="BI32" s="155">
        <f>IF($BG32=1,"",$BC32)</f>
        <v/>
      </c>
      <c r="BJ32" s="155">
        <f>IF(AND($BE32=1,$BG32=0),$BC32,"")</f>
        <v/>
      </c>
      <c r="BK32" s="155" t="n">
        <v>1</v>
      </c>
      <c r="CD32" s="153" t="inlineStr">
        <is>
          <t>Bênção Própria (CE 1)</t>
        </is>
      </c>
      <c r="CE32" s="153" t="inlineStr">
        <is>
          <t>Uma por personagem</t>
        </is>
      </c>
      <c r="CF32" s="155" t="n">
        <v>1</v>
      </c>
      <c r="CG32" s="153" t="inlineStr">
        <is>
          <t>—</t>
        </is>
      </c>
      <c r="CH32"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2" s="155">
        <f>IF($CL32=1,"",IF($A$2=4,IF($CJ32=1,$CD32,""),IF(OR($CJ32=1,AND($A$2=3,$CK32=1)),"",$CD32)))</f>
        <v/>
      </c>
      <c r="CJ32" s="155" t="n">
        <v>1</v>
      </c>
      <c r="CK32" s="155" t="n">
        <v>0</v>
      </c>
      <c r="CL32" s="155" t="n">
        <v>0</v>
      </c>
      <c r="CM32" s="153" t="inlineStr">
        <is>
          <t>Você pode desenvolver uma Bênção Própria por personagem, de Categoria de Efeito 1 ou 2.</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IFERROR(VLOOKUP($EC32,$BC$2:$BK$84,4,FALSE),0)</f>
        <v/>
      </c>
      <c r="EM32" s="155">
        <f>IFERROR(VLOOKUP($ED32,$BC$2:$BK$84,4,FALSE),0)</f>
        <v/>
      </c>
      <c r="EN32" s="155">
        <f>IFERROR(VLOOKUP($EE32,$BC$2:$BK$84,4,FALSE),0)</f>
        <v/>
      </c>
      <c r="EO32" s="155">
        <f>IFERROR(VLOOKUP($EF32,$BC$2:$BK$84,4,FALSE),0)</f>
        <v/>
      </c>
      <c r="EP32" s="155">
        <f>IF($EJ32=0,0,INDEX($AC$2:$AC$11,$EJ32))</f>
        <v/>
      </c>
      <c r="EQ32" s="155">
        <f>IFERROR(VLOOKUP($EC32,$BC$2:$BK$84,5,FALSE),0)</f>
        <v/>
      </c>
      <c r="ER32" s="155">
        <f>IFERROR(VLOOKUP($ED32,$BC$2:$BK$84,5,FALSE),0)</f>
        <v/>
      </c>
      <c r="ES32" s="155">
        <f>IFERROR(VLOOKUP($EE32,$BC$2:$BK$84,5,FALSE),0)</f>
        <v/>
      </c>
      <c r="ET32" s="155">
        <f>IFERROR(VLOOKUP($EF32,$BC$2:$BK$84,5,FALSE),0)</f>
        <v/>
      </c>
      <c r="EU32" s="155">
        <f>IFERROR(VLOOKUP($EC32,$BC$2:$BK$84,6,FALSE),0)+IFERROR(VLOOKUP($ED32,$BC$2:$BK$84,6,FALSE),0)+IFERROR(VLOOKUP($EE32,$BC$2:$BK$84,6,FALSE),0)+IFERROR(VLOOKUP($EF32,$BC$2:$BK$84,6,FALSE),0)</f>
        <v/>
      </c>
      <c r="EV32" s="155">
        <f>IFERROR(VLOOKUP($EC32,$BC$2:$BK$84,9,FALSE),0)+IFERROR(VLOOKUP($ED32,$BC$2:$BK$84,9,FALSE),0)+IFERROR(VLOOKUP($EE32,$BC$2:$BK$84,9,FALSE),0)+IFERROR(VLOOKUP($EF32,$BC$2:$BK$84,9,FALSE),0)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MAX(0,3-SUMPRODUCT($FD32:$FI32,$Q$2:$V$2)+MIN(2,$FJ32*1+$FK32*1,SUMPRODUCT($FD32:$FI32,$Q$2:$V$2)))+$DX32*1</f>
        <v/>
      </c>
      <c r="FW32" s="155">
        <f>MAX(0,6-SUMPRODUCT($FD32:$FI32,$Q$3:$V$3)+MIN(4,$FJ32*1+$FK32*2,SUMPRODUCT($FD32:$FI32,$Q$3:$V$3)))+$DX32*2</f>
        <v/>
      </c>
      <c r="FX32" s="155">
        <f>MAX(0,9-SUMPRODUCT($FD32:$FI32,$Q$4:$V$4)+MIN(6,$FJ32*2+$FK32*3,SUMPRODUCT($FD32:$FI32,$Q$4:$V$4)))+$DX32*3</f>
        <v/>
      </c>
      <c r="FY32" s="155">
        <f>MAX(0,12-SUMPRODUCT($FD32:$FI32,$Q$5:$V$5)+MIN(8,$FJ32*2+$FK32*4,SUMPRODUCT($FD32:$FI32,$Q$5:$V$5)))+$DX32*4</f>
        <v/>
      </c>
      <c r="FZ32" s="155">
        <f>MAX(0,15-SUMPRODUCT($FD32:$FI32,$Q$6:$V$6)+MIN(10,$FJ32*3+$FK32*5,SUMPRODUCT($FD32:$FI32,$Q$6:$V$6)))+$DX32*5</f>
        <v/>
      </c>
      <c r="GA32" s="155">
        <f>MAX(0,18-SUMPRODUCT($FD32:$FI32,$Q$7:$V$7)+MIN(12,$FJ32*3+$FK32*6,SUMPRODUCT($FD32:$FI32,$Q$7:$V$7)))+$DX32*6</f>
        <v/>
      </c>
      <c r="GB32" s="155">
        <f>MAX(0,21-SUMPRODUCT($FD32:$FI32,$Q$8:$V$8)+MIN(14,$FJ32*4+$FK32*7,SUMPRODUCT($FD32:$FI32,$Q$8:$V$8)))+$DX32*7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peça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Impedido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Bênção Própria (CE 2)</t>
        </is>
      </c>
      <c r="CE33" s="153" t="inlineStr">
        <is>
          <t>Uma por personagem</t>
        </is>
      </c>
      <c r="CF33" s="155" t="n">
        <v>2</v>
      </c>
      <c r="CG33" s="153" t="inlineStr">
        <is>
          <t>—</t>
        </is>
      </c>
      <c r="CH33"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3" s="155">
        <f>IF($CL33=1,"",IF($A$2=4,IF($CJ33=1,$CD33,""),IF(OR($CJ33=1,AND($A$2=3,$CK33=1)),"",$CD33)))</f>
        <v/>
      </c>
      <c r="CJ33" s="155" t="n">
        <v>1</v>
      </c>
      <c r="CK33" s="155" t="n">
        <v>0</v>
      </c>
      <c r="CL33" s="155" t="n">
        <v>0</v>
      </c>
      <c r="CM33" s="153" t="inlineStr">
        <is>
          <t>Você pode desenvolver uma Bênção Própria por personagem, de Categoria de Efeito 1 ou 2.</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IFERROR(VLOOKUP($EC33,$BC$2:$BK$84,4,FALSE),0)</f>
        <v/>
      </c>
      <c r="EM33" s="155">
        <f>IFERROR(VLOOKUP($ED33,$BC$2:$BK$84,4,FALSE),0)</f>
        <v/>
      </c>
      <c r="EN33" s="155">
        <f>IFERROR(VLOOKUP($EE33,$BC$2:$BK$84,4,FALSE),0)</f>
        <v/>
      </c>
      <c r="EO33" s="155">
        <f>IFERROR(VLOOKUP($EF33,$BC$2:$BK$84,4,FALSE),0)</f>
        <v/>
      </c>
      <c r="EP33" s="155">
        <f>IF($EJ33=0,0,INDEX($AC$2:$AC$11,$EJ33))</f>
        <v/>
      </c>
      <c r="EQ33" s="155">
        <f>IFERROR(VLOOKUP($EC33,$BC$2:$BK$84,5,FALSE),0)</f>
        <v/>
      </c>
      <c r="ER33" s="155">
        <f>IFERROR(VLOOKUP($ED33,$BC$2:$BK$84,5,FALSE),0)</f>
        <v/>
      </c>
      <c r="ES33" s="155">
        <f>IFERROR(VLOOKUP($EE33,$BC$2:$BK$84,5,FALSE),0)</f>
        <v/>
      </c>
      <c r="ET33" s="155">
        <f>IFERROR(VLOOKUP($EF33,$BC$2:$BK$84,5,FALSE),0)</f>
        <v/>
      </c>
      <c r="EU33" s="155">
        <f>IFERROR(VLOOKUP($EC33,$BC$2:$BK$84,6,FALSE),0)+IFERROR(VLOOKUP($ED33,$BC$2:$BK$84,6,FALSE),0)+IFERROR(VLOOKUP($EE33,$BC$2:$BK$84,6,FALSE),0)+IFERROR(VLOOKUP($EF33,$BC$2:$BK$84,6,FALSE),0)</f>
        <v/>
      </c>
      <c r="EV33" s="155">
        <f>IFERROR(VLOOKUP($EC33,$BC$2:$BK$84,9,FALSE),0)+IFERROR(VLOOKUP($ED33,$BC$2:$BK$84,9,FALSE),0)+IFERROR(VLOOKUP($EE33,$BC$2:$BK$84,9,FALSE),0)+IFERROR(VLOOKUP($EF33,$BC$2:$BK$84,9,FALSE),0)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MAX(0,3-SUMPRODUCT($FD33:$FI33,$Q$2:$V$2)+MIN(2,$FJ33*1+$FK33*1,SUMPRODUCT($FD33:$FI33,$Q$2:$V$2)))+$DX33*1</f>
        <v/>
      </c>
      <c r="FW33" s="155">
        <f>MAX(0,6-SUMPRODUCT($FD33:$FI33,$Q$3:$V$3)+MIN(4,$FJ33*1+$FK33*2,SUMPRODUCT($FD33:$FI33,$Q$3:$V$3)))+$DX33*2</f>
        <v/>
      </c>
      <c r="FX33" s="155">
        <f>MAX(0,9-SUMPRODUCT($FD33:$FI33,$Q$4:$V$4)+MIN(6,$FJ33*2+$FK33*3,SUMPRODUCT($FD33:$FI33,$Q$4:$V$4)))+$DX33*3</f>
        <v/>
      </c>
      <c r="FY33" s="155">
        <f>MAX(0,12-SUMPRODUCT($FD33:$FI33,$Q$5:$V$5)+MIN(8,$FJ33*2+$FK33*4,SUMPRODUCT($FD33:$FI33,$Q$5:$V$5)))+$DX33*4</f>
        <v/>
      </c>
      <c r="FZ33" s="155">
        <f>MAX(0,15-SUMPRODUCT($FD33:$FI33,$Q$6:$V$6)+MIN(10,$FJ33*3+$FK33*5,SUMPRODUCT($FD33:$FI33,$Q$6:$V$6)))+$DX33*5</f>
        <v/>
      </c>
      <c r="GA33" s="155">
        <f>MAX(0,18-SUMPRODUCT($FD33:$FI33,$Q$7:$V$7)+MIN(12,$FJ33*3+$FK33*6,SUMPRODUCT($FD33:$FI33,$Q$7:$V$7)))+$DX33*6</f>
        <v/>
      </c>
      <c r="GB33" s="155">
        <f>MAX(0,21-SUMPRODUCT($FD33:$FI33,$Q$8:$V$8)+MIN(14,$FJ33*4+$FK33*7,SUMPRODUCT($FD33:$FI33,$Q$8:$V$8)))+$DX33*7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peça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Cego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IFERROR(VLOOKUP($EC34,$BC$2:$BK$84,4,FALSE),0)</f>
        <v/>
      </c>
      <c r="EM34" s="155">
        <f>IFERROR(VLOOKUP($ED34,$BC$2:$BK$84,4,FALSE),0)</f>
        <v/>
      </c>
      <c r="EN34" s="155">
        <f>IFERROR(VLOOKUP($EE34,$BC$2:$BK$84,4,FALSE),0)</f>
        <v/>
      </c>
      <c r="EO34" s="155">
        <f>IFERROR(VLOOKUP($EF34,$BC$2:$BK$84,4,FALSE),0)</f>
        <v/>
      </c>
      <c r="EP34" s="155">
        <f>IF($EJ34=0,0,INDEX($AC$2:$AC$11,$EJ34))</f>
        <v/>
      </c>
      <c r="EQ34" s="155">
        <f>IFERROR(VLOOKUP($EC34,$BC$2:$BK$84,5,FALSE),0)</f>
        <v/>
      </c>
      <c r="ER34" s="155">
        <f>IFERROR(VLOOKUP($ED34,$BC$2:$BK$84,5,FALSE),0)</f>
        <v/>
      </c>
      <c r="ES34" s="155">
        <f>IFERROR(VLOOKUP($EE34,$BC$2:$BK$84,5,FALSE),0)</f>
        <v/>
      </c>
      <c r="ET34" s="155">
        <f>IFERROR(VLOOKUP($EF34,$BC$2:$BK$84,5,FALSE),0)</f>
        <v/>
      </c>
      <c r="EU34" s="155">
        <f>IFERROR(VLOOKUP($EC34,$BC$2:$BK$84,6,FALSE),0)+IFERROR(VLOOKUP($ED34,$BC$2:$BK$84,6,FALSE),0)+IFERROR(VLOOKUP($EE34,$BC$2:$BK$84,6,FALSE),0)+IFERROR(VLOOKUP($EF34,$BC$2:$BK$84,6,FALSE),0)</f>
        <v/>
      </c>
      <c r="EV34" s="155">
        <f>IFERROR(VLOOKUP($EC34,$BC$2:$BK$84,9,FALSE),0)+IFERROR(VLOOKUP($ED34,$BC$2:$BK$84,9,FALSE),0)+IFERROR(VLOOKUP($EE34,$BC$2:$BK$84,9,FALSE),0)+IFERROR(VLOOKUP($EF34,$BC$2:$BK$84,9,FALSE),0)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MAX(0,3-SUMPRODUCT($FD34:$FI34,$Q$2:$V$2)+MIN(2,$FJ34*1+$FK34*1,SUMPRODUCT($FD34:$FI34,$Q$2:$V$2)))+$DX34*1</f>
        <v/>
      </c>
      <c r="FW34" s="155">
        <f>MAX(0,6-SUMPRODUCT($FD34:$FI34,$Q$3:$V$3)+MIN(4,$FJ34*1+$FK34*2,SUMPRODUCT($FD34:$FI34,$Q$3:$V$3)))+$DX34*2</f>
        <v/>
      </c>
      <c r="FX34" s="155">
        <f>MAX(0,9-SUMPRODUCT($FD34:$FI34,$Q$4:$V$4)+MIN(6,$FJ34*2+$FK34*3,SUMPRODUCT($FD34:$FI34,$Q$4:$V$4)))+$DX34*3</f>
        <v/>
      </c>
      <c r="FY34" s="155">
        <f>MAX(0,12-SUMPRODUCT($FD34:$FI34,$Q$5:$V$5)+MIN(8,$FJ34*2+$FK34*4,SUMPRODUCT($FD34:$FI34,$Q$5:$V$5)))+$DX34*4</f>
        <v/>
      </c>
      <c r="FZ34" s="155">
        <f>MAX(0,15-SUMPRODUCT($FD34:$FI34,$Q$6:$V$6)+MIN(10,$FJ34*3+$FK34*5,SUMPRODUCT($FD34:$FI34,$Q$6:$V$6)))+$DX34*5</f>
        <v/>
      </c>
      <c r="GA34" s="155">
        <f>MAX(0,18-SUMPRODUCT($FD34:$FI34,$Q$7:$V$7)+MIN(12,$FJ34*3+$FK34*6,SUMPRODUCT($FD34:$FI34,$Q$7:$V$7)))+$DX34*6</f>
        <v/>
      </c>
      <c r="GB34" s="155">
        <f>MAX(0,21-SUMPRODUCT($FD34:$FI34,$Q$8:$V$8)+MIN(14,$FJ34*4+$FK34*7,SUMPRODUCT($FD34:$FI34,$Q$8:$V$8)))+$DX34*7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peça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Amedrontado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IFERROR(VLOOKUP($EC35,$BC$2:$BK$84,4,FALSE),0)</f>
        <v/>
      </c>
      <c r="EM35" s="155">
        <f>IFERROR(VLOOKUP($ED35,$BC$2:$BK$84,4,FALSE),0)</f>
        <v/>
      </c>
      <c r="EN35" s="155">
        <f>IFERROR(VLOOKUP($EE35,$BC$2:$BK$84,4,FALSE),0)</f>
        <v/>
      </c>
      <c r="EO35" s="155">
        <f>IFERROR(VLOOKUP($EF35,$BC$2:$BK$84,4,FALSE),0)</f>
        <v/>
      </c>
      <c r="EP35" s="155">
        <f>IF($EJ35=0,0,INDEX($AC$2:$AC$11,$EJ35))</f>
        <v/>
      </c>
      <c r="EQ35" s="155">
        <f>IFERROR(VLOOKUP($EC35,$BC$2:$BK$84,5,FALSE),0)</f>
        <v/>
      </c>
      <c r="ER35" s="155">
        <f>IFERROR(VLOOKUP($ED35,$BC$2:$BK$84,5,FALSE),0)</f>
        <v/>
      </c>
      <c r="ES35" s="155">
        <f>IFERROR(VLOOKUP($EE35,$BC$2:$BK$84,5,FALSE),0)</f>
        <v/>
      </c>
      <c r="ET35" s="155">
        <f>IFERROR(VLOOKUP($EF35,$BC$2:$BK$84,5,FALSE),0)</f>
        <v/>
      </c>
      <c r="EU35" s="155">
        <f>IFERROR(VLOOKUP($EC35,$BC$2:$BK$84,6,FALSE),0)+IFERROR(VLOOKUP($ED35,$BC$2:$BK$84,6,FALSE),0)+IFERROR(VLOOKUP($EE35,$BC$2:$BK$84,6,FALSE),0)+IFERROR(VLOOKUP($EF35,$BC$2:$BK$84,6,FALSE),0)</f>
        <v/>
      </c>
      <c r="EV35" s="155">
        <f>IFERROR(VLOOKUP($EC35,$BC$2:$BK$84,9,FALSE),0)+IFERROR(VLOOKUP($ED35,$BC$2:$BK$84,9,FALSE),0)+IFERROR(VLOOKUP($EE35,$BC$2:$BK$84,9,FALSE),0)+IFERROR(VLOOKUP($EF35,$BC$2:$BK$84,9,FALSE),0)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MAX(0,3-SUMPRODUCT($FD35:$FI35,$Q$2:$V$2)+MIN(2,$FJ35*1+$FK35*1,SUMPRODUCT($FD35:$FI35,$Q$2:$V$2)))+$DX35*1</f>
        <v/>
      </c>
      <c r="FW35" s="155">
        <f>MAX(0,6-SUMPRODUCT($FD35:$FI35,$Q$3:$V$3)+MIN(4,$FJ35*1+$FK35*2,SUMPRODUCT($FD35:$FI35,$Q$3:$V$3)))+$DX35*2</f>
        <v/>
      </c>
      <c r="FX35" s="155">
        <f>MAX(0,9-SUMPRODUCT($FD35:$FI35,$Q$4:$V$4)+MIN(6,$FJ35*2+$FK35*3,SUMPRODUCT($FD35:$FI35,$Q$4:$V$4)))+$DX35*3</f>
        <v/>
      </c>
      <c r="FY35" s="155">
        <f>MAX(0,12-SUMPRODUCT($FD35:$FI35,$Q$5:$V$5)+MIN(8,$FJ35*2+$FK35*4,SUMPRODUCT($FD35:$FI35,$Q$5:$V$5)))+$DX35*4</f>
        <v/>
      </c>
      <c r="FZ35" s="155">
        <f>MAX(0,15-SUMPRODUCT($FD35:$FI35,$Q$6:$V$6)+MIN(10,$FJ35*3+$FK35*5,SUMPRODUCT($FD35:$FI35,$Q$6:$V$6)))+$DX35*5</f>
        <v/>
      </c>
      <c r="GA35" s="155">
        <f>MAX(0,18-SUMPRODUCT($FD35:$FI35,$Q$7:$V$7)+MIN(12,$FJ35*3+$FK35*6,SUMPRODUCT($FD35:$FI35,$Q$7:$V$7)))+$DX35*6</f>
        <v/>
      </c>
      <c r="GB35" s="155">
        <f>MAX(0,21-SUMPRODUCT($FD35:$FI35,$Q$8:$V$8)+MIN(14,$FJ35*4+$FK35*7,SUMPRODUCT($FD35:$FI35,$Q$8:$V$8)))+$DX35*7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peça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Envenenado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IFERROR(VLOOKUP($EC36,$BC$2:$BK$84,4,FALSE),0)</f>
        <v/>
      </c>
      <c r="EM36" s="155">
        <f>IFERROR(VLOOKUP($ED36,$BC$2:$BK$84,4,FALSE),0)</f>
        <v/>
      </c>
      <c r="EN36" s="155">
        <f>IFERROR(VLOOKUP($EE36,$BC$2:$BK$84,4,FALSE),0)</f>
        <v/>
      </c>
      <c r="EO36" s="155">
        <f>IFERROR(VLOOKUP($EF36,$BC$2:$BK$84,4,FALSE),0)</f>
        <v/>
      </c>
      <c r="EP36" s="155">
        <f>IF($EJ36=0,0,INDEX($AC$2:$AC$11,$EJ36))</f>
        <v/>
      </c>
      <c r="EQ36" s="155">
        <f>IFERROR(VLOOKUP($EC36,$BC$2:$BK$84,5,FALSE),0)</f>
        <v/>
      </c>
      <c r="ER36" s="155">
        <f>IFERROR(VLOOKUP($ED36,$BC$2:$BK$84,5,FALSE),0)</f>
        <v/>
      </c>
      <c r="ES36" s="155">
        <f>IFERROR(VLOOKUP($EE36,$BC$2:$BK$84,5,FALSE),0)</f>
        <v/>
      </c>
      <c r="ET36" s="155">
        <f>IFERROR(VLOOKUP($EF36,$BC$2:$BK$84,5,FALSE),0)</f>
        <v/>
      </c>
      <c r="EU36" s="155">
        <f>IFERROR(VLOOKUP($EC36,$BC$2:$BK$84,6,FALSE),0)+IFERROR(VLOOKUP($ED36,$BC$2:$BK$84,6,FALSE),0)+IFERROR(VLOOKUP($EE36,$BC$2:$BK$84,6,FALSE),0)+IFERROR(VLOOKUP($EF36,$BC$2:$BK$84,6,FALSE),0)</f>
        <v/>
      </c>
      <c r="EV36" s="155">
        <f>IFERROR(VLOOKUP($EC36,$BC$2:$BK$84,9,FALSE),0)+IFERROR(VLOOKUP($ED36,$BC$2:$BK$84,9,FALSE),0)+IFERROR(VLOOKUP($EE36,$BC$2:$BK$84,9,FALSE),0)+IFERROR(VLOOKUP($EF36,$BC$2:$BK$84,9,FALSE),0)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MAX(0,3-SUMPRODUCT($FD36:$FI36,$Q$2:$V$2)+MIN(2,$FJ36*1+$FK36*1,SUMPRODUCT($FD36:$FI36,$Q$2:$V$2)))+$DX36*1</f>
        <v/>
      </c>
      <c r="FW36" s="155">
        <f>MAX(0,6-SUMPRODUCT($FD36:$FI36,$Q$3:$V$3)+MIN(4,$FJ36*1+$FK36*2,SUMPRODUCT($FD36:$FI36,$Q$3:$V$3)))+$DX36*2</f>
        <v/>
      </c>
      <c r="FX36" s="155">
        <f>MAX(0,9-SUMPRODUCT($FD36:$FI36,$Q$4:$V$4)+MIN(6,$FJ36*2+$FK36*3,SUMPRODUCT($FD36:$FI36,$Q$4:$V$4)))+$DX36*3</f>
        <v/>
      </c>
      <c r="FY36" s="155">
        <f>MAX(0,12-SUMPRODUCT($FD36:$FI36,$Q$5:$V$5)+MIN(8,$FJ36*2+$FK36*4,SUMPRODUCT($FD36:$FI36,$Q$5:$V$5)))+$DX36*4</f>
        <v/>
      </c>
      <c r="FZ36" s="155">
        <f>MAX(0,15-SUMPRODUCT($FD36:$FI36,$Q$6:$V$6)+MIN(10,$FJ36*3+$FK36*5,SUMPRODUCT($FD36:$FI36,$Q$6:$V$6)))+$DX36*5</f>
        <v/>
      </c>
      <c r="GA36" s="155">
        <f>MAX(0,18-SUMPRODUCT($FD36:$FI36,$Q$7:$V$7)+MIN(12,$FJ36*3+$FK36*6,SUMPRODUCT($FD36:$FI36,$Q$7:$V$7)))+$DX36*6</f>
        <v/>
      </c>
      <c r="GB36" s="155">
        <f>MAX(0,21-SUMPRODUCT($FD36:$FI36,$Q$8:$V$8)+MIN(14,$FJ36*4+$FK36*7,SUMPRODUCT($FD36:$FI36,$Q$8:$V$8)))+$DX36*7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peça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Atordoado</t>
        </is>
      </c>
      <c r="BD37" s="153" t="inlineStr">
        <is>
          <t>Controle</t>
        </is>
      </c>
      <c r="BE37" s="155" t="n">
        <v>3</v>
      </c>
      <c r="BF37" s="155">
        <f>$BE37+3*IFERROR(VLOOKUP($BD37,$I$2:$L$10,3,FALSE),0)</f>
        <v/>
      </c>
      <c r="BG37" s="155">
        <f>IFERROR(VLOOKUP($BD37,$I$2:$L$10,4,FALSE),0)</f>
        <v/>
      </c>
      <c r="BH37" s="155" t="n">
        <v>1</v>
      </c>
      <c r="BI37" s="155">
        <f>IF($BG37=1,"",$BC37)</f>
        <v/>
      </c>
      <c r="BJ37" s="155">
        <f>IF(AND($BE37=1,$BG37=0),$BC37,"")</f>
        <v/>
      </c>
      <c r="BK37" s="155" t="n">
        <v>1</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IFERROR(VLOOKUP($EC37,$BC$2:$BK$84,4,FALSE),0)</f>
        <v/>
      </c>
      <c r="EM37" s="155">
        <f>IFERROR(VLOOKUP($ED37,$BC$2:$BK$84,4,FALSE),0)</f>
        <v/>
      </c>
      <c r="EN37" s="155">
        <f>IFERROR(VLOOKUP($EE37,$BC$2:$BK$84,4,FALSE),0)</f>
        <v/>
      </c>
      <c r="EO37" s="155">
        <f>IFERROR(VLOOKUP($EF37,$BC$2:$BK$84,4,FALSE),0)</f>
        <v/>
      </c>
      <c r="EP37" s="155">
        <f>IF($EJ37=0,0,INDEX($AC$2:$AC$11,$EJ37))</f>
        <v/>
      </c>
      <c r="EQ37" s="155">
        <f>IFERROR(VLOOKUP($EC37,$BC$2:$BK$84,5,FALSE),0)</f>
        <v/>
      </c>
      <c r="ER37" s="155">
        <f>IFERROR(VLOOKUP($ED37,$BC$2:$BK$84,5,FALSE),0)</f>
        <v/>
      </c>
      <c r="ES37" s="155">
        <f>IFERROR(VLOOKUP($EE37,$BC$2:$BK$84,5,FALSE),0)</f>
        <v/>
      </c>
      <c r="ET37" s="155">
        <f>IFERROR(VLOOKUP($EF37,$BC$2:$BK$84,5,FALSE),0)</f>
        <v/>
      </c>
      <c r="EU37" s="155">
        <f>IFERROR(VLOOKUP($EC37,$BC$2:$BK$84,6,FALSE),0)+IFERROR(VLOOKUP($ED37,$BC$2:$BK$84,6,FALSE),0)+IFERROR(VLOOKUP($EE37,$BC$2:$BK$84,6,FALSE),0)+IFERROR(VLOOKUP($EF37,$BC$2:$BK$84,6,FALSE),0)</f>
        <v/>
      </c>
      <c r="EV37" s="155">
        <f>IFERROR(VLOOKUP($EC37,$BC$2:$BK$84,9,FALSE),0)+IFERROR(VLOOKUP($ED37,$BC$2:$BK$84,9,FALSE),0)+IFERROR(VLOOKUP($EE37,$BC$2:$BK$84,9,FALSE),0)+IFERROR(VLOOKUP($EF37,$BC$2:$BK$84,9,FALSE),0)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MAX(0,3-SUMPRODUCT($FD37:$FI37,$Q$2:$V$2)+MIN(2,$FJ37*1+$FK37*1,SUMPRODUCT($FD37:$FI37,$Q$2:$V$2)))+$DX37*1</f>
        <v/>
      </c>
      <c r="FW37" s="155">
        <f>MAX(0,6-SUMPRODUCT($FD37:$FI37,$Q$3:$V$3)+MIN(4,$FJ37*1+$FK37*2,SUMPRODUCT($FD37:$FI37,$Q$3:$V$3)))+$DX37*2</f>
        <v/>
      </c>
      <c r="FX37" s="155">
        <f>MAX(0,9-SUMPRODUCT($FD37:$FI37,$Q$4:$V$4)+MIN(6,$FJ37*2+$FK37*3,SUMPRODUCT($FD37:$FI37,$Q$4:$V$4)))+$DX37*3</f>
        <v/>
      </c>
      <c r="FY37" s="155">
        <f>MAX(0,12-SUMPRODUCT($FD37:$FI37,$Q$5:$V$5)+MIN(8,$FJ37*2+$FK37*4,SUMPRODUCT($FD37:$FI37,$Q$5:$V$5)))+$DX37*4</f>
        <v/>
      </c>
      <c r="FZ37" s="155">
        <f>MAX(0,15-SUMPRODUCT($FD37:$FI37,$Q$6:$V$6)+MIN(10,$FJ37*3+$FK37*5,SUMPRODUCT($FD37:$FI37,$Q$6:$V$6)))+$DX37*5</f>
        <v/>
      </c>
      <c r="GA37" s="155">
        <f>MAX(0,18-SUMPRODUCT($FD37:$FI37,$Q$7:$V$7)+MIN(12,$FJ37*3+$FK37*6,SUMPRODUCT($FD37:$FI37,$Q$7:$V$7)))+$DX37*6</f>
        <v/>
      </c>
      <c r="GB37" s="155">
        <f>MAX(0,21-SUMPRODUCT($FD37:$FI37,$Q$8:$V$8)+MIN(14,$FJ37*4+$FK37*7,SUMPRODUCT($FD37:$FI37,$Q$8:$V$8)))+$DX37*7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peça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Terreno</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0</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IFERROR(VLOOKUP($EC38,$BC$2:$BK$84,4,FALSE),0)</f>
        <v/>
      </c>
      <c r="EM38" s="155">
        <f>IFERROR(VLOOKUP($ED38,$BC$2:$BK$84,4,FALSE),0)</f>
        <v/>
      </c>
      <c r="EN38" s="155">
        <f>IFERROR(VLOOKUP($EE38,$BC$2:$BK$84,4,FALSE),0)</f>
        <v/>
      </c>
      <c r="EO38" s="155">
        <f>IFERROR(VLOOKUP($EF38,$BC$2:$BK$84,4,FALSE),0)</f>
        <v/>
      </c>
      <c r="EP38" s="155">
        <f>IF($EJ38=0,0,INDEX($AC$2:$AC$11,$EJ38))</f>
        <v/>
      </c>
      <c r="EQ38" s="155">
        <f>IFERROR(VLOOKUP($EC38,$BC$2:$BK$84,5,FALSE),0)</f>
        <v/>
      </c>
      <c r="ER38" s="155">
        <f>IFERROR(VLOOKUP($ED38,$BC$2:$BK$84,5,FALSE),0)</f>
        <v/>
      </c>
      <c r="ES38" s="155">
        <f>IFERROR(VLOOKUP($EE38,$BC$2:$BK$84,5,FALSE),0)</f>
        <v/>
      </c>
      <c r="ET38" s="155">
        <f>IFERROR(VLOOKUP($EF38,$BC$2:$BK$84,5,FALSE),0)</f>
        <v/>
      </c>
      <c r="EU38" s="155">
        <f>IFERROR(VLOOKUP($EC38,$BC$2:$BK$84,6,FALSE),0)+IFERROR(VLOOKUP($ED38,$BC$2:$BK$84,6,FALSE),0)+IFERROR(VLOOKUP($EE38,$BC$2:$BK$84,6,FALSE),0)+IFERROR(VLOOKUP($EF38,$BC$2:$BK$84,6,FALSE),0)</f>
        <v/>
      </c>
      <c r="EV38" s="155">
        <f>IFERROR(VLOOKUP($EC38,$BC$2:$BK$84,9,FALSE),0)+IFERROR(VLOOKUP($ED38,$BC$2:$BK$84,9,FALSE),0)+IFERROR(VLOOKUP($EE38,$BC$2:$BK$84,9,FALSE),0)+IFERROR(VLOOKUP($EF38,$BC$2:$BK$84,9,FALSE),0)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MAX(0,3-SUMPRODUCT($FD38:$FI38,$Q$2:$V$2)+MIN(2,$FJ38*1+$FK38*1,SUMPRODUCT($FD38:$FI38,$Q$2:$V$2)))+$DX38*1</f>
        <v/>
      </c>
      <c r="FW38" s="155">
        <f>MAX(0,6-SUMPRODUCT($FD38:$FI38,$Q$3:$V$3)+MIN(4,$FJ38*1+$FK38*2,SUMPRODUCT($FD38:$FI38,$Q$3:$V$3)))+$DX38*2</f>
        <v/>
      </c>
      <c r="FX38" s="155">
        <f>MAX(0,9-SUMPRODUCT($FD38:$FI38,$Q$4:$V$4)+MIN(6,$FJ38*2+$FK38*3,SUMPRODUCT($FD38:$FI38,$Q$4:$V$4)))+$DX38*3</f>
        <v/>
      </c>
      <c r="FY38" s="155">
        <f>MAX(0,12-SUMPRODUCT($FD38:$FI38,$Q$5:$V$5)+MIN(8,$FJ38*2+$FK38*4,SUMPRODUCT($FD38:$FI38,$Q$5:$V$5)))+$DX38*4</f>
        <v/>
      </c>
      <c r="FZ38" s="155">
        <f>MAX(0,15-SUMPRODUCT($FD38:$FI38,$Q$6:$V$6)+MIN(10,$FJ38*3+$FK38*5,SUMPRODUCT($FD38:$FI38,$Q$6:$V$6)))+$DX38*5</f>
        <v/>
      </c>
      <c r="GA38" s="155">
        <f>MAX(0,18-SUMPRODUCT($FD38:$FI38,$Q$7:$V$7)+MIN(12,$FJ38*3+$FK38*6,SUMPRODUCT($FD38:$FI38,$Q$7:$V$7)))+$DX38*6</f>
        <v/>
      </c>
      <c r="GB38" s="155">
        <f>MAX(0,21-SUMPRODUCT($FD38:$FI38,$Q$8:$V$8)+MIN(14,$FJ38*4+$FK38*7,SUMPRODUCT($FD38:$FI38,$Q$8:$V$8)))+$DX38*7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peça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AMALDIÇOADA'!$J$346,$BC$2:$BK$84,4,FALSE),0)=0,0,INDEX($Q$2:$V$8,$HK$4,IFERROR(VLOOKUP('FICHA AMALDIÇOADA'!$J$346,$BC$2:$BK$84,4,FALSE),0)))+IF(IFERROR(VLOOKUP('FICHA AMALDIÇOADA'!$L$346,$BC$2:$BK$84,4,FALSE),0)=0,0,INDEX($Q$2:$V$8,$HK$4,IFERROR(VLOOKUP('FICHA AMALDIÇOADA'!$L$346,$BC$2:$BK$84,4,FALSE),0)))+IF(IFERROR(VLOOKUP('FICHA AMALDIÇOADA'!$P$346,$BC$2:$BK$84,4,FALSE),0)=0,0,INDEX($Q$2:$V$8,$HK$4,IFERROR(VLOOKUP('FICHA AMALDIÇOADA'!$P$346,$BC$2:$BK$84,4,FALSE),0)))+IF(IFERROR(VLOOKUP('FICHA AMALDIÇOADA'!$R$346,$BC$2:$BK$84,4,FALSE),0)=0,0,INDEX($Q$2:$V$8,$HK$4,IFERROR(VLOOKUP('FICHA AMALDIÇOADA'!$R$346,$BC$2:$BK$84,4,FALSE),0)))</f>
        <v/>
      </c>
      <c r="KS38" s="153" t="inlineStr">
        <is>
          <t>L343</t>
        </is>
      </c>
      <c r="KT38" s="155">
        <f>IF(DADOS_AM!$HK$36=0,"Nível 17",DADOS_AM!$HK$36&amp;"d8 = "&amp;FLOOR(DADOS_AM!$HK$36*4.5,1))</f>
        <v/>
      </c>
    </row>
    <row r="39">
      <c r="BC39" s="153" t="inlineStr">
        <is>
          <t>Cerca</t>
        </is>
      </c>
      <c r="BD39" s="153" t="inlineStr">
        <is>
          <t>Controle</t>
        </is>
      </c>
      <c r="BE39" s="155" t="n">
        <v>1</v>
      </c>
      <c r="BF39" s="155">
        <f>$BE39+3*IFERROR(VLOOKUP($BD39,$I$2:$L$10,3,FALSE),0)</f>
        <v/>
      </c>
      <c r="BG39" s="155">
        <f>IFERROR(VLOOKUP($BD39,$I$2:$L$10,4,FALSE),0)</f>
        <v/>
      </c>
      <c r="BH39" s="155" t="n">
        <v>1</v>
      </c>
      <c r="BI39" s="155">
        <f>IF($BG39=1,"",$BC39)</f>
        <v/>
      </c>
      <c r="BJ39" s="155">
        <f>IF(AND($BE39=1,$BG39=0),$BC39,"")</f>
        <v/>
      </c>
      <c r="BK39" s="155" t="n">
        <v>1</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IFERROR(VLOOKUP($EC39,$BC$2:$BK$84,4,FALSE),0)</f>
        <v/>
      </c>
      <c r="EM39" s="155">
        <f>IFERROR(VLOOKUP($ED39,$BC$2:$BK$84,4,FALSE),0)</f>
        <v/>
      </c>
      <c r="EN39" s="155">
        <f>IFERROR(VLOOKUP($EE39,$BC$2:$BK$84,4,FALSE),0)</f>
        <v/>
      </c>
      <c r="EO39" s="155">
        <f>IFERROR(VLOOKUP($EF39,$BC$2:$BK$84,4,FALSE),0)</f>
        <v/>
      </c>
      <c r="EP39" s="155">
        <f>IF($EJ39=0,0,INDEX($AC$2:$AC$11,$EJ39))</f>
        <v/>
      </c>
      <c r="EQ39" s="155">
        <f>IFERROR(VLOOKUP($EC39,$BC$2:$BK$84,5,FALSE),0)</f>
        <v/>
      </c>
      <c r="ER39" s="155">
        <f>IFERROR(VLOOKUP($ED39,$BC$2:$BK$84,5,FALSE),0)</f>
        <v/>
      </c>
      <c r="ES39" s="155">
        <f>IFERROR(VLOOKUP($EE39,$BC$2:$BK$84,5,FALSE),0)</f>
        <v/>
      </c>
      <c r="ET39" s="155">
        <f>IFERROR(VLOOKUP($EF39,$BC$2:$BK$84,5,FALSE),0)</f>
        <v/>
      </c>
      <c r="EU39" s="155">
        <f>IFERROR(VLOOKUP($EC39,$BC$2:$BK$84,6,FALSE),0)+IFERROR(VLOOKUP($ED39,$BC$2:$BK$84,6,FALSE),0)+IFERROR(VLOOKUP($EE39,$BC$2:$BK$84,6,FALSE),0)+IFERROR(VLOOKUP($EF39,$BC$2:$BK$84,6,FALSE),0)</f>
        <v/>
      </c>
      <c r="EV39" s="155">
        <f>IFERROR(VLOOKUP($EC39,$BC$2:$BK$84,9,FALSE),0)+IFERROR(VLOOKUP($ED39,$BC$2:$BK$84,9,FALSE),0)+IFERROR(VLOOKUP($EE39,$BC$2:$BK$84,9,FALSE),0)+IFERROR(VLOOKUP($EF39,$BC$2:$BK$84,9,FALSE),0)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MAX(0,3-SUMPRODUCT($FD39:$FI39,$Q$2:$V$2)+MIN(2,$FJ39*1+$FK39*1,SUMPRODUCT($FD39:$FI39,$Q$2:$V$2)))+$DX39*1</f>
        <v/>
      </c>
      <c r="FW39" s="155">
        <f>MAX(0,6-SUMPRODUCT($FD39:$FI39,$Q$3:$V$3)+MIN(4,$FJ39*1+$FK39*2,SUMPRODUCT($FD39:$FI39,$Q$3:$V$3)))+$DX39*2</f>
        <v/>
      </c>
      <c r="FX39" s="155">
        <f>MAX(0,9-SUMPRODUCT($FD39:$FI39,$Q$4:$V$4)+MIN(6,$FJ39*2+$FK39*3,SUMPRODUCT($FD39:$FI39,$Q$4:$V$4)))+$DX39*3</f>
        <v/>
      </c>
      <c r="FY39" s="155">
        <f>MAX(0,12-SUMPRODUCT($FD39:$FI39,$Q$5:$V$5)+MIN(8,$FJ39*2+$FK39*4,SUMPRODUCT($FD39:$FI39,$Q$5:$V$5)))+$DX39*4</f>
        <v/>
      </c>
      <c r="FZ39" s="155">
        <f>MAX(0,15-SUMPRODUCT($FD39:$FI39,$Q$6:$V$6)+MIN(10,$FJ39*3+$FK39*5,SUMPRODUCT($FD39:$FI39,$Q$6:$V$6)))+$DX39*5</f>
        <v/>
      </c>
      <c r="GA39" s="155">
        <f>MAX(0,18-SUMPRODUCT($FD39:$FI39,$Q$7:$V$7)+MIN(12,$FJ39*3+$FK39*6,SUMPRODUCT($FD39:$FI39,$Q$7:$V$7)))+$DX39*6</f>
        <v/>
      </c>
      <c r="GB39" s="155">
        <f>MAX(0,21-SUMPRODUCT($FD39:$FI39,$Q$8:$V$8)+MIN(14,$FJ39*4+$FK39*7,SUMPRODUCT($FD39:$FI39,$Q$8:$V$8)))+$DX39*7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peça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AMALDIÇOADA'!$J$346,$BC$2:$BK$84,5,FALSE),0)+IFERROR(VLOOKUP('FICHA AMALDIÇOADA'!$L$346,$BC$2:$BK$84,5,FALSE),0)+IFERROR(VLOOKUP('FICHA AMALDIÇOADA'!$P$346,$BC$2:$BK$84,5,FALSE),0)+IFERROR(VLOOKUP('FICHA AMALDIÇOADA'!$R$346,$BC$2:$BK$84,5,FALSE),0)</f>
        <v/>
      </c>
      <c r="KS39" s="153" t="inlineStr">
        <is>
          <t>P343</t>
        </is>
      </c>
      <c r="KT39" s="155">
        <f>IF(DADOS_AM!$HK$36=0,"—",5*DADOS_AM!$HK$4)</f>
        <v/>
      </c>
    </row>
    <row r="40">
      <c r="BC40" s="153" t="inlineStr">
        <is>
          <t>Desarma o Feitiço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IFERROR(VLOOKUP($EC40,$BC$2:$BK$84,4,FALSE),0)</f>
        <v/>
      </c>
      <c r="EM40" s="155">
        <f>IFERROR(VLOOKUP($ED40,$BC$2:$BK$84,4,FALSE),0)</f>
        <v/>
      </c>
      <c r="EN40" s="155">
        <f>IFERROR(VLOOKUP($EE40,$BC$2:$BK$84,4,FALSE),0)</f>
        <v/>
      </c>
      <c r="EO40" s="155">
        <f>IFERROR(VLOOKUP($EF40,$BC$2:$BK$84,4,FALSE),0)</f>
        <v/>
      </c>
      <c r="EP40" s="155">
        <f>IF($EJ40=0,0,INDEX($AC$2:$AC$11,$EJ40))</f>
        <v/>
      </c>
      <c r="EQ40" s="155">
        <f>IFERROR(VLOOKUP($EC40,$BC$2:$BK$84,5,FALSE),0)</f>
        <v/>
      </c>
      <c r="ER40" s="155">
        <f>IFERROR(VLOOKUP($ED40,$BC$2:$BK$84,5,FALSE),0)</f>
        <v/>
      </c>
      <c r="ES40" s="155">
        <f>IFERROR(VLOOKUP($EE40,$BC$2:$BK$84,5,FALSE),0)</f>
        <v/>
      </c>
      <c r="ET40" s="155">
        <f>IFERROR(VLOOKUP($EF40,$BC$2:$BK$84,5,FALSE),0)</f>
        <v/>
      </c>
      <c r="EU40" s="155">
        <f>IFERROR(VLOOKUP($EC40,$BC$2:$BK$84,6,FALSE),0)+IFERROR(VLOOKUP($ED40,$BC$2:$BK$84,6,FALSE),0)+IFERROR(VLOOKUP($EE40,$BC$2:$BK$84,6,FALSE),0)+IFERROR(VLOOKUP($EF40,$BC$2:$BK$84,6,FALSE),0)</f>
        <v/>
      </c>
      <c r="EV40" s="155">
        <f>IFERROR(VLOOKUP($EC40,$BC$2:$BK$84,9,FALSE),0)+IFERROR(VLOOKUP($ED40,$BC$2:$BK$84,9,FALSE),0)+IFERROR(VLOOKUP($EE40,$BC$2:$BK$84,9,FALSE),0)+IFERROR(VLOOKUP($EF40,$BC$2:$BK$84,9,FALSE),0)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MAX(0,3-SUMPRODUCT($FD40:$FI40,$Q$2:$V$2)+MIN(2,$FJ40*1+$FK40*1,SUMPRODUCT($FD40:$FI40,$Q$2:$V$2)))+$DX40*1</f>
        <v/>
      </c>
      <c r="FW40" s="155">
        <f>MAX(0,6-SUMPRODUCT($FD40:$FI40,$Q$3:$V$3)+MIN(4,$FJ40*1+$FK40*2,SUMPRODUCT($FD40:$FI40,$Q$3:$V$3)))+$DX40*2</f>
        <v/>
      </c>
      <c r="FX40" s="155">
        <f>MAX(0,9-SUMPRODUCT($FD40:$FI40,$Q$4:$V$4)+MIN(6,$FJ40*2+$FK40*3,SUMPRODUCT($FD40:$FI40,$Q$4:$V$4)))+$DX40*3</f>
        <v/>
      </c>
      <c r="FY40" s="155">
        <f>MAX(0,12-SUMPRODUCT($FD40:$FI40,$Q$5:$V$5)+MIN(8,$FJ40*2+$FK40*4,SUMPRODUCT($FD40:$FI40,$Q$5:$V$5)))+$DX40*4</f>
        <v/>
      </c>
      <c r="FZ40" s="155">
        <f>MAX(0,15-SUMPRODUCT($FD40:$FI40,$Q$6:$V$6)+MIN(10,$FJ40*3+$FK40*5,SUMPRODUCT($FD40:$FI40,$Q$6:$V$6)))+$DX40*5</f>
        <v/>
      </c>
      <c r="GA40" s="155">
        <f>MAX(0,18-SUMPRODUCT($FD40:$FI40,$Q$7:$V$7)+MIN(12,$FJ40*3+$FK40*6,SUMPRODUCT($FD40:$FI40,$Q$7:$V$7)))+$DX40*6</f>
        <v/>
      </c>
      <c r="GB40" s="155">
        <f>MAX(0,21-SUMPRODUCT($FD40:$FI40,$Q$8:$V$8)+MIN(14,$FJ40*4+$FK40*7,SUMPRODUCT($FD40:$FI40,$Q$8:$V$8)))+$DX40*7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peça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Anteparo</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0</v>
      </c>
      <c r="HJ41" s="153" t="inlineStr">
        <is>
          <t>equipamento</t>
        </is>
      </c>
      <c r="HK41" s="155">
        <f>'FICHA AMALDIÇOADA'!$J$16&amp;""</f>
        <v/>
      </c>
      <c r="KS41" s="153" t="inlineStr">
        <is>
          <t>D354</t>
        </is>
      </c>
      <c r="KT41" s="155">
        <f>IF(DADOS_AM!$A$2=1,"EXPANSÃO DE DOMÍNIO","EXPANSÃO DE DOMÍNIO · ESTA ROTA NÃO TEM")</f>
        <v/>
      </c>
    </row>
    <row r="42">
      <c r="BC42" s="153" t="inlineStr">
        <is>
          <t>Prende</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1</v>
      </c>
      <c r="HJ42" s="153" t="inlineStr">
        <is>
          <t>arma</t>
        </is>
      </c>
      <c r="HK42" s="155">
        <f>IF(AND($A$2&gt;=3,'FICHA AMALDIÇOADA'!$J$16&amp;""="Três grupos de arma"),1,0)</f>
        <v/>
      </c>
      <c r="KS42" s="153" t="inlineStr">
        <is>
          <t>F357</t>
        </is>
      </c>
      <c r="KT42" s="155">
        <f>IF(OR(DADOS_AM!$A$2&lt;&gt;1,DADOS_AM!$HK$35=""),"—",DADOS_AM!$HK$19&amp;" espaços")</f>
        <v/>
      </c>
    </row>
    <row r="43">
      <c r="BC43" s="153" t="inlineStr">
        <is>
          <t>Puxa</t>
        </is>
      </c>
      <c r="BD43" s="153" t="inlineStr">
        <is>
          <t>Controle</t>
        </is>
      </c>
      <c r="BE43" s="155" t="n">
        <v>2</v>
      </c>
      <c r="BF43" s="155">
        <f>$BE43+3*IFERROR(VLOOKUP($BD43,$I$2:$L$10,3,FALSE),0)</f>
        <v/>
      </c>
      <c r="BG43" s="155">
        <f>IFERROR(VLOOKUP($BD43,$I$2:$L$10,4,FALSE),0)</f>
        <v/>
      </c>
      <c r="BH43" s="155" t="n">
        <v>1</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Impulso</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Trava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Abre Ferida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Sobrecarga</t>
        </is>
      </c>
      <c r="BD47" s="153" t="inlineStr">
        <is>
          <t>Auxiliares</t>
        </is>
      </c>
      <c r="BE47" s="155" t="n">
        <v>1</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Firmeza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Guarda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Pressa</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Enfraquece</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Ecoa</t>
        </is>
      </c>
      <c r="BD52" s="153" t="inlineStr">
        <is>
          <t>Auxiliares</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Queima</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Acúmulo</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Remate</t>
        </is>
      </c>
      <c r="BD55" s="153" t="inlineStr">
        <is>
          <t>Castigo</t>
        </is>
      </c>
      <c r="BE55" s="155" t="n">
        <v>2</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Estilhaço</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Quebra Coisa</t>
        </is>
      </c>
      <c r="BD57" s="153" t="inlineStr">
        <is>
          <t>Castigo</t>
        </is>
      </c>
      <c r="BE57" s="155" t="n">
        <v>1</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Rasga Escudo</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Sem Cura</t>
        </is>
      </c>
      <c r="BD59" s="153" t="inlineStr">
        <is>
          <t>Castigo</t>
        </is>
      </c>
      <c r="BE59" s="155" t="n">
        <v>2</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Rápido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Reação</t>
        </is>
      </c>
      <c r="BD61" s="153" t="inlineStr">
        <is>
          <t>Tempo</t>
        </is>
      </c>
      <c r="BE61" s="155" t="n">
        <v>3</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Armado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Silencioso</t>
        </is>
      </c>
      <c r="BD63" s="153" t="inlineStr">
        <is>
          <t>Tempo</t>
        </is>
      </c>
      <c r="BE63" s="155" t="n">
        <v>1</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IF(DADOS_AM!$HK$26&gt;DADOS_AM!$HK$27,"⚠ ","")&amp;DADOS_AM!$HK$26&amp;" de "&amp;DADOS_AM!$HK$27</f>
        <v/>
      </c>
    </row>
    <row r="64">
      <c r="BC64" s="153" t="inlineStr">
        <is>
          <t>Adianta</t>
        </is>
      </c>
      <c r="BD64" s="153" t="inlineStr">
        <is>
          <t>Tempo</t>
        </is>
      </c>
      <c r="BE64" s="155" t="n">
        <v>2</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Segura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Concentrada</t>
        </is>
      </c>
      <c r="BD66" s="153" t="inlineStr">
        <is>
          <t>Tempo</t>
        </is>
      </c>
      <c r="BE66" s="155" t="n">
        <v>1</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Duradoura</t>
        </is>
      </c>
      <c r="BD67" s="153" t="inlineStr">
        <is>
          <t>Tempo</t>
        </is>
      </c>
      <c r="BE67" s="155" t="n">
        <v>2</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Marca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Alvo de Caça</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Rastro</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Isca</t>
        </is>
      </c>
      <c r="BD71" s="153" t="inlineStr">
        <is>
          <t>Marca</t>
        </is>
      </c>
      <c r="BE71" s="155" t="n">
        <v>1</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Sugar</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Cobrança</t>
        </is>
      </c>
      <c r="BD73" s="153" t="inlineStr">
        <is>
          <t>Marca</t>
        </is>
      </c>
      <c r="BE73" s="155" t="n">
        <v>2</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Identificar Feitiço</t>
        </is>
      </c>
      <c r="BD74" s="153" t="inlineStr">
        <is>
          <t>Marca</t>
        </is>
      </c>
      <c r="BE74" s="155" t="n">
        <v>1</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t>
        </is>
      </c>
      <c r="BD75" s="153" t="inlineStr">
        <is>
          <t>Amparo</t>
        </is>
      </c>
      <c r="BE75" s="155" t="n">
        <v>2</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Limpa Fundo</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Levanta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Remenda</t>
        </is>
      </c>
      <c r="BD78" s="153" t="inlineStr">
        <is>
          <t>Amparo</t>
        </is>
      </c>
      <c r="BE78" s="155" t="n">
        <v>3</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Divide</t>
        </is>
      </c>
      <c r="BD79" s="153" t="inlineStr">
        <is>
          <t>Amparo</t>
        </is>
      </c>
      <c r="BE79" s="155" t="n">
        <v>2</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Junto</t>
        </is>
      </c>
      <c r="BD80" s="153" t="inlineStr">
        <is>
          <t>Amparo</t>
        </is>
      </c>
      <c r="BE80" s="155" t="n">
        <v>1</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Reserva</t>
        </is>
      </c>
      <c r="BD81" s="153" t="inlineStr">
        <is>
          <t>Amparo</t>
        </is>
      </c>
      <c r="BE81" s="155" t="n">
        <v>2</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(Leve)</t>
        </is>
      </c>
      <c r="BD82" s="153" t="inlineStr"/>
      <c r="BE82" s="155" t="n">
        <v>1</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(Média)</t>
        </is>
      </c>
      <c r="BD83" s="153" t="inlineStr"/>
      <c r="BE83" s="155" t="n">
        <v>2</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BC84" s="153" t="inlineStr">
        <is>
          <t>Efeito Próprio (Pesada)</t>
        </is>
      </c>
      <c r="BD84" s="153" t="inlineStr"/>
      <c r="BE84" s="155" t="n">
        <v>3</v>
      </c>
      <c r="BF84" s="155">
        <f>$BE84+3*IFERROR(VLOOKUP($BD84,$I$2:$L$10,3,FALSE),0)</f>
        <v/>
      </c>
      <c r="BG84" s="155">
        <f>IFERROR(VLOOKUP($BD84,$I$2:$L$10,4,FALSE),0)</f>
        <v/>
      </c>
      <c r="BH84" s="155" t="n">
        <v>0</v>
      </c>
      <c r="BI84" s="155">
        <f>IF($BG84=1,"",$BC84)</f>
        <v/>
      </c>
      <c r="BJ84" s="155">
        <f>IF(AND($BE84=1,$BG84=0),$BC84,"")</f>
        <v/>
      </c>
      <c r="BK84" s="155" t="n">
        <v>0</v>
      </c>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IF($EG2&gt;$HA2,"⚠ ","")&amp;"EQUIPAMENTO · "&amp;$EG2&amp;" DE "&amp;$HA2&amp;" DE VOLUME"&amp;IF($EG2&gt;$HA2," · PASSOU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"&amp;$FN2&amp;"d8"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IFERROR(VLOOKUP($MV2,$AV$2:$BA$84,2,FALSE),"")</f>
        <v/>
      </c>
      <c r="NJ2" s="155">
        <f>IFERROR(VLOOKUP($MW2,$AV$2:$BA$84,2,FALSE),"")</f>
        <v/>
      </c>
      <c r="NK2" s="155">
        <f>IFERROR(VLOOKUP($MX2,$AV$2:$BA$84,2,FALSE),"")</f>
        <v/>
      </c>
      <c r="NL2" s="155">
        <f>IFERROR(VLOOKUP($MY2,$AV$2:$BA$84,2,FALSE),"")</f>
        <v/>
      </c>
      <c r="NM2" s="155">
        <f>IFERROR(VLOOKUP($MV2,$AV$2:$BA$84,3,FALSE),0)</f>
        <v/>
      </c>
      <c r="NN2" s="155">
        <f>IFERROR(VLOOKUP($MW2,$AV$2:$BA$84,3,FALSE),0)</f>
        <v/>
      </c>
      <c r="NO2" s="155">
        <f>IFERROR(VLOOKUP($MX2,$AV$2:$BA$84,3,FALSE),0)</f>
        <v/>
      </c>
      <c r="NP2" s="155">
        <f>IFERROR(VLOOKUP($MY2,$AV$2:$BA$84,3,FALSE),0)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IFERROR(VLOOKUP($MV2,$AV$2:$BA$84,4,FALSE),0)+IFERROR(VLOOKUP($MW2,$AV$2:$BA$84,4,FALSE),0)+IFERROR(VLOOKUP($MX2,$AV$2:$BA$84,4,FALSE),0)+IFERROR(VLOOKUP($MY2,$AV$2:$BA$84,4,FALSE),0)</f>
        <v/>
      </c>
      <c r="OB2" s="155">
        <f>IFERROR(VLOOKUP($MV2,$AV$2:$BA$84,6,FALSE),0)+IFERROR(VLOOKUP($MW2,$AV$2:$BA$84,6,FALSE),0)+IFERROR(VLOOKUP($MX2,$AV$2:$BA$84,6,FALSE),0)+IFERROR(VLOOKUP($MY2,$AV$2:$BA$84,6,FALSE),0)</f>
        <v/>
      </c>
      <c r="OC2" s="155">
        <f>TEXTJOIN(", ",TRUE,IF(IFERROR(VLOOKUP($MV2,$AV$2:$BA$84,5,FALSE),0)=1,$MV2,""),IF(IFERROR(VLOOKUP($MW2,$AV$2:$BA$84,5,FALSE),0)=1,$MW2,""),IF(IFERROR(VLOOKUP($MX2,$AV$2:$BA$84,5,FALSE),0)=1,$MX2,""),IF(IFERROR(VLOOKUP($MY2,$AV$2:$BA$84,5,FALSE),0)=1,$MY2,""))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f>
        <v/>
      </c>
      <c r="OY2" s="155">
        <f>$OW2-$OX2</f>
        <v/>
      </c>
      <c r="OZ2" s="155">
        <f>IF($MQ2=0,0,INDEX($P$2:$P$8,MAX(1,$MQ2)))</f>
        <v/>
      </c>
      <c r="PA2" s="155">
        <f>$OZ2-$OU2+$OX2</f>
        <v/>
      </c>
      <c r="PB2" s="155">
        <f>IF($MQ2=0,MAX(0,$NE2-IF($OS2&gt;0,1,0)),MAX(0,$PA2))</f>
        <v/>
      </c>
      <c r="PC2" s="155">
        <f>IF($MQ2=0,0,(IF(COUNTIF($MV2:$MY2,"Salto")&gt;0,1,0)+IF(COUNTIF($MV2:$MY2,"Queima")&gt;0,1,0)+IF(COUNTIF($MV2:$MY2,"Estilhaço")&gt;0,1,0))*FLOOR($PB2/2,1))</f>
        <v/>
      </c>
      <c r="PD2" s="155">
        <f>MAX(0,2-SUMPRODUCT($OK2:$OP2,$I$2:$N$2)+MIN(2,$OQ2*1+$OR2*1,SUMPRODUCT($OK2:$OP2,$I$2:$N$2)))</f>
        <v/>
      </c>
      <c r="PE2" s="155">
        <f>MAX(0,4-SUMPRODUCT($OK2:$OP2,$I$3:$N$3)+MIN(4,$OQ2*1+$OR2*2,SUMPRODUCT($OK2:$OP2,$I$3:$N$3)))</f>
        <v/>
      </c>
      <c r="PF2" s="155">
        <f>MAX(0,6-SUMPRODUCT($OK2:$OP2,$I$4:$N$4)+MIN(6,$OQ2*2+$OR2*3,SUMPRODUCT($OK2:$OP2,$I$4:$N$4)))</f>
        <v/>
      </c>
      <c r="PG2" s="155">
        <f>MAX(0,9-SUMPRODUCT($OK2:$OP2,$I$5:$N$5)+MIN(8,$OQ2*2+$OR2*4,SUMPRODUCT($OK2:$OP2,$I$5:$N$5)))</f>
        <v/>
      </c>
      <c r="PH2" s="155">
        <f>MAX(0,11-SUMPRODUCT($OK2:$OP2,$I$6:$N$6)+MIN(10,$OQ2*3+$OR2*5,SUMPRODUCT($OK2:$OP2,$I$6:$N$6)))</f>
        <v/>
      </c>
      <c r="PI2" s="155">
        <f>MAX(0,13-SUMPRODUCT($OK2:$OP2,$I$7:$N$7)+MIN(12,$OQ2*3+$OR2*6,SUMPRODUCT($OK2:$OP2,$I$7:$N$7)))</f>
        <v/>
      </c>
      <c r="PJ2" s="155">
        <f>MAX(0,16-SUMPRODUCT($OK2:$OP2,$I$8:$N$8)+MIN(14,$OQ2*4+$OR2*7,SUMPRODUCT($OK2:$OP2,$I$8:$N$8)))</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peça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IF($EG3&gt;$HA3,"⚠ ","")&amp;"EQUIPAMENTO · "&amp;$EG3&amp;" DE "&amp;$HA3&amp;" DE VOLUME"&amp;IF($EG3&gt;$HA3," · PASSOU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"&amp;$FN3&amp;"d8"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IFERROR(VLOOKUP($MV3,$AV$2:$BA$84,2,FALSE),"")</f>
        <v/>
      </c>
      <c r="NJ3" s="155">
        <f>IFERROR(VLOOKUP($MW3,$AV$2:$BA$84,2,FALSE),"")</f>
        <v/>
      </c>
      <c r="NK3" s="155">
        <f>IFERROR(VLOOKUP($MX3,$AV$2:$BA$84,2,FALSE),"")</f>
        <v/>
      </c>
      <c r="NL3" s="155">
        <f>IFERROR(VLOOKUP($MY3,$AV$2:$BA$84,2,FALSE),"")</f>
        <v/>
      </c>
      <c r="NM3" s="155">
        <f>IFERROR(VLOOKUP($MV3,$AV$2:$BA$84,3,FALSE),0)</f>
        <v/>
      </c>
      <c r="NN3" s="155">
        <f>IFERROR(VLOOKUP($MW3,$AV$2:$BA$84,3,FALSE),0)</f>
        <v/>
      </c>
      <c r="NO3" s="155">
        <f>IFERROR(VLOOKUP($MX3,$AV$2:$BA$84,3,FALSE),0)</f>
        <v/>
      </c>
      <c r="NP3" s="155">
        <f>IFERROR(VLOOKUP($MY3,$AV$2:$BA$84,3,FALSE),0)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IFERROR(VLOOKUP($MV3,$AV$2:$BA$84,4,FALSE),0)+IFERROR(VLOOKUP($MW3,$AV$2:$BA$84,4,FALSE),0)+IFERROR(VLOOKUP($MX3,$AV$2:$BA$84,4,FALSE),0)+IFERROR(VLOOKUP($MY3,$AV$2:$BA$84,4,FALSE),0)</f>
        <v/>
      </c>
      <c r="OB3" s="155">
        <f>IFERROR(VLOOKUP($MV3,$AV$2:$BA$84,6,FALSE),0)+IFERROR(VLOOKUP($MW3,$AV$2:$BA$84,6,FALSE),0)+IFERROR(VLOOKUP($MX3,$AV$2:$BA$84,6,FALSE),0)+IFERROR(VLOOKUP($MY3,$AV$2:$BA$84,6,FALSE),0)</f>
        <v/>
      </c>
      <c r="OC3" s="155">
        <f>TEXTJOIN(", ",TRUE,IF(IFERROR(VLOOKUP($MV3,$AV$2:$BA$84,5,FALSE),0)=1,$MV3,""),IF(IFERROR(VLOOKUP($MW3,$AV$2:$BA$84,5,FALSE),0)=1,$MW3,""),IF(IFERROR(VLOOKUP($MX3,$AV$2:$BA$84,5,FALSE),0)=1,$MX3,""),IF(IFERROR(VLOOKUP($MY3,$AV$2:$BA$84,5,FALSE),0)=1,$MY3,""))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f>
        <v/>
      </c>
      <c r="OY3" s="155">
        <f>$OW3-$OX3</f>
        <v/>
      </c>
      <c r="OZ3" s="155">
        <f>IF($MQ3=0,0,INDEX($P$2:$P$8,MAX(1,$MQ3)))</f>
        <v/>
      </c>
      <c r="PA3" s="155">
        <f>$OZ3-$OU3+$OX3</f>
        <v/>
      </c>
      <c r="PB3" s="155">
        <f>IF($MQ3=0,MAX(0,$NE3-IF($OS3&gt;0,1,0)),MAX(0,$PA3))</f>
        <v/>
      </c>
      <c r="PC3" s="155">
        <f>IF($MQ3=0,0,(IF(COUNTIF($MV3:$MY3,"Salto")&gt;0,1,0)+IF(COUNTIF($MV3:$MY3,"Queima")&gt;0,1,0)+IF(COUNTIF($MV3:$MY3,"Estilhaço")&gt;0,1,0))*FLOOR($PB3/2,1))</f>
        <v/>
      </c>
      <c r="PD3" s="155">
        <f>MAX(0,2-SUMPRODUCT($OK3:$OP3,$I$2:$N$2)+MIN(2,$OQ3*1+$OR3*1,SUMPRODUCT($OK3:$OP3,$I$2:$N$2)))</f>
        <v/>
      </c>
      <c r="PE3" s="155">
        <f>MAX(0,4-SUMPRODUCT($OK3:$OP3,$I$3:$N$3)+MIN(4,$OQ3*1+$OR3*2,SUMPRODUCT($OK3:$OP3,$I$3:$N$3)))</f>
        <v/>
      </c>
      <c r="PF3" s="155">
        <f>MAX(0,6-SUMPRODUCT($OK3:$OP3,$I$4:$N$4)+MIN(6,$OQ3*2+$OR3*3,SUMPRODUCT($OK3:$OP3,$I$4:$N$4)))</f>
        <v/>
      </c>
      <c r="PG3" s="155">
        <f>MAX(0,9-SUMPRODUCT($OK3:$OP3,$I$5:$N$5)+MIN(8,$OQ3*2+$OR3*4,SUMPRODUCT($OK3:$OP3,$I$5:$N$5)))</f>
        <v/>
      </c>
      <c r="PH3" s="155">
        <f>MAX(0,11-SUMPRODUCT($OK3:$OP3,$I$6:$N$6)+MIN(10,$OQ3*3+$OR3*5,SUMPRODUCT($OK3:$OP3,$I$6:$N$6)))</f>
        <v/>
      </c>
      <c r="PI3" s="155">
        <f>MAX(0,13-SUMPRODUCT($OK3:$OP3,$I$7:$N$7)+MIN(12,$OQ3*3+$OR3*6,SUMPRODUCT($OK3:$OP3,$I$7:$N$7)))</f>
        <v/>
      </c>
      <c r="PJ3" s="155">
        <f>MAX(0,16-SUMPRODUCT($OK3:$OP3,$I$8:$N$8)+MIN(14,$OQ3*4+$OR3*7,SUMPRODUCT($OK3:$OP3,$I$8:$N$8)))</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peça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IF($EG4&gt;$HA4,"⚠ ","")&amp;"EQUIPAMENTO · "&amp;$EG4&amp;" DE "&amp;$HA4&amp;" DE VOLUME"&amp;IF($EG4&gt;$HA4," · PASSOU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"&amp;$FN4&amp;"d8"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IFERROR(VLOOKUP($MV4,$AV$2:$BA$84,2,FALSE),"")</f>
        <v/>
      </c>
      <c r="NJ4" s="155">
        <f>IFERROR(VLOOKUP($MW4,$AV$2:$BA$84,2,FALSE),"")</f>
        <v/>
      </c>
      <c r="NK4" s="155">
        <f>IFERROR(VLOOKUP($MX4,$AV$2:$BA$84,2,FALSE),"")</f>
        <v/>
      </c>
      <c r="NL4" s="155">
        <f>IFERROR(VLOOKUP($MY4,$AV$2:$BA$84,2,FALSE),"")</f>
        <v/>
      </c>
      <c r="NM4" s="155">
        <f>IFERROR(VLOOKUP($MV4,$AV$2:$BA$84,3,FALSE),0)</f>
        <v/>
      </c>
      <c r="NN4" s="155">
        <f>IFERROR(VLOOKUP($MW4,$AV$2:$BA$84,3,FALSE),0)</f>
        <v/>
      </c>
      <c r="NO4" s="155">
        <f>IFERROR(VLOOKUP($MX4,$AV$2:$BA$84,3,FALSE),0)</f>
        <v/>
      </c>
      <c r="NP4" s="155">
        <f>IFERROR(VLOOKUP($MY4,$AV$2:$BA$84,3,FALSE),0)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IFERROR(VLOOKUP($MV4,$AV$2:$BA$84,4,FALSE),0)+IFERROR(VLOOKUP($MW4,$AV$2:$BA$84,4,FALSE),0)+IFERROR(VLOOKUP($MX4,$AV$2:$BA$84,4,FALSE),0)+IFERROR(VLOOKUP($MY4,$AV$2:$BA$84,4,FALSE),0)</f>
        <v/>
      </c>
      <c r="OB4" s="155">
        <f>IFERROR(VLOOKUP($MV4,$AV$2:$BA$84,6,FALSE),0)+IFERROR(VLOOKUP($MW4,$AV$2:$BA$84,6,FALSE),0)+IFERROR(VLOOKUP($MX4,$AV$2:$BA$84,6,FALSE),0)+IFERROR(VLOOKUP($MY4,$AV$2:$BA$84,6,FALSE),0)</f>
        <v/>
      </c>
      <c r="OC4" s="155">
        <f>TEXTJOIN(", ",TRUE,IF(IFERROR(VLOOKUP($MV4,$AV$2:$BA$84,5,FALSE),0)=1,$MV4,""),IF(IFERROR(VLOOKUP($MW4,$AV$2:$BA$84,5,FALSE),0)=1,$MW4,""),IF(IFERROR(VLOOKUP($MX4,$AV$2:$BA$84,5,FALSE),0)=1,$MX4,""),IF(IFERROR(VLOOKUP($MY4,$AV$2:$BA$84,5,FALSE),0)=1,$MY4,""))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f>
        <v/>
      </c>
      <c r="OY4" s="155">
        <f>$OW4-$OX4</f>
        <v/>
      </c>
      <c r="OZ4" s="155">
        <f>IF($MQ4=0,0,INDEX($P$2:$P$8,MAX(1,$MQ4)))</f>
        <v/>
      </c>
      <c r="PA4" s="155">
        <f>$OZ4-$OU4+$OX4</f>
        <v/>
      </c>
      <c r="PB4" s="155">
        <f>IF($MQ4=0,MAX(0,$NE4-IF($OS4&gt;0,1,0)),MAX(0,$PA4))</f>
        <v/>
      </c>
      <c r="PC4" s="155">
        <f>IF($MQ4=0,0,(IF(COUNTIF($MV4:$MY4,"Salto")&gt;0,1,0)+IF(COUNTIF($MV4:$MY4,"Queima")&gt;0,1,0)+IF(COUNTIF($MV4:$MY4,"Estilhaço")&gt;0,1,0))*FLOOR($PB4/2,1))</f>
        <v/>
      </c>
      <c r="PD4" s="155">
        <f>MAX(0,2-SUMPRODUCT($OK4:$OP4,$I$2:$N$2)+MIN(2,$OQ4*1+$OR4*1,SUMPRODUCT($OK4:$OP4,$I$2:$N$2)))</f>
        <v/>
      </c>
      <c r="PE4" s="155">
        <f>MAX(0,4-SUMPRODUCT($OK4:$OP4,$I$3:$N$3)+MIN(4,$OQ4*1+$OR4*2,SUMPRODUCT($OK4:$OP4,$I$3:$N$3)))</f>
        <v/>
      </c>
      <c r="PF4" s="155">
        <f>MAX(0,6-SUMPRODUCT($OK4:$OP4,$I$4:$N$4)+MIN(6,$OQ4*2+$OR4*3,SUMPRODUCT($OK4:$OP4,$I$4:$N$4)))</f>
        <v/>
      </c>
      <c r="PG4" s="155">
        <f>MAX(0,9-SUMPRODUCT($OK4:$OP4,$I$5:$N$5)+MIN(8,$OQ4*2+$OR4*4,SUMPRODUCT($OK4:$OP4,$I$5:$N$5)))</f>
        <v/>
      </c>
      <c r="PH4" s="155">
        <f>MAX(0,11-SUMPRODUCT($OK4:$OP4,$I$6:$N$6)+MIN(10,$OQ4*3+$OR4*5,SUMPRODUCT($OK4:$OP4,$I$6:$N$6)))</f>
        <v/>
      </c>
      <c r="PI4" s="155">
        <f>MAX(0,13-SUMPRODUCT($OK4:$OP4,$I$7:$N$7)+MIN(12,$OQ4*3+$OR4*6,SUMPRODUCT($OK4:$OP4,$I$7:$N$7)))</f>
        <v/>
      </c>
      <c r="PJ4" s="155">
        <f>MAX(0,16-SUMPRODUCT($OK4:$OP4,$I$8:$N$8)+MIN(14,$OQ4*4+$OR4*7,SUMPRODUCT($OK4:$OP4,$I$8:$N$8)))</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peça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IF($EG5&gt;$HA5,"⚠ ","")&amp;"EQUIPAMENTO · "&amp;$EG5&amp;" DE "&amp;$HA5&amp;" DE VOLUME"&amp;IF($EG5&gt;$HA5," · PASSOU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"&amp;$FN5&amp;"d8"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IFERROR(VLOOKUP($MV5,$AV$2:$BA$84,2,FALSE),"")</f>
        <v/>
      </c>
      <c r="NJ5" s="155">
        <f>IFERROR(VLOOKUP($MW5,$AV$2:$BA$84,2,FALSE),"")</f>
        <v/>
      </c>
      <c r="NK5" s="155">
        <f>IFERROR(VLOOKUP($MX5,$AV$2:$BA$84,2,FALSE),"")</f>
        <v/>
      </c>
      <c r="NL5" s="155">
        <f>IFERROR(VLOOKUP($MY5,$AV$2:$BA$84,2,FALSE),"")</f>
        <v/>
      </c>
      <c r="NM5" s="155">
        <f>IFERROR(VLOOKUP($MV5,$AV$2:$BA$84,3,FALSE),0)</f>
        <v/>
      </c>
      <c r="NN5" s="155">
        <f>IFERROR(VLOOKUP($MW5,$AV$2:$BA$84,3,FALSE),0)</f>
        <v/>
      </c>
      <c r="NO5" s="155">
        <f>IFERROR(VLOOKUP($MX5,$AV$2:$BA$84,3,FALSE),0)</f>
        <v/>
      </c>
      <c r="NP5" s="155">
        <f>IFERROR(VLOOKUP($MY5,$AV$2:$BA$84,3,FALSE),0)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IFERROR(VLOOKUP($MV5,$AV$2:$BA$84,4,FALSE),0)+IFERROR(VLOOKUP($MW5,$AV$2:$BA$84,4,FALSE),0)+IFERROR(VLOOKUP($MX5,$AV$2:$BA$84,4,FALSE),0)+IFERROR(VLOOKUP($MY5,$AV$2:$BA$84,4,FALSE),0)</f>
        <v/>
      </c>
      <c r="OB5" s="155">
        <f>IFERROR(VLOOKUP($MV5,$AV$2:$BA$84,6,FALSE),0)+IFERROR(VLOOKUP($MW5,$AV$2:$BA$84,6,FALSE),0)+IFERROR(VLOOKUP($MX5,$AV$2:$BA$84,6,FALSE),0)+IFERROR(VLOOKUP($MY5,$AV$2:$BA$84,6,FALSE),0)</f>
        <v/>
      </c>
      <c r="OC5" s="155">
        <f>TEXTJOIN(", ",TRUE,IF(IFERROR(VLOOKUP($MV5,$AV$2:$BA$84,5,FALSE),0)=1,$MV5,""),IF(IFERROR(VLOOKUP($MW5,$AV$2:$BA$84,5,FALSE),0)=1,$MW5,""),IF(IFERROR(VLOOKUP($MX5,$AV$2:$BA$84,5,FALSE),0)=1,$MX5,""),IF(IFERROR(VLOOKUP($MY5,$AV$2:$BA$84,5,FALSE),0)=1,$MY5,""))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f>
        <v/>
      </c>
      <c r="OY5" s="155">
        <f>$OW5-$OX5</f>
        <v/>
      </c>
      <c r="OZ5" s="155">
        <f>IF($MQ5=0,0,INDEX($P$2:$P$8,MAX(1,$MQ5)))</f>
        <v/>
      </c>
      <c r="PA5" s="155">
        <f>$OZ5-$OU5+$OX5</f>
        <v/>
      </c>
      <c r="PB5" s="155">
        <f>IF($MQ5=0,MAX(0,$NE5-IF($OS5&gt;0,1,0)),MAX(0,$PA5))</f>
        <v/>
      </c>
      <c r="PC5" s="155">
        <f>IF($MQ5=0,0,(IF(COUNTIF($MV5:$MY5,"Salto")&gt;0,1,0)+IF(COUNTIF($MV5:$MY5,"Queima")&gt;0,1,0)+IF(COUNTIF($MV5:$MY5,"Estilhaço")&gt;0,1,0))*FLOOR($PB5/2,1))</f>
        <v/>
      </c>
      <c r="PD5" s="155">
        <f>MAX(0,2-SUMPRODUCT($OK5:$OP5,$I$2:$N$2)+MIN(2,$OQ5*1+$OR5*1,SUMPRODUCT($OK5:$OP5,$I$2:$N$2)))</f>
        <v/>
      </c>
      <c r="PE5" s="155">
        <f>MAX(0,4-SUMPRODUCT($OK5:$OP5,$I$3:$N$3)+MIN(4,$OQ5*1+$OR5*2,SUMPRODUCT($OK5:$OP5,$I$3:$N$3)))</f>
        <v/>
      </c>
      <c r="PF5" s="155">
        <f>MAX(0,6-SUMPRODUCT($OK5:$OP5,$I$4:$N$4)+MIN(6,$OQ5*2+$OR5*3,SUMPRODUCT($OK5:$OP5,$I$4:$N$4)))</f>
        <v/>
      </c>
      <c r="PG5" s="155">
        <f>MAX(0,9-SUMPRODUCT($OK5:$OP5,$I$5:$N$5)+MIN(8,$OQ5*2+$OR5*4,SUMPRODUCT($OK5:$OP5,$I$5:$N$5)))</f>
        <v/>
      </c>
      <c r="PH5" s="155">
        <f>MAX(0,11-SUMPRODUCT($OK5:$OP5,$I$6:$N$6)+MIN(10,$OQ5*3+$OR5*5,SUMPRODUCT($OK5:$OP5,$I$6:$N$6)))</f>
        <v/>
      </c>
      <c r="PI5" s="155">
        <f>MAX(0,13-SUMPRODUCT($OK5:$OP5,$I$7:$N$7)+MIN(12,$OQ5*3+$OR5*6,SUMPRODUCT($OK5:$OP5,$I$7:$N$7)))</f>
        <v/>
      </c>
      <c r="PJ5" s="155">
        <f>MAX(0,16-SUMPRODUCT($OK5:$OP5,$I$8:$N$8)+MIN(14,$OQ5*4+$OR5*7,SUMPRODUCT($OK5:$OP5,$I$8:$N$8)))</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peça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IF($EG6&gt;$HA6,"⚠ ","")&amp;"EQUIPAMENTO · "&amp;$EG6&amp;" DE "&amp;$HA6&amp;" DE VOLUME"&amp;IF($EG6&gt;$HA6," · PASSOU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"&amp;$FN6&amp;"d8"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IFERROR(VLOOKUP($MV6,$AV$2:$BA$84,2,FALSE),"")</f>
        <v/>
      </c>
      <c r="NJ6" s="155">
        <f>IFERROR(VLOOKUP($MW6,$AV$2:$BA$84,2,FALSE),"")</f>
        <v/>
      </c>
      <c r="NK6" s="155">
        <f>IFERROR(VLOOKUP($MX6,$AV$2:$BA$84,2,FALSE),"")</f>
        <v/>
      </c>
      <c r="NL6" s="155">
        <f>IFERROR(VLOOKUP($MY6,$AV$2:$BA$84,2,FALSE),"")</f>
        <v/>
      </c>
      <c r="NM6" s="155">
        <f>IFERROR(VLOOKUP($MV6,$AV$2:$BA$84,3,FALSE),0)</f>
        <v/>
      </c>
      <c r="NN6" s="155">
        <f>IFERROR(VLOOKUP($MW6,$AV$2:$BA$84,3,FALSE),0)</f>
        <v/>
      </c>
      <c r="NO6" s="155">
        <f>IFERROR(VLOOKUP($MX6,$AV$2:$BA$84,3,FALSE),0)</f>
        <v/>
      </c>
      <c r="NP6" s="155">
        <f>IFERROR(VLOOKUP($MY6,$AV$2:$BA$84,3,FALSE),0)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IFERROR(VLOOKUP($MV6,$AV$2:$BA$84,4,FALSE),0)+IFERROR(VLOOKUP($MW6,$AV$2:$BA$84,4,FALSE),0)+IFERROR(VLOOKUP($MX6,$AV$2:$BA$84,4,FALSE),0)+IFERROR(VLOOKUP($MY6,$AV$2:$BA$84,4,FALSE),0)</f>
        <v/>
      </c>
      <c r="OB6" s="155">
        <f>IFERROR(VLOOKUP($MV6,$AV$2:$BA$84,6,FALSE),0)+IFERROR(VLOOKUP($MW6,$AV$2:$BA$84,6,FALSE),0)+IFERROR(VLOOKUP($MX6,$AV$2:$BA$84,6,FALSE),0)+IFERROR(VLOOKUP($MY6,$AV$2:$BA$84,6,FALSE),0)</f>
        <v/>
      </c>
      <c r="OC6" s="155">
        <f>TEXTJOIN(", ",TRUE,IF(IFERROR(VLOOKUP($MV6,$AV$2:$BA$84,5,FALSE),0)=1,$MV6,""),IF(IFERROR(VLOOKUP($MW6,$AV$2:$BA$84,5,FALSE),0)=1,$MW6,""),IF(IFERROR(VLOOKUP($MX6,$AV$2:$BA$84,5,FALSE),0)=1,$MX6,""),IF(IFERROR(VLOOKUP($MY6,$AV$2:$BA$84,5,FALSE),0)=1,$MY6,""))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f>
        <v/>
      </c>
      <c r="OY6" s="155">
        <f>$OW6-$OX6</f>
        <v/>
      </c>
      <c r="OZ6" s="155">
        <f>IF($MQ6=0,0,INDEX($P$2:$P$8,MAX(1,$MQ6)))</f>
        <v/>
      </c>
      <c r="PA6" s="155">
        <f>$OZ6-$OU6+$OX6</f>
        <v/>
      </c>
      <c r="PB6" s="155">
        <f>IF($MQ6=0,MAX(0,$NE6-IF($OS6&gt;0,1,0)),MAX(0,$PA6))</f>
        <v/>
      </c>
      <c r="PC6" s="155">
        <f>IF($MQ6=0,0,(IF(COUNTIF($MV6:$MY6,"Salto")&gt;0,1,0)+IF(COUNTIF($MV6:$MY6,"Queima")&gt;0,1,0)+IF(COUNTIF($MV6:$MY6,"Estilhaço")&gt;0,1,0))*FLOOR($PB6/2,1))</f>
        <v/>
      </c>
      <c r="PD6" s="155">
        <f>MAX(0,2-SUMPRODUCT($OK6:$OP6,$I$2:$N$2)+MIN(2,$OQ6*1+$OR6*1,SUMPRODUCT($OK6:$OP6,$I$2:$N$2)))</f>
        <v/>
      </c>
      <c r="PE6" s="155">
        <f>MAX(0,4-SUMPRODUCT($OK6:$OP6,$I$3:$N$3)+MIN(4,$OQ6*1+$OR6*2,SUMPRODUCT($OK6:$OP6,$I$3:$N$3)))</f>
        <v/>
      </c>
      <c r="PF6" s="155">
        <f>MAX(0,6-SUMPRODUCT($OK6:$OP6,$I$4:$N$4)+MIN(6,$OQ6*2+$OR6*3,SUMPRODUCT($OK6:$OP6,$I$4:$N$4)))</f>
        <v/>
      </c>
      <c r="PG6" s="155">
        <f>MAX(0,9-SUMPRODUCT($OK6:$OP6,$I$5:$N$5)+MIN(8,$OQ6*2+$OR6*4,SUMPRODUCT($OK6:$OP6,$I$5:$N$5)))</f>
        <v/>
      </c>
      <c r="PH6" s="155">
        <f>MAX(0,11-SUMPRODUCT($OK6:$OP6,$I$6:$N$6)+MIN(10,$OQ6*3+$OR6*5,SUMPRODUCT($OK6:$OP6,$I$6:$N$6)))</f>
        <v/>
      </c>
      <c r="PI6" s="155">
        <f>MAX(0,13-SUMPRODUCT($OK6:$OP6,$I$7:$N$7)+MIN(12,$OQ6*3+$OR6*6,SUMPRODUCT($OK6:$OP6,$I$7:$N$7)))</f>
        <v/>
      </c>
      <c r="PJ6" s="155">
        <f>MAX(0,16-SUMPRODUCT($OK6:$OP6,$I$8:$N$8)+MIN(14,$OQ6*4+$OR6*7,SUMPRODUCT($OK6:$OP6,$I$8:$N$8)))</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peça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IF($EG7&gt;$HA7,"⚠ ","")&amp;"EQUIPAMENTO · "&amp;$EG7&amp;" DE "&amp;$HA7&amp;" DE VOLUME"&amp;IF($EG7&gt;$HA7," · PASSOU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"&amp;$FN7&amp;"d8"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IFERROR(VLOOKUP($MV7,$AV$2:$BA$84,2,FALSE),"")</f>
        <v/>
      </c>
      <c r="NJ7" s="155">
        <f>IFERROR(VLOOKUP($MW7,$AV$2:$BA$84,2,FALSE),"")</f>
        <v/>
      </c>
      <c r="NK7" s="155">
        <f>IFERROR(VLOOKUP($MX7,$AV$2:$BA$84,2,FALSE),"")</f>
        <v/>
      </c>
      <c r="NL7" s="155">
        <f>IFERROR(VLOOKUP($MY7,$AV$2:$BA$84,2,FALSE),"")</f>
        <v/>
      </c>
      <c r="NM7" s="155">
        <f>IFERROR(VLOOKUP($MV7,$AV$2:$BA$84,3,FALSE),0)</f>
        <v/>
      </c>
      <c r="NN7" s="155">
        <f>IFERROR(VLOOKUP($MW7,$AV$2:$BA$84,3,FALSE),0)</f>
        <v/>
      </c>
      <c r="NO7" s="155">
        <f>IFERROR(VLOOKUP($MX7,$AV$2:$BA$84,3,FALSE),0)</f>
        <v/>
      </c>
      <c r="NP7" s="155">
        <f>IFERROR(VLOOKUP($MY7,$AV$2:$BA$84,3,FALSE),0)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IFERROR(VLOOKUP($MV7,$AV$2:$BA$84,4,FALSE),0)+IFERROR(VLOOKUP($MW7,$AV$2:$BA$84,4,FALSE),0)+IFERROR(VLOOKUP($MX7,$AV$2:$BA$84,4,FALSE),0)+IFERROR(VLOOKUP($MY7,$AV$2:$BA$84,4,FALSE),0)</f>
        <v/>
      </c>
      <c r="OB7" s="155">
        <f>IFERROR(VLOOKUP($MV7,$AV$2:$BA$84,6,FALSE),0)+IFERROR(VLOOKUP($MW7,$AV$2:$BA$84,6,FALSE),0)+IFERROR(VLOOKUP($MX7,$AV$2:$BA$84,6,FALSE),0)+IFERROR(VLOOKUP($MY7,$AV$2:$BA$84,6,FALSE),0)</f>
        <v/>
      </c>
      <c r="OC7" s="155">
        <f>TEXTJOIN(", ",TRUE,IF(IFERROR(VLOOKUP($MV7,$AV$2:$BA$84,5,FALSE),0)=1,$MV7,""),IF(IFERROR(VLOOKUP($MW7,$AV$2:$BA$84,5,FALSE),0)=1,$MW7,""),IF(IFERROR(VLOOKUP($MX7,$AV$2:$BA$84,5,FALSE),0)=1,$MX7,""),IF(IFERROR(VLOOKUP($MY7,$AV$2:$BA$84,5,FALSE),0)=1,$MY7,""))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f>
        <v/>
      </c>
      <c r="OY7" s="155">
        <f>$OW7-$OX7</f>
        <v/>
      </c>
      <c r="OZ7" s="155">
        <f>IF($MQ7=0,0,INDEX($P$2:$P$8,MAX(1,$MQ7)))</f>
        <v/>
      </c>
      <c r="PA7" s="155">
        <f>$OZ7-$OU7+$OX7</f>
        <v/>
      </c>
      <c r="PB7" s="155">
        <f>IF($MQ7=0,MAX(0,$NE7-IF($OS7&gt;0,1,0)),MAX(0,$PA7))</f>
        <v/>
      </c>
      <c r="PC7" s="155">
        <f>IF($MQ7=0,0,(IF(COUNTIF($MV7:$MY7,"Salto")&gt;0,1,0)+IF(COUNTIF($MV7:$MY7,"Queima")&gt;0,1,0)+IF(COUNTIF($MV7:$MY7,"Estilhaço")&gt;0,1,0))*FLOOR($PB7/2,1))</f>
        <v/>
      </c>
      <c r="PD7" s="155">
        <f>MAX(0,2-SUMPRODUCT($OK7:$OP7,$I$2:$N$2)+MIN(2,$OQ7*1+$OR7*1,SUMPRODUCT($OK7:$OP7,$I$2:$N$2)))</f>
        <v/>
      </c>
      <c r="PE7" s="155">
        <f>MAX(0,4-SUMPRODUCT($OK7:$OP7,$I$3:$N$3)+MIN(4,$OQ7*1+$OR7*2,SUMPRODUCT($OK7:$OP7,$I$3:$N$3)))</f>
        <v/>
      </c>
      <c r="PF7" s="155">
        <f>MAX(0,6-SUMPRODUCT($OK7:$OP7,$I$4:$N$4)+MIN(6,$OQ7*2+$OR7*3,SUMPRODUCT($OK7:$OP7,$I$4:$N$4)))</f>
        <v/>
      </c>
      <c r="PG7" s="155">
        <f>MAX(0,9-SUMPRODUCT($OK7:$OP7,$I$5:$N$5)+MIN(8,$OQ7*2+$OR7*4,SUMPRODUCT($OK7:$OP7,$I$5:$N$5)))</f>
        <v/>
      </c>
      <c r="PH7" s="155">
        <f>MAX(0,11-SUMPRODUCT($OK7:$OP7,$I$6:$N$6)+MIN(10,$OQ7*3+$OR7*5,SUMPRODUCT($OK7:$OP7,$I$6:$N$6)))</f>
        <v/>
      </c>
      <c r="PI7" s="155">
        <f>MAX(0,13-SUMPRODUCT($OK7:$OP7,$I$7:$N$7)+MIN(12,$OQ7*3+$OR7*6,SUMPRODUCT($OK7:$OP7,$I$7:$N$7)))</f>
        <v/>
      </c>
      <c r="PJ7" s="155">
        <f>MAX(0,16-SUMPRODUCT($OK7:$OP7,$I$8:$N$8)+MIN(14,$OQ7*4+$OR7*7,SUMPRODUCT($OK7:$OP7,$I$8:$N$8)))</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peça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Troca</t>
        </is>
      </c>
      <c r="AW8" s="153" t="inlineStr">
        <is>
          <t>Alcance</t>
        </is>
      </c>
      <c r="AX8" s="155" t="n">
        <v>2</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IF($EG8&gt;$HA8,"⚠ ","")&amp;"EQUIPAMENTO · "&amp;$EG8&amp;" DE "&amp;$HA8&amp;" DE VOLUME"&amp;IF($EG8&gt;$HA8," · PASSOU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"&amp;$FN8&amp;"d8"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IFERROR(VLOOKUP($MV8,$AV$2:$BA$84,2,FALSE),"")</f>
        <v/>
      </c>
      <c r="NJ8" s="155">
        <f>IFERROR(VLOOKUP($MW8,$AV$2:$BA$84,2,FALSE),"")</f>
        <v/>
      </c>
      <c r="NK8" s="155">
        <f>IFERROR(VLOOKUP($MX8,$AV$2:$BA$84,2,FALSE),"")</f>
        <v/>
      </c>
      <c r="NL8" s="155">
        <f>IFERROR(VLOOKUP($MY8,$AV$2:$BA$84,2,FALSE),"")</f>
        <v/>
      </c>
      <c r="NM8" s="155">
        <f>IFERROR(VLOOKUP($MV8,$AV$2:$BA$84,3,FALSE),0)</f>
        <v/>
      </c>
      <c r="NN8" s="155">
        <f>IFERROR(VLOOKUP($MW8,$AV$2:$BA$84,3,FALSE),0)</f>
        <v/>
      </c>
      <c r="NO8" s="155">
        <f>IFERROR(VLOOKUP($MX8,$AV$2:$BA$84,3,FALSE),0)</f>
        <v/>
      </c>
      <c r="NP8" s="155">
        <f>IFERROR(VLOOKUP($MY8,$AV$2:$BA$84,3,FALSE),0)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IFERROR(VLOOKUP($MV8,$AV$2:$BA$84,4,FALSE),0)+IFERROR(VLOOKUP($MW8,$AV$2:$BA$84,4,FALSE),0)+IFERROR(VLOOKUP($MX8,$AV$2:$BA$84,4,FALSE),0)+IFERROR(VLOOKUP($MY8,$AV$2:$BA$84,4,FALSE),0)</f>
        <v/>
      </c>
      <c r="OB8" s="155">
        <f>IFERROR(VLOOKUP($MV8,$AV$2:$BA$84,6,FALSE),0)+IFERROR(VLOOKUP($MW8,$AV$2:$BA$84,6,FALSE),0)+IFERROR(VLOOKUP($MX8,$AV$2:$BA$84,6,FALSE),0)+IFERROR(VLOOKUP($MY8,$AV$2:$BA$84,6,FALSE),0)</f>
        <v/>
      </c>
      <c r="OC8" s="155">
        <f>TEXTJOIN(", ",TRUE,IF(IFERROR(VLOOKUP($MV8,$AV$2:$BA$84,5,FALSE),0)=1,$MV8,""),IF(IFERROR(VLOOKUP($MW8,$AV$2:$BA$84,5,FALSE),0)=1,$MW8,""),IF(IFERROR(VLOOKUP($MX8,$AV$2:$BA$84,5,FALSE),0)=1,$MX8,""),IF(IFERROR(VLOOKUP($MY8,$AV$2:$BA$84,5,FALSE),0)=1,$MY8,""))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f>
        <v/>
      </c>
      <c r="OY8" s="155">
        <f>$OW8-$OX8</f>
        <v/>
      </c>
      <c r="OZ8" s="155">
        <f>IF($MQ8=0,0,INDEX($P$2:$P$8,MAX(1,$MQ8)))</f>
        <v/>
      </c>
      <c r="PA8" s="155">
        <f>$OZ8-$OU8+$OX8</f>
        <v/>
      </c>
      <c r="PB8" s="155">
        <f>IF($MQ8=0,MAX(0,$NE8-IF($OS8&gt;0,1,0)),MAX(0,$PA8))</f>
        <v/>
      </c>
      <c r="PC8" s="155">
        <f>IF($MQ8=0,0,(IF(COUNTIF($MV8:$MY8,"Salto")&gt;0,1,0)+IF(COUNTIF($MV8:$MY8,"Queima")&gt;0,1,0)+IF(COUNTIF($MV8:$MY8,"Estilhaço")&gt;0,1,0))*FLOOR($PB8/2,1))</f>
        <v/>
      </c>
      <c r="PD8" s="155">
        <f>MAX(0,2-SUMPRODUCT($OK8:$OP8,$I$2:$N$2)+MIN(2,$OQ8*1+$OR8*1,SUMPRODUCT($OK8:$OP8,$I$2:$N$2)))</f>
        <v/>
      </c>
      <c r="PE8" s="155">
        <f>MAX(0,4-SUMPRODUCT($OK8:$OP8,$I$3:$N$3)+MIN(4,$OQ8*1+$OR8*2,SUMPRODUCT($OK8:$OP8,$I$3:$N$3)))</f>
        <v/>
      </c>
      <c r="PF8" s="155">
        <f>MAX(0,6-SUMPRODUCT($OK8:$OP8,$I$4:$N$4)+MIN(6,$OQ8*2+$OR8*3,SUMPRODUCT($OK8:$OP8,$I$4:$N$4)))</f>
        <v/>
      </c>
      <c r="PG8" s="155">
        <f>MAX(0,9-SUMPRODUCT($OK8:$OP8,$I$5:$N$5)+MIN(8,$OQ8*2+$OR8*4,SUMPRODUCT($OK8:$OP8,$I$5:$N$5)))</f>
        <v/>
      </c>
      <c r="PH8" s="155">
        <f>MAX(0,11-SUMPRODUCT($OK8:$OP8,$I$6:$N$6)+MIN(10,$OQ8*3+$OR8*5,SUMPRODUCT($OK8:$OP8,$I$6:$N$6)))</f>
        <v/>
      </c>
      <c r="PI8" s="155">
        <f>MAX(0,13-SUMPRODUCT($OK8:$OP8,$I$7:$N$7)+MIN(12,$OQ8*3+$OR8*6,SUMPRODUCT($OK8:$OP8,$I$7:$N$7)))</f>
        <v/>
      </c>
      <c r="PJ8" s="155">
        <f>MAX(0,16-SUMPRODUCT($OK8:$OP8,$I$8:$N$8)+MIN(14,$OQ8*4+$OR8*7,SUMPRODUCT($OK8:$OP8,$I$8:$N$8)))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peça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Maior</t>
        </is>
      </c>
      <c r="AW9" s="153" t="inlineStr">
        <is>
          <t>Área</t>
        </is>
      </c>
      <c r="AX9" s="155" t="n">
        <v>1</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IF($EG9&gt;$HA9,"⚠ ","")&amp;"EQUIPAMENTO · "&amp;$EG9&amp;" DE "&amp;$HA9&amp;" DE VOLUME"&amp;IF($EG9&gt;$HA9," · PASSOU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"&amp;$FN9&amp;"d8"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IFERROR(VLOOKUP($MV9,$AV$2:$BA$84,2,FALSE),"")</f>
        <v/>
      </c>
      <c r="NJ9" s="155">
        <f>IFERROR(VLOOKUP($MW9,$AV$2:$BA$84,2,FALSE),"")</f>
        <v/>
      </c>
      <c r="NK9" s="155">
        <f>IFERROR(VLOOKUP($MX9,$AV$2:$BA$84,2,FALSE),"")</f>
        <v/>
      </c>
      <c r="NL9" s="155">
        <f>IFERROR(VLOOKUP($MY9,$AV$2:$BA$84,2,FALSE),"")</f>
        <v/>
      </c>
      <c r="NM9" s="155">
        <f>IFERROR(VLOOKUP($MV9,$AV$2:$BA$84,3,FALSE),0)</f>
        <v/>
      </c>
      <c r="NN9" s="155">
        <f>IFERROR(VLOOKUP($MW9,$AV$2:$BA$84,3,FALSE),0)</f>
        <v/>
      </c>
      <c r="NO9" s="155">
        <f>IFERROR(VLOOKUP($MX9,$AV$2:$BA$84,3,FALSE),0)</f>
        <v/>
      </c>
      <c r="NP9" s="155">
        <f>IFERROR(VLOOKUP($MY9,$AV$2:$BA$84,3,FALSE),0)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IFERROR(VLOOKUP($MV9,$AV$2:$BA$84,4,FALSE),0)+IFERROR(VLOOKUP($MW9,$AV$2:$BA$84,4,FALSE),0)+IFERROR(VLOOKUP($MX9,$AV$2:$BA$84,4,FALSE),0)+IFERROR(VLOOKUP($MY9,$AV$2:$BA$84,4,FALSE),0)</f>
        <v/>
      </c>
      <c r="OB9" s="155">
        <f>IFERROR(VLOOKUP($MV9,$AV$2:$BA$84,6,FALSE),0)+IFERROR(VLOOKUP($MW9,$AV$2:$BA$84,6,FALSE),0)+IFERROR(VLOOKUP($MX9,$AV$2:$BA$84,6,FALSE),0)+IFERROR(VLOOKUP($MY9,$AV$2:$BA$84,6,FALSE),0)</f>
        <v/>
      </c>
      <c r="OC9" s="155">
        <f>TEXTJOIN(", ",TRUE,IF(IFERROR(VLOOKUP($MV9,$AV$2:$BA$84,5,FALSE),0)=1,$MV9,""),IF(IFERROR(VLOOKUP($MW9,$AV$2:$BA$84,5,FALSE),0)=1,$MW9,""),IF(IFERROR(VLOOKUP($MX9,$AV$2:$BA$84,5,FALSE),0)=1,$MX9,""),IF(IFERROR(VLOOKUP($MY9,$AV$2:$BA$84,5,FALSE),0)=1,$MY9,""))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f>
        <v/>
      </c>
      <c r="OY9" s="155">
        <f>$OW9-$OX9</f>
        <v/>
      </c>
      <c r="OZ9" s="155">
        <f>IF($MQ9=0,0,INDEX($P$2:$P$8,MAX(1,$MQ9)))</f>
        <v/>
      </c>
      <c r="PA9" s="155">
        <f>$OZ9-$OU9+$OX9</f>
        <v/>
      </c>
      <c r="PB9" s="155">
        <f>IF($MQ9=0,MAX(0,$NE9-IF($OS9&gt;0,1,0)),MAX(0,$PA9))</f>
        <v/>
      </c>
      <c r="PC9" s="155">
        <f>IF($MQ9=0,0,(IF(COUNTIF($MV9:$MY9,"Salto")&gt;0,1,0)+IF(COUNTIF($MV9:$MY9,"Queima")&gt;0,1,0)+IF(COUNTIF($MV9:$MY9,"Estilhaço")&gt;0,1,0))*FLOOR($PB9/2,1))</f>
        <v/>
      </c>
      <c r="PD9" s="155">
        <f>MAX(0,2-SUMPRODUCT($OK9:$OP9,$I$2:$N$2)+MIN(2,$OQ9*1+$OR9*1,SUMPRODUCT($OK9:$OP9,$I$2:$N$2)))</f>
        <v/>
      </c>
      <c r="PE9" s="155">
        <f>MAX(0,4-SUMPRODUCT($OK9:$OP9,$I$3:$N$3)+MIN(4,$OQ9*1+$OR9*2,SUMPRODUCT($OK9:$OP9,$I$3:$N$3)))</f>
        <v/>
      </c>
      <c r="PF9" s="155">
        <f>MAX(0,6-SUMPRODUCT($OK9:$OP9,$I$4:$N$4)+MIN(6,$OQ9*2+$OR9*3,SUMPRODUCT($OK9:$OP9,$I$4:$N$4)))</f>
        <v/>
      </c>
      <c r="PG9" s="155">
        <f>MAX(0,9-SUMPRODUCT($OK9:$OP9,$I$5:$N$5)+MIN(8,$OQ9*2+$OR9*4,SUMPRODUCT($OK9:$OP9,$I$5:$N$5)))</f>
        <v/>
      </c>
      <c r="PH9" s="155">
        <f>MAX(0,11-SUMPRODUCT($OK9:$OP9,$I$6:$N$6)+MIN(10,$OQ9*3+$OR9*5,SUMPRODUCT($OK9:$OP9,$I$6:$N$6)))</f>
        <v/>
      </c>
      <c r="PI9" s="155">
        <f>MAX(0,13-SUMPRODUCT($OK9:$OP9,$I$7:$N$7)+MIN(12,$OQ9*3+$OR9*6,SUMPRODUCT($OK9:$OP9,$I$7:$N$7)))</f>
        <v/>
      </c>
      <c r="PJ9" s="155">
        <f>MAX(0,16-SUMPRODUCT($OK9:$OP9,$I$8:$N$8)+MIN(14,$OQ9*4+$OR9*7,SUMPRODUCT($OK9:$OP9,$I$8:$N$8)))</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peça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Muito Maior</t>
        </is>
      </c>
      <c r="AW10" s="153" t="inlineStr">
        <is>
          <t>Área</t>
        </is>
      </c>
      <c r="AX10" s="155" t="n">
        <v>3</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IF($EG10&gt;$HA10,"⚠ ","")&amp;"EQUIPAMENTO · "&amp;$EG10&amp;" DE "&amp;$HA10&amp;" DE VOLUME"&amp;IF($EG10&gt;$HA10," · PASSOU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"&amp;$FN10&amp;"d8"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IFERROR(VLOOKUP($MV10,$AV$2:$BA$84,2,FALSE),"")</f>
        <v/>
      </c>
      <c r="NJ10" s="155">
        <f>IFERROR(VLOOKUP($MW10,$AV$2:$BA$84,2,FALSE),"")</f>
        <v/>
      </c>
      <c r="NK10" s="155">
        <f>IFERROR(VLOOKUP($MX10,$AV$2:$BA$84,2,FALSE),"")</f>
        <v/>
      </c>
      <c r="NL10" s="155">
        <f>IFERROR(VLOOKUP($MY10,$AV$2:$BA$84,2,FALSE),"")</f>
        <v/>
      </c>
      <c r="NM10" s="155">
        <f>IFERROR(VLOOKUP($MV10,$AV$2:$BA$84,3,FALSE),0)</f>
        <v/>
      </c>
      <c r="NN10" s="155">
        <f>IFERROR(VLOOKUP($MW10,$AV$2:$BA$84,3,FALSE),0)</f>
        <v/>
      </c>
      <c r="NO10" s="155">
        <f>IFERROR(VLOOKUP($MX10,$AV$2:$BA$84,3,FALSE),0)</f>
        <v/>
      </c>
      <c r="NP10" s="155">
        <f>IFERROR(VLOOKUP($MY10,$AV$2:$BA$84,3,FALSE),0)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IFERROR(VLOOKUP($MV10,$AV$2:$BA$84,4,FALSE),0)+IFERROR(VLOOKUP($MW10,$AV$2:$BA$84,4,FALSE),0)+IFERROR(VLOOKUP($MX10,$AV$2:$BA$84,4,FALSE),0)+IFERROR(VLOOKUP($MY10,$AV$2:$BA$84,4,FALSE),0)</f>
        <v/>
      </c>
      <c r="OB10" s="155">
        <f>IFERROR(VLOOKUP($MV10,$AV$2:$BA$84,6,FALSE),0)+IFERROR(VLOOKUP($MW10,$AV$2:$BA$84,6,FALSE),0)+IFERROR(VLOOKUP($MX10,$AV$2:$BA$84,6,FALSE),0)+IFERROR(VLOOKUP($MY10,$AV$2:$BA$84,6,FALSE),0)</f>
        <v/>
      </c>
      <c r="OC10" s="155">
        <f>TEXTJOIN(", ",TRUE,IF(IFERROR(VLOOKUP($MV10,$AV$2:$BA$84,5,FALSE),0)=1,$MV10,""),IF(IFERROR(VLOOKUP($MW10,$AV$2:$BA$84,5,FALSE),0)=1,$MW10,""),IF(IFERROR(VLOOKUP($MX10,$AV$2:$BA$84,5,FALSE),0)=1,$MX10,""),IF(IFERROR(VLOOKUP($MY10,$AV$2:$BA$84,5,FALSE),0)=1,$MY10,""))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f>
        <v/>
      </c>
      <c r="OY10" s="155">
        <f>$OW10-$OX10</f>
        <v/>
      </c>
      <c r="OZ10" s="155">
        <f>IF($MQ10=0,0,INDEX($P$2:$P$8,MAX(1,$MQ10)))</f>
        <v/>
      </c>
      <c r="PA10" s="155">
        <f>$OZ10-$OU10+$OX10</f>
        <v/>
      </c>
      <c r="PB10" s="155">
        <f>IF($MQ10=0,MAX(0,$NE10-IF($OS10&gt;0,1,0)),MAX(0,$PA10))</f>
        <v/>
      </c>
      <c r="PC10" s="155">
        <f>IF($MQ10=0,0,(IF(COUNTIF($MV10:$MY10,"Salto")&gt;0,1,0)+IF(COUNTIF($MV10:$MY10,"Queima")&gt;0,1,0)+IF(COUNTIF($MV10:$MY10,"Estilhaço")&gt;0,1,0))*FLOOR($PB10/2,1))</f>
        <v/>
      </c>
      <c r="PD10" s="155">
        <f>MAX(0,2-SUMPRODUCT($OK10:$OP10,$I$2:$N$2)+MIN(2,$OQ10*1+$OR10*1,SUMPRODUCT($OK10:$OP10,$I$2:$N$2)))</f>
        <v/>
      </c>
      <c r="PE10" s="155">
        <f>MAX(0,4-SUMPRODUCT($OK10:$OP10,$I$3:$N$3)+MIN(4,$OQ10*1+$OR10*2,SUMPRODUCT($OK10:$OP10,$I$3:$N$3)))</f>
        <v/>
      </c>
      <c r="PF10" s="155">
        <f>MAX(0,6-SUMPRODUCT($OK10:$OP10,$I$4:$N$4)+MIN(6,$OQ10*2+$OR10*3,SUMPRODUCT($OK10:$OP10,$I$4:$N$4)))</f>
        <v/>
      </c>
      <c r="PG10" s="155">
        <f>MAX(0,9-SUMPRODUCT($OK10:$OP10,$I$5:$N$5)+MIN(8,$OQ10*2+$OR10*4,SUMPRODUCT($OK10:$OP10,$I$5:$N$5)))</f>
        <v/>
      </c>
      <c r="PH10" s="155">
        <f>MAX(0,11-SUMPRODUCT($OK10:$OP10,$I$6:$N$6)+MIN(10,$OQ10*3+$OR10*5,SUMPRODUCT($OK10:$OP10,$I$6:$N$6)))</f>
        <v/>
      </c>
      <c r="PI10" s="155">
        <f>MAX(0,13-SUMPRODUCT($OK10:$OP10,$I$7:$N$7)+MIN(12,$OQ10*3+$OR10*6,SUMPRODUCT($OK10:$OP10,$I$7:$N$7)))</f>
        <v/>
      </c>
      <c r="PJ10" s="155">
        <f>MAX(0,16-SUMPRODUCT($OK10:$OP10,$I$8:$N$8)+MIN(14,$OQ10*4+$OR10*7,SUMPRODUCT($OK10:$OP10,$I$8:$N$8)))</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peça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Escolher</t>
        </is>
      </c>
      <c r="AW11" s="153" t="inlineStr">
        <is>
          <t>Área</t>
        </is>
      </c>
      <c r="AX11" s="155" t="n">
        <v>2</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IF($EG11&gt;$HA11,"⚠ ","")&amp;"EQUIPAMENTO · "&amp;$EG11&amp;" DE "&amp;$HA11&amp;" DE VOLUME"&amp;IF($EG11&gt;$HA11," · PASSOU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"&amp;$FN11&amp;"d8"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IFERROR(VLOOKUP($MV11,$AV$2:$BA$84,2,FALSE),"")</f>
        <v/>
      </c>
      <c r="NJ11" s="155">
        <f>IFERROR(VLOOKUP($MW11,$AV$2:$BA$84,2,FALSE),"")</f>
        <v/>
      </c>
      <c r="NK11" s="155">
        <f>IFERROR(VLOOKUP($MX11,$AV$2:$BA$84,2,FALSE),"")</f>
        <v/>
      </c>
      <c r="NL11" s="155">
        <f>IFERROR(VLOOKUP($MY11,$AV$2:$BA$84,2,FALSE),"")</f>
        <v/>
      </c>
      <c r="NM11" s="155">
        <f>IFERROR(VLOOKUP($MV11,$AV$2:$BA$84,3,FALSE),0)</f>
        <v/>
      </c>
      <c r="NN11" s="155">
        <f>IFERROR(VLOOKUP($MW11,$AV$2:$BA$84,3,FALSE),0)</f>
        <v/>
      </c>
      <c r="NO11" s="155">
        <f>IFERROR(VLOOKUP($MX11,$AV$2:$BA$84,3,FALSE),0)</f>
        <v/>
      </c>
      <c r="NP11" s="155">
        <f>IFERROR(VLOOKUP($MY11,$AV$2:$BA$84,3,FALSE),0)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IFERROR(VLOOKUP($MV11,$AV$2:$BA$84,4,FALSE),0)+IFERROR(VLOOKUP($MW11,$AV$2:$BA$84,4,FALSE),0)+IFERROR(VLOOKUP($MX11,$AV$2:$BA$84,4,FALSE),0)+IFERROR(VLOOKUP($MY11,$AV$2:$BA$84,4,FALSE),0)</f>
        <v/>
      </c>
      <c r="OB11" s="155">
        <f>IFERROR(VLOOKUP($MV11,$AV$2:$BA$84,6,FALSE),0)+IFERROR(VLOOKUP($MW11,$AV$2:$BA$84,6,FALSE),0)+IFERROR(VLOOKUP($MX11,$AV$2:$BA$84,6,FALSE),0)+IFERROR(VLOOKUP($MY11,$AV$2:$BA$84,6,FALSE),0)</f>
        <v/>
      </c>
      <c r="OC11" s="155">
        <f>TEXTJOIN(", ",TRUE,IF(IFERROR(VLOOKUP($MV11,$AV$2:$BA$84,5,FALSE),0)=1,$MV11,""),IF(IFERROR(VLOOKUP($MW11,$AV$2:$BA$84,5,FALSE),0)=1,$MW11,""),IF(IFERROR(VLOOKUP($MX11,$AV$2:$BA$84,5,FALSE),0)=1,$MX11,""),IF(IFERROR(VLOOKUP($MY11,$AV$2:$BA$84,5,FALSE),0)=1,$MY11,""))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f>
        <v/>
      </c>
      <c r="OY11" s="155">
        <f>$OW11-$OX11</f>
        <v/>
      </c>
      <c r="OZ11" s="155">
        <f>IF($MQ11=0,0,INDEX($P$2:$P$8,MAX(1,$MQ11)))</f>
        <v/>
      </c>
      <c r="PA11" s="155">
        <f>$OZ11-$OU11+$OX11</f>
        <v/>
      </c>
      <c r="PB11" s="155">
        <f>IF($MQ11=0,MAX(0,$NE11-IF($OS11&gt;0,1,0)),MAX(0,$PA11))</f>
        <v/>
      </c>
      <c r="PC11" s="155">
        <f>IF($MQ11=0,0,(IF(COUNTIF($MV11:$MY11,"Salto")&gt;0,1,0)+IF(COUNTIF($MV11:$MY11,"Queima")&gt;0,1,0)+IF(COUNTIF($MV11:$MY11,"Estilhaço")&gt;0,1,0))*FLOOR($PB11/2,1))</f>
        <v/>
      </c>
      <c r="PD11" s="155">
        <f>MAX(0,2-SUMPRODUCT($OK11:$OP11,$I$2:$N$2)+MIN(2,$OQ11*1+$OR11*1,SUMPRODUCT($OK11:$OP11,$I$2:$N$2)))</f>
        <v/>
      </c>
      <c r="PE11" s="155">
        <f>MAX(0,4-SUMPRODUCT($OK11:$OP11,$I$3:$N$3)+MIN(4,$OQ11*1+$OR11*2,SUMPRODUCT($OK11:$OP11,$I$3:$N$3)))</f>
        <v/>
      </c>
      <c r="PF11" s="155">
        <f>MAX(0,6-SUMPRODUCT($OK11:$OP11,$I$4:$N$4)+MIN(6,$OQ11*2+$OR11*3,SUMPRODUCT($OK11:$OP11,$I$4:$N$4)))</f>
        <v/>
      </c>
      <c r="PG11" s="155">
        <f>MAX(0,9-SUMPRODUCT($OK11:$OP11,$I$5:$N$5)+MIN(8,$OQ11*2+$OR11*4,SUMPRODUCT($OK11:$OP11,$I$5:$N$5)))</f>
        <v/>
      </c>
      <c r="PH11" s="155">
        <f>MAX(0,11-SUMPRODUCT($OK11:$OP11,$I$6:$N$6)+MIN(10,$OQ11*3+$OR11*5,SUMPRODUCT($OK11:$OP11,$I$6:$N$6)))</f>
        <v/>
      </c>
      <c r="PI11" s="155">
        <f>MAX(0,13-SUMPRODUCT($OK11:$OP11,$I$7:$N$7)+MIN(12,$OQ11*3+$OR11*6,SUMPRODUCT($OK11:$OP11,$I$7:$N$7)))</f>
        <v/>
      </c>
      <c r="PJ11" s="155">
        <f>MAX(0,16-SUMPRODUCT($OK11:$OP11,$I$8:$N$8)+MIN(14,$OQ11*4+$OR11*7,SUMPRODUCT($OK11:$OP11,$I$8:$N$8)))</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peça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Mais Um</t>
        </is>
      </c>
      <c r="AW12" s="153" t="inlineStr">
        <is>
          <t>Área</t>
        </is>
      </c>
      <c r="AX12" s="155" t="n">
        <v>1</v>
      </c>
      <c r="AY12" s="155" t="n">
        <v>0</v>
      </c>
      <c r="AZ12" s="155" t="n">
        <v>0</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IF($EG12&gt;$HA12,"⚠ ","")&amp;"EQUIPAMENTO · "&amp;$EG12&amp;" DE "&amp;$HA12&amp;" DE VOLUME"&amp;IF($EG12&gt;$HA12," · PASSOU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"&amp;$FN12&amp;"d8"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IFERROR(VLOOKUP($MV12,$AV$2:$BA$84,2,FALSE),"")</f>
        <v/>
      </c>
      <c r="NJ12" s="155">
        <f>IFERROR(VLOOKUP($MW12,$AV$2:$BA$84,2,FALSE),"")</f>
        <v/>
      </c>
      <c r="NK12" s="155">
        <f>IFERROR(VLOOKUP($MX12,$AV$2:$BA$84,2,FALSE),"")</f>
        <v/>
      </c>
      <c r="NL12" s="155">
        <f>IFERROR(VLOOKUP($MY12,$AV$2:$BA$84,2,FALSE),"")</f>
        <v/>
      </c>
      <c r="NM12" s="155">
        <f>IFERROR(VLOOKUP($MV12,$AV$2:$BA$84,3,FALSE),0)</f>
        <v/>
      </c>
      <c r="NN12" s="155">
        <f>IFERROR(VLOOKUP($MW12,$AV$2:$BA$84,3,FALSE),0)</f>
        <v/>
      </c>
      <c r="NO12" s="155">
        <f>IFERROR(VLOOKUP($MX12,$AV$2:$BA$84,3,FALSE),0)</f>
        <v/>
      </c>
      <c r="NP12" s="155">
        <f>IFERROR(VLOOKUP($MY12,$AV$2:$BA$84,3,FALSE),0)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IFERROR(VLOOKUP($MV12,$AV$2:$BA$84,4,FALSE),0)+IFERROR(VLOOKUP($MW12,$AV$2:$BA$84,4,FALSE),0)+IFERROR(VLOOKUP($MX12,$AV$2:$BA$84,4,FALSE),0)+IFERROR(VLOOKUP($MY12,$AV$2:$BA$84,4,FALSE),0)</f>
        <v/>
      </c>
      <c r="OB12" s="155">
        <f>IFERROR(VLOOKUP($MV12,$AV$2:$BA$84,6,FALSE),0)+IFERROR(VLOOKUP($MW12,$AV$2:$BA$84,6,FALSE),0)+IFERROR(VLOOKUP($MX12,$AV$2:$BA$84,6,FALSE),0)+IFERROR(VLOOKUP($MY12,$AV$2:$BA$84,6,FALSE),0)</f>
        <v/>
      </c>
      <c r="OC12" s="155">
        <f>TEXTJOIN(", ",TRUE,IF(IFERROR(VLOOKUP($MV12,$AV$2:$BA$84,5,FALSE),0)=1,$MV12,""),IF(IFERROR(VLOOKUP($MW12,$AV$2:$BA$84,5,FALSE),0)=1,$MW12,""),IF(IFERROR(VLOOKUP($MX12,$AV$2:$BA$84,5,FALSE),0)=1,$MX12,""),IF(IFERROR(VLOOKUP($MY12,$AV$2:$BA$84,5,FALSE),0)=1,$MY12,""))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f>
        <v/>
      </c>
      <c r="OY12" s="155">
        <f>$OW12-$OX12</f>
        <v/>
      </c>
      <c r="OZ12" s="155">
        <f>IF($MQ12=0,0,INDEX($P$2:$P$8,MAX(1,$MQ12)))</f>
        <v/>
      </c>
      <c r="PA12" s="155">
        <f>$OZ12-$OU12+$OX12</f>
        <v/>
      </c>
      <c r="PB12" s="155">
        <f>IF($MQ12=0,MAX(0,$NE12-IF($OS12&gt;0,1,0)),MAX(0,$PA12))</f>
        <v/>
      </c>
      <c r="PC12" s="155">
        <f>IF($MQ12=0,0,(IF(COUNTIF($MV12:$MY12,"Salto")&gt;0,1,0)+IF(COUNTIF($MV12:$MY12,"Queima")&gt;0,1,0)+IF(COUNTIF($MV12:$MY12,"Estilhaço")&gt;0,1,0))*FLOOR($PB12/2,1))</f>
        <v/>
      </c>
      <c r="PD12" s="155">
        <f>MAX(0,2-SUMPRODUCT($OK12:$OP12,$I$2:$N$2)+MIN(2,$OQ12*1+$OR12*1,SUMPRODUCT($OK12:$OP12,$I$2:$N$2)))</f>
        <v/>
      </c>
      <c r="PE12" s="155">
        <f>MAX(0,4-SUMPRODUCT($OK12:$OP12,$I$3:$N$3)+MIN(4,$OQ12*1+$OR12*2,SUMPRODUCT($OK12:$OP12,$I$3:$N$3)))</f>
        <v/>
      </c>
      <c r="PF12" s="155">
        <f>MAX(0,6-SUMPRODUCT($OK12:$OP12,$I$4:$N$4)+MIN(6,$OQ12*2+$OR12*3,SUMPRODUCT($OK12:$OP12,$I$4:$N$4)))</f>
        <v/>
      </c>
      <c r="PG12" s="155">
        <f>MAX(0,9-SUMPRODUCT($OK12:$OP12,$I$5:$N$5)+MIN(8,$OQ12*2+$OR12*4,SUMPRODUCT($OK12:$OP12,$I$5:$N$5)))</f>
        <v/>
      </c>
      <c r="PH12" s="155">
        <f>MAX(0,11-SUMPRODUCT($OK12:$OP12,$I$6:$N$6)+MIN(10,$OQ12*3+$OR12*5,SUMPRODUCT($OK12:$OP12,$I$6:$N$6)))</f>
        <v/>
      </c>
      <c r="PI12" s="155">
        <f>MAX(0,13-SUMPRODUCT($OK12:$OP12,$I$7:$N$7)+MIN(12,$OQ12*3+$OR12*6,SUMPRODUCT($OK12:$OP12,$I$7:$N$7)))</f>
        <v/>
      </c>
      <c r="PJ12" s="155">
        <f>MAX(0,16-SUMPRODUCT($OK12:$OP12,$I$8:$N$8)+MIN(14,$OQ12*4+$OR12*7,SUMPRODUCT($OK12:$OP12,$I$8:$N$8)))</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peça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Rajada</t>
        </is>
      </c>
      <c r="AW13" s="153" t="inlineStr">
        <is>
          <t>Área</t>
        </is>
      </c>
      <c r="AX13" s="155" t="n">
        <v>1</v>
      </c>
      <c r="AY13" s="155" t="n">
        <v>0</v>
      </c>
      <c r="AZ13" s="155" t="n">
        <v>1</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IF($EG13&gt;$HA13,"⚠ ","")&amp;"EQUIPAMENTO · "&amp;$EG13&amp;" DE "&amp;$HA13&amp;" DE VOLUME"&amp;IF($EG13&gt;$HA13," · PASSOU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"&amp;$FN13&amp;"d8"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IFERROR(VLOOKUP($MV13,$AV$2:$BA$84,2,FALSE),"")</f>
        <v/>
      </c>
      <c r="NJ13" s="155">
        <f>IFERROR(VLOOKUP($MW13,$AV$2:$BA$84,2,FALSE),"")</f>
        <v/>
      </c>
      <c r="NK13" s="155">
        <f>IFERROR(VLOOKUP($MX13,$AV$2:$BA$84,2,FALSE),"")</f>
        <v/>
      </c>
      <c r="NL13" s="155">
        <f>IFERROR(VLOOKUP($MY13,$AV$2:$BA$84,2,FALSE),"")</f>
        <v/>
      </c>
      <c r="NM13" s="155">
        <f>IFERROR(VLOOKUP($MV13,$AV$2:$BA$84,3,FALSE),0)</f>
        <v/>
      </c>
      <c r="NN13" s="155">
        <f>IFERROR(VLOOKUP($MW13,$AV$2:$BA$84,3,FALSE),0)</f>
        <v/>
      </c>
      <c r="NO13" s="155">
        <f>IFERROR(VLOOKUP($MX13,$AV$2:$BA$84,3,FALSE),0)</f>
        <v/>
      </c>
      <c r="NP13" s="155">
        <f>IFERROR(VLOOKUP($MY13,$AV$2:$BA$84,3,FALSE),0)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IFERROR(VLOOKUP($MV13,$AV$2:$BA$84,4,FALSE),0)+IFERROR(VLOOKUP($MW13,$AV$2:$BA$84,4,FALSE),0)+IFERROR(VLOOKUP($MX13,$AV$2:$BA$84,4,FALSE),0)+IFERROR(VLOOKUP($MY13,$AV$2:$BA$84,4,FALSE),0)</f>
        <v/>
      </c>
      <c r="OB13" s="155">
        <f>IFERROR(VLOOKUP($MV13,$AV$2:$BA$84,6,FALSE),0)+IFERROR(VLOOKUP($MW13,$AV$2:$BA$84,6,FALSE),0)+IFERROR(VLOOKUP($MX13,$AV$2:$BA$84,6,FALSE),0)+IFERROR(VLOOKUP($MY13,$AV$2:$BA$84,6,FALSE),0)</f>
        <v/>
      </c>
      <c r="OC13" s="155">
        <f>TEXTJOIN(", ",TRUE,IF(IFERROR(VLOOKUP($MV13,$AV$2:$BA$84,5,FALSE),0)=1,$MV13,""),IF(IFERROR(VLOOKUP($MW13,$AV$2:$BA$84,5,FALSE),0)=1,$MW13,""),IF(IFERROR(VLOOKUP($MX13,$AV$2:$BA$84,5,FALSE),0)=1,$MX13,""),IF(IFERROR(VLOOKUP($MY13,$AV$2:$BA$84,5,FALSE),0)=1,$MY13,""))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f>
        <v/>
      </c>
      <c r="OY13" s="155">
        <f>$OW13-$OX13</f>
        <v/>
      </c>
      <c r="OZ13" s="155">
        <f>IF($MQ13=0,0,INDEX($P$2:$P$8,MAX(1,$MQ13)))</f>
        <v/>
      </c>
      <c r="PA13" s="155">
        <f>$OZ13-$OU13+$OX13</f>
        <v/>
      </c>
      <c r="PB13" s="155">
        <f>IF($MQ13=0,MAX(0,$NE13-IF($OS13&gt;0,1,0)),MAX(0,$PA13))</f>
        <v/>
      </c>
      <c r="PC13" s="155">
        <f>IF($MQ13=0,0,(IF(COUNTIF($MV13:$MY13,"Salto")&gt;0,1,0)+IF(COUNTIF($MV13:$MY13,"Queima")&gt;0,1,0)+IF(COUNTIF($MV13:$MY13,"Estilhaço")&gt;0,1,0))*FLOOR($PB13/2,1))</f>
        <v/>
      </c>
      <c r="PD13" s="155">
        <f>MAX(0,2-SUMPRODUCT($OK13:$OP13,$I$2:$N$2)+MIN(2,$OQ13*1+$OR13*1,SUMPRODUCT($OK13:$OP13,$I$2:$N$2)))</f>
        <v/>
      </c>
      <c r="PE13" s="155">
        <f>MAX(0,4-SUMPRODUCT($OK13:$OP13,$I$3:$N$3)+MIN(4,$OQ13*1+$OR13*2,SUMPRODUCT($OK13:$OP13,$I$3:$N$3)))</f>
        <v/>
      </c>
      <c r="PF13" s="155">
        <f>MAX(0,6-SUMPRODUCT($OK13:$OP13,$I$4:$N$4)+MIN(6,$OQ13*2+$OR13*3,SUMPRODUCT($OK13:$OP13,$I$4:$N$4)))</f>
        <v/>
      </c>
      <c r="PG13" s="155">
        <f>MAX(0,9-SUMPRODUCT($OK13:$OP13,$I$5:$N$5)+MIN(8,$OQ13*2+$OR13*4,SUMPRODUCT($OK13:$OP13,$I$5:$N$5)))</f>
        <v/>
      </c>
      <c r="PH13" s="155">
        <f>MAX(0,11-SUMPRODUCT($OK13:$OP13,$I$6:$N$6)+MIN(10,$OQ13*3+$OR13*5,SUMPRODUCT($OK13:$OP13,$I$6:$N$6)))</f>
        <v/>
      </c>
      <c r="PI13" s="155">
        <f>MAX(0,13-SUMPRODUCT($OK13:$OP13,$I$7:$N$7)+MIN(12,$OQ13*3+$OR13*6,SUMPRODUCT($OK13:$OP13,$I$7:$N$7)))</f>
        <v/>
      </c>
      <c r="PJ13" s="155">
        <f>MAX(0,16-SUMPRODUCT($OK13:$OP13,$I$8:$N$8)+MIN(14,$OQ13*4+$OR13*7,SUMPRODUCT($OK13:$OP13,$I$8:$N$8)))</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peça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Fica</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IFERROR(VLOOKUP($MV14,$AV$2:$BA$84,2,FALSE),"")</f>
        <v/>
      </c>
      <c r="NJ14" s="155">
        <f>IFERROR(VLOOKUP($MW14,$AV$2:$BA$84,2,FALSE),"")</f>
        <v/>
      </c>
      <c r="NK14" s="155">
        <f>IFERROR(VLOOKUP($MX14,$AV$2:$BA$84,2,FALSE),"")</f>
        <v/>
      </c>
      <c r="NL14" s="155">
        <f>IFERROR(VLOOKUP($MY14,$AV$2:$BA$84,2,FALSE),"")</f>
        <v/>
      </c>
      <c r="NM14" s="155">
        <f>IFERROR(VLOOKUP($MV14,$AV$2:$BA$84,3,FALSE),0)</f>
        <v/>
      </c>
      <c r="NN14" s="155">
        <f>IFERROR(VLOOKUP($MW14,$AV$2:$BA$84,3,FALSE),0)</f>
        <v/>
      </c>
      <c r="NO14" s="155">
        <f>IFERROR(VLOOKUP($MX14,$AV$2:$BA$84,3,FALSE),0)</f>
        <v/>
      </c>
      <c r="NP14" s="155">
        <f>IFERROR(VLOOKUP($MY14,$AV$2:$BA$84,3,FALSE),0)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IFERROR(VLOOKUP($MV14,$AV$2:$BA$84,4,FALSE),0)+IFERROR(VLOOKUP($MW14,$AV$2:$BA$84,4,FALSE),0)+IFERROR(VLOOKUP($MX14,$AV$2:$BA$84,4,FALSE),0)+IFERROR(VLOOKUP($MY14,$AV$2:$BA$84,4,FALSE),0)</f>
        <v/>
      </c>
      <c r="OB14" s="155">
        <f>IFERROR(VLOOKUP($MV14,$AV$2:$BA$84,6,FALSE),0)+IFERROR(VLOOKUP($MW14,$AV$2:$BA$84,6,FALSE),0)+IFERROR(VLOOKUP($MX14,$AV$2:$BA$84,6,FALSE),0)+IFERROR(VLOOKUP($MY14,$AV$2:$BA$84,6,FALSE),0)</f>
        <v/>
      </c>
      <c r="OC14" s="155">
        <f>TEXTJOIN(", ",TRUE,IF(IFERROR(VLOOKUP($MV14,$AV$2:$BA$84,5,FALSE),0)=1,$MV14,""),IF(IFERROR(VLOOKUP($MW14,$AV$2:$BA$84,5,FALSE),0)=1,$MW14,""),IF(IFERROR(VLOOKUP($MX14,$AV$2:$BA$84,5,FALSE),0)=1,$MX14,""),IF(IFERROR(VLOOKUP($MY14,$AV$2:$BA$84,5,FALSE),0)=1,$MY14,""))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f>
        <v/>
      </c>
      <c r="OY14" s="155">
        <f>$OW14-$OX14</f>
        <v/>
      </c>
      <c r="OZ14" s="155">
        <f>IF($MQ14=0,0,INDEX($P$2:$P$8,MAX(1,$MQ14)))</f>
        <v/>
      </c>
      <c r="PA14" s="155">
        <f>$OZ14-$OU14+$OX14</f>
        <v/>
      </c>
      <c r="PB14" s="155">
        <f>IF($MQ14=0,MAX(0,$NE14-IF($OS14&gt;0,1,0)),MAX(0,$PA14))</f>
        <v/>
      </c>
      <c r="PC14" s="155">
        <f>IF($MQ14=0,0,(IF(COUNTIF($MV14:$MY14,"Salto")&gt;0,1,0)+IF(COUNTIF($MV14:$MY14,"Queima")&gt;0,1,0)+IF(COUNTIF($MV14:$MY14,"Estilhaço")&gt;0,1,0))*FLOOR($PB14/2,1))</f>
        <v/>
      </c>
      <c r="PD14" s="155">
        <f>MAX(0,2-SUMPRODUCT($OK14:$OP14,$I$2:$N$2)+MIN(2,$OQ14*1+$OR14*1,SUMPRODUCT($OK14:$OP14,$I$2:$N$2)))</f>
        <v/>
      </c>
      <c r="PE14" s="155">
        <f>MAX(0,4-SUMPRODUCT($OK14:$OP14,$I$3:$N$3)+MIN(4,$OQ14*1+$OR14*2,SUMPRODUCT($OK14:$OP14,$I$3:$N$3)))</f>
        <v/>
      </c>
      <c r="PF14" s="155">
        <f>MAX(0,6-SUMPRODUCT($OK14:$OP14,$I$4:$N$4)+MIN(6,$OQ14*2+$OR14*3,SUMPRODUCT($OK14:$OP14,$I$4:$N$4)))</f>
        <v/>
      </c>
      <c r="PG14" s="155">
        <f>MAX(0,9-SUMPRODUCT($OK14:$OP14,$I$5:$N$5)+MIN(8,$OQ14*2+$OR14*4,SUMPRODUCT($OK14:$OP14,$I$5:$N$5)))</f>
        <v/>
      </c>
      <c r="PH14" s="155">
        <f>MAX(0,11-SUMPRODUCT($OK14:$OP14,$I$6:$N$6)+MIN(10,$OQ14*3+$OR14*5,SUMPRODUCT($OK14:$OP14,$I$6:$N$6)))</f>
        <v/>
      </c>
      <c r="PI14" s="155">
        <f>MAX(0,13-SUMPRODUCT($OK14:$OP14,$I$7:$N$7)+MIN(12,$OQ14*3+$OR14*6,SUMPRODUCT($OK14:$OP14,$I$7:$N$7)))</f>
        <v/>
      </c>
      <c r="PJ14" s="155">
        <f>MAX(0,16-SUMPRODUCT($OK14:$OP14,$I$8:$N$8)+MIN(14,$OQ14*4+$OR14*7,SUMPRODUCT($OK14:$OP14,$I$8:$N$8)))</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peça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Salto</t>
        </is>
      </c>
      <c r="AW15" s="153" t="inlineStr">
        <is>
          <t>Área</t>
        </is>
      </c>
      <c r="AX15" s="155" t="n">
        <v>2</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IFERROR(VLOOKUP($MV15,$AV$2:$BA$84,2,FALSE),"")</f>
        <v/>
      </c>
      <c r="NJ15" s="155">
        <f>IFERROR(VLOOKUP($MW15,$AV$2:$BA$84,2,FALSE),"")</f>
        <v/>
      </c>
      <c r="NK15" s="155">
        <f>IFERROR(VLOOKUP($MX15,$AV$2:$BA$84,2,FALSE),"")</f>
        <v/>
      </c>
      <c r="NL15" s="155">
        <f>IFERROR(VLOOKUP($MY15,$AV$2:$BA$84,2,FALSE),"")</f>
        <v/>
      </c>
      <c r="NM15" s="155">
        <f>IFERROR(VLOOKUP($MV15,$AV$2:$BA$84,3,FALSE),0)</f>
        <v/>
      </c>
      <c r="NN15" s="155">
        <f>IFERROR(VLOOKUP($MW15,$AV$2:$BA$84,3,FALSE),0)</f>
        <v/>
      </c>
      <c r="NO15" s="155">
        <f>IFERROR(VLOOKUP($MX15,$AV$2:$BA$84,3,FALSE),0)</f>
        <v/>
      </c>
      <c r="NP15" s="155">
        <f>IFERROR(VLOOKUP($MY15,$AV$2:$BA$84,3,FALSE),0)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IFERROR(VLOOKUP($MV15,$AV$2:$BA$84,4,FALSE),0)+IFERROR(VLOOKUP($MW15,$AV$2:$BA$84,4,FALSE),0)+IFERROR(VLOOKUP($MX15,$AV$2:$BA$84,4,FALSE),0)+IFERROR(VLOOKUP($MY15,$AV$2:$BA$84,4,FALSE),0)</f>
        <v/>
      </c>
      <c r="OB15" s="155">
        <f>IFERROR(VLOOKUP($MV15,$AV$2:$BA$84,6,FALSE),0)+IFERROR(VLOOKUP($MW15,$AV$2:$BA$84,6,FALSE),0)+IFERROR(VLOOKUP($MX15,$AV$2:$BA$84,6,FALSE),0)+IFERROR(VLOOKUP($MY15,$AV$2:$BA$84,6,FALSE),0)</f>
        <v/>
      </c>
      <c r="OC15" s="155">
        <f>TEXTJOIN(", ",TRUE,IF(IFERROR(VLOOKUP($MV15,$AV$2:$BA$84,5,FALSE),0)=1,$MV15,""),IF(IFERROR(VLOOKUP($MW15,$AV$2:$BA$84,5,FALSE),0)=1,$MW15,""),IF(IFERROR(VLOOKUP($MX15,$AV$2:$BA$84,5,FALSE),0)=1,$MX15,""),IF(IFERROR(VLOOKUP($MY15,$AV$2:$BA$84,5,FALSE),0)=1,$MY15,""))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f>
        <v/>
      </c>
      <c r="OY15" s="155">
        <f>$OW15-$OX15</f>
        <v/>
      </c>
      <c r="OZ15" s="155">
        <f>IF($MQ15=0,0,INDEX($P$2:$P$8,MAX(1,$MQ15)))</f>
        <v/>
      </c>
      <c r="PA15" s="155">
        <f>$OZ15-$OU15+$OX15</f>
        <v/>
      </c>
      <c r="PB15" s="155">
        <f>IF($MQ15=0,MAX(0,$NE15-IF($OS15&gt;0,1,0)),MAX(0,$PA15))</f>
        <v/>
      </c>
      <c r="PC15" s="155">
        <f>IF($MQ15=0,0,(IF(COUNTIF($MV15:$MY15,"Salto")&gt;0,1,0)+IF(COUNTIF($MV15:$MY15,"Queima")&gt;0,1,0)+IF(COUNTIF($MV15:$MY15,"Estilhaço")&gt;0,1,0))*FLOOR($PB15/2,1))</f>
        <v/>
      </c>
      <c r="PD15" s="155">
        <f>MAX(0,2-SUMPRODUCT($OK15:$OP15,$I$2:$N$2)+MIN(2,$OQ15*1+$OR15*1,SUMPRODUCT($OK15:$OP15,$I$2:$N$2)))</f>
        <v/>
      </c>
      <c r="PE15" s="155">
        <f>MAX(0,4-SUMPRODUCT($OK15:$OP15,$I$3:$N$3)+MIN(4,$OQ15*1+$OR15*2,SUMPRODUCT($OK15:$OP15,$I$3:$N$3)))</f>
        <v/>
      </c>
      <c r="PF15" s="155">
        <f>MAX(0,6-SUMPRODUCT($OK15:$OP15,$I$4:$N$4)+MIN(6,$OQ15*2+$OR15*3,SUMPRODUCT($OK15:$OP15,$I$4:$N$4)))</f>
        <v/>
      </c>
      <c r="PG15" s="155">
        <f>MAX(0,9-SUMPRODUCT($OK15:$OP15,$I$5:$N$5)+MIN(8,$OQ15*2+$OR15*4,SUMPRODUCT($OK15:$OP15,$I$5:$N$5)))</f>
        <v/>
      </c>
      <c r="PH15" s="155">
        <f>MAX(0,11-SUMPRODUCT($OK15:$OP15,$I$6:$N$6)+MIN(10,$OQ15*3+$OR15*5,SUMPRODUCT($OK15:$OP15,$I$6:$N$6)))</f>
        <v/>
      </c>
      <c r="PI15" s="155">
        <f>MAX(0,13-SUMPRODUCT($OK15:$OP15,$I$7:$N$7)+MIN(12,$OQ15*3+$OR15*6,SUMPRODUCT($OK15:$OP15,$I$7:$N$7)))</f>
        <v/>
      </c>
      <c r="PJ15" s="155">
        <f>MAX(0,16-SUMPRODUCT($OK15:$OP15,$I$8:$N$8)+MIN(14,$OQ15*4+$OR15*7,SUMPRODUCT($OK15:$OP15,$I$8:$N$8)))</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peça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Contorno</t>
        </is>
      </c>
      <c r="AW16" s="153" t="inlineStr">
        <is>
          <t>Área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IFERROR(VLOOKUP($MV16,$AV$2:$BA$84,2,FALSE),"")</f>
        <v/>
      </c>
      <c r="NJ16" s="155">
        <f>IFERROR(VLOOKUP($MW16,$AV$2:$BA$84,2,FALSE),"")</f>
        <v/>
      </c>
      <c r="NK16" s="155">
        <f>IFERROR(VLOOKUP($MX16,$AV$2:$BA$84,2,FALSE),"")</f>
        <v/>
      </c>
      <c r="NL16" s="155">
        <f>IFERROR(VLOOKUP($MY16,$AV$2:$BA$84,2,FALSE),"")</f>
        <v/>
      </c>
      <c r="NM16" s="155">
        <f>IFERROR(VLOOKUP($MV16,$AV$2:$BA$84,3,FALSE),0)</f>
        <v/>
      </c>
      <c r="NN16" s="155">
        <f>IFERROR(VLOOKUP($MW16,$AV$2:$BA$84,3,FALSE),0)</f>
        <v/>
      </c>
      <c r="NO16" s="155">
        <f>IFERROR(VLOOKUP($MX16,$AV$2:$BA$84,3,FALSE),0)</f>
        <v/>
      </c>
      <c r="NP16" s="155">
        <f>IFERROR(VLOOKUP($MY16,$AV$2:$BA$84,3,FALSE),0)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IFERROR(VLOOKUP($MV16,$AV$2:$BA$84,4,FALSE),0)+IFERROR(VLOOKUP($MW16,$AV$2:$BA$84,4,FALSE),0)+IFERROR(VLOOKUP($MX16,$AV$2:$BA$84,4,FALSE),0)+IFERROR(VLOOKUP($MY16,$AV$2:$BA$84,4,FALSE),0)</f>
        <v/>
      </c>
      <c r="OB16" s="155">
        <f>IFERROR(VLOOKUP($MV16,$AV$2:$BA$84,6,FALSE),0)+IFERROR(VLOOKUP($MW16,$AV$2:$BA$84,6,FALSE),0)+IFERROR(VLOOKUP($MX16,$AV$2:$BA$84,6,FALSE),0)+IFERROR(VLOOKUP($MY16,$AV$2:$BA$84,6,FALSE),0)</f>
        <v/>
      </c>
      <c r="OC16" s="155">
        <f>TEXTJOIN(", ",TRUE,IF(IFERROR(VLOOKUP($MV16,$AV$2:$BA$84,5,FALSE),0)=1,$MV16,""),IF(IFERROR(VLOOKUP($MW16,$AV$2:$BA$84,5,FALSE),0)=1,$MW16,""),IF(IFERROR(VLOOKUP($MX16,$AV$2:$BA$84,5,FALSE),0)=1,$MX16,""),IF(IFERROR(VLOOKUP($MY16,$AV$2:$BA$84,5,FALSE),0)=1,$MY16,""))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f>
        <v/>
      </c>
      <c r="OY16" s="155">
        <f>$OW16-$OX16</f>
        <v/>
      </c>
      <c r="OZ16" s="155">
        <f>IF($MQ16=0,0,INDEX($P$2:$P$8,MAX(1,$MQ16)))</f>
        <v/>
      </c>
      <c r="PA16" s="155">
        <f>$OZ16-$OU16+$OX16</f>
        <v/>
      </c>
      <c r="PB16" s="155">
        <f>IF($MQ16=0,MAX(0,$NE16-IF($OS16&gt;0,1,0)),MAX(0,$PA16))</f>
        <v/>
      </c>
      <c r="PC16" s="155">
        <f>IF($MQ16=0,0,(IF(COUNTIF($MV16:$MY16,"Salto")&gt;0,1,0)+IF(COUNTIF($MV16:$MY16,"Queima")&gt;0,1,0)+IF(COUNTIF($MV16:$MY16,"Estilhaço")&gt;0,1,0))*FLOOR($PB16/2,1))</f>
        <v/>
      </c>
      <c r="PD16" s="155">
        <f>MAX(0,2-SUMPRODUCT($OK16:$OP16,$I$2:$N$2)+MIN(2,$OQ16*1+$OR16*1,SUMPRODUCT($OK16:$OP16,$I$2:$N$2)))</f>
        <v/>
      </c>
      <c r="PE16" s="155">
        <f>MAX(0,4-SUMPRODUCT($OK16:$OP16,$I$3:$N$3)+MIN(4,$OQ16*1+$OR16*2,SUMPRODUCT($OK16:$OP16,$I$3:$N$3)))</f>
        <v/>
      </c>
      <c r="PF16" s="155">
        <f>MAX(0,6-SUMPRODUCT($OK16:$OP16,$I$4:$N$4)+MIN(6,$OQ16*2+$OR16*3,SUMPRODUCT($OK16:$OP16,$I$4:$N$4)))</f>
        <v/>
      </c>
      <c r="PG16" s="155">
        <f>MAX(0,9-SUMPRODUCT($OK16:$OP16,$I$5:$N$5)+MIN(8,$OQ16*2+$OR16*4,SUMPRODUCT($OK16:$OP16,$I$5:$N$5)))</f>
        <v/>
      </c>
      <c r="PH16" s="155">
        <f>MAX(0,11-SUMPRODUCT($OK16:$OP16,$I$6:$N$6)+MIN(10,$OQ16*3+$OR16*5,SUMPRODUCT($OK16:$OP16,$I$6:$N$6)))</f>
        <v/>
      </c>
      <c r="PI16" s="155">
        <f>MAX(0,13-SUMPRODUCT($OK16:$OP16,$I$7:$N$7)+MIN(12,$OQ16*3+$OR16*6,SUMPRODUCT($OK16:$OP16,$I$7:$N$7)))</f>
        <v/>
      </c>
      <c r="PJ16" s="155">
        <f>MAX(0,16-SUMPRODUCT($OK16:$OP16,$I$8:$N$8)+MIN(14,$OQ16*4+$OR16*7,SUMPRODUCT($OK16:$OP16,$I$8:$N$8)))</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peça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Precisão</t>
        </is>
      </c>
      <c r="AW17" s="153" t="inlineStr">
        <is>
          <t>Mira</t>
        </is>
      </c>
      <c r="AX17" s="155" t="n">
        <v>1</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IFERROR(VLOOKUP($MV17,$AV$2:$BA$84,2,FALSE),"")</f>
        <v/>
      </c>
      <c r="NJ17" s="155">
        <f>IFERROR(VLOOKUP($MW17,$AV$2:$BA$84,2,FALSE),"")</f>
        <v/>
      </c>
      <c r="NK17" s="155">
        <f>IFERROR(VLOOKUP($MX17,$AV$2:$BA$84,2,FALSE),"")</f>
        <v/>
      </c>
      <c r="NL17" s="155">
        <f>IFERROR(VLOOKUP($MY17,$AV$2:$BA$84,2,FALSE),"")</f>
        <v/>
      </c>
      <c r="NM17" s="155">
        <f>IFERROR(VLOOKUP($MV17,$AV$2:$BA$84,3,FALSE),0)</f>
        <v/>
      </c>
      <c r="NN17" s="155">
        <f>IFERROR(VLOOKUP($MW17,$AV$2:$BA$84,3,FALSE),0)</f>
        <v/>
      </c>
      <c r="NO17" s="155">
        <f>IFERROR(VLOOKUP($MX17,$AV$2:$BA$84,3,FALSE),0)</f>
        <v/>
      </c>
      <c r="NP17" s="155">
        <f>IFERROR(VLOOKUP($MY17,$AV$2:$BA$84,3,FALSE),0)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IFERROR(VLOOKUP($MV17,$AV$2:$BA$84,4,FALSE),0)+IFERROR(VLOOKUP($MW17,$AV$2:$BA$84,4,FALSE),0)+IFERROR(VLOOKUP($MX17,$AV$2:$BA$84,4,FALSE),0)+IFERROR(VLOOKUP($MY17,$AV$2:$BA$84,4,FALSE),0)</f>
        <v/>
      </c>
      <c r="OB17" s="155">
        <f>IFERROR(VLOOKUP($MV17,$AV$2:$BA$84,6,FALSE),0)+IFERROR(VLOOKUP($MW17,$AV$2:$BA$84,6,FALSE),0)+IFERROR(VLOOKUP($MX17,$AV$2:$BA$84,6,FALSE),0)+IFERROR(VLOOKUP($MY17,$AV$2:$BA$84,6,FALSE),0)</f>
        <v/>
      </c>
      <c r="OC17" s="155">
        <f>TEXTJOIN(", ",TRUE,IF(IFERROR(VLOOKUP($MV17,$AV$2:$BA$84,5,FALSE),0)=1,$MV17,""),IF(IFERROR(VLOOKUP($MW17,$AV$2:$BA$84,5,FALSE),0)=1,$MW17,""),IF(IFERROR(VLOOKUP($MX17,$AV$2:$BA$84,5,FALSE),0)=1,$MX17,""),IF(IFERROR(VLOOKUP($MY17,$AV$2:$BA$84,5,FALSE),0)=1,$MY17,""))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f>
        <v/>
      </c>
      <c r="OY17" s="155">
        <f>$OW17-$OX17</f>
        <v/>
      </c>
      <c r="OZ17" s="155">
        <f>IF($MQ17=0,0,INDEX($P$2:$P$8,MAX(1,$MQ17)))</f>
        <v/>
      </c>
      <c r="PA17" s="155">
        <f>$OZ17-$OU17+$OX17</f>
        <v/>
      </c>
      <c r="PB17" s="155">
        <f>IF($MQ17=0,MAX(0,$NE17-IF($OS17&gt;0,1,0)),MAX(0,$PA17))</f>
        <v/>
      </c>
      <c r="PC17" s="155">
        <f>IF($MQ17=0,0,(IF(COUNTIF($MV17:$MY17,"Salto")&gt;0,1,0)+IF(COUNTIF($MV17:$MY17,"Queima")&gt;0,1,0)+IF(COUNTIF($MV17:$MY17,"Estilhaço")&gt;0,1,0))*FLOOR($PB17/2,1))</f>
        <v/>
      </c>
      <c r="PD17" s="155">
        <f>MAX(0,2-SUMPRODUCT($OK17:$OP17,$I$2:$N$2)+MIN(2,$OQ17*1+$OR17*1,SUMPRODUCT($OK17:$OP17,$I$2:$N$2)))</f>
        <v/>
      </c>
      <c r="PE17" s="155">
        <f>MAX(0,4-SUMPRODUCT($OK17:$OP17,$I$3:$N$3)+MIN(4,$OQ17*1+$OR17*2,SUMPRODUCT($OK17:$OP17,$I$3:$N$3)))</f>
        <v/>
      </c>
      <c r="PF17" s="155">
        <f>MAX(0,6-SUMPRODUCT($OK17:$OP17,$I$4:$N$4)+MIN(6,$OQ17*2+$OR17*3,SUMPRODUCT($OK17:$OP17,$I$4:$N$4)))</f>
        <v/>
      </c>
      <c r="PG17" s="155">
        <f>MAX(0,9-SUMPRODUCT($OK17:$OP17,$I$5:$N$5)+MIN(8,$OQ17*2+$OR17*4,SUMPRODUCT($OK17:$OP17,$I$5:$N$5)))</f>
        <v/>
      </c>
      <c r="PH17" s="155">
        <f>MAX(0,11-SUMPRODUCT($OK17:$OP17,$I$6:$N$6)+MIN(10,$OQ17*3+$OR17*5,SUMPRODUCT($OK17:$OP17,$I$6:$N$6)))</f>
        <v/>
      </c>
      <c r="PI17" s="155">
        <f>MAX(0,13-SUMPRODUCT($OK17:$OP17,$I$7:$N$7)+MIN(12,$OQ17*3+$OR17*6,SUMPRODUCT($OK17:$OP17,$I$7:$N$7)))</f>
        <v/>
      </c>
      <c r="PJ17" s="155">
        <f>MAX(0,16-SUMPRODUCT($OK17:$OP17,$I$8:$N$8)+MIN(14,$OQ17*4+$OR17*7,SUMPRODUCT($OK17:$OP17,$I$8:$N$8)))</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peça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Certeiro</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IFERROR(VLOOKUP($MV18,$AV$2:$BA$84,2,FALSE),"")</f>
        <v/>
      </c>
      <c r="NJ18" s="155">
        <f>IFERROR(VLOOKUP($MW18,$AV$2:$BA$84,2,FALSE),"")</f>
        <v/>
      </c>
      <c r="NK18" s="155">
        <f>IFERROR(VLOOKUP($MX18,$AV$2:$BA$84,2,FALSE),"")</f>
        <v/>
      </c>
      <c r="NL18" s="155">
        <f>IFERROR(VLOOKUP($MY18,$AV$2:$BA$84,2,FALSE),"")</f>
        <v/>
      </c>
      <c r="NM18" s="155">
        <f>IFERROR(VLOOKUP($MV18,$AV$2:$BA$84,3,FALSE),0)</f>
        <v/>
      </c>
      <c r="NN18" s="155">
        <f>IFERROR(VLOOKUP($MW18,$AV$2:$BA$84,3,FALSE),0)</f>
        <v/>
      </c>
      <c r="NO18" s="155">
        <f>IFERROR(VLOOKUP($MX18,$AV$2:$BA$84,3,FALSE),0)</f>
        <v/>
      </c>
      <c r="NP18" s="155">
        <f>IFERROR(VLOOKUP($MY18,$AV$2:$BA$84,3,FALSE),0)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IFERROR(VLOOKUP($MV18,$AV$2:$BA$84,4,FALSE),0)+IFERROR(VLOOKUP($MW18,$AV$2:$BA$84,4,FALSE),0)+IFERROR(VLOOKUP($MX18,$AV$2:$BA$84,4,FALSE),0)+IFERROR(VLOOKUP($MY18,$AV$2:$BA$84,4,FALSE),0)</f>
        <v/>
      </c>
      <c r="OB18" s="155">
        <f>IFERROR(VLOOKUP($MV18,$AV$2:$BA$84,6,FALSE),0)+IFERROR(VLOOKUP($MW18,$AV$2:$BA$84,6,FALSE),0)+IFERROR(VLOOKUP($MX18,$AV$2:$BA$84,6,FALSE),0)+IFERROR(VLOOKUP($MY18,$AV$2:$BA$84,6,FALSE),0)</f>
        <v/>
      </c>
      <c r="OC18" s="155">
        <f>TEXTJOIN(", ",TRUE,IF(IFERROR(VLOOKUP($MV18,$AV$2:$BA$84,5,FALSE),0)=1,$MV18,""),IF(IFERROR(VLOOKUP($MW18,$AV$2:$BA$84,5,FALSE),0)=1,$MW18,""),IF(IFERROR(VLOOKUP($MX18,$AV$2:$BA$84,5,FALSE),0)=1,$MX18,""),IF(IFERROR(VLOOKUP($MY18,$AV$2:$BA$84,5,FALSE),0)=1,$MY18,""))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f>
        <v/>
      </c>
      <c r="OY18" s="155">
        <f>$OW18-$OX18</f>
        <v/>
      </c>
      <c r="OZ18" s="155">
        <f>IF($MQ18=0,0,INDEX($P$2:$P$8,MAX(1,$MQ18)))</f>
        <v/>
      </c>
      <c r="PA18" s="155">
        <f>$OZ18-$OU18+$OX18</f>
        <v/>
      </c>
      <c r="PB18" s="155">
        <f>IF($MQ18=0,MAX(0,$NE18-IF($OS18&gt;0,1,0)),MAX(0,$PA18))</f>
        <v/>
      </c>
      <c r="PC18" s="155">
        <f>IF($MQ18=0,0,(IF(COUNTIF($MV18:$MY18,"Salto")&gt;0,1,0)+IF(COUNTIF($MV18:$MY18,"Queima")&gt;0,1,0)+IF(COUNTIF($MV18:$MY18,"Estilhaço")&gt;0,1,0))*FLOOR($PB18/2,1))</f>
        <v/>
      </c>
      <c r="PD18" s="155">
        <f>MAX(0,2-SUMPRODUCT($OK18:$OP18,$I$2:$N$2)+MIN(2,$OQ18*1+$OR18*1,SUMPRODUCT($OK18:$OP18,$I$2:$N$2)))</f>
        <v/>
      </c>
      <c r="PE18" s="155">
        <f>MAX(0,4-SUMPRODUCT($OK18:$OP18,$I$3:$N$3)+MIN(4,$OQ18*1+$OR18*2,SUMPRODUCT($OK18:$OP18,$I$3:$N$3)))</f>
        <v/>
      </c>
      <c r="PF18" s="155">
        <f>MAX(0,6-SUMPRODUCT($OK18:$OP18,$I$4:$N$4)+MIN(6,$OQ18*2+$OR18*3,SUMPRODUCT($OK18:$OP18,$I$4:$N$4)))</f>
        <v/>
      </c>
      <c r="PG18" s="155">
        <f>MAX(0,9-SUMPRODUCT($OK18:$OP18,$I$5:$N$5)+MIN(8,$OQ18*2+$OR18*4,SUMPRODUCT($OK18:$OP18,$I$5:$N$5)))</f>
        <v/>
      </c>
      <c r="PH18" s="155">
        <f>MAX(0,11-SUMPRODUCT($OK18:$OP18,$I$6:$N$6)+MIN(10,$OQ18*3+$OR18*5,SUMPRODUCT($OK18:$OP18,$I$6:$N$6)))</f>
        <v/>
      </c>
      <c r="PI18" s="155">
        <f>MAX(0,13-SUMPRODUCT($OK18:$OP18,$I$7:$N$7)+MIN(12,$OQ18*3+$OR18*6,SUMPRODUCT($OK18:$OP18,$I$7:$N$7)))</f>
        <v/>
      </c>
      <c r="PJ18" s="155">
        <f>MAX(0,16-SUMPRODUCT($OK18:$OP18,$I$8:$N$8)+MIN(14,$OQ18*4+$OR18*7,SUMPRODUCT($OK18:$OP18,$I$8:$N$8)))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peça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Inescapável</t>
        </is>
      </c>
      <c r="AW19" s="153" t="inlineStr">
        <is>
          <t>Mira</t>
        </is>
      </c>
      <c r="AX19" s="155" t="n">
        <v>2</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IFERROR(VLOOKUP($MV19,$AV$2:$BA$84,2,FALSE),"")</f>
        <v/>
      </c>
      <c r="NJ19" s="155">
        <f>IFERROR(VLOOKUP($MW19,$AV$2:$BA$84,2,FALSE),"")</f>
        <v/>
      </c>
      <c r="NK19" s="155">
        <f>IFERROR(VLOOKUP($MX19,$AV$2:$BA$84,2,FALSE),"")</f>
        <v/>
      </c>
      <c r="NL19" s="155">
        <f>IFERROR(VLOOKUP($MY19,$AV$2:$BA$84,2,FALSE),"")</f>
        <v/>
      </c>
      <c r="NM19" s="155">
        <f>IFERROR(VLOOKUP($MV19,$AV$2:$BA$84,3,FALSE),0)</f>
        <v/>
      </c>
      <c r="NN19" s="155">
        <f>IFERROR(VLOOKUP($MW19,$AV$2:$BA$84,3,FALSE),0)</f>
        <v/>
      </c>
      <c r="NO19" s="155">
        <f>IFERROR(VLOOKUP($MX19,$AV$2:$BA$84,3,FALSE),0)</f>
        <v/>
      </c>
      <c r="NP19" s="155">
        <f>IFERROR(VLOOKUP($MY19,$AV$2:$BA$84,3,FALSE),0)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IFERROR(VLOOKUP($MV19,$AV$2:$BA$84,4,FALSE),0)+IFERROR(VLOOKUP($MW19,$AV$2:$BA$84,4,FALSE),0)+IFERROR(VLOOKUP($MX19,$AV$2:$BA$84,4,FALSE),0)+IFERROR(VLOOKUP($MY19,$AV$2:$BA$84,4,FALSE),0)</f>
        <v/>
      </c>
      <c r="OB19" s="155">
        <f>IFERROR(VLOOKUP($MV19,$AV$2:$BA$84,6,FALSE),0)+IFERROR(VLOOKUP($MW19,$AV$2:$BA$84,6,FALSE),0)+IFERROR(VLOOKUP($MX19,$AV$2:$BA$84,6,FALSE),0)+IFERROR(VLOOKUP($MY19,$AV$2:$BA$84,6,FALSE),0)</f>
        <v/>
      </c>
      <c r="OC19" s="155">
        <f>TEXTJOIN(", ",TRUE,IF(IFERROR(VLOOKUP($MV19,$AV$2:$BA$84,5,FALSE),0)=1,$MV19,""),IF(IFERROR(VLOOKUP($MW19,$AV$2:$BA$84,5,FALSE),0)=1,$MW19,""),IF(IFERROR(VLOOKUP($MX19,$AV$2:$BA$84,5,FALSE),0)=1,$MX19,""),IF(IFERROR(VLOOKUP($MY19,$AV$2:$BA$84,5,FALSE),0)=1,$MY19,""))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f>
        <v/>
      </c>
      <c r="OY19" s="155">
        <f>$OW19-$OX19</f>
        <v/>
      </c>
      <c r="OZ19" s="155">
        <f>IF($MQ19=0,0,INDEX($P$2:$P$8,MAX(1,$MQ19)))</f>
        <v/>
      </c>
      <c r="PA19" s="155">
        <f>$OZ19-$OU19+$OX19</f>
        <v/>
      </c>
      <c r="PB19" s="155">
        <f>IF($MQ19=0,MAX(0,$NE19-IF($OS19&gt;0,1,0)),MAX(0,$PA19))</f>
        <v/>
      </c>
      <c r="PC19" s="155">
        <f>IF($MQ19=0,0,(IF(COUNTIF($MV19:$MY19,"Salto")&gt;0,1,0)+IF(COUNTIF($MV19:$MY19,"Queima")&gt;0,1,0)+IF(COUNTIF($MV19:$MY19,"Estilhaço")&gt;0,1,0))*FLOOR($PB19/2,1))</f>
        <v/>
      </c>
      <c r="PD19" s="155">
        <f>MAX(0,2-SUMPRODUCT($OK19:$OP19,$I$2:$N$2)+MIN(2,$OQ19*1+$OR19*1,SUMPRODUCT($OK19:$OP19,$I$2:$N$2)))</f>
        <v/>
      </c>
      <c r="PE19" s="155">
        <f>MAX(0,4-SUMPRODUCT($OK19:$OP19,$I$3:$N$3)+MIN(4,$OQ19*1+$OR19*2,SUMPRODUCT($OK19:$OP19,$I$3:$N$3)))</f>
        <v/>
      </c>
      <c r="PF19" s="155">
        <f>MAX(0,6-SUMPRODUCT($OK19:$OP19,$I$4:$N$4)+MIN(6,$OQ19*2+$OR19*3,SUMPRODUCT($OK19:$OP19,$I$4:$N$4)))</f>
        <v/>
      </c>
      <c r="PG19" s="155">
        <f>MAX(0,9-SUMPRODUCT($OK19:$OP19,$I$5:$N$5)+MIN(8,$OQ19*2+$OR19*4,SUMPRODUCT($OK19:$OP19,$I$5:$N$5)))</f>
        <v/>
      </c>
      <c r="PH19" s="155">
        <f>MAX(0,11-SUMPRODUCT($OK19:$OP19,$I$6:$N$6)+MIN(10,$OQ19*3+$OR19*5,SUMPRODUCT($OK19:$OP19,$I$6:$N$6)))</f>
        <v/>
      </c>
      <c r="PI19" s="155">
        <f>MAX(0,13-SUMPRODUCT($OK19:$OP19,$I$7:$N$7)+MIN(12,$OQ19*3+$OR19*6,SUMPRODUCT($OK19:$OP19,$I$7:$N$7)))</f>
        <v/>
      </c>
      <c r="PJ19" s="155">
        <f>MAX(0,16-SUMPRODUCT($OK19:$OP19,$I$8:$N$8)+MIN(14,$OQ19*4+$OR19*7,SUMPRODUCT($OK19:$OP19,$I$8:$N$8)))</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peça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De Novo</t>
        </is>
      </c>
      <c r="AW20" s="153" t="inlineStr">
        <is>
          <t>Mira</t>
        </is>
      </c>
      <c r="AX20" s="155" t="n">
        <v>2</v>
      </c>
      <c r="AY20" s="155" t="n">
        <v>0</v>
      </c>
      <c r="AZ20" s="155" t="n">
        <v>0</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IFERROR(VLOOKUP($MV20,$AV$2:$BA$84,2,FALSE),"")</f>
        <v/>
      </c>
      <c r="NJ20" s="155">
        <f>IFERROR(VLOOKUP($MW20,$AV$2:$BA$84,2,FALSE),"")</f>
        <v/>
      </c>
      <c r="NK20" s="155">
        <f>IFERROR(VLOOKUP($MX20,$AV$2:$BA$84,2,FALSE),"")</f>
        <v/>
      </c>
      <c r="NL20" s="155">
        <f>IFERROR(VLOOKUP($MY20,$AV$2:$BA$84,2,FALSE),"")</f>
        <v/>
      </c>
      <c r="NM20" s="155">
        <f>IFERROR(VLOOKUP($MV20,$AV$2:$BA$84,3,FALSE),0)</f>
        <v/>
      </c>
      <c r="NN20" s="155">
        <f>IFERROR(VLOOKUP($MW20,$AV$2:$BA$84,3,FALSE),0)</f>
        <v/>
      </c>
      <c r="NO20" s="155">
        <f>IFERROR(VLOOKUP($MX20,$AV$2:$BA$84,3,FALSE),0)</f>
        <v/>
      </c>
      <c r="NP20" s="155">
        <f>IFERROR(VLOOKUP($MY20,$AV$2:$BA$84,3,FALSE),0)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IFERROR(VLOOKUP($MV20,$AV$2:$BA$84,4,FALSE),0)+IFERROR(VLOOKUP($MW20,$AV$2:$BA$84,4,FALSE),0)+IFERROR(VLOOKUP($MX20,$AV$2:$BA$84,4,FALSE),0)+IFERROR(VLOOKUP($MY20,$AV$2:$BA$84,4,FALSE),0)</f>
        <v/>
      </c>
      <c r="OB20" s="155">
        <f>IFERROR(VLOOKUP($MV20,$AV$2:$BA$84,6,FALSE),0)+IFERROR(VLOOKUP($MW20,$AV$2:$BA$84,6,FALSE),0)+IFERROR(VLOOKUP($MX20,$AV$2:$BA$84,6,FALSE),0)+IFERROR(VLOOKUP($MY20,$AV$2:$BA$84,6,FALSE),0)</f>
        <v/>
      </c>
      <c r="OC20" s="155">
        <f>TEXTJOIN(", ",TRUE,IF(IFERROR(VLOOKUP($MV20,$AV$2:$BA$84,5,FALSE),0)=1,$MV20,""),IF(IFERROR(VLOOKUP($MW20,$AV$2:$BA$84,5,FALSE),0)=1,$MW20,""),IF(IFERROR(VLOOKUP($MX20,$AV$2:$BA$84,5,FALSE),0)=1,$MX20,""),IF(IFERROR(VLOOKUP($MY20,$AV$2:$BA$84,5,FALSE),0)=1,$MY20,""))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f>
        <v/>
      </c>
      <c r="OY20" s="155">
        <f>$OW20-$OX20</f>
        <v/>
      </c>
      <c r="OZ20" s="155">
        <f>IF($MQ20=0,0,INDEX($P$2:$P$8,MAX(1,$MQ20)))</f>
        <v/>
      </c>
      <c r="PA20" s="155">
        <f>$OZ20-$OU20+$OX20</f>
        <v/>
      </c>
      <c r="PB20" s="155">
        <f>IF($MQ20=0,MAX(0,$NE20-IF($OS20&gt;0,1,0)),MAX(0,$PA20))</f>
        <v/>
      </c>
      <c r="PC20" s="155">
        <f>IF($MQ20=0,0,(IF(COUNTIF($MV20:$MY20,"Salto")&gt;0,1,0)+IF(COUNTIF($MV20:$MY20,"Queima")&gt;0,1,0)+IF(COUNTIF($MV20:$MY20,"Estilhaço")&gt;0,1,0))*FLOOR($PB20/2,1))</f>
        <v/>
      </c>
      <c r="PD20" s="155">
        <f>MAX(0,2-SUMPRODUCT($OK20:$OP20,$I$2:$N$2)+MIN(2,$OQ20*1+$OR20*1,SUMPRODUCT($OK20:$OP20,$I$2:$N$2)))</f>
        <v/>
      </c>
      <c r="PE20" s="155">
        <f>MAX(0,4-SUMPRODUCT($OK20:$OP20,$I$3:$N$3)+MIN(4,$OQ20*1+$OR20*2,SUMPRODUCT($OK20:$OP20,$I$3:$N$3)))</f>
        <v/>
      </c>
      <c r="PF20" s="155">
        <f>MAX(0,6-SUMPRODUCT($OK20:$OP20,$I$4:$N$4)+MIN(6,$OQ20*2+$OR20*3,SUMPRODUCT($OK20:$OP20,$I$4:$N$4)))</f>
        <v/>
      </c>
      <c r="PG20" s="155">
        <f>MAX(0,9-SUMPRODUCT($OK20:$OP20,$I$5:$N$5)+MIN(8,$OQ20*2+$OR20*4,SUMPRODUCT($OK20:$OP20,$I$5:$N$5)))</f>
        <v/>
      </c>
      <c r="PH20" s="155">
        <f>MAX(0,11-SUMPRODUCT($OK20:$OP20,$I$6:$N$6)+MIN(10,$OQ20*3+$OR20*5,SUMPRODUCT($OK20:$OP20,$I$6:$N$6)))</f>
        <v/>
      </c>
      <c r="PI20" s="155">
        <f>MAX(0,13-SUMPRODUCT($OK20:$OP20,$I$7:$N$7)+MIN(12,$OQ20*3+$OR20*6,SUMPRODUCT($OK20:$OP20,$I$7:$N$7)))</f>
        <v/>
      </c>
      <c r="PJ20" s="155">
        <f>MAX(0,16-SUMPRODUCT($OK20:$OP20,$I$8:$N$8)+MIN(14,$OQ20*4+$OR20*7,SUMPRODUCT($OK20:$OP20,$I$8:$N$8)))</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peça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Fura</t>
        </is>
      </c>
      <c r="AW21" s="153" t="inlineStr">
        <is>
          <t>Mira</t>
        </is>
      </c>
      <c r="AX21" s="155" t="n">
        <v>2</v>
      </c>
      <c r="AY21" s="155" t="n">
        <v>0</v>
      </c>
      <c r="AZ21" s="155" t="n">
        <v>1</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IFERROR(VLOOKUP($MV21,$AV$2:$BA$84,2,FALSE),"")</f>
        <v/>
      </c>
      <c r="NJ21" s="155">
        <f>IFERROR(VLOOKUP($MW21,$AV$2:$BA$84,2,FALSE),"")</f>
        <v/>
      </c>
      <c r="NK21" s="155">
        <f>IFERROR(VLOOKUP($MX21,$AV$2:$BA$84,2,FALSE),"")</f>
        <v/>
      </c>
      <c r="NL21" s="155">
        <f>IFERROR(VLOOKUP($MY21,$AV$2:$BA$84,2,FALSE),"")</f>
        <v/>
      </c>
      <c r="NM21" s="155">
        <f>IFERROR(VLOOKUP($MV21,$AV$2:$BA$84,3,FALSE),0)</f>
        <v/>
      </c>
      <c r="NN21" s="155">
        <f>IFERROR(VLOOKUP($MW21,$AV$2:$BA$84,3,FALSE),0)</f>
        <v/>
      </c>
      <c r="NO21" s="155">
        <f>IFERROR(VLOOKUP($MX21,$AV$2:$BA$84,3,FALSE),0)</f>
        <v/>
      </c>
      <c r="NP21" s="155">
        <f>IFERROR(VLOOKUP($MY21,$AV$2:$BA$84,3,FALSE),0)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IFERROR(VLOOKUP($MV21,$AV$2:$BA$84,4,FALSE),0)+IFERROR(VLOOKUP($MW21,$AV$2:$BA$84,4,FALSE),0)+IFERROR(VLOOKUP($MX21,$AV$2:$BA$84,4,FALSE),0)+IFERROR(VLOOKUP($MY21,$AV$2:$BA$84,4,FALSE),0)</f>
        <v/>
      </c>
      <c r="OB21" s="155">
        <f>IFERROR(VLOOKUP($MV21,$AV$2:$BA$84,6,FALSE),0)+IFERROR(VLOOKUP($MW21,$AV$2:$BA$84,6,FALSE),0)+IFERROR(VLOOKUP($MX21,$AV$2:$BA$84,6,FALSE),0)+IFERROR(VLOOKUP($MY21,$AV$2:$BA$84,6,FALSE),0)</f>
        <v/>
      </c>
      <c r="OC21" s="155">
        <f>TEXTJOIN(", ",TRUE,IF(IFERROR(VLOOKUP($MV21,$AV$2:$BA$84,5,FALSE),0)=1,$MV21,""),IF(IFERROR(VLOOKUP($MW21,$AV$2:$BA$84,5,FALSE),0)=1,$MW21,""),IF(IFERROR(VLOOKUP($MX21,$AV$2:$BA$84,5,FALSE),0)=1,$MX21,""),IF(IFERROR(VLOOKUP($MY21,$AV$2:$BA$84,5,FALSE),0)=1,$MY21,""))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f>
        <v/>
      </c>
      <c r="OY21" s="155">
        <f>$OW21-$OX21</f>
        <v/>
      </c>
      <c r="OZ21" s="155">
        <f>IF($MQ21=0,0,INDEX($P$2:$P$8,MAX(1,$MQ21)))</f>
        <v/>
      </c>
      <c r="PA21" s="155">
        <f>$OZ21-$OU21+$OX21</f>
        <v/>
      </c>
      <c r="PB21" s="155">
        <f>IF($MQ21=0,MAX(0,$NE21-IF($OS21&gt;0,1,0)),MAX(0,$PA21))</f>
        <v/>
      </c>
      <c r="PC21" s="155">
        <f>IF($MQ21=0,0,(IF(COUNTIF($MV21:$MY21,"Salto")&gt;0,1,0)+IF(COUNTIF($MV21:$MY21,"Queima")&gt;0,1,0)+IF(COUNTIF($MV21:$MY21,"Estilhaço")&gt;0,1,0))*FLOOR($PB21/2,1))</f>
        <v/>
      </c>
      <c r="PD21" s="155">
        <f>MAX(0,2-SUMPRODUCT($OK21:$OP21,$I$2:$N$2)+MIN(2,$OQ21*1+$OR21*1,SUMPRODUCT($OK21:$OP21,$I$2:$N$2)))</f>
        <v/>
      </c>
      <c r="PE21" s="155">
        <f>MAX(0,4-SUMPRODUCT($OK21:$OP21,$I$3:$N$3)+MIN(4,$OQ21*1+$OR21*2,SUMPRODUCT($OK21:$OP21,$I$3:$N$3)))</f>
        <v/>
      </c>
      <c r="PF21" s="155">
        <f>MAX(0,6-SUMPRODUCT($OK21:$OP21,$I$4:$N$4)+MIN(6,$OQ21*2+$OR21*3,SUMPRODUCT($OK21:$OP21,$I$4:$N$4)))</f>
        <v/>
      </c>
      <c r="PG21" s="155">
        <f>MAX(0,9-SUMPRODUCT($OK21:$OP21,$I$5:$N$5)+MIN(8,$OQ21*2+$OR21*4,SUMPRODUCT($OK21:$OP21,$I$5:$N$5)))</f>
        <v/>
      </c>
      <c r="PH21" s="155">
        <f>MAX(0,11-SUMPRODUCT($OK21:$OP21,$I$6:$N$6)+MIN(10,$OQ21*3+$OR21*5,SUMPRODUCT($OK21:$OP21,$I$6:$N$6)))</f>
        <v/>
      </c>
      <c r="PI21" s="155">
        <f>MAX(0,13-SUMPRODUCT($OK21:$OP21,$I$7:$N$7)+MIN(12,$OQ21*3+$OR21*6,SUMPRODUCT($OK21:$OP21,$I$7:$N$7)))</f>
        <v/>
      </c>
      <c r="PJ21" s="155">
        <f>MAX(0,16-SUMPRODUCT($OK21:$OP21,$I$8:$N$8)+MIN(14,$OQ21*4+$OR21*7,SUMPRODUCT($OK21:$OP21,$I$8:$N$8)))</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peça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Corrói</t>
        </is>
      </c>
      <c r="AW22" s="153" t="inlineStr">
        <is>
          <t>Mira</t>
        </is>
      </c>
      <c r="AX22" s="155" t="n">
        <v>3</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IFERROR(VLOOKUP($MV22,$AV$2:$BA$84,2,FALSE),"")</f>
        <v/>
      </c>
      <c r="NJ22" s="155">
        <f>IFERROR(VLOOKUP($MW22,$AV$2:$BA$84,2,FALSE),"")</f>
        <v/>
      </c>
      <c r="NK22" s="155">
        <f>IFERROR(VLOOKUP($MX22,$AV$2:$BA$84,2,FALSE),"")</f>
        <v/>
      </c>
      <c r="NL22" s="155">
        <f>IFERROR(VLOOKUP($MY22,$AV$2:$BA$84,2,FALSE),"")</f>
        <v/>
      </c>
      <c r="NM22" s="155">
        <f>IFERROR(VLOOKUP($MV22,$AV$2:$BA$84,3,FALSE),0)</f>
        <v/>
      </c>
      <c r="NN22" s="155">
        <f>IFERROR(VLOOKUP($MW22,$AV$2:$BA$84,3,FALSE),0)</f>
        <v/>
      </c>
      <c r="NO22" s="155">
        <f>IFERROR(VLOOKUP($MX22,$AV$2:$BA$84,3,FALSE),0)</f>
        <v/>
      </c>
      <c r="NP22" s="155">
        <f>IFERROR(VLOOKUP($MY22,$AV$2:$BA$84,3,FALSE),0)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IFERROR(VLOOKUP($MV22,$AV$2:$BA$84,4,FALSE),0)+IFERROR(VLOOKUP($MW22,$AV$2:$BA$84,4,FALSE),0)+IFERROR(VLOOKUP($MX22,$AV$2:$BA$84,4,FALSE),0)+IFERROR(VLOOKUP($MY22,$AV$2:$BA$84,4,FALSE),0)</f>
        <v/>
      </c>
      <c r="OB22" s="155">
        <f>IFERROR(VLOOKUP($MV22,$AV$2:$BA$84,6,FALSE),0)+IFERROR(VLOOKUP($MW22,$AV$2:$BA$84,6,FALSE),0)+IFERROR(VLOOKUP($MX22,$AV$2:$BA$84,6,FALSE),0)+IFERROR(VLOOKUP($MY22,$AV$2:$BA$84,6,FALSE),0)</f>
        <v/>
      </c>
      <c r="OC22" s="155">
        <f>TEXTJOIN(", ",TRUE,IF(IFERROR(VLOOKUP($MV22,$AV$2:$BA$84,5,FALSE),0)=1,$MV22,""),IF(IFERROR(VLOOKUP($MW22,$AV$2:$BA$84,5,FALSE),0)=1,$MW22,""),IF(IFERROR(VLOOKUP($MX22,$AV$2:$BA$84,5,FALSE),0)=1,$MX22,""),IF(IFERROR(VLOOKUP($MY22,$AV$2:$BA$84,5,FALSE),0)=1,$MY22,""))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f>
        <v/>
      </c>
      <c r="OY22" s="155">
        <f>$OW22-$OX22</f>
        <v/>
      </c>
      <c r="OZ22" s="155">
        <f>IF($MQ22=0,0,INDEX($P$2:$P$8,MAX(1,$MQ22)))</f>
        <v/>
      </c>
      <c r="PA22" s="155">
        <f>$OZ22-$OU22+$OX22</f>
        <v/>
      </c>
      <c r="PB22" s="155">
        <f>IF($MQ22=0,MAX(0,$NE22-IF($OS22&gt;0,1,0)),MAX(0,$PA22))</f>
        <v/>
      </c>
      <c r="PC22" s="155">
        <f>IF($MQ22=0,0,(IF(COUNTIF($MV22:$MY22,"Salto")&gt;0,1,0)+IF(COUNTIF($MV22:$MY22,"Queima")&gt;0,1,0)+IF(COUNTIF($MV22:$MY22,"Estilhaço")&gt;0,1,0))*FLOOR($PB22/2,1))</f>
        <v/>
      </c>
      <c r="PD22" s="155">
        <f>MAX(0,2-SUMPRODUCT($OK22:$OP22,$I$2:$N$2)+MIN(2,$OQ22*1+$OR22*1,SUMPRODUCT($OK22:$OP22,$I$2:$N$2)))</f>
        <v/>
      </c>
      <c r="PE22" s="155">
        <f>MAX(0,4-SUMPRODUCT($OK22:$OP22,$I$3:$N$3)+MIN(4,$OQ22*1+$OR22*2,SUMPRODUCT($OK22:$OP22,$I$3:$N$3)))</f>
        <v/>
      </c>
      <c r="PF22" s="155">
        <f>MAX(0,6-SUMPRODUCT($OK22:$OP22,$I$4:$N$4)+MIN(6,$OQ22*2+$OR22*3,SUMPRODUCT($OK22:$OP22,$I$4:$N$4)))</f>
        <v/>
      </c>
      <c r="PG22" s="155">
        <f>MAX(0,9-SUMPRODUCT($OK22:$OP22,$I$5:$N$5)+MIN(8,$OQ22*2+$OR22*4,SUMPRODUCT($OK22:$OP22,$I$5:$N$5)))</f>
        <v/>
      </c>
      <c r="PH22" s="155">
        <f>MAX(0,11-SUMPRODUCT($OK22:$OP22,$I$6:$N$6)+MIN(10,$OQ22*3+$OR22*5,SUMPRODUCT($OK22:$OP22,$I$6:$N$6)))</f>
        <v/>
      </c>
      <c r="PI22" s="155">
        <f>MAX(0,13-SUMPRODUCT($OK22:$OP22,$I$7:$N$7)+MIN(12,$OQ22*3+$OR22*6,SUMPRODUCT($OK22:$OP22,$I$7:$N$7)))</f>
        <v/>
      </c>
      <c r="PJ22" s="155">
        <f>MAX(0,16-SUMPRODUCT($OK22:$OP22,$I$8:$N$8)+MIN(14,$OQ22*4+$OR22*7,SUMPRODUCT($OK22:$OP22,$I$8:$N$8)))</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peça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Sem Cobertura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IFERROR(VLOOKUP($MV23,$AV$2:$BA$84,2,FALSE),"")</f>
        <v/>
      </c>
      <c r="NJ23" s="155">
        <f>IFERROR(VLOOKUP($MW23,$AV$2:$BA$84,2,FALSE),"")</f>
        <v/>
      </c>
      <c r="NK23" s="155">
        <f>IFERROR(VLOOKUP($MX23,$AV$2:$BA$84,2,FALSE),"")</f>
        <v/>
      </c>
      <c r="NL23" s="155">
        <f>IFERROR(VLOOKUP($MY23,$AV$2:$BA$84,2,FALSE),"")</f>
        <v/>
      </c>
      <c r="NM23" s="155">
        <f>IFERROR(VLOOKUP($MV23,$AV$2:$BA$84,3,FALSE),0)</f>
        <v/>
      </c>
      <c r="NN23" s="155">
        <f>IFERROR(VLOOKUP($MW23,$AV$2:$BA$84,3,FALSE),0)</f>
        <v/>
      </c>
      <c r="NO23" s="155">
        <f>IFERROR(VLOOKUP($MX23,$AV$2:$BA$84,3,FALSE),0)</f>
        <v/>
      </c>
      <c r="NP23" s="155">
        <f>IFERROR(VLOOKUP($MY23,$AV$2:$BA$84,3,FALSE),0)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IFERROR(VLOOKUP($MV23,$AV$2:$BA$84,4,FALSE),0)+IFERROR(VLOOKUP($MW23,$AV$2:$BA$84,4,FALSE),0)+IFERROR(VLOOKUP($MX23,$AV$2:$BA$84,4,FALSE),0)+IFERROR(VLOOKUP($MY23,$AV$2:$BA$84,4,FALSE),0)</f>
        <v/>
      </c>
      <c r="OB23" s="155">
        <f>IFERROR(VLOOKUP($MV23,$AV$2:$BA$84,6,FALSE),0)+IFERROR(VLOOKUP($MW23,$AV$2:$BA$84,6,FALSE),0)+IFERROR(VLOOKUP($MX23,$AV$2:$BA$84,6,FALSE),0)+IFERROR(VLOOKUP($MY23,$AV$2:$BA$84,6,FALSE),0)</f>
        <v/>
      </c>
      <c r="OC23" s="155">
        <f>TEXTJOIN(", ",TRUE,IF(IFERROR(VLOOKUP($MV23,$AV$2:$BA$84,5,FALSE),0)=1,$MV23,""),IF(IFERROR(VLOOKUP($MW23,$AV$2:$BA$84,5,FALSE),0)=1,$MW23,""),IF(IFERROR(VLOOKUP($MX23,$AV$2:$BA$84,5,FALSE),0)=1,$MX23,""),IF(IFERROR(VLOOKUP($MY23,$AV$2:$BA$84,5,FALSE),0)=1,$MY23,""))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f>
        <v/>
      </c>
      <c r="OY23" s="155">
        <f>$OW23-$OX23</f>
        <v/>
      </c>
      <c r="OZ23" s="155">
        <f>IF($MQ23=0,0,INDEX($P$2:$P$8,MAX(1,$MQ23)))</f>
        <v/>
      </c>
      <c r="PA23" s="155">
        <f>$OZ23-$OU23+$OX23</f>
        <v/>
      </c>
      <c r="PB23" s="155">
        <f>IF($MQ23=0,MAX(0,$NE23-IF($OS23&gt;0,1,0)),MAX(0,$PA23))</f>
        <v/>
      </c>
      <c r="PC23" s="155">
        <f>IF($MQ23=0,0,(IF(COUNTIF($MV23:$MY23,"Salto")&gt;0,1,0)+IF(COUNTIF($MV23:$MY23,"Queima")&gt;0,1,0)+IF(COUNTIF($MV23:$MY23,"Estilhaço")&gt;0,1,0))*FLOOR($PB23/2,1))</f>
        <v/>
      </c>
      <c r="PD23" s="155">
        <f>MAX(0,2-SUMPRODUCT($OK23:$OP23,$I$2:$N$2)+MIN(2,$OQ23*1+$OR23*1,SUMPRODUCT($OK23:$OP23,$I$2:$N$2)))</f>
        <v/>
      </c>
      <c r="PE23" s="155">
        <f>MAX(0,4-SUMPRODUCT($OK23:$OP23,$I$3:$N$3)+MIN(4,$OQ23*1+$OR23*2,SUMPRODUCT($OK23:$OP23,$I$3:$N$3)))</f>
        <v/>
      </c>
      <c r="PF23" s="155">
        <f>MAX(0,6-SUMPRODUCT($OK23:$OP23,$I$4:$N$4)+MIN(6,$OQ23*2+$OR23*3,SUMPRODUCT($OK23:$OP23,$I$4:$N$4)))</f>
        <v/>
      </c>
      <c r="PG23" s="155">
        <f>MAX(0,9-SUMPRODUCT($OK23:$OP23,$I$5:$N$5)+MIN(8,$OQ23*2+$OR23*4,SUMPRODUCT($OK23:$OP23,$I$5:$N$5)))</f>
        <v/>
      </c>
      <c r="PH23" s="155">
        <f>MAX(0,11-SUMPRODUCT($OK23:$OP23,$I$6:$N$6)+MIN(10,$OQ23*3+$OR23*5,SUMPRODUCT($OK23:$OP23,$I$6:$N$6)))</f>
        <v/>
      </c>
      <c r="PI23" s="155">
        <f>MAX(0,13-SUMPRODUCT($OK23:$OP23,$I$7:$N$7)+MIN(12,$OQ23*3+$OR23*6,SUMPRODUCT($OK23:$OP23,$I$7:$N$7)))</f>
        <v/>
      </c>
      <c r="PJ23" s="155">
        <f>MAX(0,16-SUMPRODUCT($OK23:$OP23,$I$8:$N$8)+MIN(14,$OQ23*4+$OR23*7,SUMPRODUCT($OK23:$OP23,$I$8:$N$8)))</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peça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Toca a Alma</t>
        </is>
      </c>
      <c r="AW24" s="153" t="inlineStr">
        <is>
          <t>Mira</t>
        </is>
      </c>
      <c r="AX24" s="155" t="n">
        <v>1</v>
      </c>
      <c r="AY24" s="155" t="n">
        <v>0</v>
      </c>
      <c r="AZ24" s="155" t="n">
        <v>0</v>
      </c>
      <c r="BA24" s="155" t="n">
        <v>0</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IFERROR(VLOOKUP($MV24,$AV$2:$BA$84,2,FALSE),"")</f>
        <v/>
      </c>
      <c r="NJ24" s="155">
        <f>IFERROR(VLOOKUP($MW24,$AV$2:$BA$84,2,FALSE),"")</f>
        <v/>
      </c>
      <c r="NK24" s="155">
        <f>IFERROR(VLOOKUP($MX24,$AV$2:$BA$84,2,FALSE),"")</f>
        <v/>
      </c>
      <c r="NL24" s="155">
        <f>IFERROR(VLOOKUP($MY24,$AV$2:$BA$84,2,FALSE),"")</f>
        <v/>
      </c>
      <c r="NM24" s="155">
        <f>IFERROR(VLOOKUP($MV24,$AV$2:$BA$84,3,FALSE),0)</f>
        <v/>
      </c>
      <c r="NN24" s="155">
        <f>IFERROR(VLOOKUP($MW24,$AV$2:$BA$84,3,FALSE),0)</f>
        <v/>
      </c>
      <c r="NO24" s="155">
        <f>IFERROR(VLOOKUP($MX24,$AV$2:$BA$84,3,FALSE),0)</f>
        <v/>
      </c>
      <c r="NP24" s="155">
        <f>IFERROR(VLOOKUP($MY24,$AV$2:$BA$84,3,FALSE),0)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IFERROR(VLOOKUP($MV24,$AV$2:$BA$84,4,FALSE),0)+IFERROR(VLOOKUP($MW24,$AV$2:$BA$84,4,FALSE),0)+IFERROR(VLOOKUP($MX24,$AV$2:$BA$84,4,FALSE),0)+IFERROR(VLOOKUP($MY24,$AV$2:$BA$84,4,FALSE),0)</f>
        <v/>
      </c>
      <c r="OB24" s="155">
        <f>IFERROR(VLOOKUP($MV24,$AV$2:$BA$84,6,FALSE),0)+IFERROR(VLOOKUP($MW24,$AV$2:$BA$84,6,FALSE),0)+IFERROR(VLOOKUP($MX24,$AV$2:$BA$84,6,FALSE),0)+IFERROR(VLOOKUP($MY24,$AV$2:$BA$84,6,FALSE),0)</f>
        <v/>
      </c>
      <c r="OC24" s="155">
        <f>TEXTJOIN(", ",TRUE,IF(IFERROR(VLOOKUP($MV24,$AV$2:$BA$84,5,FALSE),0)=1,$MV24,""),IF(IFERROR(VLOOKUP($MW24,$AV$2:$BA$84,5,FALSE),0)=1,$MW24,""),IF(IFERROR(VLOOKUP($MX24,$AV$2:$BA$84,5,FALSE),0)=1,$MX24,""),IF(IFERROR(VLOOKUP($MY24,$AV$2:$BA$84,5,FALSE),0)=1,$MY24,""))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f>
        <v/>
      </c>
      <c r="OY24" s="155">
        <f>$OW24-$OX24</f>
        <v/>
      </c>
      <c r="OZ24" s="155">
        <f>IF($MQ24=0,0,INDEX($P$2:$P$8,MAX(1,$MQ24)))</f>
        <v/>
      </c>
      <c r="PA24" s="155">
        <f>$OZ24-$OU24+$OX24</f>
        <v/>
      </c>
      <c r="PB24" s="155">
        <f>IF($MQ24=0,MAX(0,$NE24-IF($OS24&gt;0,1,0)),MAX(0,$PA24))</f>
        <v/>
      </c>
      <c r="PC24" s="155">
        <f>IF($MQ24=0,0,(IF(COUNTIF($MV24:$MY24,"Salto")&gt;0,1,0)+IF(COUNTIF($MV24:$MY24,"Queima")&gt;0,1,0)+IF(COUNTIF($MV24:$MY24,"Estilhaço")&gt;0,1,0))*FLOOR($PB24/2,1))</f>
        <v/>
      </c>
      <c r="PD24" s="155">
        <f>MAX(0,2-SUMPRODUCT($OK24:$OP24,$I$2:$N$2)+MIN(2,$OQ24*1+$OR24*1,SUMPRODUCT($OK24:$OP24,$I$2:$N$2)))</f>
        <v/>
      </c>
      <c r="PE24" s="155">
        <f>MAX(0,4-SUMPRODUCT($OK24:$OP24,$I$3:$N$3)+MIN(4,$OQ24*1+$OR24*2,SUMPRODUCT($OK24:$OP24,$I$3:$N$3)))</f>
        <v/>
      </c>
      <c r="PF24" s="155">
        <f>MAX(0,6-SUMPRODUCT($OK24:$OP24,$I$4:$N$4)+MIN(6,$OQ24*2+$OR24*3,SUMPRODUCT($OK24:$OP24,$I$4:$N$4)))</f>
        <v/>
      </c>
      <c r="PG24" s="155">
        <f>MAX(0,9-SUMPRODUCT($OK24:$OP24,$I$5:$N$5)+MIN(8,$OQ24*2+$OR24*4,SUMPRODUCT($OK24:$OP24,$I$5:$N$5)))</f>
        <v/>
      </c>
      <c r="PH24" s="155">
        <f>MAX(0,11-SUMPRODUCT($OK24:$OP24,$I$6:$N$6)+MIN(10,$OQ24*3+$OR24*5,SUMPRODUCT($OK24:$OP24,$I$6:$N$6)))</f>
        <v/>
      </c>
      <c r="PI24" s="155">
        <f>MAX(0,13-SUMPRODUCT($OK24:$OP24,$I$7:$N$7)+MIN(12,$OQ24*3+$OR24*6,SUMPRODUCT($OK24:$OP24,$I$7:$N$7)))</f>
        <v/>
      </c>
      <c r="PJ24" s="155">
        <f>MAX(0,16-SUMPRODUCT($OK24:$OP24,$I$8:$N$8)+MIN(14,$OQ24*4+$OR24*7,SUMPRODUCT($OK24:$OP24,$I$8:$N$8)))</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peça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Lento</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IFERROR(VLOOKUP($MV25,$AV$2:$BA$84,2,FALSE),"")</f>
        <v/>
      </c>
      <c r="NJ25" s="155">
        <f>IFERROR(VLOOKUP($MW25,$AV$2:$BA$84,2,FALSE),"")</f>
        <v/>
      </c>
      <c r="NK25" s="155">
        <f>IFERROR(VLOOKUP($MX25,$AV$2:$BA$84,2,FALSE),"")</f>
        <v/>
      </c>
      <c r="NL25" s="155">
        <f>IFERROR(VLOOKUP($MY25,$AV$2:$BA$84,2,FALSE),"")</f>
        <v/>
      </c>
      <c r="NM25" s="155">
        <f>IFERROR(VLOOKUP($MV25,$AV$2:$BA$84,3,FALSE),0)</f>
        <v/>
      </c>
      <c r="NN25" s="155">
        <f>IFERROR(VLOOKUP($MW25,$AV$2:$BA$84,3,FALSE),0)</f>
        <v/>
      </c>
      <c r="NO25" s="155">
        <f>IFERROR(VLOOKUP($MX25,$AV$2:$BA$84,3,FALSE),0)</f>
        <v/>
      </c>
      <c r="NP25" s="155">
        <f>IFERROR(VLOOKUP($MY25,$AV$2:$BA$84,3,FALSE),0)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IFERROR(VLOOKUP($MV25,$AV$2:$BA$84,4,FALSE),0)+IFERROR(VLOOKUP($MW25,$AV$2:$BA$84,4,FALSE),0)+IFERROR(VLOOKUP($MX25,$AV$2:$BA$84,4,FALSE),0)+IFERROR(VLOOKUP($MY25,$AV$2:$BA$84,4,FALSE),0)</f>
        <v/>
      </c>
      <c r="OB25" s="155">
        <f>IFERROR(VLOOKUP($MV25,$AV$2:$BA$84,6,FALSE),0)+IFERROR(VLOOKUP($MW25,$AV$2:$BA$84,6,FALSE),0)+IFERROR(VLOOKUP($MX25,$AV$2:$BA$84,6,FALSE),0)+IFERROR(VLOOKUP($MY25,$AV$2:$BA$84,6,FALSE),0)</f>
        <v/>
      </c>
      <c r="OC25" s="155">
        <f>TEXTJOIN(", ",TRUE,IF(IFERROR(VLOOKUP($MV25,$AV$2:$BA$84,5,FALSE),0)=1,$MV25,""),IF(IFERROR(VLOOKUP($MW25,$AV$2:$BA$84,5,FALSE),0)=1,$MW25,""),IF(IFERROR(VLOOKUP($MX25,$AV$2:$BA$84,5,FALSE),0)=1,$MX25,""),IF(IFERROR(VLOOKUP($MY25,$AV$2:$BA$84,5,FALSE),0)=1,$MY25,""))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f>
        <v/>
      </c>
      <c r="OY25" s="155">
        <f>$OW25-$OX25</f>
        <v/>
      </c>
      <c r="OZ25" s="155">
        <f>IF($MQ25=0,0,INDEX($P$2:$P$8,MAX(1,$MQ25)))</f>
        <v/>
      </c>
      <c r="PA25" s="155">
        <f>$OZ25-$OU25+$OX25</f>
        <v/>
      </c>
      <c r="PB25" s="155">
        <f>IF($MQ25=0,MAX(0,$NE25-IF($OS25&gt;0,1,0)),MAX(0,$PA25))</f>
        <v/>
      </c>
      <c r="PC25" s="155">
        <f>IF($MQ25=0,0,(IF(COUNTIF($MV25:$MY25,"Salto")&gt;0,1,0)+IF(COUNTIF($MV25:$MY25,"Queima")&gt;0,1,0)+IF(COUNTIF($MV25:$MY25,"Estilhaço")&gt;0,1,0))*FLOOR($PB25/2,1))</f>
        <v/>
      </c>
      <c r="PD25" s="155">
        <f>MAX(0,2-SUMPRODUCT($OK25:$OP25,$I$2:$N$2)+MIN(2,$OQ25*1+$OR25*1,SUMPRODUCT($OK25:$OP25,$I$2:$N$2)))</f>
        <v/>
      </c>
      <c r="PE25" s="155">
        <f>MAX(0,4-SUMPRODUCT($OK25:$OP25,$I$3:$N$3)+MIN(4,$OQ25*1+$OR25*2,SUMPRODUCT($OK25:$OP25,$I$3:$N$3)))</f>
        <v/>
      </c>
      <c r="PF25" s="155">
        <f>MAX(0,6-SUMPRODUCT($OK25:$OP25,$I$4:$N$4)+MIN(6,$OQ25*2+$OR25*3,SUMPRODUCT($OK25:$OP25,$I$4:$N$4)))</f>
        <v/>
      </c>
      <c r="PG25" s="155">
        <f>MAX(0,9-SUMPRODUCT($OK25:$OP25,$I$5:$N$5)+MIN(8,$OQ25*2+$OR25*4,SUMPRODUCT($OK25:$OP25,$I$5:$N$5)))</f>
        <v/>
      </c>
      <c r="PH25" s="155">
        <f>MAX(0,11-SUMPRODUCT($OK25:$OP25,$I$6:$N$6)+MIN(10,$OQ25*3+$OR25*5,SUMPRODUCT($OK25:$OP25,$I$6:$N$6)))</f>
        <v/>
      </c>
      <c r="PI25" s="155">
        <f>MAX(0,13-SUMPRODUCT($OK25:$OP25,$I$7:$N$7)+MIN(12,$OQ25*3+$OR25*6,SUMPRODUCT($OK25:$OP25,$I$7:$N$7)))</f>
        <v/>
      </c>
      <c r="PJ25" s="155">
        <f>MAX(0,16-SUMPRODUCT($OK25:$OP25,$I$8:$N$8)+MIN(14,$OQ25*4+$OR25*7,SUMPRODUCT($OK25:$OP25,$I$8:$N$8)))</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peça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Guarda Aberta</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IFERROR(VLOOKUP($MV26,$AV$2:$BA$84,2,FALSE),"")</f>
        <v/>
      </c>
      <c r="NJ26" s="155">
        <f>IFERROR(VLOOKUP($MW26,$AV$2:$BA$84,2,FALSE),"")</f>
        <v/>
      </c>
      <c r="NK26" s="155">
        <f>IFERROR(VLOOKUP($MX26,$AV$2:$BA$84,2,FALSE),"")</f>
        <v/>
      </c>
      <c r="NL26" s="155">
        <f>IFERROR(VLOOKUP($MY26,$AV$2:$BA$84,2,FALSE),"")</f>
        <v/>
      </c>
      <c r="NM26" s="155">
        <f>IFERROR(VLOOKUP($MV26,$AV$2:$BA$84,3,FALSE),0)</f>
        <v/>
      </c>
      <c r="NN26" s="155">
        <f>IFERROR(VLOOKUP($MW26,$AV$2:$BA$84,3,FALSE),0)</f>
        <v/>
      </c>
      <c r="NO26" s="155">
        <f>IFERROR(VLOOKUP($MX26,$AV$2:$BA$84,3,FALSE),0)</f>
        <v/>
      </c>
      <c r="NP26" s="155">
        <f>IFERROR(VLOOKUP($MY26,$AV$2:$BA$84,3,FALSE),0)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IFERROR(VLOOKUP($MV26,$AV$2:$BA$84,4,FALSE),0)+IFERROR(VLOOKUP($MW26,$AV$2:$BA$84,4,FALSE),0)+IFERROR(VLOOKUP($MX26,$AV$2:$BA$84,4,FALSE),0)+IFERROR(VLOOKUP($MY26,$AV$2:$BA$84,4,FALSE),0)</f>
        <v/>
      </c>
      <c r="OB26" s="155">
        <f>IFERROR(VLOOKUP($MV26,$AV$2:$BA$84,6,FALSE),0)+IFERROR(VLOOKUP($MW26,$AV$2:$BA$84,6,FALSE),0)+IFERROR(VLOOKUP($MX26,$AV$2:$BA$84,6,FALSE),0)+IFERROR(VLOOKUP($MY26,$AV$2:$BA$84,6,FALSE),0)</f>
        <v/>
      </c>
      <c r="OC26" s="155">
        <f>TEXTJOIN(", ",TRUE,IF(IFERROR(VLOOKUP($MV26,$AV$2:$BA$84,5,FALSE),0)=1,$MV26,""),IF(IFERROR(VLOOKUP($MW26,$AV$2:$BA$84,5,FALSE),0)=1,$MW26,""),IF(IFERROR(VLOOKUP($MX26,$AV$2:$BA$84,5,FALSE),0)=1,$MX26,""),IF(IFERROR(VLOOKUP($MY26,$AV$2:$BA$84,5,FALSE),0)=1,$MY26,""))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f>
        <v/>
      </c>
      <c r="OY26" s="155">
        <f>$OW26-$OX26</f>
        <v/>
      </c>
      <c r="OZ26" s="155">
        <f>IF($MQ26=0,0,INDEX($P$2:$P$8,MAX(1,$MQ26)))</f>
        <v/>
      </c>
      <c r="PA26" s="155">
        <f>$OZ26-$OU26+$OX26</f>
        <v/>
      </c>
      <c r="PB26" s="155">
        <f>IF($MQ26=0,MAX(0,$NE26-IF($OS26&gt;0,1,0)),MAX(0,$PA26))</f>
        <v/>
      </c>
      <c r="PC26" s="155">
        <f>IF($MQ26=0,0,(IF(COUNTIF($MV26:$MY26,"Salto")&gt;0,1,0)+IF(COUNTIF($MV26:$MY26,"Queima")&gt;0,1,0)+IF(COUNTIF($MV26:$MY26,"Estilhaço")&gt;0,1,0))*FLOOR($PB26/2,1))</f>
        <v/>
      </c>
      <c r="PD26" s="155">
        <f>MAX(0,2-SUMPRODUCT($OK26:$OP26,$I$2:$N$2)+MIN(2,$OQ26*1+$OR26*1,SUMPRODUCT($OK26:$OP26,$I$2:$N$2)))</f>
        <v/>
      </c>
      <c r="PE26" s="155">
        <f>MAX(0,4-SUMPRODUCT($OK26:$OP26,$I$3:$N$3)+MIN(4,$OQ26*1+$OR26*2,SUMPRODUCT($OK26:$OP26,$I$3:$N$3)))</f>
        <v/>
      </c>
      <c r="PF26" s="155">
        <f>MAX(0,6-SUMPRODUCT($OK26:$OP26,$I$4:$N$4)+MIN(6,$OQ26*2+$OR26*3,SUMPRODUCT($OK26:$OP26,$I$4:$N$4)))</f>
        <v/>
      </c>
      <c r="PG26" s="155">
        <f>MAX(0,9-SUMPRODUCT($OK26:$OP26,$I$5:$N$5)+MIN(8,$OQ26*2+$OR26*4,SUMPRODUCT($OK26:$OP26,$I$5:$N$5)))</f>
        <v/>
      </c>
      <c r="PH26" s="155">
        <f>MAX(0,11-SUMPRODUCT($OK26:$OP26,$I$6:$N$6)+MIN(10,$OQ26*3+$OR26*5,SUMPRODUCT($OK26:$OP26,$I$6:$N$6)))</f>
        <v/>
      </c>
      <c r="PI26" s="155">
        <f>MAX(0,13-SUMPRODUCT($OK26:$OP26,$I$7:$N$7)+MIN(12,$OQ26*3+$OR26*6,SUMPRODUCT($OK26:$OP26,$I$7:$N$7)))</f>
        <v/>
      </c>
      <c r="PJ26" s="155">
        <f>MAX(0,16-SUMPRODUCT($OK26:$OP26,$I$8:$N$8)+MIN(14,$OQ26*4+$OR26*7,SUMPRODUCT($OK26:$OP26,$I$8:$N$8)))</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peça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Derrubado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IFERROR(VLOOKUP($MV27,$AV$2:$BA$84,2,FALSE),"")</f>
        <v/>
      </c>
      <c r="NJ27" s="155">
        <f>IFERROR(VLOOKUP($MW27,$AV$2:$BA$84,2,FALSE),"")</f>
        <v/>
      </c>
      <c r="NK27" s="155">
        <f>IFERROR(VLOOKUP($MX27,$AV$2:$BA$84,2,FALSE),"")</f>
        <v/>
      </c>
      <c r="NL27" s="155">
        <f>IFERROR(VLOOKUP($MY27,$AV$2:$BA$84,2,FALSE),"")</f>
        <v/>
      </c>
      <c r="NM27" s="155">
        <f>IFERROR(VLOOKUP($MV27,$AV$2:$BA$84,3,FALSE),0)</f>
        <v/>
      </c>
      <c r="NN27" s="155">
        <f>IFERROR(VLOOKUP($MW27,$AV$2:$BA$84,3,FALSE),0)</f>
        <v/>
      </c>
      <c r="NO27" s="155">
        <f>IFERROR(VLOOKUP($MX27,$AV$2:$BA$84,3,FALSE),0)</f>
        <v/>
      </c>
      <c r="NP27" s="155">
        <f>IFERROR(VLOOKUP($MY27,$AV$2:$BA$84,3,FALSE),0)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IFERROR(VLOOKUP($MV27,$AV$2:$BA$84,4,FALSE),0)+IFERROR(VLOOKUP($MW27,$AV$2:$BA$84,4,FALSE),0)+IFERROR(VLOOKUP($MX27,$AV$2:$BA$84,4,FALSE),0)+IFERROR(VLOOKUP($MY27,$AV$2:$BA$84,4,FALSE),0)</f>
        <v/>
      </c>
      <c r="OB27" s="155">
        <f>IFERROR(VLOOKUP($MV27,$AV$2:$BA$84,6,FALSE),0)+IFERROR(VLOOKUP($MW27,$AV$2:$BA$84,6,FALSE),0)+IFERROR(VLOOKUP($MX27,$AV$2:$BA$84,6,FALSE),0)+IFERROR(VLOOKUP($MY27,$AV$2:$BA$84,6,FALSE),0)</f>
        <v/>
      </c>
      <c r="OC27" s="155">
        <f>TEXTJOIN(", ",TRUE,IF(IFERROR(VLOOKUP($MV27,$AV$2:$BA$84,5,FALSE),0)=1,$MV27,""),IF(IFERROR(VLOOKUP($MW27,$AV$2:$BA$84,5,FALSE),0)=1,$MW27,""),IF(IFERROR(VLOOKUP($MX27,$AV$2:$BA$84,5,FALSE),0)=1,$MX27,""),IF(IFERROR(VLOOKUP($MY27,$AV$2:$BA$84,5,FALSE),0)=1,$MY27,""))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f>
        <v/>
      </c>
      <c r="OY27" s="155">
        <f>$OW27-$OX27</f>
        <v/>
      </c>
      <c r="OZ27" s="155">
        <f>IF($MQ27=0,0,INDEX($P$2:$P$8,MAX(1,$MQ27)))</f>
        <v/>
      </c>
      <c r="PA27" s="155">
        <f>$OZ27-$OU27+$OX27</f>
        <v/>
      </c>
      <c r="PB27" s="155">
        <f>IF($MQ27=0,MAX(0,$NE27-IF($OS27&gt;0,1,0)),MAX(0,$PA27))</f>
        <v/>
      </c>
      <c r="PC27" s="155">
        <f>IF($MQ27=0,0,(IF(COUNTIF($MV27:$MY27,"Salto")&gt;0,1,0)+IF(COUNTIF($MV27:$MY27,"Queima")&gt;0,1,0)+IF(COUNTIF($MV27:$MY27,"Estilhaço")&gt;0,1,0))*FLOOR($PB27/2,1))</f>
        <v/>
      </c>
      <c r="PD27" s="155">
        <f>MAX(0,2-SUMPRODUCT($OK27:$OP27,$I$2:$N$2)+MIN(2,$OQ27*1+$OR27*1,SUMPRODUCT($OK27:$OP27,$I$2:$N$2)))</f>
        <v/>
      </c>
      <c r="PE27" s="155">
        <f>MAX(0,4-SUMPRODUCT($OK27:$OP27,$I$3:$N$3)+MIN(4,$OQ27*1+$OR27*2,SUMPRODUCT($OK27:$OP27,$I$3:$N$3)))</f>
        <v/>
      </c>
      <c r="PF27" s="155">
        <f>MAX(0,6-SUMPRODUCT($OK27:$OP27,$I$4:$N$4)+MIN(6,$OQ27*2+$OR27*3,SUMPRODUCT($OK27:$OP27,$I$4:$N$4)))</f>
        <v/>
      </c>
      <c r="PG27" s="155">
        <f>MAX(0,9-SUMPRODUCT($OK27:$OP27,$I$5:$N$5)+MIN(8,$OQ27*2+$OR27*4,SUMPRODUCT($OK27:$OP27,$I$5:$N$5)))</f>
        <v/>
      </c>
      <c r="PH27" s="155">
        <f>MAX(0,11-SUMPRODUCT($OK27:$OP27,$I$6:$N$6)+MIN(10,$OQ27*3+$OR27*5,SUMPRODUCT($OK27:$OP27,$I$6:$N$6)))</f>
        <v/>
      </c>
      <c r="PI27" s="155">
        <f>MAX(0,13-SUMPRODUCT($OK27:$OP27,$I$7:$N$7)+MIN(12,$OQ27*3+$OR27*6,SUMPRODUCT($OK27:$OP27,$I$7:$N$7)))</f>
        <v/>
      </c>
      <c r="PJ27" s="155">
        <f>MAX(0,16-SUMPRODUCT($OK27:$OP27,$I$8:$N$8)+MIN(14,$OQ27*4+$OR27*7,SUMPRODUCT($OK27:$OP27,$I$8:$N$8)))</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peça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Agarrado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IFERROR(VLOOKUP($MV28,$AV$2:$BA$84,2,FALSE),"")</f>
        <v/>
      </c>
      <c r="NJ28" s="155">
        <f>IFERROR(VLOOKUP($MW28,$AV$2:$BA$84,2,FALSE),"")</f>
        <v/>
      </c>
      <c r="NK28" s="155">
        <f>IFERROR(VLOOKUP($MX28,$AV$2:$BA$84,2,FALSE),"")</f>
        <v/>
      </c>
      <c r="NL28" s="155">
        <f>IFERROR(VLOOKUP($MY28,$AV$2:$BA$84,2,FALSE),"")</f>
        <v/>
      </c>
      <c r="NM28" s="155">
        <f>IFERROR(VLOOKUP($MV28,$AV$2:$BA$84,3,FALSE),0)</f>
        <v/>
      </c>
      <c r="NN28" s="155">
        <f>IFERROR(VLOOKUP($MW28,$AV$2:$BA$84,3,FALSE),0)</f>
        <v/>
      </c>
      <c r="NO28" s="155">
        <f>IFERROR(VLOOKUP($MX28,$AV$2:$BA$84,3,FALSE),0)</f>
        <v/>
      </c>
      <c r="NP28" s="155">
        <f>IFERROR(VLOOKUP($MY28,$AV$2:$BA$84,3,FALSE),0)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IFERROR(VLOOKUP($MV28,$AV$2:$BA$84,4,FALSE),0)+IFERROR(VLOOKUP($MW28,$AV$2:$BA$84,4,FALSE),0)+IFERROR(VLOOKUP($MX28,$AV$2:$BA$84,4,FALSE),0)+IFERROR(VLOOKUP($MY28,$AV$2:$BA$84,4,FALSE),0)</f>
        <v/>
      </c>
      <c r="OB28" s="155">
        <f>IFERROR(VLOOKUP($MV28,$AV$2:$BA$84,6,FALSE),0)+IFERROR(VLOOKUP($MW28,$AV$2:$BA$84,6,FALSE),0)+IFERROR(VLOOKUP($MX28,$AV$2:$BA$84,6,FALSE),0)+IFERROR(VLOOKUP($MY28,$AV$2:$BA$84,6,FALSE),0)</f>
        <v/>
      </c>
      <c r="OC28" s="155">
        <f>TEXTJOIN(", ",TRUE,IF(IFERROR(VLOOKUP($MV28,$AV$2:$BA$84,5,FALSE),0)=1,$MV28,""),IF(IFERROR(VLOOKUP($MW28,$AV$2:$BA$84,5,FALSE),0)=1,$MW28,""),IF(IFERROR(VLOOKUP($MX28,$AV$2:$BA$84,5,FALSE),0)=1,$MX28,""),IF(IFERROR(VLOOKUP($MY28,$AV$2:$BA$84,5,FALSE),0)=1,$MY28,""))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f>
        <v/>
      </c>
      <c r="OY28" s="155">
        <f>$OW28-$OX28</f>
        <v/>
      </c>
      <c r="OZ28" s="155">
        <f>IF($MQ28=0,0,INDEX($P$2:$P$8,MAX(1,$MQ28)))</f>
        <v/>
      </c>
      <c r="PA28" s="155">
        <f>$OZ28-$OU28+$OX28</f>
        <v/>
      </c>
      <c r="PB28" s="155">
        <f>IF($MQ28=0,MAX(0,$NE28-IF($OS28&gt;0,1,0)),MAX(0,$PA28))</f>
        <v/>
      </c>
      <c r="PC28" s="155">
        <f>IF($MQ28=0,0,(IF(COUNTIF($MV28:$MY28,"Salto")&gt;0,1,0)+IF(COUNTIF($MV28:$MY28,"Queima")&gt;0,1,0)+IF(COUNTIF($MV28:$MY28,"Estilhaço")&gt;0,1,0))*FLOOR($PB28/2,1))</f>
        <v/>
      </c>
      <c r="PD28" s="155">
        <f>MAX(0,2-SUMPRODUCT($OK28:$OP28,$I$2:$N$2)+MIN(2,$OQ28*1+$OR28*1,SUMPRODUCT($OK28:$OP28,$I$2:$N$2)))</f>
        <v/>
      </c>
      <c r="PE28" s="155">
        <f>MAX(0,4-SUMPRODUCT($OK28:$OP28,$I$3:$N$3)+MIN(4,$OQ28*1+$OR28*2,SUMPRODUCT($OK28:$OP28,$I$3:$N$3)))</f>
        <v/>
      </c>
      <c r="PF28" s="155">
        <f>MAX(0,6-SUMPRODUCT($OK28:$OP28,$I$4:$N$4)+MIN(6,$OQ28*2+$OR28*3,SUMPRODUCT($OK28:$OP28,$I$4:$N$4)))</f>
        <v/>
      </c>
      <c r="PG28" s="155">
        <f>MAX(0,9-SUMPRODUCT($OK28:$OP28,$I$5:$N$5)+MIN(8,$OQ28*2+$OR28*4,SUMPRODUCT($OK28:$OP28,$I$5:$N$5)))</f>
        <v/>
      </c>
      <c r="PH28" s="155">
        <f>MAX(0,11-SUMPRODUCT($OK28:$OP28,$I$6:$N$6)+MIN(10,$OQ28*3+$OR28*5,SUMPRODUCT($OK28:$OP28,$I$6:$N$6)))</f>
        <v/>
      </c>
      <c r="PI28" s="155">
        <f>MAX(0,13-SUMPRODUCT($OK28:$OP28,$I$7:$N$7)+MIN(12,$OQ28*3+$OR28*6,SUMPRODUCT($OK28:$OP28,$I$7:$N$7)))</f>
        <v/>
      </c>
      <c r="PJ28" s="155">
        <f>MAX(0,16-SUMPRODUCT($OK28:$OP28,$I$8:$N$8)+MIN(14,$OQ28*4+$OR28*7,SUMPRODUCT($OK28:$OP28,$I$8:$N$8)))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peça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Desarmado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IFERROR(VLOOKUP($MV29,$AV$2:$BA$84,2,FALSE),"")</f>
        <v/>
      </c>
      <c r="NJ29" s="155">
        <f>IFERROR(VLOOKUP($MW29,$AV$2:$BA$84,2,FALSE),"")</f>
        <v/>
      </c>
      <c r="NK29" s="155">
        <f>IFERROR(VLOOKUP($MX29,$AV$2:$BA$84,2,FALSE),"")</f>
        <v/>
      </c>
      <c r="NL29" s="155">
        <f>IFERROR(VLOOKUP($MY29,$AV$2:$BA$84,2,FALSE),"")</f>
        <v/>
      </c>
      <c r="NM29" s="155">
        <f>IFERROR(VLOOKUP($MV29,$AV$2:$BA$84,3,FALSE),0)</f>
        <v/>
      </c>
      <c r="NN29" s="155">
        <f>IFERROR(VLOOKUP($MW29,$AV$2:$BA$84,3,FALSE),0)</f>
        <v/>
      </c>
      <c r="NO29" s="155">
        <f>IFERROR(VLOOKUP($MX29,$AV$2:$BA$84,3,FALSE),0)</f>
        <v/>
      </c>
      <c r="NP29" s="155">
        <f>IFERROR(VLOOKUP($MY29,$AV$2:$BA$84,3,FALSE),0)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IFERROR(VLOOKUP($MV29,$AV$2:$BA$84,4,FALSE),0)+IFERROR(VLOOKUP($MW29,$AV$2:$BA$84,4,FALSE),0)+IFERROR(VLOOKUP($MX29,$AV$2:$BA$84,4,FALSE),0)+IFERROR(VLOOKUP($MY29,$AV$2:$BA$84,4,FALSE),0)</f>
        <v/>
      </c>
      <c r="OB29" s="155">
        <f>IFERROR(VLOOKUP($MV29,$AV$2:$BA$84,6,FALSE),0)+IFERROR(VLOOKUP($MW29,$AV$2:$BA$84,6,FALSE),0)+IFERROR(VLOOKUP($MX29,$AV$2:$BA$84,6,FALSE),0)+IFERROR(VLOOKUP($MY29,$AV$2:$BA$84,6,FALSE),0)</f>
        <v/>
      </c>
      <c r="OC29" s="155">
        <f>TEXTJOIN(", ",TRUE,IF(IFERROR(VLOOKUP($MV29,$AV$2:$BA$84,5,FALSE),0)=1,$MV29,""),IF(IFERROR(VLOOKUP($MW29,$AV$2:$BA$84,5,FALSE),0)=1,$MW29,""),IF(IFERROR(VLOOKUP($MX29,$AV$2:$BA$84,5,FALSE),0)=1,$MX29,""),IF(IFERROR(VLOOKUP($MY29,$AV$2:$BA$84,5,FALSE),0)=1,$MY29,""))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f>
        <v/>
      </c>
      <c r="OY29" s="155">
        <f>$OW29-$OX29</f>
        <v/>
      </c>
      <c r="OZ29" s="155">
        <f>IF($MQ29=0,0,INDEX($P$2:$P$8,MAX(1,$MQ29)))</f>
        <v/>
      </c>
      <c r="PA29" s="155">
        <f>$OZ29-$OU29+$OX29</f>
        <v/>
      </c>
      <c r="PB29" s="155">
        <f>IF($MQ29=0,MAX(0,$NE29-IF($OS29&gt;0,1,0)),MAX(0,$PA29))</f>
        <v/>
      </c>
      <c r="PC29" s="155">
        <f>IF($MQ29=0,0,(IF(COUNTIF($MV29:$MY29,"Salto")&gt;0,1,0)+IF(COUNTIF($MV29:$MY29,"Queima")&gt;0,1,0)+IF(COUNTIF($MV29:$MY29,"Estilhaço")&gt;0,1,0))*FLOOR($PB29/2,1))</f>
        <v/>
      </c>
      <c r="PD29" s="155">
        <f>MAX(0,2-SUMPRODUCT($OK29:$OP29,$I$2:$N$2)+MIN(2,$OQ29*1+$OR29*1,SUMPRODUCT($OK29:$OP29,$I$2:$N$2)))</f>
        <v/>
      </c>
      <c r="PE29" s="155">
        <f>MAX(0,4-SUMPRODUCT($OK29:$OP29,$I$3:$N$3)+MIN(4,$OQ29*1+$OR29*2,SUMPRODUCT($OK29:$OP29,$I$3:$N$3)))</f>
        <v/>
      </c>
      <c r="PF29" s="155">
        <f>MAX(0,6-SUMPRODUCT($OK29:$OP29,$I$4:$N$4)+MIN(6,$OQ29*2+$OR29*3,SUMPRODUCT($OK29:$OP29,$I$4:$N$4)))</f>
        <v/>
      </c>
      <c r="PG29" s="155">
        <f>MAX(0,9-SUMPRODUCT($OK29:$OP29,$I$5:$N$5)+MIN(8,$OQ29*2+$OR29*4,SUMPRODUCT($OK29:$OP29,$I$5:$N$5)))</f>
        <v/>
      </c>
      <c r="PH29" s="155">
        <f>MAX(0,11-SUMPRODUCT($OK29:$OP29,$I$6:$N$6)+MIN(10,$OQ29*3+$OR29*5,SUMPRODUCT($OK29:$OP29,$I$6:$N$6)))</f>
        <v/>
      </c>
      <c r="PI29" s="155">
        <f>MAX(0,13-SUMPRODUCT($OK29:$OP29,$I$7:$N$7)+MIN(12,$OQ29*3+$OR29*6,SUMPRODUCT($OK29:$OP29,$I$7:$N$7)))</f>
        <v/>
      </c>
      <c r="PJ29" s="155">
        <f>MAX(0,16-SUMPRODUCT($OK29:$OP29,$I$8:$N$8)+MIN(14,$OQ29*4+$OR29*7,SUMPRODUCT($OK29:$OP29,$I$8:$N$8)))</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peça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Surdo</t>
        </is>
      </c>
      <c r="AW30" s="153" t="inlineStr">
        <is>
          <t>Controle</t>
        </is>
      </c>
      <c r="AX30" s="155" t="n">
        <v>1</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IFERROR(VLOOKUP($MV30,$AV$2:$BA$84,2,FALSE),"")</f>
        <v/>
      </c>
      <c r="NJ30" s="155">
        <f>IFERROR(VLOOKUP($MW30,$AV$2:$BA$84,2,FALSE),"")</f>
        <v/>
      </c>
      <c r="NK30" s="155">
        <f>IFERROR(VLOOKUP($MX30,$AV$2:$BA$84,2,FALSE),"")</f>
        <v/>
      </c>
      <c r="NL30" s="155">
        <f>IFERROR(VLOOKUP($MY30,$AV$2:$BA$84,2,FALSE),"")</f>
        <v/>
      </c>
      <c r="NM30" s="155">
        <f>IFERROR(VLOOKUP($MV30,$AV$2:$BA$84,3,FALSE),0)</f>
        <v/>
      </c>
      <c r="NN30" s="155">
        <f>IFERROR(VLOOKUP($MW30,$AV$2:$BA$84,3,FALSE),0)</f>
        <v/>
      </c>
      <c r="NO30" s="155">
        <f>IFERROR(VLOOKUP($MX30,$AV$2:$BA$84,3,FALSE),0)</f>
        <v/>
      </c>
      <c r="NP30" s="155">
        <f>IFERROR(VLOOKUP($MY30,$AV$2:$BA$84,3,FALSE),0)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IFERROR(VLOOKUP($MV30,$AV$2:$BA$84,4,FALSE),0)+IFERROR(VLOOKUP($MW30,$AV$2:$BA$84,4,FALSE),0)+IFERROR(VLOOKUP($MX30,$AV$2:$BA$84,4,FALSE),0)+IFERROR(VLOOKUP($MY30,$AV$2:$BA$84,4,FALSE),0)</f>
        <v/>
      </c>
      <c r="OB30" s="155">
        <f>IFERROR(VLOOKUP($MV30,$AV$2:$BA$84,6,FALSE),0)+IFERROR(VLOOKUP($MW30,$AV$2:$BA$84,6,FALSE),0)+IFERROR(VLOOKUP($MX30,$AV$2:$BA$84,6,FALSE),0)+IFERROR(VLOOKUP($MY30,$AV$2:$BA$84,6,FALSE),0)</f>
        <v/>
      </c>
      <c r="OC30" s="155">
        <f>TEXTJOIN(", ",TRUE,IF(IFERROR(VLOOKUP($MV30,$AV$2:$BA$84,5,FALSE),0)=1,$MV30,""),IF(IFERROR(VLOOKUP($MW30,$AV$2:$BA$84,5,FALSE),0)=1,$MW30,""),IF(IFERROR(VLOOKUP($MX30,$AV$2:$BA$84,5,FALSE),0)=1,$MX30,""),IF(IFERROR(VLOOKUP($MY30,$AV$2:$BA$84,5,FALSE),0)=1,$MY30,""))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f>
        <v/>
      </c>
      <c r="OY30" s="155">
        <f>$OW30-$OX30</f>
        <v/>
      </c>
      <c r="OZ30" s="155">
        <f>IF($MQ30=0,0,INDEX($P$2:$P$8,MAX(1,$MQ30)))</f>
        <v/>
      </c>
      <c r="PA30" s="155">
        <f>$OZ30-$OU30+$OX30</f>
        <v/>
      </c>
      <c r="PB30" s="155">
        <f>IF($MQ30=0,MAX(0,$NE30-IF($OS30&gt;0,1,0)),MAX(0,$PA30))</f>
        <v/>
      </c>
      <c r="PC30" s="155">
        <f>IF($MQ30=0,0,(IF(COUNTIF($MV30:$MY30,"Salto")&gt;0,1,0)+IF(COUNTIF($MV30:$MY30,"Queima")&gt;0,1,0)+IF(COUNTIF($MV30:$MY30,"Estilhaço")&gt;0,1,0))*FLOOR($PB30/2,1))</f>
        <v/>
      </c>
      <c r="PD30" s="155">
        <f>MAX(0,2-SUMPRODUCT($OK30:$OP30,$I$2:$N$2)+MIN(2,$OQ30*1+$OR30*1,SUMPRODUCT($OK30:$OP30,$I$2:$N$2)))</f>
        <v/>
      </c>
      <c r="PE30" s="155">
        <f>MAX(0,4-SUMPRODUCT($OK30:$OP30,$I$3:$N$3)+MIN(4,$OQ30*1+$OR30*2,SUMPRODUCT($OK30:$OP30,$I$3:$N$3)))</f>
        <v/>
      </c>
      <c r="PF30" s="155">
        <f>MAX(0,6-SUMPRODUCT($OK30:$OP30,$I$4:$N$4)+MIN(6,$OQ30*2+$OR30*3,SUMPRODUCT($OK30:$OP30,$I$4:$N$4)))</f>
        <v/>
      </c>
      <c r="PG30" s="155">
        <f>MAX(0,9-SUMPRODUCT($OK30:$OP30,$I$5:$N$5)+MIN(8,$OQ30*2+$OR30*4,SUMPRODUCT($OK30:$OP30,$I$5:$N$5)))</f>
        <v/>
      </c>
      <c r="PH30" s="155">
        <f>MAX(0,11-SUMPRODUCT($OK30:$OP30,$I$6:$N$6)+MIN(10,$OQ30*3+$OR30*5,SUMPRODUCT($OK30:$OP30,$I$6:$N$6)))</f>
        <v/>
      </c>
      <c r="PI30" s="155">
        <f>MAX(0,13-SUMPRODUCT($OK30:$OP30,$I$7:$N$7)+MIN(12,$OQ30*3+$OR30*6,SUMPRODUCT($OK30:$OP30,$I$7:$N$7)))</f>
        <v/>
      </c>
      <c r="PJ30" s="155">
        <f>MAX(0,16-SUMPRODUCT($OK30:$OP30,$I$8:$N$8)+MIN(14,$OQ30*4+$OR30*7,SUMPRODUCT($OK30:$OP30,$I$8:$N$8)))</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peça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Calado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IFERROR(VLOOKUP($MV31,$AV$2:$BA$84,2,FALSE),"")</f>
        <v/>
      </c>
      <c r="NJ31" s="155">
        <f>IFERROR(VLOOKUP($MW31,$AV$2:$BA$84,2,FALSE),"")</f>
        <v/>
      </c>
      <c r="NK31" s="155">
        <f>IFERROR(VLOOKUP($MX31,$AV$2:$BA$84,2,FALSE),"")</f>
        <v/>
      </c>
      <c r="NL31" s="155">
        <f>IFERROR(VLOOKUP($MY31,$AV$2:$BA$84,2,FALSE),"")</f>
        <v/>
      </c>
      <c r="NM31" s="155">
        <f>IFERROR(VLOOKUP($MV31,$AV$2:$BA$84,3,FALSE),0)</f>
        <v/>
      </c>
      <c r="NN31" s="155">
        <f>IFERROR(VLOOKUP($MW31,$AV$2:$BA$84,3,FALSE),0)</f>
        <v/>
      </c>
      <c r="NO31" s="155">
        <f>IFERROR(VLOOKUP($MX31,$AV$2:$BA$84,3,FALSE),0)</f>
        <v/>
      </c>
      <c r="NP31" s="155">
        <f>IFERROR(VLOOKUP($MY31,$AV$2:$BA$84,3,FALSE),0)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IFERROR(VLOOKUP($MV31,$AV$2:$BA$84,4,FALSE),0)+IFERROR(VLOOKUP($MW31,$AV$2:$BA$84,4,FALSE),0)+IFERROR(VLOOKUP($MX31,$AV$2:$BA$84,4,FALSE),0)+IFERROR(VLOOKUP($MY31,$AV$2:$BA$84,4,FALSE),0)</f>
        <v/>
      </c>
      <c r="OB31" s="155">
        <f>IFERROR(VLOOKUP($MV31,$AV$2:$BA$84,6,FALSE),0)+IFERROR(VLOOKUP($MW31,$AV$2:$BA$84,6,FALSE),0)+IFERROR(VLOOKUP($MX31,$AV$2:$BA$84,6,FALSE),0)+IFERROR(VLOOKUP($MY31,$AV$2:$BA$84,6,FALSE),0)</f>
        <v/>
      </c>
      <c r="OC31" s="155">
        <f>TEXTJOIN(", ",TRUE,IF(IFERROR(VLOOKUP($MV31,$AV$2:$BA$84,5,FALSE),0)=1,$MV31,""),IF(IFERROR(VLOOKUP($MW31,$AV$2:$BA$84,5,FALSE),0)=1,$MW31,""),IF(IFERROR(VLOOKUP($MX31,$AV$2:$BA$84,5,FALSE),0)=1,$MX31,""),IF(IFERROR(VLOOKUP($MY31,$AV$2:$BA$84,5,FALSE),0)=1,$MY31,""))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f>
        <v/>
      </c>
      <c r="OY31" s="155">
        <f>$OW31-$OX31</f>
        <v/>
      </c>
      <c r="OZ31" s="155">
        <f>IF($MQ31=0,0,INDEX($P$2:$P$8,MAX(1,$MQ31)))</f>
        <v/>
      </c>
      <c r="PA31" s="155">
        <f>$OZ31-$OU31+$OX31</f>
        <v/>
      </c>
      <c r="PB31" s="155">
        <f>IF($MQ31=0,MAX(0,$NE31-IF($OS31&gt;0,1,0)),MAX(0,$PA31))</f>
        <v/>
      </c>
      <c r="PC31" s="155">
        <f>IF($MQ31=0,0,(IF(COUNTIF($MV31:$MY31,"Salto")&gt;0,1,0)+IF(COUNTIF($MV31:$MY31,"Queima")&gt;0,1,0)+IF(COUNTIF($MV31:$MY31,"Estilhaço")&gt;0,1,0))*FLOOR($PB31/2,1))</f>
        <v/>
      </c>
      <c r="PD31" s="155">
        <f>MAX(0,2-SUMPRODUCT($OK31:$OP31,$I$2:$N$2)+MIN(2,$OQ31*1+$OR31*1,SUMPRODUCT($OK31:$OP31,$I$2:$N$2)))</f>
        <v/>
      </c>
      <c r="PE31" s="155">
        <f>MAX(0,4-SUMPRODUCT($OK31:$OP31,$I$3:$N$3)+MIN(4,$OQ31*1+$OR31*2,SUMPRODUCT($OK31:$OP31,$I$3:$N$3)))</f>
        <v/>
      </c>
      <c r="PF31" s="155">
        <f>MAX(0,6-SUMPRODUCT($OK31:$OP31,$I$4:$N$4)+MIN(6,$OQ31*2+$OR31*3,SUMPRODUCT($OK31:$OP31,$I$4:$N$4)))</f>
        <v/>
      </c>
      <c r="PG31" s="155">
        <f>MAX(0,9-SUMPRODUCT($OK31:$OP31,$I$5:$N$5)+MIN(8,$OQ31*2+$OR31*4,SUMPRODUCT($OK31:$OP31,$I$5:$N$5)))</f>
        <v/>
      </c>
      <c r="PH31" s="155">
        <f>MAX(0,11-SUMPRODUCT($OK31:$OP31,$I$6:$N$6)+MIN(10,$OQ31*3+$OR31*5,SUMPRODUCT($OK31:$OP31,$I$6:$N$6)))</f>
        <v/>
      </c>
      <c r="PI31" s="155">
        <f>MAX(0,13-SUMPRODUCT($OK31:$OP31,$I$7:$N$7)+MIN(12,$OQ31*3+$OR31*6,SUMPRODUCT($OK31:$OP31,$I$7:$N$7)))</f>
        <v/>
      </c>
      <c r="PJ31" s="155">
        <f>MAX(0,16-SUMPRODUCT($OK31:$OP31,$I$8:$N$8)+MIN(14,$OQ31*4+$OR31*7,SUMPRODUCT($OK31:$OP31,$I$8:$N$8)))</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peça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Enfeitiçado</t>
        </is>
      </c>
      <c r="AW32" s="153" t="inlineStr">
        <is>
          <t>Controle</t>
        </is>
      </c>
      <c r="AX32" s="155" t="n">
        <v>2</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IFERROR(VLOOKUP($MV32,$AV$2:$BA$84,2,FALSE),"")</f>
        <v/>
      </c>
      <c r="NJ32" s="155">
        <f>IFERROR(VLOOKUP($MW32,$AV$2:$BA$84,2,FALSE),"")</f>
        <v/>
      </c>
      <c r="NK32" s="155">
        <f>IFERROR(VLOOKUP($MX32,$AV$2:$BA$84,2,FALSE),"")</f>
        <v/>
      </c>
      <c r="NL32" s="155">
        <f>IFERROR(VLOOKUP($MY32,$AV$2:$BA$84,2,FALSE),"")</f>
        <v/>
      </c>
      <c r="NM32" s="155">
        <f>IFERROR(VLOOKUP($MV32,$AV$2:$BA$84,3,FALSE),0)</f>
        <v/>
      </c>
      <c r="NN32" s="155">
        <f>IFERROR(VLOOKUP($MW32,$AV$2:$BA$84,3,FALSE),0)</f>
        <v/>
      </c>
      <c r="NO32" s="155">
        <f>IFERROR(VLOOKUP($MX32,$AV$2:$BA$84,3,FALSE),0)</f>
        <v/>
      </c>
      <c r="NP32" s="155">
        <f>IFERROR(VLOOKUP($MY32,$AV$2:$BA$84,3,FALSE),0)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IFERROR(VLOOKUP($MV32,$AV$2:$BA$84,4,FALSE),0)+IFERROR(VLOOKUP($MW32,$AV$2:$BA$84,4,FALSE),0)+IFERROR(VLOOKUP($MX32,$AV$2:$BA$84,4,FALSE),0)+IFERROR(VLOOKUP($MY32,$AV$2:$BA$84,4,FALSE),0)</f>
        <v/>
      </c>
      <c r="OB32" s="155">
        <f>IFERROR(VLOOKUP($MV32,$AV$2:$BA$84,6,FALSE),0)+IFERROR(VLOOKUP($MW32,$AV$2:$BA$84,6,FALSE),0)+IFERROR(VLOOKUP($MX32,$AV$2:$BA$84,6,FALSE),0)+IFERROR(VLOOKUP($MY32,$AV$2:$BA$84,6,FALSE),0)</f>
        <v/>
      </c>
      <c r="OC32" s="155">
        <f>TEXTJOIN(", ",TRUE,IF(IFERROR(VLOOKUP($MV32,$AV$2:$BA$84,5,FALSE),0)=1,$MV32,""),IF(IFERROR(VLOOKUP($MW32,$AV$2:$BA$84,5,FALSE),0)=1,$MW32,""),IF(IFERROR(VLOOKUP($MX32,$AV$2:$BA$84,5,FALSE),0)=1,$MX32,""),IF(IFERROR(VLOOKUP($MY32,$AV$2:$BA$84,5,FALSE),0)=1,$MY32,""))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f>
        <v/>
      </c>
      <c r="OY32" s="155">
        <f>$OW32-$OX32</f>
        <v/>
      </c>
      <c r="OZ32" s="155">
        <f>IF($MQ32=0,0,INDEX($P$2:$P$8,MAX(1,$MQ32)))</f>
        <v/>
      </c>
      <c r="PA32" s="155">
        <f>$OZ32-$OU32+$OX32</f>
        <v/>
      </c>
      <c r="PB32" s="155">
        <f>IF($MQ32=0,MAX(0,$NE32-IF($OS32&gt;0,1,0)),MAX(0,$PA32))</f>
        <v/>
      </c>
      <c r="PC32" s="155">
        <f>IF($MQ32=0,0,(IF(COUNTIF($MV32:$MY32,"Salto")&gt;0,1,0)+IF(COUNTIF($MV32:$MY32,"Queima")&gt;0,1,0)+IF(COUNTIF($MV32:$MY32,"Estilhaço")&gt;0,1,0))*FLOOR($PB32/2,1))</f>
        <v/>
      </c>
      <c r="PD32" s="155">
        <f>MAX(0,2-SUMPRODUCT($OK32:$OP32,$I$2:$N$2)+MIN(2,$OQ32*1+$OR32*1,SUMPRODUCT($OK32:$OP32,$I$2:$N$2)))</f>
        <v/>
      </c>
      <c r="PE32" s="155">
        <f>MAX(0,4-SUMPRODUCT($OK32:$OP32,$I$3:$N$3)+MIN(4,$OQ32*1+$OR32*2,SUMPRODUCT($OK32:$OP32,$I$3:$N$3)))</f>
        <v/>
      </c>
      <c r="PF32" s="155">
        <f>MAX(0,6-SUMPRODUCT($OK32:$OP32,$I$4:$N$4)+MIN(6,$OQ32*2+$OR32*3,SUMPRODUCT($OK32:$OP32,$I$4:$N$4)))</f>
        <v/>
      </c>
      <c r="PG32" s="155">
        <f>MAX(0,9-SUMPRODUCT($OK32:$OP32,$I$5:$N$5)+MIN(8,$OQ32*2+$OR32*4,SUMPRODUCT($OK32:$OP32,$I$5:$N$5)))</f>
        <v/>
      </c>
      <c r="PH32" s="155">
        <f>MAX(0,11-SUMPRODUCT($OK32:$OP32,$I$6:$N$6)+MIN(10,$OQ32*3+$OR32*5,SUMPRODUCT($OK32:$OP32,$I$6:$N$6)))</f>
        <v/>
      </c>
      <c r="PI32" s="155">
        <f>MAX(0,13-SUMPRODUCT($OK32:$OP32,$I$7:$N$7)+MIN(12,$OQ32*3+$OR32*6,SUMPRODUCT($OK32:$OP32,$I$7:$N$7)))</f>
        <v/>
      </c>
      <c r="PJ32" s="155">
        <f>MAX(0,16-SUMPRODUCT($OK32:$OP32,$I$8:$N$8)+MIN(14,$OQ32*4+$OR32*7,SUMPRODUCT($OK32:$OP32,$I$8:$N$8)))</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peça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Impedido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IFERROR(VLOOKUP($MV33,$AV$2:$BA$84,2,FALSE),"")</f>
        <v/>
      </c>
      <c r="NJ33" s="155">
        <f>IFERROR(VLOOKUP($MW33,$AV$2:$BA$84,2,FALSE),"")</f>
        <v/>
      </c>
      <c r="NK33" s="155">
        <f>IFERROR(VLOOKUP($MX33,$AV$2:$BA$84,2,FALSE),"")</f>
        <v/>
      </c>
      <c r="NL33" s="155">
        <f>IFERROR(VLOOKUP($MY33,$AV$2:$BA$84,2,FALSE),"")</f>
        <v/>
      </c>
      <c r="NM33" s="155">
        <f>IFERROR(VLOOKUP($MV33,$AV$2:$BA$84,3,FALSE),0)</f>
        <v/>
      </c>
      <c r="NN33" s="155">
        <f>IFERROR(VLOOKUP($MW33,$AV$2:$BA$84,3,FALSE),0)</f>
        <v/>
      </c>
      <c r="NO33" s="155">
        <f>IFERROR(VLOOKUP($MX33,$AV$2:$BA$84,3,FALSE),0)</f>
        <v/>
      </c>
      <c r="NP33" s="155">
        <f>IFERROR(VLOOKUP($MY33,$AV$2:$BA$84,3,FALSE),0)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IFERROR(VLOOKUP($MV33,$AV$2:$BA$84,4,FALSE),0)+IFERROR(VLOOKUP($MW33,$AV$2:$BA$84,4,FALSE),0)+IFERROR(VLOOKUP($MX33,$AV$2:$BA$84,4,FALSE),0)+IFERROR(VLOOKUP($MY33,$AV$2:$BA$84,4,FALSE),0)</f>
        <v/>
      </c>
      <c r="OB33" s="155">
        <f>IFERROR(VLOOKUP($MV33,$AV$2:$BA$84,6,FALSE),0)+IFERROR(VLOOKUP($MW33,$AV$2:$BA$84,6,FALSE),0)+IFERROR(VLOOKUP($MX33,$AV$2:$BA$84,6,FALSE),0)+IFERROR(VLOOKUP($MY33,$AV$2:$BA$84,6,FALSE),0)</f>
        <v/>
      </c>
      <c r="OC33" s="155">
        <f>TEXTJOIN(", ",TRUE,IF(IFERROR(VLOOKUP($MV33,$AV$2:$BA$84,5,FALSE),0)=1,$MV33,""),IF(IFERROR(VLOOKUP($MW33,$AV$2:$BA$84,5,FALSE),0)=1,$MW33,""),IF(IFERROR(VLOOKUP($MX33,$AV$2:$BA$84,5,FALSE),0)=1,$MX33,""),IF(IFERROR(VLOOKUP($MY33,$AV$2:$BA$84,5,FALSE),0)=1,$MY33,""))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f>
        <v/>
      </c>
      <c r="OY33" s="155">
        <f>$OW33-$OX33</f>
        <v/>
      </c>
      <c r="OZ33" s="155">
        <f>IF($MQ33=0,0,INDEX($P$2:$P$8,MAX(1,$MQ33)))</f>
        <v/>
      </c>
      <c r="PA33" s="155">
        <f>$OZ33-$OU33+$OX33</f>
        <v/>
      </c>
      <c r="PB33" s="155">
        <f>IF($MQ33=0,MAX(0,$NE33-IF($OS33&gt;0,1,0)),MAX(0,$PA33))</f>
        <v/>
      </c>
      <c r="PC33" s="155">
        <f>IF($MQ33=0,0,(IF(COUNTIF($MV33:$MY33,"Salto")&gt;0,1,0)+IF(COUNTIF($MV33:$MY33,"Queima")&gt;0,1,0)+IF(COUNTIF($MV33:$MY33,"Estilhaço")&gt;0,1,0))*FLOOR($PB33/2,1))</f>
        <v/>
      </c>
      <c r="PD33" s="155">
        <f>MAX(0,2-SUMPRODUCT($OK33:$OP33,$I$2:$N$2)+MIN(2,$OQ33*1+$OR33*1,SUMPRODUCT($OK33:$OP33,$I$2:$N$2)))</f>
        <v/>
      </c>
      <c r="PE33" s="155">
        <f>MAX(0,4-SUMPRODUCT($OK33:$OP33,$I$3:$N$3)+MIN(4,$OQ33*1+$OR33*2,SUMPRODUCT($OK33:$OP33,$I$3:$N$3)))</f>
        <v/>
      </c>
      <c r="PF33" s="155">
        <f>MAX(0,6-SUMPRODUCT($OK33:$OP33,$I$4:$N$4)+MIN(6,$OQ33*2+$OR33*3,SUMPRODUCT($OK33:$OP33,$I$4:$N$4)))</f>
        <v/>
      </c>
      <c r="PG33" s="155">
        <f>MAX(0,9-SUMPRODUCT($OK33:$OP33,$I$5:$N$5)+MIN(8,$OQ33*2+$OR33*4,SUMPRODUCT($OK33:$OP33,$I$5:$N$5)))</f>
        <v/>
      </c>
      <c r="PH33" s="155">
        <f>MAX(0,11-SUMPRODUCT($OK33:$OP33,$I$6:$N$6)+MIN(10,$OQ33*3+$OR33*5,SUMPRODUCT($OK33:$OP33,$I$6:$N$6)))</f>
        <v/>
      </c>
      <c r="PI33" s="155">
        <f>MAX(0,13-SUMPRODUCT($OK33:$OP33,$I$7:$N$7)+MIN(12,$OQ33*3+$OR33*6,SUMPRODUCT($OK33:$OP33,$I$7:$N$7)))</f>
        <v/>
      </c>
      <c r="PJ33" s="155">
        <f>MAX(0,16-SUMPRODUCT($OK33:$OP33,$I$8:$N$8)+MIN(14,$OQ33*4+$OR33*7,SUMPRODUCT($OK33:$OP33,$I$8:$N$8)))</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peça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Cego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IFERROR(VLOOKUP($MV34,$AV$2:$BA$84,2,FALSE),"")</f>
        <v/>
      </c>
      <c r="NJ34" s="155">
        <f>IFERROR(VLOOKUP($MW34,$AV$2:$BA$84,2,FALSE),"")</f>
        <v/>
      </c>
      <c r="NK34" s="155">
        <f>IFERROR(VLOOKUP($MX34,$AV$2:$BA$84,2,FALSE),"")</f>
        <v/>
      </c>
      <c r="NL34" s="155">
        <f>IFERROR(VLOOKUP($MY34,$AV$2:$BA$84,2,FALSE),"")</f>
        <v/>
      </c>
      <c r="NM34" s="155">
        <f>IFERROR(VLOOKUP($MV34,$AV$2:$BA$84,3,FALSE),0)</f>
        <v/>
      </c>
      <c r="NN34" s="155">
        <f>IFERROR(VLOOKUP($MW34,$AV$2:$BA$84,3,FALSE),0)</f>
        <v/>
      </c>
      <c r="NO34" s="155">
        <f>IFERROR(VLOOKUP($MX34,$AV$2:$BA$84,3,FALSE),0)</f>
        <v/>
      </c>
      <c r="NP34" s="155">
        <f>IFERROR(VLOOKUP($MY34,$AV$2:$BA$84,3,FALSE),0)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IFERROR(VLOOKUP($MV34,$AV$2:$BA$84,4,FALSE),0)+IFERROR(VLOOKUP($MW34,$AV$2:$BA$84,4,FALSE),0)+IFERROR(VLOOKUP($MX34,$AV$2:$BA$84,4,FALSE),0)+IFERROR(VLOOKUP($MY34,$AV$2:$BA$84,4,FALSE),0)</f>
        <v/>
      </c>
      <c r="OB34" s="155">
        <f>IFERROR(VLOOKUP($MV34,$AV$2:$BA$84,6,FALSE),0)+IFERROR(VLOOKUP($MW34,$AV$2:$BA$84,6,FALSE),0)+IFERROR(VLOOKUP($MX34,$AV$2:$BA$84,6,FALSE),0)+IFERROR(VLOOKUP($MY34,$AV$2:$BA$84,6,FALSE),0)</f>
        <v/>
      </c>
      <c r="OC34" s="155">
        <f>TEXTJOIN(", ",TRUE,IF(IFERROR(VLOOKUP($MV34,$AV$2:$BA$84,5,FALSE),0)=1,$MV34,""),IF(IFERROR(VLOOKUP($MW34,$AV$2:$BA$84,5,FALSE),0)=1,$MW34,""),IF(IFERROR(VLOOKUP($MX34,$AV$2:$BA$84,5,FALSE),0)=1,$MX34,""),IF(IFERROR(VLOOKUP($MY34,$AV$2:$BA$84,5,FALSE),0)=1,$MY34,""))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f>
        <v/>
      </c>
      <c r="OY34" s="155">
        <f>$OW34-$OX34</f>
        <v/>
      </c>
      <c r="OZ34" s="155">
        <f>IF($MQ34=0,0,INDEX($P$2:$P$8,MAX(1,$MQ34)))</f>
        <v/>
      </c>
      <c r="PA34" s="155">
        <f>$OZ34-$OU34+$OX34</f>
        <v/>
      </c>
      <c r="PB34" s="155">
        <f>IF($MQ34=0,MAX(0,$NE34-IF($OS34&gt;0,1,0)),MAX(0,$PA34))</f>
        <v/>
      </c>
      <c r="PC34" s="155">
        <f>IF($MQ34=0,0,(IF(COUNTIF($MV34:$MY34,"Salto")&gt;0,1,0)+IF(COUNTIF($MV34:$MY34,"Queima")&gt;0,1,0)+IF(COUNTIF($MV34:$MY34,"Estilhaço")&gt;0,1,0))*FLOOR($PB34/2,1))</f>
        <v/>
      </c>
      <c r="PD34" s="155">
        <f>MAX(0,2-SUMPRODUCT($OK34:$OP34,$I$2:$N$2)+MIN(2,$OQ34*1+$OR34*1,SUMPRODUCT($OK34:$OP34,$I$2:$N$2)))</f>
        <v/>
      </c>
      <c r="PE34" s="155">
        <f>MAX(0,4-SUMPRODUCT($OK34:$OP34,$I$3:$N$3)+MIN(4,$OQ34*1+$OR34*2,SUMPRODUCT($OK34:$OP34,$I$3:$N$3)))</f>
        <v/>
      </c>
      <c r="PF34" s="155">
        <f>MAX(0,6-SUMPRODUCT($OK34:$OP34,$I$4:$N$4)+MIN(6,$OQ34*2+$OR34*3,SUMPRODUCT($OK34:$OP34,$I$4:$N$4)))</f>
        <v/>
      </c>
      <c r="PG34" s="155">
        <f>MAX(0,9-SUMPRODUCT($OK34:$OP34,$I$5:$N$5)+MIN(8,$OQ34*2+$OR34*4,SUMPRODUCT($OK34:$OP34,$I$5:$N$5)))</f>
        <v/>
      </c>
      <c r="PH34" s="155">
        <f>MAX(0,11-SUMPRODUCT($OK34:$OP34,$I$6:$N$6)+MIN(10,$OQ34*3+$OR34*5,SUMPRODUCT($OK34:$OP34,$I$6:$N$6)))</f>
        <v/>
      </c>
      <c r="PI34" s="155">
        <f>MAX(0,13-SUMPRODUCT($OK34:$OP34,$I$7:$N$7)+MIN(12,$OQ34*3+$OR34*6,SUMPRODUCT($OK34:$OP34,$I$7:$N$7)))</f>
        <v/>
      </c>
      <c r="PJ34" s="155">
        <f>MAX(0,16-SUMPRODUCT($OK34:$OP34,$I$8:$N$8)+MIN(14,$OQ34*4+$OR34*7,SUMPRODUCT($OK34:$OP34,$I$8:$N$8)))</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peça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Amedrontado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IFERROR(VLOOKUP($MV35,$AV$2:$BA$84,2,FALSE),"")</f>
        <v/>
      </c>
      <c r="NJ35" s="155">
        <f>IFERROR(VLOOKUP($MW35,$AV$2:$BA$84,2,FALSE),"")</f>
        <v/>
      </c>
      <c r="NK35" s="155">
        <f>IFERROR(VLOOKUP($MX35,$AV$2:$BA$84,2,FALSE),"")</f>
        <v/>
      </c>
      <c r="NL35" s="155">
        <f>IFERROR(VLOOKUP($MY35,$AV$2:$BA$84,2,FALSE),"")</f>
        <v/>
      </c>
      <c r="NM35" s="155">
        <f>IFERROR(VLOOKUP($MV35,$AV$2:$BA$84,3,FALSE),0)</f>
        <v/>
      </c>
      <c r="NN35" s="155">
        <f>IFERROR(VLOOKUP($MW35,$AV$2:$BA$84,3,FALSE),0)</f>
        <v/>
      </c>
      <c r="NO35" s="155">
        <f>IFERROR(VLOOKUP($MX35,$AV$2:$BA$84,3,FALSE),0)</f>
        <v/>
      </c>
      <c r="NP35" s="155">
        <f>IFERROR(VLOOKUP($MY35,$AV$2:$BA$84,3,FALSE),0)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IFERROR(VLOOKUP($MV35,$AV$2:$BA$84,4,FALSE),0)+IFERROR(VLOOKUP($MW35,$AV$2:$BA$84,4,FALSE),0)+IFERROR(VLOOKUP($MX35,$AV$2:$BA$84,4,FALSE),0)+IFERROR(VLOOKUP($MY35,$AV$2:$BA$84,4,FALSE),0)</f>
        <v/>
      </c>
      <c r="OB35" s="155">
        <f>IFERROR(VLOOKUP($MV35,$AV$2:$BA$84,6,FALSE),0)+IFERROR(VLOOKUP($MW35,$AV$2:$BA$84,6,FALSE),0)+IFERROR(VLOOKUP($MX35,$AV$2:$BA$84,6,FALSE),0)+IFERROR(VLOOKUP($MY35,$AV$2:$BA$84,6,FALSE),0)</f>
        <v/>
      </c>
      <c r="OC35" s="155">
        <f>TEXTJOIN(", ",TRUE,IF(IFERROR(VLOOKUP($MV35,$AV$2:$BA$84,5,FALSE),0)=1,$MV35,""),IF(IFERROR(VLOOKUP($MW35,$AV$2:$BA$84,5,FALSE),0)=1,$MW35,""),IF(IFERROR(VLOOKUP($MX35,$AV$2:$BA$84,5,FALSE),0)=1,$MX35,""),IF(IFERROR(VLOOKUP($MY35,$AV$2:$BA$84,5,FALSE),0)=1,$MY35,""))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f>
        <v/>
      </c>
      <c r="OY35" s="155">
        <f>$OW35-$OX35</f>
        <v/>
      </c>
      <c r="OZ35" s="155">
        <f>IF($MQ35=0,0,INDEX($P$2:$P$8,MAX(1,$MQ35)))</f>
        <v/>
      </c>
      <c r="PA35" s="155">
        <f>$OZ35-$OU35+$OX35</f>
        <v/>
      </c>
      <c r="PB35" s="155">
        <f>IF($MQ35=0,MAX(0,$NE35-IF($OS35&gt;0,1,0)),MAX(0,$PA35))</f>
        <v/>
      </c>
      <c r="PC35" s="155">
        <f>IF($MQ35=0,0,(IF(COUNTIF($MV35:$MY35,"Salto")&gt;0,1,0)+IF(COUNTIF($MV35:$MY35,"Queima")&gt;0,1,0)+IF(COUNTIF($MV35:$MY35,"Estilhaço")&gt;0,1,0))*FLOOR($PB35/2,1))</f>
        <v/>
      </c>
      <c r="PD35" s="155">
        <f>MAX(0,2-SUMPRODUCT($OK35:$OP35,$I$2:$N$2)+MIN(2,$OQ35*1+$OR35*1,SUMPRODUCT($OK35:$OP35,$I$2:$N$2)))</f>
        <v/>
      </c>
      <c r="PE35" s="155">
        <f>MAX(0,4-SUMPRODUCT($OK35:$OP35,$I$3:$N$3)+MIN(4,$OQ35*1+$OR35*2,SUMPRODUCT($OK35:$OP35,$I$3:$N$3)))</f>
        <v/>
      </c>
      <c r="PF35" s="155">
        <f>MAX(0,6-SUMPRODUCT($OK35:$OP35,$I$4:$N$4)+MIN(6,$OQ35*2+$OR35*3,SUMPRODUCT($OK35:$OP35,$I$4:$N$4)))</f>
        <v/>
      </c>
      <c r="PG35" s="155">
        <f>MAX(0,9-SUMPRODUCT($OK35:$OP35,$I$5:$N$5)+MIN(8,$OQ35*2+$OR35*4,SUMPRODUCT($OK35:$OP35,$I$5:$N$5)))</f>
        <v/>
      </c>
      <c r="PH35" s="155">
        <f>MAX(0,11-SUMPRODUCT($OK35:$OP35,$I$6:$N$6)+MIN(10,$OQ35*3+$OR35*5,SUMPRODUCT($OK35:$OP35,$I$6:$N$6)))</f>
        <v/>
      </c>
      <c r="PI35" s="155">
        <f>MAX(0,13-SUMPRODUCT($OK35:$OP35,$I$7:$N$7)+MIN(12,$OQ35*3+$OR35*6,SUMPRODUCT($OK35:$OP35,$I$7:$N$7)))</f>
        <v/>
      </c>
      <c r="PJ35" s="155">
        <f>MAX(0,16-SUMPRODUCT($OK35:$OP35,$I$8:$N$8)+MIN(14,$OQ35*4+$OR35*7,SUMPRODUCT($OK35:$OP35,$I$8:$N$8)))</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peça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Envenenado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IFERROR(VLOOKUP($MV36,$AV$2:$BA$84,2,FALSE),"")</f>
        <v/>
      </c>
      <c r="NJ36" s="155">
        <f>IFERROR(VLOOKUP($MW36,$AV$2:$BA$84,2,FALSE),"")</f>
        <v/>
      </c>
      <c r="NK36" s="155">
        <f>IFERROR(VLOOKUP($MX36,$AV$2:$BA$84,2,FALSE),"")</f>
        <v/>
      </c>
      <c r="NL36" s="155">
        <f>IFERROR(VLOOKUP($MY36,$AV$2:$BA$84,2,FALSE),"")</f>
        <v/>
      </c>
      <c r="NM36" s="155">
        <f>IFERROR(VLOOKUP($MV36,$AV$2:$BA$84,3,FALSE),0)</f>
        <v/>
      </c>
      <c r="NN36" s="155">
        <f>IFERROR(VLOOKUP($MW36,$AV$2:$BA$84,3,FALSE),0)</f>
        <v/>
      </c>
      <c r="NO36" s="155">
        <f>IFERROR(VLOOKUP($MX36,$AV$2:$BA$84,3,FALSE),0)</f>
        <v/>
      </c>
      <c r="NP36" s="155">
        <f>IFERROR(VLOOKUP($MY36,$AV$2:$BA$84,3,FALSE),0)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IFERROR(VLOOKUP($MV36,$AV$2:$BA$84,4,FALSE),0)+IFERROR(VLOOKUP($MW36,$AV$2:$BA$84,4,FALSE),0)+IFERROR(VLOOKUP($MX36,$AV$2:$BA$84,4,FALSE),0)+IFERROR(VLOOKUP($MY36,$AV$2:$BA$84,4,FALSE),0)</f>
        <v/>
      </c>
      <c r="OB36" s="155">
        <f>IFERROR(VLOOKUP($MV36,$AV$2:$BA$84,6,FALSE),0)+IFERROR(VLOOKUP($MW36,$AV$2:$BA$84,6,FALSE),0)+IFERROR(VLOOKUP($MX36,$AV$2:$BA$84,6,FALSE),0)+IFERROR(VLOOKUP($MY36,$AV$2:$BA$84,6,FALSE),0)</f>
        <v/>
      </c>
      <c r="OC36" s="155">
        <f>TEXTJOIN(", ",TRUE,IF(IFERROR(VLOOKUP($MV36,$AV$2:$BA$84,5,FALSE),0)=1,$MV36,""),IF(IFERROR(VLOOKUP($MW36,$AV$2:$BA$84,5,FALSE),0)=1,$MW36,""),IF(IFERROR(VLOOKUP($MX36,$AV$2:$BA$84,5,FALSE),0)=1,$MX36,""),IF(IFERROR(VLOOKUP($MY36,$AV$2:$BA$84,5,FALSE),0)=1,$MY36,""))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f>
        <v/>
      </c>
      <c r="OY36" s="155">
        <f>$OW36-$OX36</f>
        <v/>
      </c>
      <c r="OZ36" s="155">
        <f>IF($MQ36=0,0,INDEX($P$2:$P$8,MAX(1,$MQ36)))</f>
        <v/>
      </c>
      <c r="PA36" s="155">
        <f>$OZ36-$OU36+$OX36</f>
        <v/>
      </c>
      <c r="PB36" s="155">
        <f>IF($MQ36=0,MAX(0,$NE36-IF($OS36&gt;0,1,0)),MAX(0,$PA36))</f>
        <v/>
      </c>
      <c r="PC36" s="155">
        <f>IF($MQ36=0,0,(IF(COUNTIF($MV36:$MY36,"Salto")&gt;0,1,0)+IF(COUNTIF($MV36:$MY36,"Queima")&gt;0,1,0)+IF(COUNTIF($MV36:$MY36,"Estilhaço")&gt;0,1,0))*FLOOR($PB36/2,1))</f>
        <v/>
      </c>
      <c r="PD36" s="155">
        <f>MAX(0,2-SUMPRODUCT($OK36:$OP36,$I$2:$N$2)+MIN(2,$OQ36*1+$OR36*1,SUMPRODUCT($OK36:$OP36,$I$2:$N$2)))</f>
        <v/>
      </c>
      <c r="PE36" s="155">
        <f>MAX(0,4-SUMPRODUCT($OK36:$OP36,$I$3:$N$3)+MIN(4,$OQ36*1+$OR36*2,SUMPRODUCT($OK36:$OP36,$I$3:$N$3)))</f>
        <v/>
      </c>
      <c r="PF36" s="155">
        <f>MAX(0,6-SUMPRODUCT($OK36:$OP36,$I$4:$N$4)+MIN(6,$OQ36*2+$OR36*3,SUMPRODUCT($OK36:$OP36,$I$4:$N$4)))</f>
        <v/>
      </c>
      <c r="PG36" s="155">
        <f>MAX(0,9-SUMPRODUCT($OK36:$OP36,$I$5:$N$5)+MIN(8,$OQ36*2+$OR36*4,SUMPRODUCT($OK36:$OP36,$I$5:$N$5)))</f>
        <v/>
      </c>
      <c r="PH36" s="155">
        <f>MAX(0,11-SUMPRODUCT($OK36:$OP36,$I$6:$N$6)+MIN(10,$OQ36*3+$OR36*5,SUMPRODUCT($OK36:$OP36,$I$6:$N$6)))</f>
        <v/>
      </c>
      <c r="PI36" s="155">
        <f>MAX(0,13-SUMPRODUCT($OK36:$OP36,$I$7:$N$7)+MIN(12,$OQ36*3+$OR36*6,SUMPRODUCT($OK36:$OP36,$I$7:$N$7)))</f>
        <v/>
      </c>
      <c r="PJ36" s="155">
        <f>MAX(0,16-SUMPRODUCT($OK36:$OP36,$I$8:$N$8)+MIN(14,$OQ36*4+$OR36*7,SUMPRODUCT($OK36:$OP36,$I$8:$N$8)))</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peça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Atordoado</t>
        </is>
      </c>
      <c r="AW37" s="153" t="inlineStr">
        <is>
          <t>Controle</t>
        </is>
      </c>
      <c r="AX37" s="155" t="n">
        <v>3</v>
      </c>
      <c r="AY37" s="155" t="n">
        <v>1</v>
      </c>
      <c r="AZ37" s="155" t="n">
        <v>0</v>
      </c>
      <c r="BA37" s="155" t="n">
        <v>1</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IFERROR(VLOOKUP($MV37,$AV$2:$BA$84,2,FALSE),"")</f>
        <v/>
      </c>
      <c r="NJ37" s="155">
        <f>IFERROR(VLOOKUP($MW37,$AV$2:$BA$84,2,FALSE),"")</f>
        <v/>
      </c>
      <c r="NK37" s="155">
        <f>IFERROR(VLOOKUP($MX37,$AV$2:$BA$84,2,FALSE),"")</f>
        <v/>
      </c>
      <c r="NL37" s="155">
        <f>IFERROR(VLOOKUP($MY37,$AV$2:$BA$84,2,FALSE),"")</f>
        <v/>
      </c>
      <c r="NM37" s="155">
        <f>IFERROR(VLOOKUP($MV37,$AV$2:$BA$84,3,FALSE),0)</f>
        <v/>
      </c>
      <c r="NN37" s="155">
        <f>IFERROR(VLOOKUP($MW37,$AV$2:$BA$84,3,FALSE),0)</f>
        <v/>
      </c>
      <c r="NO37" s="155">
        <f>IFERROR(VLOOKUP($MX37,$AV$2:$BA$84,3,FALSE),0)</f>
        <v/>
      </c>
      <c r="NP37" s="155">
        <f>IFERROR(VLOOKUP($MY37,$AV$2:$BA$84,3,FALSE),0)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IFERROR(VLOOKUP($MV37,$AV$2:$BA$84,4,FALSE),0)+IFERROR(VLOOKUP($MW37,$AV$2:$BA$84,4,FALSE),0)+IFERROR(VLOOKUP($MX37,$AV$2:$BA$84,4,FALSE),0)+IFERROR(VLOOKUP($MY37,$AV$2:$BA$84,4,FALSE),0)</f>
        <v/>
      </c>
      <c r="OB37" s="155">
        <f>IFERROR(VLOOKUP($MV37,$AV$2:$BA$84,6,FALSE),0)+IFERROR(VLOOKUP($MW37,$AV$2:$BA$84,6,FALSE),0)+IFERROR(VLOOKUP($MX37,$AV$2:$BA$84,6,FALSE),0)+IFERROR(VLOOKUP($MY37,$AV$2:$BA$84,6,FALSE),0)</f>
        <v/>
      </c>
      <c r="OC37" s="155">
        <f>TEXTJOIN(", ",TRUE,IF(IFERROR(VLOOKUP($MV37,$AV$2:$BA$84,5,FALSE),0)=1,$MV37,""),IF(IFERROR(VLOOKUP($MW37,$AV$2:$BA$84,5,FALSE),0)=1,$MW37,""),IF(IFERROR(VLOOKUP($MX37,$AV$2:$BA$84,5,FALSE),0)=1,$MX37,""),IF(IFERROR(VLOOKUP($MY37,$AV$2:$BA$84,5,FALSE),0)=1,$MY37,""))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f>
        <v/>
      </c>
      <c r="OY37" s="155">
        <f>$OW37-$OX37</f>
        <v/>
      </c>
      <c r="OZ37" s="155">
        <f>IF($MQ37=0,0,INDEX($P$2:$P$8,MAX(1,$MQ37)))</f>
        <v/>
      </c>
      <c r="PA37" s="155">
        <f>$OZ37-$OU37+$OX37</f>
        <v/>
      </c>
      <c r="PB37" s="155">
        <f>IF($MQ37=0,MAX(0,$NE37-IF($OS37&gt;0,1,0)),MAX(0,$PA37))</f>
        <v/>
      </c>
      <c r="PC37" s="155">
        <f>IF($MQ37=0,0,(IF(COUNTIF($MV37:$MY37,"Salto")&gt;0,1,0)+IF(COUNTIF($MV37:$MY37,"Queima")&gt;0,1,0)+IF(COUNTIF($MV37:$MY37,"Estilhaço")&gt;0,1,0))*FLOOR($PB37/2,1))</f>
        <v/>
      </c>
      <c r="PD37" s="155">
        <f>MAX(0,2-SUMPRODUCT($OK37:$OP37,$I$2:$N$2)+MIN(2,$OQ37*1+$OR37*1,SUMPRODUCT($OK37:$OP37,$I$2:$N$2)))</f>
        <v/>
      </c>
      <c r="PE37" s="155">
        <f>MAX(0,4-SUMPRODUCT($OK37:$OP37,$I$3:$N$3)+MIN(4,$OQ37*1+$OR37*2,SUMPRODUCT($OK37:$OP37,$I$3:$N$3)))</f>
        <v/>
      </c>
      <c r="PF37" s="155">
        <f>MAX(0,6-SUMPRODUCT($OK37:$OP37,$I$4:$N$4)+MIN(6,$OQ37*2+$OR37*3,SUMPRODUCT($OK37:$OP37,$I$4:$N$4)))</f>
        <v/>
      </c>
      <c r="PG37" s="155">
        <f>MAX(0,9-SUMPRODUCT($OK37:$OP37,$I$5:$N$5)+MIN(8,$OQ37*2+$OR37*4,SUMPRODUCT($OK37:$OP37,$I$5:$N$5)))</f>
        <v/>
      </c>
      <c r="PH37" s="155">
        <f>MAX(0,11-SUMPRODUCT($OK37:$OP37,$I$6:$N$6)+MIN(10,$OQ37*3+$OR37*5,SUMPRODUCT($OK37:$OP37,$I$6:$N$6)))</f>
        <v/>
      </c>
      <c r="PI37" s="155">
        <f>MAX(0,13-SUMPRODUCT($OK37:$OP37,$I$7:$N$7)+MIN(12,$OQ37*3+$OR37*6,SUMPRODUCT($OK37:$OP37,$I$7:$N$7)))</f>
        <v/>
      </c>
      <c r="PJ37" s="155">
        <f>MAX(0,16-SUMPRODUCT($OK37:$OP37,$I$8:$N$8)+MIN(14,$OQ37*4+$OR37*7,SUMPRODUCT($OK37:$OP37,$I$8:$N$8)))</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peça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Terreno</t>
        </is>
      </c>
      <c r="AW38" s="153" t="inlineStr">
        <is>
          <t>Controle</t>
        </is>
      </c>
      <c r="AX38" s="155" t="n">
        <v>1</v>
      </c>
      <c r="AY38" s="155" t="n">
        <v>1</v>
      </c>
      <c r="AZ38" s="155" t="n">
        <v>0</v>
      </c>
      <c r="BA38" s="155" t="n">
        <v>0</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IFERROR(VLOOKUP($MV38,$AV$2:$BA$84,2,FALSE),"")</f>
        <v/>
      </c>
      <c r="NJ38" s="155">
        <f>IFERROR(VLOOKUP($MW38,$AV$2:$BA$84,2,FALSE),"")</f>
        <v/>
      </c>
      <c r="NK38" s="155">
        <f>IFERROR(VLOOKUP($MX38,$AV$2:$BA$84,2,FALSE),"")</f>
        <v/>
      </c>
      <c r="NL38" s="155">
        <f>IFERROR(VLOOKUP($MY38,$AV$2:$BA$84,2,FALSE),"")</f>
        <v/>
      </c>
      <c r="NM38" s="155">
        <f>IFERROR(VLOOKUP($MV38,$AV$2:$BA$84,3,FALSE),0)</f>
        <v/>
      </c>
      <c r="NN38" s="155">
        <f>IFERROR(VLOOKUP($MW38,$AV$2:$BA$84,3,FALSE),0)</f>
        <v/>
      </c>
      <c r="NO38" s="155">
        <f>IFERROR(VLOOKUP($MX38,$AV$2:$BA$84,3,FALSE),0)</f>
        <v/>
      </c>
      <c r="NP38" s="155">
        <f>IFERROR(VLOOKUP($MY38,$AV$2:$BA$84,3,FALSE),0)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IFERROR(VLOOKUP($MV38,$AV$2:$BA$84,4,FALSE),0)+IFERROR(VLOOKUP($MW38,$AV$2:$BA$84,4,FALSE),0)+IFERROR(VLOOKUP($MX38,$AV$2:$BA$84,4,FALSE),0)+IFERROR(VLOOKUP($MY38,$AV$2:$BA$84,4,FALSE),0)</f>
        <v/>
      </c>
      <c r="OB38" s="155">
        <f>IFERROR(VLOOKUP($MV38,$AV$2:$BA$84,6,FALSE),0)+IFERROR(VLOOKUP($MW38,$AV$2:$BA$84,6,FALSE),0)+IFERROR(VLOOKUP($MX38,$AV$2:$BA$84,6,FALSE),0)+IFERROR(VLOOKUP($MY38,$AV$2:$BA$84,6,FALSE),0)</f>
        <v/>
      </c>
      <c r="OC38" s="155">
        <f>TEXTJOIN(", ",TRUE,IF(IFERROR(VLOOKUP($MV38,$AV$2:$BA$84,5,FALSE),0)=1,$MV38,""),IF(IFERROR(VLOOKUP($MW38,$AV$2:$BA$84,5,FALSE),0)=1,$MW38,""),IF(IFERROR(VLOOKUP($MX38,$AV$2:$BA$84,5,FALSE),0)=1,$MX38,""),IF(IFERROR(VLOOKUP($MY38,$AV$2:$BA$84,5,FALSE),0)=1,$MY38,""))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f>
        <v/>
      </c>
      <c r="OY38" s="155">
        <f>$OW38-$OX38</f>
        <v/>
      </c>
      <c r="OZ38" s="155">
        <f>IF($MQ38=0,0,INDEX($P$2:$P$8,MAX(1,$MQ38)))</f>
        <v/>
      </c>
      <c r="PA38" s="155">
        <f>$OZ38-$OU38+$OX38</f>
        <v/>
      </c>
      <c r="PB38" s="155">
        <f>IF($MQ38=0,MAX(0,$NE38-IF($OS38&gt;0,1,0)),MAX(0,$PA38))</f>
        <v/>
      </c>
      <c r="PC38" s="155">
        <f>IF($MQ38=0,0,(IF(COUNTIF($MV38:$MY38,"Salto")&gt;0,1,0)+IF(COUNTIF($MV38:$MY38,"Queima")&gt;0,1,0)+IF(COUNTIF($MV38:$MY38,"Estilhaço")&gt;0,1,0))*FLOOR($PB38/2,1))</f>
        <v/>
      </c>
      <c r="PD38" s="155">
        <f>MAX(0,2-SUMPRODUCT($OK38:$OP38,$I$2:$N$2)+MIN(2,$OQ38*1+$OR38*1,SUMPRODUCT($OK38:$OP38,$I$2:$N$2)))</f>
        <v/>
      </c>
      <c r="PE38" s="155">
        <f>MAX(0,4-SUMPRODUCT($OK38:$OP38,$I$3:$N$3)+MIN(4,$OQ38*1+$OR38*2,SUMPRODUCT($OK38:$OP38,$I$3:$N$3)))</f>
        <v/>
      </c>
      <c r="PF38" s="155">
        <f>MAX(0,6-SUMPRODUCT($OK38:$OP38,$I$4:$N$4)+MIN(6,$OQ38*2+$OR38*3,SUMPRODUCT($OK38:$OP38,$I$4:$N$4)))</f>
        <v/>
      </c>
      <c r="PG38" s="155">
        <f>MAX(0,9-SUMPRODUCT($OK38:$OP38,$I$5:$N$5)+MIN(8,$OQ38*2+$OR38*4,SUMPRODUCT($OK38:$OP38,$I$5:$N$5)))</f>
        <v/>
      </c>
      <c r="PH38" s="155">
        <f>MAX(0,11-SUMPRODUCT($OK38:$OP38,$I$6:$N$6)+MIN(10,$OQ38*3+$OR38*5,SUMPRODUCT($OK38:$OP38,$I$6:$N$6)))</f>
        <v/>
      </c>
      <c r="PI38" s="155">
        <f>MAX(0,13-SUMPRODUCT($OK38:$OP38,$I$7:$N$7)+MIN(12,$OQ38*3+$OR38*6,SUMPRODUCT($OK38:$OP38,$I$7:$N$7)))</f>
        <v/>
      </c>
      <c r="PJ38" s="155">
        <f>MAX(0,16-SUMPRODUCT($OK38:$OP38,$I$8:$N$8)+MIN(14,$OQ38*4+$OR38*7,SUMPRODUCT($OK38:$OP38,$I$8:$N$8)))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peça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Cerca</t>
        </is>
      </c>
      <c r="AW39" s="153" t="inlineStr">
        <is>
          <t>Controle</t>
        </is>
      </c>
      <c r="AX39" s="155" t="n">
        <v>1</v>
      </c>
      <c r="AY39" s="155" t="n">
        <v>1</v>
      </c>
      <c r="AZ39" s="155" t="n">
        <v>0</v>
      </c>
      <c r="BA39" s="155" t="n">
        <v>1</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IFERROR(VLOOKUP($MV39,$AV$2:$BA$84,2,FALSE),"")</f>
        <v/>
      </c>
      <c r="NJ39" s="155">
        <f>IFERROR(VLOOKUP($MW39,$AV$2:$BA$84,2,FALSE),"")</f>
        <v/>
      </c>
      <c r="NK39" s="155">
        <f>IFERROR(VLOOKUP($MX39,$AV$2:$BA$84,2,FALSE),"")</f>
        <v/>
      </c>
      <c r="NL39" s="155">
        <f>IFERROR(VLOOKUP($MY39,$AV$2:$BA$84,2,FALSE),"")</f>
        <v/>
      </c>
      <c r="NM39" s="155">
        <f>IFERROR(VLOOKUP($MV39,$AV$2:$BA$84,3,FALSE),0)</f>
        <v/>
      </c>
      <c r="NN39" s="155">
        <f>IFERROR(VLOOKUP($MW39,$AV$2:$BA$84,3,FALSE),0)</f>
        <v/>
      </c>
      <c r="NO39" s="155">
        <f>IFERROR(VLOOKUP($MX39,$AV$2:$BA$84,3,FALSE),0)</f>
        <v/>
      </c>
      <c r="NP39" s="155">
        <f>IFERROR(VLOOKUP($MY39,$AV$2:$BA$84,3,FALSE),0)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IFERROR(VLOOKUP($MV39,$AV$2:$BA$84,4,FALSE),0)+IFERROR(VLOOKUP($MW39,$AV$2:$BA$84,4,FALSE),0)+IFERROR(VLOOKUP($MX39,$AV$2:$BA$84,4,FALSE),0)+IFERROR(VLOOKUP($MY39,$AV$2:$BA$84,4,FALSE),0)</f>
        <v/>
      </c>
      <c r="OB39" s="155">
        <f>IFERROR(VLOOKUP($MV39,$AV$2:$BA$84,6,FALSE),0)+IFERROR(VLOOKUP($MW39,$AV$2:$BA$84,6,FALSE),0)+IFERROR(VLOOKUP($MX39,$AV$2:$BA$84,6,FALSE),0)+IFERROR(VLOOKUP($MY39,$AV$2:$BA$84,6,FALSE),0)</f>
        <v/>
      </c>
      <c r="OC39" s="155">
        <f>TEXTJOIN(", ",TRUE,IF(IFERROR(VLOOKUP($MV39,$AV$2:$BA$84,5,FALSE),0)=1,$MV39,""),IF(IFERROR(VLOOKUP($MW39,$AV$2:$BA$84,5,FALSE),0)=1,$MW39,""),IF(IFERROR(VLOOKUP($MX39,$AV$2:$BA$84,5,FALSE),0)=1,$MX39,""),IF(IFERROR(VLOOKUP($MY39,$AV$2:$BA$84,5,FALSE),0)=1,$MY39,""))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f>
        <v/>
      </c>
      <c r="OY39" s="155">
        <f>$OW39-$OX39</f>
        <v/>
      </c>
      <c r="OZ39" s="155">
        <f>IF($MQ39=0,0,INDEX($P$2:$P$8,MAX(1,$MQ39)))</f>
        <v/>
      </c>
      <c r="PA39" s="155">
        <f>$OZ39-$OU39+$OX39</f>
        <v/>
      </c>
      <c r="PB39" s="155">
        <f>IF($MQ39=0,MAX(0,$NE39-IF($OS39&gt;0,1,0)),MAX(0,$PA39))</f>
        <v/>
      </c>
      <c r="PC39" s="155">
        <f>IF($MQ39=0,0,(IF(COUNTIF($MV39:$MY39,"Salto")&gt;0,1,0)+IF(COUNTIF($MV39:$MY39,"Queima")&gt;0,1,0)+IF(COUNTIF($MV39:$MY39,"Estilhaço")&gt;0,1,0))*FLOOR($PB39/2,1))</f>
        <v/>
      </c>
      <c r="PD39" s="155">
        <f>MAX(0,2-SUMPRODUCT($OK39:$OP39,$I$2:$N$2)+MIN(2,$OQ39*1+$OR39*1,SUMPRODUCT($OK39:$OP39,$I$2:$N$2)))</f>
        <v/>
      </c>
      <c r="PE39" s="155">
        <f>MAX(0,4-SUMPRODUCT($OK39:$OP39,$I$3:$N$3)+MIN(4,$OQ39*1+$OR39*2,SUMPRODUCT($OK39:$OP39,$I$3:$N$3)))</f>
        <v/>
      </c>
      <c r="PF39" s="155">
        <f>MAX(0,6-SUMPRODUCT($OK39:$OP39,$I$4:$N$4)+MIN(6,$OQ39*2+$OR39*3,SUMPRODUCT($OK39:$OP39,$I$4:$N$4)))</f>
        <v/>
      </c>
      <c r="PG39" s="155">
        <f>MAX(0,9-SUMPRODUCT($OK39:$OP39,$I$5:$N$5)+MIN(8,$OQ39*2+$OR39*4,SUMPRODUCT($OK39:$OP39,$I$5:$N$5)))</f>
        <v/>
      </c>
      <c r="PH39" s="155">
        <f>MAX(0,11-SUMPRODUCT($OK39:$OP39,$I$6:$N$6)+MIN(10,$OQ39*3+$OR39*5,SUMPRODUCT($OK39:$OP39,$I$6:$N$6)))</f>
        <v/>
      </c>
      <c r="PI39" s="155">
        <f>MAX(0,13-SUMPRODUCT($OK39:$OP39,$I$7:$N$7)+MIN(12,$OQ39*3+$OR39*6,SUMPRODUCT($OK39:$OP39,$I$7:$N$7)))</f>
        <v/>
      </c>
      <c r="PJ39" s="155">
        <f>MAX(0,16-SUMPRODUCT($OK39:$OP39,$I$8:$N$8)+MIN(14,$OQ39*4+$OR39*7,SUMPRODUCT($OK39:$OP39,$I$8:$N$8)))</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peça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Desarma o Feitiço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IFERROR(VLOOKUP($MV40,$AV$2:$BA$84,2,FALSE),"")</f>
        <v/>
      </c>
      <c r="NJ40" s="155">
        <f>IFERROR(VLOOKUP($MW40,$AV$2:$BA$84,2,FALSE),"")</f>
        <v/>
      </c>
      <c r="NK40" s="155">
        <f>IFERROR(VLOOKUP($MX40,$AV$2:$BA$84,2,FALSE),"")</f>
        <v/>
      </c>
      <c r="NL40" s="155">
        <f>IFERROR(VLOOKUP($MY40,$AV$2:$BA$84,2,FALSE),"")</f>
        <v/>
      </c>
      <c r="NM40" s="155">
        <f>IFERROR(VLOOKUP($MV40,$AV$2:$BA$84,3,FALSE),0)</f>
        <v/>
      </c>
      <c r="NN40" s="155">
        <f>IFERROR(VLOOKUP($MW40,$AV$2:$BA$84,3,FALSE),0)</f>
        <v/>
      </c>
      <c r="NO40" s="155">
        <f>IFERROR(VLOOKUP($MX40,$AV$2:$BA$84,3,FALSE),0)</f>
        <v/>
      </c>
      <c r="NP40" s="155">
        <f>IFERROR(VLOOKUP($MY40,$AV$2:$BA$84,3,FALSE),0)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IFERROR(VLOOKUP($MV40,$AV$2:$BA$84,4,FALSE),0)+IFERROR(VLOOKUP($MW40,$AV$2:$BA$84,4,FALSE),0)+IFERROR(VLOOKUP($MX40,$AV$2:$BA$84,4,FALSE),0)+IFERROR(VLOOKUP($MY40,$AV$2:$BA$84,4,FALSE),0)</f>
        <v/>
      </c>
      <c r="OB40" s="155">
        <f>IFERROR(VLOOKUP($MV40,$AV$2:$BA$84,6,FALSE),0)+IFERROR(VLOOKUP($MW40,$AV$2:$BA$84,6,FALSE),0)+IFERROR(VLOOKUP($MX40,$AV$2:$BA$84,6,FALSE),0)+IFERROR(VLOOKUP($MY40,$AV$2:$BA$84,6,FALSE),0)</f>
        <v/>
      </c>
      <c r="OC40" s="155">
        <f>TEXTJOIN(", ",TRUE,IF(IFERROR(VLOOKUP($MV40,$AV$2:$BA$84,5,FALSE),0)=1,$MV40,""),IF(IFERROR(VLOOKUP($MW40,$AV$2:$BA$84,5,FALSE),0)=1,$MW40,""),IF(IFERROR(VLOOKUP($MX40,$AV$2:$BA$84,5,FALSE),0)=1,$MX40,""),IF(IFERROR(VLOOKUP($MY40,$AV$2:$BA$84,5,FALSE),0)=1,$MY40,""))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f>
        <v/>
      </c>
      <c r="OY40" s="155">
        <f>$OW40-$OX40</f>
        <v/>
      </c>
      <c r="OZ40" s="155">
        <f>IF($MQ40=0,0,INDEX($P$2:$P$8,MAX(1,$MQ40)))</f>
        <v/>
      </c>
      <c r="PA40" s="155">
        <f>$OZ40-$OU40+$OX40</f>
        <v/>
      </c>
      <c r="PB40" s="155">
        <f>IF($MQ40=0,MAX(0,$NE40-IF($OS40&gt;0,1,0)),MAX(0,$PA40))</f>
        <v/>
      </c>
      <c r="PC40" s="155">
        <f>IF($MQ40=0,0,(IF(COUNTIF($MV40:$MY40,"Salto")&gt;0,1,0)+IF(COUNTIF($MV40:$MY40,"Queima")&gt;0,1,0)+IF(COUNTIF($MV40:$MY40,"Estilhaço")&gt;0,1,0))*FLOOR($PB40/2,1))</f>
        <v/>
      </c>
      <c r="PD40" s="155">
        <f>MAX(0,2-SUMPRODUCT($OK40:$OP40,$I$2:$N$2)+MIN(2,$OQ40*1+$OR40*1,SUMPRODUCT($OK40:$OP40,$I$2:$N$2)))</f>
        <v/>
      </c>
      <c r="PE40" s="155">
        <f>MAX(0,4-SUMPRODUCT($OK40:$OP40,$I$3:$N$3)+MIN(4,$OQ40*1+$OR40*2,SUMPRODUCT($OK40:$OP40,$I$3:$N$3)))</f>
        <v/>
      </c>
      <c r="PF40" s="155">
        <f>MAX(0,6-SUMPRODUCT($OK40:$OP40,$I$4:$N$4)+MIN(6,$OQ40*2+$OR40*3,SUMPRODUCT($OK40:$OP40,$I$4:$N$4)))</f>
        <v/>
      </c>
      <c r="PG40" s="155">
        <f>MAX(0,9-SUMPRODUCT($OK40:$OP40,$I$5:$N$5)+MIN(8,$OQ40*2+$OR40*4,SUMPRODUCT($OK40:$OP40,$I$5:$N$5)))</f>
        <v/>
      </c>
      <c r="PH40" s="155">
        <f>MAX(0,11-SUMPRODUCT($OK40:$OP40,$I$6:$N$6)+MIN(10,$OQ40*3+$OR40*5,SUMPRODUCT($OK40:$OP40,$I$6:$N$6)))</f>
        <v/>
      </c>
      <c r="PI40" s="155">
        <f>MAX(0,13-SUMPRODUCT($OK40:$OP40,$I$7:$N$7)+MIN(12,$OQ40*3+$OR40*6,SUMPRODUCT($OK40:$OP40,$I$7:$N$7)))</f>
        <v/>
      </c>
      <c r="PJ40" s="155">
        <f>MAX(0,16-SUMPRODUCT($OK40:$OP40,$I$8:$N$8)+MIN(14,$OQ40*4+$OR40*7,SUMPRODUCT($OK40:$OP40,$I$8:$N$8)))</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peça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Anteparo</t>
        </is>
      </c>
      <c r="AW41" s="153" t="inlineStr">
        <is>
          <t>Controle</t>
        </is>
      </c>
      <c r="AX41" s="155" t="n">
        <v>2</v>
      </c>
      <c r="AY41" s="155" t="n">
        <v>1</v>
      </c>
      <c r="AZ41" s="155" t="n">
        <v>1</v>
      </c>
      <c r="BA41" s="155" t="n">
        <v>0</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IFERROR(VLOOKUP($MV41,$AV$2:$BA$84,2,FALSE),"")</f>
        <v/>
      </c>
      <c r="NJ41" s="155">
        <f>IFERROR(VLOOKUP($MW41,$AV$2:$BA$84,2,FALSE),"")</f>
        <v/>
      </c>
      <c r="NK41" s="155">
        <f>IFERROR(VLOOKUP($MX41,$AV$2:$BA$84,2,FALSE),"")</f>
        <v/>
      </c>
      <c r="NL41" s="155">
        <f>IFERROR(VLOOKUP($MY41,$AV$2:$BA$84,2,FALSE),"")</f>
        <v/>
      </c>
      <c r="NM41" s="155">
        <f>IFERROR(VLOOKUP($MV41,$AV$2:$BA$84,3,FALSE),0)</f>
        <v/>
      </c>
      <c r="NN41" s="155">
        <f>IFERROR(VLOOKUP($MW41,$AV$2:$BA$84,3,FALSE),0)</f>
        <v/>
      </c>
      <c r="NO41" s="155">
        <f>IFERROR(VLOOKUP($MX41,$AV$2:$BA$84,3,FALSE),0)</f>
        <v/>
      </c>
      <c r="NP41" s="155">
        <f>IFERROR(VLOOKUP($MY41,$AV$2:$BA$84,3,FALSE),0)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IFERROR(VLOOKUP($MV41,$AV$2:$BA$84,4,FALSE),0)+IFERROR(VLOOKUP($MW41,$AV$2:$BA$84,4,FALSE),0)+IFERROR(VLOOKUP($MX41,$AV$2:$BA$84,4,FALSE),0)+IFERROR(VLOOKUP($MY41,$AV$2:$BA$84,4,FALSE),0)</f>
        <v/>
      </c>
      <c r="OB41" s="155">
        <f>IFERROR(VLOOKUP($MV41,$AV$2:$BA$84,6,FALSE),0)+IFERROR(VLOOKUP($MW41,$AV$2:$BA$84,6,FALSE),0)+IFERROR(VLOOKUP($MX41,$AV$2:$BA$84,6,FALSE),0)+IFERROR(VLOOKUP($MY41,$AV$2:$BA$84,6,FALSE),0)</f>
        <v/>
      </c>
      <c r="OC41" s="155">
        <f>TEXTJOIN(", ",TRUE,IF(IFERROR(VLOOKUP($MV41,$AV$2:$BA$84,5,FALSE),0)=1,$MV41,""),IF(IFERROR(VLOOKUP($MW41,$AV$2:$BA$84,5,FALSE),0)=1,$MW41,""),IF(IFERROR(VLOOKUP($MX41,$AV$2:$BA$84,5,FALSE),0)=1,$MX41,""),IF(IFERROR(VLOOKUP($MY41,$AV$2:$BA$84,5,FALSE),0)=1,$MY41,""))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f>
        <v/>
      </c>
      <c r="OY41" s="155">
        <f>$OW41-$OX41</f>
        <v/>
      </c>
      <c r="OZ41" s="155">
        <f>IF($MQ41=0,0,INDEX($P$2:$P$8,MAX(1,$MQ41)))</f>
        <v/>
      </c>
      <c r="PA41" s="155">
        <f>$OZ41-$OU41+$OX41</f>
        <v/>
      </c>
      <c r="PB41" s="155">
        <f>IF($MQ41=0,MAX(0,$NE41-IF($OS41&gt;0,1,0)),MAX(0,$PA41))</f>
        <v/>
      </c>
      <c r="PC41" s="155">
        <f>IF($MQ41=0,0,(IF(COUNTIF($MV41:$MY41,"Salto")&gt;0,1,0)+IF(COUNTIF($MV41:$MY41,"Queima")&gt;0,1,0)+IF(COUNTIF($MV41:$MY41,"Estilhaço")&gt;0,1,0))*FLOOR($PB41/2,1))</f>
        <v/>
      </c>
      <c r="PD41" s="155">
        <f>MAX(0,2-SUMPRODUCT($OK41:$OP41,$I$2:$N$2)+MIN(2,$OQ41*1+$OR41*1,SUMPRODUCT($OK41:$OP41,$I$2:$N$2)))</f>
        <v/>
      </c>
      <c r="PE41" s="155">
        <f>MAX(0,4-SUMPRODUCT($OK41:$OP41,$I$3:$N$3)+MIN(4,$OQ41*1+$OR41*2,SUMPRODUCT($OK41:$OP41,$I$3:$N$3)))</f>
        <v/>
      </c>
      <c r="PF41" s="155">
        <f>MAX(0,6-SUMPRODUCT($OK41:$OP41,$I$4:$N$4)+MIN(6,$OQ41*2+$OR41*3,SUMPRODUCT($OK41:$OP41,$I$4:$N$4)))</f>
        <v/>
      </c>
      <c r="PG41" s="155">
        <f>MAX(0,9-SUMPRODUCT($OK41:$OP41,$I$5:$N$5)+MIN(8,$OQ41*2+$OR41*4,SUMPRODUCT($OK41:$OP41,$I$5:$N$5)))</f>
        <v/>
      </c>
      <c r="PH41" s="155">
        <f>MAX(0,11-SUMPRODUCT($OK41:$OP41,$I$6:$N$6)+MIN(10,$OQ41*3+$OR41*5,SUMPRODUCT($OK41:$OP41,$I$6:$N$6)))</f>
        <v/>
      </c>
      <c r="PI41" s="155">
        <f>MAX(0,13-SUMPRODUCT($OK41:$OP41,$I$7:$N$7)+MIN(12,$OQ41*3+$OR41*6,SUMPRODUCT($OK41:$OP41,$I$7:$N$7)))</f>
        <v/>
      </c>
      <c r="PJ41" s="155">
        <f>MAX(0,16-SUMPRODUCT($OK41:$OP41,$I$8:$N$8)+MIN(14,$OQ41*4+$OR41*7,SUMPRODUCT($OK41:$OP41,$I$8:$N$8)))</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peça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Prende</t>
        </is>
      </c>
      <c r="AW42" s="153" t="inlineStr">
        <is>
          <t>Controle</t>
        </is>
      </c>
      <c r="AX42" s="155" t="n">
        <v>2</v>
      </c>
      <c r="AY42" s="155" t="n">
        <v>1</v>
      </c>
      <c r="AZ42" s="155" t="n">
        <v>0</v>
      </c>
      <c r="BA42" s="155" t="n">
        <v>1</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IFERROR(VLOOKUP($MV42,$AV$2:$BA$84,2,FALSE),"")</f>
        <v/>
      </c>
      <c r="NJ42" s="155">
        <f>IFERROR(VLOOKUP($MW42,$AV$2:$BA$84,2,FALSE),"")</f>
        <v/>
      </c>
      <c r="NK42" s="155">
        <f>IFERROR(VLOOKUP($MX42,$AV$2:$BA$84,2,FALSE),"")</f>
        <v/>
      </c>
      <c r="NL42" s="155">
        <f>IFERROR(VLOOKUP($MY42,$AV$2:$BA$84,2,FALSE),"")</f>
        <v/>
      </c>
      <c r="NM42" s="155">
        <f>IFERROR(VLOOKUP($MV42,$AV$2:$BA$84,3,FALSE),0)</f>
        <v/>
      </c>
      <c r="NN42" s="155">
        <f>IFERROR(VLOOKUP($MW42,$AV$2:$BA$84,3,FALSE),0)</f>
        <v/>
      </c>
      <c r="NO42" s="155">
        <f>IFERROR(VLOOKUP($MX42,$AV$2:$BA$84,3,FALSE),0)</f>
        <v/>
      </c>
      <c r="NP42" s="155">
        <f>IFERROR(VLOOKUP($MY42,$AV$2:$BA$84,3,FALSE),0)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IFERROR(VLOOKUP($MV42,$AV$2:$BA$84,4,FALSE),0)+IFERROR(VLOOKUP($MW42,$AV$2:$BA$84,4,FALSE),0)+IFERROR(VLOOKUP($MX42,$AV$2:$BA$84,4,FALSE),0)+IFERROR(VLOOKUP($MY42,$AV$2:$BA$84,4,FALSE),0)</f>
        <v/>
      </c>
      <c r="OB42" s="155">
        <f>IFERROR(VLOOKUP($MV42,$AV$2:$BA$84,6,FALSE),0)+IFERROR(VLOOKUP($MW42,$AV$2:$BA$84,6,FALSE),0)+IFERROR(VLOOKUP($MX42,$AV$2:$BA$84,6,FALSE),0)+IFERROR(VLOOKUP($MY42,$AV$2:$BA$84,6,FALSE),0)</f>
        <v/>
      </c>
      <c r="OC42" s="155">
        <f>TEXTJOIN(", ",TRUE,IF(IFERROR(VLOOKUP($MV42,$AV$2:$BA$84,5,FALSE),0)=1,$MV42,""),IF(IFERROR(VLOOKUP($MW42,$AV$2:$BA$84,5,FALSE),0)=1,$MW42,""),IF(IFERROR(VLOOKUP($MX42,$AV$2:$BA$84,5,FALSE),0)=1,$MX42,""),IF(IFERROR(VLOOKUP($MY42,$AV$2:$BA$84,5,FALSE),0)=1,$MY42,""))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f>
        <v/>
      </c>
      <c r="OY42" s="155">
        <f>$OW42-$OX42</f>
        <v/>
      </c>
      <c r="OZ42" s="155">
        <f>IF($MQ42=0,0,INDEX($P$2:$P$8,MAX(1,$MQ42)))</f>
        <v/>
      </c>
      <c r="PA42" s="155">
        <f>$OZ42-$OU42+$OX42</f>
        <v/>
      </c>
      <c r="PB42" s="155">
        <f>IF($MQ42=0,MAX(0,$NE42-IF($OS42&gt;0,1,0)),MAX(0,$PA42))</f>
        <v/>
      </c>
      <c r="PC42" s="155">
        <f>IF($MQ42=0,0,(IF(COUNTIF($MV42:$MY42,"Salto")&gt;0,1,0)+IF(COUNTIF($MV42:$MY42,"Queima")&gt;0,1,0)+IF(COUNTIF($MV42:$MY42,"Estilhaço")&gt;0,1,0))*FLOOR($PB42/2,1))</f>
        <v/>
      </c>
      <c r="PD42" s="155">
        <f>MAX(0,2-SUMPRODUCT($OK42:$OP42,$I$2:$N$2)+MIN(2,$OQ42*1+$OR42*1,SUMPRODUCT($OK42:$OP42,$I$2:$N$2)))</f>
        <v/>
      </c>
      <c r="PE42" s="155">
        <f>MAX(0,4-SUMPRODUCT($OK42:$OP42,$I$3:$N$3)+MIN(4,$OQ42*1+$OR42*2,SUMPRODUCT($OK42:$OP42,$I$3:$N$3)))</f>
        <v/>
      </c>
      <c r="PF42" s="155">
        <f>MAX(0,6-SUMPRODUCT($OK42:$OP42,$I$4:$N$4)+MIN(6,$OQ42*2+$OR42*3,SUMPRODUCT($OK42:$OP42,$I$4:$N$4)))</f>
        <v/>
      </c>
      <c r="PG42" s="155">
        <f>MAX(0,9-SUMPRODUCT($OK42:$OP42,$I$5:$N$5)+MIN(8,$OQ42*2+$OR42*4,SUMPRODUCT($OK42:$OP42,$I$5:$N$5)))</f>
        <v/>
      </c>
      <c r="PH42" s="155">
        <f>MAX(0,11-SUMPRODUCT($OK42:$OP42,$I$6:$N$6)+MIN(10,$OQ42*3+$OR42*5,SUMPRODUCT($OK42:$OP42,$I$6:$N$6)))</f>
        <v/>
      </c>
      <c r="PI42" s="155">
        <f>MAX(0,13-SUMPRODUCT($OK42:$OP42,$I$7:$N$7)+MIN(12,$OQ42*3+$OR42*6,SUMPRODUCT($OK42:$OP42,$I$7:$N$7)))</f>
        <v/>
      </c>
      <c r="PJ42" s="155">
        <f>MAX(0,16-SUMPRODUCT($OK42:$OP42,$I$8:$N$8)+MIN(14,$OQ42*4+$OR42*7,SUMPRODUCT($OK42:$OP42,$I$8:$N$8)))</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peça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Puxa</t>
        </is>
      </c>
      <c r="AW43" s="153" t="inlineStr">
        <is>
          <t>Controle</t>
        </is>
      </c>
      <c r="AX43" s="155" t="n">
        <v>2</v>
      </c>
      <c r="AY43" s="155" t="n">
        <v>1</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IFERROR(VLOOKUP($MV43,$AV$2:$BA$84,2,FALSE),"")</f>
        <v/>
      </c>
      <c r="NJ43" s="155">
        <f>IFERROR(VLOOKUP($MW43,$AV$2:$BA$84,2,FALSE),"")</f>
        <v/>
      </c>
      <c r="NK43" s="155">
        <f>IFERROR(VLOOKUP($MX43,$AV$2:$BA$84,2,FALSE),"")</f>
        <v/>
      </c>
      <c r="NL43" s="155">
        <f>IFERROR(VLOOKUP($MY43,$AV$2:$BA$84,2,FALSE),"")</f>
        <v/>
      </c>
      <c r="NM43" s="155">
        <f>IFERROR(VLOOKUP($MV43,$AV$2:$BA$84,3,FALSE),0)</f>
        <v/>
      </c>
      <c r="NN43" s="155">
        <f>IFERROR(VLOOKUP($MW43,$AV$2:$BA$84,3,FALSE),0)</f>
        <v/>
      </c>
      <c r="NO43" s="155">
        <f>IFERROR(VLOOKUP($MX43,$AV$2:$BA$84,3,FALSE),0)</f>
        <v/>
      </c>
      <c r="NP43" s="155">
        <f>IFERROR(VLOOKUP($MY43,$AV$2:$BA$84,3,FALSE),0)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IFERROR(VLOOKUP($MV43,$AV$2:$BA$84,4,FALSE),0)+IFERROR(VLOOKUP($MW43,$AV$2:$BA$84,4,FALSE),0)+IFERROR(VLOOKUP($MX43,$AV$2:$BA$84,4,FALSE),0)+IFERROR(VLOOKUP($MY43,$AV$2:$BA$84,4,FALSE),0)</f>
        <v/>
      </c>
      <c r="OB43" s="155">
        <f>IFERROR(VLOOKUP($MV43,$AV$2:$BA$84,6,FALSE),0)+IFERROR(VLOOKUP($MW43,$AV$2:$BA$84,6,FALSE),0)+IFERROR(VLOOKUP($MX43,$AV$2:$BA$84,6,FALSE),0)+IFERROR(VLOOKUP($MY43,$AV$2:$BA$84,6,FALSE),0)</f>
        <v/>
      </c>
      <c r="OC43" s="155">
        <f>TEXTJOIN(", ",TRUE,IF(IFERROR(VLOOKUP($MV43,$AV$2:$BA$84,5,FALSE),0)=1,$MV43,""),IF(IFERROR(VLOOKUP($MW43,$AV$2:$BA$84,5,FALSE),0)=1,$MW43,""),IF(IFERROR(VLOOKUP($MX43,$AV$2:$BA$84,5,FALSE),0)=1,$MX43,""),IF(IFERROR(VLOOKUP($MY43,$AV$2:$BA$84,5,FALSE),0)=1,$MY43,""))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f>
        <v/>
      </c>
      <c r="OY43" s="155">
        <f>$OW43-$OX43</f>
        <v/>
      </c>
      <c r="OZ43" s="155">
        <f>IF($MQ43=0,0,INDEX($P$2:$P$8,MAX(1,$MQ43)))</f>
        <v/>
      </c>
      <c r="PA43" s="155">
        <f>$OZ43-$OU43+$OX43</f>
        <v/>
      </c>
      <c r="PB43" s="155">
        <f>IF($MQ43=0,MAX(0,$NE43-IF($OS43&gt;0,1,0)),MAX(0,$PA43))</f>
        <v/>
      </c>
      <c r="PC43" s="155">
        <f>IF($MQ43=0,0,(IF(COUNTIF($MV43:$MY43,"Salto")&gt;0,1,0)+IF(COUNTIF($MV43:$MY43,"Queima")&gt;0,1,0)+IF(COUNTIF($MV43:$MY43,"Estilhaço")&gt;0,1,0))*FLOOR($PB43/2,1))</f>
        <v/>
      </c>
      <c r="PD43" s="155">
        <f>MAX(0,2-SUMPRODUCT($OK43:$OP43,$I$2:$N$2)+MIN(2,$OQ43*1+$OR43*1,SUMPRODUCT($OK43:$OP43,$I$2:$N$2)))</f>
        <v/>
      </c>
      <c r="PE43" s="155">
        <f>MAX(0,4-SUMPRODUCT($OK43:$OP43,$I$3:$N$3)+MIN(4,$OQ43*1+$OR43*2,SUMPRODUCT($OK43:$OP43,$I$3:$N$3)))</f>
        <v/>
      </c>
      <c r="PF43" s="155">
        <f>MAX(0,6-SUMPRODUCT($OK43:$OP43,$I$4:$N$4)+MIN(6,$OQ43*2+$OR43*3,SUMPRODUCT($OK43:$OP43,$I$4:$N$4)))</f>
        <v/>
      </c>
      <c r="PG43" s="155">
        <f>MAX(0,9-SUMPRODUCT($OK43:$OP43,$I$5:$N$5)+MIN(8,$OQ43*2+$OR43*4,SUMPRODUCT($OK43:$OP43,$I$5:$N$5)))</f>
        <v/>
      </c>
      <c r="PH43" s="155">
        <f>MAX(0,11-SUMPRODUCT($OK43:$OP43,$I$6:$N$6)+MIN(10,$OQ43*3+$OR43*5,SUMPRODUCT($OK43:$OP43,$I$6:$N$6)))</f>
        <v/>
      </c>
      <c r="PI43" s="155">
        <f>MAX(0,13-SUMPRODUCT($OK43:$OP43,$I$7:$N$7)+MIN(12,$OQ43*3+$OR43*6,SUMPRODUCT($OK43:$OP43,$I$7:$N$7)))</f>
        <v/>
      </c>
      <c r="PJ43" s="155">
        <f>MAX(0,16-SUMPRODUCT($OK43:$OP43,$I$8:$N$8)+MIN(14,$OQ43*4+$OR43*7,SUMPRODUCT($OK43:$OP43,$I$8:$N$8)))</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peça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Impulso</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IFERROR(VLOOKUP($MV44,$AV$2:$BA$84,2,FALSE),"")</f>
        <v/>
      </c>
      <c r="NJ44" s="155">
        <f>IFERROR(VLOOKUP($MW44,$AV$2:$BA$84,2,FALSE),"")</f>
        <v/>
      </c>
      <c r="NK44" s="155">
        <f>IFERROR(VLOOKUP($MX44,$AV$2:$BA$84,2,FALSE),"")</f>
        <v/>
      </c>
      <c r="NL44" s="155">
        <f>IFERROR(VLOOKUP($MY44,$AV$2:$BA$84,2,FALSE),"")</f>
        <v/>
      </c>
      <c r="NM44" s="155">
        <f>IFERROR(VLOOKUP($MV44,$AV$2:$BA$84,3,FALSE),0)</f>
        <v/>
      </c>
      <c r="NN44" s="155">
        <f>IFERROR(VLOOKUP($MW44,$AV$2:$BA$84,3,FALSE),0)</f>
        <v/>
      </c>
      <c r="NO44" s="155">
        <f>IFERROR(VLOOKUP($MX44,$AV$2:$BA$84,3,FALSE),0)</f>
        <v/>
      </c>
      <c r="NP44" s="155">
        <f>IFERROR(VLOOKUP($MY44,$AV$2:$BA$84,3,FALSE),0)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IFERROR(VLOOKUP($MV44,$AV$2:$BA$84,4,FALSE),0)+IFERROR(VLOOKUP($MW44,$AV$2:$BA$84,4,FALSE),0)+IFERROR(VLOOKUP($MX44,$AV$2:$BA$84,4,FALSE),0)+IFERROR(VLOOKUP($MY44,$AV$2:$BA$84,4,FALSE),0)</f>
        <v/>
      </c>
      <c r="OB44" s="155">
        <f>IFERROR(VLOOKUP($MV44,$AV$2:$BA$84,6,FALSE),0)+IFERROR(VLOOKUP($MW44,$AV$2:$BA$84,6,FALSE),0)+IFERROR(VLOOKUP($MX44,$AV$2:$BA$84,6,FALSE),0)+IFERROR(VLOOKUP($MY44,$AV$2:$BA$84,6,FALSE),0)</f>
        <v/>
      </c>
      <c r="OC44" s="155">
        <f>TEXTJOIN(", ",TRUE,IF(IFERROR(VLOOKUP($MV44,$AV$2:$BA$84,5,FALSE),0)=1,$MV44,""),IF(IFERROR(VLOOKUP($MW44,$AV$2:$BA$84,5,FALSE),0)=1,$MW44,""),IF(IFERROR(VLOOKUP($MX44,$AV$2:$BA$84,5,FALSE),0)=1,$MX44,""),IF(IFERROR(VLOOKUP($MY44,$AV$2:$BA$84,5,FALSE),0)=1,$MY44,""))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f>
        <v/>
      </c>
      <c r="OY44" s="155">
        <f>$OW44-$OX44</f>
        <v/>
      </c>
      <c r="OZ44" s="155">
        <f>IF($MQ44=0,0,INDEX($P$2:$P$8,MAX(1,$MQ44)))</f>
        <v/>
      </c>
      <c r="PA44" s="155">
        <f>$OZ44-$OU44+$OX44</f>
        <v/>
      </c>
      <c r="PB44" s="155">
        <f>IF($MQ44=0,MAX(0,$NE44-IF($OS44&gt;0,1,0)),MAX(0,$PA44))</f>
        <v/>
      </c>
      <c r="PC44" s="155">
        <f>IF($MQ44=0,0,(IF(COUNTIF($MV44:$MY44,"Salto")&gt;0,1,0)+IF(COUNTIF($MV44:$MY44,"Queima")&gt;0,1,0)+IF(COUNTIF($MV44:$MY44,"Estilhaço")&gt;0,1,0))*FLOOR($PB44/2,1))</f>
        <v/>
      </c>
      <c r="PD44" s="155">
        <f>MAX(0,2-SUMPRODUCT($OK44:$OP44,$I$2:$N$2)+MIN(2,$OQ44*1+$OR44*1,SUMPRODUCT($OK44:$OP44,$I$2:$N$2)))</f>
        <v/>
      </c>
      <c r="PE44" s="155">
        <f>MAX(0,4-SUMPRODUCT($OK44:$OP44,$I$3:$N$3)+MIN(4,$OQ44*1+$OR44*2,SUMPRODUCT($OK44:$OP44,$I$3:$N$3)))</f>
        <v/>
      </c>
      <c r="PF44" s="155">
        <f>MAX(0,6-SUMPRODUCT($OK44:$OP44,$I$4:$N$4)+MIN(6,$OQ44*2+$OR44*3,SUMPRODUCT($OK44:$OP44,$I$4:$N$4)))</f>
        <v/>
      </c>
      <c r="PG44" s="155">
        <f>MAX(0,9-SUMPRODUCT($OK44:$OP44,$I$5:$N$5)+MIN(8,$OQ44*2+$OR44*4,SUMPRODUCT($OK44:$OP44,$I$5:$N$5)))</f>
        <v/>
      </c>
      <c r="PH44" s="155">
        <f>MAX(0,11-SUMPRODUCT($OK44:$OP44,$I$6:$N$6)+MIN(10,$OQ44*3+$OR44*5,SUMPRODUCT($OK44:$OP44,$I$6:$N$6)))</f>
        <v/>
      </c>
      <c r="PI44" s="155">
        <f>MAX(0,13-SUMPRODUCT($OK44:$OP44,$I$7:$N$7)+MIN(12,$OQ44*3+$OR44*6,SUMPRODUCT($OK44:$OP44,$I$7:$N$7)))</f>
        <v/>
      </c>
      <c r="PJ44" s="155">
        <f>MAX(0,16-SUMPRODUCT($OK44:$OP44,$I$8:$N$8)+MIN(14,$OQ44*4+$OR44*7,SUMPRODUCT($OK44:$OP44,$I$8:$N$8)))</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peça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Trava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IFERROR(VLOOKUP($MV45,$AV$2:$BA$84,2,FALSE),"")</f>
        <v/>
      </c>
      <c r="NJ45" s="155">
        <f>IFERROR(VLOOKUP($MW45,$AV$2:$BA$84,2,FALSE),"")</f>
        <v/>
      </c>
      <c r="NK45" s="155">
        <f>IFERROR(VLOOKUP($MX45,$AV$2:$BA$84,2,FALSE),"")</f>
        <v/>
      </c>
      <c r="NL45" s="155">
        <f>IFERROR(VLOOKUP($MY45,$AV$2:$BA$84,2,FALSE),"")</f>
        <v/>
      </c>
      <c r="NM45" s="155">
        <f>IFERROR(VLOOKUP($MV45,$AV$2:$BA$84,3,FALSE),0)</f>
        <v/>
      </c>
      <c r="NN45" s="155">
        <f>IFERROR(VLOOKUP($MW45,$AV$2:$BA$84,3,FALSE),0)</f>
        <v/>
      </c>
      <c r="NO45" s="155">
        <f>IFERROR(VLOOKUP($MX45,$AV$2:$BA$84,3,FALSE),0)</f>
        <v/>
      </c>
      <c r="NP45" s="155">
        <f>IFERROR(VLOOKUP($MY45,$AV$2:$BA$84,3,FALSE),0)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IFERROR(VLOOKUP($MV45,$AV$2:$BA$84,4,FALSE),0)+IFERROR(VLOOKUP($MW45,$AV$2:$BA$84,4,FALSE),0)+IFERROR(VLOOKUP($MX45,$AV$2:$BA$84,4,FALSE),0)+IFERROR(VLOOKUP($MY45,$AV$2:$BA$84,4,FALSE),0)</f>
        <v/>
      </c>
      <c r="OB45" s="155">
        <f>IFERROR(VLOOKUP($MV45,$AV$2:$BA$84,6,FALSE),0)+IFERROR(VLOOKUP($MW45,$AV$2:$BA$84,6,FALSE),0)+IFERROR(VLOOKUP($MX45,$AV$2:$BA$84,6,FALSE),0)+IFERROR(VLOOKUP($MY45,$AV$2:$BA$84,6,FALSE),0)</f>
        <v/>
      </c>
      <c r="OC45" s="155">
        <f>TEXTJOIN(", ",TRUE,IF(IFERROR(VLOOKUP($MV45,$AV$2:$BA$84,5,FALSE),0)=1,$MV45,""),IF(IFERROR(VLOOKUP($MW45,$AV$2:$BA$84,5,FALSE),0)=1,$MW45,""),IF(IFERROR(VLOOKUP($MX45,$AV$2:$BA$84,5,FALSE),0)=1,$MX45,""),IF(IFERROR(VLOOKUP($MY45,$AV$2:$BA$84,5,FALSE),0)=1,$MY45,""))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f>
        <v/>
      </c>
      <c r="OY45" s="155">
        <f>$OW45-$OX45</f>
        <v/>
      </c>
      <c r="OZ45" s="155">
        <f>IF($MQ45=0,0,INDEX($P$2:$P$8,MAX(1,$MQ45)))</f>
        <v/>
      </c>
      <c r="PA45" s="155">
        <f>$OZ45-$OU45+$OX45</f>
        <v/>
      </c>
      <c r="PB45" s="155">
        <f>IF($MQ45=0,MAX(0,$NE45-IF($OS45&gt;0,1,0)),MAX(0,$PA45))</f>
        <v/>
      </c>
      <c r="PC45" s="155">
        <f>IF($MQ45=0,0,(IF(COUNTIF($MV45:$MY45,"Salto")&gt;0,1,0)+IF(COUNTIF($MV45:$MY45,"Queima")&gt;0,1,0)+IF(COUNTIF($MV45:$MY45,"Estilhaço")&gt;0,1,0))*FLOOR($PB45/2,1))</f>
        <v/>
      </c>
      <c r="PD45" s="155">
        <f>MAX(0,2-SUMPRODUCT($OK45:$OP45,$I$2:$N$2)+MIN(2,$OQ45*1+$OR45*1,SUMPRODUCT($OK45:$OP45,$I$2:$N$2)))</f>
        <v/>
      </c>
      <c r="PE45" s="155">
        <f>MAX(0,4-SUMPRODUCT($OK45:$OP45,$I$3:$N$3)+MIN(4,$OQ45*1+$OR45*2,SUMPRODUCT($OK45:$OP45,$I$3:$N$3)))</f>
        <v/>
      </c>
      <c r="PF45" s="155">
        <f>MAX(0,6-SUMPRODUCT($OK45:$OP45,$I$4:$N$4)+MIN(6,$OQ45*2+$OR45*3,SUMPRODUCT($OK45:$OP45,$I$4:$N$4)))</f>
        <v/>
      </c>
      <c r="PG45" s="155">
        <f>MAX(0,9-SUMPRODUCT($OK45:$OP45,$I$5:$N$5)+MIN(8,$OQ45*2+$OR45*4,SUMPRODUCT($OK45:$OP45,$I$5:$N$5)))</f>
        <v/>
      </c>
      <c r="PH45" s="155">
        <f>MAX(0,11-SUMPRODUCT($OK45:$OP45,$I$6:$N$6)+MIN(10,$OQ45*3+$OR45*5,SUMPRODUCT($OK45:$OP45,$I$6:$N$6)))</f>
        <v/>
      </c>
      <c r="PI45" s="155">
        <f>MAX(0,13-SUMPRODUCT($OK45:$OP45,$I$7:$N$7)+MIN(12,$OQ45*3+$OR45*6,SUMPRODUCT($OK45:$OP45,$I$7:$N$7)))</f>
        <v/>
      </c>
      <c r="PJ45" s="155">
        <f>MAX(0,16-SUMPRODUCT($OK45:$OP45,$I$8:$N$8)+MIN(14,$OQ45*4+$OR45*7,SUMPRODUCT($OK45:$OP45,$I$8:$N$8)))</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peça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Abre Ferida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IFERROR(VLOOKUP($MV46,$AV$2:$BA$84,2,FALSE),"")</f>
        <v/>
      </c>
      <c r="NJ46" s="155">
        <f>IFERROR(VLOOKUP($MW46,$AV$2:$BA$84,2,FALSE),"")</f>
        <v/>
      </c>
      <c r="NK46" s="155">
        <f>IFERROR(VLOOKUP($MX46,$AV$2:$BA$84,2,FALSE),"")</f>
        <v/>
      </c>
      <c r="NL46" s="155">
        <f>IFERROR(VLOOKUP($MY46,$AV$2:$BA$84,2,FALSE),"")</f>
        <v/>
      </c>
      <c r="NM46" s="155">
        <f>IFERROR(VLOOKUP($MV46,$AV$2:$BA$84,3,FALSE),0)</f>
        <v/>
      </c>
      <c r="NN46" s="155">
        <f>IFERROR(VLOOKUP($MW46,$AV$2:$BA$84,3,FALSE),0)</f>
        <v/>
      </c>
      <c r="NO46" s="155">
        <f>IFERROR(VLOOKUP($MX46,$AV$2:$BA$84,3,FALSE),0)</f>
        <v/>
      </c>
      <c r="NP46" s="155">
        <f>IFERROR(VLOOKUP($MY46,$AV$2:$BA$84,3,FALSE),0)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IFERROR(VLOOKUP($MV46,$AV$2:$BA$84,4,FALSE),0)+IFERROR(VLOOKUP($MW46,$AV$2:$BA$84,4,FALSE),0)+IFERROR(VLOOKUP($MX46,$AV$2:$BA$84,4,FALSE),0)+IFERROR(VLOOKUP($MY46,$AV$2:$BA$84,4,FALSE),0)</f>
        <v/>
      </c>
      <c r="OB46" s="155">
        <f>IFERROR(VLOOKUP($MV46,$AV$2:$BA$84,6,FALSE),0)+IFERROR(VLOOKUP($MW46,$AV$2:$BA$84,6,FALSE),0)+IFERROR(VLOOKUP($MX46,$AV$2:$BA$84,6,FALSE),0)+IFERROR(VLOOKUP($MY46,$AV$2:$BA$84,6,FALSE),0)</f>
        <v/>
      </c>
      <c r="OC46" s="155">
        <f>TEXTJOIN(", ",TRUE,IF(IFERROR(VLOOKUP($MV46,$AV$2:$BA$84,5,FALSE),0)=1,$MV46,""),IF(IFERROR(VLOOKUP($MW46,$AV$2:$BA$84,5,FALSE),0)=1,$MW46,""),IF(IFERROR(VLOOKUP($MX46,$AV$2:$BA$84,5,FALSE),0)=1,$MX46,""),IF(IFERROR(VLOOKUP($MY46,$AV$2:$BA$84,5,FALSE),0)=1,$MY46,""))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f>
        <v/>
      </c>
      <c r="OY46" s="155">
        <f>$OW46-$OX46</f>
        <v/>
      </c>
      <c r="OZ46" s="155">
        <f>IF($MQ46=0,0,INDEX($P$2:$P$8,MAX(1,$MQ46)))</f>
        <v/>
      </c>
      <c r="PA46" s="155">
        <f>$OZ46-$OU46+$OX46</f>
        <v/>
      </c>
      <c r="PB46" s="155">
        <f>IF($MQ46=0,MAX(0,$NE46-IF($OS46&gt;0,1,0)),MAX(0,$PA46))</f>
        <v/>
      </c>
      <c r="PC46" s="155">
        <f>IF($MQ46=0,0,(IF(COUNTIF($MV46:$MY46,"Salto")&gt;0,1,0)+IF(COUNTIF($MV46:$MY46,"Queima")&gt;0,1,0)+IF(COUNTIF($MV46:$MY46,"Estilhaço")&gt;0,1,0))*FLOOR($PB46/2,1))</f>
        <v/>
      </c>
      <c r="PD46" s="155">
        <f>MAX(0,2-SUMPRODUCT($OK46:$OP46,$I$2:$N$2)+MIN(2,$OQ46*1+$OR46*1,SUMPRODUCT($OK46:$OP46,$I$2:$N$2)))</f>
        <v/>
      </c>
      <c r="PE46" s="155">
        <f>MAX(0,4-SUMPRODUCT($OK46:$OP46,$I$3:$N$3)+MIN(4,$OQ46*1+$OR46*2,SUMPRODUCT($OK46:$OP46,$I$3:$N$3)))</f>
        <v/>
      </c>
      <c r="PF46" s="155">
        <f>MAX(0,6-SUMPRODUCT($OK46:$OP46,$I$4:$N$4)+MIN(6,$OQ46*2+$OR46*3,SUMPRODUCT($OK46:$OP46,$I$4:$N$4)))</f>
        <v/>
      </c>
      <c r="PG46" s="155">
        <f>MAX(0,9-SUMPRODUCT($OK46:$OP46,$I$5:$N$5)+MIN(8,$OQ46*2+$OR46*4,SUMPRODUCT($OK46:$OP46,$I$5:$N$5)))</f>
        <v/>
      </c>
      <c r="PH46" s="155">
        <f>MAX(0,11-SUMPRODUCT($OK46:$OP46,$I$6:$N$6)+MIN(10,$OQ46*3+$OR46*5,SUMPRODUCT($OK46:$OP46,$I$6:$N$6)))</f>
        <v/>
      </c>
      <c r="PI46" s="155">
        <f>MAX(0,13-SUMPRODUCT($OK46:$OP46,$I$7:$N$7)+MIN(12,$OQ46*3+$OR46*6,SUMPRODUCT($OK46:$OP46,$I$7:$N$7)))</f>
        <v/>
      </c>
      <c r="PJ46" s="155">
        <f>MAX(0,16-SUMPRODUCT($OK46:$OP46,$I$8:$N$8)+MIN(14,$OQ46*4+$OR46*7,SUMPRODUCT($OK46:$OP46,$I$8:$N$8)))</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peça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Sobrecarga</t>
        </is>
      </c>
      <c r="AW47" s="153" t="inlineStr">
        <is>
          <t>Auxiliares</t>
        </is>
      </c>
      <c r="AX47" s="155" t="n">
        <v>1</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IFERROR(VLOOKUP($MV47,$AV$2:$BA$84,2,FALSE),"")</f>
        <v/>
      </c>
      <c r="NJ47" s="155">
        <f>IFERROR(VLOOKUP($MW47,$AV$2:$BA$84,2,FALSE),"")</f>
        <v/>
      </c>
      <c r="NK47" s="155">
        <f>IFERROR(VLOOKUP($MX47,$AV$2:$BA$84,2,FALSE),"")</f>
        <v/>
      </c>
      <c r="NL47" s="155">
        <f>IFERROR(VLOOKUP($MY47,$AV$2:$BA$84,2,FALSE),"")</f>
        <v/>
      </c>
      <c r="NM47" s="155">
        <f>IFERROR(VLOOKUP($MV47,$AV$2:$BA$84,3,FALSE),0)</f>
        <v/>
      </c>
      <c r="NN47" s="155">
        <f>IFERROR(VLOOKUP($MW47,$AV$2:$BA$84,3,FALSE),0)</f>
        <v/>
      </c>
      <c r="NO47" s="155">
        <f>IFERROR(VLOOKUP($MX47,$AV$2:$BA$84,3,FALSE),0)</f>
        <v/>
      </c>
      <c r="NP47" s="155">
        <f>IFERROR(VLOOKUP($MY47,$AV$2:$BA$84,3,FALSE),0)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IFERROR(VLOOKUP($MV47,$AV$2:$BA$84,4,FALSE),0)+IFERROR(VLOOKUP($MW47,$AV$2:$BA$84,4,FALSE),0)+IFERROR(VLOOKUP($MX47,$AV$2:$BA$84,4,FALSE),0)+IFERROR(VLOOKUP($MY47,$AV$2:$BA$84,4,FALSE),0)</f>
        <v/>
      </c>
      <c r="OB47" s="155">
        <f>IFERROR(VLOOKUP($MV47,$AV$2:$BA$84,6,FALSE),0)+IFERROR(VLOOKUP($MW47,$AV$2:$BA$84,6,FALSE),0)+IFERROR(VLOOKUP($MX47,$AV$2:$BA$84,6,FALSE),0)+IFERROR(VLOOKUP($MY47,$AV$2:$BA$84,6,FALSE),0)</f>
        <v/>
      </c>
      <c r="OC47" s="155">
        <f>TEXTJOIN(", ",TRUE,IF(IFERROR(VLOOKUP($MV47,$AV$2:$BA$84,5,FALSE),0)=1,$MV47,""),IF(IFERROR(VLOOKUP($MW47,$AV$2:$BA$84,5,FALSE),0)=1,$MW47,""),IF(IFERROR(VLOOKUP($MX47,$AV$2:$BA$84,5,FALSE),0)=1,$MX47,""),IF(IFERROR(VLOOKUP($MY47,$AV$2:$BA$84,5,FALSE),0)=1,$MY47,""))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f>
        <v/>
      </c>
      <c r="OY47" s="155">
        <f>$OW47-$OX47</f>
        <v/>
      </c>
      <c r="OZ47" s="155">
        <f>IF($MQ47=0,0,INDEX($P$2:$P$8,MAX(1,$MQ47)))</f>
        <v/>
      </c>
      <c r="PA47" s="155">
        <f>$OZ47-$OU47+$OX47</f>
        <v/>
      </c>
      <c r="PB47" s="155">
        <f>IF($MQ47=0,MAX(0,$NE47-IF($OS47&gt;0,1,0)),MAX(0,$PA47))</f>
        <v/>
      </c>
      <c r="PC47" s="155">
        <f>IF($MQ47=0,0,(IF(COUNTIF($MV47:$MY47,"Salto")&gt;0,1,0)+IF(COUNTIF($MV47:$MY47,"Queima")&gt;0,1,0)+IF(COUNTIF($MV47:$MY47,"Estilhaço")&gt;0,1,0))*FLOOR($PB47/2,1))</f>
        <v/>
      </c>
      <c r="PD47" s="155">
        <f>MAX(0,2-SUMPRODUCT($OK47:$OP47,$I$2:$N$2)+MIN(2,$OQ47*1+$OR47*1,SUMPRODUCT($OK47:$OP47,$I$2:$N$2)))</f>
        <v/>
      </c>
      <c r="PE47" s="155">
        <f>MAX(0,4-SUMPRODUCT($OK47:$OP47,$I$3:$N$3)+MIN(4,$OQ47*1+$OR47*2,SUMPRODUCT($OK47:$OP47,$I$3:$N$3)))</f>
        <v/>
      </c>
      <c r="PF47" s="155">
        <f>MAX(0,6-SUMPRODUCT($OK47:$OP47,$I$4:$N$4)+MIN(6,$OQ47*2+$OR47*3,SUMPRODUCT($OK47:$OP47,$I$4:$N$4)))</f>
        <v/>
      </c>
      <c r="PG47" s="155">
        <f>MAX(0,9-SUMPRODUCT($OK47:$OP47,$I$5:$N$5)+MIN(8,$OQ47*2+$OR47*4,SUMPRODUCT($OK47:$OP47,$I$5:$N$5)))</f>
        <v/>
      </c>
      <c r="PH47" s="155">
        <f>MAX(0,11-SUMPRODUCT($OK47:$OP47,$I$6:$N$6)+MIN(10,$OQ47*3+$OR47*5,SUMPRODUCT($OK47:$OP47,$I$6:$N$6)))</f>
        <v/>
      </c>
      <c r="PI47" s="155">
        <f>MAX(0,13-SUMPRODUCT($OK47:$OP47,$I$7:$N$7)+MIN(12,$OQ47*3+$OR47*6,SUMPRODUCT($OK47:$OP47,$I$7:$N$7)))</f>
        <v/>
      </c>
      <c r="PJ47" s="155">
        <f>MAX(0,16-SUMPRODUCT($OK47:$OP47,$I$8:$N$8)+MIN(14,$OQ47*4+$OR47*7,SUMPRODUCT($OK47:$OP47,$I$8:$N$8)))</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peça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Firmeza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IFERROR(VLOOKUP($MV48,$AV$2:$BA$84,2,FALSE),"")</f>
        <v/>
      </c>
      <c r="NJ48" s="155">
        <f>IFERROR(VLOOKUP($MW48,$AV$2:$BA$84,2,FALSE),"")</f>
        <v/>
      </c>
      <c r="NK48" s="155">
        <f>IFERROR(VLOOKUP($MX48,$AV$2:$BA$84,2,FALSE),"")</f>
        <v/>
      </c>
      <c r="NL48" s="155">
        <f>IFERROR(VLOOKUP($MY48,$AV$2:$BA$84,2,FALSE),"")</f>
        <v/>
      </c>
      <c r="NM48" s="155">
        <f>IFERROR(VLOOKUP($MV48,$AV$2:$BA$84,3,FALSE),0)</f>
        <v/>
      </c>
      <c r="NN48" s="155">
        <f>IFERROR(VLOOKUP($MW48,$AV$2:$BA$84,3,FALSE),0)</f>
        <v/>
      </c>
      <c r="NO48" s="155">
        <f>IFERROR(VLOOKUP($MX48,$AV$2:$BA$84,3,FALSE),0)</f>
        <v/>
      </c>
      <c r="NP48" s="155">
        <f>IFERROR(VLOOKUP($MY48,$AV$2:$BA$84,3,FALSE),0)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IFERROR(VLOOKUP($MV48,$AV$2:$BA$84,4,FALSE),0)+IFERROR(VLOOKUP($MW48,$AV$2:$BA$84,4,FALSE),0)+IFERROR(VLOOKUP($MX48,$AV$2:$BA$84,4,FALSE),0)+IFERROR(VLOOKUP($MY48,$AV$2:$BA$84,4,FALSE),0)</f>
        <v/>
      </c>
      <c r="OB48" s="155">
        <f>IFERROR(VLOOKUP($MV48,$AV$2:$BA$84,6,FALSE),0)+IFERROR(VLOOKUP($MW48,$AV$2:$BA$84,6,FALSE),0)+IFERROR(VLOOKUP($MX48,$AV$2:$BA$84,6,FALSE),0)+IFERROR(VLOOKUP($MY48,$AV$2:$BA$84,6,FALSE),0)</f>
        <v/>
      </c>
      <c r="OC48" s="155">
        <f>TEXTJOIN(", ",TRUE,IF(IFERROR(VLOOKUP($MV48,$AV$2:$BA$84,5,FALSE),0)=1,$MV48,""),IF(IFERROR(VLOOKUP($MW48,$AV$2:$BA$84,5,FALSE),0)=1,$MW48,""),IF(IFERROR(VLOOKUP($MX48,$AV$2:$BA$84,5,FALSE),0)=1,$MX48,""),IF(IFERROR(VLOOKUP($MY48,$AV$2:$BA$84,5,FALSE),0)=1,$MY48,""))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f>
        <v/>
      </c>
      <c r="OY48" s="155">
        <f>$OW48-$OX48</f>
        <v/>
      </c>
      <c r="OZ48" s="155">
        <f>IF($MQ48=0,0,INDEX($P$2:$P$8,MAX(1,$MQ48)))</f>
        <v/>
      </c>
      <c r="PA48" s="155">
        <f>$OZ48-$OU48+$OX48</f>
        <v/>
      </c>
      <c r="PB48" s="155">
        <f>IF($MQ48=0,MAX(0,$NE48-IF($OS48&gt;0,1,0)),MAX(0,$PA48))</f>
        <v/>
      </c>
      <c r="PC48" s="155">
        <f>IF($MQ48=0,0,(IF(COUNTIF($MV48:$MY48,"Salto")&gt;0,1,0)+IF(COUNTIF($MV48:$MY48,"Queima")&gt;0,1,0)+IF(COUNTIF($MV48:$MY48,"Estilhaço")&gt;0,1,0))*FLOOR($PB48/2,1))</f>
        <v/>
      </c>
      <c r="PD48" s="155">
        <f>MAX(0,2-SUMPRODUCT($OK48:$OP48,$I$2:$N$2)+MIN(2,$OQ48*1+$OR48*1,SUMPRODUCT($OK48:$OP48,$I$2:$N$2)))</f>
        <v/>
      </c>
      <c r="PE48" s="155">
        <f>MAX(0,4-SUMPRODUCT($OK48:$OP48,$I$3:$N$3)+MIN(4,$OQ48*1+$OR48*2,SUMPRODUCT($OK48:$OP48,$I$3:$N$3)))</f>
        <v/>
      </c>
      <c r="PF48" s="155">
        <f>MAX(0,6-SUMPRODUCT($OK48:$OP48,$I$4:$N$4)+MIN(6,$OQ48*2+$OR48*3,SUMPRODUCT($OK48:$OP48,$I$4:$N$4)))</f>
        <v/>
      </c>
      <c r="PG48" s="155">
        <f>MAX(0,9-SUMPRODUCT($OK48:$OP48,$I$5:$N$5)+MIN(8,$OQ48*2+$OR48*4,SUMPRODUCT($OK48:$OP48,$I$5:$N$5)))</f>
        <v/>
      </c>
      <c r="PH48" s="155">
        <f>MAX(0,11-SUMPRODUCT($OK48:$OP48,$I$6:$N$6)+MIN(10,$OQ48*3+$OR48*5,SUMPRODUCT($OK48:$OP48,$I$6:$N$6)))</f>
        <v/>
      </c>
      <c r="PI48" s="155">
        <f>MAX(0,13-SUMPRODUCT($OK48:$OP48,$I$7:$N$7)+MIN(12,$OQ48*3+$OR48*6,SUMPRODUCT($OK48:$OP48,$I$7:$N$7)))</f>
        <v/>
      </c>
      <c r="PJ48" s="155">
        <f>MAX(0,16-SUMPRODUCT($OK48:$OP48,$I$8:$N$8)+MIN(14,$OQ48*4+$OR48*7,SUMPRODUCT($OK48:$OP48,$I$8:$N$8)))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peça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Guarda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IFERROR(VLOOKUP($MV49,$AV$2:$BA$84,2,FALSE),"")</f>
        <v/>
      </c>
      <c r="NJ49" s="155">
        <f>IFERROR(VLOOKUP($MW49,$AV$2:$BA$84,2,FALSE),"")</f>
        <v/>
      </c>
      <c r="NK49" s="155">
        <f>IFERROR(VLOOKUP($MX49,$AV$2:$BA$84,2,FALSE),"")</f>
        <v/>
      </c>
      <c r="NL49" s="155">
        <f>IFERROR(VLOOKUP($MY49,$AV$2:$BA$84,2,FALSE),"")</f>
        <v/>
      </c>
      <c r="NM49" s="155">
        <f>IFERROR(VLOOKUP($MV49,$AV$2:$BA$84,3,FALSE),0)</f>
        <v/>
      </c>
      <c r="NN49" s="155">
        <f>IFERROR(VLOOKUP($MW49,$AV$2:$BA$84,3,FALSE),0)</f>
        <v/>
      </c>
      <c r="NO49" s="155">
        <f>IFERROR(VLOOKUP($MX49,$AV$2:$BA$84,3,FALSE),0)</f>
        <v/>
      </c>
      <c r="NP49" s="155">
        <f>IFERROR(VLOOKUP($MY49,$AV$2:$BA$84,3,FALSE),0)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IFERROR(VLOOKUP($MV49,$AV$2:$BA$84,4,FALSE),0)+IFERROR(VLOOKUP($MW49,$AV$2:$BA$84,4,FALSE),0)+IFERROR(VLOOKUP($MX49,$AV$2:$BA$84,4,FALSE),0)+IFERROR(VLOOKUP($MY49,$AV$2:$BA$84,4,FALSE),0)</f>
        <v/>
      </c>
      <c r="OB49" s="155">
        <f>IFERROR(VLOOKUP($MV49,$AV$2:$BA$84,6,FALSE),0)+IFERROR(VLOOKUP($MW49,$AV$2:$BA$84,6,FALSE),0)+IFERROR(VLOOKUP($MX49,$AV$2:$BA$84,6,FALSE),0)+IFERROR(VLOOKUP($MY49,$AV$2:$BA$84,6,FALSE),0)</f>
        <v/>
      </c>
      <c r="OC49" s="155">
        <f>TEXTJOIN(", ",TRUE,IF(IFERROR(VLOOKUP($MV49,$AV$2:$BA$84,5,FALSE),0)=1,$MV49,""),IF(IFERROR(VLOOKUP($MW49,$AV$2:$BA$84,5,FALSE),0)=1,$MW49,""),IF(IFERROR(VLOOKUP($MX49,$AV$2:$BA$84,5,FALSE),0)=1,$MX49,""),IF(IFERROR(VLOOKUP($MY49,$AV$2:$BA$84,5,FALSE),0)=1,$MY49,""))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f>
        <v/>
      </c>
      <c r="OY49" s="155">
        <f>$OW49-$OX49</f>
        <v/>
      </c>
      <c r="OZ49" s="155">
        <f>IF($MQ49=0,0,INDEX($P$2:$P$8,MAX(1,$MQ49)))</f>
        <v/>
      </c>
      <c r="PA49" s="155">
        <f>$OZ49-$OU49+$OX49</f>
        <v/>
      </c>
      <c r="PB49" s="155">
        <f>IF($MQ49=0,MAX(0,$NE49-IF($OS49&gt;0,1,0)),MAX(0,$PA49))</f>
        <v/>
      </c>
      <c r="PC49" s="155">
        <f>IF($MQ49=0,0,(IF(COUNTIF($MV49:$MY49,"Salto")&gt;0,1,0)+IF(COUNTIF($MV49:$MY49,"Queima")&gt;0,1,0)+IF(COUNTIF($MV49:$MY49,"Estilhaço")&gt;0,1,0))*FLOOR($PB49/2,1))</f>
        <v/>
      </c>
      <c r="PD49" s="155">
        <f>MAX(0,2-SUMPRODUCT($OK49:$OP49,$I$2:$N$2)+MIN(2,$OQ49*1+$OR49*1,SUMPRODUCT($OK49:$OP49,$I$2:$N$2)))</f>
        <v/>
      </c>
      <c r="PE49" s="155">
        <f>MAX(0,4-SUMPRODUCT($OK49:$OP49,$I$3:$N$3)+MIN(4,$OQ49*1+$OR49*2,SUMPRODUCT($OK49:$OP49,$I$3:$N$3)))</f>
        <v/>
      </c>
      <c r="PF49" s="155">
        <f>MAX(0,6-SUMPRODUCT($OK49:$OP49,$I$4:$N$4)+MIN(6,$OQ49*2+$OR49*3,SUMPRODUCT($OK49:$OP49,$I$4:$N$4)))</f>
        <v/>
      </c>
      <c r="PG49" s="155">
        <f>MAX(0,9-SUMPRODUCT($OK49:$OP49,$I$5:$N$5)+MIN(8,$OQ49*2+$OR49*4,SUMPRODUCT($OK49:$OP49,$I$5:$N$5)))</f>
        <v/>
      </c>
      <c r="PH49" s="155">
        <f>MAX(0,11-SUMPRODUCT($OK49:$OP49,$I$6:$N$6)+MIN(10,$OQ49*3+$OR49*5,SUMPRODUCT($OK49:$OP49,$I$6:$N$6)))</f>
        <v/>
      </c>
      <c r="PI49" s="155">
        <f>MAX(0,13-SUMPRODUCT($OK49:$OP49,$I$7:$N$7)+MIN(12,$OQ49*3+$OR49*6,SUMPRODUCT($OK49:$OP49,$I$7:$N$7)))</f>
        <v/>
      </c>
      <c r="PJ49" s="155">
        <f>MAX(0,16-SUMPRODUCT($OK49:$OP49,$I$8:$N$8)+MIN(14,$OQ49*4+$OR49*7,SUMPRODUCT($OK49:$OP49,$I$8:$N$8)))</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peça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Pressa</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IFERROR(VLOOKUP($MV50,$AV$2:$BA$84,2,FALSE),"")</f>
        <v/>
      </c>
      <c r="NJ50" s="155">
        <f>IFERROR(VLOOKUP($MW50,$AV$2:$BA$84,2,FALSE),"")</f>
        <v/>
      </c>
      <c r="NK50" s="155">
        <f>IFERROR(VLOOKUP($MX50,$AV$2:$BA$84,2,FALSE),"")</f>
        <v/>
      </c>
      <c r="NL50" s="155">
        <f>IFERROR(VLOOKUP($MY50,$AV$2:$BA$84,2,FALSE),"")</f>
        <v/>
      </c>
      <c r="NM50" s="155">
        <f>IFERROR(VLOOKUP($MV50,$AV$2:$BA$84,3,FALSE),0)</f>
        <v/>
      </c>
      <c r="NN50" s="155">
        <f>IFERROR(VLOOKUP($MW50,$AV$2:$BA$84,3,FALSE),0)</f>
        <v/>
      </c>
      <c r="NO50" s="155">
        <f>IFERROR(VLOOKUP($MX50,$AV$2:$BA$84,3,FALSE),0)</f>
        <v/>
      </c>
      <c r="NP50" s="155">
        <f>IFERROR(VLOOKUP($MY50,$AV$2:$BA$84,3,FALSE),0)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IFERROR(VLOOKUP($MV50,$AV$2:$BA$84,4,FALSE),0)+IFERROR(VLOOKUP($MW50,$AV$2:$BA$84,4,FALSE),0)+IFERROR(VLOOKUP($MX50,$AV$2:$BA$84,4,FALSE),0)+IFERROR(VLOOKUP($MY50,$AV$2:$BA$84,4,FALSE),0)</f>
        <v/>
      </c>
      <c r="OB50" s="155">
        <f>IFERROR(VLOOKUP($MV50,$AV$2:$BA$84,6,FALSE),0)+IFERROR(VLOOKUP($MW50,$AV$2:$BA$84,6,FALSE),0)+IFERROR(VLOOKUP($MX50,$AV$2:$BA$84,6,FALSE),0)+IFERROR(VLOOKUP($MY50,$AV$2:$BA$84,6,FALSE),0)</f>
        <v/>
      </c>
      <c r="OC50" s="155">
        <f>TEXTJOIN(", ",TRUE,IF(IFERROR(VLOOKUP($MV50,$AV$2:$BA$84,5,FALSE),0)=1,$MV50,""),IF(IFERROR(VLOOKUP($MW50,$AV$2:$BA$84,5,FALSE),0)=1,$MW50,""),IF(IFERROR(VLOOKUP($MX50,$AV$2:$BA$84,5,FALSE),0)=1,$MX50,""),IF(IFERROR(VLOOKUP($MY50,$AV$2:$BA$84,5,FALSE),0)=1,$MY50,""))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f>
        <v/>
      </c>
      <c r="OY50" s="155">
        <f>$OW50-$OX50</f>
        <v/>
      </c>
      <c r="OZ50" s="155">
        <f>IF($MQ50=0,0,INDEX($P$2:$P$8,MAX(1,$MQ50)))</f>
        <v/>
      </c>
      <c r="PA50" s="155">
        <f>$OZ50-$OU50+$OX50</f>
        <v/>
      </c>
      <c r="PB50" s="155">
        <f>IF($MQ50=0,MAX(0,$NE50-IF($OS50&gt;0,1,0)),MAX(0,$PA50))</f>
        <v/>
      </c>
      <c r="PC50" s="155">
        <f>IF($MQ50=0,0,(IF(COUNTIF($MV50:$MY50,"Salto")&gt;0,1,0)+IF(COUNTIF($MV50:$MY50,"Queima")&gt;0,1,0)+IF(COUNTIF($MV50:$MY50,"Estilhaço")&gt;0,1,0))*FLOOR($PB50/2,1))</f>
        <v/>
      </c>
      <c r="PD50" s="155">
        <f>MAX(0,2-SUMPRODUCT($OK50:$OP50,$I$2:$N$2)+MIN(2,$OQ50*1+$OR50*1,SUMPRODUCT($OK50:$OP50,$I$2:$N$2)))</f>
        <v/>
      </c>
      <c r="PE50" s="155">
        <f>MAX(0,4-SUMPRODUCT($OK50:$OP50,$I$3:$N$3)+MIN(4,$OQ50*1+$OR50*2,SUMPRODUCT($OK50:$OP50,$I$3:$N$3)))</f>
        <v/>
      </c>
      <c r="PF50" s="155">
        <f>MAX(0,6-SUMPRODUCT($OK50:$OP50,$I$4:$N$4)+MIN(6,$OQ50*2+$OR50*3,SUMPRODUCT($OK50:$OP50,$I$4:$N$4)))</f>
        <v/>
      </c>
      <c r="PG50" s="155">
        <f>MAX(0,9-SUMPRODUCT($OK50:$OP50,$I$5:$N$5)+MIN(8,$OQ50*2+$OR50*4,SUMPRODUCT($OK50:$OP50,$I$5:$N$5)))</f>
        <v/>
      </c>
      <c r="PH50" s="155">
        <f>MAX(0,11-SUMPRODUCT($OK50:$OP50,$I$6:$N$6)+MIN(10,$OQ50*3+$OR50*5,SUMPRODUCT($OK50:$OP50,$I$6:$N$6)))</f>
        <v/>
      </c>
      <c r="PI50" s="155">
        <f>MAX(0,13-SUMPRODUCT($OK50:$OP50,$I$7:$N$7)+MIN(12,$OQ50*3+$OR50*6,SUMPRODUCT($OK50:$OP50,$I$7:$N$7)))</f>
        <v/>
      </c>
      <c r="PJ50" s="155">
        <f>MAX(0,16-SUMPRODUCT($OK50:$OP50,$I$8:$N$8)+MIN(14,$OQ50*4+$OR50*7,SUMPRODUCT($OK50:$OP50,$I$8:$N$8)))</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peça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Enfraquece</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IFERROR(VLOOKUP($MV51,$AV$2:$BA$84,2,FALSE),"")</f>
        <v/>
      </c>
      <c r="NJ51" s="155">
        <f>IFERROR(VLOOKUP($MW51,$AV$2:$BA$84,2,FALSE),"")</f>
        <v/>
      </c>
      <c r="NK51" s="155">
        <f>IFERROR(VLOOKUP($MX51,$AV$2:$BA$84,2,FALSE),"")</f>
        <v/>
      </c>
      <c r="NL51" s="155">
        <f>IFERROR(VLOOKUP($MY51,$AV$2:$BA$84,2,FALSE),"")</f>
        <v/>
      </c>
      <c r="NM51" s="155">
        <f>IFERROR(VLOOKUP($MV51,$AV$2:$BA$84,3,FALSE),0)</f>
        <v/>
      </c>
      <c r="NN51" s="155">
        <f>IFERROR(VLOOKUP($MW51,$AV$2:$BA$84,3,FALSE),0)</f>
        <v/>
      </c>
      <c r="NO51" s="155">
        <f>IFERROR(VLOOKUP($MX51,$AV$2:$BA$84,3,FALSE),0)</f>
        <v/>
      </c>
      <c r="NP51" s="155">
        <f>IFERROR(VLOOKUP($MY51,$AV$2:$BA$84,3,FALSE),0)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IFERROR(VLOOKUP($MV51,$AV$2:$BA$84,4,FALSE),0)+IFERROR(VLOOKUP($MW51,$AV$2:$BA$84,4,FALSE),0)+IFERROR(VLOOKUP($MX51,$AV$2:$BA$84,4,FALSE),0)+IFERROR(VLOOKUP($MY51,$AV$2:$BA$84,4,FALSE),0)</f>
        <v/>
      </c>
      <c r="OB51" s="155">
        <f>IFERROR(VLOOKUP($MV51,$AV$2:$BA$84,6,FALSE),0)+IFERROR(VLOOKUP($MW51,$AV$2:$BA$84,6,FALSE),0)+IFERROR(VLOOKUP($MX51,$AV$2:$BA$84,6,FALSE),0)+IFERROR(VLOOKUP($MY51,$AV$2:$BA$84,6,FALSE),0)</f>
        <v/>
      </c>
      <c r="OC51" s="155">
        <f>TEXTJOIN(", ",TRUE,IF(IFERROR(VLOOKUP($MV51,$AV$2:$BA$84,5,FALSE),0)=1,$MV51,""),IF(IFERROR(VLOOKUP($MW51,$AV$2:$BA$84,5,FALSE),0)=1,$MW51,""),IF(IFERROR(VLOOKUP($MX51,$AV$2:$BA$84,5,FALSE),0)=1,$MX51,""),IF(IFERROR(VLOOKUP($MY51,$AV$2:$BA$84,5,FALSE),0)=1,$MY51,""))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f>
        <v/>
      </c>
      <c r="OY51" s="155">
        <f>$OW51-$OX51</f>
        <v/>
      </c>
      <c r="OZ51" s="155">
        <f>IF($MQ51=0,0,INDEX($P$2:$P$8,MAX(1,$MQ51)))</f>
        <v/>
      </c>
      <c r="PA51" s="155">
        <f>$OZ51-$OU51+$OX51</f>
        <v/>
      </c>
      <c r="PB51" s="155">
        <f>IF($MQ51=0,MAX(0,$NE51-IF($OS51&gt;0,1,0)),MAX(0,$PA51))</f>
        <v/>
      </c>
      <c r="PC51" s="155">
        <f>IF($MQ51=0,0,(IF(COUNTIF($MV51:$MY51,"Salto")&gt;0,1,0)+IF(COUNTIF($MV51:$MY51,"Queima")&gt;0,1,0)+IF(COUNTIF($MV51:$MY51,"Estilhaço")&gt;0,1,0))*FLOOR($PB51/2,1))</f>
        <v/>
      </c>
      <c r="PD51" s="155">
        <f>MAX(0,2-SUMPRODUCT($OK51:$OP51,$I$2:$N$2)+MIN(2,$OQ51*1+$OR51*1,SUMPRODUCT($OK51:$OP51,$I$2:$N$2)))</f>
        <v/>
      </c>
      <c r="PE51" s="155">
        <f>MAX(0,4-SUMPRODUCT($OK51:$OP51,$I$3:$N$3)+MIN(4,$OQ51*1+$OR51*2,SUMPRODUCT($OK51:$OP51,$I$3:$N$3)))</f>
        <v/>
      </c>
      <c r="PF51" s="155">
        <f>MAX(0,6-SUMPRODUCT($OK51:$OP51,$I$4:$N$4)+MIN(6,$OQ51*2+$OR51*3,SUMPRODUCT($OK51:$OP51,$I$4:$N$4)))</f>
        <v/>
      </c>
      <c r="PG51" s="155">
        <f>MAX(0,9-SUMPRODUCT($OK51:$OP51,$I$5:$N$5)+MIN(8,$OQ51*2+$OR51*4,SUMPRODUCT($OK51:$OP51,$I$5:$N$5)))</f>
        <v/>
      </c>
      <c r="PH51" s="155">
        <f>MAX(0,11-SUMPRODUCT($OK51:$OP51,$I$6:$N$6)+MIN(10,$OQ51*3+$OR51*5,SUMPRODUCT($OK51:$OP51,$I$6:$N$6)))</f>
        <v/>
      </c>
      <c r="PI51" s="155">
        <f>MAX(0,13-SUMPRODUCT($OK51:$OP51,$I$7:$N$7)+MIN(12,$OQ51*3+$OR51*6,SUMPRODUCT($OK51:$OP51,$I$7:$N$7)))</f>
        <v/>
      </c>
      <c r="PJ51" s="155">
        <f>MAX(0,16-SUMPRODUCT($OK51:$OP51,$I$8:$N$8)+MIN(14,$OQ51*4+$OR51*7,SUMPRODUCT($OK51:$OP51,$I$8:$N$8)))</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peça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Ecoa</t>
        </is>
      </c>
      <c r="AW52" s="153" t="inlineStr">
        <is>
          <t>Auxiliares</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IFERROR(VLOOKUP($MV52,$AV$2:$BA$84,2,FALSE),"")</f>
        <v/>
      </c>
      <c r="NJ52" s="155">
        <f>IFERROR(VLOOKUP($MW52,$AV$2:$BA$84,2,FALSE),"")</f>
        <v/>
      </c>
      <c r="NK52" s="155">
        <f>IFERROR(VLOOKUP($MX52,$AV$2:$BA$84,2,FALSE),"")</f>
        <v/>
      </c>
      <c r="NL52" s="155">
        <f>IFERROR(VLOOKUP($MY52,$AV$2:$BA$84,2,FALSE),"")</f>
        <v/>
      </c>
      <c r="NM52" s="155">
        <f>IFERROR(VLOOKUP($MV52,$AV$2:$BA$84,3,FALSE),0)</f>
        <v/>
      </c>
      <c r="NN52" s="155">
        <f>IFERROR(VLOOKUP($MW52,$AV$2:$BA$84,3,FALSE),0)</f>
        <v/>
      </c>
      <c r="NO52" s="155">
        <f>IFERROR(VLOOKUP($MX52,$AV$2:$BA$84,3,FALSE),0)</f>
        <v/>
      </c>
      <c r="NP52" s="155">
        <f>IFERROR(VLOOKUP($MY52,$AV$2:$BA$84,3,FALSE),0)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IFERROR(VLOOKUP($MV52,$AV$2:$BA$84,4,FALSE),0)+IFERROR(VLOOKUP($MW52,$AV$2:$BA$84,4,FALSE),0)+IFERROR(VLOOKUP($MX52,$AV$2:$BA$84,4,FALSE),0)+IFERROR(VLOOKUP($MY52,$AV$2:$BA$84,4,FALSE),0)</f>
        <v/>
      </c>
      <c r="OB52" s="155">
        <f>IFERROR(VLOOKUP($MV52,$AV$2:$BA$84,6,FALSE),0)+IFERROR(VLOOKUP($MW52,$AV$2:$BA$84,6,FALSE),0)+IFERROR(VLOOKUP($MX52,$AV$2:$BA$84,6,FALSE),0)+IFERROR(VLOOKUP($MY52,$AV$2:$BA$84,6,FALSE),0)</f>
        <v/>
      </c>
      <c r="OC52" s="155">
        <f>TEXTJOIN(", ",TRUE,IF(IFERROR(VLOOKUP($MV52,$AV$2:$BA$84,5,FALSE),0)=1,$MV52,""),IF(IFERROR(VLOOKUP($MW52,$AV$2:$BA$84,5,FALSE),0)=1,$MW52,""),IF(IFERROR(VLOOKUP($MX52,$AV$2:$BA$84,5,FALSE),0)=1,$MX52,""),IF(IFERROR(VLOOKUP($MY52,$AV$2:$BA$84,5,FALSE),0)=1,$MY52,""))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f>
        <v/>
      </c>
      <c r="OY52" s="155">
        <f>$OW52-$OX52</f>
        <v/>
      </c>
      <c r="OZ52" s="155">
        <f>IF($MQ52=0,0,INDEX($P$2:$P$8,MAX(1,$MQ52)))</f>
        <v/>
      </c>
      <c r="PA52" s="155">
        <f>$OZ52-$OU52+$OX52</f>
        <v/>
      </c>
      <c r="PB52" s="155">
        <f>IF($MQ52=0,MAX(0,$NE52-IF($OS52&gt;0,1,0)),MAX(0,$PA52))</f>
        <v/>
      </c>
      <c r="PC52" s="155">
        <f>IF($MQ52=0,0,(IF(COUNTIF($MV52:$MY52,"Salto")&gt;0,1,0)+IF(COUNTIF($MV52:$MY52,"Queima")&gt;0,1,0)+IF(COUNTIF($MV52:$MY52,"Estilhaço")&gt;0,1,0))*FLOOR($PB52/2,1))</f>
        <v/>
      </c>
      <c r="PD52" s="155">
        <f>MAX(0,2-SUMPRODUCT($OK52:$OP52,$I$2:$N$2)+MIN(2,$OQ52*1+$OR52*1,SUMPRODUCT($OK52:$OP52,$I$2:$N$2)))</f>
        <v/>
      </c>
      <c r="PE52" s="155">
        <f>MAX(0,4-SUMPRODUCT($OK52:$OP52,$I$3:$N$3)+MIN(4,$OQ52*1+$OR52*2,SUMPRODUCT($OK52:$OP52,$I$3:$N$3)))</f>
        <v/>
      </c>
      <c r="PF52" s="155">
        <f>MAX(0,6-SUMPRODUCT($OK52:$OP52,$I$4:$N$4)+MIN(6,$OQ52*2+$OR52*3,SUMPRODUCT($OK52:$OP52,$I$4:$N$4)))</f>
        <v/>
      </c>
      <c r="PG52" s="155">
        <f>MAX(0,9-SUMPRODUCT($OK52:$OP52,$I$5:$N$5)+MIN(8,$OQ52*2+$OR52*4,SUMPRODUCT($OK52:$OP52,$I$5:$N$5)))</f>
        <v/>
      </c>
      <c r="PH52" s="155">
        <f>MAX(0,11-SUMPRODUCT($OK52:$OP52,$I$6:$N$6)+MIN(10,$OQ52*3+$OR52*5,SUMPRODUCT($OK52:$OP52,$I$6:$N$6)))</f>
        <v/>
      </c>
      <c r="PI52" s="155">
        <f>MAX(0,13-SUMPRODUCT($OK52:$OP52,$I$7:$N$7)+MIN(12,$OQ52*3+$OR52*6,SUMPRODUCT($OK52:$OP52,$I$7:$N$7)))</f>
        <v/>
      </c>
      <c r="PJ52" s="155">
        <f>MAX(0,16-SUMPRODUCT($OK52:$OP52,$I$8:$N$8)+MIN(14,$OQ52*4+$OR52*7,SUMPRODUCT($OK52:$OP52,$I$8:$N$8)))</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peça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Queima</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IFERROR(VLOOKUP($MV53,$AV$2:$BA$84,2,FALSE),"")</f>
        <v/>
      </c>
      <c r="NJ53" s="155">
        <f>IFERROR(VLOOKUP($MW53,$AV$2:$BA$84,2,FALSE),"")</f>
        <v/>
      </c>
      <c r="NK53" s="155">
        <f>IFERROR(VLOOKUP($MX53,$AV$2:$BA$84,2,FALSE),"")</f>
        <v/>
      </c>
      <c r="NL53" s="155">
        <f>IFERROR(VLOOKUP($MY53,$AV$2:$BA$84,2,FALSE),"")</f>
        <v/>
      </c>
      <c r="NM53" s="155">
        <f>IFERROR(VLOOKUP($MV53,$AV$2:$BA$84,3,FALSE),0)</f>
        <v/>
      </c>
      <c r="NN53" s="155">
        <f>IFERROR(VLOOKUP($MW53,$AV$2:$BA$84,3,FALSE),0)</f>
        <v/>
      </c>
      <c r="NO53" s="155">
        <f>IFERROR(VLOOKUP($MX53,$AV$2:$BA$84,3,FALSE),0)</f>
        <v/>
      </c>
      <c r="NP53" s="155">
        <f>IFERROR(VLOOKUP($MY53,$AV$2:$BA$84,3,FALSE),0)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IFERROR(VLOOKUP($MV53,$AV$2:$BA$84,4,FALSE),0)+IFERROR(VLOOKUP($MW53,$AV$2:$BA$84,4,FALSE),0)+IFERROR(VLOOKUP($MX53,$AV$2:$BA$84,4,FALSE),0)+IFERROR(VLOOKUP($MY53,$AV$2:$BA$84,4,FALSE),0)</f>
        <v/>
      </c>
      <c r="OB53" s="155">
        <f>IFERROR(VLOOKUP($MV53,$AV$2:$BA$84,6,FALSE),0)+IFERROR(VLOOKUP($MW53,$AV$2:$BA$84,6,FALSE),0)+IFERROR(VLOOKUP($MX53,$AV$2:$BA$84,6,FALSE),0)+IFERROR(VLOOKUP($MY53,$AV$2:$BA$84,6,FALSE),0)</f>
        <v/>
      </c>
      <c r="OC53" s="155">
        <f>TEXTJOIN(", ",TRUE,IF(IFERROR(VLOOKUP($MV53,$AV$2:$BA$84,5,FALSE),0)=1,$MV53,""),IF(IFERROR(VLOOKUP($MW53,$AV$2:$BA$84,5,FALSE),0)=1,$MW53,""),IF(IFERROR(VLOOKUP($MX53,$AV$2:$BA$84,5,FALSE),0)=1,$MX53,""),IF(IFERROR(VLOOKUP($MY53,$AV$2:$BA$84,5,FALSE),0)=1,$MY53,""))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f>
        <v/>
      </c>
      <c r="OY53" s="155">
        <f>$OW53-$OX53</f>
        <v/>
      </c>
      <c r="OZ53" s="155">
        <f>IF($MQ53=0,0,INDEX($P$2:$P$8,MAX(1,$MQ53)))</f>
        <v/>
      </c>
      <c r="PA53" s="155">
        <f>$OZ53-$OU53+$OX53</f>
        <v/>
      </c>
      <c r="PB53" s="155">
        <f>IF($MQ53=0,MAX(0,$NE53-IF($OS53&gt;0,1,0)),MAX(0,$PA53))</f>
        <v/>
      </c>
      <c r="PC53" s="155">
        <f>IF($MQ53=0,0,(IF(COUNTIF($MV53:$MY53,"Salto")&gt;0,1,0)+IF(COUNTIF($MV53:$MY53,"Queima")&gt;0,1,0)+IF(COUNTIF($MV53:$MY53,"Estilhaço")&gt;0,1,0))*FLOOR($PB53/2,1))</f>
        <v/>
      </c>
      <c r="PD53" s="155">
        <f>MAX(0,2-SUMPRODUCT($OK53:$OP53,$I$2:$N$2)+MIN(2,$OQ53*1+$OR53*1,SUMPRODUCT($OK53:$OP53,$I$2:$N$2)))</f>
        <v/>
      </c>
      <c r="PE53" s="155">
        <f>MAX(0,4-SUMPRODUCT($OK53:$OP53,$I$3:$N$3)+MIN(4,$OQ53*1+$OR53*2,SUMPRODUCT($OK53:$OP53,$I$3:$N$3)))</f>
        <v/>
      </c>
      <c r="PF53" s="155">
        <f>MAX(0,6-SUMPRODUCT($OK53:$OP53,$I$4:$N$4)+MIN(6,$OQ53*2+$OR53*3,SUMPRODUCT($OK53:$OP53,$I$4:$N$4)))</f>
        <v/>
      </c>
      <c r="PG53" s="155">
        <f>MAX(0,9-SUMPRODUCT($OK53:$OP53,$I$5:$N$5)+MIN(8,$OQ53*2+$OR53*4,SUMPRODUCT($OK53:$OP53,$I$5:$N$5)))</f>
        <v/>
      </c>
      <c r="PH53" s="155">
        <f>MAX(0,11-SUMPRODUCT($OK53:$OP53,$I$6:$N$6)+MIN(10,$OQ53*3+$OR53*5,SUMPRODUCT($OK53:$OP53,$I$6:$N$6)))</f>
        <v/>
      </c>
      <c r="PI53" s="155">
        <f>MAX(0,13-SUMPRODUCT($OK53:$OP53,$I$7:$N$7)+MIN(12,$OQ53*3+$OR53*6,SUMPRODUCT($OK53:$OP53,$I$7:$N$7)))</f>
        <v/>
      </c>
      <c r="PJ53" s="155">
        <f>MAX(0,16-SUMPRODUCT($OK53:$OP53,$I$8:$N$8)+MIN(14,$OQ53*4+$OR53*7,SUMPRODUCT($OK53:$OP53,$I$8:$N$8)))</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peça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Acúmulo</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IFERROR(VLOOKUP($MV54,$AV$2:$BA$84,2,FALSE),"")</f>
        <v/>
      </c>
      <c r="NJ54" s="155">
        <f>IFERROR(VLOOKUP($MW54,$AV$2:$BA$84,2,FALSE),"")</f>
        <v/>
      </c>
      <c r="NK54" s="155">
        <f>IFERROR(VLOOKUP($MX54,$AV$2:$BA$84,2,FALSE),"")</f>
        <v/>
      </c>
      <c r="NL54" s="155">
        <f>IFERROR(VLOOKUP($MY54,$AV$2:$BA$84,2,FALSE),"")</f>
        <v/>
      </c>
      <c r="NM54" s="155">
        <f>IFERROR(VLOOKUP($MV54,$AV$2:$BA$84,3,FALSE),0)</f>
        <v/>
      </c>
      <c r="NN54" s="155">
        <f>IFERROR(VLOOKUP($MW54,$AV$2:$BA$84,3,FALSE),0)</f>
        <v/>
      </c>
      <c r="NO54" s="155">
        <f>IFERROR(VLOOKUP($MX54,$AV$2:$BA$84,3,FALSE),0)</f>
        <v/>
      </c>
      <c r="NP54" s="155">
        <f>IFERROR(VLOOKUP($MY54,$AV$2:$BA$84,3,FALSE),0)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IFERROR(VLOOKUP($MV54,$AV$2:$BA$84,4,FALSE),0)+IFERROR(VLOOKUP($MW54,$AV$2:$BA$84,4,FALSE),0)+IFERROR(VLOOKUP($MX54,$AV$2:$BA$84,4,FALSE),0)+IFERROR(VLOOKUP($MY54,$AV$2:$BA$84,4,FALSE),0)</f>
        <v/>
      </c>
      <c r="OB54" s="155">
        <f>IFERROR(VLOOKUP($MV54,$AV$2:$BA$84,6,FALSE),0)+IFERROR(VLOOKUP($MW54,$AV$2:$BA$84,6,FALSE),0)+IFERROR(VLOOKUP($MX54,$AV$2:$BA$84,6,FALSE),0)+IFERROR(VLOOKUP($MY54,$AV$2:$BA$84,6,FALSE),0)</f>
        <v/>
      </c>
      <c r="OC54" s="155">
        <f>TEXTJOIN(", ",TRUE,IF(IFERROR(VLOOKUP($MV54,$AV$2:$BA$84,5,FALSE),0)=1,$MV54,""),IF(IFERROR(VLOOKUP($MW54,$AV$2:$BA$84,5,FALSE),0)=1,$MW54,""),IF(IFERROR(VLOOKUP($MX54,$AV$2:$BA$84,5,FALSE),0)=1,$MX54,""),IF(IFERROR(VLOOKUP($MY54,$AV$2:$BA$84,5,FALSE),0)=1,$MY54,""))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f>
        <v/>
      </c>
      <c r="OY54" s="155">
        <f>$OW54-$OX54</f>
        <v/>
      </c>
      <c r="OZ54" s="155">
        <f>IF($MQ54=0,0,INDEX($P$2:$P$8,MAX(1,$MQ54)))</f>
        <v/>
      </c>
      <c r="PA54" s="155">
        <f>$OZ54-$OU54+$OX54</f>
        <v/>
      </c>
      <c r="PB54" s="155">
        <f>IF($MQ54=0,MAX(0,$NE54-IF($OS54&gt;0,1,0)),MAX(0,$PA54))</f>
        <v/>
      </c>
      <c r="PC54" s="155">
        <f>IF($MQ54=0,0,(IF(COUNTIF($MV54:$MY54,"Salto")&gt;0,1,0)+IF(COUNTIF($MV54:$MY54,"Queima")&gt;0,1,0)+IF(COUNTIF($MV54:$MY54,"Estilhaço")&gt;0,1,0))*FLOOR($PB54/2,1))</f>
        <v/>
      </c>
      <c r="PD54" s="155">
        <f>MAX(0,2-SUMPRODUCT($OK54:$OP54,$I$2:$N$2)+MIN(2,$OQ54*1+$OR54*1,SUMPRODUCT($OK54:$OP54,$I$2:$N$2)))</f>
        <v/>
      </c>
      <c r="PE54" s="155">
        <f>MAX(0,4-SUMPRODUCT($OK54:$OP54,$I$3:$N$3)+MIN(4,$OQ54*1+$OR54*2,SUMPRODUCT($OK54:$OP54,$I$3:$N$3)))</f>
        <v/>
      </c>
      <c r="PF54" s="155">
        <f>MAX(0,6-SUMPRODUCT($OK54:$OP54,$I$4:$N$4)+MIN(6,$OQ54*2+$OR54*3,SUMPRODUCT($OK54:$OP54,$I$4:$N$4)))</f>
        <v/>
      </c>
      <c r="PG54" s="155">
        <f>MAX(0,9-SUMPRODUCT($OK54:$OP54,$I$5:$N$5)+MIN(8,$OQ54*2+$OR54*4,SUMPRODUCT($OK54:$OP54,$I$5:$N$5)))</f>
        <v/>
      </c>
      <c r="PH54" s="155">
        <f>MAX(0,11-SUMPRODUCT($OK54:$OP54,$I$6:$N$6)+MIN(10,$OQ54*3+$OR54*5,SUMPRODUCT($OK54:$OP54,$I$6:$N$6)))</f>
        <v/>
      </c>
      <c r="PI54" s="155">
        <f>MAX(0,13-SUMPRODUCT($OK54:$OP54,$I$7:$N$7)+MIN(12,$OQ54*3+$OR54*6,SUMPRODUCT($OK54:$OP54,$I$7:$N$7)))</f>
        <v/>
      </c>
      <c r="PJ54" s="155">
        <f>MAX(0,16-SUMPRODUCT($OK54:$OP54,$I$8:$N$8)+MIN(14,$OQ54*4+$OR54*7,SUMPRODUCT($OK54:$OP54,$I$8:$N$8)))</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peça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Remate</t>
        </is>
      </c>
      <c r="AW55" s="153" t="inlineStr">
        <is>
          <t>Castigo</t>
        </is>
      </c>
      <c r="AX55" s="155" t="n">
        <v>2</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IFERROR(VLOOKUP($MV55,$AV$2:$BA$84,2,FALSE),"")</f>
        <v/>
      </c>
      <c r="NJ55" s="155">
        <f>IFERROR(VLOOKUP($MW55,$AV$2:$BA$84,2,FALSE),"")</f>
        <v/>
      </c>
      <c r="NK55" s="155">
        <f>IFERROR(VLOOKUP($MX55,$AV$2:$BA$84,2,FALSE),"")</f>
        <v/>
      </c>
      <c r="NL55" s="155">
        <f>IFERROR(VLOOKUP($MY55,$AV$2:$BA$84,2,FALSE),"")</f>
        <v/>
      </c>
      <c r="NM55" s="155">
        <f>IFERROR(VLOOKUP($MV55,$AV$2:$BA$84,3,FALSE),0)</f>
        <v/>
      </c>
      <c r="NN55" s="155">
        <f>IFERROR(VLOOKUP($MW55,$AV$2:$BA$84,3,FALSE),0)</f>
        <v/>
      </c>
      <c r="NO55" s="155">
        <f>IFERROR(VLOOKUP($MX55,$AV$2:$BA$84,3,FALSE),0)</f>
        <v/>
      </c>
      <c r="NP55" s="155">
        <f>IFERROR(VLOOKUP($MY55,$AV$2:$BA$84,3,FALSE),0)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IFERROR(VLOOKUP($MV55,$AV$2:$BA$84,4,FALSE),0)+IFERROR(VLOOKUP($MW55,$AV$2:$BA$84,4,FALSE),0)+IFERROR(VLOOKUP($MX55,$AV$2:$BA$84,4,FALSE),0)+IFERROR(VLOOKUP($MY55,$AV$2:$BA$84,4,FALSE),0)</f>
        <v/>
      </c>
      <c r="OB55" s="155">
        <f>IFERROR(VLOOKUP($MV55,$AV$2:$BA$84,6,FALSE),0)+IFERROR(VLOOKUP($MW55,$AV$2:$BA$84,6,FALSE),0)+IFERROR(VLOOKUP($MX55,$AV$2:$BA$84,6,FALSE),0)+IFERROR(VLOOKUP($MY55,$AV$2:$BA$84,6,FALSE),0)</f>
        <v/>
      </c>
      <c r="OC55" s="155">
        <f>TEXTJOIN(", ",TRUE,IF(IFERROR(VLOOKUP($MV55,$AV$2:$BA$84,5,FALSE),0)=1,$MV55,""),IF(IFERROR(VLOOKUP($MW55,$AV$2:$BA$84,5,FALSE),0)=1,$MW55,""),IF(IFERROR(VLOOKUP($MX55,$AV$2:$BA$84,5,FALSE),0)=1,$MX55,""),IF(IFERROR(VLOOKUP($MY55,$AV$2:$BA$84,5,FALSE),0)=1,$MY55,""))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f>
        <v/>
      </c>
      <c r="OY55" s="155">
        <f>$OW55-$OX55</f>
        <v/>
      </c>
      <c r="OZ55" s="155">
        <f>IF($MQ55=0,0,INDEX($P$2:$P$8,MAX(1,$MQ55)))</f>
        <v/>
      </c>
      <c r="PA55" s="155">
        <f>$OZ55-$OU55+$OX55</f>
        <v/>
      </c>
      <c r="PB55" s="155">
        <f>IF($MQ55=0,MAX(0,$NE55-IF($OS55&gt;0,1,0)),MAX(0,$PA55))</f>
        <v/>
      </c>
      <c r="PC55" s="155">
        <f>IF($MQ55=0,0,(IF(COUNTIF($MV55:$MY55,"Salto")&gt;0,1,0)+IF(COUNTIF($MV55:$MY55,"Queima")&gt;0,1,0)+IF(COUNTIF($MV55:$MY55,"Estilhaço")&gt;0,1,0))*FLOOR($PB55/2,1))</f>
        <v/>
      </c>
      <c r="PD55" s="155">
        <f>MAX(0,2-SUMPRODUCT($OK55:$OP55,$I$2:$N$2)+MIN(2,$OQ55*1+$OR55*1,SUMPRODUCT($OK55:$OP55,$I$2:$N$2)))</f>
        <v/>
      </c>
      <c r="PE55" s="155">
        <f>MAX(0,4-SUMPRODUCT($OK55:$OP55,$I$3:$N$3)+MIN(4,$OQ55*1+$OR55*2,SUMPRODUCT($OK55:$OP55,$I$3:$N$3)))</f>
        <v/>
      </c>
      <c r="PF55" s="155">
        <f>MAX(0,6-SUMPRODUCT($OK55:$OP55,$I$4:$N$4)+MIN(6,$OQ55*2+$OR55*3,SUMPRODUCT($OK55:$OP55,$I$4:$N$4)))</f>
        <v/>
      </c>
      <c r="PG55" s="155">
        <f>MAX(0,9-SUMPRODUCT($OK55:$OP55,$I$5:$N$5)+MIN(8,$OQ55*2+$OR55*4,SUMPRODUCT($OK55:$OP55,$I$5:$N$5)))</f>
        <v/>
      </c>
      <c r="PH55" s="155">
        <f>MAX(0,11-SUMPRODUCT($OK55:$OP55,$I$6:$N$6)+MIN(10,$OQ55*3+$OR55*5,SUMPRODUCT($OK55:$OP55,$I$6:$N$6)))</f>
        <v/>
      </c>
      <c r="PI55" s="155">
        <f>MAX(0,13-SUMPRODUCT($OK55:$OP55,$I$7:$N$7)+MIN(12,$OQ55*3+$OR55*6,SUMPRODUCT($OK55:$OP55,$I$7:$N$7)))</f>
        <v/>
      </c>
      <c r="PJ55" s="155">
        <f>MAX(0,16-SUMPRODUCT($OK55:$OP55,$I$8:$N$8)+MIN(14,$OQ55*4+$OR55*7,SUMPRODUCT($OK55:$OP55,$I$8:$N$8)))</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peça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Estilhaço</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IFERROR(VLOOKUP($MV56,$AV$2:$BA$84,2,FALSE),"")</f>
        <v/>
      </c>
      <c r="NJ56" s="155">
        <f>IFERROR(VLOOKUP($MW56,$AV$2:$BA$84,2,FALSE),"")</f>
        <v/>
      </c>
      <c r="NK56" s="155">
        <f>IFERROR(VLOOKUP($MX56,$AV$2:$BA$84,2,FALSE),"")</f>
        <v/>
      </c>
      <c r="NL56" s="155">
        <f>IFERROR(VLOOKUP($MY56,$AV$2:$BA$84,2,FALSE),"")</f>
        <v/>
      </c>
      <c r="NM56" s="155">
        <f>IFERROR(VLOOKUP($MV56,$AV$2:$BA$84,3,FALSE),0)</f>
        <v/>
      </c>
      <c r="NN56" s="155">
        <f>IFERROR(VLOOKUP($MW56,$AV$2:$BA$84,3,FALSE),0)</f>
        <v/>
      </c>
      <c r="NO56" s="155">
        <f>IFERROR(VLOOKUP($MX56,$AV$2:$BA$84,3,FALSE),0)</f>
        <v/>
      </c>
      <c r="NP56" s="155">
        <f>IFERROR(VLOOKUP($MY56,$AV$2:$BA$84,3,FALSE),0)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IFERROR(VLOOKUP($MV56,$AV$2:$BA$84,4,FALSE),0)+IFERROR(VLOOKUP($MW56,$AV$2:$BA$84,4,FALSE),0)+IFERROR(VLOOKUP($MX56,$AV$2:$BA$84,4,FALSE),0)+IFERROR(VLOOKUP($MY56,$AV$2:$BA$84,4,FALSE),0)</f>
        <v/>
      </c>
      <c r="OB56" s="155">
        <f>IFERROR(VLOOKUP($MV56,$AV$2:$BA$84,6,FALSE),0)+IFERROR(VLOOKUP($MW56,$AV$2:$BA$84,6,FALSE),0)+IFERROR(VLOOKUP($MX56,$AV$2:$BA$84,6,FALSE),0)+IFERROR(VLOOKUP($MY56,$AV$2:$BA$84,6,FALSE),0)</f>
        <v/>
      </c>
      <c r="OC56" s="155">
        <f>TEXTJOIN(", ",TRUE,IF(IFERROR(VLOOKUP($MV56,$AV$2:$BA$84,5,FALSE),0)=1,$MV56,""),IF(IFERROR(VLOOKUP($MW56,$AV$2:$BA$84,5,FALSE),0)=1,$MW56,""),IF(IFERROR(VLOOKUP($MX56,$AV$2:$BA$84,5,FALSE),0)=1,$MX56,""),IF(IFERROR(VLOOKUP($MY56,$AV$2:$BA$84,5,FALSE),0)=1,$MY56,""))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f>
        <v/>
      </c>
      <c r="OY56" s="155">
        <f>$OW56-$OX56</f>
        <v/>
      </c>
      <c r="OZ56" s="155">
        <f>IF($MQ56=0,0,INDEX($P$2:$P$8,MAX(1,$MQ56)))</f>
        <v/>
      </c>
      <c r="PA56" s="155">
        <f>$OZ56-$OU56+$OX56</f>
        <v/>
      </c>
      <c r="PB56" s="155">
        <f>IF($MQ56=0,MAX(0,$NE56-IF($OS56&gt;0,1,0)),MAX(0,$PA56))</f>
        <v/>
      </c>
      <c r="PC56" s="155">
        <f>IF($MQ56=0,0,(IF(COUNTIF($MV56:$MY56,"Salto")&gt;0,1,0)+IF(COUNTIF($MV56:$MY56,"Queima")&gt;0,1,0)+IF(COUNTIF($MV56:$MY56,"Estilhaço")&gt;0,1,0))*FLOOR($PB56/2,1))</f>
        <v/>
      </c>
      <c r="PD56" s="155">
        <f>MAX(0,2-SUMPRODUCT($OK56:$OP56,$I$2:$N$2)+MIN(2,$OQ56*1+$OR56*1,SUMPRODUCT($OK56:$OP56,$I$2:$N$2)))</f>
        <v/>
      </c>
      <c r="PE56" s="155">
        <f>MAX(0,4-SUMPRODUCT($OK56:$OP56,$I$3:$N$3)+MIN(4,$OQ56*1+$OR56*2,SUMPRODUCT($OK56:$OP56,$I$3:$N$3)))</f>
        <v/>
      </c>
      <c r="PF56" s="155">
        <f>MAX(0,6-SUMPRODUCT($OK56:$OP56,$I$4:$N$4)+MIN(6,$OQ56*2+$OR56*3,SUMPRODUCT($OK56:$OP56,$I$4:$N$4)))</f>
        <v/>
      </c>
      <c r="PG56" s="155">
        <f>MAX(0,9-SUMPRODUCT($OK56:$OP56,$I$5:$N$5)+MIN(8,$OQ56*2+$OR56*4,SUMPRODUCT($OK56:$OP56,$I$5:$N$5)))</f>
        <v/>
      </c>
      <c r="PH56" s="155">
        <f>MAX(0,11-SUMPRODUCT($OK56:$OP56,$I$6:$N$6)+MIN(10,$OQ56*3+$OR56*5,SUMPRODUCT($OK56:$OP56,$I$6:$N$6)))</f>
        <v/>
      </c>
      <c r="PI56" s="155">
        <f>MAX(0,13-SUMPRODUCT($OK56:$OP56,$I$7:$N$7)+MIN(12,$OQ56*3+$OR56*6,SUMPRODUCT($OK56:$OP56,$I$7:$N$7)))</f>
        <v/>
      </c>
      <c r="PJ56" s="155">
        <f>MAX(0,16-SUMPRODUCT($OK56:$OP56,$I$8:$N$8)+MIN(14,$OQ56*4+$OR56*7,SUMPRODUCT($OK56:$OP56,$I$8:$N$8)))</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peça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Quebra Coisa</t>
        </is>
      </c>
      <c r="AW57" s="153" t="inlineStr">
        <is>
          <t>Castigo</t>
        </is>
      </c>
      <c r="AX57" s="155" t="n">
        <v>1</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IFERROR(VLOOKUP($MV57,$AV$2:$BA$84,2,FALSE),"")</f>
        <v/>
      </c>
      <c r="NJ57" s="155">
        <f>IFERROR(VLOOKUP($MW57,$AV$2:$BA$84,2,FALSE),"")</f>
        <v/>
      </c>
      <c r="NK57" s="155">
        <f>IFERROR(VLOOKUP($MX57,$AV$2:$BA$84,2,FALSE),"")</f>
        <v/>
      </c>
      <c r="NL57" s="155">
        <f>IFERROR(VLOOKUP($MY57,$AV$2:$BA$84,2,FALSE),"")</f>
        <v/>
      </c>
      <c r="NM57" s="155">
        <f>IFERROR(VLOOKUP($MV57,$AV$2:$BA$84,3,FALSE),0)</f>
        <v/>
      </c>
      <c r="NN57" s="155">
        <f>IFERROR(VLOOKUP($MW57,$AV$2:$BA$84,3,FALSE),0)</f>
        <v/>
      </c>
      <c r="NO57" s="155">
        <f>IFERROR(VLOOKUP($MX57,$AV$2:$BA$84,3,FALSE),0)</f>
        <v/>
      </c>
      <c r="NP57" s="155">
        <f>IFERROR(VLOOKUP($MY57,$AV$2:$BA$84,3,FALSE),0)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IFERROR(VLOOKUP($MV57,$AV$2:$BA$84,4,FALSE),0)+IFERROR(VLOOKUP($MW57,$AV$2:$BA$84,4,FALSE),0)+IFERROR(VLOOKUP($MX57,$AV$2:$BA$84,4,FALSE),0)+IFERROR(VLOOKUP($MY57,$AV$2:$BA$84,4,FALSE),0)</f>
        <v/>
      </c>
      <c r="OB57" s="155">
        <f>IFERROR(VLOOKUP($MV57,$AV$2:$BA$84,6,FALSE),0)+IFERROR(VLOOKUP($MW57,$AV$2:$BA$84,6,FALSE),0)+IFERROR(VLOOKUP($MX57,$AV$2:$BA$84,6,FALSE),0)+IFERROR(VLOOKUP($MY57,$AV$2:$BA$84,6,FALSE),0)</f>
        <v/>
      </c>
      <c r="OC57" s="155">
        <f>TEXTJOIN(", ",TRUE,IF(IFERROR(VLOOKUP($MV57,$AV$2:$BA$84,5,FALSE),0)=1,$MV57,""),IF(IFERROR(VLOOKUP($MW57,$AV$2:$BA$84,5,FALSE),0)=1,$MW57,""),IF(IFERROR(VLOOKUP($MX57,$AV$2:$BA$84,5,FALSE),0)=1,$MX57,""),IF(IFERROR(VLOOKUP($MY57,$AV$2:$BA$84,5,FALSE),0)=1,$MY57,""))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f>
        <v/>
      </c>
      <c r="OY57" s="155">
        <f>$OW57-$OX57</f>
        <v/>
      </c>
      <c r="OZ57" s="155">
        <f>IF($MQ57=0,0,INDEX($P$2:$P$8,MAX(1,$MQ57)))</f>
        <v/>
      </c>
      <c r="PA57" s="155">
        <f>$OZ57-$OU57+$OX57</f>
        <v/>
      </c>
      <c r="PB57" s="155">
        <f>IF($MQ57=0,MAX(0,$NE57-IF($OS57&gt;0,1,0)),MAX(0,$PA57))</f>
        <v/>
      </c>
      <c r="PC57" s="155">
        <f>IF($MQ57=0,0,(IF(COUNTIF($MV57:$MY57,"Salto")&gt;0,1,0)+IF(COUNTIF($MV57:$MY57,"Queima")&gt;0,1,0)+IF(COUNTIF($MV57:$MY57,"Estilhaço")&gt;0,1,0))*FLOOR($PB57/2,1))</f>
        <v/>
      </c>
      <c r="PD57" s="155">
        <f>MAX(0,2-SUMPRODUCT($OK57:$OP57,$I$2:$N$2)+MIN(2,$OQ57*1+$OR57*1,SUMPRODUCT($OK57:$OP57,$I$2:$N$2)))</f>
        <v/>
      </c>
      <c r="PE57" s="155">
        <f>MAX(0,4-SUMPRODUCT($OK57:$OP57,$I$3:$N$3)+MIN(4,$OQ57*1+$OR57*2,SUMPRODUCT($OK57:$OP57,$I$3:$N$3)))</f>
        <v/>
      </c>
      <c r="PF57" s="155">
        <f>MAX(0,6-SUMPRODUCT($OK57:$OP57,$I$4:$N$4)+MIN(6,$OQ57*2+$OR57*3,SUMPRODUCT($OK57:$OP57,$I$4:$N$4)))</f>
        <v/>
      </c>
      <c r="PG57" s="155">
        <f>MAX(0,9-SUMPRODUCT($OK57:$OP57,$I$5:$N$5)+MIN(8,$OQ57*2+$OR57*4,SUMPRODUCT($OK57:$OP57,$I$5:$N$5)))</f>
        <v/>
      </c>
      <c r="PH57" s="155">
        <f>MAX(0,11-SUMPRODUCT($OK57:$OP57,$I$6:$N$6)+MIN(10,$OQ57*3+$OR57*5,SUMPRODUCT($OK57:$OP57,$I$6:$N$6)))</f>
        <v/>
      </c>
      <c r="PI57" s="155">
        <f>MAX(0,13-SUMPRODUCT($OK57:$OP57,$I$7:$N$7)+MIN(12,$OQ57*3+$OR57*6,SUMPRODUCT($OK57:$OP57,$I$7:$N$7)))</f>
        <v/>
      </c>
      <c r="PJ57" s="155">
        <f>MAX(0,16-SUMPRODUCT($OK57:$OP57,$I$8:$N$8)+MIN(14,$OQ57*4+$OR57*7,SUMPRODUCT($OK57:$OP57,$I$8:$N$8)))</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peça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Rasga Escudo</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IFERROR(VLOOKUP($MV58,$AV$2:$BA$84,2,FALSE),"")</f>
        <v/>
      </c>
      <c r="NJ58" s="155">
        <f>IFERROR(VLOOKUP($MW58,$AV$2:$BA$84,2,FALSE),"")</f>
        <v/>
      </c>
      <c r="NK58" s="155">
        <f>IFERROR(VLOOKUP($MX58,$AV$2:$BA$84,2,FALSE),"")</f>
        <v/>
      </c>
      <c r="NL58" s="155">
        <f>IFERROR(VLOOKUP($MY58,$AV$2:$BA$84,2,FALSE),"")</f>
        <v/>
      </c>
      <c r="NM58" s="155">
        <f>IFERROR(VLOOKUP($MV58,$AV$2:$BA$84,3,FALSE),0)</f>
        <v/>
      </c>
      <c r="NN58" s="155">
        <f>IFERROR(VLOOKUP($MW58,$AV$2:$BA$84,3,FALSE),0)</f>
        <v/>
      </c>
      <c r="NO58" s="155">
        <f>IFERROR(VLOOKUP($MX58,$AV$2:$BA$84,3,FALSE),0)</f>
        <v/>
      </c>
      <c r="NP58" s="155">
        <f>IFERROR(VLOOKUP($MY58,$AV$2:$BA$84,3,FALSE),0)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IFERROR(VLOOKUP($MV58,$AV$2:$BA$84,4,FALSE),0)+IFERROR(VLOOKUP($MW58,$AV$2:$BA$84,4,FALSE),0)+IFERROR(VLOOKUP($MX58,$AV$2:$BA$84,4,FALSE),0)+IFERROR(VLOOKUP($MY58,$AV$2:$BA$84,4,FALSE),0)</f>
        <v/>
      </c>
      <c r="OB58" s="155">
        <f>IFERROR(VLOOKUP($MV58,$AV$2:$BA$84,6,FALSE),0)+IFERROR(VLOOKUP($MW58,$AV$2:$BA$84,6,FALSE),0)+IFERROR(VLOOKUP($MX58,$AV$2:$BA$84,6,FALSE),0)+IFERROR(VLOOKUP($MY58,$AV$2:$BA$84,6,FALSE),0)</f>
        <v/>
      </c>
      <c r="OC58" s="155">
        <f>TEXTJOIN(", ",TRUE,IF(IFERROR(VLOOKUP($MV58,$AV$2:$BA$84,5,FALSE),0)=1,$MV58,""),IF(IFERROR(VLOOKUP($MW58,$AV$2:$BA$84,5,FALSE),0)=1,$MW58,""),IF(IFERROR(VLOOKUP($MX58,$AV$2:$BA$84,5,FALSE),0)=1,$MX58,""),IF(IFERROR(VLOOKUP($MY58,$AV$2:$BA$84,5,FALSE),0)=1,$MY58,""))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f>
        <v/>
      </c>
      <c r="OY58" s="155">
        <f>$OW58-$OX58</f>
        <v/>
      </c>
      <c r="OZ58" s="155">
        <f>IF($MQ58=0,0,INDEX($P$2:$P$8,MAX(1,$MQ58)))</f>
        <v/>
      </c>
      <c r="PA58" s="155">
        <f>$OZ58-$OU58+$OX58</f>
        <v/>
      </c>
      <c r="PB58" s="155">
        <f>IF($MQ58=0,MAX(0,$NE58-IF($OS58&gt;0,1,0)),MAX(0,$PA58))</f>
        <v/>
      </c>
      <c r="PC58" s="155">
        <f>IF($MQ58=0,0,(IF(COUNTIF($MV58:$MY58,"Salto")&gt;0,1,0)+IF(COUNTIF($MV58:$MY58,"Queima")&gt;0,1,0)+IF(COUNTIF($MV58:$MY58,"Estilhaço")&gt;0,1,0))*FLOOR($PB58/2,1))</f>
        <v/>
      </c>
      <c r="PD58" s="155">
        <f>MAX(0,2-SUMPRODUCT($OK58:$OP58,$I$2:$N$2)+MIN(2,$OQ58*1+$OR58*1,SUMPRODUCT($OK58:$OP58,$I$2:$N$2)))</f>
        <v/>
      </c>
      <c r="PE58" s="155">
        <f>MAX(0,4-SUMPRODUCT($OK58:$OP58,$I$3:$N$3)+MIN(4,$OQ58*1+$OR58*2,SUMPRODUCT($OK58:$OP58,$I$3:$N$3)))</f>
        <v/>
      </c>
      <c r="PF58" s="155">
        <f>MAX(0,6-SUMPRODUCT($OK58:$OP58,$I$4:$N$4)+MIN(6,$OQ58*2+$OR58*3,SUMPRODUCT($OK58:$OP58,$I$4:$N$4)))</f>
        <v/>
      </c>
      <c r="PG58" s="155">
        <f>MAX(0,9-SUMPRODUCT($OK58:$OP58,$I$5:$N$5)+MIN(8,$OQ58*2+$OR58*4,SUMPRODUCT($OK58:$OP58,$I$5:$N$5)))</f>
        <v/>
      </c>
      <c r="PH58" s="155">
        <f>MAX(0,11-SUMPRODUCT($OK58:$OP58,$I$6:$N$6)+MIN(10,$OQ58*3+$OR58*5,SUMPRODUCT($OK58:$OP58,$I$6:$N$6)))</f>
        <v/>
      </c>
      <c r="PI58" s="155">
        <f>MAX(0,13-SUMPRODUCT($OK58:$OP58,$I$7:$N$7)+MIN(12,$OQ58*3+$OR58*6,SUMPRODUCT($OK58:$OP58,$I$7:$N$7)))</f>
        <v/>
      </c>
      <c r="PJ58" s="155">
        <f>MAX(0,16-SUMPRODUCT($OK58:$OP58,$I$8:$N$8)+MIN(14,$OQ58*4+$OR58*7,SUMPRODUCT($OK58:$OP58,$I$8:$N$8)))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peça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Sem Cura</t>
        </is>
      </c>
      <c r="AW59" s="153" t="inlineStr">
        <is>
          <t>Castigo</t>
        </is>
      </c>
      <c r="AX59" s="155" t="n">
        <v>2</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IFERROR(VLOOKUP($MV59,$AV$2:$BA$84,2,FALSE),"")</f>
        <v/>
      </c>
      <c r="NJ59" s="155">
        <f>IFERROR(VLOOKUP($MW59,$AV$2:$BA$84,2,FALSE),"")</f>
        <v/>
      </c>
      <c r="NK59" s="155">
        <f>IFERROR(VLOOKUP($MX59,$AV$2:$BA$84,2,FALSE),"")</f>
        <v/>
      </c>
      <c r="NL59" s="155">
        <f>IFERROR(VLOOKUP($MY59,$AV$2:$BA$84,2,FALSE),"")</f>
        <v/>
      </c>
      <c r="NM59" s="155">
        <f>IFERROR(VLOOKUP($MV59,$AV$2:$BA$84,3,FALSE),0)</f>
        <v/>
      </c>
      <c r="NN59" s="155">
        <f>IFERROR(VLOOKUP($MW59,$AV$2:$BA$84,3,FALSE),0)</f>
        <v/>
      </c>
      <c r="NO59" s="155">
        <f>IFERROR(VLOOKUP($MX59,$AV$2:$BA$84,3,FALSE),0)</f>
        <v/>
      </c>
      <c r="NP59" s="155">
        <f>IFERROR(VLOOKUP($MY59,$AV$2:$BA$84,3,FALSE),0)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IFERROR(VLOOKUP($MV59,$AV$2:$BA$84,4,FALSE),0)+IFERROR(VLOOKUP($MW59,$AV$2:$BA$84,4,FALSE),0)+IFERROR(VLOOKUP($MX59,$AV$2:$BA$84,4,FALSE),0)+IFERROR(VLOOKUP($MY59,$AV$2:$BA$84,4,FALSE),0)</f>
        <v/>
      </c>
      <c r="OB59" s="155">
        <f>IFERROR(VLOOKUP($MV59,$AV$2:$BA$84,6,FALSE),0)+IFERROR(VLOOKUP($MW59,$AV$2:$BA$84,6,FALSE),0)+IFERROR(VLOOKUP($MX59,$AV$2:$BA$84,6,FALSE),0)+IFERROR(VLOOKUP($MY59,$AV$2:$BA$84,6,FALSE),0)</f>
        <v/>
      </c>
      <c r="OC59" s="155">
        <f>TEXTJOIN(", ",TRUE,IF(IFERROR(VLOOKUP($MV59,$AV$2:$BA$84,5,FALSE),0)=1,$MV59,""),IF(IFERROR(VLOOKUP($MW59,$AV$2:$BA$84,5,FALSE),0)=1,$MW59,""),IF(IFERROR(VLOOKUP($MX59,$AV$2:$BA$84,5,FALSE),0)=1,$MX59,""),IF(IFERROR(VLOOKUP($MY59,$AV$2:$BA$84,5,FALSE),0)=1,$MY59,""))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f>
        <v/>
      </c>
      <c r="OY59" s="155">
        <f>$OW59-$OX59</f>
        <v/>
      </c>
      <c r="OZ59" s="155">
        <f>IF($MQ59=0,0,INDEX($P$2:$P$8,MAX(1,$MQ59)))</f>
        <v/>
      </c>
      <c r="PA59" s="155">
        <f>$OZ59-$OU59+$OX59</f>
        <v/>
      </c>
      <c r="PB59" s="155">
        <f>IF($MQ59=0,MAX(0,$NE59-IF($OS59&gt;0,1,0)),MAX(0,$PA59))</f>
        <v/>
      </c>
      <c r="PC59" s="155">
        <f>IF($MQ59=0,0,(IF(COUNTIF($MV59:$MY59,"Salto")&gt;0,1,0)+IF(COUNTIF($MV59:$MY59,"Queima")&gt;0,1,0)+IF(COUNTIF($MV59:$MY59,"Estilhaço")&gt;0,1,0))*FLOOR($PB59/2,1))</f>
        <v/>
      </c>
      <c r="PD59" s="155">
        <f>MAX(0,2-SUMPRODUCT($OK59:$OP59,$I$2:$N$2)+MIN(2,$OQ59*1+$OR59*1,SUMPRODUCT($OK59:$OP59,$I$2:$N$2)))</f>
        <v/>
      </c>
      <c r="PE59" s="155">
        <f>MAX(0,4-SUMPRODUCT($OK59:$OP59,$I$3:$N$3)+MIN(4,$OQ59*1+$OR59*2,SUMPRODUCT($OK59:$OP59,$I$3:$N$3)))</f>
        <v/>
      </c>
      <c r="PF59" s="155">
        <f>MAX(0,6-SUMPRODUCT($OK59:$OP59,$I$4:$N$4)+MIN(6,$OQ59*2+$OR59*3,SUMPRODUCT($OK59:$OP59,$I$4:$N$4)))</f>
        <v/>
      </c>
      <c r="PG59" s="155">
        <f>MAX(0,9-SUMPRODUCT($OK59:$OP59,$I$5:$N$5)+MIN(8,$OQ59*2+$OR59*4,SUMPRODUCT($OK59:$OP59,$I$5:$N$5)))</f>
        <v/>
      </c>
      <c r="PH59" s="155">
        <f>MAX(0,11-SUMPRODUCT($OK59:$OP59,$I$6:$N$6)+MIN(10,$OQ59*3+$OR59*5,SUMPRODUCT($OK59:$OP59,$I$6:$N$6)))</f>
        <v/>
      </c>
      <c r="PI59" s="155">
        <f>MAX(0,13-SUMPRODUCT($OK59:$OP59,$I$7:$N$7)+MIN(12,$OQ59*3+$OR59*6,SUMPRODUCT($OK59:$OP59,$I$7:$N$7)))</f>
        <v/>
      </c>
      <c r="PJ59" s="155">
        <f>MAX(0,16-SUMPRODUCT($OK59:$OP59,$I$8:$N$8)+MIN(14,$OQ59*4+$OR59*7,SUMPRODUCT($OK59:$OP59,$I$8:$N$8)))</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peça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Rápido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IFERROR(VLOOKUP($MV60,$AV$2:$BA$84,2,FALSE),"")</f>
        <v/>
      </c>
      <c r="NJ60" s="155">
        <f>IFERROR(VLOOKUP($MW60,$AV$2:$BA$84,2,FALSE),"")</f>
        <v/>
      </c>
      <c r="NK60" s="155">
        <f>IFERROR(VLOOKUP($MX60,$AV$2:$BA$84,2,FALSE),"")</f>
        <v/>
      </c>
      <c r="NL60" s="155">
        <f>IFERROR(VLOOKUP($MY60,$AV$2:$BA$84,2,FALSE),"")</f>
        <v/>
      </c>
      <c r="NM60" s="155">
        <f>IFERROR(VLOOKUP($MV60,$AV$2:$BA$84,3,FALSE),0)</f>
        <v/>
      </c>
      <c r="NN60" s="155">
        <f>IFERROR(VLOOKUP($MW60,$AV$2:$BA$84,3,FALSE),0)</f>
        <v/>
      </c>
      <c r="NO60" s="155">
        <f>IFERROR(VLOOKUP($MX60,$AV$2:$BA$84,3,FALSE),0)</f>
        <v/>
      </c>
      <c r="NP60" s="155">
        <f>IFERROR(VLOOKUP($MY60,$AV$2:$BA$84,3,FALSE),0)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IFERROR(VLOOKUP($MV60,$AV$2:$BA$84,4,FALSE),0)+IFERROR(VLOOKUP($MW60,$AV$2:$BA$84,4,FALSE),0)+IFERROR(VLOOKUP($MX60,$AV$2:$BA$84,4,FALSE),0)+IFERROR(VLOOKUP($MY60,$AV$2:$BA$84,4,FALSE),0)</f>
        <v/>
      </c>
      <c r="OB60" s="155">
        <f>IFERROR(VLOOKUP($MV60,$AV$2:$BA$84,6,FALSE),0)+IFERROR(VLOOKUP($MW60,$AV$2:$BA$84,6,FALSE),0)+IFERROR(VLOOKUP($MX60,$AV$2:$BA$84,6,FALSE),0)+IFERROR(VLOOKUP($MY60,$AV$2:$BA$84,6,FALSE),0)</f>
        <v/>
      </c>
      <c r="OC60" s="155">
        <f>TEXTJOIN(", ",TRUE,IF(IFERROR(VLOOKUP($MV60,$AV$2:$BA$84,5,FALSE),0)=1,$MV60,""),IF(IFERROR(VLOOKUP($MW60,$AV$2:$BA$84,5,FALSE),0)=1,$MW60,""),IF(IFERROR(VLOOKUP($MX60,$AV$2:$BA$84,5,FALSE),0)=1,$MX60,""),IF(IFERROR(VLOOKUP($MY60,$AV$2:$BA$84,5,FALSE),0)=1,$MY60,""))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f>
        <v/>
      </c>
      <c r="OY60" s="155">
        <f>$OW60-$OX60</f>
        <v/>
      </c>
      <c r="OZ60" s="155">
        <f>IF($MQ60=0,0,INDEX($P$2:$P$8,MAX(1,$MQ60)))</f>
        <v/>
      </c>
      <c r="PA60" s="155">
        <f>$OZ60-$OU60+$OX60</f>
        <v/>
      </c>
      <c r="PB60" s="155">
        <f>IF($MQ60=0,MAX(0,$NE60-IF($OS60&gt;0,1,0)),MAX(0,$PA60))</f>
        <v/>
      </c>
      <c r="PC60" s="155">
        <f>IF($MQ60=0,0,(IF(COUNTIF($MV60:$MY60,"Salto")&gt;0,1,0)+IF(COUNTIF($MV60:$MY60,"Queima")&gt;0,1,0)+IF(COUNTIF($MV60:$MY60,"Estilhaço")&gt;0,1,0))*FLOOR($PB60/2,1))</f>
        <v/>
      </c>
      <c r="PD60" s="155">
        <f>MAX(0,2-SUMPRODUCT($OK60:$OP60,$I$2:$N$2)+MIN(2,$OQ60*1+$OR60*1,SUMPRODUCT($OK60:$OP60,$I$2:$N$2)))</f>
        <v/>
      </c>
      <c r="PE60" s="155">
        <f>MAX(0,4-SUMPRODUCT($OK60:$OP60,$I$3:$N$3)+MIN(4,$OQ60*1+$OR60*2,SUMPRODUCT($OK60:$OP60,$I$3:$N$3)))</f>
        <v/>
      </c>
      <c r="PF60" s="155">
        <f>MAX(0,6-SUMPRODUCT($OK60:$OP60,$I$4:$N$4)+MIN(6,$OQ60*2+$OR60*3,SUMPRODUCT($OK60:$OP60,$I$4:$N$4)))</f>
        <v/>
      </c>
      <c r="PG60" s="155">
        <f>MAX(0,9-SUMPRODUCT($OK60:$OP60,$I$5:$N$5)+MIN(8,$OQ60*2+$OR60*4,SUMPRODUCT($OK60:$OP60,$I$5:$N$5)))</f>
        <v/>
      </c>
      <c r="PH60" s="155">
        <f>MAX(0,11-SUMPRODUCT($OK60:$OP60,$I$6:$N$6)+MIN(10,$OQ60*3+$OR60*5,SUMPRODUCT($OK60:$OP60,$I$6:$N$6)))</f>
        <v/>
      </c>
      <c r="PI60" s="155">
        <f>MAX(0,13-SUMPRODUCT($OK60:$OP60,$I$7:$N$7)+MIN(12,$OQ60*3+$OR60*6,SUMPRODUCT($OK60:$OP60,$I$7:$N$7)))</f>
        <v/>
      </c>
      <c r="PJ60" s="155">
        <f>MAX(0,16-SUMPRODUCT($OK60:$OP60,$I$8:$N$8)+MIN(14,$OQ60*4+$OR60*7,SUMPRODUCT($OK60:$OP60,$I$8:$N$8)))</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peça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Reação</t>
        </is>
      </c>
      <c r="AW61" s="153" t="inlineStr">
        <is>
          <t>Tempo</t>
        </is>
      </c>
      <c r="AX61" s="155" t="n">
        <v>3</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IFERROR(VLOOKUP($MV61,$AV$2:$BA$84,2,FALSE),"")</f>
        <v/>
      </c>
      <c r="NJ61" s="155">
        <f>IFERROR(VLOOKUP($MW61,$AV$2:$BA$84,2,FALSE),"")</f>
        <v/>
      </c>
      <c r="NK61" s="155">
        <f>IFERROR(VLOOKUP($MX61,$AV$2:$BA$84,2,FALSE),"")</f>
        <v/>
      </c>
      <c r="NL61" s="155">
        <f>IFERROR(VLOOKUP($MY61,$AV$2:$BA$84,2,FALSE),"")</f>
        <v/>
      </c>
      <c r="NM61" s="155">
        <f>IFERROR(VLOOKUP($MV61,$AV$2:$BA$84,3,FALSE),0)</f>
        <v/>
      </c>
      <c r="NN61" s="155">
        <f>IFERROR(VLOOKUP($MW61,$AV$2:$BA$84,3,FALSE),0)</f>
        <v/>
      </c>
      <c r="NO61" s="155">
        <f>IFERROR(VLOOKUP($MX61,$AV$2:$BA$84,3,FALSE),0)</f>
        <v/>
      </c>
      <c r="NP61" s="155">
        <f>IFERROR(VLOOKUP($MY61,$AV$2:$BA$84,3,FALSE),0)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IFERROR(VLOOKUP($MV61,$AV$2:$BA$84,4,FALSE),0)+IFERROR(VLOOKUP($MW61,$AV$2:$BA$84,4,FALSE),0)+IFERROR(VLOOKUP($MX61,$AV$2:$BA$84,4,FALSE),0)+IFERROR(VLOOKUP($MY61,$AV$2:$BA$84,4,FALSE),0)</f>
        <v/>
      </c>
      <c r="OB61" s="155">
        <f>IFERROR(VLOOKUP($MV61,$AV$2:$BA$84,6,FALSE),0)+IFERROR(VLOOKUP($MW61,$AV$2:$BA$84,6,FALSE),0)+IFERROR(VLOOKUP($MX61,$AV$2:$BA$84,6,FALSE),0)+IFERROR(VLOOKUP($MY61,$AV$2:$BA$84,6,FALSE),0)</f>
        <v/>
      </c>
      <c r="OC61" s="155">
        <f>TEXTJOIN(", ",TRUE,IF(IFERROR(VLOOKUP($MV61,$AV$2:$BA$84,5,FALSE),0)=1,$MV61,""),IF(IFERROR(VLOOKUP($MW61,$AV$2:$BA$84,5,FALSE),0)=1,$MW61,""),IF(IFERROR(VLOOKUP($MX61,$AV$2:$BA$84,5,FALSE),0)=1,$MX61,""),IF(IFERROR(VLOOKUP($MY61,$AV$2:$BA$84,5,FALSE),0)=1,$MY61,""))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f>
        <v/>
      </c>
      <c r="OY61" s="155">
        <f>$OW61-$OX61</f>
        <v/>
      </c>
      <c r="OZ61" s="155">
        <f>IF($MQ61=0,0,INDEX($P$2:$P$8,MAX(1,$MQ61)))</f>
        <v/>
      </c>
      <c r="PA61" s="155">
        <f>$OZ61-$OU61+$OX61</f>
        <v/>
      </c>
      <c r="PB61" s="155">
        <f>IF($MQ61=0,MAX(0,$NE61-IF($OS61&gt;0,1,0)),MAX(0,$PA61))</f>
        <v/>
      </c>
      <c r="PC61" s="155">
        <f>IF($MQ61=0,0,(IF(COUNTIF($MV61:$MY61,"Salto")&gt;0,1,0)+IF(COUNTIF($MV61:$MY61,"Queima")&gt;0,1,0)+IF(COUNTIF($MV61:$MY61,"Estilhaço")&gt;0,1,0))*FLOOR($PB61/2,1))</f>
        <v/>
      </c>
      <c r="PD61" s="155">
        <f>MAX(0,2-SUMPRODUCT($OK61:$OP61,$I$2:$N$2)+MIN(2,$OQ61*1+$OR61*1,SUMPRODUCT($OK61:$OP61,$I$2:$N$2)))</f>
        <v/>
      </c>
      <c r="PE61" s="155">
        <f>MAX(0,4-SUMPRODUCT($OK61:$OP61,$I$3:$N$3)+MIN(4,$OQ61*1+$OR61*2,SUMPRODUCT($OK61:$OP61,$I$3:$N$3)))</f>
        <v/>
      </c>
      <c r="PF61" s="155">
        <f>MAX(0,6-SUMPRODUCT($OK61:$OP61,$I$4:$N$4)+MIN(6,$OQ61*2+$OR61*3,SUMPRODUCT($OK61:$OP61,$I$4:$N$4)))</f>
        <v/>
      </c>
      <c r="PG61" s="155">
        <f>MAX(0,9-SUMPRODUCT($OK61:$OP61,$I$5:$N$5)+MIN(8,$OQ61*2+$OR61*4,SUMPRODUCT($OK61:$OP61,$I$5:$N$5)))</f>
        <v/>
      </c>
      <c r="PH61" s="155">
        <f>MAX(0,11-SUMPRODUCT($OK61:$OP61,$I$6:$N$6)+MIN(10,$OQ61*3+$OR61*5,SUMPRODUCT($OK61:$OP61,$I$6:$N$6)))</f>
        <v/>
      </c>
      <c r="PI61" s="155">
        <f>MAX(0,13-SUMPRODUCT($OK61:$OP61,$I$7:$N$7)+MIN(12,$OQ61*3+$OR61*6,SUMPRODUCT($OK61:$OP61,$I$7:$N$7)))</f>
        <v/>
      </c>
      <c r="PJ61" s="155">
        <f>MAX(0,16-SUMPRODUCT($OK61:$OP61,$I$8:$N$8)+MIN(14,$OQ61*4+$OR61*7,SUMPRODUCT($OK61:$OP61,$I$8:$N$8)))</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peça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Armado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IFERROR(VLOOKUP($MV62,$AV$2:$BA$84,2,FALSE),"")</f>
        <v/>
      </c>
      <c r="NJ62" s="155">
        <f>IFERROR(VLOOKUP($MW62,$AV$2:$BA$84,2,FALSE),"")</f>
        <v/>
      </c>
      <c r="NK62" s="155">
        <f>IFERROR(VLOOKUP($MX62,$AV$2:$BA$84,2,FALSE),"")</f>
        <v/>
      </c>
      <c r="NL62" s="155">
        <f>IFERROR(VLOOKUP($MY62,$AV$2:$BA$84,2,FALSE),"")</f>
        <v/>
      </c>
      <c r="NM62" s="155">
        <f>IFERROR(VLOOKUP($MV62,$AV$2:$BA$84,3,FALSE),0)</f>
        <v/>
      </c>
      <c r="NN62" s="155">
        <f>IFERROR(VLOOKUP($MW62,$AV$2:$BA$84,3,FALSE),0)</f>
        <v/>
      </c>
      <c r="NO62" s="155">
        <f>IFERROR(VLOOKUP($MX62,$AV$2:$BA$84,3,FALSE),0)</f>
        <v/>
      </c>
      <c r="NP62" s="155">
        <f>IFERROR(VLOOKUP($MY62,$AV$2:$BA$84,3,FALSE),0)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IFERROR(VLOOKUP($MV62,$AV$2:$BA$84,4,FALSE),0)+IFERROR(VLOOKUP($MW62,$AV$2:$BA$84,4,FALSE),0)+IFERROR(VLOOKUP($MX62,$AV$2:$BA$84,4,FALSE),0)+IFERROR(VLOOKUP($MY62,$AV$2:$BA$84,4,FALSE),0)</f>
        <v/>
      </c>
      <c r="OB62" s="155">
        <f>IFERROR(VLOOKUP($MV62,$AV$2:$BA$84,6,FALSE),0)+IFERROR(VLOOKUP($MW62,$AV$2:$BA$84,6,FALSE),0)+IFERROR(VLOOKUP($MX62,$AV$2:$BA$84,6,FALSE),0)+IFERROR(VLOOKUP($MY62,$AV$2:$BA$84,6,FALSE),0)</f>
        <v/>
      </c>
      <c r="OC62" s="155">
        <f>TEXTJOIN(", ",TRUE,IF(IFERROR(VLOOKUP($MV62,$AV$2:$BA$84,5,FALSE),0)=1,$MV62,""),IF(IFERROR(VLOOKUP($MW62,$AV$2:$BA$84,5,FALSE),0)=1,$MW62,""),IF(IFERROR(VLOOKUP($MX62,$AV$2:$BA$84,5,FALSE),0)=1,$MX62,""),IF(IFERROR(VLOOKUP($MY62,$AV$2:$BA$84,5,FALSE),0)=1,$MY62,""))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f>
        <v/>
      </c>
      <c r="OY62" s="155">
        <f>$OW62-$OX62</f>
        <v/>
      </c>
      <c r="OZ62" s="155">
        <f>IF($MQ62=0,0,INDEX($P$2:$P$8,MAX(1,$MQ62)))</f>
        <v/>
      </c>
      <c r="PA62" s="155">
        <f>$OZ62-$OU62+$OX62</f>
        <v/>
      </c>
      <c r="PB62" s="155">
        <f>IF($MQ62=0,MAX(0,$NE62-IF($OS62&gt;0,1,0)),MAX(0,$PA62))</f>
        <v/>
      </c>
      <c r="PC62" s="155">
        <f>IF($MQ62=0,0,(IF(COUNTIF($MV62:$MY62,"Salto")&gt;0,1,0)+IF(COUNTIF($MV62:$MY62,"Queima")&gt;0,1,0)+IF(COUNTIF($MV62:$MY62,"Estilhaço")&gt;0,1,0))*FLOOR($PB62/2,1))</f>
        <v/>
      </c>
      <c r="PD62" s="155">
        <f>MAX(0,2-SUMPRODUCT($OK62:$OP62,$I$2:$N$2)+MIN(2,$OQ62*1+$OR62*1,SUMPRODUCT($OK62:$OP62,$I$2:$N$2)))</f>
        <v/>
      </c>
      <c r="PE62" s="155">
        <f>MAX(0,4-SUMPRODUCT($OK62:$OP62,$I$3:$N$3)+MIN(4,$OQ62*1+$OR62*2,SUMPRODUCT($OK62:$OP62,$I$3:$N$3)))</f>
        <v/>
      </c>
      <c r="PF62" s="155">
        <f>MAX(0,6-SUMPRODUCT($OK62:$OP62,$I$4:$N$4)+MIN(6,$OQ62*2+$OR62*3,SUMPRODUCT($OK62:$OP62,$I$4:$N$4)))</f>
        <v/>
      </c>
      <c r="PG62" s="155">
        <f>MAX(0,9-SUMPRODUCT($OK62:$OP62,$I$5:$N$5)+MIN(8,$OQ62*2+$OR62*4,SUMPRODUCT($OK62:$OP62,$I$5:$N$5)))</f>
        <v/>
      </c>
      <c r="PH62" s="155">
        <f>MAX(0,11-SUMPRODUCT($OK62:$OP62,$I$6:$N$6)+MIN(10,$OQ62*3+$OR62*5,SUMPRODUCT($OK62:$OP62,$I$6:$N$6)))</f>
        <v/>
      </c>
      <c r="PI62" s="155">
        <f>MAX(0,13-SUMPRODUCT($OK62:$OP62,$I$7:$N$7)+MIN(12,$OQ62*3+$OR62*6,SUMPRODUCT($OK62:$OP62,$I$7:$N$7)))</f>
        <v/>
      </c>
      <c r="PJ62" s="155">
        <f>MAX(0,16-SUMPRODUCT($OK62:$OP62,$I$8:$N$8)+MIN(14,$OQ62*4+$OR62*7,SUMPRODUCT($OK62:$OP62,$I$8:$N$8)))</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peça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Silencioso</t>
        </is>
      </c>
      <c r="AW63" s="153" t="inlineStr">
        <is>
          <t>Tempo</t>
        </is>
      </c>
      <c r="AX63" s="155" t="n">
        <v>1</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IFERROR(VLOOKUP($MV63,$AV$2:$BA$84,2,FALSE),"")</f>
        <v/>
      </c>
      <c r="NJ63" s="155">
        <f>IFERROR(VLOOKUP($MW63,$AV$2:$BA$84,2,FALSE),"")</f>
        <v/>
      </c>
      <c r="NK63" s="155">
        <f>IFERROR(VLOOKUP($MX63,$AV$2:$BA$84,2,FALSE),"")</f>
        <v/>
      </c>
      <c r="NL63" s="155">
        <f>IFERROR(VLOOKUP($MY63,$AV$2:$BA$84,2,FALSE),"")</f>
        <v/>
      </c>
      <c r="NM63" s="155">
        <f>IFERROR(VLOOKUP($MV63,$AV$2:$BA$84,3,FALSE),0)</f>
        <v/>
      </c>
      <c r="NN63" s="155">
        <f>IFERROR(VLOOKUP($MW63,$AV$2:$BA$84,3,FALSE),0)</f>
        <v/>
      </c>
      <c r="NO63" s="155">
        <f>IFERROR(VLOOKUP($MX63,$AV$2:$BA$84,3,FALSE),0)</f>
        <v/>
      </c>
      <c r="NP63" s="155">
        <f>IFERROR(VLOOKUP($MY63,$AV$2:$BA$84,3,FALSE),0)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IFERROR(VLOOKUP($MV63,$AV$2:$BA$84,4,FALSE),0)+IFERROR(VLOOKUP($MW63,$AV$2:$BA$84,4,FALSE),0)+IFERROR(VLOOKUP($MX63,$AV$2:$BA$84,4,FALSE),0)+IFERROR(VLOOKUP($MY63,$AV$2:$BA$84,4,FALSE),0)</f>
        <v/>
      </c>
      <c r="OB63" s="155">
        <f>IFERROR(VLOOKUP($MV63,$AV$2:$BA$84,6,FALSE),0)+IFERROR(VLOOKUP($MW63,$AV$2:$BA$84,6,FALSE),0)+IFERROR(VLOOKUP($MX63,$AV$2:$BA$84,6,FALSE),0)+IFERROR(VLOOKUP($MY63,$AV$2:$BA$84,6,FALSE),0)</f>
        <v/>
      </c>
      <c r="OC63" s="155">
        <f>TEXTJOIN(", ",TRUE,IF(IFERROR(VLOOKUP($MV63,$AV$2:$BA$84,5,FALSE),0)=1,$MV63,""),IF(IFERROR(VLOOKUP($MW63,$AV$2:$BA$84,5,FALSE),0)=1,$MW63,""),IF(IFERROR(VLOOKUP($MX63,$AV$2:$BA$84,5,FALSE),0)=1,$MX63,""),IF(IFERROR(VLOOKUP($MY63,$AV$2:$BA$84,5,FALSE),0)=1,$MY63,""))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f>
        <v/>
      </c>
      <c r="OY63" s="155">
        <f>$OW63-$OX63</f>
        <v/>
      </c>
      <c r="OZ63" s="155">
        <f>IF($MQ63=0,0,INDEX($P$2:$P$8,MAX(1,$MQ63)))</f>
        <v/>
      </c>
      <c r="PA63" s="155">
        <f>$OZ63-$OU63+$OX63</f>
        <v/>
      </c>
      <c r="PB63" s="155">
        <f>IF($MQ63=0,MAX(0,$NE63-IF($OS63&gt;0,1,0)),MAX(0,$PA63))</f>
        <v/>
      </c>
      <c r="PC63" s="155">
        <f>IF($MQ63=0,0,(IF(COUNTIF($MV63:$MY63,"Salto")&gt;0,1,0)+IF(COUNTIF($MV63:$MY63,"Queima")&gt;0,1,0)+IF(COUNTIF($MV63:$MY63,"Estilhaço")&gt;0,1,0))*FLOOR($PB63/2,1))</f>
        <v/>
      </c>
      <c r="PD63" s="155">
        <f>MAX(0,2-SUMPRODUCT($OK63:$OP63,$I$2:$N$2)+MIN(2,$OQ63*1+$OR63*1,SUMPRODUCT($OK63:$OP63,$I$2:$N$2)))</f>
        <v/>
      </c>
      <c r="PE63" s="155">
        <f>MAX(0,4-SUMPRODUCT($OK63:$OP63,$I$3:$N$3)+MIN(4,$OQ63*1+$OR63*2,SUMPRODUCT($OK63:$OP63,$I$3:$N$3)))</f>
        <v/>
      </c>
      <c r="PF63" s="155">
        <f>MAX(0,6-SUMPRODUCT($OK63:$OP63,$I$4:$N$4)+MIN(6,$OQ63*2+$OR63*3,SUMPRODUCT($OK63:$OP63,$I$4:$N$4)))</f>
        <v/>
      </c>
      <c r="PG63" s="155">
        <f>MAX(0,9-SUMPRODUCT($OK63:$OP63,$I$5:$N$5)+MIN(8,$OQ63*2+$OR63*4,SUMPRODUCT($OK63:$OP63,$I$5:$N$5)))</f>
        <v/>
      </c>
      <c r="PH63" s="155">
        <f>MAX(0,11-SUMPRODUCT($OK63:$OP63,$I$6:$N$6)+MIN(10,$OQ63*3+$OR63*5,SUMPRODUCT($OK63:$OP63,$I$6:$N$6)))</f>
        <v/>
      </c>
      <c r="PI63" s="155">
        <f>MAX(0,13-SUMPRODUCT($OK63:$OP63,$I$7:$N$7)+MIN(12,$OQ63*3+$OR63*6,SUMPRODUCT($OK63:$OP63,$I$7:$N$7)))</f>
        <v/>
      </c>
      <c r="PJ63" s="155">
        <f>MAX(0,16-SUMPRODUCT($OK63:$OP63,$I$8:$N$8)+MIN(14,$OQ63*4+$OR63*7,SUMPRODUCT($OK63:$OP63,$I$8:$N$8)))</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peça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Adianta</t>
        </is>
      </c>
      <c r="AW64" s="153" t="inlineStr">
        <is>
          <t>Tempo</t>
        </is>
      </c>
      <c r="AX64" s="155" t="n">
        <v>2</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IFERROR(VLOOKUP($MV64,$AV$2:$BA$84,2,FALSE),"")</f>
        <v/>
      </c>
      <c r="NJ64" s="155">
        <f>IFERROR(VLOOKUP($MW64,$AV$2:$BA$84,2,FALSE),"")</f>
        <v/>
      </c>
      <c r="NK64" s="155">
        <f>IFERROR(VLOOKUP($MX64,$AV$2:$BA$84,2,FALSE),"")</f>
        <v/>
      </c>
      <c r="NL64" s="155">
        <f>IFERROR(VLOOKUP($MY64,$AV$2:$BA$84,2,FALSE),"")</f>
        <v/>
      </c>
      <c r="NM64" s="155">
        <f>IFERROR(VLOOKUP($MV64,$AV$2:$BA$84,3,FALSE),0)</f>
        <v/>
      </c>
      <c r="NN64" s="155">
        <f>IFERROR(VLOOKUP($MW64,$AV$2:$BA$84,3,FALSE),0)</f>
        <v/>
      </c>
      <c r="NO64" s="155">
        <f>IFERROR(VLOOKUP($MX64,$AV$2:$BA$84,3,FALSE),0)</f>
        <v/>
      </c>
      <c r="NP64" s="155">
        <f>IFERROR(VLOOKUP($MY64,$AV$2:$BA$84,3,FALSE),0)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IFERROR(VLOOKUP($MV64,$AV$2:$BA$84,4,FALSE),0)+IFERROR(VLOOKUP($MW64,$AV$2:$BA$84,4,FALSE),0)+IFERROR(VLOOKUP($MX64,$AV$2:$BA$84,4,FALSE),0)+IFERROR(VLOOKUP($MY64,$AV$2:$BA$84,4,FALSE),0)</f>
        <v/>
      </c>
      <c r="OB64" s="155">
        <f>IFERROR(VLOOKUP($MV64,$AV$2:$BA$84,6,FALSE),0)+IFERROR(VLOOKUP($MW64,$AV$2:$BA$84,6,FALSE),0)+IFERROR(VLOOKUP($MX64,$AV$2:$BA$84,6,FALSE),0)+IFERROR(VLOOKUP($MY64,$AV$2:$BA$84,6,FALSE),0)</f>
        <v/>
      </c>
      <c r="OC64" s="155">
        <f>TEXTJOIN(", ",TRUE,IF(IFERROR(VLOOKUP($MV64,$AV$2:$BA$84,5,FALSE),0)=1,$MV64,""),IF(IFERROR(VLOOKUP($MW64,$AV$2:$BA$84,5,FALSE),0)=1,$MW64,""),IF(IFERROR(VLOOKUP($MX64,$AV$2:$BA$84,5,FALSE),0)=1,$MX64,""),IF(IFERROR(VLOOKUP($MY64,$AV$2:$BA$84,5,FALSE),0)=1,$MY64,""))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f>
        <v/>
      </c>
      <c r="OY64" s="155">
        <f>$OW64-$OX64</f>
        <v/>
      </c>
      <c r="OZ64" s="155">
        <f>IF($MQ64=0,0,INDEX($P$2:$P$8,MAX(1,$MQ64)))</f>
        <v/>
      </c>
      <c r="PA64" s="155">
        <f>$OZ64-$OU64+$OX64</f>
        <v/>
      </c>
      <c r="PB64" s="155">
        <f>IF($MQ64=0,MAX(0,$NE64-IF($OS64&gt;0,1,0)),MAX(0,$PA64))</f>
        <v/>
      </c>
      <c r="PC64" s="155">
        <f>IF($MQ64=0,0,(IF(COUNTIF($MV64:$MY64,"Salto")&gt;0,1,0)+IF(COUNTIF($MV64:$MY64,"Queima")&gt;0,1,0)+IF(COUNTIF($MV64:$MY64,"Estilhaço")&gt;0,1,0))*FLOOR($PB64/2,1))</f>
        <v/>
      </c>
      <c r="PD64" s="155">
        <f>MAX(0,2-SUMPRODUCT($OK64:$OP64,$I$2:$N$2)+MIN(2,$OQ64*1+$OR64*1,SUMPRODUCT($OK64:$OP64,$I$2:$N$2)))</f>
        <v/>
      </c>
      <c r="PE64" s="155">
        <f>MAX(0,4-SUMPRODUCT($OK64:$OP64,$I$3:$N$3)+MIN(4,$OQ64*1+$OR64*2,SUMPRODUCT($OK64:$OP64,$I$3:$N$3)))</f>
        <v/>
      </c>
      <c r="PF64" s="155">
        <f>MAX(0,6-SUMPRODUCT($OK64:$OP64,$I$4:$N$4)+MIN(6,$OQ64*2+$OR64*3,SUMPRODUCT($OK64:$OP64,$I$4:$N$4)))</f>
        <v/>
      </c>
      <c r="PG64" s="155">
        <f>MAX(0,9-SUMPRODUCT($OK64:$OP64,$I$5:$N$5)+MIN(8,$OQ64*2+$OR64*4,SUMPRODUCT($OK64:$OP64,$I$5:$N$5)))</f>
        <v/>
      </c>
      <c r="PH64" s="155">
        <f>MAX(0,11-SUMPRODUCT($OK64:$OP64,$I$6:$N$6)+MIN(10,$OQ64*3+$OR64*5,SUMPRODUCT($OK64:$OP64,$I$6:$N$6)))</f>
        <v/>
      </c>
      <c r="PI64" s="155">
        <f>MAX(0,13-SUMPRODUCT($OK64:$OP64,$I$7:$N$7)+MIN(12,$OQ64*3+$OR64*6,SUMPRODUCT($OK64:$OP64,$I$7:$N$7)))</f>
        <v/>
      </c>
      <c r="PJ64" s="155">
        <f>MAX(0,16-SUMPRODUCT($OK64:$OP64,$I$8:$N$8)+MIN(14,$OQ64*4+$OR64*7,SUMPRODUCT($OK64:$OP64,$I$8:$N$8)))</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peça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Segura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IFERROR(VLOOKUP($MV65,$AV$2:$BA$84,2,FALSE),"")</f>
        <v/>
      </c>
      <c r="NJ65" s="155">
        <f>IFERROR(VLOOKUP($MW65,$AV$2:$BA$84,2,FALSE),"")</f>
        <v/>
      </c>
      <c r="NK65" s="155">
        <f>IFERROR(VLOOKUP($MX65,$AV$2:$BA$84,2,FALSE),"")</f>
        <v/>
      </c>
      <c r="NL65" s="155">
        <f>IFERROR(VLOOKUP($MY65,$AV$2:$BA$84,2,FALSE),"")</f>
        <v/>
      </c>
      <c r="NM65" s="155">
        <f>IFERROR(VLOOKUP($MV65,$AV$2:$BA$84,3,FALSE),0)</f>
        <v/>
      </c>
      <c r="NN65" s="155">
        <f>IFERROR(VLOOKUP($MW65,$AV$2:$BA$84,3,FALSE),0)</f>
        <v/>
      </c>
      <c r="NO65" s="155">
        <f>IFERROR(VLOOKUP($MX65,$AV$2:$BA$84,3,FALSE),0)</f>
        <v/>
      </c>
      <c r="NP65" s="155">
        <f>IFERROR(VLOOKUP($MY65,$AV$2:$BA$84,3,FALSE),0)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IFERROR(VLOOKUP($MV65,$AV$2:$BA$84,4,FALSE),0)+IFERROR(VLOOKUP($MW65,$AV$2:$BA$84,4,FALSE),0)+IFERROR(VLOOKUP($MX65,$AV$2:$BA$84,4,FALSE),0)+IFERROR(VLOOKUP($MY65,$AV$2:$BA$84,4,FALSE),0)</f>
        <v/>
      </c>
      <c r="OB65" s="155">
        <f>IFERROR(VLOOKUP($MV65,$AV$2:$BA$84,6,FALSE),0)+IFERROR(VLOOKUP($MW65,$AV$2:$BA$84,6,FALSE),0)+IFERROR(VLOOKUP($MX65,$AV$2:$BA$84,6,FALSE),0)+IFERROR(VLOOKUP($MY65,$AV$2:$BA$84,6,FALSE),0)</f>
        <v/>
      </c>
      <c r="OC65" s="155">
        <f>TEXTJOIN(", ",TRUE,IF(IFERROR(VLOOKUP($MV65,$AV$2:$BA$84,5,FALSE),0)=1,$MV65,""),IF(IFERROR(VLOOKUP($MW65,$AV$2:$BA$84,5,FALSE),0)=1,$MW65,""),IF(IFERROR(VLOOKUP($MX65,$AV$2:$BA$84,5,FALSE),0)=1,$MX65,""),IF(IFERROR(VLOOKUP($MY65,$AV$2:$BA$84,5,FALSE),0)=1,$MY65,""))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f>
        <v/>
      </c>
      <c r="OY65" s="155">
        <f>$OW65-$OX65</f>
        <v/>
      </c>
      <c r="OZ65" s="155">
        <f>IF($MQ65=0,0,INDEX($P$2:$P$8,MAX(1,$MQ65)))</f>
        <v/>
      </c>
      <c r="PA65" s="155">
        <f>$OZ65-$OU65+$OX65</f>
        <v/>
      </c>
      <c r="PB65" s="155">
        <f>IF($MQ65=0,MAX(0,$NE65-IF($OS65&gt;0,1,0)),MAX(0,$PA65))</f>
        <v/>
      </c>
      <c r="PC65" s="155">
        <f>IF($MQ65=0,0,(IF(COUNTIF($MV65:$MY65,"Salto")&gt;0,1,0)+IF(COUNTIF($MV65:$MY65,"Queima")&gt;0,1,0)+IF(COUNTIF($MV65:$MY65,"Estilhaço")&gt;0,1,0))*FLOOR($PB65/2,1))</f>
        <v/>
      </c>
      <c r="PD65" s="155">
        <f>MAX(0,2-SUMPRODUCT($OK65:$OP65,$I$2:$N$2)+MIN(2,$OQ65*1+$OR65*1,SUMPRODUCT($OK65:$OP65,$I$2:$N$2)))</f>
        <v/>
      </c>
      <c r="PE65" s="155">
        <f>MAX(0,4-SUMPRODUCT($OK65:$OP65,$I$3:$N$3)+MIN(4,$OQ65*1+$OR65*2,SUMPRODUCT($OK65:$OP65,$I$3:$N$3)))</f>
        <v/>
      </c>
      <c r="PF65" s="155">
        <f>MAX(0,6-SUMPRODUCT($OK65:$OP65,$I$4:$N$4)+MIN(6,$OQ65*2+$OR65*3,SUMPRODUCT($OK65:$OP65,$I$4:$N$4)))</f>
        <v/>
      </c>
      <c r="PG65" s="155">
        <f>MAX(0,9-SUMPRODUCT($OK65:$OP65,$I$5:$N$5)+MIN(8,$OQ65*2+$OR65*4,SUMPRODUCT($OK65:$OP65,$I$5:$N$5)))</f>
        <v/>
      </c>
      <c r="PH65" s="155">
        <f>MAX(0,11-SUMPRODUCT($OK65:$OP65,$I$6:$N$6)+MIN(10,$OQ65*3+$OR65*5,SUMPRODUCT($OK65:$OP65,$I$6:$N$6)))</f>
        <v/>
      </c>
      <c r="PI65" s="155">
        <f>MAX(0,13-SUMPRODUCT($OK65:$OP65,$I$7:$N$7)+MIN(12,$OQ65*3+$OR65*6,SUMPRODUCT($OK65:$OP65,$I$7:$N$7)))</f>
        <v/>
      </c>
      <c r="PJ65" s="155">
        <f>MAX(0,16-SUMPRODUCT($OK65:$OP65,$I$8:$N$8)+MIN(14,$OQ65*4+$OR65*7,SUMPRODUCT($OK65:$OP65,$I$8:$N$8)))</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peça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Concentrada</t>
        </is>
      </c>
      <c r="AW66" s="153" t="inlineStr">
        <is>
          <t>Tempo</t>
        </is>
      </c>
      <c r="AX66" s="155" t="n">
        <v>1</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IFERROR(VLOOKUP($MV66,$AV$2:$BA$84,2,FALSE),"")</f>
        <v/>
      </c>
      <c r="NJ66" s="155">
        <f>IFERROR(VLOOKUP($MW66,$AV$2:$BA$84,2,FALSE),"")</f>
        <v/>
      </c>
      <c r="NK66" s="155">
        <f>IFERROR(VLOOKUP($MX66,$AV$2:$BA$84,2,FALSE),"")</f>
        <v/>
      </c>
      <c r="NL66" s="155">
        <f>IFERROR(VLOOKUP($MY66,$AV$2:$BA$84,2,FALSE),"")</f>
        <v/>
      </c>
      <c r="NM66" s="155">
        <f>IFERROR(VLOOKUP($MV66,$AV$2:$BA$84,3,FALSE),0)</f>
        <v/>
      </c>
      <c r="NN66" s="155">
        <f>IFERROR(VLOOKUP($MW66,$AV$2:$BA$84,3,FALSE),0)</f>
        <v/>
      </c>
      <c r="NO66" s="155">
        <f>IFERROR(VLOOKUP($MX66,$AV$2:$BA$84,3,FALSE),0)</f>
        <v/>
      </c>
      <c r="NP66" s="155">
        <f>IFERROR(VLOOKUP($MY66,$AV$2:$BA$84,3,FALSE),0)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IFERROR(VLOOKUP($MV66,$AV$2:$BA$84,4,FALSE),0)+IFERROR(VLOOKUP($MW66,$AV$2:$BA$84,4,FALSE),0)+IFERROR(VLOOKUP($MX66,$AV$2:$BA$84,4,FALSE),0)+IFERROR(VLOOKUP($MY66,$AV$2:$BA$84,4,FALSE),0)</f>
        <v/>
      </c>
      <c r="OB66" s="155">
        <f>IFERROR(VLOOKUP($MV66,$AV$2:$BA$84,6,FALSE),0)+IFERROR(VLOOKUP($MW66,$AV$2:$BA$84,6,FALSE),0)+IFERROR(VLOOKUP($MX66,$AV$2:$BA$84,6,FALSE),0)+IFERROR(VLOOKUP($MY66,$AV$2:$BA$84,6,FALSE),0)</f>
        <v/>
      </c>
      <c r="OC66" s="155">
        <f>TEXTJOIN(", ",TRUE,IF(IFERROR(VLOOKUP($MV66,$AV$2:$BA$84,5,FALSE),0)=1,$MV66,""),IF(IFERROR(VLOOKUP($MW66,$AV$2:$BA$84,5,FALSE),0)=1,$MW66,""),IF(IFERROR(VLOOKUP($MX66,$AV$2:$BA$84,5,FALSE),0)=1,$MX66,""),IF(IFERROR(VLOOKUP($MY66,$AV$2:$BA$84,5,FALSE),0)=1,$MY66,""))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f>
        <v/>
      </c>
      <c r="OY66" s="155">
        <f>$OW66-$OX66</f>
        <v/>
      </c>
      <c r="OZ66" s="155">
        <f>IF($MQ66=0,0,INDEX($P$2:$P$8,MAX(1,$MQ66)))</f>
        <v/>
      </c>
      <c r="PA66" s="155">
        <f>$OZ66-$OU66+$OX66</f>
        <v/>
      </c>
      <c r="PB66" s="155">
        <f>IF($MQ66=0,MAX(0,$NE66-IF($OS66&gt;0,1,0)),MAX(0,$PA66))</f>
        <v/>
      </c>
      <c r="PC66" s="155">
        <f>IF($MQ66=0,0,(IF(COUNTIF($MV66:$MY66,"Salto")&gt;0,1,0)+IF(COUNTIF($MV66:$MY66,"Queima")&gt;0,1,0)+IF(COUNTIF($MV66:$MY66,"Estilhaço")&gt;0,1,0))*FLOOR($PB66/2,1))</f>
        <v/>
      </c>
      <c r="PD66" s="155">
        <f>MAX(0,2-SUMPRODUCT($OK66:$OP66,$I$2:$N$2)+MIN(2,$OQ66*1+$OR66*1,SUMPRODUCT($OK66:$OP66,$I$2:$N$2)))</f>
        <v/>
      </c>
      <c r="PE66" s="155">
        <f>MAX(0,4-SUMPRODUCT($OK66:$OP66,$I$3:$N$3)+MIN(4,$OQ66*1+$OR66*2,SUMPRODUCT($OK66:$OP66,$I$3:$N$3)))</f>
        <v/>
      </c>
      <c r="PF66" s="155">
        <f>MAX(0,6-SUMPRODUCT($OK66:$OP66,$I$4:$N$4)+MIN(6,$OQ66*2+$OR66*3,SUMPRODUCT($OK66:$OP66,$I$4:$N$4)))</f>
        <v/>
      </c>
      <c r="PG66" s="155">
        <f>MAX(0,9-SUMPRODUCT($OK66:$OP66,$I$5:$N$5)+MIN(8,$OQ66*2+$OR66*4,SUMPRODUCT($OK66:$OP66,$I$5:$N$5)))</f>
        <v/>
      </c>
      <c r="PH66" s="155">
        <f>MAX(0,11-SUMPRODUCT($OK66:$OP66,$I$6:$N$6)+MIN(10,$OQ66*3+$OR66*5,SUMPRODUCT($OK66:$OP66,$I$6:$N$6)))</f>
        <v/>
      </c>
      <c r="PI66" s="155">
        <f>MAX(0,13-SUMPRODUCT($OK66:$OP66,$I$7:$N$7)+MIN(12,$OQ66*3+$OR66*6,SUMPRODUCT($OK66:$OP66,$I$7:$N$7)))</f>
        <v/>
      </c>
      <c r="PJ66" s="155">
        <f>MAX(0,16-SUMPRODUCT($OK66:$OP66,$I$8:$N$8)+MIN(14,$OQ66*4+$OR66*7,SUMPRODUCT($OK66:$OP66,$I$8:$N$8)))</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peça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Duradoura</t>
        </is>
      </c>
      <c r="AW67" s="153" t="inlineStr">
        <is>
          <t>Tempo</t>
        </is>
      </c>
      <c r="AX67" s="155" t="n">
        <v>2</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IFERROR(VLOOKUP($MV67,$AV$2:$BA$84,2,FALSE),"")</f>
        <v/>
      </c>
      <c r="NJ67" s="155">
        <f>IFERROR(VLOOKUP($MW67,$AV$2:$BA$84,2,FALSE),"")</f>
        <v/>
      </c>
      <c r="NK67" s="155">
        <f>IFERROR(VLOOKUP($MX67,$AV$2:$BA$84,2,FALSE),"")</f>
        <v/>
      </c>
      <c r="NL67" s="155">
        <f>IFERROR(VLOOKUP($MY67,$AV$2:$BA$84,2,FALSE),"")</f>
        <v/>
      </c>
      <c r="NM67" s="155">
        <f>IFERROR(VLOOKUP($MV67,$AV$2:$BA$84,3,FALSE),0)</f>
        <v/>
      </c>
      <c r="NN67" s="155">
        <f>IFERROR(VLOOKUP($MW67,$AV$2:$BA$84,3,FALSE),0)</f>
        <v/>
      </c>
      <c r="NO67" s="155">
        <f>IFERROR(VLOOKUP($MX67,$AV$2:$BA$84,3,FALSE),0)</f>
        <v/>
      </c>
      <c r="NP67" s="155">
        <f>IFERROR(VLOOKUP($MY67,$AV$2:$BA$84,3,FALSE),0)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IFERROR(VLOOKUP($MV67,$AV$2:$BA$84,4,FALSE),0)+IFERROR(VLOOKUP($MW67,$AV$2:$BA$84,4,FALSE),0)+IFERROR(VLOOKUP($MX67,$AV$2:$BA$84,4,FALSE),0)+IFERROR(VLOOKUP($MY67,$AV$2:$BA$84,4,FALSE),0)</f>
        <v/>
      </c>
      <c r="OB67" s="155">
        <f>IFERROR(VLOOKUP($MV67,$AV$2:$BA$84,6,FALSE),0)+IFERROR(VLOOKUP($MW67,$AV$2:$BA$84,6,FALSE),0)+IFERROR(VLOOKUP($MX67,$AV$2:$BA$84,6,FALSE),0)+IFERROR(VLOOKUP($MY67,$AV$2:$BA$84,6,FALSE),0)</f>
        <v/>
      </c>
      <c r="OC67" s="155">
        <f>TEXTJOIN(", ",TRUE,IF(IFERROR(VLOOKUP($MV67,$AV$2:$BA$84,5,FALSE),0)=1,$MV67,""),IF(IFERROR(VLOOKUP($MW67,$AV$2:$BA$84,5,FALSE),0)=1,$MW67,""),IF(IFERROR(VLOOKUP($MX67,$AV$2:$BA$84,5,FALSE),0)=1,$MX67,""),IF(IFERROR(VLOOKUP($MY67,$AV$2:$BA$84,5,FALSE),0)=1,$MY67,""))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f>
        <v/>
      </c>
      <c r="OY67" s="155">
        <f>$OW67-$OX67</f>
        <v/>
      </c>
      <c r="OZ67" s="155">
        <f>IF($MQ67=0,0,INDEX($P$2:$P$8,MAX(1,$MQ67)))</f>
        <v/>
      </c>
      <c r="PA67" s="155">
        <f>$OZ67-$OU67+$OX67</f>
        <v/>
      </c>
      <c r="PB67" s="155">
        <f>IF($MQ67=0,MAX(0,$NE67-IF($OS67&gt;0,1,0)),MAX(0,$PA67))</f>
        <v/>
      </c>
      <c r="PC67" s="155">
        <f>IF($MQ67=0,0,(IF(COUNTIF($MV67:$MY67,"Salto")&gt;0,1,0)+IF(COUNTIF($MV67:$MY67,"Queima")&gt;0,1,0)+IF(COUNTIF($MV67:$MY67,"Estilhaço")&gt;0,1,0))*FLOOR($PB67/2,1))</f>
        <v/>
      </c>
      <c r="PD67" s="155">
        <f>MAX(0,2-SUMPRODUCT($OK67:$OP67,$I$2:$N$2)+MIN(2,$OQ67*1+$OR67*1,SUMPRODUCT($OK67:$OP67,$I$2:$N$2)))</f>
        <v/>
      </c>
      <c r="PE67" s="155">
        <f>MAX(0,4-SUMPRODUCT($OK67:$OP67,$I$3:$N$3)+MIN(4,$OQ67*1+$OR67*2,SUMPRODUCT($OK67:$OP67,$I$3:$N$3)))</f>
        <v/>
      </c>
      <c r="PF67" s="155">
        <f>MAX(0,6-SUMPRODUCT($OK67:$OP67,$I$4:$N$4)+MIN(6,$OQ67*2+$OR67*3,SUMPRODUCT($OK67:$OP67,$I$4:$N$4)))</f>
        <v/>
      </c>
      <c r="PG67" s="155">
        <f>MAX(0,9-SUMPRODUCT($OK67:$OP67,$I$5:$N$5)+MIN(8,$OQ67*2+$OR67*4,SUMPRODUCT($OK67:$OP67,$I$5:$N$5)))</f>
        <v/>
      </c>
      <c r="PH67" s="155">
        <f>MAX(0,11-SUMPRODUCT($OK67:$OP67,$I$6:$N$6)+MIN(10,$OQ67*3+$OR67*5,SUMPRODUCT($OK67:$OP67,$I$6:$N$6)))</f>
        <v/>
      </c>
      <c r="PI67" s="155">
        <f>MAX(0,13-SUMPRODUCT($OK67:$OP67,$I$7:$N$7)+MIN(12,$OQ67*3+$OR67*6,SUMPRODUCT($OK67:$OP67,$I$7:$N$7)))</f>
        <v/>
      </c>
      <c r="PJ67" s="155">
        <f>MAX(0,16-SUMPRODUCT($OK67:$OP67,$I$8:$N$8)+MIN(14,$OQ67*4+$OR67*7,SUMPRODUCT($OK67:$OP67,$I$8:$N$8)))</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peça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Marca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IFERROR(VLOOKUP($MV68,$AV$2:$BA$84,2,FALSE),"")</f>
        <v/>
      </c>
      <c r="NJ68" s="155">
        <f>IFERROR(VLOOKUP($MW68,$AV$2:$BA$84,2,FALSE),"")</f>
        <v/>
      </c>
      <c r="NK68" s="155">
        <f>IFERROR(VLOOKUP($MX68,$AV$2:$BA$84,2,FALSE),"")</f>
        <v/>
      </c>
      <c r="NL68" s="155">
        <f>IFERROR(VLOOKUP($MY68,$AV$2:$BA$84,2,FALSE),"")</f>
        <v/>
      </c>
      <c r="NM68" s="155">
        <f>IFERROR(VLOOKUP($MV68,$AV$2:$BA$84,3,FALSE),0)</f>
        <v/>
      </c>
      <c r="NN68" s="155">
        <f>IFERROR(VLOOKUP($MW68,$AV$2:$BA$84,3,FALSE),0)</f>
        <v/>
      </c>
      <c r="NO68" s="155">
        <f>IFERROR(VLOOKUP($MX68,$AV$2:$BA$84,3,FALSE),0)</f>
        <v/>
      </c>
      <c r="NP68" s="155">
        <f>IFERROR(VLOOKUP($MY68,$AV$2:$BA$84,3,FALSE),0)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IFERROR(VLOOKUP($MV68,$AV$2:$BA$84,4,FALSE),0)+IFERROR(VLOOKUP($MW68,$AV$2:$BA$84,4,FALSE),0)+IFERROR(VLOOKUP($MX68,$AV$2:$BA$84,4,FALSE),0)+IFERROR(VLOOKUP($MY68,$AV$2:$BA$84,4,FALSE),0)</f>
        <v/>
      </c>
      <c r="OB68" s="155">
        <f>IFERROR(VLOOKUP($MV68,$AV$2:$BA$84,6,FALSE),0)+IFERROR(VLOOKUP($MW68,$AV$2:$BA$84,6,FALSE),0)+IFERROR(VLOOKUP($MX68,$AV$2:$BA$84,6,FALSE),0)+IFERROR(VLOOKUP($MY68,$AV$2:$BA$84,6,FALSE),0)</f>
        <v/>
      </c>
      <c r="OC68" s="155">
        <f>TEXTJOIN(", ",TRUE,IF(IFERROR(VLOOKUP($MV68,$AV$2:$BA$84,5,FALSE),0)=1,$MV68,""),IF(IFERROR(VLOOKUP($MW68,$AV$2:$BA$84,5,FALSE),0)=1,$MW68,""),IF(IFERROR(VLOOKUP($MX68,$AV$2:$BA$84,5,FALSE),0)=1,$MX68,""),IF(IFERROR(VLOOKUP($MY68,$AV$2:$BA$84,5,FALSE),0)=1,$MY68,""))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f>
        <v/>
      </c>
      <c r="OY68" s="155">
        <f>$OW68-$OX68</f>
        <v/>
      </c>
      <c r="OZ68" s="155">
        <f>IF($MQ68=0,0,INDEX($P$2:$P$8,MAX(1,$MQ68)))</f>
        <v/>
      </c>
      <c r="PA68" s="155">
        <f>$OZ68-$OU68+$OX68</f>
        <v/>
      </c>
      <c r="PB68" s="155">
        <f>IF($MQ68=0,MAX(0,$NE68-IF($OS68&gt;0,1,0)),MAX(0,$PA68))</f>
        <v/>
      </c>
      <c r="PC68" s="155">
        <f>IF($MQ68=0,0,(IF(COUNTIF($MV68:$MY68,"Salto")&gt;0,1,0)+IF(COUNTIF($MV68:$MY68,"Queima")&gt;0,1,0)+IF(COUNTIF($MV68:$MY68,"Estilhaço")&gt;0,1,0))*FLOOR($PB68/2,1))</f>
        <v/>
      </c>
      <c r="PD68" s="155">
        <f>MAX(0,2-SUMPRODUCT($OK68:$OP68,$I$2:$N$2)+MIN(2,$OQ68*1+$OR68*1,SUMPRODUCT($OK68:$OP68,$I$2:$N$2)))</f>
        <v/>
      </c>
      <c r="PE68" s="155">
        <f>MAX(0,4-SUMPRODUCT($OK68:$OP68,$I$3:$N$3)+MIN(4,$OQ68*1+$OR68*2,SUMPRODUCT($OK68:$OP68,$I$3:$N$3)))</f>
        <v/>
      </c>
      <c r="PF68" s="155">
        <f>MAX(0,6-SUMPRODUCT($OK68:$OP68,$I$4:$N$4)+MIN(6,$OQ68*2+$OR68*3,SUMPRODUCT($OK68:$OP68,$I$4:$N$4)))</f>
        <v/>
      </c>
      <c r="PG68" s="155">
        <f>MAX(0,9-SUMPRODUCT($OK68:$OP68,$I$5:$N$5)+MIN(8,$OQ68*2+$OR68*4,SUMPRODUCT($OK68:$OP68,$I$5:$N$5)))</f>
        <v/>
      </c>
      <c r="PH68" s="155">
        <f>MAX(0,11-SUMPRODUCT($OK68:$OP68,$I$6:$N$6)+MIN(10,$OQ68*3+$OR68*5,SUMPRODUCT($OK68:$OP68,$I$6:$N$6)))</f>
        <v/>
      </c>
      <c r="PI68" s="155">
        <f>MAX(0,13-SUMPRODUCT($OK68:$OP68,$I$7:$N$7)+MIN(12,$OQ68*3+$OR68*6,SUMPRODUCT($OK68:$OP68,$I$7:$N$7)))</f>
        <v/>
      </c>
      <c r="PJ68" s="155">
        <f>MAX(0,16-SUMPRODUCT($OK68:$OP68,$I$8:$N$8)+MIN(14,$OQ68*4+$OR68*7,SUMPRODUCT($OK68:$OP68,$I$8:$N$8)))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peça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Alvo de Caça</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IFERROR(VLOOKUP($MV69,$AV$2:$BA$84,2,FALSE),"")</f>
        <v/>
      </c>
      <c r="NJ69" s="155">
        <f>IFERROR(VLOOKUP($MW69,$AV$2:$BA$84,2,FALSE),"")</f>
        <v/>
      </c>
      <c r="NK69" s="155">
        <f>IFERROR(VLOOKUP($MX69,$AV$2:$BA$84,2,FALSE),"")</f>
        <v/>
      </c>
      <c r="NL69" s="155">
        <f>IFERROR(VLOOKUP($MY69,$AV$2:$BA$84,2,FALSE),"")</f>
        <v/>
      </c>
      <c r="NM69" s="155">
        <f>IFERROR(VLOOKUP($MV69,$AV$2:$BA$84,3,FALSE),0)</f>
        <v/>
      </c>
      <c r="NN69" s="155">
        <f>IFERROR(VLOOKUP($MW69,$AV$2:$BA$84,3,FALSE),0)</f>
        <v/>
      </c>
      <c r="NO69" s="155">
        <f>IFERROR(VLOOKUP($MX69,$AV$2:$BA$84,3,FALSE),0)</f>
        <v/>
      </c>
      <c r="NP69" s="155">
        <f>IFERROR(VLOOKUP($MY69,$AV$2:$BA$84,3,FALSE),0)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IFERROR(VLOOKUP($MV69,$AV$2:$BA$84,4,FALSE),0)+IFERROR(VLOOKUP($MW69,$AV$2:$BA$84,4,FALSE),0)+IFERROR(VLOOKUP($MX69,$AV$2:$BA$84,4,FALSE),0)+IFERROR(VLOOKUP($MY69,$AV$2:$BA$84,4,FALSE),0)</f>
        <v/>
      </c>
      <c r="OB69" s="155">
        <f>IFERROR(VLOOKUP($MV69,$AV$2:$BA$84,6,FALSE),0)+IFERROR(VLOOKUP($MW69,$AV$2:$BA$84,6,FALSE),0)+IFERROR(VLOOKUP($MX69,$AV$2:$BA$84,6,FALSE),0)+IFERROR(VLOOKUP($MY69,$AV$2:$BA$84,6,FALSE),0)</f>
        <v/>
      </c>
      <c r="OC69" s="155">
        <f>TEXTJOIN(", ",TRUE,IF(IFERROR(VLOOKUP($MV69,$AV$2:$BA$84,5,FALSE),0)=1,$MV69,""),IF(IFERROR(VLOOKUP($MW69,$AV$2:$BA$84,5,FALSE),0)=1,$MW69,""),IF(IFERROR(VLOOKUP($MX69,$AV$2:$BA$84,5,FALSE),0)=1,$MX69,""),IF(IFERROR(VLOOKUP($MY69,$AV$2:$BA$84,5,FALSE),0)=1,$MY69,""))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f>
        <v/>
      </c>
      <c r="OY69" s="155">
        <f>$OW69-$OX69</f>
        <v/>
      </c>
      <c r="OZ69" s="155">
        <f>IF($MQ69=0,0,INDEX($P$2:$P$8,MAX(1,$MQ69)))</f>
        <v/>
      </c>
      <c r="PA69" s="155">
        <f>$OZ69-$OU69+$OX69</f>
        <v/>
      </c>
      <c r="PB69" s="155">
        <f>IF($MQ69=0,MAX(0,$NE69-IF($OS69&gt;0,1,0)),MAX(0,$PA69))</f>
        <v/>
      </c>
      <c r="PC69" s="155">
        <f>IF($MQ69=0,0,(IF(COUNTIF($MV69:$MY69,"Salto")&gt;0,1,0)+IF(COUNTIF($MV69:$MY69,"Queima")&gt;0,1,0)+IF(COUNTIF($MV69:$MY69,"Estilhaço")&gt;0,1,0))*FLOOR($PB69/2,1))</f>
        <v/>
      </c>
      <c r="PD69" s="155">
        <f>MAX(0,2-SUMPRODUCT($OK69:$OP69,$I$2:$N$2)+MIN(2,$OQ69*1+$OR69*1,SUMPRODUCT($OK69:$OP69,$I$2:$N$2)))</f>
        <v/>
      </c>
      <c r="PE69" s="155">
        <f>MAX(0,4-SUMPRODUCT($OK69:$OP69,$I$3:$N$3)+MIN(4,$OQ69*1+$OR69*2,SUMPRODUCT($OK69:$OP69,$I$3:$N$3)))</f>
        <v/>
      </c>
      <c r="PF69" s="155">
        <f>MAX(0,6-SUMPRODUCT($OK69:$OP69,$I$4:$N$4)+MIN(6,$OQ69*2+$OR69*3,SUMPRODUCT($OK69:$OP69,$I$4:$N$4)))</f>
        <v/>
      </c>
      <c r="PG69" s="155">
        <f>MAX(0,9-SUMPRODUCT($OK69:$OP69,$I$5:$N$5)+MIN(8,$OQ69*2+$OR69*4,SUMPRODUCT($OK69:$OP69,$I$5:$N$5)))</f>
        <v/>
      </c>
      <c r="PH69" s="155">
        <f>MAX(0,11-SUMPRODUCT($OK69:$OP69,$I$6:$N$6)+MIN(10,$OQ69*3+$OR69*5,SUMPRODUCT($OK69:$OP69,$I$6:$N$6)))</f>
        <v/>
      </c>
      <c r="PI69" s="155">
        <f>MAX(0,13-SUMPRODUCT($OK69:$OP69,$I$7:$N$7)+MIN(12,$OQ69*3+$OR69*6,SUMPRODUCT($OK69:$OP69,$I$7:$N$7)))</f>
        <v/>
      </c>
      <c r="PJ69" s="155">
        <f>MAX(0,16-SUMPRODUCT($OK69:$OP69,$I$8:$N$8)+MIN(14,$OQ69*4+$OR69*7,SUMPRODUCT($OK69:$OP69,$I$8:$N$8)))</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peça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Rastro</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IFERROR(VLOOKUP($MV70,$AV$2:$BA$84,2,FALSE),"")</f>
        <v/>
      </c>
      <c r="NJ70" s="155">
        <f>IFERROR(VLOOKUP($MW70,$AV$2:$BA$84,2,FALSE),"")</f>
        <v/>
      </c>
      <c r="NK70" s="155">
        <f>IFERROR(VLOOKUP($MX70,$AV$2:$BA$84,2,FALSE),"")</f>
        <v/>
      </c>
      <c r="NL70" s="155">
        <f>IFERROR(VLOOKUP($MY70,$AV$2:$BA$84,2,FALSE),"")</f>
        <v/>
      </c>
      <c r="NM70" s="155">
        <f>IFERROR(VLOOKUP($MV70,$AV$2:$BA$84,3,FALSE),0)</f>
        <v/>
      </c>
      <c r="NN70" s="155">
        <f>IFERROR(VLOOKUP($MW70,$AV$2:$BA$84,3,FALSE),0)</f>
        <v/>
      </c>
      <c r="NO70" s="155">
        <f>IFERROR(VLOOKUP($MX70,$AV$2:$BA$84,3,FALSE),0)</f>
        <v/>
      </c>
      <c r="NP70" s="155">
        <f>IFERROR(VLOOKUP($MY70,$AV$2:$BA$84,3,FALSE),0)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IFERROR(VLOOKUP($MV70,$AV$2:$BA$84,4,FALSE),0)+IFERROR(VLOOKUP($MW70,$AV$2:$BA$84,4,FALSE),0)+IFERROR(VLOOKUP($MX70,$AV$2:$BA$84,4,FALSE),0)+IFERROR(VLOOKUP($MY70,$AV$2:$BA$84,4,FALSE),0)</f>
        <v/>
      </c>
      <c r="OB70" s="155">
        <f>IFERROR(VLOOKUP($MV70,$AV$2:$BA$84,6,FALSE),0)+IFERROR(VLOOKUP($MW70,$AV$2:$BA$84,6,FALSE),0)+IFERROR(VLOOKUP($MX70,$AV$2:$BA$84,6,FALSE),0)+IFERROR(VLOOKUP($MY70,$AV$2:$BA$84,6,FALSE),0)</f>
        <v/>
      </c>
      <c r="OC70" s="155">
        <f>TEXTJOIN(", ",TRUE,IF(IFERROR(VLOOKUP($MV70,$AV$2:$BA$84,5,FALSE),0)=1,$MV70,""),IF(IFERROR(VLOOKUP($MW70,$AV$2:$BA$84,5,FALSE),0)=1,$MW70,""),IF(IFERROR(VLOOKUP($MX70,$AV$2:$BA$84,5,FALSE),0)=1,$MX70,""),IF(IFERROR(VLOOKUP($MY70,$AV$2:$BA$84,5,FALSE),0)=1,$MY70,""))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f>
        <v/>
      </c>
      <c r="OY70" s="155">
        <f>$OW70-$OX70</f>
        <v/>
      </c>
      <c r="OZ70" s="155">
        <f>IF($MQ70=0,0,INDEX($P$2:$P$8,MAX(1,$MQ70)))</f>
        <v/>
      </c>
      <c r="PA70" s="155">
        <f>$OZ70-$OU70+$OX70</f>
        <v/>
      </c>
      <c r="PB70" s="155">
        <f>IF($MQ70=0,MAX(0,$NE70-IF($OS70&gt;0,1,0)),MAX(0,$PA70))</f>
        <v/>
      </c>
      <c r="PC70" s="155">
        <f>IF($MQ70=0,0,(IF(COUNTIF($MV70:$MY70,"Salto")&gt;0,1,0)+IF(COUNTIF($MV70:$MY70,"Queima")&gt;0,1,0)+IF(COUNTIF($MV70:$MY70,"Estilhaço")&gt;0,1,0))*FLOOR($PB70/2,1))</f>
        <v/>
      </c>
      <c r="PD70" s="155">
        <f>MAX(0,2-SUMPRODUCT($OK70:$OP70,$I$2:$N$2)+MIN(2,$OQ70*1+$OR70*1,SUMPRODUCT($OK70:$OP70,$I$2:$N$2)))</f>
        <v/>
      </c>
      <c r="PE70" s="155">
        <f>MAX(0,4-SUMPRODUCT($OK70:$OP70,$I$3:$N$3)+MIN(4,$OQ70*1+$OR70*2,SUMPRODUCT($OK70:$OP70,$I$3:$N$3)))</f>
        <v/>
      </c>
      <c r="PF70" s="155">
        <f>MAX(0,6-SUMPRODUCT($OK70:$OP70,$I$4:$N$4)+MIN(6,$OQ70*2+$OR70*3,SUMPRODUCT($OK70:$OP70,$I$4:$N$4)))</f>
        <v/>
      </c>
      <c r="PG70" s="155">
        <f>MAX(0,9-SUMPRODUCT($OK70:$OP70,$I$5:$N$5)+MIN(8,$OQ70*2+$OR70*4,SUMPRODUCT($OK70:$OP70,$I$5:$N$5)))</f>
        <v/>
      </c>
      <c r="PH70" s="155">
        <f>MAX(0,11-SUMPRODUCT($OK70:$OP70,$I$6:$N$6)+MIN(10,$OQ70*3+$OR70*5,SUMPRODUCT($OK70:$OP70,$I$6:$N$6)))</f>
        <v/>
      </c>
      <c r="PI70" s="155">
        <f>MAX(0,13-SUMPRODUCT($OK70:$OP70,$I$7:$N$7)+MIN(12,$OQ70*3+$OR70*6,SUMPRODUCT($OK70:$OP70,$I$7:$N$7)))</f>
        <v/>
      </c>
      <c r="PJ70" s="155">
        <f>MAX(0,16-SUMPRODUCT($OK70:$OP70,$I$8:$N$8)+MIN(14,$OQ70*4+$OR70*7,SUMPRODUCT($OK70:$OP70,$I$8:$N$8)))</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peça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Isca</t>
        </is>
      </c>
      <c r="AW71" s="153" t="inlineStr">
        <is>
          <t>Marca</t>
        </is>
      </c>
      <c r="AX71" s="155" t="n">
        <v>1</v>
      </c>
      <c r="AY71" s="155" t="n">
        <v>0</v>
      </c>
      <c r="AZ71" s="155" t="n">
        <v>0</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IFERROR(VLOOKUP($MV71,$AV$2:$BA$84,2,FALSE),"")</f>
        <v/>
      </c>
      <c r="NJ71" s="155">
        <f>IFERROR(VLOOKUP($MW71,$AV$2:$BA$84,2,FALSE),"")</f>
        <v/>
      </c>
      <c r="NK71" s="155">
        <f>IFERROR(VLOOKUP($MX71,$AV$2:$BA$84,2,FALSE),"")</f>
        <v/>
      </c>
      <c r="NL71" s="155">
        <f>IFERROR(VLOOKUP($MY71,$AV$2:$BA$84,2,FALSE),"")</f>
        <v/>
      </c>
      <c r="NM71" s="155">
        <f>IFERROR(VLOOKUP($MV71,$AV$2:$BA$84,3,FALSE),0)</f>
        <v/>
      </c>
      <c r="NN71" s="155">
        <f>IFERROR(VLOOKUP($MW71,$AV$2:$BA$84,3,FALSE),0)</f>
        <v/>
      </c>
      <c r="NO71" s="155">
        <f>IFERROR(VLOOKUP($MX71,$AV$2:$BA$84,3,FALSE),0)</f>
        <v/>
      </c>
      <c r="NP71" s="155">
        <f>IFERROR(VLOOKUP($MY71,$AV$2:$BA$84,3,FALSE),0)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IFERROR(VLOOKUP($MV71,$AV$2:$BA$84,4,FALSE),0)+IFERROR(VLOOKUP($MW71,$AV$2:$BA$84,4,FALSE),0)+IFERROR(VLOOKUP($MX71,$AV$2:$BA$84,4,FALSE),0)+IFERROR(VLOOKUP($MY71,$AV$2:$BA$84,4,FALSE),0)</f>
        <v/>
      </c>
      <c r="OB71" s="155">
        <f>IFERROR(VLOOKUP($MV71,$AV$2:$BA$84,6,FALSE),0)+IFERROR(VLOOKUP($MW71,$AV$2:$BA$84,6,FALSE),0)+IFERROR(VLOOKUP($MX71,$AV$2:$BA$84,6,FALSE),0)+IFERROR(VLOOKUP($MY71,$AV$2:$BA$84,6,FALSE),0)</f>
        <v/>
      </c>
      <c r="OC71" s="155">
        <f>TEXTJOIN(", ",TRUE,IF(IFERROR(VLOOKUP($MV71,$AV$2:$BA$84,5,FALSE),0)=1,$MV71,""),IF(IFERROR(VLOOKUP($MW71,$AV$2:$BA$84,5,FALSE),0)=1,$MW71,""),IF(IFERROR(VLOOKUP($MX71,$AV$2:$BA$84,5,FALSE),0)=1,$MX71,""),IF(IFERROR(VLOOKUP($MY71,$AV$2:$BA$84,5,FALSE),0)=1,$MY71,""))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f>
        <v/>
      </c>
      <c r="OY71" s="155">
        <f>$OW71-$OX71</f>
        <v/>
      </c>
      <c r="OZ71" s="155">
        <f>IF($MQ71=0,0,INDEX($P$2:$P$8,MAX(1,$MQ71)))</f>
        <v/>
      </c>
      <c r="PA71" s="155">
        <f>$OZ71-$OU71+$OX71</f>
        <v/>
      </c>
      <c r="PB71" s="155">
        <f>IF($MQ71=0,MAX(0,$NE71-IF($OS71&gt;0,1,0)),MAX(0,$PA71))</f>
        <v/>
      </c>
      <c r="PC71" s="155">
        <f>IF($MQ71=0,0,(IF(COUNTIF($MV71:$MY71,"Salto")&gt;0,1,0)+IF(COUNTIF($MV71:$MY71,"Queima")&gt;0,1,0)+IF(COUNTIF($MV71:$MY71,"Estilhaço")&gt;0,1,0))*FLOOR($PB71/2,1))</f>
        <v/>
      </c>
      <c r="PD71" s="155">
        <f>MAX(0,2-SUMPRODUCT($OK71:$OP71,$I$2:$N$2)+MIN(2,$OQ71*1+$OR71*1,SUMPRODUCT($OK71:$OP71,$I$2:$N$2)))</f>
        <v/>
      </c>
      <c r="PE71" s="155">
        <f>MAX(0,4-SUMPRODUCT($OK71:$OP71,$I$3:$N$3)+MIN(4,$OQ71*1+$OR71*2,SUMPRODUCT($OK71:$OP71,$I$3:$N$3)))</f>
        <v/>
      </c>
      <c r="PF71" s="155">
        <f>MAX(0,6-SUMPRODUCT($OK71:$OP71,$I$4:$N$4)+MIN(6,$OQ71*2+$OR71*3,SUMPRODUCT($OK71:$OP71,$I$4:$N$4)))</f>
        <v/>
      </c>
      <c r="PG71" s="155">
        <f>MAX(0,9-SUMPRODUCT($OK71:$OP71,$I$5:$N$5)+MIN(8,$OQ71*2+$OR71*4,SUMPRODUCT($OK71:$OP71,$I$5:$N$5)))</f>
        <v/>
      </c>
      <c r="PH71" s="155">
        <f>MAX(0,11-SUMPRODUCT($OK71:$OP71,$I$6:$N$6)+MIN(10,$OQ71*3+$OR71*5,SUMPRODUCT($OK71:$OP71,$I$6:$N$6)))</f>
        <v/>
      </c>
      <c r="PI71" s="155">
        <f>MAX(0,13-SUMPRODUCT($OK71:$OP71,$I$7:$N$7)+MIN(12,$OQ71*3+$OR71*6,SUMPRODUCT($OK71:$OP71,$I$7:$N$7)))</f>
        <v/>
      </c>
      <c r="PJ71" s="155">
        <f>MAX(0,16-SUMPRODUCT($OK71:$OP71,$I$8:$N$8)+MIN(14,$OQ71*4+$OR71*7,SUMPRODUCT($OK71:$OP71,$I$8:$N$8)))</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peça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Sugar</t>
        </is>
      </c>
      <c r="AW72" s="153" t="inlineStr">
        <is>
          <t>Marca</t>
        </is>
      </c>
      <c r="AX72" s="155" t="n">
        <v>2</v>
      </c>
      <c r="AY72" s="155" t="n">
        <v>0</v>
      </c>
      <c r="AZ72" s="155" t="n">
        <v>1</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IFERROR(VLOOKUP($MV72,$AV$2:$BA$84,2,FALSE),"")</f>
        <v/>
      </c>
      <c r="NJ72" s="155">
        <f>IFERROR(VLOOKUP($MW72,$AV$2:$BA$84,2,FALSE),"")</f>
        <v/>
      </c>
      <c r="NK72" s="155">
        <f>IFERROR(VLOOKUP($MX72,$AV$2:$BA$84,2,FALSE),"")</f>
        <v/>
      </c>
      <c r="NL72" s="155">
        <f>IFERROR(VLOOKUP($MY72,$AV$2:$BA$84,2,FALSE),"")</f>
        <v/>
      </c>
      <c r="NM72" s="155">
        <f>IFERROR(VLOOKUP($MV72,$AV$2:$BA$84,3,FALSE),0)</f>
        <v/>
      </c>
      <c r="NN72" s="155">
        <f>IFERROR(VLOOKUP($MW72,$AV$2:$BA$84,3,FALSE),0)</f>
        <v/>
      </c>
      <c r="NO72" s="155">
        <f>IFERROR(VLOOKUP($MX72,$AV$2:$BA$84,3,FALSE),0)</f>
        <v/>
      </c>
      <c r="NP72" s="155">
        <f>IFERROR(VLOOKUP($MY72,$AV$2:$BA$84,3,FALSE),0)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IFERROR(VLOOKUP($MV72,$AV$2:$BA$84,4,FALSE),0)+IFERROR(VLOOKUP($MW72,$AV$2:$BA$84,4,FALSE),0)+IFERROR(VLOOKUP($MX72,$AV$2:$BA$84,4,FALSE),0)+IFERROR(VLOOKUP($MY72,$AV$2:$BA$84,4,FALSE),0)</f>
        <v/>
      </c>
      <c r="OB72" s="155">
        <f>IFERROR(VLOOKUP($MV72,$AV$2:$BA$84,6,FALSE),0)+IFERROR(VLOOKUP($MW72,$AV$2:$BA$84,6,FALSE),0)+IFERROR(VLOOKUP($MX72,$AV$2:$BA$84,6,FALSE),0)+IFERROR(VLOOKUP($MY72,$AV$2:$BA$84,6,FALSE),0)</f>
        <v/>
      </c>
      <c r="OC72" s="155">
        <f>TEXTJOIN(", ",TRUE,IF(IFERROR(VLOOKUP($MV72,$AV$2:$BA$84,5,FALSE),0)=1,$MV72,""),IF(IFERROR(VLOOKUP($MW72,$AV$2:$BA$84,5,FALSE),0)=1,$MW72,""),IF(IFERROR(VLOOKUP($MX72,$AV$2:$BA$84,5,FALSE),0)=1,$MX72,""),IF(IFERROR(VLOOKUP($MY72,$AV$2:$BA$84,5,FALSE),0)=1,$MY72,""))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f>
        <v/>
      </c>
      <c r="OY72" s="155">
        <f>$OW72-$OX72</f>
        <v/>
      </c>
      <c r="OZ72" s="155">
        <f>IF($MQ72=0,0,INDEX($P$2:$P$8,MAX(1,$MQ72)))</f>
        <v/>
      </c>
      <c r="PA72" s="155">
        <f>$OZ72-$OU72+$OX72</f>
        <v/>
      </c>
      <c r="PB72" s="155">
        <f>IF($MQ72=0,MAX(0,$NE72-IF($OS72&gt;0,1,0)),MAX(0,$PA72))</f>
        <v/>
      </c>
      <c r="PC72" s="155">
        <f>IF($MQ72=0,0,(IF(COUNTIF($MV72:$MY72,"Salto")&gt;0,1,0)+IF(COUNTIF($MV72:$MY72,"Queima")&gt;0,1,0)+IF(COUNTIF($MV72:$MY72,"Estilhaço")&gt;0,1,0))*FLOOR($PB72/2,1))</f>
        <v/>
      </c>
      <c r="PD72" s="155">
        <f>MAX(0,2-SUMPRODUCT($OK72:$OP72,$I$2:$N$2)+MIN(2,$OQ72*1+$OR72*1,SUMPRODUCT($OK72:$OP72,$I$2:$N$2)))</f>
        <v/>
      </c>
      <c r="PE72" s="155">
        <f>MAX(0,4-SUMPRODUCT($OK72:$OP72,$I$3:$N$3)+MIN(4,$OQ72*1+$OR72*2,SUMPRODUCT($OK72:$OP72,$I$3:$N$3)))</f>
        <v/>
      </c>
      <c r="PF72" s="155">
        <f>MAX(0,6-SUMPRODUCT($OK72:$OP72,$I$4:$N$4)+MIN(6,$OQ72*2+$OR72*3,SUMPRODUCT($OK72:$OP72,$I$4:$N$4)))</f>
        <v/>
      </c>
      <c r="PG72" s="155">
        <f>MAX(0,9-SUMPRODUCT($OK72:$OP72,$I$5:$N$5)+MIN(8,$OQ72*2+$OR72*4,SUMPRODUCT($OK72:$OP72,$I$5:$N$5)))</f>
        <v/>
      </c>
      <c r="PH72" s="155">
        <f>MAX(0,11-SUMPRODUCT($OK72:$OP72,$I$6:$N$6)+MIN(10,$OQ72*3+$OR72*5,SUMPRODUCT($OK72:$OP72,$I$6:$N$6)))</f>
        <v/>
      </c>
      <c r="PI72" s="155">
        <f>MAX(0,13-SUMPRODUCT($OK72:$OP72,$I$7:$N$7)+MIN(12,$OQ72*3+$OR72*6,SUMPRODUCT($OK72:$OP72,$I$7:$N$7)))</f>
        <v/>
      </c>
      <c r="PJ72" s="155">
        <f>MAX(0,16-SUMPRODUCT($OK72:$OP72,$I$8:$N$8)+MIN(14,$OQ72*4+$OR72*7,SUMPRODUCT($OK72:$OP72,$I$8:$N$8)))</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peça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Cobrança</t>
        </is>
      </c>
      <c r="AW73" s="153" t="inlineStr">
        <is>
          <t>Marca</t>
        </is>
      </c>
      <c r="AX73" s="155" t="n">
        <v>2</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IFERROR(VLOOKUP($MV73,$AV$2:$BA$84,2,FALSE),"")</f>
        <v/>
      </c>
      <c r="NJ73" s="155">
        <f>IFERROR(VLOOKUP($MW73,$AV$2:$BA$84,2,FALSE),"")</f>
        <v/>
      </c>
      <c r="NK73" s="155">
        <f>IFERROR(VLOOKUP($MX73,$AV$2:$BA$84,2,FALSE),"")</f>
        <v/>
      </c>
      <c r="NL73" s="155">
        <f>IFERROR(VLOOKUP($MY73,$AV$2:$BA$84,2,FALSE),"")</f>
        <v/>
      </c>
      <c r="NM73" s="155">
        <f>IFERROR(VLOOKUP($MV73,$AV$2:$BA$84,3,FALSE),0)</f>
        <v/>
      </c>
      <c r="NN73" s="155">
        <f>IFERROR(VLOOKUP($MW73,$AV$2:$BA$84,3,FALSE),0)</f>
        <v/>
      </c>
      <c r="NO73" s="155">
        <f>IFERROR(VLOOKUP($MX73,$AV$2:$BA$84,3,FALSE),0)</f>
        <v/>
      </c>
      <c r="NP73" s="155">
        <f>IFERROR(VLOOKUP($MY73,$AV$2:$BA$84,3,FALSE),0)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IFERROR(VLOOKUP($MV73,$AV$2:$BA$84,4,FALSE),0)+IFERROR(VLOOKUP($MW73,$AV$2:$BA$84,4,FALSE),0)+IFERROR(VLOOKUP($MX73,$AV$2:$BA$84,4,FALSE),0)+IFERROR(VLOOKUP($MY73,$AV$2:$BA$84,4,FALSE),0)</f>
        <v/>
      </c>
      <c r="OB73" s="155">
        <f>IFERROR(VLOOKUP($MV73,$AV$2:$BA$84,6,FALSE),0)+IFERROR(VLOOKUP($MW73,$AV$2:$BA$84,6,FALSE),0)+IFERROR(VLOOKUP($MX73,$AV$2:$BA$84,6,FALSE),0)+IFERROR(VLOOKUP($MY73,$AV$2:$BA$84,6,FALSE),0)</f>
        <v/>
      </c>
      <c r="OC73" s="155">
        <f>TEXTJOIN(", ",TRUE,IF(IFERROR(VLOOKUP($MV73,$AV$2:$BA$84,5,FALSE),0)=1,$MV73,""),IF(IFERROR(VLOOKUP($MW73,$AV$2:$BA$84,5,FALSE),0)=1,$MW73,""),IF(IFERROR(VLOOKUP($MX73,$AV$2:$BA$84,5,FALSE),0)=1,$MX73,""),IF(IFERROR(VLOOKUP($MY73,$AV$2:$BA$84,5,FALSE),0)=1,$MY73,""))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f>
        <v/>
      </c>
      <c r="OY73" s="155">
        <f>$OW73-$OX73</f>
        <v/>
      </c>
      <c r="OZ73" s="155">
        <f>IF($MQ73=0,0,INDEX($P$2:$P$8,MAX(1,$MQ73)))</f>
        <v/>
      </c>
      <c r="PA73" s="155">
        <f>$OZ73-$OU73+$OX73</f>
        <v/>
      </c>
      <c r="PB73" s="155">
        <f>IF($MQ73=0,MAX(0,$NE73-IF($OS73&gt;0,1,0)),MAX(0,$PA73))</f>
        <v/>
      </c>
      <c r="PC73" s="155">
        <f>IF($MQ73=0,0,(IF(COUNTIF($MV73:$MY73,"Salto")&gt;0,1,0)+IF(COUNTIF($MV73:$MY73,"Queima")&gt;0,1,0)+IF(COUNTIF($MV73:$MY73,"Estilhaço")&gt;0,1,0))*FLOOR($PB73/2,1))</f>
        <v/>
      </c>
      <c r="PD73" s="155">
        <f>MAX(0,2-SUMPRODUCT($OK73:$OP73,$I$2:$N$2)+MIN(2,$OQ73*1+$OR73*1,SUMPRODUCT($OK73:$OP73,$I$2:$N$2)))</f>
        <v/>
      </c>
      <c r="PE73" s="155">
        <f>MAX(0,4-SUMPRODUCT($OK73:$OP73,$I$3:$N$3)+MIN(4,$OQ73*1+$OR73*2,SUMPRODUCT($OK73:$OP73,$I$3:$N$3)))</f>
        <v/>
      </c>
      <c r="PF73" s="155">
        <f>MAX(0,6-SUMPRODUCT($OK73:$OP73,$I$4:$N$4)+MIN(6,$OQ73*2+$OR73*3,SUMPRODUCT($OK73:$OP73,$I$4:$N$4)))</f>
        <v/>
      </c>
      <c r="PG73" s="155">
        <f>MAX(0,9-SUMPRODUCT($OK73:$OP73,$I$5:$N$5)+MIN(8,$OQ73*2+$OR73*4,SUMPRODUCT($OK73:$OP73,$I$5:$N$5)))</f>
        <v/>
      </c>
      <c r="PH73" s="155">
        <f>MAX(0,11-SUMPRODUCT($OK73:$OP73,$I$6:$N$6)+MIN(10,$OQ73*3+$OR73*5,SUMPRODUCT($OK73:$OP73,$I$6:$N$6)))</f>
        <v/>
      </c>
      <c r="PI73" s="155">
        <f>MAX(0,13-SUMPRODUCT($OK73:$OP73,$I$7:$N$7)+MIN(12,$OQ73*3+$OR73*6,SUMPRODUCT($OK73:$OP73,$I$7:$N$7)))</f>
        <v/>
      </c>
      <c r="PJ73" s="155">
        <f>MAX(0,16-SUMPRODUCT($OK73:$OP73,$I$8:$N$8)+MIN(14,$OQ73*4+$OR73*7,SUMPRODUCT($OK73:$OP73,$I$8:$N$8)))</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peça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Identificar Feitiço</t>
        </is>
      </c>
      <c r="AW74" s="153" t="inlineStr">
        <is>
          <t>Marca</t>
        </is>
      </c>
      <c r="AX74" s="155" t="n">
        <v>1</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IFERROR(VLOOKUP($MV74,$AV$2:$BA$84,2,FALSE),"")</f>
        <v/>
      </c>
      <c r="NJ74" s="155">
        <f>IFERROR(VLOOKUP($MW74,$AV$2:$BA$84,2,FALSE),"")</f>
        <v/>
      </c>
      <c r="NK74" s="155">
        <f>IFERROR(VLOOKUP($MX74,$AV$2:$BA$84,2,FALSE),"")</f>
        <v/>
      </c>
      <c r="NL74" s="155">
        <f>IFERROR(VLOOKUP($MY74,$AV$2:$BA$84,2,FALSE),"")</f>
        <v/>
      </c>
      <c r="NM74" s="155">
        <f>IFERROR(VLOOKUP($MV74,$AV$2:$BA$84,3,FALSE),0)</f>
        <v/>
      </c>
      <c r="NN74" s="155">
        <f>IFERROR(VLOOKUP($MW74,$AV$2:$BA$84,3,FALSE),0)</f>
        <v/>
      </c>
      <c r="NO74" s="155">
        <f>IFERROR(VLOOKUP($MX74,$AV$2:$BA$84,3,FALSE),0)</f>
        <v/>
      </c>
      <c r="NP74" s="155">
        <f>IFERROR(VLOOKUP($MY74,$AV$2:$BA$84,3,FALSE),0)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IFERROR(VLOOKUP($MV74,$AV$2:$BA$84,4,FALSE),0)+IFERROR(VLOOKUP($MW74,$AV$2:$BA$84,4,FALSE),0)+IFERROR(VLOOKUP($MX74,$AV$2:$BA$84,4,FALSE),0)+IFERROR(VLOOKUP($MY74,$AV$2:$BA$84,4,FALSE),0)</f>
        <v/>
      </c>
      <c r="OB74" s="155">
        <f>IFERROR(VLOOKUP($MV74,$AV$2:$BA$84,6,FALSE),0)+IFERROR(VLOOKUP($MW74,$AV$2:$BA$84,6,FALSE),0)+IFERROR(VLOOKUP($MX74,$AV$2:$BA$84,6,FALSE),0)+IFERROR(VLOOKUP($MY74,$AV$2:$BA$84,6,FALSE),0)</f>
        <v/>
      </c>
      <c r="OC74" s="155">
        <f>TEXTJOIN(", ",TRUE,IF(IFERROR(VLOOKUP($MV74,$AV$2:$BA$84,5,FALSE),0)=1,$MV74,""),IF(IFERROR(VLOOKUP($MW74,$AV$2:$BA$84,5,FALSE),0)=1,$MW74,""),IF(IFERROR(VLOOKUP($MX74,$AV$2:$BA$84,5,FALSE),0)=1,$MX74,""),IF(IFERROR(VLOOKUP($MY74,$AV$2:$BA$84,5,FALSE),0)=1,$MY74,""))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f>
        <v/>
      </c>
      <c r="OY74" s="155">
        <f>$OW74-$OX74</f>
        <v/>
      </c>
      <c r="OZ74" s="155">
        <f>IF($MQ74=0,0,INDEX($P$2:$P$8,MAX(1,$MQ74)))</f>
        <v/>
      </c>
      <c r="PA74" s="155">
        <f>$OZ74-$OU74+$OX74</f>
        <v/>
      </c>
      <c r="PB74" s="155">
        <f>IF($MQ74=0,MAX(0,$NE74-IF($OS74&gt;0,1,0)),MAX(0,$PA74))</f>
        <v/>
      </c>
      <c r="PC74" s="155">
        <f>IF($MQ74=0,0,(IF(COUNTIF($MV74:$MY74,"Salto")&gt;0,1,0)+IF(COUNTIF($MV74:$MY74,"Queima")&gt;0,1,0)+IF(COUNTIF($MV74:$MY74,"Estilhaço")&gt;0,1,0))*FLOOR($PB74/2,1))</f>
        <v/>
      </c>
      <c r="PD74" s="155">
        <f>MAX(0,2-SUMPRODUCT($OK74:$OP74,$I$2:$N$2)+MIN(2,$OQ74*1+$OR74*1,SUMPRODUCT($OK74:$OP74,$I$2:$N$2)))</f>
        <v/>
      </c>
      <c r="PE74" s="155">
        <f>MAX(0,4-SUMPRODUCT($OK74:$OP74,$I$3:$N$3)+MIN(4,$OQ74*1+$OR74*2,SUMPRODUCT($OK74:$OP74,$I$3:$N$3)))</f>
        <v/>
      </c>
      <c r="PF74" s="155">
        <f>MAX(0,6-SUMPRODUCT($OK74:$OP74,$I$4:$N$4)+MIN(6,$OQ74*2+$OR74*3,SUMPRODUCT($OK74:$OP74,$I$4:$N$4)))</f>
        <v/>
      </c>
      <c r="PG74" s="155">
        <f>MAX(0,9-SUMPRODUCT($OK74:$OP74,$I$5:$N$5)+MIN(8,$OQ74*2+$OR74*4,SUMPRODUCT($OK74:$OP74,$I$5:$N$5)))</f>
        <v/>
      </c>
      <c r="PH74" s="155">
        <f>MAX(0,11-SUMPRODUCT($OK74:$OP74,$I$6:$N$6)+MIN(10,$OQ74*3+$OR74*5,SUMPRODUCT($OK74:$OP74,$I$6:$N$6)))</f>
        <v/>
      </c>
      <c r="PI74" s="155">
        <f>MAX(0,13-SUMPRODUCT($OK74:$OP74,$I$7:$N$7)+MIN(12,$OQ74*3+$OR74*6,SUMPRODUCT($OK74:$OP74,$I$7:$N$7)))</f>
        <v/>
      </c>
      <c r="PJ74" s="155">
        <f>MAX(0,16-SUMPRODUCT($OK74:$OP74,$I$8:$N$8)+MIN(14,$OQ74*4+$OR74*7,SUMPRODUCT($OK74:$OP74,$I$8:$N$8)))</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peça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t>
        </is>
      </c>
      <c r="AW75" s="153" t="inlineStr">
        <is>
          <t>Amparo</t>
        </is>
      </c>
      <c r="AX75" s="155" t="n">
        <v>2</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IFERROR(VLOOKUP($MV75,$AV$2:$BA$84,2,FALSE),"")</f>
        <v/>
      </c>
      <c r="NJ75" s="155">
        <f>IFERROR(VLOOKUP($MW75,$AV$2:$BA$84,2,FALSE),"")</f>
        <v/>
      </c>
      <c r="NK75" s="155">
        <f>IFERROR(VLOOKUP($MX75,$AV$2:$BA$84,2,FALSE),"")</f>
        <v/>
      </c>
      <c r="NL75" s="155">
        <f>IFERROR(VLOOKUP($MY75,$AV$2:$BA$84,2,FALSE),"")</f>
        <v/>
      </c>
      <c r="NM75" s="155">
        <f>IFERROR(VLOOKUP($MV75,$AV$2:$BA$84,3,FALSE),0)</f>
        <v/>
      </c>
      <c r="NN75" s="155">
        <f>IFERROR(VLOOKUP($MW75,$AV$2:$BA$84,3,FALSE),0)</f>
        <v/>
      </c>
      <c r="NO75" s="155">
        <f>IFERROR(VLOOKUP($MX75,$AV$2:$BA$84,3,FALSE),0)</f>
        <v/>
      </c>
      <c r="NP75" s="155">
        <f>IFERROR(VLOOKUP($MY75,$AV$2:$BA$84,3,FALSE),0)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IFERROR(VLOOKUP($MV75,$AV$2:$BA$84,4,FALSE),0)+IFERROR(VLOOKUP($MW75,$AV$2:$BA$84,4,FALSE),0)+IFERROR(VLOOKUP($MX75,$AV$2:$BA$84,4,FALSE),0)+IFERROR(VLOOKUP($MY75,$AV$2:$BA$84,4,FALSE),0)</f>
        <v/>
      </c>
      <c r="OB75" s="155">
        <f>IFERROR(VLOOKUP($MV75,$AV$2:$BA$84,6,FALSE),0)+IFERROR(VLOOKUP($MW75,$AV$2:$BA$84,6,FALSE),0)+IFERROR(VLOOKUP($MX75,$AV$2:$BA$84,6,FALSE),0)+IFERROR(VLOOKUP($MY75,$AV$2:$BA$84,6,FALSE),0)</f>
        <v/>
      </c>
      <c r="OC75" s="155">
        <f>TEXTJOIN(", ",TRUE,IF(IFERROR(VLOOKUP($MV75,$AV$2:$BA$84,5,FALSE),0)=1,$MV75,""),IF(IFERROR(VLOOKUP($MW75,$AV$2:$BA$84,5,FALSE),0)=1,$MW75,""),IF(IFERROR(VLOOKUP($MX75,$AV$2:$BA$84,5,FALSE),0)=1,$MX75,""),IF(IFERROR(VLOOKUP($MY75,$AV$2:$BA$84,5,FALSE),0)=1,$MY75,""))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f>
        <v/>
      </c>
      <c r="OY75" s="155">
        <f>$OW75-$OX75</f>
        <v/>
      </c>
      <c r="OZ75" s="155">
        <f>IF($MQ75=0,0,INDEX($P$2:$P$8,MAX(1,$MQ75)))</f>
        <v/>
      </c>
      <c r="PA75" s="155">
        <f>$OZ75-$OU75+$OX75</f>
        <v/>
      </c>
      <c r="PB75" s="155">
        <f>IF($MQ75=0,MAX(0,$NE75-IF($OS75&gt;0,1,0)),MAX(0,$PA75))</f>
        <v/>
      </c>
      <c r="PC75" s="155">
        <f>IF($MQ75=0,0,(IF(COUNTIF($MV75:$MY75,"Salto")&gt;0,1,0)+IF(COUNTIF($MV75:$MY75,"Queima")&gt;0,1,0)+IF(COUNTIF($MV75:$MY75,"Estilhaço")&gt;0,1,0))*FLOOR($PB75/2,1))</f>
        <v/>
      </c>
      <c r="PD75" s="155">
        <f>MAX(0,2-SUMPRODUCT($OK75:$OP75,$I$2:$N$2)+MIN(2,$OQ75*1+$OR75*1,SUMPRODUCT($OK75:$OP75,$I$2:$N$2)))</f>
        <v/>
      </c>
      <c r="PE75" s="155">
        <f>MAX(0,4-SUMPRODUCT($OK75:$OP75,$I$3:$N$3)+MIN(4,$OQ75*1+$OR75*2,SUMPRODUCT($OK75:$OP75,$I$3:$N$3)))</f>
        <v/>
      </c>
      <c r="PF75" s="155">
        <f>MAX(0,6-SUMPRODUCT($OK75:$OP75,$I$4:$N$4)+MIN(6,$OQ75*2+$OR75*3,SUMPRODUCT($OK75:$OP75,$I$4:$N$4)))</f>
        <v/>
      </c>
      <c r="PG75" s="155">
        <f>MAX(0,9-SUMPRODUCT($OK75:$OP75,$I$5:$N$5)+MIN(8,$OQ75*2+$OR75*4,SUMPRODUCT($OK75:$OP75,$I$5:$N$5)))</f>
        <v/>
      </c>
      <c r="PH75" s="155">
        <f>MAX(0,11-SUMPRODUCT($OK75:$OP75,$I$6:$N$6)+MIN(10,$OQ75*3+$OR75*5,SUMPRODUCT($OK75:$OP75,$I$6:$N$6)))</f>
        <v/>
      </c>
      <c r="PI75" s="155">
        <f>MAX(0,13-SUMPRODUCT($OK75:$OP75,$I$7:$N$7)+MIN(12,$OQ75*3+$OR75*6,SUMPRODUCT($OK75:$OP75,$I$7:$N$7)))</f>
        <v/>
      </c>
      <c r="PJ75" s="155">
        <f>MAX(0,16-SUMPRODUCT($OK75:$OP75,$I$8:$N$8)+MIN(14,$OQ75*4+$OR75*7,SUMPRODUCT($OK75:$OP75,$I$8:$N$8)))</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peça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Limpa Fundo</t>
        </is>
      </c>
      <c r="AW76" s="153" t="inlineStr">
        <is>
          <t>Amparo</t>
        </is>
      </c>
      <c r="AX76" s="155" t="n">
        <v>3</v>
      </c>
      <c r="AY76" s="155" t="n">
        <v>0</v>
      </c>
      <c r="AZ76" s="155" t="n">
        <v>0</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IFERROR(VLOOKUP($MV76,$AV$2:$BA$84,2,FALSE),"")</f>
        <v/>
      </c>
      <c r="NJ76" s="155">
        <f>IFERROR(VLOOKUP($MW76,$AV$2:$BA$84,2,FALSE),"")</f>
        <v/>
      </c>
      <c r="NK76" s="155">
        <f>IFERROR(VLOOKUP($MX76,$AV$2:$BA$84,2,FALSE),"")</f>
        <v/>
      </c>
      <c r="NL76" s="155">
        <f>IFERROR(VLOOKUP($MY76,$AV$2:$BA$84,2,FALSE),"")</f>
        <v/>
      </c>
      <c r="NM76" s="155">
        <f>IFERROR(VLOOKUP($MV76,$AV$2:$BA$84,3,FALSE),0)</f>
        <v/>
      </c>
      <c r="NN76" s="155">
        <f>IFERROR(VLOOKUP($MW76,$AV$2:$BA$84,3,FALSE),0)</f>
        <v/>
      </c>
      <c r="NO76" s="155">
        <f>IFERROR(VLOOKUP($MX76,$AV$2:$BA$84,3,FALSE),0)</f>
        <v/>
      </c>
      <c r="NP76" s="155">
        <f>IFERROR(VLOOKUP($MY76,$AV$2:$BA$84,3,FALSE),0)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IFERROR(VLOOKUP($MV76,$AV$2:$BA$84,4,FALSE),0)+IFERROR(VLOOKUP($MW76,$AV$2:$BA$84,4,FALSE),0)+IFERROR(VLOOKUP($MX76,$AV$2:$BA$84,4,FALSE),0)+IFERROR(VLOOKUP($MY76,$AV$2:$BA$84,4,FALSE),0)</f>
        <v/>
      </c>
      <c r="OB76" s="155">
        <f>IFERROR(VLOOKUP($MV76,$AV$2:$BA$84,6,FALSE),0)+IFERROR(VLOOKUP($MW76,$AV$2:$BA$84,6,FALSE),0)+IFERROR(VLOOKUP($MX76,$AV$2:$BA$84,6,FALSE),0)+IFERROR(VLOOKUP($MY76,$AV$2:$BA$84,6,FALSE),0)</f>
        <v/>
      </c>
      <c r="OC76" s="155">
        <f>TEXTJOIN(", ",TRUE,IF(IFERROR(VLOOKUP($MV76,$AV$2:$BA$84,5,FALSE),0)=1,$MV76,""),IF(IFERROR(VLOOKUP($MW76,$AV$2:$BA$84,5,FALSE),0)=1,$MW76,""),IF(IFERROR(VLOOKUP($MX76,$AV$2:$BA$84,5,FALSE),0)=1,$MX76,""),IF(IFERROR(VLOOKUP($MY76,$AV$2:$BA$84,5,FALSE),0)=1,$MY76,""))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f>
        <v/>
      </c>
      <c r="OY76" s="155">
        <f>$OW76-$OX76</f>
        <v/>
      </c>
      <c r="OZ76" s="155">
        <f>IF($MQ76=0,0,INDEX($P$2:$P$8,MAX(1,$MQ76)))</f>
        <v/>
      </c>
      <c r="PA76" s="155">
        <f>$OZ76-$OU76+$OX76</f>
        <v/>
      </c>
      <c r="PB76" s="155">
        <f>IF($MQ76=0,MAX(0,$NE76-IF($OS76&gt;0,1,0)),MAX(0,$PA76))</f>
        <v/>
      </c>
      <c r="PC76" s="155">
        <f>IF($MQ76=0,0,(IF(COUNTIF($MV76:$MY76,"Salto")&gt;0,1,0)+IF(COUNTIF($MV76:$MY76,"Queima")&gt;0,1,0)+IF(COUNTIF($MV76:$MY76,"Estilhaço")&gt;0,1,0))*FLOOR($PB76/2,1))</f>
        <v/>
      </c>
      <c r="PD76" s="155">
        <f>MAX(0,2-SUMPRODUCT($OK76:$OP76,$I$2:$N$2)+MIN(2,$OQ76*1+$OR76*1,SUMPRODUCT($OK76:$OP76,$I$2:$N$2)))</f>
        <v/>
      </c>
      <c r="PE76" s="155">
        <f>MAX(0,4-SUMPRODUCT($OK76:$OP76,$I$3:$N$3)+MIN(4,$OQ76*1+$OR76*2,SUMPRODUCT($OK76:$OP76,$I$3:$N$3)))</f>
        <v/>
      </c>
      <c r="PF76" s="155">
        <f>MAX(0,6-SUMPRODUCT($OK76:$OP76,$I$4:$N$4)+MIN(6,$OQ76*2+$OR76*3,SUMPRODUCT($OK76:$OP76,$I$4:$N$4)))</f>
        <v/>
      </c>
      <c r="PG76" s="155">
        <f>MAX(0,9-SUMPRODUCT($OK76:$OP76,$I$5:$N$5)+MIN(8,$OQ76*2+$OR76*4,SUMPRODUCT($OK76:$OP76,$I$5:$N$5)))</f>
        <v/>
      </c>
      <c r="PH76" s="155">
        <f>MAX(0,11-SUMPRODUCT($OK76:$OP76,$I$6:$N$6)+MIN(10,$OQ76*3+$OR76*5,SUMPRODUCT($OK76:$OP76,$I$6:$N$6)))</f>
        <v/>
      </c>
      <c r="PI76" s="155">
        <f>MAX(0,13-SUMPRODUCT($OK76:$OP76,$I$7:$N$7)+MIN(12,$OQ76*3+$OR76*6,SUMPRODUCT($OK76:$OP76,$I$7:$N$7)))</f>
        <v/>
      </c>
      <c r="PJ76" s="155">
        <f>MAX(0,16-SUMPRODUCT($OK76:$OP76,$I$8:$N$8)+MIN(14,$OQ76*4+$OR76*7,SUMPRODUCT($OK76:$OP76,$I$8:$N$8)))</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peça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Levanta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IFERROR(VLOOKUP($MV77,$AV$2:$BA$84,2,FALSE),"")</f>
        <v/>
      </c>
      <c r="NJ77" s="155">
        <f>IFERROR(VLOOKUP($MW77,$AV$2:$BA$84,2,FALSE),"")</f>
        <v/>
      </c>
      <c r="NK77" s="155">
        <f>IFERROR(VLOOKUP($MX77,$AV$2:$BA$84,2,FALSE),"")</f>
        <v/>
      </c>
      <c r="NL77" s="155">
        <f>IFERROR(VLOOKUP($MY77,$AV$2:$BA$84,2,FALSE),"")</f>
        <v/>
      </c>
      <c r="NM77" s="155">
        <f>IFERROR(VLOOKUP($MV77,$AV$2:$BA$84,3,FALSE),0)</f>
        <v/>
      </c>
      <c r="NN77" s="155">
        <f>IFERROR(VLOOKUP($MW77,$AV$2:$BA$84,3,FALSE),0)</f>
        <v/>
      </c>
      <c r="NO77" s="155">
        <f>IFERROR(VLOOKUP($MX77,$AV$2:$BA$84,3,FALSE),0)</f>
        <v/>
      </c>
      <c r="NP77" s="155">
        <f>IFERROR(VLOOKUP($MY77,$AV$2:$BA$84,3,FALSE),0)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IFERROR(VLOOKUP($MV77,$AV$2:$BA$84,4,FALSE),0)+IFERROR(VLOOKUP($MW77,$AV$2:$BA$84,4,FALSE),0)+IFERROR(VLOOKUP($MX77,$AV$2:$BA$84,4,FALSE),0)+IFERROR(VLOOKUP($MY77,$AV$2:$BA$84,4,FALSE),0)</f>
        <v/>
      </c>
      <c r="OB77" s="155">
        <f>IFERROR(VLOOKUP($MV77,$AV$2:$BA$84,6,FALSE),0)+IFERROR(VLOOKUP($MW77,$AV$2:$BA$84,6,FALSE),0)+IFERROR(VLOOKUP($MX77,$AV$2:$BA$84,6,FALSE),0)+IFERROR(VLOOKUP($MY77,$AV$2:$BA$84,6,FALSE),0)</f>
        <v/>
      </c>
      <c r="OC77" s="155">
        <f>TEXTJOIN(", ",TRUE,IF(IFERROR(VLOOKUP($MV77,$AV$2:$BA$84,5,FALSE),0)=1,$MV77,""),IF(IFERROR(VLOOKUP($MW77,$AV$2:$BA$84,5,FALSE),0)=1,$MW77,""),IF(IFERROR(VLOOKUP($MX77,$AV$2:$BA$84,5,FALSE),0)=1,$MX77,""),IF(IFERROR(VLOOKUP($MY77,$AV$2:$BA$84,5,FALSE),0)=1,$MY77,""))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f>
        <v/>
      </c>
      <c r="OY77" s="155">
        <f>$OW77-$OX77</f>
        <v/>
      </c>
      <c r="OZ77" s="155">
        <f>IF($MQ77=0,0,INDEX($P$2:$P$8,MAX(1,$MQ77)))</f>
        <v/>
      </c>
      <c r="PA77" s="155">
        <f>$OZ77-$OU77+$OX77</f>
        <v/>
      </c>
      <c r="PB77" s="155">
        <f>IF($MQ77=0,MAX(0,$NE77-IF($OS77&gt;0,1,0)),MAX(0,$PA77))</f>
        <v/>
      </c>
      <c r="PC77" s="155">
        <f>IF($MQ77=0,0,(IF(COUNTIF($MV77:$MY77,"Salto")&gt;0,1,0)+IF(COUNTIF($MV77:$MY77,"Queima")&gt;0,1,0)+IF(COUNTIF($MV77:$MY77,"Estilhaço")&gt;0,1,0))*FLOOR($PB77/2,1))</f>
        <v/>
      </c>
      <c r="PD77" s="155">
        <f>MAX(0,2-SUMPRODUCT($OK77:$OP77,$I$2:$N$2)+MIN(2,$OQ77*1+$OR77*1,SUMPRODUCT($OK77:$OP77,$I$2:$N$2)))</f>
        <v/>
      </c>
      <c r="PE77" s="155">
        <f>MAX(0,4-SUMPRODUCT($OK77:$OP77,$I$3:$N$3)+MIN(4,$OQ77*1+$OR77*2,SUMPRODUCT($OK77:$OP77,$I$3:$N$3)))</f>
        <v/>
      </c>
      <c r="PF77" s="155">
        <f>MAX(0,6-SUMPRODUCT($OK77:$OP77,$I$4:$N$4)+MIN(6,$OQ77*2+$OR77*3,SUMPRODUCT($OK77:$OP77,$I$4:$N$4)))</f>
        <v/>
      </c>
      <c r="PG77" s="155">
        <f>MAX(0,9-SUMPRODUCT($OK77:$OP77,$I$5:$N$5)+MIN(8,$OQ77*2+$OR77*4,SUMPRODUCT($OK77:$OP77,$I$5:$N$5)))</f>
        <v/>
      </c>
      <c r="PH77" s="155">
        <f>MAX(0,11-SUMPRODUCT($OK77:$OP77,$I$6:$N$6)+MIN(10,$OQ77*3+$OR77*5,SUMPRODUCT($OK77:$OP77,$I$6:$N$6)))</f>
        <v/>
      </c>
      <c r="PI77" s="155">
        <f>MAX(0,13-SUMPRODUCT($OK77:$OP77,$I$7:$N$7)+MIN(12,$OQ77*3+$OR77*6,SUMPRODUCT($OK77:$OP77,$I$7:$N$7)))</f>
        <v/>
      </c>
      <c r="PJ77" s="155">
        <f>MAX(0,16-SUMPRODUCT($OK77:$OP77,$I$8:$N$8)+MIN(14,$OQ77*4+$OR77*7,SUMPRODUCT($OK77:$OP77,$I$8:$N$8)))</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peça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Remenda</t>
        </is>
      </c>
      <c r="AW78" s="153" t="inlineStr">
        <is>
          <t>Amparo</t>
        </is>
      </c>
      <c r="AX78" s="155" t="n">
        <v>3</v>
      </c>
      <c r="AY78" s="155" t="n">
        <v>0</v>
      </c>
      <c r="AZ78" s="155" t="n">
        <v>1</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IFERROR(VLOOKUP($MV78,$AV$2:$BA$84,2,FALSE),"")</f>
        <v/>
      </c>
      <c r="NJ78" s="155">
        <f>IFERROR(VLOOKUP($MW78,$AV$2:$BA$84,2,FALSE),"")</f>
        <v/>
      </c>
      <c r="NK78" s="155">
        <f>IFERROR(VLOOKUP($MX78,$AV$2:$BA$84,2,FALSE),"")</f>
        <v/>
      </c>
      <c r="NL78" s="155">
        <f>IFERROR(VLOOKUP($MY78,$AV$2:$BA$84,2,FALSE),"")</f>
        <v/>
      </c>
      <c r="NM78" s="155">
        <f>IFERROR(VLOOKUP($MV78,$AV$2:$BA$84,3,FALSE),0)</f>
        <v/>
      </c>
      <c r="NN78" s="155">
        <f>IFERROR(VLOOKUP($MW78,$AV$2:$BA$84,3,FALSE),0)</f>
        <v/>
      </c>
      <c r="NO78" s="155">
        <f>IFERROR(VLOOKUP($MX78,$AV$2:$BA$84,3,FALSE),0)</f>
        <v/>
      </c>
      <c r="NP78" s="155">
        <f>IFERROR(VLOOKUP($MY78,$AV$2:$BA$84,3,FALSE),0)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IFERROR(VLOOKUP($MV78,$AV$2:$BA$84,4,FALSE),0)+IFERROR(VLOOKUP($MW78,$AV$2:$BA$84,4,FALSE),0)+IFERROR(VLOOKUP($MX78,$AV$2:$BA$84,4,FALSE),0)+IFERROR(VLOOKUP($MY78,$AV$2:$BA$84,4,FALSE),0)</f>
        <v/>
      </c>
      <c r="OB78" s="155">
        <f>IFERROR(VLOOKUP($MV78,$AV$2:$BA$84,6,FALSE),0)+IFERROR(VLOOKUP($MW78,$AV$2:$BA$84,6,FALSE),0)+IFERROR(VLOOKUP($MX78,$AV$2:$BA$84,6,FALSE),0)+IFERROR(VLOOKUP($MY78,$AV$2:$BA$84,6,FALSE),0)</f>
        <v/>
      </c>
      <c r="OC78" s="155">
        <f>TEXTJOIN(", ",TRUE,IF(IFERROR(VLOOKUP($MV78,$AV$2:$BA$84,5,FALSE),0)=1,$MV78,""),IF(IFERROR(VLOOKUP($MW78,$AV$2:$BA$84,5,FALSE),0)=1,$MW78,""),IF(IFERROR(VLOOKUP($MX78,$AV$2:$BA$84,5,FALSE),0)=1,$MX78,""),IF(IFERROR(VLOOKUP($MY78,$AV$2:$BA$84,5,FALSE),0)=1,$MY78,""))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f>
        <v/>
      </c>
      <c r="OY78" s="155">
        <f>$OW78-$OX78</f>
        <v/>
      </c>
      <c r="OZ78" s="155">
        <f>IF($MQ78=0,0,INDEX($P$2:$P$8,MAX(1,$MQ78)))</f>
        <v/>
      </c>
      <c r="PA78" s="155">
        <f>$OZ78-$OU78+$OX78</f>
        <v/>
      </c>
      <c r="PB78" s="155">
        <f>IF($MQ78=0,MAX(0,$NE78-IF($OS78&gt;0,1,0)),MAX(0,$PA78))</f>
        <v/>
      </c>
      <c r="PC78" s="155">
        <f>IF($MQ78=0,0,(IF(COUNTIF($MV78:$MY78,"Salto")&gt;0,1,0)+IF(COUNTIF($MV78:$MY78,"Queima")&gt;0,1,0)+IF(COUNTIF($MV78:$MY78,"Estilhaço")&gt;0,1,0))*FLOOR($PB78/2,1))</f>
        <v/>
      </c>
      <c r="PD78" s="155">
        <f>MAX(0,2-SUMPRODUCT($OK78:$OP78,$I$2:$N$2)+MIN(2,$OQ78*1+$OR78*1,SUMPRODUCT($OK78:$OP78,$I$2:$N$2)))</f>
        <v/>
      </c>
      <c r="PE78" s="155">
        <f>MAX(0,4-SUMPRODUCT($OK78:$OP78,$I$3:$N$3)+MIN(4,$OQ78*1+$OR78*2,SUMPRODUCT($OK78:$OP78,$I$3:$N$3)))</f>
        <v/>
      </c>
      <c r="PF78" s="155">
        <f>MAX(0,6-SUMPRODUCT($OK78:$OP78,$I$4:$N$4)+MIN(6,$OQ78*2+$OR78*3,SUMPRODUCT($OK78:$OP78,$I$4:$N$4)))</f>
        <v/>
      </c>
      <c r="PG78" s="155">
        <f>MAX(0,9-SUMPRODUCT($OK78:$OP78,$I$5:$N$5)+MIN(8,$OQ78*2+$OR78*4,SUMPRODUCT($OK78:$OP78,$I$5:$N$5)))</f>
        <v/>
      </c>
      <c r="PH78" s="155">
        <f>MAX(0,11-SUMPRODUCT($OK78:$OP78,$I$6:$N$6)+MIN(10,$OQ78*3+$OR78*5,SUMPRODUCT($OK78:$OP78,$I$6:$N$6)))</f>
        <v/>
      </c>
      <c r="PI78" s="155">
        <f>MAX(0,13-SUMPRODUCT($OK78:$OP78,$I$7:$N$7)+MIN(12,$OQ78*3+$OR78*6,SUMPRODUCT($OK78:$OP78,$I$7:$N$7)))</f>
        <v/>
      </c>
      <c r="PJ78" s="155">
        <f>MAX(0,16-SUMPRODUCT($OK78:$OP78,$I$8:$N$8)+MIN(14,$OQ78*4+$OR78*7,SUMPRODUCT($OK78:$OP78,$I$8:$N$8)))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peça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Divide</t>
        </is>
      </c>
      <c r="AW79" s="153" t="inlineStr">
        <is>
          <t>Amparo</t>
        </is>
      </c>
      <c r="AX79" s="155" t="n">
        <v>2</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IFERROR(VLOOKUP($MV79,$AV$2:$BA$84,2,FALSE),"")</f>
        <v/>
      </c>
      <c r="NJ79" s="155">
        <f>IFERROR(VLOOKUP($MW79,$AV$2:$BA$84,2,FALSE),"")</f>
        <v/>
      </c>
      <c r="NK79" s="155">
        <f>IFERROR(VLOOKUP($MX79,$AV$2:$BA$84,2,FALSE),"")</f>
        <v/>
      </c>
      <c r="NL79" s="155">
        <f>IFERROR(VLOOKUP($MY79,$AV$2:$BA$84,2,FALSE),"")</f>
        <v/>
      </c>
      <c r="NM79" s="155">
        <f>IFERROR(VLOOKUP($MV79,$AV$2:$BA$84,3,FALSE),0)</f>
        <v/>
      </c>
      <c r="NN79" s="155">
        <f>IFERROR(VLOOKUP($MW79,$AV$2:$BA$84,3,FALSE),0)</f>
        <v/>
      </c>
      <c r="NO79" s="155">
        <f>IFERROR(VLOOKUP($MX79,$AV$2:$BA$84,3,FALSE),0)</f>
        <v/>
      </c>
      <c r="NP79" s="155">
        <f>IFERROR(VLOOKUP($MY79,$AV$2:$BA$84,3,FALSE),0)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IFERROR(VLOOKUP($MV79,$AV$2:$BA$84,4,FALSE),0)+IFERROR(VLOOKUP($MW79,$AV$2:$BA$84,4,FALSE),0)+IFERROR(VLOOKUP($MX79,$AV$2:$BA$84,4,FALSE),0)+IFERROR(VLOOKUP($MY79,$AV$2:$BA$84,4,FALSE),0)</f>
        <v/>
      </c>
      <c r="OB79" s="155">
        <f>IFERROR(VLOOKUP($MV79,$AV$2:$BA$84,6,FALSE),0)+IFERROR(VLOOKUP($MW79,$AV$2:$BA$84,6,FALSE),0)+IFERROR(VLOOKUP($MX79,$AV$2:$BA$84,6,FALSE),0)+IFERROR(VLOOKUP($MY79,$AV$2:$BA$84,6,FALSE),0)</f>
        <v/>
      </c>
      <c r="OC79" s="155">
        <f>TEXTJOIN(", ",TRUE,IF(IFERROR(VLOOKUP($MV79,$AV$2:$BA$84,5,FALSE),0)=1,$MV79,""),IF(IFERROR(VLOOKUP($MW79,$AV$2:$BA$84,5,FALSE),0)=1,$MW79,""),IF(IFERROR(VLOOKUP($MX79,$AV$2:$BA$84,5,FALSE),0)=1,$MX79,""),IF(IFERROR(VLOOKUP($MY79,$AV$2:$BA$84,5,FALSE),0)=1,$MY79,""))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f>
        <v/>
      </c>
      <c r="OY79" s="155">
        <f>$OW79-$OX79</f>
        <v/>
      </c>
      <c r="OZ79" s="155">
        <f>IF($MQ79=0,0,INDEX($P$2:$P$8,MAX(1,$MQ79)))</f>
        <v/>
      </c>
      <c r="PA79" s="155">
        <f>$OZ79-$OU79+$OX79</f>
        <v/>
      </c>
      <c r="PB79" s="155">
        <f>IF($MQ79=0,MAX(0,$NE79-IF($OS79&gt;0,1,0)),MAX(0,$PA79))</f>
        <v/>
      </c>
      <c r="PC79" s="155">
        <f>IF($MQ79=0,0,(IF(COUNTIF($MV79:$MY79,"Salto")&gt;0,1,0)+IF(COUNTIF($MV79:$MY79,"Queima")&gt;0,1,0)+IF(COUNTIF($MV79:$MY79,"Estilhaço")&gt;0,1,0))*FLOOR($PB79/2,1))</f>
        <v/>
      </c>
      <c r="PD79" s="155">
        <f>MAX(0,2-SUMPRODUCT($OK79:$OP79,$I$2:$N$2)+MIN(2,$OQ79*1+$OR79*1,SUMPRODUCT($OK79:$OP79,$I$2:$N$2)))</f>
        <v/>
      </c>
      <c r="PE79" s="155">
        <f>MAX(0,4-SUMPRODUCT($OK79:$OP79,$I$3:$N$3)+MIN(4,$OQ79*1+$OR79*2,SUMPRODUCT($OK79:$OP79,$I$3:$N$3)))</f>
        <v/>
      </c>
      <c r="PF79" s="155">
        <f>MAX(0,6-SUMPRODUCT($OK79:$OP79,$I$4:$N$4)+MIN(6,$OQ79*2+$OR79*3,SUMPRODUCT($OK79:$OP79,$I$4:$N$4)))</f>
        <v/>
      </c>
      <c r="PG79" s="155">
        <f>MAX(0,9-SUMPRODUCT($OK79:$OP79,$I$5:$N$5)+MIN(8,$OQ79*2+$OR79*4,SUMPRODUCT($OK79:$OP79,$I$5:$N$5)))</f>
        <v/>
      </c>
      <c r="PH79" s="155">
        <f>MAX(0,11-SUMPRODUCT($OK79:$OP79,$I$6:$N$6)+MIN(10,$OQ79*3+$OR79*5,SUMPRODUCT($OK79:$OP79,$I$6:$N$6)))</f>
        <v/>
      </c>
      <c r="PI79" s="155">
        <f>MAX(0,13-SUMPRODUCT($OK79:$OP79,$I$7:$N$7)+MIN(12,$OQ79*3+$OR79*6,SUMPRODUCT($OK79:$OP79,$I$7:$N$7)))</f>
        <v/>
      </c>
      <c r="PJ79" s="155">
        <f>MAX(0,16-SUMPRODUCT($OK79:$OP79,$I$8:$N$8)+MIN(14,$OQ79*4+$OR79*7,SUMPRODUCT($OK79:$OP79,$I$8:$N$8)))</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peça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Junto</t>
        </is>
      </c>
      <c r="AW80" s="153" t="inlineStr">
        <is>
          <t>Amparo</t>
        </is>
      </c>
      <c r="AX80" s="155" t="n">
        <v>1</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IFERROR(VLOOKUP($MV80,$AV$2:$BA$84,2,FALSE),"")</f>
        <v/>
      </c>
      <c r="NJ80" s="155">
        <f>IFERROR(VLOOKUP($MW80,$AV$2:$BA$84,2,FALSE),"")</f>
        <v/>
      </c>
      <c r="NK80" s="155">
        <f>IFERROR(VLOOKUP($MX80,$AV$2:$BA$84,2,FALSE),"")</f>
        <v/>
      </c>
      <c r="NL80" s="155">
        <f>IFERROR(VLOOKUP($MY80,$AV$2:$BA$84,2,FALSE),"")</f>
        <v/>
      </c>
      <c r="NM80" s="155">
        <f>IFERROR(VLOOKUP($MV80,$AV$2:$BA$84,3,FALSE),0)</f>
        <v/>
      </c>
      <c r="NN80" s="155">
        <f>IFERROR(VLOOKUP($MW80,$AV$2:$BA$84,3,FALSE),0)</f>
        <v/>
      </c>
      <c r="NO80" s="155">
        <f>IFERROR(VLOOKUP($MX80,$AV$2:$BA$84,3,FALSE),0)</f>
        <v/>
      </c>
      <c r="NP80" s="155">
        <f>IFERROR(VLOOKUP($MY80,$AV$2:$BA$84,3,FALSE),0)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IFERROR(VLOOKUP($MV80,$AV$2:$BA$84,4,FALSE),0)+IFERROR(VLOOKUP($MW80,$AV$2:$BA$84,4,FALSE),0)+IFERROR(VLOOKUP($MX80,$AV$2:$BA$84,4,FALSE),0)+IFERROR(VLOOKUP($MY80,$AV$2:$BA$84,4,FALSE),0)</f>
        <v/>
      </c>
      <c r="OB80" s="155">
        <f>IFERROR(VLOOKUP($MV80,$AV$2:$BA$84,6,FALSE),0)+IFERROR(VLOOKUP($MW80,$AV$2:$BA$84,6,FALSE),0)+IFERROR(VLOOKUP($MX80,$AV$2:$BA$84,6,FALSE),0)+IFERROR(VLOOKUP($MY80,$AV$2:$BA$84,6,FALSE),0)</f>
        <v/>
      </c>
      <c r="OC80" s="155">
        <f>TEXTJOIN(", ",TRUE,IF(IFERROR(VLOOKUP($MV80,$AV$2:$BA$84,5,FALSE),0)=1,$MV80,""),IF(IFERROR(VLOOKUP($MW80,$AV$2:$BA$84,5,FALSE),0)=1,$MW80,""),IF(IFERROR(VLOOKUP($MX80,$AV$2:$BA$84,5,FALSE),0)=1,$MX80,""),IF(IFERROR(VLOOKUP($MY80,$AV$2:$BA$84,5,FALSE),0)=1,$MY80,""))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f>
        <v/>
      </c>
      <c r="OY80" s="155">
        <f>$OW80-$OX80</f>
        <v/>
      </c>
      <c r="OZ80" s="155">
        <f>IF($MQ80=0,0,INDEX($P$2:$P$8,MAX(1,$MQ80)))</f>
        <v/>
      </c>
      <c r="PA80" s="155">
        <f>$OZ80-$OU80+$OX80</f>
        <v/>
      </c>
      <c r="PB80" s="155">
        <f>IF($MQ80=0,MAX(0,$NE80-IF($OS80&gt;0,1,0)),MAX(0,$PA80))</f>
        <v/>
      </c>
      <c r="PC80" s="155">
        <f>IF($MQ80=0,0,(IF(COUNTIF($MV80:$MY80,"Salto")&gt;0,1,0)+IF(COUNTIF($MV80:$MY80,"Queima")&gt;0,1,0)+IF(COUNTIF($MV80:$MY80,"Estilhaço")&gt;0,1,0))*FLOOR($PB80/2,1))</f>
        <v/>
      </c>
      <c r="PD80" s="155">
        <f>MAX(0,2-SUMPRODUCT($OK80:$OP80,$I$2:$N$2)+MIN(2,$OQ80*1+$OR80*1,SUMPRODUCT($OK80:$OP80,$I$2:$N$2)))</f>
        <v/>
      </c>
      <c r="PE80" s="155">
        <f>MAX(0,4-SUMPRODUCT($OK80:$OP80,$I$3:$N$3)+MIN(4,$OQ80*1+$OR80*2,SUMPRODUCT($OK80:$OP80,$I$3:$N$3)))</f>
        <v/>
      </c>
      <c r="PF80" s="155">
        <f>MAX(0,6-SUMPRODUCT($OK80:$OP80,$I$4:$N$4)+MIN(6,$OQ80*2+$OR80*3,SUMPRODUCT($OK80:$OP80,$I$4:$N$4)))</f>
        <v/>
      </c>
      <c r="PG80" s="155">
        <f>MAX(0,9-SUMPRODUCT($OK80:$OP80,$I$5:$N$5)+MIN(8,$OQ80*2+$OR80*4,SUMPRODUCT($OK80:$OP80,$I$5:$N$5)))</f>
        <v/>
      </c>
      <c r="PH80" s="155">
        <f>MAX(0,11-SUMPRODUCT($OK80:$OP80,$I$6:$N$6)+MIN(10,$OQ80*3+$OR80*5,SUMPRODUCT($OK80:$OP80,$I$6:$N$6)))</f>
        <v/>
      </c>
      <c r="PI80" s="155">
        <f>MAX(0,13-SUMPRODUCT($OK80:$OP80,$I$7:$N$7)+MIN(12,$OQ80*3+$OR80*6,SUMPRODUCT($OK80:$OP80,$I$7:$N$7)))</f>
        <v/>
      </c>
      <c r="PJ80" s="155">
        <f>MAX(0,16-SUMPRODUCT($OK80:$OP80,$I$8:$N$8)+MIN(14,$OQ80*4+$OR80*7,SUMPRODUCT($OK80:$OP80,$I$8:$N$8)))</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peça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Reserva</t>
        </is>
      </c>
      <c r="AW81" s="153" t="inlineStr">
        <is>
          <t>Amparo</t>
        </is>
      </c>
      <c r="AX81" s="155" t="n">
        <v>2</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IFERROR(VLOOKUP($MV81,$AV$2:$BA$84,2,FALSE),"")</f>
        <v/>
      </c>
      <c r="NJ81" s="155">
        <f>IFERROR(VLOOKUP($MW81,$AV$2:$BA$84,2,FALSE),"")</f>
        <v/>
      </c>
      <c r="NK81" s="155">
        <f>IFERROR(VLOOKUP($MX81,$AV$2:$BA$84,2,FALSE),"")</f>
        <v/>
      </c>
      <c r="NL81" s="155">
        <f>IFERROR(VLOOKUP($MY81,$AV$2:$BA$84,2,FALSE),"")</f>
        <v/>
      </c>
      <c r="NM81" s="155">
        <f>IFERROR(VLOOKUP($MV81,$AV$2:$BA$84,3,FALSE),0)</f>
        <v/>
      </c>
      <c r="NN81" s="155">
        <f>IFERROR(VLOOKUP($MW81,$AV$2:$BA$84,3,FALSE),0)</f>
        <v/>
      </c>
      <c r="NO81" s="155">
        <f>IFERROR(VLOOKUP($MX81,$AV$2:$BA$84,3,FALSE),0)</f>
        <v/>
      </c>
      <c r="NP81" s="155">
        <f>IFERROR(VLOOKUP($MY81,$AV$2:$BA$84,3,FALSE),0)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IFERROR(VLOOKUP($MV81,$AV$2:$BA$84,4,FALSE),0)+IFERROR(VLOOKUP($MW81,$AV$2:$BA$84,4,FALSE),0)+IFERROR(VLOOKUP($MX81,$AV$2:$BA$84,4,FALSE),0)+IFERROR(VLOOKUP($MY81,$AV$2:$BA$84,4,FALSE),0)</f>
        <v/>
      </c>
      <c r="OB81" s="155">
        <f>IFERROR(VLOOKUP($MV81,$AV$2:$BA$84,6,FALSE),0)+IFERROR(VLOOKUP($MW81,$AV$2:$BA$84,6,FALSE),0)+IFERROR(VLOOKUP($MX81,$AV$2:$BA$84,6,FALSE),0)+IFERROR(VLOOKUP($MY81,$AV$2:$BA$84,6,FALSE),0)</f>
        <v/>
      </c>
      <c r="OC81" s="155">
        <f>TEXTJOIN(", ",TRUE,IF(IFERROR(VLOOKUP($MV81,$AV$2:$BA$84,5,FALSE),0)=1,$MV81,""),IF(IFERROR(VLOOKUP($MW81,$AV$2:$BA$84,5,FALSE),0)=1,$MW81,""),IF(IFERROR(VLOOKUP($MX81,$AV$2:$BA$84,5,FALSE),0)=1,$MX81,""),IF(IFERROR(VLOOKUP($MY81,$AV$2:$BA$84,5,FALSE),0)=1,$MY81,""))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f>
        <v/>
      </c>
      <c r="OY81" s="155">
        <f>$OW81-$OX81</f>
        <v/>
      </c>
      <c r="OZ81" s="155">
        <f>IF($MQ81=0,0,INDEX($P$2:$P$8,MAX(1,$MQ81)))</f>
        <v/>
      </c>
      <c r="PA81" s="155">
        <f>$OZ81-$OU81+$OX81</f>
        <v/>
      </c>
      <c r="PB81" s="155">
        <f>IF($MQ81=0,MAX(0,$NE81-IF($OS81&gt;0,1,0)),MAX(0,$PA81))</f>
        <v/>
      </c>
      <c r="PC81" s="155">
        <f>IF($MQ81=0,0,(IF(COUNTIF($MV81:$MY81,"Salto")&gt;0,1,0)+IF(COUNTIF($MV81:$MY81,"Queima")&gt;0,1,0)+IF(COUNTIF($MV81:$MY81,"Estilhaço")&gt;0,1,0))*FLOOR($PB81/2,1))</f>
        <v/>
      </c>
      <c r="PD81" s="155">
        <f>MAX(0,2-SUMPRODUCT($OK81:$OP81,$I$2:$N$2)+MIN(2,$OQ81*1+$OR81*1,SUMPRODUCT($OK81:$OP81,$I$2:$N$2)))</f>
        <v/>
      </c>
      <c r="PE81" s="155">
        <f>MAX(0,4-SUMPRODUCT($OK81:$OP81,$I$3:$N$3)+MIN(4,$OQ81*1+$OR81*2,SUMPRODUCT($OK81:$OP81,$I$3:$N$3)))</f>
        <v/>
      </c>
      <c r="PF81" s="155">
        <f>MAX(0,6-SUMPRODUCT($OK81:$OP81,$I$4:$N$4)+MIN(6,$OQ81*2+$OR81*3,SUMPRODUCT($OK81:$OP81,$I$4:$N$4)))</f>
        <v/>
      </c>
      <c r="PG81" s="155">
        <f>MAX(0,9-SUMPRODUCT($OK81:$OP81,$I$5:$N$5)+MIN(8,$OQ81*2+$OR81*4,SUMPRODUCT($OK81:$OP81,$I$5:$N$5)))</f>
        <v/>
      </c>
      <c r="PH81" s="155">
        <f>MAX(0,11-SUMPRODUCT($OK81:$OP81,$I$6:$N$6)+MIN(10,$OQ81*3+$OR81*5,SUMPRODUCT($OK81:$OP81,$I$6:$N$6)))</f>
        <v/>
      </c>
      <c r="PI81" s="155">
        <f>MAX(0,13-SUMPRODUCT($OK81:$OP81,$I$7:$N$7)+MIN(12,$OQ81*3+$OR81*6,SUMPRODUCT($OK81:$OP81,$I$7:$N$7)))</f>
        <v/>
      </c>
      <c r="PJ81" s="155">
        <f>MAX(0,16-SUMPRODUCT($OK81:$OP81,$I$8:$N$8)+MIN(14,$OQ81*4+$OR81*7,SUMPRODUCT($OK81:$OP81,$I$8:$N$8)))</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peça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(Leve)</t>
        </is>
      </c>
      <c r="AW82" s="153" t="inlineStr"/>
      <c r="AX82" s="155" t="n">
        <v>1</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IFERROR(VLOOKUP($MV82,$AV$2:$BA$84,2,FALSE),"")</f>
        <v/>
      </c>
      <c r="NJ82" s="155">
        <f>IFERROR(VLOOKUP($MW82,$AV$2:$BA$84,2,FALSE),"")</f>
        <v/>
      </c>
      <c r="NK82" s="155">
        <f>IFERROR(VLOOKUP($MX82,$AV$2:$BA$84,2,FALSE),"")</f>
        <v/>
      </c>
      <c r="NL82" s="155">
        <f>IFERROR(VLOOKUP($MY82,$AV$2:$BA$84,2,FALSE),"")</f>
        <v/>
      </c>
      <c r="NM82" s="155">
        <f>IFERROR(VLOOKUP($MV82,$AV$2:$BA$84,3,FALSE),0)</f>
        <v/>
      </c>
      <c r="NN82" s="155">
        <f>IFERROR(VLOOKUP($MW82,$AV$2:$BA$84,3,FALSE),0)</f>
        <v/>
      </c>
      <c r="NO82" s="155">
        <f>IFERROR(VLOOKUP($MX82,$AV$2:$BA$84,3,FALSE),0)</f>
        <v/>
      </c>
      <c r="NP82" s="155">
        <f>IFERROR(VLOOKUP($MY82,$AV$2:$BA$84,3,FALSE),0)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IFERROR(VLOOKUP($MV82,$AV$2:$BA$84,4,FALSE),0)+IFERROR(VLOOKUP($MW82,$AV$2:$BA$84,4,FALSE),0)+IFERROR(VLOOKUP($MX82,$AV$2:$BA$84,4,FALSE),0)+IFERROR(VLOOKUP($MY82,$AV$2:$BA$84,4,FALSE),0)</f>
        <v/>
      </c>
      <c r="OB82" s="155">
        <f>IFERROR(VLOOKUP($MV82,$AV$2:$BA$84,6,FALSE),0)+IFERROR(VLOOKUP($MW82,$AV$2:$BA$84,6,FALSE),0)+IFERROR(VLOOKUP($MX82,$AV$2:$BA$84,6,FALSE),0)+IFERROR(VLOOKUP($MY82,$AV$2:$BA$84,6,FALSE),0)</f>
        <v/>
      </c>
      <c r="OC82" s="155">
        <f>TEXTJOIN(", ",TRUE,IF(IFERROR(VLOOKUP($MV82,$AV$2:$BA$84,5,FALSE),0)=1,$MV82,""),IF(IFERROR(VLOOKUP($MW82,$AV$2:$BA$84,5,FALSE),0)=1,$MW82,""),IF(IFERROR(VLOOKUP($MX82,$AV$2:$BA$84,5,FALSE),0)=1,$MX82,""),IF(IFERROR(VLOOKUP($MY82,$AV$2:$BA$84,5,FALSE),0)=1,$MY82,""))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f>
        <v/>
      </c>
      <c r="OY82" s="155">
        <f>$OW82-$OX82</f>
        <v/>
      </c>
      <c r="OZ82" s="155">
        <f>IF($MQ82=0,0,INDEX($P$2:$P$8,MAX(1,$MQ82)))</f>
        <v/>
      </c>
      <c r="PA82" s="155">
        <f>$OZ82-$OU82+$OX82</f>
        <v/>
      </c>
      <c r="PB82" s="155">
        <f>IF($MQ82=0,MAX(0,$NE82-IF($OS82&gt;0,1,0)),MAX(0,$PA82))</f>
        <v/>
      </c>
      <c r="PC82" s="155">
        <f>IF($MQ82=0,0,(IF(COUNTIF($MV82:$MY82,"Salto")&gt;0,1,0)+IF(COUNTIF($MV82:$MY82,"Queima")&gt;0,1,0)+IF(COUNTIF($MV82:$MY82,"Estilhaço")&gt;0,1,0))*FLOOR($PB82/2,1))</f>
        <v/>
      </c>
      <c r="PD82" s="155">
        <f>MAX(0,2-SUMPRODUCT($OK82:$OP82,$I$2:$N$2)+MIN(2,$OQ82*1+$OR82*1,SUMPRODUCT($OK82:$OP82,$I$2:$N$2)))</f>
        <v/>
      </c>
      <c r="PE82" s="155">
        <f>MAX(0,4-SUMPRODUCT($OK82:$OP82,$I$3:$N$3)+MIN(4,$OQ82*1+$OR82*2,SUMPRODUCT($OK82:$OP82,$I$3:$N$3)))</f>
        <v/>
      </c>
      <c r="PF82" s="155">
        <f>MAX(0,6-SUMPRODUCT($OK82:$OP82,$I$4:$N$4)+MIN(6,$OQ82*2+$OR82*3,SUMPRODUCT($OK82:$OP82,$I$4:$N$4)))</f>
        <v/>
      </c>
      <c r="PG82" s="155">
        <f>MAX(0,9-SUMPRODUCT($OK82:$OP82,$I$5:$N$5)+MIN(8,$OQ82*2+$OR82*4,SUMPRODUCT($OK82:$OP82,$I$5:$N$5)))</f>
        <v/>
      </c>
      <c r="PH82" s="155">
        <f>MAX(0,11-SUMPRODUCT($OK82:$OP82,$I$6:$N$6)+MIN(10,$OQ82*3+$OR82*5,SUMPRODUCT($OK82:$OP82,$I$6:$N$6)))</f>
        <v/>
      </c>
      <c r="PI82" s="155">
        <f>MAX(0,13-SUMPRODUCT($OK82:$OP82,$I$7:$N$7)+MIN(12,$OQ82*3+$OR82*6,SUMPRODUCT($OK82:$OP82,$I$7:$N$7)))</f>
        <v/>
      </c>
      <c r="PJ82" s="155">
        <f>MAX(0,16-SUMPRODUCT($OK82:$OP82,$I$8:$N$8)+MIN(14,$OQ82*4+$OR82*7,SUMPRODUCT($OK82:$OP82,$I$8:$N$8)))</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peça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(Média)</t>
        </is>
      </c>
      <c r="AW83" s="153" t="inlineStr"/>
      <c r="AX83" s="155" t="n">
        <v>2</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IFERROR(VLOOKUP($MV83,$AV$2:$BA$84,2,FALSE),"")</f>
        <v/>
      </c>
      <c r="NJ83" s="155">
        <f>IFERROR(VLOOKUP($MW83,$AV$2:$BA$84,2,FALSE),"")</f>
        <v/>
      </c>
      <c r="NK83" s="155">
        <f>IFERROR(VLOOKUP($MX83,$AV$2:$BA$84,2,FALSE),"")</f>
        <v/>
      </c>
      <c r="NL83" s="155">
        <f>IFERROR(VLOOKUP($MY83,$AV$2:$BA$84,2,FALSE),"")</f>
        <v/>
      </c>
      <c r="NM83" s="155">
        <f>IFERROR(VLOOKUP($MV83,$AV$2:$BA$84,3,FALSE),0)</f>
        <v/>
      </c>
      <c r="NN83" s="155">
        <f>IFERROR(VLOOKUP($MW83,$AV$2:$BA$84,3,FALSE),0)</f>
        <v/>
      </c>
      <c r="NO83" s="155">
        <f>IFERROR(VLOOKUP($MX83,$AV$2:$BA$84,3,FALSE),0)</f>
        <v/>
      </c>
      <c r="NP83" s="155">
        <f>IFERROR(VLOOKUP($MY83,$AV$2:$BA$84,3,FALSE),0)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IFERROR(VLOOKUP($MV83,$AV$2:$BA$84,4,FALSE),0)+IFERROR(VLOOKUP($MW83,$AV$2:$BA$84,4,FALSE),0)+IFERROR(VLOOKUP($MX83,$AV$2:$BA$84,4,FALSE),0)+IFERROR(VLOOKUP($MY83,$AV$2:$BA$84,4,FALSE),0)</f>
        <v/>
      </c>
      <c r="OB83" s="155">
        <f>IFERROR(VLOOKUP($MV83,$AV$2:$BA$84,6,FALSE),0)+IFERROR(VLOOKUP($MW83,$AV$2:$BA$84,6,FALSE),0)+IFERROR(VLOOKUP($MX83,$AV$2:$BA$84,6,FALSE),0)+IFERROR(VLOOKUP($MY83,$AV$2:$BA$84,6,FALSE),0)</f>
        <v/>
      </c>
      <c r="OC83" s="155">
        <f>TEXTJOIN(", ",TRUE,IF(IFERROR(VLOOKUP($MV83,$AV$2:$BA$84,5,FALSE),0)=1,$MV83,""),IF(IFERROR(VLOOKUP($MW83,$AV$2:$BA$84,5,FALSE),0)=1,$MW83,""),IF(IFERROR(VLOOKUP($MX83,$AV$2:$BA$84,5,FALSE),0)=1,$MX83,""),IF(IFERROR(VLOOKUP($MY83,$AV$2:$BA$84,5,FALSE),0)=1,$MY83,""))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f>
        <v/>
      </c>
      <c r="OY83" s="155">
        <f>$OW83-$OX83</f>
        <v/>
      </c>
      <c r="OZ83" s="155">
        <f>IF($MQ83=0,0,INDEX($P$2:$P$8,MAX(1,$MQ83)))</f>
        <v/>
      </c>
      <c r="PA83" s="155">
        <f>$OZ83-$OU83+$OX83</f>
        <v/>
      </c>
      <c r="PB83" s="155">
        <f>IF($MQ83=0,MAX(0,$NE83-IF($OS83&gt;0,1,0)),MAX(0,$PA83))</f>
        <v/>
      </c>
      <c r="PC83" s="155">
        <f>IF($MQ83=0,0,(IF(COUNTIF($MV83:$MY83,"Salto")&gt;0,1,0)+IF(COUNTIF($MV83:$MY83,"Queima")&gt;0,1,0)+IF(COUNTIF($MV83:$MY83,"Estilhaço")&gt;0,1,0))*FLOOR($PB83/2,1))</f>
        <v/>
      </c>
      <c r="PD83" s="155">
        <f>MAX(0,2-SUMPRODUCT($OK83:$OP83,$I$2:$N$2)+MIN(2,$OQ83*1+$OR83*1,SUMPRODUCT($OK83:$OP83,$I$2:$N$2)))</f>
        <v/>
      </c>
      <c r="PE83" s="155">
        <f>MAX(0,4-SUMPRODUCT($OK83:$OP83,$I$3:$N$3)+MIN(4,$OQ83*1+$OR83*2,SUMPRODUCT($OK83:$OP83,$I$3:$N$3)))</f>
        <v/>
      </c>
      <c r="PF83" s="155">
        <f>MAX(0,6-SUMPRODUCT($OK83:$OP83,$I$4:$N$4)+MIN(6,$OQ83*2+$OR83*3,SUMPRODUCT($OK83:$OP83,$I$4:$N$4)))</f>
        <v/>
      </c>
      <c r="PG83" s="155">
        <f>MAX(0,9-SUMPRODUCT($OK83:$OP83,$I$5:$N$5)+MIN(8,$OQ83*2+$OR83*4,SUMPRODUCT($OK83:$OP83,$I$5:$N$5)))</f>
        <v/>
      </c>
      <c r="PH83" s="155">
        <f>MAX(0,11-SUMPRODUCT($OK83:$OP83,$I$6:$N$6)+MIN(10,$OQ83*3+$OR83*5,SUMPRODUCT($OK83:$OP83,$I$6:$N$6)))</f>
        <v/>
      </c>
      <c r="PI83" s="155">
        <f>MAX(0,13-SUMPRODUCT($OK83:$OP83,$I$7:$N$7)+MIN(12,$OQ83*3+$OR83*6,SUMPRODUCT($OK83:$OP83,$I$7:$N$7)))</f>
        <v/>
      </c>
      <c r="PJ83" s="155">
        <f>MAX(0,16-SUMPRODUCT($OK83:$OP83,$I$8:$N$8)+MIN(14,$OQ83*4+$OR83*7,SUMPRODUCT($OK83:$OP83,$I$8:$N$8)))</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peça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AV84" s="153" t="inlineStr">
        <is>
          <t>Efeito Próprio (Pesada)</t>
        </is>
      </c>
      <c r="AW84" s="153" t="inlineStr"/>
      <c r="AX84" s="155" t="n">
        <v>3</v>
      </c>
      <c r="AY84" s="155" t="n">
        <v>0</v>
      </c>
      <c r="AZ84" s="155" t="n">
        <v>0</v>
      </c>
      <c r="BA84" s="155" t="n">
        <v>0</v>
      </c>
      <c r="JR84" s="155">
        <f>IF(OR($AW84="",COUNTIF($EJ$2:$EN$2,$AW84)&gt;0),$AV84,"")</f>
        <v/>
      </c>
      <c r="JS84" s="155">
        <f>IF(AND($AX84=1,OR($AW84="",COUNTIF($EJ$2:$EN$2,$AW84)&gt;0)),$AV84,"")</f>
        <v/>
      </c>
      <c r="JX84" s="155">
        <f>IF(OR($AW84="",COUNTIF($EJ$3:$EN$3,$AW84)&gt;0),$AV84,"")</f>
        <v/>
      </c>
      <c r="JY84" s="155">
        <f>IF(AND($AX84=1,OR($AW84="",COUNTIF($EJ$3:$EN$3,$AW84)&gt;0)),$AV84,"")</f>
        <v/>
      </c>
      <c r="KD84" s="155">
        <f>IF(OR($AW84="",COUNTIF($EJ$4:$EN$4,$AW84)&gt;0),$AV84,"")</f>
        <v/>
      </c>
      <c r="KE84" s="155">
        <f>IF(AND($AX84=1,OR($AW84="",COUNTIF($EJ$4:$EN$4,$AW84)&gt;0)),$AV84,"")</f>
        <v/>
      </c>
      <c r="KJ84" s="155">
        <f>IF(OR($AW84="",COUNTIF($EJ$5:$EN$5,$AW84)&gt;0),$AV84,"")</f>
        <v/>
      </c>
      <c r="KK84" s="155">
        <f>IF(AND($AX84=1,OR($AW84="",COUNTIF($EJ$5:$EN$5,$AW84)&gt;0)),$AV84,"")</f>
        <v/>
      </c>
      <c r="KP84" s="155">
        <f>IF(OR($AW84="",COUNTIF($EJ$6:$EN$6,$AW84)&gt;0),$AV84,"")</f>
        <v/>
      </c>
      <c r="KQ84" s="155">
        <f>IF(AND($AX84=1,OR($AW84="",COUNTIF($EJ$6:$EN$6,$AW84)&gt;0)),$AV84,"")</f>
        <v/>
      </c>
      <c r="KV84" s="155">
        <f>IF(OR($AW84="",COUNTIF($EJ$7:$EN$7,$AW84)&gt;0),$AV84,"")</f>
        <v/>
      </c>
      <c r="KW84" s="155">
        <f>IF(AND($AX84=1,OR($AW84="",COUNTIF($EJ$7:$EN$7,$AW84)&gt;0)),$AV84,"")</f>
        <v/>
      </c>
      <c r="LB84" s="155">
        <f>IF(OR($AW84="",COUNTIF($EJ$8:$EN$8,$AW84)&gt;0),$AV84,"")</f>
        <v/>
      </c>
      <c r="LC84" s="155">
        <f>IF(AND($AX84=1,OR($AW84="",COUNTIF($EJ$8:$EN$8,$AW84)&gt;0)),$AV84,"")</f>
        <v/>
      </c>
      <c r="LH84" s="155">
        <f>IF(OR($AW84="",COUNTIF($EJ$9:$EN$9,$AW84)&gt;0),$AV84,"")</f>
        <v/>
      </c>
      <c r="LI84" s="155">
        <f>IF(AND($AX84=1,OR($AW84="",COUNTIF($EJ$9:$EN$9,$AW84)&gt;0)),$AV84,"")</f>
        <v/>
      </c>
      <c r="LN84" s="155">
        <f>IF(OR($AW84="",COUNTIF($EJ$10:$EN$10,$AW84)&gt;0),$AV84,"")</f>
        <v/>
      </c>
      <c r="LO84" s="155">
        <f>IF(AND($AX84=1,OR($AW84="",COUNTIF($EJ$10:$EN$10,$AW84)&gt;0)),$AV84,"")</f>
        <v/>
      </c>
      <c r="LT84" s="155">
        <f>IF(OR($AW84="",COUNTIF($EJ$11:$EN$11,$AW84)&gt;0),$AV84,"")</f>
        <v/>
      </c>
      <c r="LU84" s="155">
        <f>IF(AND($AX84=1,OR($AW84="",COUNTIF($EJ$11:$EN$11,$AW84)&gt;0)),$AV84,"")</f>
        <v/>
      </c>
      <c r="LZ84" s="155">
        <f>IF(OR($AW84="",COUNTIF($EJ$12:$EN$12,$AW84)&gt;0),$AV84,"")</f>
        <v/>
      </c>
      <c r="MA84" s="155">
        <f>IF(AND($AX84=1,OR($AW84="",COUNTIF($EJ$12:$EN$12,$AW84)&gt;0)),$AV84,"")</f>
        <v/>
      </c>
      <c r="MF84" s="155">
        <f>IF(OR($AW84="",COUNTIF($EJ$13:$EN$13,$AW84)&gt;0),$AV84,"")</f>
        <v/>
      </c>
      <c r="MG84" s="155">
        <f>IF(AND($AX84=1,OR($AW84="",COUNTIF($EJ$13:$EN$13,$AW84)&gt;0)),$AV84,"")</f>
        <v/>
      </c>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IFERROR(VLOOKUP($MV84,$AV$2:$BA$84,2,FALSE),"")</f>
        <v/>
      </c>
      <c r="NJ84" s="155">
        <f>IFERROR(VLOOKUP($MW84,$AV$2:$BA$84,2,FALSE),"")</f>
        <v/>
      </c>
      <c r="NK84" s="155">
        <f>IFERROR(VLOOKUP($MX84,$AV$2:$BA$84,2,FALSE),"")</f>
        <v/>
      </c>
      <c r="NL84" s="155">
        <f>IFERROR(VLOOKUP($MY84,$AV$2:$BA$84,2,FALSE),"")</f>
        <v/>
      </c>
      <c r="NM84" s="155">
        <f>IFERROR(VLOOKUP($MV84,$AV$2:$BA$84,3,FALSE),0)</f>
        <v/>
      </c>
      <c r="NN84" s="155">
        <f>IFERROR(VLOOKUP($MW84,$AV$2:$BA$84,3,FALSE),0)</f>
        <v/>
      </c>
      <c r="NO84" s="155">
        <f>IFERROR(VLOOKUP($MX84,$AV$2:$BA$84,3,FALSE),0)</f>
        <v/>
      </c>
      <c r="NP84" s="155">
        <f>IFERROR(VLOOKUP($MY84,$AV$2:$BA$84,3,FALSE),0)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IFERROR(VLOOKUP($MV84,$AV$2:$BA$84,4,FALSE),0)+IFERROR(VLOOKUP($MW84,$AV$2:$BA$84,4,FALSE),0)+IFERROR(VLOOKUP($MX84,$AV$2:$BA$84,4,FALSE),0)+IFERROR(VLOOKUP($MY84,$AV$2:$BA$84,4,FALSE),0)</f>
        <v/>
      </c>
      <c r="OB84" s="155">
        <f>IFERROR(VLOOKUP($MV84,$AV$2:$BA$84,6,FALSE),0)+IFERROR(VLOOKUP($MW84,$AV$2:$BA$84,6,FALSE),0)+IFERROR(VLOOKUP($MX84,$AV$2:$BA$84,6,FALSE),0)+IFERROR(VLOOKUP($MY84,$AV$2:$BA$84,6,FALSE),0)</f>
        <v/>
      </c>
      <c r="OC84" s="155">
        <f>TEXTJOIN(", ",TRUE,IF(IFERROR(VLOOKUP($MV84,$AV$2:$BA$84,5,FALSE),0)=1,$MV84,""),IF(IFERROR(VLOOKUP($MW84,$AV$2:$BA$84,5,FALSE),0)=1,$MW84,""),IF(IFERROR(VLOOKUP($MX84,$AV$2:$BA$84,5,FALSE),0)=1,$MX84,""),IF(IFERROR(VLOOKUP($MY84,$AV$2:$BA$84,5,FALSE),0)=1,$MY84,""))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f>
        <v/>
      </c>
      <c r="OY84" s="155">
        <f>$OW84-$OX84</f>
        <v/>
      </c>
      <c r="OZ84" s="155">
        <f>IF($MQ84=0,0,INDEX($P$2:$P$8,MAX(1,$MQ84)))</f>
        <v/>
      </c>
      <c r="PA84" s="155">
        <f>$OZ84-$OU84+$OX84</f>
        <v/>
      </c>
      <c r="PB84" s="155">
        <f>IF($MQ84=0,MAX(0,$NE84-IF($OS84&gt;0,1,0)),MAX(0,$PA84))</f>
        <v/>
      </c>
      <c r="PC84" s="155">
        <f>IF($MQ84=0,0,(IF(COUNTIF($MV84:$MY84,"Salto")&gt;0,1,0)+IF(COUNTIF($MV84:$MY84,"Queima")&gt;0,1,0)+IF(COUNTIF($MV84:$MY84,"Estilhaço")&gt;0,1,0))*FLOOR($PB84/2,1))</f>
        <v/>
      </c>
      <c r="PD84" s="155">
        <f>MAX(0,2-SUMPRODUCT($OK84:$OP84,$I$2:$N$2)+MIN(2,$OQ84*1+$OR84*1,SUMPRODUCT($OK84:$OP84,$I$2:$N$2)))</f>
        <v/>
      </c>
      <c r="PE84" s="155">
        <f>MAX(0,4-SUMPRODUCT($OK84:$OP84,$I$3:$N$3)+MIN(4,$OQ84*1+$OR84*2,SUMPRODUCT($OK84:$OP84,$I$3:$N$3)))</f>
        <v/>
      </c>
      <c r="PF84" s="155">
        <f>MAX(0,6-SUMPRODUCT($OK84:$OP84,$I$4:$N$4)+MIN(6,$OQ84*2+$OR84*3,SUMPRODUCT($OK84:$OP84,$I$4:$N$4)))</f>
        <v/>
      </c>
      <c r="PG84" s="155">
        <f>MAX(0,9-SUMPRODUCT($OK84:$OP84,$I$5:$N$5)+MIN(8,$OQ84*2+$OR84*4,SUMPRODUCT($OK84:$OP84,$I$5:$N$5)))</f>
        <v/>
      </c>
      <c r="PH84" s="155">
        <f>MAX(0,11-SUMPRODUCT($OK84:$OP84,$I$6:$N$6)+MIN(10,$OQ84*3+$OR84*5,SUMPRODUCT($OK84:$OP84,$I$6:$N$6)))</f>
        <v/>
      </c>
      <c r="PI84" s="155">
        <f>MAX(0,13-SUMPRODUCT($OK84:$OP84,$I$7:$N$7)+MIN(12,$OQ84*3+$OR84*6,SUMPRODUCT($OK84:$OP84,$I$7:$N$7)))</f>
        <v/>
      </c>
      <c r="PJ84" s="155">
        <f>MAX(0,16-SUMPRODUCT($OK84:$OP84,$I$8:$N$8)+MIN(14,$OQ84*4+$OR84*7,SUMPRODUCT($OK84:$OP84,$I$8:$N$8)))</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peça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IFERROR(VLOOKUP($MV85,$AV$2:$BA$84,2,FALSE),"")</f>
        <v/>
      </c>
      <c r="NJ85" s="155">
        <f>IFERROR(VLOOKUP($MW85,$AV$2:$BA$84,2,FALSE),"")</f>
        <v/>
      </c>
      <c r="NK85" s="155">
        <f>IFERROR(VLOOKUP($MX85,$AV$2:$BA$84,2,FALSE),"")</f>
        <v/>
      </c>
      <c r="NL85" s="155">
        <f>IFERROR(VLOOKUP($MY85,$AV$2:$BA$84,2,FALSE),"")</f>
        <v/>
      </c>
      <c r="NM85" s="155">
        <f>IFERROR(VLOOKUP($MV85,$AV$2:$BA$84,3,FALSE),0)</f>
        <v/>
      </c>
      <c r="NN85" s="155">
        <f>IFERROR(VLOOKUP($MW85,$AV$2:$BA$84,3,FALSE),0)</f>
        <v/>
      </c>
      <c r="NO85" s="155">
        <f>IFERROR(VLOOKUP($MX85,$AV$2:$BA$84,3,FALSE),0)</f>
        <v/>
      </c>
      <c r="NP85" s="155">
        <f>IFERROR(VLOOKUP($MY85,$AV$2:$BA$84,3,FALSE),0)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IFERROR(VLOOKUP($MV85,$AV$2:$BA$84,4,FALSE),0)+IFERROR(VLOOKUP($MW85,$AV$2:$BA$84,4,FALSE),0)+IFERROR(VLOOKUP($MX85,$AV$2:$BA$84,4,FALSE),0)+IFERROR(VLOOKUP($MY85,$AV$2:$BA$84,4,FALSE),0)</f>
        <v/>
      </c>
      <c r="OB85" s="155">
        <f>IFERROR(VLOOKUP($MV85,$AV$2:$BA$84,6,FALSE),0)+IFERROR(VLOOKUP($MW85,$AV$2:$BA$84,6,FALSE),0)+IFERROR(VLOOKUP($MX85,$AV$2:$BA$84,6,FALSE),0)+IFERROR(VLOOKUP($MY85,$AV$2:$BA$84,6,FALSE),0)</f>
        <v/>
      </c>
      <c r="OC85" s="155">
        <f>TEXTJOIN(", ",TRUE,IF(IFERROR(VLOOKUP($MV85,$AV$2:$BA$84,5,FALSE),0)=1,$MV85,""),IF(IFERROR(VLOOKUP($MW85,$AV$2:$BA$84,5,FALSE),0)=1,$MW85,""),IF(IFERROR(VLOOKUP($MX85,$AV$2:$BA$84,5,FALSE),0)=1,$MX85,""),IF(IFERROR(VLOOKUP($MY85,$AV$2:$BA$84,5,FALSE),0)=1,$MY85,""))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f>
        <v/>
      </c>
      <c r="OY85" s="155">
        <f>$OW85-$OX85</f>
        <v/>
      </c>
      <c r="OZ85" s="155">
        <f>IF($MQ85=0,0,INDEX($P$2:$P$8,MAX(1,$MQ85)))</f>
        <v/>
      </c>
      <c r="PA85" s="155">
        <f>$OZ85-$OU85+$OX85</f>
        <v/>
      </c>
      <c r="PB85" s="155">
        <f>IF($MQ85=0,MAX(0,$NE85-IF($OS85&gt;0,1,0)),MAX(0,$PA85))</f>
        <v/>
      </c>
      <c r="PC85" s="155">
        <f>IF($MQ85=0,0,(IF(COUNTIF($MV85:$MY85,"Salto")&gt;0,1,0)+IF(COUNTIF($MV85:$MY85,"Queima")&gt;0,1,0)+IF(COUNTIF($MV85:$MY85,"Estilhaço")&gt;0,1,0))*FLOOR($PB85/2,1))</f>
        <v/>
      </c>
      <c r="PD85" s="155">
        <f>MAX(0,2-SUMPRODUCT($OK85:$OP85,$I$2:$N$2)+MIN(2,$OQ85*1+$OR85*1,SUMPRODUCT($OK85:$OP85,$I$2:$N$2)))</f>
        <v/>
      </c>
      <c r="PE85" s="155">
        <f>MAX(0,4-SUMPRODUCT($OK85:$OP85,$I$3:$N$3)+MIN(4,$OQ85*1+$OR85*2,SUMPRODUCT($OK85:$OP85,$I$3:$N$3)))</f>
        <v/>
      </c>
      <c r="PF85" s="155">
        <f>MAX(0,6-SUMPRODUCT($OK85:$OP85,$I$4:$N$4)+MIN(6,$OQ85*2+$OR85*3,SUMPRODUCT($OK85:$OP85,$I$4:$N$4)))</f>
        <v/>
      </c>
      <c r="PG85" s="155">
        <f>MAX(0,9-SUMPRODUCT($OK85:$OP85,$I$5:$N$5)+MIN(8,$OQ85*2+$OR85*4,SUMPRODUCT($OK85:$OP85,$I$5:$N$5)))</f>
        <v/>
      </c>
      <c r="PH85" s="155">
        <f>MAX(0,11-SUMPRODUCT($OK85:$OP85,$I$6:$N$6)+MIN(10,$OQ85*3+$OR85*5,SUMPRODUCT($OK85:$OP85,$I$6:$N$6)))</f>
        <v/>
      </c>
      <c r="PI85" s="155">
        <f>MAX(0,13-SUMPRODUCT($OK85:$OP85,$I$7:$N$7)+MIN(12,$OQ85*3+$OR85*6,SUMPRODUCT($OK85:$OP85,$I$7:$N$7)))</f>
        <v/>
      </c>
      <c r="PJ85" s="155">
        <f>MAX(0,16-SUMPRODUCT($OK85:$OP85,$I$8:$N$8)+MIN(14,$OQ85*4+$OR85*7,SUMPRODUCT($OK85:$OP85,$I$8:$N$8)))</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peça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IFERROR(VLOOKUP($MV86,$AV$2:$BA$84,2,FALSE),"")</f>
        <v/>
      </c>
      <c r="NJ86" s="155">
        <f>IFERROR(VLOOKUP($MW86,$AV$2:$BA$84,2,FALSE),"")</f>
        <v/>
      </c>
      <c r="NK86" s="155">
        <f>IFERROR(VLOOKUP($MX86,$AV$2:$BA$84,2,FALSE),"")</f>
        <v/>
      </c>
      <c r="NL86" s="155">
        <f>IFERROR(VLOOKUP($MY86,$AV$2:$BA$84,2,FALSE),"")</f>
        <v/>
      </c>
      <c r="NM86" s="155">
        <f>IFERROR(VLOOKUP($MV86,$AV$2:$BA$84,3,FALSE),0)</f>
        <v/>
      </c>
      <c r="NN86" s="155">
        <f>IFERROR(VLOOKUP($MW86,$AV$2:$BA$84,3,FALSE),0)</f>
        <v/>
      </c>
      <c r="NO86" s="155">
        <f>IFERROR(VLOOKUP($MX86,$AV$2:$BA$84,3,FALSE),0)</f>
        <v/>
      </c>
      <c r="NP86" s="155">
        <f>IFERROR(VLOOKUP($MY86,$AV$2:$BA$84,3,FALSE),0)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IFERROR(VLOOKUP($MV86,$AV$2:$BA$84,4,FALSE),0)+IFERROR(VLOOKUP($MW86,$AV$2:$BA$84,4,FALSE),0)+IFERROR(VLOOKUP($MX86,$AV$2:$BA$84,4,FALSE),0)+IFERROR(VLOOKUP($MY86,$AV$2:$BA$84,4,FALSE),0)</f>
        <v/>
      </c>
      <c r="OB86" s="155">
        <f>IFERROR(VLOOKUP($MV86,$AV$2:$BA$84,6,FALSE),0)+IFERROR(VLOOKUP($MW86,$AV$2:$BA$84,6,FALSE),0)+IFERROR(VLOOKUP($MX86,$AV$2:$BA$84,6,FALSE),0)+IFERROR(VLOOKUP($MY86,$AV$2:$BA$84,6,FALSE),0)</f>
        <v/>
      </c>
      <c r="OC86" s="155">
        <f>TEXTJOIN(", ",TRUE,IF(IFERROR(VLOOKUP($MV86,$AV$2:$BA$84,5,FALSE),0)=1,$MV86,""),IF(IFERROR(VLOOKUP($MW86,$AV$2:$BA$84,5,FALSE),0)=1,$MW86,""),IF(IFERROR(VLOOKUP($MX86,$AV$2:$BA$84,5,FALSE),0)=1,$MX86,""),IF(IFERROR(VLOOKUP($MY86,$AV$2:$BA$84,5,FALSE),0)=1,$MY86,""))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f>
        <v/>
      </c>
      <c r="OY86" s="155">
        <f>$OW86-$OX86</f>
        <v/>
      </c>
      <c r="OZ86" s="155">
        <f>IF($MQ86=0,0,INDEX($P$2:$P$8,MAX(1,$MQ86)))</f>
        <v/>
      </c>
      <c r="PA86" s="155">
        <f>$OZ86-$OU86+$OX86</f>
        <v/>
      </c>
      <c r="PB86" s="155">
        <f>IF($MQ86=0,MAX(0,$NE86-IF($OS86&gt;0,1,0)),MAX(0,$PA86))</f>
        <v/>
      </c>
      <c r="PC86" s="155">
        <f>IF($MQ86=0,0,(IF(COUNTIF($MV86:$MY86,"Salto")&gt;0,1,0)+IF(COUNTIF($MV86:$MY86,"Queima")&gt;0,1,0)+IF(COUNTIF($MV86:$MY86,"Estilhaço")&gt;0,1,0))*FLOOR($PB86/2,1))</f>
        <v/>
      </c>
      <c r="PD86" s="155">
        <f>MAX(0,2-SUMPRODUCT($OK86:$OP86,$I$2:$N$2)+MIN(2,$OQ86*1+$OR86*1,SUMPRODUCT($OK86:$OP86,$I$2:$N$2)))</f>
        <v/>
      </c>
      <c r="PE86" s="155">
        <f>MAX(0,4-SUMPRODUCT($OK86:$OP86,$I$3:$N$3)+MIN(4,$OQ86*1+$OR86*2,SUMPRODUCT($OK86:$OP86,$I$3:$N$3)))</f>
        <v/>
      </c>
      <c r="PF86" s="155">
        <f>MAX(0,6-SUMPRODUCT($OK86:$OP86,$I$4:$N$4)+MIN(6,$OQ86*2+$OR86*3,SUMPRODUCT($OK86:$OP86,$I$4:$N$4)))</f>
        <v/>
      </c>
      <c r="PG86" s="155">
        <f>MAX(0,9-SUMPRODUCT($OK86:$OP86,$I$5:$N$5)+MIN(8,$OQ86*2+$OR86*4,SUMPRODUCT($OK86:$OP86,$I$5:$N$5)))</f>
        <v/>
      </c>
      <c r="PH86" s="155">
        <f>MAX(0,11-SUMPRODUCT($OK86:$OP86,$I$6:$N$6)+MIN(10,$OQ86*3+$OR86*5,SUMPRODUCT($OK86:$OP86,$I$6:$N$6)))</f>
        <v/>
      </c>
      <c r="PI86" s="155">
        <f>MAX(0,13-SUMPRODUCT($OK86:$OP86,$I$7:$N$7)+MIN(12,$OQ86*3+$OR86*6,SUMPRODUCT($OK86:$OP86,$I$7:$N$7)))</f>
        <v/>
      </c>
      <c r="PJ86" s="155">
        <f>MAX(0,16-SUMPRODUCT($OK86:$OP86,$I$8:$N$8)+MIN(14,$OQ86*4+$OR86*7,SUMPRODUCT($OK86:$OP86,$I$8:$N$8)))</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peça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IFERROR(VLOOKUP($MV87,$AV$2:$BA$84,2,FALSE),"")</f>
        <v/>
      </c>
      <c r="NJ87" s="155">
        <f>IFERROR(VLOOKUP($MW87,$AV$2:$BA$84,2,FALSE),"")</f>
        <v/>
      </c>
      <c r="NK87" s="155">
        <f>IFERROR(VLOOKUP($MX87,$AV$2:$BA$84,2,FALSE),"")</f>
        <v/>
      </c>
      <c r="NL87" s="155">
        <f>IFERROR(VLOOKUP($MY87,$AV$2:$BA$84,2,FALSE),"")</f>
        <v/>
      </c>
      <c r="NM87" s="155">
        <f>IFERROR(VLOOKUP($MV87,$AV$2:$BA$84,3,FALSE),0)</f>
        <v/>
      </c>
      <c r="NN87" s="155">
        <f>IFERROR(VLOOKUP($MW87,$AV$2:$BA$84,3,FALSE),0)</f>
        <v/>
      </c>
      <c r="NO87" s="155">
        <f>IFERROR(VLOOKUP($MX87,$AV$2:$BA$84,3,FALSE),0)</f>
        <v/>
      </c>
      <c r="NP87" s="155">
        <f>IFERROR(VLOOKUP($MY87,$AV$2:$BA$84,3,FALSE),0)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IFERROR(VLOOKUP($MV87,$AV$2:$BA$84,4,FALSE),0)+IFERROR(VLOOKUP($MW87,$AV$2:$BA$84,4,FALSE),0)+IFERROR(VLOOKUP($MX87,$AV$2:$BA$84,4,FALSE),0)+IFERROR(VLOOKUP($MY87,$AV$2:$BA$84,4,FALSE),0)</f>
        <v/>
      </c>
      <c r="OB87" s="155">
        <f>IFERROR(VLOOKUP($MV87,$AV$2:$BA$84,6,FALSE),0)+IFERROR(VLOOKUP($MW87,$AV$2:$BA$84,6,FALSE),0)+IFERROR(VLOOKUP($MX87,$AV$2:$BA$84,6,FALSE),0)+IFERROR(VLOOKUP($MY87,$AV$2:$BA$84,6,FALSE),0)</f>
        <v/>
      </c>
      <c r="OC87" s="155">
        <f>TEXTJOIN(", ",TRUE,IF(IFERROR(VLOOKUP($MV87,$AV$2:$BA$84,5,FALSE),0)=1,$MV87,""),IF(IFERROR(VLOOKUP($MW87,$AV$2:$BA$84,5,FALSE),0)=1,$MW87,""),IF(IFERROR(VLOOKUP($MX87,$AV$2:$BA$84,5,FALSE),0)=1,$MX87,""),IF(IFERROR(VLOOKUP($MY87,$AV$2:$BA$84,5,FALSE),0)=1,$MY87,""))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f>
        <v/>
      </c>
      <c r="OY87" s="155">
        <f>$OW87-$OX87</f>
        <v/>
      </c>
      <c r="OZ87" s="155">
        <f>IF($MQ87=0,0,INDEX($P$2:$P$8,MAX(1,$MQ87)))</f>
        <v/>
      </c>
      <c r="PA87" s="155">
        <f>$OZ87-$OU87+$OX87</f>
        <v/>
      </c>
      <c r="PB87" s="155">
        <f>IF($MQ87=0,MAX(0,$NE87-IF($OS87&gt;0,1,0)),MAX(0,$PA87))</f>
        <v/>
      </c>
      <c r="PC87" s="155">
        <f>IF($MQ87=0,0,(IF(COUNTIF($MV87:$MY87,"Salto")&gt;0,1,0)+IF(COUNTIF($MV87:$MY87,"Queima")&gt;0,1,0)+IF(COUNTIF($MV87:$MY87,"Estilhaço")&gt;0,1,0))*FLOOR($PB87/2,1))</f>
        <v/>
      </c>
      <c r="PD87" s="155">
        <f>MAX(0,2-SUMPRODUCT($OK87:$OP87,$I$2:$N$2)+MIN(2,$OQ87*1+$OR87*1,SUMPRODUCT($OK87:$OP87,$I$2:$N$2)))</f>
        <v/>
      </c>
      <c r="PE87" s="155">
        <f>MAX(0,4-SUMPRODUCT($OK87:$OP87,$I$3:$N$3)+MIN(4,$OQ87*1+$OR87*2,SUMPRODUCT($OK87:$OP87,$I$3:$N$3)))</f>
        <v/>
      </c>
      <c r="PF87" s="155">
        <f>MAX(0,6-SUMPRODUCT($OK87:$OP87,$I$4:$N$4)+MIN(6,$OQ87*2+$OR87*3,SUMPRODUCT($OK87:$OP87,$I$4:$N$4)))</f>
        <v/>
      </c>
      <c r="PG87" s="155">
        <f>MAX(0,9-SUMPRODUCT($OK87:$OP87,$I$5:$N$5)+MIN(8,$OQ87*2+$OR87*4,SUMPRODUCT($OK87:$OP87,$I$5:$N$5)))</f>
        <v/>
      </c>
      <c r="PH87" s="155">
        <f>MAX(0,11-SUMPRODUCT($OK87:$OP87,$I$6:$N$6)+MIN(10,$OQ87*3+$OR87*5,SUMPRODUCT($OK87:$OP87,$I$6:$N$6)))</f>
        <v/>
      </c>
      <c r="PI87" s="155">
        <f>MAX(0,13-SUMPRODUCT($OK87:$OP87,$I$7:$N$7)+MIN(12,$OQ87*3+$OR87*6,SUMPRODUCT($OK87:$OP87,$I$7:$N$7)))</f>
        <v/>
      </c>
      <c r="PJ87" s="155">
        <f>MAX(0,16-SUMPRODUCT($OK87:$OP87,$I$8:$N$8)+MIN(14,$OQ87*4+$OR87*7,SUMPRODUCT($OK87:$OP87,$I$8:$N$8)))</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peça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IFERROR(VLOOKUP($MV88,$AV$2:$BA$84,2,FALSE),"")</f>
        <v/>
      </c>
      <c r="NJ88" s="155">
        <f>IFERROR(VLOOKUP($MW88,$AV$2:$BA$84,2,FALSE),"")</f>
        <v/>
      </c>
      <c r="NK88" s="155">
        <f>IFERROR(VLOOKUP($MX88,$AV$2:$BA$84,2,FALSE),"")</f>
        <v/>
      </c>
      <c r="NL88" s="155">
        <f>IFERROR(VLOOKUP($MY88,$AV$2:$BA$84,2,FALSE),"")</f>
        <v/>
      </c>
      <c r="NM88" s="155">
        <f>IFERROR(VLOOKUP($MV88,$AV$2:$BA$84,3,FALSE),0)</f>
        <v/>
      </c>
      <c r="NN88" s="155">
        <f>IFERROR(VLOOKUP($MW88,$AV$2:$BA$84,3,FALSE),0)</f>
        <v/>
      </c>
      <c r="NO88" s="155">
        <f>IFERROR(VLOOKUP($MX88,$AV$2:$BA$84,3,FALSE),0)</f>
        <v/>
      </c>
      <c r="NP88" s="155">
        <f>IFERROR(VLOOKUP($MY88,$AV$2:$BA$84,3,FALSE),0)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IFERROR(VLOOKUP($MV88,$AV$2:$BA$84,4,FALSE),0)+IFERROR(VLOOKUP($MW88,$AV$2:$BA$84,4,FALSE),0)+IFERROR(VLOOKUP($MX88,$AV$2:$BA$84,4,FALSE),0)+IFERROR(VLOOKUP($MY88,$AV$2:$BA$84,4,FALSE),0)</f>
        <v/>
      </c>
      <c r="OB88" s="155">
        <f>IFERROR(VLOOKUP($MV88,$AV$2:$BA$84,6,FALSE),0)+IFERROR(VLOOKUP($MW88,$AV$2:$BA$84,6,FALSE),0)+IFERROR(VLOOKUP($MX88,$AV$2:$BA$84,6,FALSE),0)+IFERROR(VLOOKUP($MY88,$AV$2:$BA$84,6,FALSE),0)</f>
        <v/>
      </c>
      <c r="OC88" s="155">
        <f>TEXTJOIN(", ",TRUE,IF(IFERROR(VLOOKUP($MV88,$AV$2:$BA$84,5,FALSE),0)=1,$MV88,""),IF(IFERROR(VLOOKUP($MW88,$AV$2:$BA$84,5,FALSE),0)=1,$MW88,""),IF(IFERROR(VLOOKUP($MX88,$AV$2:$BA$84,5,FALSE),0)=1,$MX88,""),IF(IFERROR(VLOOKUP($MY88,$AV$2:$BA$84,5,FALSE),0)=1,$MY88,""))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f>
        <v/>
      </c>
      <c r="OY88" s="155">
        <f>$OW88-$OX88</f>
        <v/>
      </c>
      <c r="OZ88" s="155">
        <f>IF($MQ88=0,0,INDEX($P$2:$P$8,MAX(1,$MQ88)))</f>
        <v/>
      </c>
      <c r="PA88" s="155">
        <f>$OZ88-$OU88+$OX88</f>
        <v/>
      </c>
      <c r="PB88" s="155">
        <f>IF($MQ88=0,MAX(0,$NE88-IF($OS88&gt;0,1,0)),MAX(0,$PA88))</f>
        <v/>
      </c>
      <c r="PC88" s="155">
        <f>IF($MQ88=0,0,(IF(COUNTIF($MV88:$MY88,"Salto")&gt;0,1,0)+IF(COUNTIF($MV88:$MY88,"Queima")&gt;0,1,0)+IF(COUNTIF($MV88:$MY88,"Estilhaço")&gt;0,1,0))*FLOOR($PB88/2,1))</f>
        <v/>
      </c>
      <c r="PD88" s="155">
        <f>MAX(0,2-SUMPRODUCT($OK88:$OP88,$I$2:$N$2)+MIN(2,$OQ88*1+$OR88*1,SUMPRODUCT($OK88:$OP88,$I$2:$N$2)))</f>
        <v/>
      </c>
      <c r="PE88" s="155">
        <f>MAX(0,4-SUMPRODUCT($OK88:$OP88,$I$3:$N$3)+MIN(4,$OQ88*1+$OR88*2,SUMPRODUCT($OK88:$OP88,$I$3:$N$3)))</f>
        <v/>
      </c>
      <c r="PF88" s="155">
        <f>MAX(0,6-SUMPRODUCT($OK88:$OP88,$I$4:$N$4)+MIN(6,$OQ88*2+$OR88*3,SUMPRODUCT($OK88:$OP88,$I$4:$N$4)))</f>
        <v/>
      </c>
      <c r="PG88" s="155">
        <f>MAX(0,9-SUMPRODUCT($OK88:$OP88,$I$5:$N$5)+MIN(8,$OQ88*2+$OR88*4,SUMPRODUCT($OK88:$OP88,$I$5:$N$5)))</f>
        <v/>
      </c>
      <c r="PH88" s="155">
        <f>MAX(0,11-SUMPRODUCT($OK88:$OP88,$I$6:$N$6)+MIN(10,$OQ88*3+$OR88*5,SUMPRODUCT($OK88:$OP88,$I$6:$N$6)))</f>
        <v/>
      </c>
      <c r="PI88" s="155">
        <f>MAX(0,13-SUMPRODUCT($OK88:$OP88,$I$7:$N$7)+MIN(12,$OQ88*3+$OR88*6,SUMPRODUCT($OK88:$OP88,$I$7:$N$7)))</f>
        <v/>
      </c>
      <c r="PJ88" s="155">
        <f>MAX(0,16-SUMPRODUCT($OK88:$OP88,$I$8:$N$8)+MIN(14,$OQ88*4+$OR88*7,SUMPRODUCT($OK88:$OP88,$I$8:$N$8)))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peça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IFERROR(VLOOKUP($MV89,$AV$2:$BA$84,2,FALSE),"")</f>
        <v/>
      </c>
      <c r="NJ89" s="155">
        <f>IFERROR(VLOOKUP($MW89,$AV$2:$BA$84,2,FALSE),"")</f>
        <v/>
      </c>
      <c r="NK89" s="155">
        <f>IFERROR(VLOOKUP($MX89,$AV$2:$BA$84,2,FALSE),"")</f>
        <v/>
      </c>
      <c r="NL89" s="155">
        <f>IFERROR(VLOOKUP($MY89,$AV$2:$BA$84,2,FALSE),"")</f>
        <v/>
      </c>
      <c r="NM89" s="155">
        <f>IFERROR(VLOOKUP($MV89,$AV$2:$BA$84,3,FALSE),0)</f>
        <v/>
      </c>
      <c r="NN89" s="155">
        <f>IFERROR(VLOOKUP($MW89,$AV$2:$BA$84,3,FALSE),0)</f>
        <v/>
      </c>
      <c r="NO89" s="155">
        <f>IFERROR(VLOOKUP($MX89,$AV$2:$BA$84,3,FALSE),0)</f>
        <v/>
      </c>
      <c r="NP89" s="155">
        <f>IFERROR(VLOOKUP($MY89,$AV$2:$BA$84,3,FALSE),0)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IFERROR(VLOOKUP($MV89,$AV$2:$BA$84,4,FALSE),0)+IFERROR(VLOOKUP($MW89,$AV$2:$BA$84,4,FALSE),0)+IFERROR(VLOOKUP($MX89,$AV$2:$BA$84,4,FALSE),0)+IFERROR(VLOOKUP($MY89,$AV$2:$BA$84,4,FALSE),0)</f>
        <v/>
      </c>
      <c r="OB89" s="155">
        <f>IFERROR(VLOOKUP($MV89,$AV$2:$BA$84,6,FALSE),0)+IFERROR(VLOOKUP($MW89,$AV$2:$BA$84,6,FALSE),0)+IFERROR(VLOOKUP($MX89,$AV$2:$BA$84,6,FALSE),0)+IFERROR(VLOOKUP($MY89,$AV$2:$BA$84,6,FALSE),0)</f>
        <v/>
      </c>
      <c r="OC89" s="155">
        <f>TEXTJOIN(", ",TRUE,IF(IFERROR(VLOOKUP($MV89,$AV$2:$BA$84,5,FALSE),0)=1,$MV89,""),IF(IFERROR(VLOOKUP($MW89,$AV$2:$BA$84,5,FALSE),0)=1,$MW89,""),IF(IFERROR(VLOOKUP($MX89,$AV$2:$BA$84,5,FALSE),0)=1,$MX89,""),IF(IFERROR(VLOOKUP($MY89,$AV$2:$BA$84,5,FALSE),0)=1,$MY89,""))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f>
        <v/>
      </c>
      <c r="OY89" s="155">
        <f>$OW89-$OX89</f>
        <v/>
      </c>
      <c r="OZ89" s="155">
        <f>IF($MQ89=0,0,INDEX($P$2:$P$8,MAX(1,$MQ89)))</f>
        <v/>
      </c>
      <c r="PA89" s="155">
        <f>$OZ89-$OU89+$OX89</f>
        <v/>
      </c>
      <c r="PB89" s="155">
        <f>IF($MQ89=0,MAX(0,$NE89-IF($OS89&gt;0,1,0)),MAX(0,$PA89))</f>
        <v/>
      </c>
      <c r="PC89" s="155">
        <f>IF($MQ89=0,0,(IF(COUNTIF($MV89:$MY89,"Salto")&gt;0,1,0)+IF(COUNTIF($MV89:$MY89,"Queima")&gt;0,1,0)+IF(COUNTIF($MV89:$MY89,"Estilhaço")&gt;0,1,0))*FLOOR($PB89/2,1))</f>
        <v/>
      </c>
      <c r="PD89" s="155">
        <f>MAX(0,2-SUMPRODUCT($OK89:$OP89,$I$2:$N$2)+MIN(2,$OQ89*1+$OR89*1,SUMPRODUCT($OK89:$OP89,$I$2:$N$2)))</f>
        <v/>
      </c>
      <c r="PE89" s="155">
        <f>MAX(0,4-SUMPRODUCT($OK89:$OP89,$I$3:$N$3)+MIN(4,$OQ89*1+$OR89*2,SUMPRODUCT($OK89:$OP89,$I$3:$N$3)))</f>
        <v/>
      </c>
      <c r="PF89" s="155">
        <f>MAX(0,6-SUMPRODUCT($OK89:$OP89,$I$4:$N$4)+MIN(6,$OQ89*2+$OR89*3,SUMPRODUCT($OK89:$OP89,$I$4:$N$4)))</f>
        <v/>
      </c>
      <c r="PG89" s="155">
        <f>MAX(0,9-SUMPRODUCT($OK89:$OP89,$I$5:$N$5)+MIN(8,$OQ89*2+$OR89*4,SUMPRODUCT($OK89:$OP89,$I$5:$N$5)))</f>
        <v/>
      </c>
      <c r="PH89" s="155">
        <f>MAX(0,11-SUMPRODUCT($OK89:$OP89,$I$6:$N$6)+MIN(10,$OQ89*3+$OR89*5,SUMPRODUCT($OK89:$OP89,$I$6:$N$6)))</f>
        <v/>
      </c>
      <c r="PI89" s="155">
        <f>MAX(0,13-SUMPRODUCT($OK89:$OP89,$I$7:$N$7)+MIN(12,$OQ89*3+$OR89*6,SUMPRODUCT($OK89:$OP89,$I$7:$N$7)))</f>
        <v/>
      </c>
      <c r="PJ89" s="155">
        <f>MAX(0,16-SUMPRODUCT($OK89:$OP89,$I$8:$N$8)+MIN(14,$OQ89*4+$OR89*7,SUMPRODUCT($OK89:$OP89,$I$8:$N$8)))</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peça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IFERROR(VLOOKUP($MV90,$AV$2:$BA$84,2,FALSE),"")</f>
        <v/>
      </c>
      <c r="NJ90" s="155">
        <f>IFERROR(VLOOKUP($MW90,$AV$2:$BA$84,2,FALSE),"")</f>
        <v/>
      </c>
      <c r="NK90" s="155">
        <f>IFERROR(VLOOKUP($MX90,$AV$2:$BA$84,2,FALSE),"")</f>
        <v/>
      </c>
      <c r="NL90" s="155">
        <f>IFERROR(VLOOKUP($MY90,$AV$2:$BA$84,2,FALSE),"")</f>
        <v/>
      </c>
      <c r="NM90" s="155">
        <f>IFERROR(VLOOKUP($MV90,$AV$2:$BA$84,3,FALSE),0)</f>
        <v/>
      </c>
      <c r="NN90" s="155">
        <f>IFERROR(VLOOKUP($MW90,$AV$2:$BA$84,3,FALSE),0)</f>
        <v/>
      </c>
      <c r="NO90" s="155">
        <f>IFERROR(VLOOKUP($MX90,$AV$2:$BA$84,3,FALSE),0)</f>
        <v/>
      </c>
      <c r="NP90" s="155">
        <f>IFERROR(VLOOKUP($MY90,$AV$2:$BA$84,3,FALSE),0)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IFERROR(VLOOKUP($MV90,$AV$2:$BA$84,4,FALSE),0)+IFERROR(VLOOKUP($MW90,$AV$2:$BA$84,4,FALSE),0)+IFERROR(VLOOKUP($MX90,$AV$2:$BA$84,4,FALSE),0)+IFERROR(VLOOKUP($MY90,$AV$2:$BA$84,4,FALSE),0)</f>
        <v/>
      </c>
      <c r="OB90" s="155">
        <f>IFERROR(VLOOKUP($MV90,$AV$2:$BA$84,6,FALSE),0)+IFERROR(VLOOKUP($MW90,$AV$2:$BA$84,6,FALSE),0)+IFERROR(VLOOKUP($MX90,$AV$2:$BA$84,6,FALSE),0)+IFERROR(VLOOKUP($MY90,$AV$2:$BA$84,6,FALSE),0)</f>
        <v/>
      </c>
      <c r="OC90" s="155">
        <f>TEXTJOIN(", ",TRUE,IF(IFERROR(VLOOKUP($MV90,$AV$2:$BA$84,5,FALSE),0)=1,$MV90,""),IF(IFERROR(VLOOKUP($MW90,$AV$2:$BA$84,5,FALSE),0)=1,$MW90,""),IF(IFERROR(VLOOKUP($MX90,$AV$2:$BA$84,5,FALSE),0)=1,$MX90,""),IF(IFERROR(VLOOKUP($MY90,$AV$2:$BA$84,5,FALSE),0)=1,$MY90,""))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f>
        <v/>
      </c>
      <c r="OY90" s="155">
        <f>$OW90-$OX90</f>
        <v/>
      </c>
      <c r="OZ90" s="155">
        <f>IF($MQ90=0,0,INDEX($P$2:$P$8,MAX(1,$MQ90)))</f>
        <v/>
      </c>
      <c r="PA90" s="155">
        <f>$OZ90-$OU90+$OX90</f>
        <v/>
      </c>
      <c r="PB90" s="155">
        <f>IF($MQ90=0,MAX(0,$NE90-IF($OS90&gt;0,1,0)),MAX(0,$PA90))</f>
        <v/>
      </c>
      <c r="PC90" s="155">
        <f>IF($MQ90=0,0,(IF(COUNTIF($MV90:$MY90,"Salto")&gt;0,1,0)+IF(COUNTIF($MV90:$MY90,"Queima")&gt;0,1,0)+IF(COUNTIF($MV90:$MY90,"Estilhaço")&gt;0,1,0))*FLOOR($PB90/2,1))</f>
        <v/>
      </c>
      <c r="PD90" s="155">
        <f>MAX(0,2-SUMPRODUCT($OK90:$OP90,$I$2:$N$2)+MIN(2,$OQ90*1+$OR90*1,SUMPRODUCT($OK90:$OP90,$I$2:$N$2)))</f>
        <v/>
      </c>
      <c r="PE90" s="155">
        <f>MAX(0,4-SUMPRODUCT($OK90:$OP90,$I$3:$N$3)+MIN(4,$OQ90*1+$OR90*2,SUMPRODUCT($OK90:$OP90,$I$3:$N$3)))</f>
        <v/>
      </c>
      <c r="PF90" s="155">
        <f>MAX(0,6-SUMPRODUCT($OK90:$OP90,$I$4:$N$4)+MIN(6,$OQ90*2+$OR90*3,SUMPRODUCT($OK90:$OP90,$I$4:$N$4)))</f>
        <v/>
      </c>
      <c r="PG90" s="155">
        <f>MAX(0,9-SUMPRODUCT($OK90:$OP90,$I$5:$N$5)+MIN(8,$OQ90*2+$OR90*4,SUMPRODUCT($OK90:$OP90,$I$5:$N$5)))</f>
        <v/>
      </c>
      <c r="PH90" s="155">
        <f>MAX(0,11-SUMPRODUCT($OK90:$OP90,$I$6:$N$6)+MIN(10,$OQ90*3+$OR90*5,SUMPRODUCT($OK90:$OP90,$I$6:$N$6)))</f>
        <v/>
      </c>
      <c r="PI90" s="155">
        <f>MAX(0,13-SUMPRODUCT($OK90:$OP90,$I$7:$N$7)+MIN(12,$OQ90*3+$OR90*6,SUMPRODUCT($OK90:$OP90,$I$7:$N$7)))</f>
        <v/>
      </c>
      <c r="PJ90" s="155">
        <f>MAX(0,16-SUMPRODUCT($OK90:$OP90,$I$8:$N$8)+MIN(14,$OQ90*4+$OR90*7,SUMPRODUCT($OK90:$OP90,$I$8:$N$8)))</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peça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IFERROR(VLOOKUP($MV91,$AV$2:$BA$84,2,FALSE),"")</f>
        <v/>
      </c>
      <c r="NJ91" s="155">
        <f>IFERROR(VLOOKUP($MW91,$AV$2:$BA$84,2,FALSE),"")</f>
        <v/>
      </c>
      <c r="NK91" s="155">
        <f>IFERROR(VLOOKUP($MX91,$AV$2:$BA$84,2,FALSE),"")</f>
        <v/>
      </c>
      <c r="NL91" s="155">
        <f>IFERROR(VLOOKUP($MY91,$AV$2:$BA$84,2,FALSE),"")</f>
        <v/>
      </c>
      <c r="NM91" s="155">
        <f>IFERROR(VLOOKUP($MV91,$AV$2:$BA$84,3,FALSE),0)</f>
        <v/>
      </c>
      <c r="NN91" s="155">
        <f>IFERROR(VLOOKUP($MW91,$AV$2:$BA$84,3,FALSE),0)</f>
        <v/>
      </c>
      <c r="NO91" s="155">
        <f>IFERROR(VLOOKUP($MX91,$AV$2:$BA$84,3,FALSE),0)</f>
        <v/>
      </c>
      <c r="NP91" s="155">
        <f>IFERROR(VLOOKUP($MY91,$AV$2:$BA$84,3,FALSE),0)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IFERROR(VLOOKUP($MV91,$AV$2:$BA$84,4,FALSE),0)+IFERROR(VLOOKUP($MW91,$AV$2:$BA$84,4,FALSE),0)+IFERROR(VLOOKUP($MX91,$AV$2:$BA$84,4,FALSE),0)+IFERROR(VLOOKUP($MY91,$AV$2:$BA$84,4,FALSE),0)</f>
        <v/>
      </c>
      <c r="OB91" s="155">
        <f>IFERROR(VLOOKUP($MV91,$AV$2:$BA$84,6,FALSE),0)+IFERROR(VLOOKUP($MW91,$AV$2:$BA$84,6,FALSE),0)+IFERROR(VLOOKUP($MX91,$AV$2:$BA$84,6,FALSE),0)+IFERROR(VLOOKUP($MY91,$AV$2:$BA$84,6,FALSE),0)</f>
        <v/>
      </c>
      <c r="OC91" s="155">
        <f>TEXTJOIN(", ",TRUE,IF(IFERROR(VLOOKUP($MV91,$AV$2:$BA$84,5,FALSE),0)=1,$MV91,""),IF(IFERROR(VLOOKUP($MW91,$AV$2:$BA$84,5,FALSE),0)=1,$MW91,""),IF(IFERROR(VLOOKUP($MX91,$AV$2:$BA$84,5,FALSE),0)=1,$MX91,""),IF(IFERROR(VLOOKUP($MY91,$AV$2:$BA$84,5,FALSE),0)=1,$MY91,""))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f>
        <v/>
      </c>
      <c r="OY91" s="155">
        <f>$OW91-$OX91</f>
        <v/>
      </c>
      <c r="OZ91" s="155">
        <f>IF($MQ91=0,0,INDEX($P$2:$P$8,MAX(1,$MQ91)))</f>
        <v/>
      </c>
      <c r="PA91" s="155">
        <f>$OZ91-$OU91+$OX91</f>
        <v/>
      </c>
      <c r="PB91" s="155">
        <f>IF($MQ91=0,MAX(0,$NE91-IF($OS91&gt;0,1,0)),MAX(0,$PA91))</f>
        <v/>
      </c>
      <c r="PC91" s="155">
        <f>IF($MQ91=0,0,(IF(COUNTIF($MV91:$MY91,"Salto")&gt;0,1,0)+IF(COUNTIF($MV91:$MY91,"Queima")&gt;0,1,0)+IF(COUNTIF($MV91:$MY91,"Estilhaço")&gt;0,1,0))*FLOOR($PB91/2,1))</f>
        <v/>
      </c>
      <c r="PD91" s="155">
        <f>MAX(0,2-SUMPRODUCT($OK91:$OP91,$I$2:$N$2)+MIN(2,$OQ91*1+$OR91*1,SUMPRODUCT($OK91:$OP91,$I$2:$N$2)))</f>
        <v/>
      </c>
      <c r="PE91" s="155">
        <f>MAX(0,4-SUMPRODUCT($OK91:$OP91,$I$3:$N$3)+MIN(4,$OQ91*1+$OR91*2,SUMPRODUCT($OK91:$OP91,$I$3:$N$3)))</f>
        <v/>
      </c>
      <c r="PF91" s="155">
        <f>MAX(0,6-SUMPRODUCT($OK91:$OP91,$I$4:$N$4)+MIN(6,$OQ91*2+$OR91*3,SUMPRODUCT($OK91:$OP91,$I$4:$N$4)))</f>
        <v/>
      </c>
      <c r="PG91" s="155">
        <f>MAX(0,9-SUMPRODUCT($OK91:$OP91,$I$5:$N$5)+MIN(8,$OQ91*2+$OR91*4,SUMPRODUCT($OK91:$OP91,$I$5:$N$5)))</f>
        <v/>
      </c>
      <c r="PH91" s="155">
        <f>MAX(0,11-SUMPRODUCT($OK91:$OP91,$I$6:$N$6)+MIN(10,$OQ91*3+$OR91*5,SUMPRODUCT($OK91:$OP91,$I$6:$N$6)))</f>
        <v/>
      </c>
      <c r="PI91" s="155">
        <f>MAX(0,13-SUMPRODUCT($OK91:$OP91,$I$7:$N$7)+MIN(12,$OQ91*3+$OR91*6,SUMPRODUCT($OK91:$OP91,$I$7:$N$7)))</f>
        <v/>
      </c>
      <c r="PJ91" s="155">
        <f>MAX(0,16-SUMPRODUCT($OK91:$OP91,$I$8:$N$8)+MIN(14,$OQ91*4+$OR91*7,SUMPRODUCT($OK91:$OP91,$I$8:$N$8)))</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peça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IFERROR(VLOOKUP($MV92,$AV$2:$BA$84,2,FALSE),"")</f>
        <v/>
      </c>
      <c r="NJ92" s="155">
        <f>IFERROR(VLOOKUP($MW92,$AV$2:$BA$84,2,FALSE),"")</f>
        <v/>
      </c>
      <c r="NK92" s="155">
        <f>IFERROR(VLOOKUP($MX92,$AV$2:$BA$84,2,FALSE),"")</f>
        <v/>
      </c>
      <c r="NL92" s="155">
        <f>IFERROR(VLOOKUP($MY92,$AV$2:$BA$84,2,FALSE),"")</f>
        <v/>
      </c>
      <c r="NM92" s="155">
        <f>IFERROR(VLOOKUP($MV92,$AV$2:$BA$84,3,FALSE),0)</f>
        <v/>
      </c>
      <c r="NN92" s="155">
        <f>IFERROR(VLOOKUP($MW92,$AV$2:$BA$84,3,FALSE),0)</f>
        <v/>
      </c>
      <c r="NO92" s="155">
        <f>IFERROR(VLOOKUP($MX92,$AV$2:$BA$84,3,FALSE),0)</f>
        <v/>
      </c>
      <c r="NP92" s="155">
        <f>IFERROR(VLOOKUP($MY92,$AV$2:$BA$84,3,FALSE),0)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IFERROR(VLOOKUP($MV92,$AV$2:$BA$84,4,FALSE),0)+IFERROR(VLOOKUP($MW92,$AV$2:$BA$84,4,FALSE),0)+IFERROR(VLOOKUP($MX92,$AV$2:$BA$84,4,FALSE),0)+IFERROR(VLOOKUP($MY92,$AV$2:$BA$84,4,FALSE),0)</f>
        <v/>
      </c>
      <c r="OB92" s="155">
        <f>IFERROR(VLOOKUP($MV92,$AV$2:$BA$84,6,FALSE),0)+IFERROR(VLOOKUP($MW92,$AV$2:$BA$84,6,FALSE),0)+IFERROR(VLOOKUP($MX92,$AV$2:$BA$84,6,FALSE),0)+IFERROR(VLOOKUP($MY92,$AV$2:$BA$84,6,FALSE),0)</f>
        <v/>
      </c>
      <c r="OC92" s="155">
        <f>TEXTJOIN(", ",TRUE,IF(IFERROR(VLOOKUP($MV92,$AV$2:$BA$84,5,FALSE),0)=1,$MV92,""),IF(IFERROR(VLOOKUP($MW92,$AV$2:$BA$84,5,FALSE),0)=1,$MW92,""),IF(IFERROR(VLOOKUP($MX92,$AV$2:$BA$84,5,FALSE),0)=1,$MX92,""),IF(IFERROR(VLOOKUP($MY92,$AV$2:$BA$84,5,FALSE),0)=1,$MY92,""))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f>
        <v/>
      </c>
      <c r="OY92" s="155">
        <f>$OW92-$OX92</f>
        <v/>
      </c>
      <c r="OZ92" s="155">
        <f>IF($MQ92=0,0,INDEX($P$2:$P$8,MAX(1,$MQ92)))</f>
        <v/>
      </c>
      <c r="PA92" s="155">
        <f>$OZ92-$OU92+$OX92</f>
        <v/>
      </c>
      <c r="PB92" s="155">
        <f>IF($MQ92=0,MAX(0,$NE92-IF($OS92&gt;0,1,0)),MAX(0,$PA92))</f>
        <v/>
      </c>
      <c r="PC92" s="155">
        <f>IF($MQ92=0,0,(IF(COUNTIF($MV92:$MY92,"Salto")&gt;0,1,0)+IF(COUNTIF($MV92:$MY92,"Queima")&gt;0,1,0)+IF(COUNTIF($MV92:$MY92,"Estilhaço")&gt;0,1,0))*FLOOR($PB92/2,1))</f>
        <v/>
      </c>
      <c r="PD92" s="155">
        <f>MAX(0,2-SUMPRODUCT($OK92:$OP92,$I$2:$N$2)+MIN(2,$OQ92*1+$OR92*1,SUMPRODUCT($OK92:$OP92,$I$2:$N$2)))</f>
        <v/>
      </c>
      <c r="PE92" s="155">
        <f>MAX(0,4-SUMPRODUCT($OK92:$OP92,$I$3:$N$3)+MIN(4,$OQ92*1+$OR92*2,SUMPRODUCT($OK92:$OP92,$I$3:$N$3)))</f>
        <v/>
      </c>
      <c r="PF92" s="155">
        <f>MAX(0,6-SUMPRODUCT($OK92:$OP92,$I$4:$N$4)+MIN(6,$OQ92*2+$OR92*3,SUMPRODUCT($OK92:$OP92,$I$4:$N$4)))</f>
        <v/>
      </c>
      <c r="PG92" s="155">
        <f>MAX(0,9-SUMPRODUCT($OK92:$OP92,$I$5:$N$5)+MIN(8,$OQ92*2+$OR92*4,SUMPRODUCT($OK92:$OP92,$I$5:$N$5)))</f>
        <v/>
      </c>
      <c r="PH92" s="155">
        <f>MAX(0,11-SUMPRODUCT($OK92:$OP92,$I$6:$N$6)+MIN(10,$OQ92*3+$OR92*5,SUMPRODUCT($OK92:$OP92,$I$6:$N$6)))</f>
        <v/>
      </c>
      <c r="PI92" s="155">
        <f>MAX(0,13-SUMPRODUCT($OK92:$OP92,$I$7:$N$7)+MIN(12,$OQ92*3+$OR92*6,SUMPRODUCT($OK92:$OP92,$I$7:$N$7)))</f>
        <v/>
      </c>
      <c r="PJ92" s="155">
        <f>MAX(0,16-SUMPRODUCT($OK92:$OP92,$I$8:$N$8)+MIN(14,$OQ92*4+$OR92*7,SUMPRODUCT($OK92:$OP92,$I$8:$N$8)))</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peça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IFERROR(VLOOKUP($MV93,$AV$2:$BA$84,2,FALSE),"")</f>
        <v/>
      </c>
      <c r="NJ93" s="155">
        <f>IFERROR(VLOOKUP($MW93,$AV$2:$BA$84,2,FALSE),"")</f>
        <v/>
      </c>
      <c r="NK93" s="155">
        <f>IFERROR(VLOOKUP($MX93,$AV$2:$BA$84,2,FALSE),"")</f>
        <v/>
      </c>
      <c r="NL93" s="155">
        <f>IFERROR(VLOOKUP($MY93,$AV$2:$BA$84,2,FALSE),"")</f>
        <v/>
      </c>
      <c r="NM93" s="155">
        <f>IFERROR(VLOOKUP($MV93,$AV$2:$BA$84,3,FALSE),0)</f>
        <v/>
      </c>
      <c r="NN93" s="155">
        <f>IFERROR(VLOOKUP($MW93,$AV$2:$BA$84,3,FALSE),0)</f>
        <v/>
      </c>
      <c r="NO93" s="155">
        <f>IFERROR(VLOOKUP($MX93,$AV$2:$BA$84,3,FALSE),0)</f>
        <v/>
      </c>
      <c r="NP93" s="155">
        <f>IFERROR(VLOOKUP($MY93,$AV$2:$BA$84,3,FALSE),0)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IFERROR(VLOOKUP($MV93,$AV$2:$BA$84,4,FALSE),0)+IFERROR(VLOOKUP($MW93,$AV$2:$BA$84,4,FALSE),0)+IFERROR(VLOOKUP($MX93,$AV$2:$BA$84,4,FALSE),0)+IFERROR(VLOOKUP($MY93,$AV$2:$BA$84,4,FALSE),0)</f>
        <v/>
      </c>
      <c r="OB93" s="155">
        <f>IFERROR(VLOOKUP($MV93,$AV$2:$BA$84,6,FALSE),0)+IFERROR(VLOOKUP($MW93,$AV$2:$BA$84,6,FALSE),0)+IFERROR(VLOOKUP($MX93,$AV$2:$BA$84,6,FALSE),0)+IFERROR(VLOOKUP($MY93,$AV$2:$BA$84,6,FALSE),0)</f>
        <v/>
      </c>
      <c r="OC93" s="155">
        <f>TEXTJOIN(", ",TRUE,IF(IFERROR(VLOOKUP($MV93,$AV$2:$BA$84,5,FALSE),0)=1,$MV93,""),IF(IFERROR(VLOOKUP($MW93,$AV$2:$BA$84,5,FALSE),0)=1,$MW93,""),IF(IFERROR(VLOOKUP($MX93,$AV$2:$BA$84,5,FALSE),0)=1,$MX93,""),IF(IFERROR(VLOOKUP($MY93,$AV$2:$BA$84,5,FALSE),0)=1,$MY93,""))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f>
        <v/>
      </c>
      <c r="OY93" s="155">
        <f>$OW93-$OX93</f>
        <v/>
      </c>
      <c r="OZ93" s="155">
        <f>IF($MQ93=0,0,INDEX($P$2:$P$8,MAX(1,$MQ93)))</f>
        <v/>
      </c>
      <c r="PA93" s="155">
        <f>$OZ93-$OU93+$OX93</f>
        <v/>
      </c>
      <c r="PB93" s="155">
        <f>IF($MQ93=0,MAX(0,$NE93-IF($OS93&gt;0,1,0)),MAX(0,$PA93))</f>
        <v/>
      </c>
      <c r="PC93" s="155">
        <f>IF($MQ93=0,0,(IF(COUNTIF($MV93:$MY93,"Salto")&gt;0,1,0)+IF(COUNTIF($MV93:$MY93,"Queima")&gt;0,1,0)+IF(COUNTIF($MV93:$MY93,"Estilhaço")&gt;0,1,0))*FLOOR($PB93/2,1))</f>
        <v/>
      </c>
      <c r="PD93" s="155">
        <f>MAX(0,2-SUMPRODUCT($OK93:$OP93,$I$2:$N$2)+MIN(2,$OQ93*1+$OR93*1,SUMPRODUCT($OK93:$OP93,$I$2:$N$2)))</f>
        <v/>
      </c>
      <c r="PE93" s="155">
        <f>MAX(0,4-SUMPRODUCT($OK93:$OP93,$I$3:$N$3)+MIN(4,$OQ93*1+$OR93*2,SUMPRODUCT($OK93:$OP93,$I$3:$N$3)))</f>
        <v/>
      </c>
      <c r="PF93" s="155">
        <f>MAX(0,6-SUMPRODUCT($OK93:$OP93,$I$4:$N$4)+MIN(6,$OQ93*2+$OR93*3,SUMPRODUCT($OK93:$OP93,$I$4:$N$4)))</f>
        <v/>
      </c>
      <c r="PG93" s="155">
        <f>MAX(0,9-SUMPRODUCT($OK93:$OP93,$I$5:$N$5)+MIN(8,$OQ93*2+$OR93*4,SUMPRODUCT($OK93:$OP93,$I$5:$N$5)))</f>
        <v/>
      </c>
      <c r="PH93" s="155">
        <f>MAX(0,11-SUMPRODUCT($OK93:$OP93,$I$6:$N$6)+MIN(10,$OQ93*3+$OR93*5,SUMPRODUCT($OK93:$OP93,$I$6:$N$6)))</f>
        <v/>
      </c>
      <c r="PI93" s="155">
        <f>MAX(0,13-SUMPRODUCT($OK93:$OP93,$I$7:$N$7)+MIN(12,$OQ93*3+$OR93*6,SUMPRODUCT($OK93:$OP93,$I$7:$N$7)))</f>
        <v/>
      </c>
      <c r="PJ93" s="155">
        <f>MAX(0,16-SUMPRODUCT($OK93:$OP93,$I$8:$N$8)+MIN(14,$OQ93*4+$OR93*7,SUMPRODUCT($OK93:$OP93,$I$8:$N$8)))</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peça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IFERROR(VLOOKUP($MV94,$AV$2:$BA$84,2,FALSE),"")</f>
        <v/>
      </c>
      <c r="NJ94" s="155">
        <f>IFERROR(VLOOKUP($MW94,$AV$2:$BA$84,2,FALSE),"")</f>
        <v/>
      </c>
      <c r="NK94" s="155">
        <f>IFERROR(VLOOKUP($MX94,$AV$2:$BA$84,2,FALSE),"")</f>
        <v/>
      </c>
      <c r="NL94" s="155">
        <f>IFERROR(VLOOKUP($MY94,$AV$2:$BA$84,2,FALSE),"")</f>
        <v/>
      </c>
      <c r="NM94" s="155">
        <f>IFERROR(VLOOKUP($MV94,$AV$2:$BA$84,3,FALSE),0)</f>
        <v/>
      </c>
      <c r="NN94" s="155">
        <f>IFERROR(VLOOKUP($MW94,$AV$2:$BA$84,3,FALSE),0)</f>
        <v/>
      </c>
      <c r="NO94" s="155">
        <f>IFERROR(VLOOKUP($MX94,$AV$2:$BA$84,3,FALSE),0)</f>
        <v/>
      </c>
      <c r="NP94" s="155">
        <f>IFERROR(VLOOKUP($MY94,$AV$2:$BA$84,3,FALSE),0)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IFERROR(VLOOKUP($MV94,$AV$2:$BA$84,4,FALSE),0)+IFERROR(VLOOKUP($MW94,$AV$2:$BA$84,4,FALSE),0)+IFERROR(VLOOKUP($MX94,$AV$2:$BA$84,4,FALSE),0)+IFERROR(VLOOKUP($MY94,$AV$2:$BA$84,4,FALSE),0)</f>
        <v/>
      </c>
      <c r="OB94" s="155">
        <f>IFERROR(VLOOKUP($MV94,$AV$2:$BA$84,6,FALSE),0)+IFERROR(VLOOKUP($MW94,$AV$2:$BA$84,6,FALSE),0)+IFERROR(VLOOKUP($MX94,$AV$2:$BA$84,6,FALSE),0)+IFERROR(VLOOKUP($MY94,$AV$2:$BA$84,6,FALSE),0)</f>
        <v/>
      </c>
      <c r="OC94" s="155">
        <f>TEXTJOIN(", ",TRUE,IF(IFERROR(VLOOKUP($MV94,$AV$2:$BA$84,5,FALSE),0)=1,$MV94,""),IF(IFERROR(VLOOKUP($MW94,$AV$2:$BA$84,5,FALSE),0)=1,$MW94,""),IF(IFERROR(VLOOKUP($MX94,$AV$2:$BA$84,5,FALSE),0)=1,$MX94,""),IF(IFERROR(VLOOKUP($MY94,$AV$2:$BA$84,5,FALSE),0)=1,$MY94,""))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f>
        <v/>
      </c>
      <c r="OY94" s="155">
        <f>$OW94-$OX94</f>
        <v/>
      </c>
      <c r="OZ94" s="155">
        <f>IF($MQ94=0,0,INDEX($P$2:$P$8,MAX(1,$MQ94)))</f>
        <v/>
      </c>
      <c r="PA94" s="155">
        <f>$OZ94-$OU94+$OX94</f>
        <v/>
      </c>
      <c r="PB94" s="155">
        <f>IF($MQ94=0,MAX(0,$NE94-IF($OS94&gt;0,1,0)),MAX(0,$PA94))</f>
        <v/>
      </c>
      <c r="PC94" s="155">
        <f>IF($MQ94=0,0,(IF(COUNTIF($MV94:$MY94,"Salto")&gt;0,1,0)+IF(COUNTIF($MV94:$MY94,"Queima")&gt;0,1,0)+IF(COUNTIF($MV94:$MY94,"Estilhaço")&gt;0,1,0))*FLOOR($PB94/2,1))</f>
        <v/>
      </c>
      <c r="PD94" s="155">
        <f>MAX(0,2-SUMPRODUCT($OK94:$OP94,$I$2:$N$2)+MIN(2,$OQ94*1+$OR94*1,SUMPRODUCT($OK94:$OP94,$I$2:$N$2)))</f>
        <v/>
      </c>
      <c r="PE94" s="155">
        <f>MAX(0,4-SUMPRODUCT($OK94:$OP94,$I$3:$N$3)+MIN(4,$OQ94*1+$OR94*2,SUMPRODUCT($OK94:$OP94,$I$3:$N$3)))</f>
        <v/>
      </c>
      <c r="PF94" s="155">
        <f>MAX(0,6-SUMPRODUCT($OK94:$OP94,$I$4:$N$4)+MIN(6,$OQ94*2+$OR94*3,SUMPRODUCT($OK94:$OP94,$I$4:$N$4)))</f>
        <v/>
      </c>
      <c r="PG94" s="155">
        <f>MAX(0,9-SUMPRODUCT($OK94:$OP94,$I$5:$N$5)+MIN(8,$OQ94*2+$OR94*4,SUMPRODUCT($OK94:$OP94,$I$5:$N$5)))</f>
        <v/>
      </c>
      <c r="PH94" s="155">
        <f>MAX(0,11-SUMPRODUCT($OK94:$OP94,$I$6:$N$6)+MIN(10,$OQ94*3+$OR94*5,SUMPRODUCT($OK94:$OP94,$I$6:$N$6)))</f>
        <v/>
      </c>
      <c r="PI94" s="155">
        <f>MAX(0,13-SUMPRODUCT($OK94:$OP94,$I$7:$N$7)+MIN(12,$OQ94*3+$OR94*6,SUMPRODUCT($OK94:$OP94,$I$7:$N$7)))</f>
        <v/>
      </c>
      <c r="PJ94" s="155">
        <f>MAX(0,16-SUMPRODUCT($OK94:$OP94,$I$8:$N$8)+MIN(14,$OQ94*4+$OR94*7,SUMPRODUCT($OK94:$OP94,$I$8:$N$8)))</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peça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IFERROR(VLOOKUP($MV95,$AV$2:$BA$84,2,FALSE),"")</f>
        <v/>
      </c>
      <c r="NJ95" s="155">
        <f>IFERROR(VLOOKUP($MW95,$AV$2:$BA$84,2,FALSE),"")</f>
        <v/>
      </c>
      <c r="NK95" s="155">
        <f>IFERROR(VLOOKUP($MX95,$AV$2:$BA$84,2,FALSE),"")</f>
        <v/>
      </c>
      <c r="NL95" s="155">
        <f>IFERROR(VLOOKUP($MY95,$AV$2:$BA$84,2,FALSE),"")</f>
        <v/>
      </c>
      <c r="NM95" s="155">
        <f>IFERROR(VLOOKUP($MV95,$AV$2:$BA$84,3,FALSE),0)</f>
        <v/>
      </c>
      <c r="NN95" s="155">
        <f>IFERROR(VLOOKUP($MW95,$AV$2:$BA$84,3,FALSE),0)</f>
        <v/>
      </c>
      <c r="NO95" s="155">
        <f>IFERROR(VLOOKUP($MX95,$AV$2:$BA$84,3,FALSE),0)</f>
        <v/>
      </c>
      <c r="NP95" s="155">
        <f>IFERROR(VLOOKUP($MY95,$AV$2:$BA$84,3,FALSE),0)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IFERROR(VLOOKUP($MV95,$AV$2:$BA$84,4,FALSE),0)+IFERROR(VLOOKUP($MW95,$AV$2:$BA$84,4,FALSE),0)+IFERROR(VLOOKUP($MX95,$AV$2:$BA$84,4,FALSE),0)+IFERROR(VLOOKUP($MY95,$AV$2:$BA$84,4,FALSE),0)</f>
        <v/>
      </c>
      <c r="OB95" s="155">
        <f>IFERROR(VLOOKUP($MV95,$AV$2:$BA$84,6,FALSE),0)+IFERROR(VLOOKUP($MW95,$AV$2:$BA$84,6,FALSE),0)+IFERROR(VLOOKUP($MX95,$AV$2:$BA$84,6,FALSE),0)+IFERROR(VLOOKUP($MY95,$AV$2:$BA$84,6,FALSE),0)</f>
        <v/>
      </c>
      <c r="OC95" s="155">
        <f>TEXTJOIN(", ",TRUE,IF(IFERROR(VLOOKUP($MV95,$AV$2:$BA$84,5,FALSE),0)=1,$MV95,""),IF(IFERROR(VLOOKUP($MW95,$AV$2:$BA$84,5,FALSE),0)=1,$MW95,""),IF(IFERROR(VLOOKUP($MX95,$AV$2:$BA$84,5,FALSE),0)=1,$MX95,""),IF(IFERROR(VLOOKUP($MY95,$AV$2:$BA$84,5,FALSE),0)=1,$MY95,""))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f>
        <v/>
      </c>
      <c r="OY95" s="155">
        <f>$OW95-$OX95</f>
        <v/>
      </c>
      <c r="OZ95" s="155">
        <f>IF($MQ95=0,0,INDEX($P$2:$P$8,MAX(1,$MQ95)))</f>
        <v/>
      </c>
      <c r="PA95" s="155">
        <f>$OZ95-$OU95+$OX95</f>
        <v/>
      </c>
      <c r="PB95" s="155">
        <f>IF($MQ95=0,MAX(0,$NE95-IF($OS95&gt;0,1,0)),MAX(0,$PA95))</f>
        <v/>
      </c>
      <c r="PC95" s="155">
        <f>IF($MQ95=0,0,(IF(COUNTIF($MV95:$MY95,"Salto")&gt;0,1,0)+IF(COUNTIF($MV95:$MY95,"Queima")&gt;0,1,0)+IF(COUNTIF($MV95:$MY95,"Estilhaço")&gt;0,1,0))*FLOOR($PB95/2,1))</f>
        <v/>
      </c>
      <c r="PD95" s="155">
        <f>MAX(0,2-SUMPRODUCT($OK95:$OP95,$I$2:$N$2)+MIN(2,$OQ95*1+$OR95*1,SUMPRODUCT($OK95:$OP95,$I$2:$N$2)))</f>
        <v/>
      </c>
      <c r="PE95" s="155">
        <f>MAX(0,4-SUMPRODUCT($OK95:$OP95,$I$3:$N$3)+MIN(4,$OQ95*1+$OR95*2,SUMPRODUCT($OK95:$OP95,$I$3:$N$3)))</f>
        <v/>
      </c>
      <c r="PF95" s="155">
        <f>MAX(0,6-SUMPRODUCT($OK95:$OP95,$I$4:$N$4)+MIN(6,$OQ95*2+$OR95*3,SUMPRODUCT($OK95:$OP95,$I$4:$N$4)))</f>
        <v/>
      </c>
      <c r="PG95" s="155">
        <f>MAX(0,9-SUMPRODUCT($OK95:$OP95,$I$5:$N$5)+MIN(8,$OQ95*2+$OR95*4,SUMPRODUCT($OK95:$OP95,$I$5:$N$5)))</f>
        <v/>
      </c>
      <c r="PH95" s="155">
        <f>MAX(0,11-SUMPRODUCT($OK95:$OP95,$I$6:$N$6)+MIN(10,$OQ95*3+$OR95*5,SUMPRODUCT($OK95:$OP95,$I$6:$N$6)))</f>
        <v/>
      </c>
      <c r="PI95" s="155">
        <f>MAX(0,13-SUMPRODUCT($OK95:$OP95,$I$7:$N$7)+MIN(12,$OQ95*3+$OR95*6,SUMPRODUCT($OK95:$OP95,$I$7:$N$7)))</f>
        <v/>
      </c>
      <c r="PJ95" s="155">
        <f>MAX(0,16-SUMPRODUCT($OK95:$OP95,$I$8:$N$8)+MIN(14,$OQ95*4+$OR95*7,SUMPRODUCT($OK95:$OP95,$I$8:$N$8)))</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peça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IFERROR(VLOOKUP($MV96,$AV$2:$BA$84,2,FALSE),"")</f>
        <v/>
      </c>
      <c r="NJ96" s="155">
        <f>IFERROR(VLOOKUP($MW96,$AV$2:$BA$84,2,FALSE),"")</f>
        <v/>
      </c>
      <c r="NK96" s="155">
        <f>IFERROR(VLOOKUP($MX96,$AV$2:$BA$84,2,FALSE),"")</f>
        <v/>
      </c>
      <c r="NL96" s="155">
        <f>IFERROR(VLOOKUP($MY96,$AV$2:$BA$84,2,FALSE),"")</f>
        <v/>
      </c>
      <c r="NM96" s="155">
        <f>IFERROR(VLOOKUP($MV96,$AV$2:$BA$84,3,FALSE),0)</f>
        <v/>
      </c>
      <c r="NN96" s="155">
        <f>IFERROR(VLOOKUP($MW96,$AV$2:$BA$84,3,FALSE),0)</f>
        <v/>
      </c>
      <c r="NO96" s="155">
        <f>IFERROR(VLOOKUP($MX96,$AV$2:$BA$84,3,FALSE),0)</f>
        <v/>
      </c>
      <c r="NP96" s="155">
        <f>IFERROR(VLOOKUP($MY96,$AV$2:$BA$84,3,FALSE),0)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IFERROR(VLOOKUP($MV96,$AV$2:$BA$84,4,FALSE),0)+IFERROR(VLOOKUP($MW96,$AV$2:$BA$84,4,FALSE),0)+IFERROR(VLOOKUP($MX96,$AV$2:$BA$84,4,FALSE),0)+IFERROR(VLOOKUP($MY96,$AV$2:$BA$84,4,FALSE),0)</f>
        <v/>
      </c>
      <c r="OB96" s="155">
        <f>IFERROR(VLOOKUP($MV96,$AV$2:$BA$84,6,FALSE),0)+IFERROR(VLOOKUP($MW96,$AV$2:$BA$84,6,FALSE),0)+IFERROR(VLOOKUP($MX96,$AV$2:$BA$84,6,FALSE),0)+IFERROR(VLOOKUP($MY96,$AV$2:$BA$84,6,FALSE),0)</f>
        <v/>
      </c>
      <c r="OC96" s="155">
        <f>TEXTJOIN(", ",TRUE,IF(IFERROR(VLOOKUP($MV96,$AV$2:$BA$84,5,FALSE),0)=1,$MV96,""),IF(IFERROR(VLOOKUP($MW96,$AV$2:$BA$84,5,FALSE),0)=1,$MW96,""),IF(IFERROR(VLOOKUP($MX96,$AV$2:$BA$84,5,FALSE),0)=1,$MX96,""),IF(IFERROR(VLOOKUP($MY96,$AV$2:$BA$84,5,FALSE),0)=1,$MY96,""))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f>
        <v/>
      </c>
      <c r="OY96" s="155">
        <f>$OW96-$OX96</f>
        <v/>
      </c>
      <c r="OZ96" s="155">
        <f>IF($MQ96=0,0,INDEX($P$2:$P$8,MAX(1,$MQ96)))</f>
        <v/>
      </c>
      <c r="PA96" s="155">
        <f>$OZ96-$OU96+$OX96</f>
        <v/>
      </c>
      <c r="PB96" s="155">
        <f>IF($MQ96=0,MAX(0,$NE96-IF($OS96&gt;0,1,0)),MAX(0,$PA96))</f>
        <v/>
      </c>
      <c r="PC96" s="155">
        <f>IF($MQ96=0,0,(IF(COUNTIF($MV96:$MY96,"Salto")&gt;0,1,0)+IF(COUNTIF($MV96:$MY96,"Queima")&gt;0,1,0)+IF(COUNTIF($MV96:$MY96,"Estilhaço")&gt;0,1,0))*FLOOR($PB96/2,1))</f>
        <v/>
      </c>
      <c r="PD96" s="155">
        <f>MAX(0,2-SUMPRODUCT($OK96:$OP96,$I$2:$N$2)+MIN(2,$OQ96*1+$OR96*1,SUMPRODUCT($OK96:$OP96,$I$2:$N$2)))</f>
        <v/>
      </c>
      <c r="PE96" s="155">
        <f>MAX(0,4-SUMPRODUCT($OK96:$OP96,$I$3:$N$3)+MIN(4,$OQ96*1+$OR96*2,SUMPRODUCT($OK96:$OP96,$I$3:$N$3)))</f>
        <v/>
      </c>
      <c r="PF96" s="155">
        <f>MAX(0,6-SUMPRODUCT($OK96:$OP96,$I$4:$N$4)+MIN(6,$OQ96*2+$OR96*3,SUMPRODUCT($OK96:$OP96,$I$4:$N$4)))</f>
        <v/>
      </c>
      <c r="PG96" s="155">
        <f>MAX(0,9-SUMPRODUCT($OK96:$OP96,$I$5:$N$5)+MIN(8,$OQ96*2+$OR96*4,SUMPRODUCT($OK96:$OP96,$I$5:$N$5)))</f>
        <v/>
      </c>
      <c r="PH96" s="155">
        <f>MAX(0,11-SUMPRODUCT($OK96:$OP96,$I$6:$N$6)+MIN(10,$OQ96*3+$OR96*5,SUMPRODUCT($OK96:$OP96,$I$6:$N$6)))</f>
        <v/>
      </c>
      <c r="PI96" s="155">
        <f>MAX(0,13-SUMPRODUCT($OK96:$OP96,$I$7:$N$7)+MIN(12,$OQ96*3+$OR96*6,SUMPRODUCT($OK96:$OP96,$I$7:$N$7)))</f>
        <v/>
      </c>
      <c r="PJ96" s="155">
        <f>MAX(0,16-SUMPRODUCT($OK96:$OP96,$I$8:$N$8)+MIN(14,$OQ96*4+$OR96*7,SUMPRODUCT($OK96:$OP96,$I$8:$N$8)))</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peça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IFERROR(VLOOKUP($MV97,$AV$2:$BA$84,2,FALSE),"")</f>
        <v/>
      </c>
      <c r="NJ97" s="155">
        <f>IFERROR(VLOOKUP($MW97,$AV$2:$BA$84,2,FALSE),"")</f>
        <v/>
      </c>
      <c r="NK97" s="155">
        <f>IFERROR(VLOOKUP($MX97,$AV$2:$BA$84,2,FALSE),"")</f>
        <v/>
      </c>
      <c r="NL97" s="155">
        <f>IFERROR(VLOOKUP($MY97,$AV$2:$BA$84,2,FALSE),"")</f>
        <v/>
      </c>
      <c r="NM97" s="155">
        <f>IFERROR(VLOOKUP($MV97,$AV$2:$BA$84,3,FALSE),0)</f>
        <v/>
      </c>
      <c r="NN97" s="155">
        <f>IFERROR(VLOOKUP($MW97,$AV$2:$BA$84,3,FALSE),0)</f>
        <v/>
      </c>
      <c r="NO97" s="155">
        <f>IFERROR(VLOOKUP($MX97,$AV$2:$BA$84,3,FALSE),0)</f>
        <v/>
      </c>
      <c r="NP97" s="155">
        <f>IFERROR(VLOOKUP($MY97,$AV$2:$BA$84,3,FALSE),0)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IFERROR(VLOOKUP($MV97,$AV$2:$BA$84,4,FALSE),0)+IFERROR(VLOOKUP($MW97,$AV$2:$BA$84,4,FALSE),0)+IFERROR(VLOOKUP($MX97,$AV$2:$BA$84,4,FALSE),0)+IFERROR(VLOOKUP($MY97,$AV$2:$BA$84,4,FALSE),0)</f>
        <v/>
      </c>
      <c r="OB97" s="155">
        <f>IFERROR(VLOOKUP($MV97,$AV$2:$BA$84,6,FALSE),0)+IFERROR(VLOOKUP($MW97,$AV$2:$BA$84,6,FALSE),0)+IFERROR(VLOOKUP($MX97,$AV$2:$BA$84,6,FALSE),0)+IFERROR(VLOOKUP($MY97,$AV$2:$BA$84,6,FALSE),0)</f>
        <v/>
      </c>
      <c r="OC97" s="155">
        <f>TEXTJOIN(", ",TRUE,IF(IFERROR(VLOOKUP($MV97,$AV$2:$BA$84,5,FALSE),0)=1,$MV97,""),IF(IFERROR(VLOOKUP($MW97,$AV$2:$BA$84,5,FALSE),0)=1,$MW97,""),IF(IFERROR(VLOOKUP($MX97,$AV$2:$BA$84,5,FALSE),0)=1,$MX97,""),IF(IFERROR(VLOOKUP($MY97,$AV$2:$BA$84,5,FALSE),0)=1,$MY97,""))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f>
        <v/>
      </c>
      <c r="OY97" s="155">
        <f>$OW97-$OX97</f>
        <v/>
      </c>
      <c r="OZ97" s="155">
        <f>IF($MQ97=0,0,INDEX($P$2:$P$8,MAX(1,$MQ97)))</f>
        <v/>
      </c>
      <c r="PA97" s="155">
        <f>$OZ97-$OU97+$OX97</f>
        <v/>
      </c>
      <c r="PB97" s="155">
        <f>IF($MQ97=0,MAX(0,$NE97-IF($OS97&gt;0,1,0)),MAX(0,$PA97))</f>
        <v/>
      </c>
      <c r="PC97" s="155">
        <f>IF($MQ97=0,0,(IF(COUNTIF($MV97:$MY97,"Salto")&gt;0,1,0)+IF(COUNTIF($MV97:$MY97,"Queima")&gt;0,1,0)+IF(COUNTIF($MV97:$MY97,"Estilhaço")&gt;0,1,0))*FLOOR($PB97/2,1))</f>
        <v/>
      </c>
      <c r="PD97" s="155">
        <f>MAX(0,2-SUMPRODUCT($OK97:$OP97,$I$2:$N$2)+MIN(2,$OQ97*1+$OR97*1,SUMPRODUCT($OK97:$OP97,$I$2:$N$2)))</f>
        <v/>
      </c>
      <c r="PE97" s="155">
        <f>MAX(0,4-SUMPRODUCT($OK97:$OP97,$I$3:$N$3)+MIN(4,$OQ97*1+$OR97*2,SUMPRODUCT($OK97:$OP97,$I$3:$N$3)))</f>
        <v/>
      </c>
      <c r="PF97" s="155">
        <f>MAX(0,6-SUMPRODUCT($OK97:$OP97,$I$4:$N$4)+MIN(6,$OQ97*2+$OR97*3,SUMPRODUCT($OK97:$OP97,$I$4:$N$4)))</f>
        <v/>
      </c>
      <c r="PG97" s="155">
        <f>MAX(0,9-SUMPRODUCT($OK97:$OP97,$I$5:$N$5)+MIN(8,$OQ97*2+$OR97*4,SUMPRODUCT($OK97:$OP97,$I$5:$N$5)))</f>
        <v/>
      </c>
      <c r="PH97" s="155">
        <f>MAX(0,11-SUMPRODUCT($OK97:$OP97,$I$6:$N$6)+MIN(10,$OQ97*3+$OR97*5,SUMPRODUCT($OK97:$OP97,$I$6:$N$6)))</f>
        <v/>
      </c>
      <c r="PI97" s="155">
        <f>MAX(0,13-SUMPRODUCT($OK97:$OP97,$I$7:$N$7)+MIN(12,$OQ97*3+$OR97*6,SUMPRODUCT($OK97:$OP97,$I$7:$N$7)))</f>
        <v/>
      </c>
      <c r="PJ97" s="155">
        <f>MAX(0,16-SUMPRODUCT($OK97:$OP97,$I$8:$N$8)+MIN(14,$OQ97*4+$OR97*7,SUMPRODUCT($OK97:$OP97,$I$8:$N$8)))</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peça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IFERROR(VLOOKUP($MV98,$AV$2:$BA$84,2,FALSE),"")</f>
        <v/>
      </c>
      <c r="NJ98" s="155">
        <f>IFERROR(VLOOKUP($MW98,$AV$2:$BA$84,2,FALSE),"")</f>
        <v/>
      </c>
      <c r="NK98" s="155">
        <f>IFERROR(VLOOKUP($MX98,$AV$2:$BA$84,2,FALSE),"")</f>
        <v/>
      </c>
      <c r="NL98" s="155">
        <f>IFERROR(VLOOKUP($MY98,$AV$2:$BA$84,2,FALSE),"")</f>
        <v/>
      </c>
      <c r="NM98" s="155">
        <f>IFERROR(VLOOKUP($MV98,$AV$2:$BA$84,3,FALSE),0)</f>
        <v/>
      </c>
      <c r="NN98" s="155">
        <f>IFERROR(VLOOKUP($MW98,$AV$2:$BA$84,3,FALSE),0)</f>
        <v/>
      </c>
      <c r="NO98" s="155">
        <f>IFERROR(VLOOKUP($MX98,$AV$2:$BA$84,3,FALSE),0)</f>
        <v/>
      </c>
      <c r="NP98" s="155">
        <f>IFERROR(VLOOKUP($MY98,$AV$2:$BA$84,3,FALSE),0)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IFERROR(VLOOKUP($MV98,$AV$2:$BA$84,4,FALSE),0)+IFERROR(VLOOKUP($MW98,$AV$2:$BA$84,4,FALSE),0)+IFERROR(VLOOKUP($MX98,$AV$2:$BA$84,4,FALSE),0)+IFERROR(VLOOKUP($MY98,$AV$2:$BA$84,4,FALSE),0)</f>
        <v/>
      </c>
      <c r="OB98" s="155">
        <f>IFERROR(VLOOKUP($MV98,$AV$2:$BA$84,6,FALSE),0)+IFERROR(VLOOKUP($MW98,$AV$2:$BA$84,6,FALSE),0)+IFERROR(VLOOKUP($MX98,$AV$2:$BA$84,6,FALSE),0)+IFERROR(VLOOKUP($MY98,$AV$2:$BA$84,6,FALSE),0)</f>
        <v/>
      </c>
      <c r="OC98" s="155">
        <f>TEXTJOIN(", ",TRUE,IF(IFERROR(VLOOKUP($MV98,$AV$2:$BA$84,5,FALSE),0)=1,$MV98,""),IF(IFERROR(VLOOKUP($MW98,$AV$2:$BA$84,5,FALSE),0)=1,$MW98,""),IF(IFERROR(VLOOKUP($MX98,$AV$2:$BA$84,5,FALSE),0)=1,$MX98,""),IF(IFERROR(VLOOKUP($MY98,$AV$2:$BA$84,5,FALSE),0)=1,$MY98,""))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f>
        <v/>
      </c>
      <c r="OY98" s="155">
        <f>$OW98-$OX98</f>
        <v/>
      </c>
      <c r="OZ98" s="155">
        <f>IF($MQ98=0,0,INDEX($P$2:$P$8,MAX(1,$MQ98)))</f>
        <v/>
      </c>
      <c r="PA98" s="155">
        <f>$OZ98-$OU98+$OX98</f>
        <v/>
      </c>
      <c r="PB98" s="155">
        <f>IF($MQ98=0,MAX(0,$NE98-IF($OS98&gt;0,1,0)),MAX(0,$PA98))</f>
        <v/>
      </c>
      <c r="PC98" s="155">
        <f>IF($MQ98=0,0,(IF(COUNTIF($MV98:$MY98,"Salto")&gt;0,1,0)+IF(COUNTIF($MV98:$MY98,"Queima")&gt;0,1,0)+IF(COUNTIF($MV98:$MY98,"Estilhaço")&gt;0,1,0))*FLOOR($PB98/2,1))</f>
        <v/>
      </c>
      <c r="PD98" s="155">
        <f>MAX(0,2-SUMPRODUCT($OK98:$OP98,$I$2:$N$2)+MIN(2,$OQ98*1+$OR98*1,SUMPRODUCT($OK98:$OP98,$I$2:$N$2)))</f>
        <v/>
      </c>
      <c r="PE98" s="155">
        <f>MAX(0,4-SUMPRODUCT($OK98:$OP98,$I$3:$N$3)+MIN(4,$OQ98*1+$OR98*2,SUMPRODUCT($OK98:$OP98,$I$3:$N$3)))</f>
        <v/>
      </c>
      <c r="PF98" s="155">
        <f>MAX(0,6-SUMPRODUCT($OK98:$OP98,$I$4:$N$4)+MIN(6,$OQ98*2+$OR98*3,SUMPRODUCT($OK98:$OP98,$I$4:$N$4)))</f>
        <v/>
      </c>
      <c r="PG98" s="155">
        <f>MAX(0,9-SUMPRODUCT($OK98:$OP98,$I$5:$N$5)+MIN(8,$OQ98*2+$OR98*4,SUMPRODUCT($OK98:$OP98,$I$5:$N$5)))</f>
        <v/>
      </c>
      <c r="PH98" s="155">
        <f>MAX(0,11-SUMPRODUCT($OK98:$OP98,$I$6:$N$6)+MIN(10,$OQ98*3+$OR98*5,SUMPRODUCT($OK98:$OP98,$I$6:$N$6)))</f>
        <v/>
      </c>
      <c r="PI98" s="155">
        <f>MAX(0,13-SUMPRODUCT($OK98:$OP98,$I$7:$N$7)+MIN(12,$OQ98*3+$OR98*6,SUMPRODUCT($OK98:$OP98,$I$7:$N$7)))</f>
        <v/>
      </c>
      <c r="PJ98" s="155">
        <f>MAX(0,16-SUMPRODUCT($OK98:$OP98,$I$8:$N$8)+MIN(14,$OQ98*4+$OR98*7,SUMPRODUCT($OK98:$OP98,$I$8:$N$8)))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peça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IFERROR(VLOOKUP($MV99,$AV$2:$BA$84,2,FALSE),"")</f>
        <v/>
      </c>
      <c r="NJ99" s="155">
        <f>IFERROR(VLOOKUP($MW99,$AV$2:$BA$84,2,FALSE),"")</f>
        <v/>
      </c>
      <c r="NK99" s="155">
        <f>IFERROR(VLOOKUP($MX99,$AV$2:$BA$84,2,FALSE),"")</f>
        <v/>
      </c>
      <c r="NL99" s="155">
        <f>IFERROR(VLOOKUP($MY99,$AV$2:$BA$84,2,FALSE),"")</f>
        <v/>
      </c>
      <c r="NM99" s="155">
        <f>IFERROR(VLOOKUP($MV99,$AV$2:$BA$84,3,FALSE),0)</f>
        <v/>
      </c>
      <c r="NN99" s="155">
        <f>IFERROR(VLOOKUP($MW99,$AV$2:$BA$84,3,FALSE),0)</f>
        <v/>
      </c>
      <c r="NO99" s="155">
        <f>IFERROR(VLOOKUP($MX99,$AV$2:$BA$84,3,FALSE),0)</f>
        <v/>
      </c>
      <c r="NP99" s="155">
        <f>IFERROR(VLOOKUP($MY99,$AV$2:$BA$84,3,FALSE),0)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IFERROR(VLOOKUP($MV99,$AV$2:$BA$84,4,FALSE),0)+IFERROR(VLOOKUP($MW99,$AV$2:$BA$84,4,FALSE),0)+IFERROR(VLOOKUP($MX99,$AV$2:$BA$84,4,FALSE),0)+IFERROR(VLOOKUP($MY99,$AV$2:$BA$84,4,FALSE),0)</f>
        <v/>
      </c>
      <c r="OB99" s="155">
        <f>IFERROR(VLOOKUP($MV99,$AV$2:$BA$84,6,FALSE),0)+IFERROR(VLOOKUP($MW99,$AV$2:$BA$84,6,FALSE),0)+IFERROR(VLOOKUP($MX99,$AV$2:$BA$84,6,FALSE),0)+IFERROR(VLOOKUP($MY99,$AV$2:$BA$84,6,FALSE),0)</f>
        <v/>
      </c>
      <c r="OC99" s="155">
        <f>TEXTJOIN(", ",TRUE,IF(IFERROR(VLOOKUP($MV99,$AV$2:$BA$84,5,FALSE),0)=1,$MV99,""),IF(IFERROR(VLOOKUP($MW99,$AV$2:$BA$84,5,FALSE),0)=1,$MW99,""),IF(IFERROR(VLOOKUP($MX99,$AV$2:$BA$84,5,FALSE),0)=1,$MX99,""),IF(IFERROR(VLOOKUP($MY99,$AV$2:$BA$84,5,FALSE),0)=1,$MY99,""))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f>
        <v/>
      </c>
      <c r="OY99" s="155">
        <f>$OW99-$OX99</f>
        <v/>
      </c>
      <c r="OZ99" s="155">
        <f>IF($MQ99=0,0,INDEX($P$2:$P$8,MAX(1,$MQ99)))</f>
        <v/>
      </c>
      <c r="PA99" s="155">
        <f>$OZ99-$OU99+$OX99</f>
        <v/>
      </c>
      <c r="PB99" s="155">
        <f>IF($MQ99=0,MAX(0,$NE99-IF($OS99&gt;0,1,0)),MAX(0,$PA99))</f>
        <v/>
      </c>
      <c r="PC99" s="155">
        <f>IF($MQ99=0,0,(IF(COUNTIF($MV99:$MY99,"Salto")&gt;0,1,0)+IF(COUNTIF($MV99:$MY99,"Queima")&gt;0,1,0)+IF(COUNTIF($MV99:$MY99,"Estilhaço")&gt;0,1,0))*FLOOR($PB99/2,1))</f>
        <v/>
      </c>
      <c r="PD99" s="155">
        <f>MAX(0,2-SUMPRODUCT($OK99:$OP99,$I$2:$N$2)+MIN(2,$OQ99*1+$OR99*1,SUMPRODUCT($OK99:$OP99,$I$2:$N$2)))</f>
        <v/>
      </c>
      <c r="PE99" s="155">
        <f>MAX(0,4-SUMPRODUCT($OK99:$OP99,$I$3:$N$3)+MIN(4,$OQ99*1+$OR99*2,SUMPRODUCT($OK99:$OP99,$I$3:$N$3)))</f>
        <v/>
      </c>
      <c r="PF99" s="155">
        <f>MAX(0,6-SUMPRODUCT($OK99:$OP99,$I$4:$N$4)+MIN(6,$OQ99*2+$OR99*3,SUMPRODUCT($OK99:$OP99,$I$4:$N$4)))</f>
        <v/>
      </c>
      <c r="PG99" s="155">
        <f>MAX(0,9-SUMPRODUCT($OK99:$OP99,$I$5:$N$5)+MIN(8,$OQ99*2+$OR99*4,SUMPRODUCT($OK99:$OP99,$I$5:$N$5)))</f>
        <v/>
      </c>
      <c r="PH99" s="155">
        <f>MAX(0,11-SUMPRODUCT($OK99:$OP99,$I$6:$N$6)+MIN(10,$OQ99*3+$OR99*5,SUMPRODUCT($OK99:$OP99,$I$6:$N$6)))</f>
        <v/>
      </c>
      <c r="PI99" s="155">
        <f>MAX(0,13-SUMPRODUCT($OK99:$OP99,$I$7:$N$7)+MIN(12,$OQ99*3+$OR99*6,SUMPRODUCT($OK99:$OP99,$I$7:$N$7)))</f>
        <v/>
      </c>
      <c r="PJ99" s="155">
        <f>MAX(0,16-SUMPRODUCT($OK99:$OP99,$I$8:$N$8)+MIN(14,$OQ99*4+$OR99*7,SUMPRODUCT($OK99:$OP99,$I$8:$N$8)))</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peça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IFERROR(VLOOKUP($MV100,$AV$2:$BA$84,2,FALSE),"")</f>
        <v/>
      </c>
      <c r="NJ100" s="155">
        <f>IFERROR(VLOOKUP($MW100,$AV$2:$BA$84,2,FALSE),"")</f>
        <v/>
      </c>
      <c r="NK100" s="155">
        <f>IFERROR(VLOOKUP($MX100,$AV$2:$BA$84,2,FALSE),"")</f>
        <v/>
      </c>
      <c r="NL100" s="155">
        <f>IFERROR(VLOOKUP($MY100,$AV$2:$BA$84,2,FALSE),"")</f>
        <v/>
      </c>
      <c r="NM100" s="155">
        <f>IFERROR(VLOOKUP($MV100,$AV$2:$BA$84,3,FALSE),0)</f>
        <v/>
      </c>
      <c r="NN100" s="155">
        <f>IFERROR(VLOOKUP($MW100,$AV$2:$BA$84,3,FALSE),0)</f>
        <v/>
      </c>
      <c r="NO100" s="155">
        <f>IFERROR(VLOOKUP($MX100,$AV$2:$BA$84,3,FALSE),0)</f>
        <v/>
      </c>
      <c r="NP100" s="155">
        <f>IFERROR(VLOOKUP($MY100,$AV$2:$BA$84,3,FALSE),0)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IFERROR(VLOOKUP($MV100,$AV$2:$BA$84,4,FALSE),0)+IFERROR(VLOOKUP($MW100,$AV$2:$BA$84,4,FALSE),0)+IFERROR(VLOOKUP($MX100,$AV$2:$BA$84,4,FALSE),0)+IFERROR(VLOOKUP($MY100,$AV$2:$BA$84,4,FALSE),0)</f>
        <v/>
      </c>
      <c r="OB100" s="155">
        <f>IFERROR(VLOOKUP($MV100,$AV$2:$BA$84,6,FALSE),0)+IFERROR(VLOOKUP($MW100,$AV$2:$BA$84,6,FALSE),0)+IFERROR(VLOOKUP($MX100,$AV$2:$BA$84,6,FALSE),0)+IFERROR(VLOOKUP($MY100,$AV$2:$BA$84,6,FALSE),0)</f>
        <v/>
      </c>
      <c r="OC100" s="155">
        <f>TEXTJOIN(", ",TRUE,IF(IFERROR(VLOOKUP($MV100,$AV$2:$BA$84,5,FALSE),0)=1,$MV100,""),IF(IFERROR(VLOOKUP($MW100,$AV$2:$BA$84,5,FALSE),0)=1,$MW100,""),IF(IFERROR(VLOOKUP($MX100,$AV$2:$BA$84,5,FALSE),0)=1,$MX100,""),IF(IFERROR(VLOOKUP($MY100,$AV$2:$BA$84,5,FALSE),0)=1,$MY100,""))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f>
        <v/>
      </c>
      <c r="OY100" s="155">
        <f>$OW100-$OX100</f>
        <v/>
      </c>
      <c r="OZ100" s="155">
        <f>IF($MQ100=0,0,INDEX($P$2:$P$8,MAX(1,$MQ100)))</f>
        <v/>
      </c>
      <c r="PA100" s="155">
        <f>$OZ100-$OU100+$OX100</f>
        <v/>
      </c>
      <c r="PB100" s="155">
        <f>IF($MQ100=0,MAX(0,$NE100-IF($OS100&gt;0,1,0)),MAX(0,$PA100))</f>
        <v/>
      </c>
      <c r="PC100" s="155">
        <f>IF($MQ100=0,0,(IF(COUNTIF($MV100:$MY100,"Salto")&gt;0,1,0)+IF(COUNTIF($MV100:$MY100,"Queima")&gt;0,1,0)+IF(COUNTIF($MV100:$MY100,"Estilhaço")&gt;0,1,0))*FLOOR($PB100/2,1))</f>
        <v/>
      </c>
      <c r="PD100" s="155">
        <f>MAX(0,2-SUMPRODUCT($OK100:$OP100,$I$2:$N$2)+MIN(2,$OQ100*1+$OR100*1,SUMPRODUCT($OK100:$OP100,$I$2:$N$2)))</f>
        <v/>
      </c>
      <c r="PE100" s="155">
        <f>MAX(0,4-SUMPRODUCT($OK100:$OP100,$I$3:$N$3)+MIN(4,$OQ100*1+$OR100*2,SUMPRODUCT($OK100:$OP100,$I$3:$N$3)))</f>
        <v/>
      </c>
      <c r="PF100" s="155">
        <f>MAX(0,6-SUMPRODUCT($OK100:$OP100,$I$4:$N$4)+MIN(6,$OQ100*2+$OR100*3,SUMPRODUCT($OK100:$OP100,$I$4:$N$4)))</f>
        <v/>
      </c>
      <c r="PG100" s="155">
        <f>MAX(0,9-SUMPRODUCT($OK100:$OP100,$I$5:$N$5)+MIN(8,$OQ100*2+$OR100*4,SUMPRODUCT($OK100:$OP100,$I$5:$N$5)))</f>
        <v/>
      </c>
      <c r="PH100" s="155">
        <f>MAX(0,11-SUMPRODUCT($OK100:$OP100,$I$6:$N$6)+MIN(10,$OQ100*3+$OR100*5,SUMPRODUCT($OK100:$OP100,$I$6:$N$6)))</f>
        <v/>
      </c>
      <c r="PI100" s="155">
        <f>MAX(0,13-SUMPRODUCT($OK100:$OP100,$I$7:$N$7)+MIN(12,$OQ100*3+$OR100*6,SUMPRODUCT($OK100:$OP100,$I$7:$N$7)))</f>
        <v/>
      </c>
      <c r="PJ100" s="155">
        <f>MAX(0,16-SUMPRODUCT($OK100:$OP100,$I$8:$N$8)+MIN(14,$OQ100*4+$OR100*7,SUMPRODUCT($OK100:$OP100,$I$8:$N$8)))</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peça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IFERROR(VLOOKUP($MV101,$AV$2:$BA$84,2,FALSE),"")</f>
        <v/>
      </c>
      <c r="NJ101" s="155">
        <f>IFERROR(VLOOKUP($MW101,$AV$2:$BA$84,2,FALSE),"")</f>
        <v/>
      </c>
      <c r="NK101" s="155">
        <f>IFERROR(VLOOKUP($MX101,$AV$2:$BA$84,2,FALSE),"")</f>
        <v/>
      </c>
      <c r="NL101" s="155">
        <f>IFERROR(VLOOKUP($MY101,$AV$2:$BA$84,2,FALSE),"")</f>
        <v/>
      </c>
      <c r="NM101" s="155">
        <f>IFERROR(VLOOKUP($MV101,$AV$2:$BA$84,3,FALSE),0)</f>
        <v/>
      </c>
      <c r="NN101" s="155">
        <f>IFERROR(VLOOKUP($MW101,$AV$2:$BA$84,3,FALSE),0)</f>
        <v/>
      </c>
      <c r="NO101" s="155">
        <f>IFERROR(VLOOKUP($MX101,$AV$2:$BA$84,3,FALSE),0)</f>
        <v/>
      </c>
      <c r="NP101" s="155">
        <f>IFERROR(VLOOKUP($MY101,$AV$2:$BA$84,3,FALSE),0)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IFERROR(VLOOKUP($MV101,$AV$2:$BA$84,4,FALSE),0)+IFERROR(VLOOKUP($MW101,$AV$2:$BA$84,4,FALSE),0)+IFERROR(VLOOKUP($MX101,$AV$2:$BA$84,4,FALSE),0)+IFERROR(VLOOKUP($MY101,$AV$2:$BA$84,4,FALSE),0)</f>
        <v/>
      </c>
      <c r="OB101" s="155">
        <f>IFERROR(VLOOKUP($MV101,$AV$2:$BA$84,6,FALSE),0)+IFERROR(VLOOKUP($MW101,$AV$2:$BA$84,6,FALSE),0)+IFERROR(VLOOKUP($MX101,$AV$2:$BA$84,6,FALSE),0)+IFERROR(VLOOKUP($MY101,$AV$2:$BA$84,6,FALSE),0)</f>
        <v/>
      </c>
      <c r="OC101" s="155">
        <f>TEXTJOIN(", ",TRUE,IF(IFERROR(VLOOKUP($MV101,$AV$2:$BA$84,5,FALSE),0)=1,$MV101,""),IF(IFERROR(VLOOKUP($MW101,$AV$2:$BA$84,5,FALSE),0)=1,$MW101,""),IF(IFERROR(VLOOKUP($MX101,$AV$2:$BA$84,5,FALSE),0)=1,$MX101,""),IF(IFERROR(VLOOKUP($MY101,$AV$2:$BA$84,5,FALSE),0)=1,$MY101,""))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f>
        <v/>
      </c>
      <c r="OY101" s="155">
        <f>$OW101-$OX101</f>
        <v/>
      </c>
      <c r="OZ101" s="155">
        <f>IF($MQ101=0,0,INDEX($P$2:$P$8,MAX(1,$MQ101)))</f>
        <v/>
      </c>
      <c r="PA101" s="155">
        <f>$OZ101-$OU101+$OX101</f>
        <v/>
      </c>
      <c r="PB101" s="155">
        <f>IF($MQ101=0,MAX(0,$NE101-IF($OS101&gt;0,1,0)),MAX(0,$PA101))</f>
        <v/>
      </c>
      <c r="PC101" s="155">
        <f>IF($MQ101=0,0,(IF(COUNTIF($MV101:$MY101,"Salto")&gt;0,1,0)+IF(COUNTIF($MV101:$MY101,"Queima")&gt;0,1,0)+IF(COUNTIF($MV101:$MY101,"Estilhaço")&gt;0,1,0))*FLOOR($PB101/2,1))</f>
        <v/>
      </c>
      <c r="PD101" s="155">
        <f>MAX(0,2-SUMPRODUCT($OK101:$OP101,$I$2:$N$2)+MIN(2,$OQ101*1+$OR101*1,SUMPRODUCT($OK101:$OP101,$I$2:$N$2)))</f>
        <v/>
      </c>
      <c r="PE101" s="155">
        <f>MAX(0,4-SUMPRODUCT($OK101:$OP101,$I$3:$N$3)+MIN(4,$OQ101*1+$OR101*2,SUMPRODUCT($OK101:$OP101,$I$3:$N$3)))</f>
        <v/>
      </c>
      <c r="PF101" s="155">
        <f>MAX(0,6-SUMPRODUCT($OK101:$OP101,$I$4:$N$4)+MIN(6,$OQ101*2+$OR101*3,SUMPRODUCT($OK101:$OP101,$I$4:$N$4)))</f>
        <v/>
      </c>
      <c r="PG101" s="155">
        <f>MAX(0,9-SUMPRODUCT($OK101:$OP101,$I$5:$N$5)+MIN(8,$OQ101*2+$OR101*4,SUMPRODUCT($OK101:$OP101,$I$5:$N$5)))</f>
        <v/>
      </c>
      <c r="PH101" s="155">
        <f>MAX(0,11-SUMPRODUCT($OK101:$OP101,$I$6:$N$6)+MIN(10,$OQ101*3+$OR101*5,SUMPRODUCT($OK101:$OP101,$I$6:$N$6)))</f>
        <v/>
      </c>
      <c r="PI101" s="155">
        <f>MAX(0,13-SUMPRODUCT($OK101:$OP101,$I$7:$N$7)+MIN(12,$OQ101*3+$OR101*6,SUMPRODUCT($OK101:$OP101,$I$7:$N$7)))</f>
        <v/>
      </c>
      <c r="PJ101" s="155">
        <f>MAX(0,16-SUMPRODUCT($OK101:$OP101,$I$8:$N$8)+MIN(14,$OQ101*4+$OR101*7,SUMPRODUCT($OK101:$OP101,$I$8:$N$8)))</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peça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IFERROR(VLOOKUP($MV102,$AV$2:$BA$84,2,FALSE),"")</f>
        <v/>
      </c>
      <c r="NJ102" s="155">
        <f>IFERROR(VLOOKUP($MW102,$AV$2:$BA$84,2,FALSE),"")</f>
        <v/>
      </c>
      <c r="NK102" s="155">
        <f>IFERROR(VLOOKUP($MX102,$AV$2:$BA$84,2,FALSE),"")</f>
        <v/>
      </c>
      <c r="NL102" s="155">
        <f>IFERROR(VLOOKUP($MY102,$AV$2:$BA$84,2,FALSE),"")</f>
        <v/>
      </c>
      <c r="NM102" s="155">
        <f>IFERROR(VLOOKUP($MV102,$AV$2:$BA$84,3,FALSE),0)</f>
        <v/>
      </c>
      <c r="NN102" s="155">
        <f>IFERROR(VLOOKUP($MW102,$AV$2:$BA$84,3,FALSE),0)</f>
        <v/>
      </c>
      <c r="NO102" s="155">
        <f>IFERROR(VLOOKUP($MX102,$AV$2:$BA$84,3,FALSE),0)</f>
        <v/>
      </c>
      <c r="NP102" s="155">
        <f>IFERROR(VLOOKUP($MY102,$AV$2:$BA$84,3,FALSE),0)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IFERROR(VLOOKUP($MV102,$AV$2:$BA$84,4,FALSE),0)+IFERROR(VLOOKUP($MW102,$AV$2:$BA$84,4,FALSE),0)+IFERROR(VLOOKUP($MX102,$AV$2:$BA$84,4,FALSE),0)+IFERROR(VLOOKUP($MY102,$AV$2:$BA$84,4,FALSE),0)</f>
        <v/>
      </c>
      <c r="OB102" s="155">
        <f>IFERROR(VLOOKUP($MV102,$AV$2:$BA$84,6,FALSE),0)+IFERROR(VLOOKUP($MW102,$AV$2:$BA$84,6,FALSE),0)+IFERROR(VLOOKUP($MX102,$AV$2:$BA$84,6,FALSE),0)+IFERROR(VLOOKUP($MY102,$AV$2:$BA$84,6,FALSE),0)</f>
        <v/>
      </c>
      <c r="OC102" s="155">
        <f>TEXTJOIN(", ",TRUE,IF(IFERROR(VLOOKUP($MV102,$AV$2:$BA$84,5,FALSE),0)=1,$MV102,""),IF(IFERROR(VLOOKUP($MW102,$AV$2:$BA$84,5,FALSE),0)=1,$MW102,""),IF(IFERROR(VLOOKUP($MX102,$AV$2:$BA$84,5,FALSE),0)=1,$MX102,""),IF(IFERROR(VLOOKUP($MY102,$AV$2:$BA$84,5,FALSE),0)=1,$MY102,""))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f>
        <v/>
      </c>
      <c r="OY102" s="155">
        <f>$OW102-$OX102</f>
        <v/>
      </c>
      <c r="OZ102" s="155">
        <f>IF($MQ102=0,0,INDEX($P$2:$P$8,MAX(1,$MQ102)))</f>
        <v/>
      </c>
      <c r="PA102" s="155">
        <f>$OZ102-$OU102+$OX102</f>
        <v/>
      </c>
      <c r="PB102" s="155">
        <f>IF($MQ102=0,MAX(0,$NE102-IF($OS102&gt;0,1,0)),MAX(0,$PA102))</f>
        <v/>
      </c>
      <c r="PC102" s="155">
        <f>IF($MQ102=0,0,(IF(COUNTIF($MV102:$MY102,"Salto")&gt;0,1,0)+IF(COUNTIF($MV102:$MY102,"Queima")&gt;0,1,0)+IF(COUNTIF($MV102:$MY102,"Estilhaço")&gt;0,1,0))*FLOOR($PB102/2,1))</f>
        <v/>
      </c>
      <c r="PD102" s="155">
        <f>MAX(0,2-SUMPRODUCT($OK102:$OP102,$I$2:$N$2)+MIN(2,$OQ102*1+$OR102*1,SUMPRODUCT($OK102:$OP102,$I$2:$N$2)))</f>
        <v/>
      </c>
      <c r="PE102" s="155">
        <f>MAX(0,4-SUMPRODUCT($OK102:$OP102,$I$3:$N$3)+MIN(4,$OQ102*1+$OR102*2,SUMPRODUCT($OK102:$OP102,$I$3:$N$3)))</f>
        <v/>
      </c>
      <c r="PF102" s="155">
        <f>MAX(0,6-SUMPRODUCT($OK102:$OP102,$I$4:$N$4)+MIN(6,$OQ102*2+$OR102*3,SUMPRODUCT($OK102:$OP102,$I$4:$N$4)))</f>
        <v/>
      </c>
      <c r="PG102" s="155">
        <f>MAX(0,9-SUMPRODUCT($OK102:$OP102,$I$5:$N$5)+MIN(8,$OQ102*2+$OR102*4,SUMPRODUCT($OK102:$OP102,$I$5:$N$5)))</f>
        <v/>
      </c>
      <c r="PH102" s="155">
        <f>MAX(0,11-SUMPRODUCT($OK102:$OP102,$I$6:$N$6)+MIN(10,$OQ102*3+$OR102*5,SUMPRODUCT($OK102:$OP102,$I$6:$N$6)))</f>
        <v/>
      </c>
      <c r="PI102" s="155">
        <f>MAX(0,13-SUMPRODUCT($OK102:$OP102,$I$7:$N$7)+MIN(12,$OQ102*3+$OR102*6,SUMPRODUCT($OK102:$OP102,$I$7:$N$7)))</f>
        <v/>
      </c>
      <c r="PJ102" s="155">
        <f>MAX(0,16-SUMPRODUCT($OK102:$OP102,$I$8:$N$8)+MIN(14,$OQ102*4+$OR102*7,SUMPRODUCT($OK102:$OP102,$I$8:$N$8)))</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peça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IFERROR(VLOOKUP($MV103,$AV$2:$BA$84,2,FALSE),"")</f>
        <v/>
      </c>
      <c r="NJ103" s="155">
        <f>IFERROR(VLOOKUP($MW103,$AV$2:$BA$84,2,FALSE),"")</f>
        <v/>
      </c>
      <c r="NK103" s="155">
        <f>IFERROR(VLOOKUP($MX103,$AV$2:$BA$84,2,FALSE),"")</f>
        <v/>
      </c>
      <c r="NL103" s="155">
        <f>IFERROR(VLOOKUP($MY103,$AV$2:$BA$84,2,FALSE),"")</f>
        <v/>
      </c>
      <c r="NM103" s="155">
        <f>IFERROR(VLOOKUP($MV103,$AV$2:$BA$84,3,FALSE),0)</f>
        <v/>
      </c>
      <c r="NN103" s="155">
        <f>IFERROR(VLOOKUP($MW103,$AV$2:$BA$84,3,FALSE),0)</f>
        <v/>
      </c>
      <c r="NO103" s="155">
        <f>IFERROR(VLOOKUP($MX103,$AV$2:$BA$84,3,FALSE),0)</f>
        <v/>
      </c>
      <c r="NP103" s="155">
        <f>IFERROR(VLOOKUP($MY103,$AV$2:$BA$84,3,FALSE),0)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IFERROR(VLOOKUP($MV103,$AV$2:$BA$84,4,FALSE),0)+IFERROR(VLOOKUP($MW103,$AV$2:$BA$84,4,FALSE),0)+IFERROR(VLOOKUP($MX103,$AV$2:$BA$84,4,FALSE),0)+IFERROR(VLOOKUP($MY103,$AV$2:$BA$84,4,FALSE),0)</f>
        <v/>
      </c>
      <c r="OB103" s="155">
        <f>IFERROR(VLOOKUP($MV103,$AV$2:$BA$84,6,FALSE),0)+IFERROR(VLOOKUP($MW103,$AV$2:$BA$84,6,FALSE),0)+IFERROR(VLOOKUP($MX103,$AV$2:$BA$84,6,FALSE),0)+IFERROR(VLOOKUP($MY103,$AV$2:$BA$84,6,FALSE),0)</f>
        <v/>
      </c>
      <c r="OC103" s="155">
        <f>TEXTJOIN(", ",TRUE,IF(IFERROR(VLOOKUP($MV103,$AV$2:$BA$84,5,FALSE),0)=1,$MV103,""),IF(IFERROR(VLOOKUP($MW103,$AV$2:$BA$84,5,FALSE),0)=1,$MW103,""),IF(IFERROR(VLOOKUP($MX103,$AV$2:$BA$84,5,FALSE),0)=1,$MX103,""),IF(IFERROR(VLOOKUP($MY103,$AV$2:$BA$84,5,FALSE),0)=1,$MY103,""))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f>
        <v/>
      </c>
      <c r="OY103" s="155">
        <f>$OW103-$OX103</f>
        <v/>
      </c>
      <c r="OZ103" s="155">
        <f>IF($MQ103=0,0,INDEX($P$2:$P$8,MAX(1,$MQ103)))</f>
        <v/>
      </c>
      <c r="PA103" s="155">
        <f>$OZ103-$OU103+$OX103</f>
        <v/>
      </c>
      <c r="PB103" s="155">
        <f>IF($MQ103=0,MAX(0,$NE103-IF($OS103&gt;0,1,0)),MAX(0,$PA103))</f>
        <v/>
      </c>
      <c r="PC103" s="155">
        <f>IF($MQ103=0,0,(IF(COUNTIF($MV103:$MY103,"Salto")&gt;0,1,0)+IF(COUNTIF($MV103:$MY103,"Queima")&gt;0,1,0)+IF(COUNTIF($MV103:$MY103,"Estilhaço")&gt;0,1,0))*FLOOR($PB103/2,1))</f>
        <v/>
      </c>
      <c r="PD103" s="155">
        <f>MAX(0,2-SUMPRODUCT($OK103:$OP103,$I$2:$N$2)+MIN(2,$OQ103*1+$OR103*1,SUMPRODUCT($OK103:$OP103,$I$2:$N$2)))</f>
        <v/>
      </c>
      <c r="PE103" s="155">
        <f>MAX(0,4-SUMPRODUCT($OK103:$OP103,$I$3:$N$3)+MIN(4,$OQ103*1+$OR103*2,SUMPRODUCT($OK103:$OP103,$I$3:$N$3)))</f>
        <v/>
      </c>
      <c r="PF103" s="155">
        <f>MAX(0,6-SUMPRODUCT($OK103:$OP103,$I$4:$N$4)+MIN(6,$OQ103*2+$OR103*3,SUMPRODUCT($OK103:$OP103,$I$4:$N$4)))</f>
        <v/>
      </c>
      <c r="PG103" s="155">
        <f>MAX(0,9-SUMPRODUCT($OK103:$OP103,$I$5:$N$5)+MIN(8,$OQ103*2+$OR103*4,SUMPRODUCT($OK103:$OP103,$I$5:$N$5)))</f>
        <v/>
      </c>
      <c r="PH103" s="155">
        <f>MAX(0,11-SUMPRODUCT($OK103:$OP103,$I$6:$N$6)+MIN(10,$OQ103*3+$OR103*5,SUMPRODUCT($OK103:$OP103,$I$6:$N$6)))</f>
        <v/>
      </c>
      <c r="PI103" s="155">
        <f>MAX(0,13-SUMPRODUCT($OK103:$OP103,$I$7:$N$7)+MIN(12,$OQ103*3+$OR103*6,SUMPRODUCT($OK103:$OP103,$I$7:$N$7)))</f>
        <v/>
      </c>
      <c r="PJ103" s="155">
        <f>MAX(0,16-SUMPRODUCT($OK103:$OP103,$I$8:$N$8)+MIN(14,$OQ103*4+$OR103*7,SUMPRODUCT($OK103:$OP103,$I$8:$N$8)))</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peça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IFERROR(VLOOKUP($MV104,$AV$2:$BA$84,2,FALSE),"")</f>
        <v/>
      </c>
      <c r="NJ104" s="155">
        <f>IFERROR(VLOOKUP($MW104,$AV$2:$BA$84,2,FALSE),"")</f>
        <v/>
      </c>
      <c r="NK104" s="155">
        <f>IFERROR(VLOOKUP($MX104,$AV$2:$BA$84,2,FALSE),"")</f>
        <v/>
      </c>
      <c r="NL104" s="155">
        <f>IFERROR(VLOOKUP($MY104,$AV$2:$BA$84,2,FALSE),"")</f>
        <v/>
      </c>
      <c r="NM104" s="155">
        <f>IFERROR(VLOOKUP($MV104,$AV$2:$BA$84,3,FALSE),0)</f>
        <v/>
      </c>
      <c r="NN104" s="155">
        <f>IFERROR(VLOOKUP($MW104,$AV$2:$BA$84,3,FALSE),0)</f>
        <v/>
      </c>
      <c r="NO104" s="155">
        <f>IFERROR(VLOOKUP($MX104,$AV$2:$BA$84,3,FALSE),0)</f>
        <v/>
      </c>
      <c r="NP104" s="155">
        <f>IFERROR(VLOOKUP($MY104,$AV$2:$BA$84,3,FALSE),0)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IFERROR(VLOOKUP($MV104,$AV$2:$BA$84,4,FALSE),0)+IFERROR(VLOOKUP($MW104,$AV$2:$BA$84,4,FALSE),0)+IFERROR(VLOOKUP($MX104,$AV$2:$BA$84,4,FALSE),0)+IFERROR(VLOOKUP($MY104,$AV$2:$BA$84,4,FALSE),0)</f>
        <v/>
      </c>
      <c r="OB104" s="155">
        <f>IFERROR(VLOOKUP($MV104,$AV$2:$BA$84,6,FALSE),0)+IFERROR(VLOOKUP($MW104,$AV$2:$BA$84,6,FALSE),0)+IFERROR(VLOOKUP($MX104,$AV$2:$BA$84,6,FALSE),0)+IFERROR(VLOOKUP($MY104,$AV$2:$BA$84,6,FALSE),0)</f>
        <v/>
      </c>
      <c r="OC104" s="155">
        <f>TEXTJOIN(", ",TRUE,IF(IFERROR(VLOOKUP($MV104,$AV$2:$BA$84,5,FALSE),0)=1,$MV104,""),IF(IFERROR(VLOOKUP($MW104,$AV$2:$BA$84,5,FALSE),0)=1,$MW104,""),IF(IFERROR(VLOOKUP($MX104,$AV$2:$BA$84,5,FALSE),0)=1,$MX104,""),IF(IFERROR(VLOOKUP($MY104,$AV$2:$BA$84,5,FALSE),0)=1,$MY104,""))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f>
        <v/>
      </c>
      <c r="OY104" s="155">
        <f>$OW104-$OX104</f>
        <v/>
      </c>
      <c r="OZ104" s="155">
        <f>IF($MQ104=0,0,INDEX($P$2:$P$8,MAX(1,$MQ104)))</f>
        <v/>
      </c>
      <c r="PA104" s="155">
        <f>$OZ104-$OU104+$OX104</f>
        <v/>
      </c>
      <c r="PB104" s="155">
        <f>IF($MQ104=0,MAX(0,$NE104-IF($OS104&gt;0,1,0)),MAX(0,$PA104))</f>
        <v/>
      </c>
      <c r="PC104" s="155">
        <f>IF($MQ104=0,0,(IF(COUNTIF($MV104:$MY104,"Salto")&gt;0,1,0)+IF(COUNTIF($MV104:$MY104,"Queima")&gt;0,1,0)+IF(COUNTIF($MV104:$MY104,"Estilhaço")&gt;0,1,0))*FLOOR($PB104/2,1))</f>
        <v/>
      </c>
      <c r="PD104" s="155">
        <f>MAX(0,2-SUMPRODUCT($OK104:$OP104,$I$2:$N$2)+MIN(2,$OQ104*1+$OR104*1,SUMPRODUCT($OK104:$OP104,$I$2:$N$2)))</f>
        <v/>
      </c>
      <c r="PE104" s="155">
        <f>MAX(0,4-SUMPRODUCT($OK104:$OP104,$I$3:$N$3)+MIN(4,$OQ104*1+$OR104*2,SUMPRODUCT($OK104:$OP104,$I$3:$N$3)))</f>
        <v/>
      </c>
      <c r="PF104" s="155">
        <f>MAX(0,6-SUMPRODUCT($OK104:$OP104,$I$4:$N$4)+MIN(6,$OQ104*2+$OR104*3,SUMPRODUCT($OK104:$OP104,$I$4:$N$4)))</f>
        <v/>
      </c>
      <c r="PG104" s="155">
        <f>MAX(0,9-SUMPRODUCT($OK104:$OP104,$I$5:$N$5)+MIN(8,$OQ104*2+$OR104*4,SUMPRODUCT($OK104:$OP104,$I$5:$N$5)))</f>
        <v/>
      </c>
      <c r="PH104" s="155">
        <f>MAX(0,11-SUMPRODUCT($OK104:$OP104,$I$6:$N$6)+MIN(10,$OQ104*3+$OR104*5,SUMPRODUCT($OK104:$OP104,$I$6:$N$6)))</f>
        <v/>
      </c>
      <c r="PI104" s="155">
        <f>MAX(0,13-SUMPRODUCT($OK104:$OP104,$I$7:$N$7)+MIN(12,$OQ104*3+$OR104*6,SUMPRODUCT($OK104:$OP104,$I$7:$N$7)))</f>
        <v/>
      </c>
      <c r="PJ104" s="155">
        <f>MAX(0,16-SUMPRODUCT($OK104:$OP104,$I$8:$N$8)+MIN(14,$OQ104*4+$OR104*7,SUMPRODUCT($OK104:$OP104,$I$8:$N$8)))</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peça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IFERROR(VLOOKUP($MV105,$AV$2:$BA$84,2,FALSE),"")</f>
        <v/>
      </c>
      <c r="NJ105" s="155">
        <f>IFERROR(VLOOKUP($MW105,$AV$2:$BA$84,2,FALSE),"")</f>
        <v/>
      </c>
      <c r="NK105" s="155">
        <f>IFERROR(VLOOKUP($MX105,$AV$2:$BA$84,2,FALSE),"")</f>
        <v/>
      </c>
      <c r="NL105" s="155">
        <f>IFERROR(VLOOKUP($MY105,$AV$2:$BA$84,2,FALSE),"")</f>
        <v/>
      </c>
      <c r="NM105" s="155">
        <f>IFERROR(VLOOKUP($MV105,$AV$2:$BA$84,3,FALSE),0)</f>
        <v/>
      </c>
      <c r="NN105" s="155">
        <f>IFERROR(VLOOKUP($MW105,$AV$2:$BA$84,3,FALSE),0)</f>
        <v/>
      </c>
      <c r="NO105" s="155">
        <f>IFERROR(VLOOKUP($MX105,$AV$2:$BA$84,3,FALSE),0)</f>
        <v/>
      </c>
      <c r="NP105" s="155">
        <f>IFERROR(VLOOKUP($MY105,$AV$2:$BA$84,3,FALSE),0)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IFERROR(VLOOKUP($MV105,$AV$2:$BA$84,4,FALSE),0)+IFERROR(VLOOKUP($MW105,$AV$2:$BA$84,4,FALSE),0)+IFERROR(VLOOKUP($MX105,$AV$2:$BA$84,4,FALSE),0)+IFERROR(VLOOKUP($MY105,$AV$2:$BA$84,4,FALSE),0)</f>
        <v/>
      </c>
      <c r="OB105" s="155">
        <f>IFERROR(VLOOKUP($MV105,$AV$2:$BA$84,6,FALSE),0)+IFERROR(VLOOKUP($MW105,$AV$2:$BA$84,6,FALSE),0)+IFERROR(VLOOKUP($MX105,$AV$2:$BA$84,6,FALSE),0)+IFERROR(VLOOKUP($MY105,$AV$2:$BA$84,6,FALSE),0)</f>
        <v/>
      </c>
      <c r="OC105" s="155">
        <f>TEXTJOIN(", ",TRUE,IF(IFERROR(VLOOKUP($MV105,$AV$2:$BA$84,5,FALSE),0)=1,$MV105,""),IF(IFERROR(VLOOKUP($MW105,$AV$2:$BA$84,5,FALSE),0)=1,$MW105,""),IF(IFERROR(VLOOKUP($MX105,$AV$2:$BA$84,5,FALSE),0)=1,$MX105,""),IF(IFERROR(VLOOKUP($MY105,$AV$2:$BA$84,5,FALSE),0)=1,$MY105,""))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f>
        <v/>
      </c>
      <c r="OY105" s="155">
        <f>$OW105-$OX105</f>
        <v/>
      </c>
      <c r="OZ105" s="155">
        <f>IF($MQ105=0,0,INDEX($P$2:$P$8,MAX(1,$MQ105)))</f>
        <v/>
      </c>
      <c r="PA105" s="155">
        <f>$OZ105-$OU105+$OX105</f>
        <v/>
      </c>
      <c r="PB105" s="155">
        <f>IF($MQ105=0,MAX(0,$NE105-IF($OS105&gt;0,1,0)),MAX(0,$PA105))</f>
        <v/>
      </c>
      <c r="PC105" s="155">
        <f>IF($MQ105=0,0,(IF(COUNTIF($MV105:$MY105,"Salto")&gt;0,1,0)+IF(COUNTIF($MV105:$MY105,"Queima")&gt;0,1,0)+IF(COUNTIF($MV105:$MY105,"Estilhaço")&gt;0,1,0))*FLOOR($PB105/2,1))</f>
        <v/>
      </c>
      <c r="PD105" s="155">
        <f>MAX(0,2-SUMPRODUCT($OK105:$OP105,$I$2:$N$2)+MIN(2,$OQ105*1+$OR105*1,SUMPRODUCT($OK105:$OP105,$I$2:$N$2)))</f>
        <v/>
      </c>
      <c r="PE105" s="155">
        <f>MAX(0,4-SUMPRODUCT($OK105:$OP105,$I$3:$N$3)+MIN(4,$OQ105*1+$OR105*2,SUMPRODUCT($OK105:$OP105,$I$3:$N$3)))</f>
        <v/>
      </c>
      <c r="PF105" s="155">
        <f>MAX(0,6-SUMPRODUCT($OK105:$OP105,$I$4:$N$4)+MIN(6,$OQ105*2+$OR105*3,SUMPRODUCT($OK105:$OP105,$I$4:$N$4)))</f>
        <v/>
      </c>
      <c r="PG105" s="155">
        <f>MAX(0,9-SUMPRODUCT($OK105:$OP105,$I$5:$N$5)+MIN(8,$OQ105*2+$OR105*4,SUMPRODUCT($OK105:$OP105,$I$5:$N$5)))</f>
        <v/>
      </c>
      <c r="PH105" s="155">
        <f>MAX(0,11-SUMPRODUCT($OK105:$OP105,$I$6:$N$6)+MIN(10,$OQ105*3+$OR105*5,SUMPRODUCT($OK105:$OP105,$I$6:$N$6)))</f>
        <v/>
      </c>
      <c r="PI105" s="155">
        <f>MAX(0,13-SUMPRODUCT($OK105:$OP105,$I$7:$N$7)+MIN(12,$OQ105*3+$OR105*6,SUMPRODUCT($OK105:$OP105,$I$7:$N$7)))</f>
        <v/>
      </c>
      <c r="PJ105" s="155">
        <f>MAX(0,16-SUMPRODUCT($OK105:$OP105,$I$8:$N$8)+MIN(14,$OQ105*4+$OR105*7,SUMPRODUCT($OK105:$OP105,$I$8:$N$8)))</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peça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IFERROR(VLOOKUP($MV106,$AV$2:$BA$84,2,FALSE),"")</f>
        <v/>
      </c>
      <c r="NJ106" s="155">
        <f>IFERROR(VLOOKUP($MW106,$AV$2:$BA$84,2,FALSE),"")</f>
        <v/>
      </c>
      <c r="NK106" s="155">
        <f>IFERROR(VLOOKUP($MX106,$AV$2:$BA$84,2,FALSE),"")</f>
        <v/>
      </c>
      <c r="NL106" s="155">
        <f>IFERROR(VLOOKUP($MY106,$AV$2:$BA$84,2,FALSE),"")</f>
        <v/>
      </c>
      <c r="NM106" s="155">
        <f>IFERROR(VLOOKUP($MV106,$AV$2:$BA$84,3,FALSE),0)</f>
        <v/>
      </c>
      <c r="NN106" s="155">
        <f>IFERROR(VLOOKUP($MW106,$AV$2:$BA$84,3,FALSE),0)</f>
        <v/>
      </c>
      <c r="NO106" s="155">
        <f>IFERROR(VLOOKUP($MX106,$AV$2:$BA$84,3,FALSE),0)</f>
        <v/>
      </c>
      <c r="NP106" s="155">
        <f>IFERROR(VLOOKUP($MY106,$AV$2:$BA$84,3,FALSE),0)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IFERROR(VLOOKUP($MV106,$AV$2:$BA$84,4,FALSE),0)+IFERROR(VLOOKUP($MW106,$AV$2:$BA$84,4,FALSE),0)+IFERROR(VLOOKUP($MX106,$AV$2:$BA$84,4,FALSE),0)+IFERROR(VLOOKUP($MY106,$AV$2:$BA$84,4,FALSE),0)</f>
        <v/>
      </c>
      <c r="OB106" s="155">
        <f>IFERROR(VLOOKUP($MV106,$AV$2:$BA$84,6,FALSE),0)+IFERROR(VLOOKUP($MW106,$AV$2:$BA$84,6,FALSE),0)+IFERROR(VLOOKUP($MX106,$AV$2:$BA$84,6,FALSE),0)+IFERROR(VLOOKUP($MY106,$AV$2:$BA$84,6,FALSE),0)</f>
        <v/>
      </c>
      <c r="OC106" s="155">
        <f>TEXTJOIN(", ",TRUE,IF(IFERROR(VLOOKUP($MV106,$AV$2:$BA$84,5,FALSE),0)=1,$MV106,""),IF(IFERROR(VLOOKUP($MW106,$AV$2:$BA$84,5,FALSE),0)=1,$MW106,""),IF(IFERROR(VLOOKUP($MX106,$AV$2:$BA$84,5,FALSE),0)=1,$MX106,""),IF(IFERROR(VLOOKUP($MY106,$AV$2:$BA$84,5,FALSE),0)=1,$MY106,""))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f>
        <v/>
      </c>
      <c r="OY106" s="155">
        <f>$OW106-$OX106</f>
        <v/>
      </c>
      <c r="OZ106" s="155">
        <f>IF($MQ106=0,0,INDEX($P$2:$P$8,MAX(1,$MQ106)))</f>
        <v/>
      </c>
      <c r="PA106" s="155">
        <f>$OZ106-$OU106+$OX106</f>
        <v/>
      </c>
      <c r="PB106" s="155">
        <f>IF($MQ106=0,MAX(0,$NE106-IF($OS106&gt;0,1,0)),MAX(0,$PA106))</f>
        <v/>
      </c>
      <c r="PC106" s="155">
        <f>IF($MQ106=0,0,(IF(COUNTIF($MV106:$MY106,"Salto")&gt;0,1,0)+IF(COUNTIF($MV106:$MY106,"Queima")&gt;0,1,0)+IF(COUNTIF($MV106:$MY106,"Estilhaço")&gt;0,1,0))*FLOOR($PB106/2,1))</f>
        <v/>
      </c>
      <c r="PD106" s="155">
        <f>MAX(0,2-SUMPRODUCT($OK106:$OP106,$I$2:$N$2)+MIN(2,$OQ106*1+$OR106*1,SUMPRODUCT($OK106:$OP106,$I$2:$N$2)))</f>
        <v/>
      </c>
      <c r="PE106" s="155">
        <f>MAX(0,4-SUMPRODUCT($OK106:$OP106,$I$3:$N$3)+MIN(4,$OQ106*1+$OR106*2,SUMPRODUCT($OK106:$OP106,$I$3:$N$3)))</f>
        <v/>
      </c>
      <c r="PF106" s="155">
        <f>MAX(0,6-SUMPRODUCT($OK106:$OP106,$I$4:$N$4)+MIN(6,$OQ106*2+$OR106*3,SUMPRODUCT($OK106:$OP106,$I$4:$N$4)))</f>
        <v/>
      </c>
      <c r="PG106" s="155">
        <f>MAX(0,9-SUMPRODUCT($OK106:$OP106,$I$5:$N$5)+MIN(8,$OQ106*2+$OR106*4,SUMPRODUCT($OK106:$OP106,$I$5:$N$5)))</f>
        <v/>
      </c>
      <c r="PH106" s="155">
        <f>MAX(0,11-SUMPRODUCT($OK106:$OP106,$I$6:$N$6)+MIN(10,$OQ106*3+$OR106*5,SUMPRODUCT($OK106:$OP106,$I$6:$N$6)))</f>
        <v/>
      </c>
      <c r="PI106" s="155">
        <f>MAX(0,13-SUMPRODUCT($OK106:$OP106,$I$7:$N$7)+MIN(12,$OQ106*3+$OR106*6,SUMPRODUCT($OK106:$OP106,$I$7:$N$7)))</f>
        <v/>
      </c>
      <c r="PJ106" s="155">
        <f>MAX(0,16-SUMPRODUCT($OK106:$OP106,$I$8:$N$8)+MIN(14,$OQ106*4+$OR106*7,SUMPRODUCT($OK106:$OP106,$I$8:$N$8)))</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peça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IFERROR(VLOOKUP($MV107,$AV$2:$BA$84,2,FALSE),"")</f>
        <v/>
      </c>
      <c r="NJ107" s="155">
        <f>IFERROR(VLOOKUP($MW107,$AV$2:$BA$84,2,FALSE),"")</f>
        <v/>
      </c>
      <c r="NK107" s="155">
        <f>IFERROR(VLOOKUP($MX107,$AV$2:$BA$84,2,FALSE),"")</f>
        <v/>
      </c>
      <c r="NL107" s="155">
        <f>IFERROR(VLOOKUP($MY107,$AV$2:$BA$84,2,FALSE),"")</f>
        <v/>
      </c>
      <c r="NM107" s="155">
        <f>IFERROR(VLOOKUP($MV107,$AV$2:$BA$84,3,FALSE),0)</f>
        <v/>
      </c>
      <c r="NN107" s="155">
        <f>IFERROR(VLOOKUP($MW107,$AV$2:$BA$84,3,FALSE),0)</f>
        <v/>
      </c>
      <c r="NO107" s="155">
        <f>IFERROR(VLOOKUP($MX107,$AV$2:$BA$84,3,FALSE),0)</f>
        <v/>
      </c>
      <c r="NP107" s="155">
        <f>IFERROR(VLOOKUP($MY107,$AV$2:$BA$84,3,FALSE),0)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IFERROR(VLOOKUP($MV107,$AV$2:$BA$84,4,FALSE),0)+IFERROR(VLOOKUP($MW107,$AV$2:$BA$84,4,FALSE),0)+IFERROR(VLOOKUP($MX107,$AV$2:$BA$84,4,FALSE),0)+IFERROR(VLOOKUP($MY107,$AV$2:$BA$84,4,FALSE),0)</f>
        <v/>
      </c>
      <c r="OB107" s="155">
        <f>IFERROR(VLOOKUP($MV107,$AV$2:$BA$84,6,FALSE),0)+IFERROR(VLOOKUP($MW107,$AV$2:$BA$84,6,FALSE),0)+IFERROR(VLOOKUP($MX107,$AV$2:$BA$84,6,FALSE),0)+IFERROR(VLOOKUP($MY107,$AV$2:$BA$84,6,FALSE),0)</f>
        <v/>
      </c>
      <c r="OC107" s="155">
        <f>TEXTJOIN(", ",TRUE,IF(IFERROR(VLOOKUP($MV107,$AV$2:$BA$84,5,FALSE),0)=1,$MV107,""),IF(IFERROR(VLOOKUP($MW107,$AV$2:$BA$84,5,FALSE),0)=1,$MW107,""),IF(IFERROR(VLOOKUP($MX107,$AV$2:$BA$84,5,FALSE),0)=1,$MX107,""),IF(IFERROR(VLOOKUP($MY107,$AV$2:$BA$84,5,FALSE),0)=1,$MY107,""))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f>
        <v/>
      </c>
      <c r="OY107" s="155">
        <f>$OW107-$OX107</f>
        <v/>
      </c>
      <c r="OZ107" s="155">
        <f>IF($MQ107=0,0,INDEX($P$2:$P$8,MAX(1,$MQ107)))</f>
        <v/>
      </c>
      <c r="PA107" s="155">
        <f>$OZ107-$OU107+$OX107</f>
        <v/>
      </c>
      <c r="PB107" s="155">
        <f>IF($MQ107=0,MAX(0,$NE107-IF($OS107&gt;0,1,0)),MAX(0,$PA107))</f>
        <v/>
      </c>
      <c r="PC107" s="155">
        <f>IF($MQ107=0,0,(IF(COUNTIF($MV107:$MY107,"Salto")&gt;0,1,0)+IF(COUNTIF($MV107:$MY107,"Queima")&gt;0,1,0)+IF(COUNTIF($MV107:$MY107,"Estilhaço")&gt;0,1,0))*FLOOR($PB107/2,1))</f>
        <v/>
      </c>
      <c r="PD107" s="155">
        <f>MAX(0,2-SUMPRODUCT($OK107:$OP107,$I$2:$N$2)+MIN(2,$OQ107*1+$OR107*1,SUMPRODUCT($OK107:$OP107,$I$2:$N$2)))</f>
        <v/>
      </c>
      <c r="PE107" s="155">
        <f>MAX(0,4-SUMPRODUCT($OK107:$OP107,$I$3:$N$3)+MIN(4,$OQ107*1+$OR107*2,SUMPRODUCT($OK107:$OP107,$I$3:$N$3)))</f>
        <v/>
      </c>
      <c r="PF107" s="155">
        <f>MAX(0,6-SUMPRODUCT($OK107:$OP107,$I$4:$N$4)+MIN(6,$OQ107*2+$OR107*3,SUMPRODUCT($OK107:$OP107,$I$4:$N$4)))</f>
        <v/>
      </c>
      <c r="PG107" s="155">
        <f>MAX(0,9-SUMPRODUCT($OK107:$OP107,$I$5:$N$5)+MIN(8,$OQ107*2+$OR107*4,SUMPRODUCT($OK107:$OP107,$I$5:$N$5)))</f>
        <v/>
      </c>
      <c r="PH107" s="155">
        <f>MAX(0,11-SUMPRODUCT($OK107:$OP107,$I$6:$N$6)+MIN(10,$OQ107*3+$OR107*5,SUMPRODUCT($OK107:$OP107,$I$6:$N$6)))</f>
        <v/>
      </c>
      <c r="PI107" s="155">
        <f>MAX(0,13-SUMPRODUCT($OK107:$OP107,$I$7:$N$7)+MIN(12,$OQ107*3+$OR107*6,SUMPRODUCT($OK107:$OP107,$I$7:$N$7)))</f>
        <v/>
      </c>
      <c r="PJ107" s="155">
        <f>MAX(0,16-SUMPRODUCT($OK107:$OP107,$I$8:$N$8)+MIN(14,$OQ107*4+$OR107*7,SUMPRODUCT($OK107:$OP107,$I$8:$N$8)))</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peça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IFERROR(VLOOKUP($MV108,$AV$2:$BA$84,2,FALSE),"")</f>
        <v/>
      </c>
      <c r="NJ108" s="155">
        <f>IFERROR(VLOOKUP($MW108,$AV$2:$BA$84,2,FALSE),"")</f>
        <v/>
      </c>
      <c r="NK108" s="155">
        <f>IFERROR(VLOOKUP($MX108,$AV$2:$BA$84,2,FALSE),"")</f>
        <v/>
      </c>
      <c r="NL108" s="155">
        <f>IFERROR(VLOOKUP($MY108,$AV$2:$BA$84,2,FALSE),"")</f>
        <v/>
      </c>
      <c r="NM108" s="155">
        <f>IFERROR(VLOOKUP($MV108,$AV$2:$BA$84,3,FALSE),0)</f>
        <v/>
      </c>
      <c r="NN108" s="155">
        <f>IFERROR(VLOOKUP($MW108,$AV$2:$BA$84,3,FALSE),0)</f>
        <v/>
      </c>
      <c r="NO108" s="155">
        <f>IFERROR(VLOOKUP($MX108,$AV$2:$BA$84,3,FALSE),0)</f>
        <v/>
      </c>
      <c r="NP108" s="155">
        <f>IFERROR(VLOOKUP($MY108,$AV$2:$BA$84,3,FALSE),0)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IFERROR(VLOOKUP($MV108,$AV$2:$BA$84,4,FALSE),0)+IFERROR(VLOOKUP($MW108,$AV$2:$BA$84,4,FALSE),0)+IFERROR(VLOOKUP($MX108,$AV$2:$BA$84,4,FALSE),0)+IFERROR(VLOOKUP($MY108,$AV$2:$BA$84,4,FALSE),0)</f>
        <v/>
      </c>
      <c r="OB108" s="155">
        <f>IFERROR(VLOOKUP($MV108,$AV$2:$BA$84,6,FALSE),0)+IFERROR(VLOOKUP($MW108,$AV$2:$BA$84,6,FALSE),0)+IFERROR(VLOOKUP($MX108,$AV$2:$BA$84,6,FALSE),0)+IFERROR(VLOOKUP($MY108,$AV$2:$BA$84,6,FALSE),0)</f>
        <v/>
      </c>
      <c r="OC108" s="155">
        <f>TEXTJOIN(", ",TRUE,IF(IFERROR(VLOOKUP($MV108,$AV$2:$BA$84,5,FALSE),0)=1,$MV108,""),IF(IFERROR(VLOOKUP($MW108,$AV$2:$BA$84,5,FALSE),0)=1,$MW108,""),IF(IFERROR(VLOOKUP($MX108,$AV$2:$BA$84,5,FALSE),0)=1,$MX108,""),IF(IFERROR(VLOOKUP($MY108,$AV$2:$BA$84,5,FALSE),0)=1,$MY108,""))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f>
        <v/>
      </c>
      <c r="OY108" s="155">
        <f>$OW108-$OX108</f>
        <v/>
      </c>
      <c r="OZ108" s="155">
        <f>IF($MQ108=0,0,INDEX($P$2:$P$8,MAX(1,$MQ108)))</f>
        <v/>
      </c>
      <c r="PA108" s="155">
        <f>$OZ108-$OU108+$OX108</f>
        <v/>
      </c>
      <c r="PB108" s="155">
        <f>IF($MQ108=0,MAX(0,$NE108-IF($OS108&gt;0,1,0)),MAX(0,$PA108))</f>
        <v/>
      </c>
      <c r="PC108" s="155">
        <f>IF($MQ108=0,0,(IF(COUNTIF($MV108:$MY108,"Salto")&gt;0,1,0)+IF(COUNTIF($MV108:$MY108,"Queima")&gt;0,1,0)+IF(COUNTIF($MV108:$MY108,"Estilhaço")&gt;0,1,0))*FLOOR($PB108/2,1))</f>
        <v/>
      </c>
      <c r="PD108" s="155">
        <f>MAX(0,2-SUMPRODUCT($OK108:$OP108,$I$2:$N$2)+MIN(2,$OQ108*1+$OR108*1,SUMPRODUCT($OK108:$OP108,$I$2:$N$2)))</f>
        <v/>
      </c>
      <c r="PE108" s="155">
        <f>MAX(0,4-SUMPRODUCT($OK108:$OP108,$I$3:$N$3)+MIN(4,$OQ108*1+$OR108*2,SUMPRODUCT($OK108:$OP108,$I$3:$N$3)))</f>
        <v/>
      </c>
      <c r="PF108" s="155">
        <f>MAX(0,6-SUMPRODUCT($OK108:$OP108,$I$4:$N$4)+MIN(6,$OQ108*2+$OR108*3,SUMPRODUCT($OK108:$OP108,$I$4:$N$4)))</f>
        <v/>
      </c>
      <c r="PG108" s="155">
        <f>MAX(0,9-SUMPRODUCT($OK108:$OP108,$I$5:$N$5)+MIN(8,$OQ108*2+$OR108*4,SUMPRODUCT($OK108:$OP108,$I$5:$N$5)))</f>
        <v/>
      </c>
      <c r="PH108" s="155">
        <f>MAX(0,11-SUMPRODUCT($OK108:$OP108,$I$6:$N$6)+MIN(10,$OQ108*3+$OR108*5,SUMPRODUCT($OK108:$OP108,$I$6:$N$6)))</f>
        <v/>
      </c>
      <c r="PI108" s="155">
        <f>MAX(0,13-SUMPRODUCT($OK108:$OP108,$I$7:$N$7)+MIN(12,$OQ108*3+$OR108*6,SUMPRODUCT($OK108:$OP108,$I$7:$N$7)))</f>
        <v/>
      </c>
      <c r="PJ108" s="155">
        <f>MAX(0,16-SUMPRODUCT($OK108:$OP108,$I$8:$N$8)+MIN(14,$OQ108*4+$OR108*7,SUMPRODUCT($OK108:$OP108,$I$8:$N$8)))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peça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IFERROR(VLOOKUP($MV109,$AV$2:$BA$84,2,FALSE),"")</f>
        <v/>
      </c>
      <c r="NJ109" s="155">
        <f>IFERROR(VLOOKUP($MW109,$AV$2:$BA$84,2,FALSE),"")</f>
        <v/>
      </c>
      <c r="NK109" s="155">
        <f>IFERROR(VLOOKUP($MX109,$AV$2:$BA$84,2,FALSE),"")</f>
        <v/>
      </c>
      <c r="NL109" s="155">
        <f>IFERROR(VLOOKUP($MY109,$AV$2:$BA$84,2,FALSE),"")</f>
        <v/>
      </c>
      <c r="NM109" s="155">
        <f>IFERROR(VLOOKUP($MV109,$AV$2:$BA$84,3,FALSE),0)</f>
        <v/>
      </c>
      <c r="NN109" s="155">
        <f>IFERROR(VLOOKUP($MW109,$AV$2:$BA$84,3,FALSE),0)</f>
        <v/>
      </c>
      <c r="NO109" s="155">
        <f>IFERROR(VLOOKUP($MX109,$AV$2:$BA$84,3,FALSE),0)</f>
        <v/>
      </c>
      <c r="NP109" s="155">
        <f>IFERROR(VLOOKUP($MY109,$AV$2:$BA$84,3,FALSE),0)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IFERROR(VLOOKUP($MV109,$AV$2:$BA$84,4,FALSE),0)+IFERROR(VLOOKUP($MW109,$AV$2:$BA$84,4,FALSE),0)+IFERROR(VLOOKUP($MX109,$AV$2:$BA$84,4,FALSE),0)+IFERROR(VLOOKUP($MY109,$AV$2:$BA$84,4,FALSE),0)</f>
        <v/>
      </c>
      <c r="OB109" s="155">
        <f>IFERROR(VLOOKUP($MV109,$AV$2:$BA$84,6,FALSE),0)+IFERROR(VLOOKUP($MW109,$AV$2:$BA$84,6,FALSE),0)+IFERROR(VLOOKUP($MX109,$AV$2:$BA$84,6,FALSE),0)+IFERROR(VLOOKUP($MY109,$AV$2:$BA$84,6,FALSE),0)</f>
        <v/>
      </c>
      <c r="OC109" s="155">
        <f>TEXTJOIN(", ",TRUE,IF(IFERROR(VLOOKUP($MV109,$AV$2:$BA$84,5,FALSE),0)=1,$MV109,""),IF(IFERROR(VLOOKUP($MW109,$AV$2:$BA$84,5,FALSE),0)=1,$MW109,""),IF(IFERROR(VLOOKUP($MX109,$AV$2:$BA$84,5,FALSE),0)=1,$MX109,""),IF(IFERROR(VLOOKUP($MY109,$AV$2:$BA$84,5,FALSE),0)=1,$MY109,""))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f>
        <v/>
      </c>
      <c r="OY109" s="155">
        <f>$OW109-$OX109</f>
        <v/>
      </c>
      <c r="OZ109" s="155">
        <f>IF($MQ109=0,0,INDEX($P$2:$P$8,MAX(1,$MQ109)))</f>
        <v/>
      </c>
      <c r="PA109" s="155">
        <f>$OZ109-$OU109+$OX109</f>
        <v/>
      </c>
      <c r="PB109" s="155">
        <f>IF($MQ109=0,MAX(0,$NE109-IF($OS109&gt;0,1,0)),MAX(0,$PA109))</f>
        <v/>
      </c>
      <c r="PC109" s="155">
        <f>IF($MQ109=0,0,(IF(COUNTIF($MV109:$MY109,"Salto")&gt;0,1,0)+IF(COUNTIF($MV109:$MY109,"Queima")&gt;0,1,0)+IF(COUNTIF($MV109:$MY109,"Estilhaço")&gt;0,1,0))*FLOOR($PB109/2,1))</f>
        <v/>
      </c>
      <c r="PD109" s="155">
        <f>MAX(0,2-SUMPRODUCT($OK109:$OP109,$I$2:$N$2)+MIN(2,$OQ109*1+$OR109*1,SUMPRODUCT($OK109:$OP109,$I$2:$N$2)))</f>
        <v/>
      </c>
      <c r="PE109" s="155">
        <f>MAX(0,4-SUMPRODUCT($OK109:$OP109,$I$3:$N$3)+MIN(4,$OQ109*1+$OR109*2,SUMPRODUCT($OK109:$OP109,$I$3:$N$3)))</f>
        <v/>
      </c>
      <c r="PF109" s="155">
        <f>MAX(0,6-SUMPRODUCT($OK109:$OP109,$I$4:$N$4)+MIN(6,$OQ109*2+$OR109*3,SUMPRODUCT($OK109:$OP109,$I$4:$N$4)))</f>
        <v/>
      </c>
      <c r="PG109" s="155">
        <f>MAX(0,9-SUMPRODUCT($OK109:$OP109,$I$5:$N$5)+MIN(8,$OQ109*2+$OR109*4,SUMPRODUCT($OK109:$OP109,$I$5:$N$5)))</f>
        <v/>
      </c>
      <c r="PH109" s="155">
        <f>MAX(0,11-SUMPRODUCT($OK109:$OP109,$I$6:$N$6)+MIN(10,$OQ109*3+$OR109*5,SUMPRODUCT($OK109:$OP109,$I$6:$N$6)))</f>
        <v/>
      </c>
      <c r="PI109" s="155">
        <f>MAX(0,13-SUMPRODUCT($OK109:$OP109,$I$7:$N$7)+MIN(12,$OQ109*3+$OR109*6,SUMPRODUCT($OK109:$OP109,$I$7:$N$7)))</f>
        <v/>
      </c>
      <c r="PJ109" s="155">
        <f>MAX(0,16-SUMPRODUCT($OK109:$OP109,$I$8:$N$8)+MIN(14,$OQ109*4+$OR109*7,SUMPRODUCT($OK109:$OP109,$I$8:$N$8)))</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peça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IFERROR(VLOOKUP($MV110,$AV$2:$BA$84,2,FALSE),"")</f>
        <v/>
      </c>
      <c r="NJ110" s="155">
        <f>IFERROR(VLOOKUP($MW110,$AV$2:$BA$84,2,FALSE),"")</f>
        <v/>
      </c>
      <c r="NK110" s="155">
        <f>IFERROR(VLOOKUP($MX110,$AV$2:$BA$84,2,FALSE),"")</f>
        <v/>
      </c>
      <c r="NL110" s="155">
        <f>IFERROR(VLOOKUP($MY110,$AV$2:$BA$84,2,FALSE),"")</f>
        <v/>
      </c>
      <c r="NM110" s="155">
        <f>IFERROR(VLOOKUP($MV110,$AV$2:$BA$84,3,FALSE),0)</f>
        <v/>
      </c>
      <c r="NN110" s="155">
        <f>IFERROR(VLOOKUP($MW110,$AV$2:$BA$84,3,FALSE),0)</f>
        <v/>
      </c>
      <c r="NO110" s="155">
        <f>IFERROR(VLOOKUP($MX110,$AV$2:$BA$84,3,FALSE),0)</f>
        <v/>
      </c>
      <c r="NP110" s="155">
        <f>IFERROR(VLOOKUP($MY110,$AV$2:$BA$84,3,FALSE),0)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IFERROR(VLOOKUP($MV110,$AV$2:$BA$84,4,FALSE),0)+IFERROR(VLOOKUP($MW110,$AV$2:$BA$84,4,FALSE),0)+IFERROR(VLOOKUP($MX110,$AV$2:$BA$84,4,FALSE),0)+IFERROR(VLOOKUP($MY110,$AV$2:$BA$84,4,FALSE),0)</f>
        <v/>
      </c>
      <c r="OB110" s="155">
        <f>IFERROR(VLOOKUP($MV110,$AV$2:$BA$84,6,FALSE),0)+IFERROR(VLOOKUP($MW110,$AV$2:$BA$84,6,FALSE),0)+IFERROR(VLOOKUP($MX110,$AV$2:$BA$84,6,FALSE),0)+IFERROR(VLOOKUP($MY110,$AV$2:$BA$84,6,FALSE),0)</f>
        <v/>
      </c>
      <c r="OC110" s="155">
        <f>TEXTJOIN(", ",TRUE,IF(IFERROR(VLOOKUP($MV110,$AV$2:$BA$84,5,FALSE),0)=1,$MV110,""),IF(IFERROR(VLOOKUP($MW110,$AV$2:$BA$84,5,FALSE),0)=1,$MW110,""),IF(IFERROR(VLOOKUP($MX110,$AV$2:$BA$84,5,FALSE),0)=1,$MX110,""),IF(IFERROR(VLOOKUP($MY110,$AV$2:$BA$84,5,FALSE),0)=1,$MY110,""))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f>
        <v/>
      </c>
      <c r="OY110" s="155">
        <f>$OW110-$OX110</f>
        <v/>
      </c>
      <c r="OZ110" s="155">
        <f>IF($MQ110=0,0,INDEX($P$2:$P$8,MAX(1,$MQ110)))</f>
        <v/>
      </c>
      <c r="PA110" s="155">
        <f>$OZ110-$OU110+$OX110</f>
        <v/>
      </c>
      <c r="PB110" s="155">
        <f>IF($MQ110=0,MAX(0,$NE110-IF($OS110&gt;0,1,0)),MAX(0,$PA110))</f>
        <v/>
      </c>
      <c r="PC110" s="155">
        <f>IF($MQ110=0,0,(IF(COUNTIF($MV110:$MY110,"Salto")&gt;0,1,0)+IF(COUNTIF($MV110:$MY110,"Queima")&gt;0,1,0)+IF(COUNTIF($MV110:$MY110,"Estilhaço")&gt;0,1,0))*FLOOR($PB110/2,1))</f>
        <v/>
      </c>
      <c r="PD110" s="155">
        <f>MAX(0,2-SUMPRODUCT($OK110:$OP110,$I$2:$N$2)+MIN(2,$OQ110*1+$OR110*1,SUMPRODUCT($OK110:$OP110,$I$2:$N$2)))</f>
        <v/>
      </c>
      <c r="PE110" s="155">
        <f>MAX(0,4-SUMPRODUCT($OK110:$OP110,$I$3:$N$3)+MIN(4,$OQ110*1+$OR110*2,SUMPRODUCT($OK110:$OP110,$I$3:$N$3)))</f>
        <v/>
      </c>
      <c r="PF110" s="155">
        <f>MAX(0,6-SUMPRODUCT($OK110:$OP110,$I$4:$N$4)+MIN(6,$OQ110*2+$OR110*3,SUMPRODUCT($OK110:$OP110,$I$4:$N$4)))</f>
        <v/>
      </c>
      <c r="PG110" s="155">
        <f>MAX(0,9-SUMPRODUCT($OK110:$OP110,$I$5:$N$5)+MIN(8,$OQ110*2+$OR110*4,SUMPRODUCT($OK110:$OP110,$I$5:$N$5)))</f>
        <v/>
      </c>
      <c r="PH110" s="155">
        <f>MAX(0,11-SUMPRODUCT($OK110:$OP110,$I$6:$N$6)+MIN(10,$OQ110*3+$OR110*5,SUMPRODUCT($OK110:$OP110,$I$6:$N$6)))</f>
        <v/>
      </c>
      <c r="PI110" s="155">
        <f>MAX(0,13-SUMPRODUCT($OK110:$OP110,$I$7:$N$7)+MIN(12,$OQ110*3+$OR110*6,SUMPRODUCT($OK110:$OP110,$I$7:$N$7)))</f>
        <v/>
      </c>
      <c r="PJ110" s="155">
        <f>MAX(0,16-SUMPRODUCT($OK110:$OP110,$I$8:$N$8)+MIN(14,$OQ110*4+$OR110*7,SUMPRODUCT($OK110:$OP110,$I$8:$N$8)))</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peça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IFERROR(VLOOKUP($MV111,$AV$2:$BA$84,2,FALSE),"")</f>
        <v/>
      </c>
      <c r="NJ111" s="155">
        <f>IFERROR(VLOOKUP($MW111,$AV$2:$BA$84,2,FALSE),"")</f>
        <v/>
      </c>
      <c r="NK111" s="155">
        <f>IFERROR(VLOOKUP($MX111,$AV$2:$BA$84,2,FALSE),"")</f>
        <v/>
      </c>
      <c r="NL111" s="155">
        <f>IFERROR(VLOOKUP($MY111,$AV$2:$BA$84,2,FALSE),"")</f>
        <v/>
      </c>
      <c r="NM111" s="155">
        <f>IFERROR(VLOOKUP($MV111,$AV$2:$BA$84,3,FALSE),0)</f>
        <v/>
      </c>
      <c r="NN111" s="155">
        <f>IFERROR(VLOOKUP($MW111,$AV$2:$BA$84,3,FALSE),0)</f>
        <v/>
      </c>
      <c r="NO111" s="155">
        <f>IFERROR(VLOOKUP($MX111,$AV$2:$BA$84,3,FALSE),0)</f>
        <v/>
      </c>
      <c r="NP111" s="155">
        <f>IFERROR(VLOOKUP($MY111,$AV$2:$BA$84,3,FALSE),0)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IFERROR(VLOOKUP($MV111,$AV$2:$BA$84,4,FALSE),0)+IFERROR(VLOOKUP($MW111,$AV$2:$BA$84,4,FALSE),0)+IFERROR(VLOOKUP($MX111,$AV$2:$BA$84,4,FALSE),0)+IFERROR(VLOOKUP($MY111,$AV$2:$BA$84,4,FALSE),0)</f>
        <v/>
      </c>
      <c r="OB111" s="155">
        <f>IFERROR(VLOOKUP($MV111,$AV$2:$BA$84,6,FALSE),0)+IFERROR(VLOOKUP($MW111,$AV$2:$BA$84,6,FALSE),0)+IFERROR(VLOOKUP($MX111,$AV$2:$BA$84,6,FALSE),0)+IFERROR(VLOOKUP($MY111,$AV$2:$BA$84,6,FALSE),0)</f>
        <v/>
      </c>
      <c r="OC111" s="155">
        <f>TEXTJOIN(", ",TRUE,IF(IFERROR(VLOOKUP($MV111,$AV$2:$BA$84,5,FALSE),0)=1,$MV111,""),IF(IFERROR(VLOOKUP($MW111,$AV$2:$BA$84,5,FALSE),0)=1,$MW111,""),IF(IFERROR(VLOOKUP($MX111,$AV$2:$BA$84,5,FALSE),0)=1,$MX111,""),IF(IFERROR(VLOOKUP($MY111,$AV$2:$BA$84,5,FALSE),0)=1,$MY111,""))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f>
        <v/>
      </c>
      <c r="OY111" s="155">
        <f>$OW111-$OX111</f>
        <v/>
      </c>
      <c r="OZ111" s="155">
        <f>IF($MQ111=0,0,INDEX($P$2:$P$8,MAX(1,$MQ111)))</f>
        <v/>
      </c>
      <c r="PA111" s="155">
        <f>$OZ111-$OU111+$OX111</f>
        <v/>
      </c>
      <c r="PB111" s="155">
        <f>IF($MQ111=0,MAX(0,$NE111-IF($OS111&gt;0,1,0)),MAX(0,$PA111))</f>
        <v/>
      </c>
      <c r="PC111" s="155">
        <f>IF($MQ111=0,0,(IF(COUNTIF($MV111:$MY111,"Salto")&gt;0,1,0)+IF(COUNTIF($MV111:$MY111,"Queima")&gt;0,1,0)+IF(COUNTIF($MV111:$MY111,"Estilhaço")&gt;0,1,0))*FLOOR($PB111/2,1))</f>
        <v/>
      </c>
      <c r="PD111" s="155">
        <f>MAX(0,2-SUMPRODUCT($OK111:$OP111,$I$2:$N$2)+MIN(2,$OQ111*1+$OR111*1,SUMPRODUCT($OK111:$OP111,$I$2:$N$2)))</f>
        <v/>
      </c>
      <c r="PE111" s="155">
        <f>MAX(0,4-SUMPRODUCT($OK111:$OP111,$I$3:$N$3)+MIN(4,$OQ111*1+$OR111*2,SUMPRODUCT($OK111:$OP111,$I$3:$N$3)))</f>
        <v/>
      </c>
      <c r="PF111" s="155">
        <f>MAX(0,6-SUMPRODUCT($OK111:$OP111,$I$4:$N$4)+MIN(6,$OQ111*2+$OR111*3,SUMPRODUCT($OK111:$OP111,$I$4:$N$4)))</f>
        <v/>
      </c>
      <c r="PG111" s="155">
        <f>MAX(0,9-SUMPRODUCT($OK111:$OP111,$I$5:$N$5)+MIN(8,$OQ111*2+$OR111*4,SUMPRODUCT($OK111:$OP111,$I$5:$N$5)))</f>
        <v/>
      </c>
      <c r="PH111" s="155">
        <f>MAX(0,11-SUMPRODUCT($OK111:$OP111,$I$6:$N$6)+MIN(10,$OQ111*3+$OR111*5,SUMPRODUCT($OK111:$OP111,$I$6:$N$6)))</f>
        <v/>
      </c>
      <c r="PI111" s="155">
        <f>MAX(0,13-SUMPRODUCT($OK111:$OP111,$I$7:$N$7)+MIN(12,$OQ111*3+$OR111*6,SUMPRODUCT($OK111:$OP111,$I$7:$N$7)))</f>
        <v/>
      </c>
      <c r="PJ111" s="155">
        <f>MAX(0,16-SUMPRODUCT($OK111:$OP111,$I$8:$N$8)+MIN(14,$OQ111*4+$OR111*7,SUMPRODUCT($OK111:$OP111,$I$8:$N$8)))</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peça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IFERROR(VLOOKUP($MV112,$AV$2:$BA$84,2,FALSE),"")</f>
        <v/>
      </c>
      <c r="NJ112" s="155">
        <f>IFERROR(VLOOKUP($MW112,$AV$2:$BA$84,2,FALSE),"")</f>
        <v/>
      </c>
      <c r="NK112" s="155">
        <f>IFERROR(VLOOKUP($MX112,$AV$2:$BA$84,2,FALSE),"")</f>
        <v/>
      </c>
      <c r="NL112" s="155">
        <f>IFERROR(VLOOKUP($MY112,$AV$2:$BA$84,2,FALSE),"")</f>
        <v/>
      </c>
      <c r="NM112" s="155">
        <f>IFERROR(VLOOKUP($MV112,$AV$2:$BA$84,3,FALSE),0)</f>
        <v/>
      </c>
      <c r="NN112" s="155">
        <f>IFERROR(VLOOKUP($MW112,$AV$2:$BA$84,3,FALSE),0)</f>
        <v/>
      </c>
      <c r="NO112" s="155">
        <f>IFERROR(VLOOKUP($MX112,$AV$2:$BA$84,3,FALSE),0)</f>
        <v/>
      </c>
      <c r="NP112" s="155">
        <f>IFERROR(VLOOKUP($MY112,$AV$2:$BA$84,3,FALSE),0)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IFERROR(VLOOKUP($MV112,$AV$2:$BA$84,4,FALSE),0)+IFERROR(VLOOKUP($MW112,$AV$2:$BA$84,4,FALSE),0)+IFERROR(VLOOKUP($MX112,$AV$2:$BA$84,4,FALSE),0)+IFERROR(VLOOKUP($MY112,$AV$2:$BA$84,4,FALSE),0)</f>
        <v/>
      </c>
      <c r="OB112" s="155">
        <f>IFERROR(VLOOKUP($MV112,$AV$2:$BA$84,6,FALSE),0)+IFERROR(VLOOKUP($MW112,$AV$2:$BA$84,6,FALSE),0)+IFERROR(VLOOKUP($MX112,$AV$2:$BA$84,6,FALSE),0)+IFERROR(VLOOKUP($MY112,$AV$2:$BA$84,6,FALSE),0)</f>
        <v/>
      </c>
      <c r="OC112" s="155">
        <f>TEXTJOIN(", ",TRUE,IF(IFERROR(VLOOKUP($MV112,$AV$2:$BA$84,5,FALSE),0)=1,$MV112,""),IF(IFERROR(VLOOKUP($MW112,$AV$2:$BA$84,5,FALSE),0)=1,$MW112,""),IF(IFERROR(VLOOKUP($MX112,$AV$2:$BA$84,5,FALSE),0)=1,$MX112,""),IF(IFERROR(VLOOKUP($MY112,$AV$2:$BA$84,5,FALSE),0)=1,$MY112,""))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f>
        <v/>
      </c>
      <c r="OY112" s="155">
        <f>$OW112-$OX112</f>
        <v/>
      </c>
      <c r="OZ112" s="155">
        <f>IF($MQ112=0,0,INDEX($P$2:$P$8,MAX(1,$MQ112)))</f>
        <v/>
      </c>
      <c r="PA112" s="155">
        <f>$OZ112-$OU112+$OX112</f>
        <v/>
      </c>
      <c r="PB112" s="155">
        <f>IF($MQ112=0,MAX(0,$NE112-IF($OS112&gt;0,1,0)),MAX(0,$PA112))</f>
        <v/>
      </c>
      <c r="PC112" s="155">
        <f>IF($MQ112=0,0,(IF(COUNTIF($MV112:$MY112,"Salto")&gt;0,1,0)+IF(COUNTIF($MV112:$MY112,"Queima")&gt;0,1,0)+IF(COUNTIF($MV112:$MY112,"Estilhaço")&gt;0,1,0))*FLOOR($PB112/2,1))</f>
        <v/>
      </c>
      <c r="PD112" s="155">
        <f>MAX(0,2-SUMPRODUCT($OK112:$OP112,$I$2:$N$2)+MIN(2,$OQ112*1+$OR112*1,SUMPRODUCT($OK112:$OP112,$I$2:$N$2)))</f>
        <v/>
      </c>
      <c r="PE112" s="155">
        <f>MAX(0,4-SUMPRODUCT($OK112:$OP112,$I$3:$N$3)+MIN(4,$OQ112*1+$OR112*2,SUMPRODUCT($OK112:$OP112,$I$3:$N$3)))</f>
        <v/>
      </c>
      <c r="PF112" s="155">
        <f>MAX(0,6-SUMPRODUCT($OK112:$OP112,$I$4:$N$4)+MIN(6,$OQ112*2+$OR112*3,SUMPRODUCT($OK112:$OP112,$I$4:$N$4)))</f>
        <v/>
      </c>
      <c r="PG112" s="155">
        <f>MAX(0,9-SUMPRODUCT($OK112:$OP112,$I$5:$N$5)+MIN(8,$OQ112*2+$OR112*4,SUMPRODUCT($OK112:$OP112,$I$5:$N$5)))</f>
        <v/>
      </c>
      <c r="PH112" s="155">
        <f>MAX(0,11-SUMPRODUCT($OK112:$OP112,$I$6:$N$6)+MIN(10,$OQ112*3+$OR112*5,SUMPRODUCT($OK112:$OP112,$I$6:$N$6)))</f>
        <v/>
      </c>
      <c r="PI112" s="155">
        <f>MAX(0,13-SUMPRODUCT($OK112:$OP112,$I$7:$N$7)+MIN(12,$OQ112*3+$OR112*6,SUMPRODUCT($OK112:$OP112,$I$7:$N$7)))</f>
        <v/>
      </c>
      <c r="PJ112" s="155">
        <f>MAX(0,16-SUMPRODUCT($OK112:$OP112,$I$8:$N$8)+MIN(14,$OQ112*4+$OR112*7,SUMPRODUCT($OK112:$OP112,$I$8:$N$8)))</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peça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IFERROR(VLOOKUP($MV113,$AV$2:$BA$84,2,FALSE),"")</f>
        <v/>
      </c>
      <c r="NJ113" s="155">
        <f>IFERROR(VLOOKUP($MW113,$AV$2:$BA$84,2,FALSE),"")</f>
        <v/>
      </c>
      <c r="NK113" s="155">
        <f>IFERROR(VLOOKUP($MX113,$AV$2:$BA$84,2,FALSE),"")</f>
        <v/>
      </c>
      <c r="NL113" s="155">
        <f>IFERROR(VLOOKUP($MY113,$AV$2:$BA$84,2,FALSE),"")</f>
        <v/>
      </c>
      <c r="NM113" s="155">
        <f>IFERROR(VLOOKUP($MV113,$AV$2:$BA$84,3,FALSE),0)</f>
        <v/>
      </c>
      <c r="NN113" s="155">
        <f>IFERROR(VLOOKUP($MW113,$AV$2:$BA$84,3,FALSE),0)</f>
        <v/>
      </c>
      <c r="NO113" s="155">
        <f>IFERROR(VLOOKUP($MX113,$AV$2:$BA$84,3,FALSE),0)</f>
        <v/>
      </c>
      <c r="NP113" s="155">
        <f>IFERROR(VLOOKUP($MY113,$AV$2:$BA$84,3,FALSE),0)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IFERROR(VLOOKUP($MV113,$AV$2:$BA$84,4,FALSE),0)+IFERROR(VLOOKUP($MW113,$AV$2:$BA$84,4,FALSE),0)+IFERROR(VLOOKUP($MX113,$AV$2:$BA$84,4,FALSE),0)+IFERROR(VLOOKUP($MY113,$AV$2:$BA$84,4,FALSE),0)</f>
        <v/>
      </c>
      <c r="OB113" s="155">
        <f>IFERROR(VLOOKUP($MV113,$AV$2:$BA$84,6,FALSE),0)+IFERROR(VLOOKUP($MW113,$AV$2:$BA$84,6,FALSE),0)+IFERROR(VLOOKUP($MX113,$AV$2:$BA$84,6,FALSE),0)+IFERROR(VLOOKUP($MY113,$AV$2:$BA$84,6,FALSE),0)</f>
        <v/>
      </c>
      <c r="OC113" s="155">
        <f>TEXTJOIN(", ",TRUE,IF(IFERROR(VLOOKUP($MV113,$AV$2:$BA$84,5,FALSE),0)=1,$MV113,""),IF(IFERROR(VLOOKUP($MW113,$AV$2:$BA$84,5,FALSE),0)=1,$MW113,""),IF(IFERROR(VLOOKUP($MX113,$AV$2:$BA$84,5,FALSE),0)=1,$MX113,""),IF(IFERROR(VLOOKUP($MY113,$AV$2:$BA$84,5,FALSE),0)=1,$MY113,""))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f>
        <v/>
      </c>
      <c r="OY113" s="155">
        <f>$OW113-$OX113</f>
        <v/>
      </c>
      <c r="OZ113" s="155">
        <f>IF($MQ113=0,0,INDEX($P$2:$P$8,MAX(1,$MQ113)))</f>
        <v/>
      </c>
      <c r="PA113" s="155">
        <f>$OZ113-$OU113+$OX113</f>
        <v/>
      </c>
      <c r="PB113" s="155">
        <f>IF($MQ113=0,MAX(0,$NE113-IF($OS113&gt;0,1,0)),MAX(0,$PA113))</f>
        <v/>
      </c>
      <c r="PC113" s="155">
        <f>IF($MQ113=0,0,(IF(COUNTIF($MV113:$MY113,"Salto")&gt;0,1,0)+IF(COUNTIF($MV113:$MY113,"Queima")&gt;0,1,0)+IF(COUNTIF($MV113:$MY113,"Estilhaço")&gt;0,1,0))*FLOOR($PB113/2,1))</f>
        <v/>
      </c>
      <c r="PD113" s="155">
        <f>MAX(0,2-SUMPRODUCT($OK113:$OP113,$I$2:$N$2)+MIN(2,$OQ113*1+$OR113*1,SUMPRODUCT($OK113:$OP113,$I$2:$N$2)))</f>
        <v/>
      </c>
      <c r="PE113" s="155">
        <f>MAX(0,4-SUMPRODUCT($OK113:$OP113,$I$3:$N$3)+MIN(4,$OQ113*1+$OR113*2,SUMPRODUCT($OK113:$OP113,$I$3:$N$3)))</f>
        <v/>
      </c>
      <c r="PF113" s="155">
        <f>MAX(0,6-SUMPRODUCT($OK113:$OP113,$I$4:$N$4)+MIN(6,$OQ113*2+$OR113*3,SUMPRODUCT($OK113:$OP113,$I$4:$N$4)))</f>
        <v/>
      </c>
      <c r="PG113" s="155">
        <f>MAX(0,9-SUMPRODUCT($OK113:$OP113,$I$5:$N$5)+MIN(8,$OQ113*2+$OR113*4,SUMPRODUCT($OK113:$OP113,$I$5:$N$5)))</f>
        <v/>
      </c>
      <c r="PH113" s="155">
        <f>MAX(0,11-SUMPRODUCT($OK113:$OP113,$I$6:$N$6)+MIN(10,$OQ113*3+$OR113*5,SUMPRODUCT($OK113:$OP113,$I$6:$N$6)))</f>
        <v/>
      </c>
      <c r="PI113" s="155">
        <f>MAX(0,13-SUMPRODUCT($OK113:$OP113,$I$7:$N$7)+MIN(12,$OQ113*3+$OR113*6,SUMPRODUCT($OK113:$OP113,$I$7:$N$7)))</f>
        <v/>
      </c>
      <c r="PJ113" s="155">
        <f>MAX(0,16-SUMPRODUCT($OK113:$OP113,$I$8:$N$8)+MIN(14,$OQ113*4+$OR113*7,SUMPRODUCT($OK113:$OP113,$I$8:$N$8)))</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peça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IFERROR(VLOOKUP($MV114,$AV$2:$BA$84,2,FALSE),"")</f>
        <v/>
      </c>
      <c r="NJ114" s="155">
        <f>IFERROR(VLOOKUP($MW114,$AV$2:$BA$84,2,FALSE),"")</f>
        <v/>
      </c>
      <c r="NK114" s="155">
        <f>IFERROR(VLOOKUP($MX114,$AV$2:$BA$84,2,FALSE),"")</f>
        <v/>
      </c>
      <c r="NL114" s="155">
        <f>IFERROR(VLOOKUP($MY114,$AV$2:$BA$84,2,FALSE),"")</f>
        <v/>
      </c>
      <c r="NM114" s="155">
        <f>IFERROR(VLOOKUP($MV114,$AV$2:$BA$84,3,FALSE),0)</f>
        <v/>
      </c>
      <c r="NN114" s="155">
        <f>IFERROR(VLOOKUP($MW114,$AV$2:$BA$84,3,FALSE),0)</f>
        <v/>
      </c>
      <c r="NO114" s="155">
        <f>IFERROR(VLOOKUP($MX114,$AV$2:$BA$84,3,FALSE),0)</f>
        <v/>
      </c>
      <c r="NP114" s="155">
        <f>IFERROR(VLOOKUP($MY114,$AV$2:$BA$84,3,FALSE),0)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IFERROR(VLOOKUP($MV114,$AV$2:$BA$84,4,FALSE),0)+IFERROR(VLOOKUP($MW114,$AV$2:$BA$84,4,FALSE),0)+IFERROR(VLOOKUP($MX114,$AV$2:$BA$84,4,FALSE),0)+IFERROR(VLOOKUP($MY114,$AV$2:$BA$84,4,FALSE),0)</f>
        <v/>
      </c>
      <c r="OB114" s="155">
        <f>IFERROR(VLOOKUP($MV114,$AV$2:$BA$84,6,FALSE),0)+IFERROR(VLOOKUP($MW114,$AV$2:$BA$84,6,FALSE),0)+IFERROR(VLOOKUP($MX114,$AV$2:$BA$84,6,FALSE),0)+IFERROR(VLOOKUP($MY114,$AV$2:$BA$84,6,FALSE),0)</f>
        <v/>
      </c>
      <c r="OC114" s="155">
        <f>TEXTJOIN(", ",TRUE,IF(IFERROR(VLOOKUP($MV114,$AV$2:$BA$84,5,FALSE),0)=1,$MV114,""),IF(IFERROR(VLOOKUP($MW114,$AV$2:$BA$84,5,FALSE),0)=1,$MW114,""),IF(IFERROR(VLOOKUP($MX114,$AV$2:$BA$84,5,FALSE),0)=1,$MX114,""),IF(IFERROR(VLOOKUP($MY114,$AV$2:$BA$84,5,FALSE),0)=1,$MY114,""))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f>
        <v/>
      </c>
      <c r="OY114" s="155">
        <f>$OW114-$OX114</f>
        <v/>
      </c>
      <c r="OZ114" s="155">
        <f>IF($MQ114=0,0,INDEX($P$2:$P$8,MAX(1,$MQ114)))</f>
        <v/>
      </c>
      <c r="PA114" s="155">
        <f>$OZ114-$OU114+$OX114</f>
        <v/>
      </c>
      <c r="PB114" s="155">
        <f>IF($MQ114=0,MAX(0,$NE114-IF($OS114&gt;0,1,0)),MAX(0,$PA114))</f>
        <v/>
      </c>
      <c r="PC114" s="155">
        <f>IF($MQ114=0,0,(IF(COUNTIF($MV114:$MY114,"Salto")&gt;0,1,0)+IF(COUNTIF($MV114:$MY114,"Queima")&gt;0,1,0)+IF(COUNTIF($MV114:$MY114,"Estilhaço")&gt;0,1,0))*FLOOR($PB114/2,1))</f>
        <v/>
      </c>
      <c r="PD114" s="155">
        <f>MAX(0,2-SUMPRODUCT($OK114:$OP114,$I$2:$N$2)+MIN(2,$OQ114*1+$OR114*1,SUMPRODUCT($OK114:$OP114,$I$2:$N$2)))</f>
        <v/>
      </c>
      <c r="PE114" s="155">
        <f>MAX(0,4-SUMPRODUCT($OK114:$OP114,$I$3:$N$3)+MIN(4,$OQ114*1+$OR114*2,SUMPRODUCT($OK114:$OP114,$I$3:$N$3)))</f>
        <v/>
      </c>
      <c r="PF114" s="155">
        <f>MAX(0,6-SUMPRODUCT($OK114:$OP114,$I$4:$N$4)+MIN(6,$OQ114*2+$OR114*3,SUMPRODUCT($OK114:$OP114,$I$4:$N$4)))</f>
        <v/>
      </c>
      <c r="PG114" s="155">
        <f>MAX(0,9-SUMPRODUCT($OK114:$OP114,$I$5:$N$5)+MIN(8,$OQ114*2+$OR114*4,SUMPRODUCT($OK114:$OP114,$I$5:$N$5)))</f>
        <v/>
      </c>
      <c r="PH114" s="155">
        <f>MAX(0,11-SUMPRODUCT($OK114:$OP114,$I$6:$N$6)+MIN(10,$OQ114*3+$OR114*5,SUMPRODUCT($OK114:$OP114,$I$6:$N$6)))</f>
        <v/>
      </c>
      <c r="PI114" s="155">
        <f>MAX(0,13-SUMPRODUCT($OK114:$OP114,$I$7:$N$7)+MIN(12,$OQ114*3+$OR114*6,SUMPRODUCT($OK114:$OP114,$I$7:$N$7)))</f>
        <v/>
      </c>
      <c r="PJ114" s="155">
        <f>MAX(0,16-SUMPRODUCT($OK114:$OP114,$I$8:$N$8)+MIN(14,$OQ114*4+$OR114*7,SUMPRODUCT($OK114:$OP114,$I$8:$N$8)))</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peça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IFERROR(VLOOKUP($MV115,$AV$2:$BA$84,2,FALSE),"")</f>
        <v/>
      </c>
      <c r="NJ115" s="155">
        <f>IFERROR(VLOOKUP($MW115,$AV$2:$BA$84,2,FALSE),"")</f>
        <v/>
      </c>
      <c r="NK115" s="155">
        <f>IFERROR(VLOOKUP($MX115,$AV$2:$BA$84,2,FALSE),"")</f>
        <v/>
      </c>
      <c r="NL115" s="155">
        <f>IFERROR(VLOOKUP($MY115,$AV$2:$BA$84,2,FALSE),"")</f>
        <v/>
      </c>
      <c r="NM115" s="155">
        <f>IFERROR(VLOOKUP($MV115,$AV$2:$BA$84,3,FALSE),0)</f>
        <v/>
      </c>
      <c r="NN115" s="155">
        <f>IFERROR(VLOOKUP($MW115,$AV$2:$BA$84,3,FALSE),0)</f>
        <v/>
      </c>
      <c r="NO115" s="155">
        <f>IFERROR(VLOOKUP($MX115,$AV$2:$BA$84,3,FALSE),0)</f>
        <v/>
      </c>
      <c r="NP115" s="155">
        <f>IFERROR(VLOOKUP($MY115,$AV$2:$BA$84,3,FALSE),0)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IFERROR(VLOOKUP($MV115,$AV$2:$BA$84,4,FALSE),0)+IFERROR(VLOOKUP($MW115,$AV$2:$BA$84,4,FALSE),0)+IFERROR(VLOOKUP($MX115,$AV$2:$BA$84,4,FALSE),0)+IFERROR(VLOOKUP($MY115,$AV$2:$BA$84,4,FALSE),0)</f>
        <v/>
      </c>
      <c r="OB115" s="155">
        <f>IFERROR(VLOOKUP($MV115,$AV$2:$BA$84,6,FALSE),0)+IFERROR(VLOOKUP($MW115,$AV$2:$BA$84,6,FALSE),0)+IFERROR(VLOOKUP($MX115,$AV$2:$BA$84,6,FALSE),0)+IFERROR(VLOOKUP($MY115,$AV$2:$BA$84,6,FALSE),0)</f>
        <v/>
      </c>
      <c r="OC115" s="155">
        <f>TEXTJOIN(", ",TRUE,IF(IFERROR(VLOOKUP($MV115,$AV$2:$BA$84,5,FALSE),0)=1,$MV115,""),IF(IFERROR(VLOOKUP($MW115,$AV$2:$BA$84,5,FALSE),0)=1,$MW115,""),IF(IFERROR(VLOOKUP($MX115,$AV$2:$BA$84,5,FALSE),0)=1,$MX115,""),IF(IFERROR(VLOOKUP($MY115,$AV$2:$BA$84,5,FALSE),0)=1,$MY115,""))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f>
        <v/>
      </c>
      <c r="OY115" s="155">
        <f>$OW115-$OX115</f>
        <v/>
      </c>
      <c r="OZ115" s="155">
        <f>IF($MQ115=0,0,INDEX($P$2:$P$8,MAX(1,$MQ115)))</f>
        <v/>
      </c>
      <c r="PA115" s="155">
        <f>$OZ115-$OU115+$OX115</f>
        <v/>
      </c>
      <c r="PB115" s="155">
        <f>IF($MQ115=0,MAX(0,$NE115-IF($OS115&gt;0,1,0)),MAX(0,$PA115))</f>
        <v/>
      </c>
      <c r="PC115" s="155">
        <f>IF($MQ115=0,0,(IF(COUNTIF($MV115:$MY115,"Salto")&gt;0,1,0)+IF(COUNTIF($MV115:$MY115,"Queima")&gt;0,1,0)+IF(COUNTIF($MV115:$MY115,"Estilhaço")&gt;0,1,0))*FLOOR($PB115/2,1))</f>
        <v/>
      </c>
      <c r="PD115" s="155">
        <f>MAX(0,2-SUMPRODUCT($OK115:$OP115,$I$2:$N$2)+MIN(2,$OQ115*1+$OR115*1,SUMPRODUCT($OK115:$OP115,$I$2:$N$2)))</f>
        <v/>
      </c>
      <c r="PE115" s="155">
        <f>MAX(0,4-SUMPRODUCT($OK115:$OP115,$I$3:$N$3)+MIN(4,$OQ115*1+$OR115*2,SUMPRODUCT($OK115:$OP115,$I$3:$N$3)))</f>
        <v/>
      </c>
      <c r="PF115" s="155">
        <f>MAX(0,6-SUMPRODUCT($OK115:$OP115,$I$4:$N$4)+MIN(6,$OQ115*2+$OR115*3,SUMPRODUCT($OK115:$OP115,$I$4:$N$4)))</f>
        <v/>
      </c>
      <c r="PG115" s="155">
        <f>MAX(0,9-SUMPRODUCT($OK115:$OP115,$I$5:$N$5)+MIN(8,$OQ115*2+$OR115*4,SUMPRODUCT($OK115:$OP115,$I$5:$N$5)))</f>
        <v/>
      </c>
      <c r="PH115" s="155">
        <f>MAX(0,11-SUMPRODUCT($OK115:$OP115,$I$6:$N$6)+MIN(10,$OQ115*3+$OR115*5,SUMPRODUCT($OK115:$OP115,$I$6:$N$6)))</f>
        <v/>
      </c>
      <c r="PI115" s="155">
        <f>MAX(0,13-SUMPRODUCT($OK115:$OP115,$I$7:$N$7)+MIN(12,$OQ115*3+$OR115*6,SUMPRODUCT($OK115:$OP115,$I$7:$N$7)))</f>
        <v/>
      </c>
      <c r="PJ115" s="155">
        <f>MAX(0,16-SUMPRODUCT($OK115:$OP115,$I$8:$N$8)+MIN(14,$OQ115*4+$OR115*7,SUMPRODUCT($OK115:$OP115,$I$8:$N$8)))</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peça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IFERROR(VLOOKUP($MV116,$AV$2:$BA$84,2,FALSE),"")</f>
        <v/>
      </c>
      <c r="NJ116" s="155">
        <f>IFERROR(VLOOKUP($MW116,$AV$2:$BA$84,2,FALSE),"")</f>
        <v/>
      </c>
      <c r="NK116" s="155">
        <f>IFERROR(VLOOKUP($MX116,$AV$2:$BA$84,2,FALSE),"")</f>
        <v/>
      </c>
      <c r="NL116" s="155">
        <f>IFERROR(VLOOKUP($MY116,$AV$2:$BA$84,2,FALSE),"")</f>
        <v/>
      </c>
      <c r="NM116" s="155">
        <f>IFERROR(VLOOKUP($MV116,$AV$2:$BA$84,3,FALSE),0)</f>
        <v/>
      </c>
      <c r="NN116" s="155">
        <f>IFERROR(VLOOKUP($MW116,$AV$2:$BA$84,3,FALSE),0)</f>
        <v/>
      </c>
      <c r="NO116" s="155">
        <f>IFERROR(VLOOKUP($MX116,$AV$2:$BA$84,3,FALSE),0)</f>
        <v/>
      </c>
      <c r="NP116" s="155">
        <f>IFERROR(VLOOKUP($MY116,$AV$2:$BA$84,3,FALSE),0)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IFERROR(VLOOKUP($MV116,$AV$2:$BA$84,4,FALSE),0)+IFERROR(VLOOKUP($MW116,$AV$2:$BA$84,4,FALSE),0)+IFERROR(VLOOKUP($MX116,$AV$2:$BA$84,4,FALSE),0)+IFERROR(VLOOKUP($MY116,$AV$2:$BA$84,4,FALSE),0)</f>
        <v/>
      </c>
      <c r="OB116" s="155">
        <f>IFERROR(VLOOKUP($MV116,$AV$2:$BA$84,6,FALSE),0)+IFERROR(VLOOKUP($MW116,$AV$2:$BA$84,6,FALSE),0)+IFERROR(VLOOKUP($MX116,$AV$2:$BA$84,6,FALSE),0)+IFERROR(VLOOKUP($MY116,$AV$2:$BA$84,6,FALSE),0)</f>
        <v/>
      </c>
      <c r="OC116" s="155">
        <f>TEXTJOIN(", ",TRUE,IF(IFERROR(VLOOKUP($MV116,$AV$2:$BA$84,5,FALSE),0)=1,$MV116,""),IF(IFERROR(VLOOKUP($MW116,$AV$2:$BA$84,5,FALSE),0)=1,$MW116,""),IF(IFERROR(VLOOKUP($MX116,$AV$2:$BA$84,5,FALSE),0)=1,$MX116,""),IF(IFERROR(VLOOKUP($MY116,$AV$2:$BA$84,5,FALSE),0)=1,$MY116,""))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f>
        <v/>
      </c>
      <c r="OY116" s="155">
        <f>$OW116-$OX116</f>
        <v/>
      </c>
      <c r="OZ116" s="155">
        <f>IF($MQ116=0,0,INDEX($P$2:$P$8,MAX(1,$MQ116)))</f>
        <v/>
      </c>
      <c r="PA116" s="155">
        <f>$OZ116-$OU116+$OX116</f>
        <v/>
      </c>
      <c r="PB116" s="155">
        <f>IF($MQ116=0,MAX(0,$NE116-IF($OS116&gt;0,1,0)),MAX(0,$PA116))</f>
        <v/>
      </c>
      <c r="PC116" s="155">
        <f>IF($MQ116=0,0,(IF(COUNTIF($MV116:$MY116,"Salto")&gt;0,1,0)+IF(COUNTIF($MV116:$MY116,"Queima")&gt;0,1,0)+IF(COUNTIF($MV116:$MY116,"Estilhaço")&gt;0,1,0))*FLOOR($PB116/2,1))</f>
        <v/>
      </c>
      <c r="PD116" s="155">
        <f>MAX(0,2-SUMPRODUCT($OK116:$OP116,$I$2:$N$2)+MIN(2,$OQ116*1+$OR116*1,SUMPRODUCT($OK116:$OP116,$I$2:$N$2)))</f>
        <v/>
      </c>
      <c r="PE116" s="155">
        <f>MAX(0,4-SUMPRODUCT($OK116:$OP116,$I$3:$N$3)+MIN(4,$OQ116*1+$OR116*2,SUMPRODUCT($OK116:$OP116,$I$3:$N$3)))</f>
        <v/>
      </c>
      <c r="PF116" s="155">
        <f>MAX(0,6-SUMPRODUCT($OK116:$OP116,$I$4:$N$4)+MIN(6,$OQ116*2+$OR116*3,SUMPRODUCT($OK116:$OP116,$I$4:$N$4)))</f>
        <v/>
      </c>
      <c r="PG116" s="155">
        <f>MAX(0,9-SUMPRODUCT($OK116:$OP116,$I$5:$N$5)+MIN(8,$OQ116*2+$OR116*4,SUMPRODUCT($OK116:$OP116,$I$5:$N$5)))</f>
        <v/>
      </c>
      <c r="PH116" s="155">
        <f>MAX(0,11-SUMPRODUCT($OK116:$OP116,$I$6:$N$6)+MIN(10,$OQ116*3+$OR116*5,SUMPRODUCT($OK116:$OP116,$I$6:$N$6)))</f>
        <v/>
      </c>
      <c r="PI116" s="155">
        <f>MAX(0,13-SUMPRODUCT($OK116:$OP116,$I$7:$N$7)+MIN(12,$OQ116*3+$OR116*6,SUMPRODUCT($OK116:$OP116,$I$7:$N$7)))</f>
        <v/>
      </c>
      <c r="PJ116" s="155">
        <f>MAX(0,16-SUMPRODUCT($OK116:$OP116,$I$8:$N$8)+MIN(14,$OQ116*4+$OR116*7,SUMPRODUCT($OK116:$OP116,$I$8:$N$8)))</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peça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IFERROR(VLOOKUP($MV117,$AV$2:$BA$84,2,FALSE),"")</f>
        <v/>
      </c>
      <c r="NJ117" s="155">
        <f>IFERROR(VLOOKUP($MW117,$AV$2:$BA$84,2,FALSE),"")</f>
        <v/>
      </c>
      <c r="NK117" s="155">
        <f>IFERROR(VLOOKUP($MX117,$AV$2:$BA$84,2,FALSE),"")</f>
        <v/>
      </c>
      <c r="NL117" s="155">
        <f>IFERROR(VLOOKUP($MY117,$AV$2:$BA$84,2,FALSE),"")</f>
        <v/>
      </c>
      <c r="NM117" s="155">
        <f>IFERROR(VLOOKUP($MV117,$AV$2:$BA$84,3,FALSE),0)</f>
        <v/>
      </c>
      <c r="NN117" s="155">
        <f>IFERROR(VLOOKUP($MW117,$AV$2:$BA$84,3,FALSE),0)</f>
        <v/>
      </c>
      <c r="NO117" s="155">
        <f>IFERROR(VLOOKUP($MX117,$AV$2:$BA$84,3,FALSE),0)</f>
        <v/>
      </c>
      <c r="NP117" s="155">
        <f>IFERROR(VLOOKUP($MY117,$AV$2:$BA$84,3,FALSE),0)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IFERROR(VLOOKUP($MV117,$AV$2:$BA$84,4,FALSE),0)+IFERROR(VLOOKUP($MW117,$AV$2:$BA$84,4,FALSE),0)+IFERROR(VLOOKUP($MX117,$AV$2:$BA$84,4,FALSE),0)+IFERROR(VLOOKUP($MY117,$AV$2:$BA$84,4,FALSE),0)</f>
        <v/>
      </c>
      <c r="OB117" s="155">
        <f>IFERROR(VLOOKUP($MV117,$AV$2:$BA$84,6,FALSE),0)+IFERROR(VLOOKUP($MW117,$AV$2:$BA$84,6,FALSE),0)+IFERROR(VLOOKUP($MX117,$AV$2:$BA$84,6,FALSE),0)+IFERROR(VLOOKUP($MY117,$AV$2:$BA$84,6,FALSE),0)</f>
        <v/>
      </c>
      <c r="OC117" s="155">
        <f>TEXTJOIN(", ",TRUE,IF(IFERROR(VLOOKUP($MV117,$AV$2:$BA$84,5,FALSE),0)=1,$MV117,""),IF(IFERROR(VLOOKUP($MW117,$AV$2:$BA$84,5,FALSE),0)=1,$MW117,""),IF(IFERROR(VLOOKUP($MX117,$AV$2:$BA$84,5,FALSE),0)=1,$MX117,""),IF(IFERROR(VLOOKUP($MY117,$AV$2:$BA$84,5,FALSE),0)=1,$MY117,""))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f>
        <v/>
      </c>
      <c r="OY117" s="155">
        <f>$OW117-$OX117</f>
        <v/>
      </c>
      <c r="OZ117" s="155">
        <f>IF($MQ117=0,0,INDEX($P$2:$P$8,MAX(1,$MQ117)))</f>
        <v/>
      </c>
      <c r="PA117" s="155">
        <f>$OZ117-$OU117+$OX117</f>
        <v/>
      </c>
      <c r="PB117" s="155">
        <f>IF($MQ117=0,MAX(0,$NE117-IF($OS117&gt;0,1,0)),MAX(0,$PA117))</f>
        <v/>
      </c>
      <c r="PC117" s="155">
        <f>IF($MQ117=0,0,(IF(COUNTIF($MV117:$MY117,"Salto")&gt;0,1,0)+IF(COUNTIF($MV117:$MY117,"Queima")&gt;0,1,0)+IF(COUNTIF($MV117:$MY117,"Estilhaço")&gt;0,1,0))*FLOOR($PB117/2,1))</f>
        <v/>
      </c>
      <c r="PD117" s="155">
        <f>MAX(0,2-SUMPRODUCT($OK117:$OP117,$I$2:$N$2)+MIN(2,$OQ117*1+$OR117*1,SUMPRODUCT($OK117:$OP117,$I$2:$N$2)))</f>
        <v/>
      </c>
      <c r="PE117" s="155">
        <f>MAX(0,4-SUMPRODUCT($OK117:$OP117,$I$3:$N$3)+MIN(4,$OQ117*1+$OR117*2,SUMPRODUCT($OK117:$OP117,$I$3:$N$3)))</f>
        <v/>
      </c>
      <c r="PF117" s="155">
        <f>MAX(0,6-SUMPRODUCT($OK117:$OP117,$I$4:$N$4)+MIN(6,$OQ117*2+$OR117*3,SUMPRODUCT($OK117:$OP117,$I$4:$N$4)))</f>
        <v/>
      </c>
      <c r="PG117" s="155">
        <f>MAX(0,9-SUMPRODUCT($OK117:$OP117,$I$5:$N$5)+MIN(8,$OQ117*2+$OR117*4,SUMPRODUCT($OK117:$OP117,$I$5:$N$5)))</f>
        <v/>
      </c>
      <c r="PH117" s="155">
        <f>MAX(0,11-SUMPRODUCT($OK117:$OP117,$I$6:$N$6)+MIN(10,$OQ117*3+$OR117*5,SUMPRODUCT($OK117:$OP117,$I$6:$N$6)))</f>
        <v/>
      </c>
      <c r="PI117" s="155">
        <f>MAX(0,13-SUMPRODUCT($OK117:$OP117,$I$7:$N$7)+MIN(12,$OQ117*3+$OR117*6,SUMPRODUCT($OK117:$OP117,$I$7:$N$7)))</f>
        <v/>
      </c>
      <c r="PJ117" s="155">
        <f>MAX(0,16-SUMPRODUCT($OK117:$OP117,$I$8:$N$8)+MIN(14,$OQ117*4+$OR117*7,SUMPRODUCT($OK117:$OP117,$I$8:$N$8)))</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peça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IFERROR(VLOOKUP($MV118,$AV$2:$BA$84,2,FALSE),"")</f>
        <v/>
      </c>
      <c r="NJ118" s="155">
        <f>IFERROR(VLOOKUP($MW118,$AV$2:$BA$84,2,FALSE),"")</f>
        <v/>
      </c>
      <c r="NK118" s="155">
        <f>IFERROR(VLOOKUP($MX118,$AV$2:$BA$84,2,FALSE),"")</f>
        <v/>
      </c>
      <c r="NL118" s="155">
        <f>IFERROR(VLOOKUP($MY118,$AV$2:$BA$84,2,FALSE),"")</f>
        <v/>
      </c>
      <c r="NM118" s="155">
        <f>IFERROR(VLOOKUP($MV118,$AV$2:$BA$84,3,FALSE),0)</f>
        <v/>
      </c>
      <c r="NN118" s="155">
        <f>IFERROR(VLOOKUP($MW118,$AV$2:$BA$84,3,FALSE),0)</f>
        <v/>
      </c>
      <c r="NO118" s="155">
        <f>IFERROR(VLOOKUP($MX118,$AV$2:$BA$84,3,FALSE),0)</f>
        <v/>
      </c>
      <c r="NP118" s="155">
        <f>IFERROR(VLOOKUP($MY118,$AV$2:$BA$84,3,FALSE),0)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IFERROR(VLOOKUP($MV118,$AV$2:$BA$84,4,FALSE),0)+IFERROR(VLOOKUP($MW118,$AV$2:$BA$84,4,FALSE),0)+IFERROR(VLOOKUP($MX118,$AV$2:$BA$84,4,FALSE),0)+IFERROR(VLOOKUP($MY118,$AV$2:$BA$84,4,FALSE),0)</f>
        <v/>
      </c>
      <c r="OB118" s="155">
        <f>IFERROR(VLOOKUP($MV118,$AV$2:$BA$84,6,FALSE),0)+IFERROR(VLOOKUP($MW118,$AV$2:$BA$84,6,FALSE),0)+IFERROR(VLOOKUP($MX118,$AV$2:$BA$84,6,FALSE),0)+IFERROR(VLOOKUP($MY118,$AV$2:$BA$84,6,FALSE),0)</f>
        <v/>
      </c>
      <c r="OC118" s="155">
        <f>TEXTJOIN(", ",TRUE,IF(IFERROR(VLOOKUP($MV118,$AV$2:$BA$84,5,FALSE),0)=1,$MV118,""),IF(IFERROR(VLOOKUP($MW118,$AV$2:$BA$84,5,FALSE),0)=1,$MW118,""),IF(IFERROR(VLOOKUP($MX118,$AV$2:$BA$84,5,FALSE),0)=1,$MX118,""),IF(IFERROR(VLOOKUP($MY118,$AV$2:$BA$84,5,FALSE),0)=1,$MY118,""))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f>
        <v/>
      </c>
      <c r="OY118" s="155">
        <f>$OW118-$OX118</f>
        <v/>
      </c>
      <c r="OZ118" s="155">
        <f>IF($MQ118=0,0,INDEX($P$2:$P$8,MAX(1,$MQ118)))</f>
        <v/>
      </c>
      <c r="PA118" s="155">
        <f>$OZ118-$OU118+$OX118</f>
        <v/>
      </c>
      <c r="PB118" s="155">
        <f>IF($MQ118=0,MAX(0,$NE118-IF($OS118&gt;0,1,0)),MAX(0,$PA118))</f>
        <v/>
      </c>
      <c r="PC118" s="155">
        <f>IF($MQ118=0,0,(IF(COUNTIF($MV118:$MY118,"Salto")&gt;0,1,0)+IF(COUNTIF($MV118:$MY118,"Queima")&gt;0,1,0)+IF(COUNTIF($MV118:$MY118,"Estilhaço")&gt;0,1,0))*FLOOR($PB118/2,1))</f>
        <v/>
      </c>
      <c r="PD118" s="155">
        <f>MAX(0,2-SUMPRODUCT($OK118:$OP118,$I$2:$N$2)+MIN(2,$OQ118*1+$OR118*1,SUMPRODUCT($OK118:$OP118,$I$2:$N$2)))</f>
        <v/>
      </c>
      <c r="PE118" s="155">
        <f>MAX(0,4-SUMPRODUCT($OK118:$OP118,$I$3:$N$3)+MIN(4,$OQ118*1+$OR118*2,SUMPRODUCT($OK118:$OP118,$I$3:$N$3)))</f>
        <v/>
      </c>
      <c r="PF118" s="155">
        <f>MAX(0,6-SUMPRODUCT($OK118:$OP118,$I$4:$N$4)+MIN(6,$OQ118*2+$OR118*3,SUMPRODUCT($OK118:$OP118,$I$4:$N$4)))</f>
        <v/>
      </c>
      <c r="PG118" s="155">
        <f>MAX(0,9-SUMPRODUCT($OK118:$OP118,$I$5:$N$5)+MIN(8,$OQ118*2+$OR118*4,SUMPRODUCT($OK118:$OP118,$I$5:$N$5)))</f>
        <v/>
      </c>
      <c r="PH118" s="155">
        <f>MAX(0,11-SUMPRODUCT($OK118:$OP118,$I$6:$N$6)+MIN(10,$OQ118*3+$OR118*5,SUMPRODUCT($OK118:$OP118,$I$6:$N$6)))</f>
        <v/>
      </c>
      <c r="PI118" s="155">
        <f>MAX(0,13-SUMPRODUCT($OK118:$OP118,$I$7:$N$7)+MIN(12,$OQ118*3+$OR118*6,SUMPRODUCT($OK118:$OP118,$I$7:$N$7)))</f>
        <v/>
      </c>
      <c r="PJ118" s="155">
        <f>MAX(0,16-SUMPRODUCT($OK118:$OP118,$I$8:$N$8)+MIN(14,$OQ118*4+$OR118*7,SUMPRODUCT($OK118:$OP118,$I$8:$N$8)))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peça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IFERROR(VLOOKUP($MV119,$AV$2:$BA$84,2,FALSE),"")</f>
        <v/>
      </c>
      <c r="NJ119" s="155">
        <f>IFERROR(VLOOKUP($MW119,$AV$2:$BA$84,2,FALSE),"")</f>
        <v/>
      </c>
      <c r="NK119" s="155">
        <f>IFERROR(VLOOKUP($MX119,$AV$2:$BA$84,2,FALSE),"")</f>
        <v/>
      </c>
      <c r="NL119" s="155">
        <f>IFERROR(VLOOKUP($MY119,$AV$2:$BA$84,2,FALSE),"")</f>
        <v/>
      </c>
      <c r="NM119" s="155">
        <f>IFERROR(VLOOKUP($MV119,$AV$2:$BA$84,3,FALSE),0)</f>
        <v/>
      </c>
      <c r="NN119" s="155">
        <f>IFERROR(VLOOKUP($MW119,$AV$2:$BA$84,3,FALSE),0)</f>
        <v/>
      </c>
      <c r="NO119" s="155">
        <f>IFERROR(VLOOKUP($MX119,$AV$2:$BA$84,3,FALSE),0)</f>
        <v/>
      </c>
      <c r="NP119" s="155">
        <f>IFERROR(VLOOKUP($MY119,$AV$2:$BA$84,3,FALSE),0)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IFERROR(VLOOKUP($MV119,$AV$2:$BA$84,4,FALSE),0)+IFERROR(VLOOKUP($MW119,$AV$2:$BA$84,4,FALSE),0)+IFERROR(VLOOKUP($MX119,$AV$2:$BA$84,4,FALSE),0)+IFERROR(VLOOKUP($MY119,$AV$2:$BA$84,4,FALSE),0)</f>
        <v/>
      </c>
      <c r="OB119" s="155">
        <f>IFERROR(VLOOKUP($MV119,$AV$2:$BA$84,6,FALSE),0)+IFERROR(VLOOKUP($MW119,$AV$2:$BA$84,6,FALSE),0)+IFERROR(VLOOKUP($MX119,$AV$2:$BA$84,6,FALSE),0)+IFERROR(VLOOKUP($MY119,$AV$2:$BA$84,6,FALSE),0)</f>
        <v/>
      </c>
      <c r="OC119" s="155">
        <f>TEXTJOIN(", ",TRUE,IF(IFERROR(VLOOKUP($MV119,$AV$2:$BA$84,5,FALSE),0)=1,$MV119,""),IF(IFERROR(VLOOKUP($MW119,$AV$2:$BA$84,5,FALSE),0)=1,$MW119,""),IF(IFERROR(VLOOKUP($MX119,$AV$2:$BA$84,5,FALSE),0)=1,$MX119,""),IF(IFERROR(VLOOKUP($MY119,$AV$2:$BA$84,5,FALSE),0)=1,$MY119,""))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f>
        <v/>
      </c>
      <c r="OY119" s="155">
        <f>$OW119-$OX119</f>
        <v/>
      </c>
      <c r="OZ119" s="155">
        <f>IF($MQ119=0,0,INDEX($P$2:$P$8,MAX(1,$MQ119)))</f>
        <v/>
      </c>
      <c r="PA119" s="155">
        <f>$OZ119-$OU119+$OX119</f>
        <v/>
      </c>
      <c r="PB119" s="155">
        <f>IF($MQ119=0,MAX(0,$NE119-IF($OS119&gt;0,1,0)),MAX(0,$PA119))</f>
        <v/>
      </c>
      <c r="PC119" s="155">
        <f>IF($MQ119=0,0,(IF(COUNTIF($MV119:$MY119,"Salto")&gt;0,1,0)+IF(COUNTIF($MV119:$MY119,"Queima")&gt;0,1,0)+IF(COUNTIF($MV119:$MY119,"Estilhaço")&gt;0,1,0))*FLOOR($PB119/2,1))</f>
        <v/>
      </c>
      <c r="PD119" s="155">
        <f>MAX(0,2-SUMPRODUCT($OK119:$OP119,$I$2:$N$2)+MIN(2,$OQ119*1+$OR119*1,SUMPRODUCT($OK119:$OP119,$I$2:$N$2)))</f>
        <v/>
      </c>
      <c r="PE119" s="155">
        <f>MAX(0,4-SUMPRODUCT($OK119:$OP119,$I$3:$N$3)+MIN(4,$OQ119*1+$OR119*2,SUMPRODUCT($OK119:$OP119,$I$3:$N$3)))</f>
        <v/>
      </c>
      <c r="PF119" s="155">
        <f>MAX(0,6-SUMPRODUCT($OK119:$OP119,$I$4:$N$4)+MIN(6,$OQ119*2+$OR119*3,SUMPRODUCT($OK119:$OP119,$I$4:$N$4)))</f>
        <v/>
      </c>
      <c r="PG119" s="155">
        <f>MAX(0,9-SUMPRODUCT($OK119:$OP119,$I$5:$N$5)+MIN(8,$OQ119*2+$OR119*4,SUMPRODUCT($OK119:$OP119,$I$5:$N$5)))</f>
        <v/>
      </c>
      <c r="PH119" s="155">
        <f>MAX(0,11-SUMPRODUCT($OK119:$OP119,$I$6:$N$6)+MIN(10,$OQ119*3+$OR119*5,SUMPRODUCT($OK119:$OP119,$I$6:$N$6)))</f>
        <v/>
      </c>
      <c r="PI119" s="155">
        <f>MAX(0,13-SUMPRODUCT($OK119:$OP119,$I$7:$N$7)+MIN(12,$OQ119*3+$OR119*6,SUMPRODUCT($OK119:$OP119,$I$7:$N$7)))</f>
        <v/>
      </c>
      <c r="PJ119" s="155">
        <f>MAX(0,16-SUMPRODUCT($OK119:$OP119,$I$8:$N$8)+MIN(14,$OQ119*4+$OR119*7,SUMPRODUCT($OK119:$OP119,$I$8:$N$8)))</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peça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IFERROR(VLOOKUP($MV120,$AV$2:$BA$84,2,FALSE),"")</f>
        <v/>
      </c>
      <c r="NJ120" s="155">
        <f>IFERROR(VLOOKUP($MW120,$AV$2:$BA$84,2,FALSE),"")</f>
        <v/>
      </c>
      <c r="NK120" s="155">
        <f>IFERROR(VLOOKUP($MX120,$AV$2:$BA$84,2,FALSE),"")</f>
        <v/>
      </c>
      <c r="NL120" s="155">
        <f>IFERROR(VLOOKUP($MY120,$AV$2:$BA$84,2,FALSE),"")</f>
        <v/>
      </c>
      <c r="NM120" s="155">
        <f>IFERROR(VLOOKUP($MV120,$AV$2:$BA$84,3,FALSE),0)</f>
        <v/>
      </c>
      <c r="NN120" s="155">
        <f>IFERROR(VLOOKUP($MW120,$AV$2:$BA$84,3,FALSE),0)</f>
        <v/>
      </c>
      <c r="NO120" s="155">
        <f>IFERROR(VLOOKUP($MX120,$AV$2:$BA$84,3,FALSE),0)</f>
        <v/>
      </c>
      <c r="NP120" s="155">
        <f>IFERROR(VLOOKUP($MY120,$AV$2:$BA$84,3,FALSE),0)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IFERROR(VLOOKUP($MV120,$AV$2:$BA$84,4,FALSE),0)+IFERROR(VLOOKUP($MW120,$AV$2:$BA$84,4,FALSE),0)+IFERROR(VLOOKUP($MX120,$AV$2:$BA$84,4,FALSE),0)+IFERROR(VLOOKUP($MY120,$AV$2:$BA$84,4,FALSE),0)</f>
        <v/>
      </c>
      <c r="OB120" s="155">
        <f>IFERROR(VLOOKUP($MV120,$AV$2:$BA$84,6,FALSE),0)+IFERROR(VLOOKUP($MW120,$AV$2:$BA$84,6,FALSE),0)+IFERROR(VLOOKUP($MX120,$AV$2:$BA$84,6,FALSE),0)+IFERROR(VLOOKUP($MY120,$AV$2:$BA$84,6,FALSE),0)</f>
        <v/>
      </c>
      <c r="OC120" s="155">
        <f>TEXTJOIN(", ",TRUE,IF(IFERROR(VLOOKUP($MV120,$AV$2:$BA$84,5,FALSE),0)=1,$MV120,""),IF(IFERROR(VLOOKUP($MW120,$AV$2:$BA$84,5,FALSE),0)=1,$MW120,""),IF(IFERROR(VLOOKUP($MX120,$AV$2:$BA$84,5,FALSE),0)=1,$MX120,""),IF(IFERROR(VLOOKUP($MY120,$AV$2:$BA$84,5,FALSE),0)=1,$MY120,""))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f>
        <v/>
      </c>
      <c r="OY120" s="155">
        <f>$OW120-$OX120</f>
        <v/>
      </c>
      <c r="OZ120" s="155">
        <f>IF($MQ120=0,0,INDEX($P$2:$P$8,MAX(1,$MQ120)))</f>
        <v/>
      </c>
      <c r="PA120" s="155">
        <f>$OZ120-$OU120+$OX120</f>
        <v/>
      </c>
      <c r="PB120" s="155">
        <f>IF($MQ120=0,MAX(0,$NE120-IF($OS120&gt;0,1,0)),MAX(0,$PA120))</f>
        <v/>
      </c>
      <c r="PC120" s="155">
        <f>IF($MQ120=0,0,(IF(COUNTIF($MV120:$MY120,"Salto")&gt;0,1,0)+IF(COUNTIF($MV120:$MY120,"Queima")&gt;0,1,0)+IF(COUNTIF($MV120:$MY120,"Estilhaço")&gt;0,1,0))*FLOOR($PB120/2,1))</f>
        <v/>
      </c>
      <c r="PD120" s="155">
        <f>MAX(0,2-SUMPRODUCT($OK120:$OP120,$I$2:$N$2)+MIN(2,$OQ120*1+$OR120*1,SUMPRODUCT($OK120:$OP120,$I$2:$N$2)))</f>
        <v/>
      </c>
      <c r="PE120" s="155">
        <f>MAX(0,4-SUMPRODUCT($OK120:$OP120,$I$3:$N$3)+MIN(4,$OQ120*1+$OR120*2,SUMPRODUCT($OK120:$OP120,$I$3:$N$3)))</f>
        <v/>
      </c>
      <c r="PF120" s="155">
        <f>MAX(0,6-SUMPRODUCT($OK120:$OP120,$I$4:$N$4)+MIN(6,$OQ120*2+$OR120*3,SUMPRODUCT($OK120:$OP120,$I$4:$N$4)))</f>
        <v/>
      </c>
      <c r="PG120" s="155">
        <f>MAX(0,9-SUMPRODUCT($OK120:$OP120,$I$5:$N$5)+MIN(8,$OQ120*2+$OR120*4,SUMPRODUCT($OK120:$OP120,$I$5:$N$5)))</f>
        <v/>
      </c>
      <c r="PH120" s="155">
        <f>MAX(0,11-SUMPRODUCT($OK120:$OP120,$I$6:$N$6)+MIN(10,$OQ120*3+$OR120*5,SUMPRODUCT($OK120:$OP120,$I$6:$N$6)))</f>
        <v/>
      </c>
      <c r="PI120" s="155">
        <f>MAX(0,13-SUMPRODUCT($OK120:$OP120,$I$7:$N$7)+MIN(12,$OQ120*3+$OR120*6,SUMPRODUCT($OK120:$OP120,$I$7:$N$7)))</f>
        <v/>
      </c>
      <c r="PJ120" s="155">
        <f>MAX(0,16-SUMPRODUCT($OK120:$OP120,$I$8:$N$8)+MIN(14,$OQ120*4+$OR120*7,SUMPRODUCT($OK120:$OP120,$I$8:$N$8)))</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peça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IFERROR(VLOOKUP($MV121,$AV$2:$BA$84,2,FALSE),"")</f>
        <v/>
      </c>
      <c r="NJ121" s="155">
        <f>IFERROR(VLOOKUP($MW121,$AV$2:$BA$84,2,FALSE),"")</f>
        <v/>
      </c>
      <c r="NK121" s="155">
        <f>IFERROR(VLOOKUP($MX121,$AV$2:$BA$84,2,FALSE),"")</f>
        <v/>
      </c>
      <c r="NL121" s="155">
        <f>IFERROR(VLOOKUP($MY121,$AV$2:$BA$84,2,FALSE),"")</f>
        <v/>
      </c>
      <c r="NM121" s="155">
        <f>IFERROR(VLOOKUP($MV121,$AV$2:$BA$84,3,FALSE),0)</f>
        <v/>
      </c>
      <c r="NN121" s="155">
        <f>IFERROR(VLOOKUP($MW121,$AV$2:$BA$84,3,FALSE),0)</f>
        <v/>
      </c>
      <c r="NO121" s="155">
        <f>IFERROR(VLOOKUP($MX121,$AV$2:$BA$84,3,FALSE),0)</f>
        <v/>
      </c>
      <c r="NP121" s="155">
        <f>IFERROR(VLOOKUP($MY121,$AV$2:$BA$84,3,FALSE),0)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IFERROR(VLOOKUP($MV121,$AV$2:$BA$84,4,FALSE),0)+IFERROR(VLOOKUP($MW121,$AV$2:$BA$84,4,FALSE),0)+IFERROR(VLOOKUP($MX121,$AV$2:$BA$84,4,FALSE),0)+IFERROR(VLOOKUP($MY121,$AV$2:$BA$84,4,FALSE),0)</f>
        <v/>
      </c>
      <c r="OB121" s="155">
        <f>IFERROR(VLOOKUP($MV121,$AV$2:$BA$84,6,FALSE),0)+IFERROR(VLOOKUP($MW121,$AV$2:$BA$84,6,FALSE),0)+IFERROR(VLOOKUP($MX121,$AV$2:$BA$84,6,FALSE),0)+IFERROR(VLOOKUP($MY121,$AV$2:$BA$84,6,FALSE),0)</f>
        <v/>
      </c>
      <c r="OC121" s="155">
        <f>TEXTJOIN(", ",TRUE,IF(IFERROR(VLOOKUP($MV121,$AV$2:$BA$84,5,FALSE),0)=1,$MV121,""),IF(IFERROR(VLOOKUP($MW121,$AV$2:$BA$84,5,FALSE),0)=1,$MW121,""),IF(IFERROR(VLOOKUP($MX121,$AV$2:$BA$84,5,FALSE),0)=1,$MX121,""),IF(IFERROR(VLOOKUP($MY121,$AV$2:$BA$84,5,FALSE),0)=1,$MY121,""))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f>
        <v/>
      </c>
      <c r="OY121" s="155">
        <f>$OW121-$OX121</f>
        <v/>
      </c>
      <c r="OZ121" s="155">
        <f>IF($MQ121=0,0,INDEX($P$2:$P$8,MAX(1,$MQ121)))</f>
        <v/>
      </c>
      <c r="PA121" s="155">
        <f>$OZ121-$OU121+$OX121</f>
        <v/>
      </c>
      <c r="PB121" s="155">
        <f>IF($MQ121=0,MAX(0,$NE121-IF($OS121&gt;0,1,0)),MAX(0,$PA121))</f>
        <v/>
      </c>
      <c r="PC121" s="155">
        <f>IF($MQ121=0,0,(IF(COUNTIF($MV121:$MY121,"Salto")&gt;0,1,0)+IF(COUNTIF($MV121:$MY121,"Queima")&gt;0,1,0)+IF(COUNTIF($MV121:$MY121,"Estilhaço")&gt;0,1,0))*FLOOR($PB121/2,1))</f>
        <v/>
      </c>
      <c r="PD121" s="155">
        <f>MAX(0,2-SUMPRODUCT($OK121:$OP121,$I$2:$N$2)+MIN(2,$OQ121*1+$OR121*1,SUMPRODUCT($OK121:$OP121,$I$2:$N$2)))</f>
        <v/>
      </c>
      <c r="PE121" s="155">
        <f>MAX(0,4-SUMPRODUCT($OK121:$OP121,$I$3:$N$3)+MIN(4,$OQ121*1+$OR121*2,SUMPRODUCT($OK121:$OP121,$I$3:$N$3)))</f>
        <v/>
      </c>
      <c r="PF121" s="155">
        <f>MAX(0,6-SUMPRODUCT($OK121:$OP121,$I$4:$N$4)+MIN(6,$OQ121*2+$OR121*3,SUMPRODUCT($OK121:$OP121,$I$4:$N$4)))</f>
        <v/>
      </c>
      <c r="PG121" s="155">
        <f>MAX(0,9-SUMPRODUCT($OK121:$OP121,$I$5:$N$5)+MIN(8,$OQ121*2+$OR121*4,SUMPRODUCT($OK121:$OP121,$I$5:$N$5)))</f>
        <v/>
      </c>
      <c r="PH121" s="155">
        <f>MAX(0,11-SUMPRODUCT($OK121:$OP121,$I$6:$N$6)+MIN(10,$OQ121*3+$OR121*5,SUMPRODUCT($OK121:$OP121,$I$6:$N$6)))</f>
        <v/>
      </c>
      <c r="PI121" s="155">
        <f>MAX(0,13-SUMPRODUCT($OK121:$OP121,$I$7:$N$7)+MIN(12,$OQ121*3+$OR121*6,SUMPRODUCT($OK121:$OP121,$I$7:$N$7)))</f>
        <v/>
      </c>
      <c r="PJ121" s="155">
        <f>MAX(0,16-SUMPRODUCT($OK121:$OP121,$I$8:$N$8)+MIN(14,$OQ121*4+$OR121*7,SUMPRODUCT($OK121:$OP121,$I$8:$N$8)))</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peça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IFERROR(VLOOKUP($MV122,$AV$2:$BA$84,2,FALSE),"")</f>
        <v/>
      </c>
      <c r="NJ122" s="155">
        <f>IFERROR(VLOOKUP($MW122,$AV$2:$BA$84,2,FALSE),"")</f>
        <v/>
      </c>
      <c r="NK122" s="155">
        <f>IFERROR(VLOOKUP($MX122,$AV$2:$BA$84,2,FALSE),"")</f>
        <v/>
      </c>
      <c r="NL122" s="155">
        <f>IFERROR(VLOOKUP($MY122,$AV$2:$BA$84,2,FALSE),"")</f>
        <v/>
      </c>
      <c r="NM122" s="155">
        <f>IFERROR(VLOOKUP($MV122,$AV$2:$BA$84,3,FALSE),0)</f>
        <v/>
      </c>
      <c r="NN122" s="155">
        <f>IFERROR(VLOOKUP($MW122,$AV$2:$BA$84,3,FALSE),0)</f>
        <v/>
      </c>
      <c r="NO122" s="155">
        <f>IFERROR(VLOOKUP($MX122,$AV$2:$BA$84,3,FALSE),0)</f>
        <v/>
      </c>
      <c r="NP122" s="155">
        <f>IFERROR(VLOOKUP($MY122,$AV$2:$BA$84,3,FALSE),0)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IFERROR(VLOOKUP($MV122,$AV$2:$BA$84,4,FALSE),0)+IFERROR(VLOOKUP($MW122,$AV$2:$BA$84,4,FALSE),0)+IFERROR(VLOOKUP($MX122,$AV$2:$BA$84,4,FALSE),0)+IFERROR(VLOOKUP($MY122,$AV$2:$BA$84,4,FALSE),0)</f>
        <v/>
      </c>
      <c r="OB122" s="155">
        <f>IFERROR(VLOOKUP($MV122,$AV$2:$BA$84,6,FALSE),0)+IFERROR(VLOOKUP($MW122,$AV$2:$BA$84,6,FALSE),0)+IFERROR(VLOOKUP($MX122,$AV$2:$BA$84,6,FALSE),0)+IFERROR(VLOOKUP($MY122,$AV$2:$BA$84,6,FALSE),0)</f>
        <v/>
      </c>
      <c r="OC122" s="155">
        <f>TEXTJOIN(", ",TRUE,IF(IFERROR(VLOOKUP($MV122,$AV$2:$BA$84,5,FALSE),0)=1,$MV122,""),IF(IFERROR(VLOOKUP($MW122,$AV$2:$BA$84,5,FALSE),0)=1,$MW122,""),IF(IFERROR(VLOOKUP($MX122,$AV$2:$BA$84,5,FALSE),0)=1,$MX122,""),IF(IFERROR(VLOOKUP($MY122,$AV$2:$BA$84,5,FALSE),0)=1,$MY122,""))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f>
        <v/>
      </c>
      <c r="OY122" s="155">
        <f>$OW122-$OX122</f>
        <v/>
      </c>
      <c r="OZ122" s="155">
        <f>IF($MQ122=0,0,INDEX($P$2:$P$8,MAX(1,$MQ122)))</f>
        <v/>
      </c>
      <c r="PA122" s="155">
        <f>$OZ122-$OU122+$OX122</f>
        <v/>
      </c>
      <c r="PB122" s="155">
        <f>IF($MQ122=0,MAX(0,$NE122-IF($OS122&gt;0,1,0)),MAX(0,$PA122))</f>
        <v/>
      </c>
      <c r="PC122" s="155">
        <f>IF($MQ122=0,0,(IF(COUNTIF($MV122:$MY122,"Salto")&gt;0,1,0)+IF(COUNTIF($MV122:$MY122,"Queima")&gt;0,1,0)+IF(COUNTIF($MV122:$MY122,"Estilhaço")&gt;0,1,0))*FLOOR($PB122/2,1))</f>
        <v/>
      </c>
      <c r="PD122" s="155">
        <f>MAX(0,2-SUMPRODUCT($OK122:$OP122,$I$2:$N$2)+MIN(2,$OQ122*1+$OR122*1,SUMPRODUCT($OK122:$OP122,$I$2:$N$2)))</f>
        <v/>
      </c>
      <c r="PE122" s="155">
        <f>MAX(0,4-SUMPRODUCT($OK122:$OP122,$I$3:$N$3)+MIN(4,$OQ122*1+$OR122*2,SUMPRODUCT($OK122:$OP122,$I$3:$N$3)))</f>
        <v/>
      </c>
      <c r="PF122" s="155">
        <f>MAX(0,6-SUMPRODUCT($OK122:$OP122,$I$4:$N$4)+MIN(6,$OQ122*2+$OR122*3,SUMPRODUCT($OK122:$OP122,$I$4:$N$4)))</f>
        <v/>
      </c>
      <c r="PG122" s="155">
        <f>MAX(0,9-SUMPRODUCT($OK122:$OP122,$I$5:$N$5)+MIN(8,$OQ122*2+$OR122*4,SUMPRODUCT($OK122:$OP122,$I$5:$N$5)))</f>
        <v/>
      </c>
      <c r="PH122" s="155">
        <f>MAX(0,11-SUMPRODUCT($OK122:$OP122,$I$6:$N$6)+MIN(10,$OQ122*3+$OR122*5,SUMPRODUCT($OK122:$OP122,$I$6:$N$6)))</f>
        <v/>
      </c>
      <c r="PI122" s="155">
        <f>MAX(0,13-SUMPRODUCT($OK122:$OP122,$I$7:$N$7)+MIN(12,$OQ122*3+$OR122*6,SUMPRODUCT($OK122:$OP122,$I$7:$N$7)))</f>
        <v/>
      </c>
      <c r="PJ122" s="155">
        <f>MAX(0,16-SUMPRODUCT($OK122:$OP122,$I$8:$N$8)+MIN(14,$OQ122*4+$OR122*7,SUMPRODUCT($OK122:$OP122,$I$8:$N$8)))</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peça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IFERROR(VLOOKUP($MV123,$AV$2:$BA$84,2,FALSE),"")</f>
        <v/>
      </c>
      <c r="NJ123" s="155">
        <f>IFERROR(VLOOKUP($MW123,$AV$2:$BA$84,2,FALSE),"")</f>
        <v/>
      </c>
      <c r="NK123" s="155">
        <f>IFERROR(VLOOKUP($MX123,$AV$2:$BA$84,2,FALSE),"")</f>
        <v/>
      </c>
      <c r="NL123" s="155">
        <f>IFERROR(VLOOKUP($MY123,$AV$2:$BA$84,2,FALSE),"")</f>
        <v/>
      </c>
      <c r="NM123" s="155">
        <f>IFERROR(VLOOKUP($MV123,$AV$2:$BA$84,3,FALSE),0)</f>
        <v/>
      </c>
      <c r="NN123" s="155">
        <f>IFERROR(VLOOKUP($MW123,$AV$2:$BA$84,3,FALSE),0)</f>
        <v/>
      </c>
      <c r="NO123" s="155">
        <f>IFERROR(VLOOKUP($MX123,$AV$2:$BA$84,3,FALSE),0)</f>
        <v/>
      </c>
      <c r="NP123" s="155">
        <f>IFERROR(VLOOKUP($MY123,$AV$2:$BA$84,3,FALSE),0)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IFERROR(VLOOKUP($MV123,$AV$2:$BA$84,4,FALSE),0)+IFERROR(VLOOKUP($MW123,$AV$2:$BA$84,4,FALSE),0)+IFERROR(VLOOKUP($MX123,$AV$2:$BA$84,4,FALSE),0)+IFERROR(VLOOKUP($MY123,$AV$2:$BA$84,4,FALSE),0)</f>
        <v/>
      </c>
      <c r="OB123" s="155">
        <f>IFERROR(VLOOKUP($MV123,$AV$2:$BA$84,6,FALSE),0)+IFERROR(VLOOKUP($MW123,$AV$2:$BA$84,6,FALSE),0)+IFERROR(VLOOKUP($MX123,$AV$2:$BA$84,6,FALSE),0)+IFERROR(VLOOKUP($MY123,$AV$2:$BA$84,6,FALSE),0)</f>
        <v/>
      </c>
      <c r="OC123" s="155">
        <f>TEXTJOIN(", ",TRUE,IF(IFERROR(VLOOKUP($MV123,$AV$2:$BA$84,5,FALSE),0)=1,$MV123,""),IF(IFERROR(VLOOKUP($MW123,$AV$2:$BA$84,5,FALSE),0)=1,$MW123,""),IF(IFERROR(VLOOKUP($MX123,$AV$2:$BA$84,5,FALSE),0)=1,$MX123,""),IF(IFERROR(VLOOKUP($MY123,$AV$2:$BA$84,5,FALSE),0)=1,$MY123,""))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f>
        <v/>
      </c>
      <c r="OY123" s="155">
        <f>$OW123-$OX123</f>
        <v/>
      </c>
      <c r="OZ123" s="155">
        <f>IF($MQ123=0,0,INDEX($P$2:$P$8,MAX(1,$MQ123)))</f>
        <v/>
      </c>
      <c r="PA123" s="155">
        <f>$OZ123-$OU123+$OX123</f>
        <v/>
      </c>
      <c r="PB123" s="155">
        <f>IF($MQ123=0,MAX(0,$NE123-IF($OS123&gt;0,1,0)),MAX(0,$PA123))</f>
        <v/>
      </c>
      <c r="PC123" s="155">
        <f>IF($MQ123=0,0,(IF(COUNTIF($MV123:$MY123,"Salto")&gt;0,1,0)+IF(COUNTIF($MV123:$MY123,"Queima")&gt;0,1,0)+IF(COUNTIF($MV123:$MY123,"Estilhaço")&gt;0,1,0))*FLOOR($PB123/2,1))</f>
        <v/>
      </c>
      <c r="PD123" s="155">
        <f>MAX(0,2-SUMPRODUCT($OK123:$OP123,$I$2:$N$2)+MIN(2,$OQ123*1+$OR123*1,SUMPRODUCT($OK123:$OP123,$I$2:$N$2)))</f>
        <v/>
      </c>
      <c r="PE123" s="155">
        <f>MAX(0,4-SUMPRODUCT($OK123:$OP123,$I$3:$N$3)+MIN(4,$OQ123*1+$OR123*2,SUMPRODUCT($OK123:$OP123,$I$3:$N$3)))</f>
        <v/>
      </c>
      <c r="PF123" s="155">
        <f>MAX(0,6-SUMPRODUCT($OK123:$OP123,$I$4:$N$4)+MIN(6,$OQ123*2+$OR123*3,SUMPRODUCT($OK123:$OP123,$I$4:$N$4)))</f>
        <v/>
      </c>
      <c r="PG123" s="155">
        <f>MAX(0,9-SUMPRODUCT($OK123:$OP123,$I$5:$N$5)+MIN(8,$OQ123*2+$OR123*4,SUMPRODUCT($OK123:$OP123,$I$5:$N$5)))</f>
        <v/>
      </c>
      <c r="PH123" s="155">
        <f>MAX(0,11-SUMPRODUCT($OK123:$OP123,$I$6:$N$6)+MIN(10,$OQ123*3+$OR123*5,SUMPRODUCT($OK123:$OP123,$I$6:$N$6)))</f>
        <v/>
      </c>
      <c r="PI123" s="155">
        <f>MAX(0,13-SUMPRODUCT($OK123:$OP123,$I$7:$N$7)+MIN(12,$OQ123*3+$OR123*6,SUMPRODUCT($OK123:$OP123,$I$7:$N$7)))</f>
        <v/>
      </c>
      <c r="PJ123" s="155">
        <f>MAX(0,16-SUMPRODUCT($OK123:$OP123,$I$8:$N$8)+MIN(14,$OQ123*4+$OR123*7,SUMPRODUCT($OK123:$OP123,$I$8:$N$8)))</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peça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IFERROR(VLOOKUP($MV124,$AV$2:$BA$84,2,FALSE),"")</f>
        <v/>
      </c>
      <c r="NJ124" s="155">
        <f>IFERROR(VLOOKUP($MW124,$AV$2:$BA$84,2,FALSE),"")</f>
        <v/>
      </c>
      <c r="NK124" s="155">
        <f>IFERROR(VLOOKUP($MX124,$AV$2:$BA$84,2,FALSE),"")</f>
        <v/>
      </c>
      <c r="NL124" s="155">
        <f>IFERROR(VLOOKUP($MY124,$AV$2:$BA$84,2,FALSE),"")</f>
        <v/>
      </c>
      <c r="NM124" s="155">
        <f>IFERROR(VLOOKUP($MV124,$AV$2:$BA$84,3,FALSE),0)</f>
        <v/>
      </c>
      <c r="NN124" s="155">
        <f>IFERROR(VLOOKUP($MW124,$AV$2:$BA$84,3,FALSE),0)</f>
        <v/>
      </c>
      <c r="NO124" s="155">
        <f>IFERROR(VLOOKUP($MX124,$AV$2:$BA$84,3,FALSE),0)</f>
        <v/>
      </c>
      <c r="NP124" s="155">
        <f>IFERROR(VLOOKUP($MY124,$AV$2:$BA$84,3,FALSE),0)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IFERROR(VLOOKUP($MV124,$AV$2:$BA$84,4,FALSE),0)+IFERROR(VLOOKUP($MW124,$AV$2:$BA$84,4,FALSE),0)+IFERROR(VLOOKUP($MX124,$AV$2:$BA$84,4,FALSE),0)+IFERROR(VLOOKUP($MY124,$AV$2:$BA$84,4,FALSE),0)</f>
        <v/>
      </c>
      <c r="OB124" s="155">
        <f>IFERROR(VLOOKUP($MV124,$AV$2:$BA$84,6,FALSE),0)+IFERROR(VLOOKUP($MW124,$AV$2:$BA$84,6,FALSE),0)+IFERROR(VLOOKUP($MX124,$AV$2:$BA$84,6,FALSE),0)+IFERROR(VLOOKUP($MY124,$AV$2:$BA$84,6,FALSE),0)</f>
        <v/>
      </c>
      <c r="OC124" s="155">
        <f>TEXTJOIN(", ",TRUE,IF(IFERROR(VLOOKUP($MV124,$AV$2:$BA$84,5,FALSE),0)=1,$MV124,""),IF(IFERROR(VLOOKUP($MW124,$AV$2:$BA$84,5,FALSE),0)=1,$MW124,""),IF(IFERROR(VLOOKUP($MX124,$AV$2:$BA$84,5,FALSE),0)=1,$MX124,""),IF(IFERROR(VLOOKUP($MY124,$AV$2:$BA$84,5,FALSE),0)=1,$MY124,""))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f>
        <v/>
      </c>
      <c r="OY124" s="155">
        <f>$OW124-$OX124</f>
        <v/>
      </c>
      <c r="OZ124" s="155">
        <f>IF($MQ124=0,0,INDEX($P$2:$P$8,MAX(1,$MQ124)))</f>
        <v/>
      </c>
      <c r="PA124" s="155">
        <f>$OZ124-$OU124+$OX124</f>
        <v/>
      </c>
      <c r="PB124" s="155">
        <f>IF($MQ124=0,MAX(0,$NE124-IF($OS124&gt;0,1,0)),MAX(0,$PA124))</f>
        <v/>
      </c>
      <c r="PC124" s="155">
        <f>IF($MQ124=0,0,(IF(COUNTIF($MV124:$MY124,"Salto")&gt;0,1,0)+IF(COUNTIF($MV124:$MY124,"Queima")&gt;0,1,0)+IF(COUNTIF($MV124:$MY124,"Estilhaço")&gt;0,1,0))*FLOOR($PB124/2,1))</f>
        <v/>
      </c>
      <c r="PD124" s="155">
        <f>MAX(0,2-SUMPRODUCT($OK124:$OP124,$I$2:$N$2)+MIN(2,$OQ124*1+$OR124*1,SUMPRODUCT($OK124:$OP124,$I$2:$N$2)))</f>
        <v/>
      </c>
      <c r="PE124" s="155">
        <f>MAX(0,4-SUMPRODUCT($OK124:$OP124,$I$3:$N$3)+MIN(4,$OQ124*1+$OR124*2,SUMPRODUCT($OK124:$OP124,$I$3:$N$3)))</f>
        <v/>
      </c>
      <c r="PF124" s="155">
        <f>MAX(0,6-SUMPRODUCT($OK124:$OP124,$I$4:$N$4)+MIN(6,$OQ124*2+$OR124*3,SUMPRODUCT($OK124:$OP124,$I$4:$N$4)))</f>
        <v/>
      </c>
      <c r="PG124" s="155">
        <f>MAX(0,9-SUMPRODUCT($OK124:$OP124,$I$5:$N$5)+MIN(8,$OQ124*2+$OR124*4,SUMPRODUCT($OK124:$OP124,$I$5:$N$5)))</f>
        <v/>
      </c>
      <c r="PH124" s="155">
        <f>MAX(0,11-SUMPRODUCT($OK124:$OP124,$I$6:$N$6)+MIN(10,$OQ124*3+$OR124*5,SUMPRODUCT($OK124:$OP124,$I$6:$N$6)))</f>
        <v/>
      </c>
      <c r="PI124" s="155">
        <f>MAX(0,13-SUMPRODUCT($OK124:$OP124,$I$7:$N$7)+MIN(12,$OQ124*3+$OR124*6,SUMPRODUCT($OK124:$OP124,$I$7:$N$7)))</f>
        <v/>
      </c>
      <c r="PJ124" s="155">
        <f>MAX(0,16-SUMPRODUCT($OK124:$OP124,$I$8:$N$8)+MIN(14,$OQ124*4+$OR124*7,SUMPRODUCT($OK124:$OP124,$I$8:$N$8)))</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peça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IFERROR(VLOOKUP($MV125,$AV$2:$BA$84,2,FALSE),"")</f>
        <v/>
      </c>
      <c r="NJ125" s="155">
        <f>IFERROR(VLOOKUP($MW125,$AV$2:$BA$84,2,FALSE),"")</f>
        <v/>
      </c>
      <c r="NK125" s="155">
        <f>IFERROR(VLOOKUP($MX125,$AV$2:$BA$84,2,FALSE),"")</f>
        <v/>
      </c>
      <c r="NL125" s="155">
        <f>IFERROR(VLOOKUP($MY125,$AV$2:$BA$84,2,FALSE),"")</f>
        <v/>
      </c>
      <c r="NM125" s="155">
        <f>IFERROR(VLOOKUP($MV125,$AV$2:$BA$84,3,FALSE),0)</f>
        <v/>
      </c>
      <c r="NN125" s="155">
        <f>IFERROR(VLOOKUP($MW125,$AV$2:$BA$84,3,FALSE),0)</f>
        <v/>
      </c>
      <c r="NO125" s="155">
        <f>IFERROR(VLOOKUP($MX125,$AV$2:$BA$84,3,FALSE),0)</f>
        <v/>
      </c>
      <c r="NP125" s="155">
        <f>IFERROR(VLOOKUP($MY125,$AV$2:$BA$84,3,FALSE),0)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IFERROR(VLOOKUP($MV125,$AV$2:$BA$84,4,FALSE),0)+IFERROR(VLOOKUP($MW125,$AV$2:$BA$84,4,FALSE),0)+IFERROR(VLOOKUP($MX125,$AV$2:$BA$84,4,FALSE),0)+IFERROR(VLOOKUP($MY125,$AV$2:$BA$84,4,FALSE),0)</f>
        <v/>
      </c>
      <c r="OB125" s="155">
        <f>IFERROR(VLOOKUP($MV125,$AV$2:$BA$84,6,FALSE),0)+IFERROR(VLOOKUP($MW125,$AV$2:$BA$84,6,FALSE),0)+IFERROR(VLOOKUP($MX125,$AV$2:$BA$84,6,FALSE),0)+IFERROR(VLOOKUP($MY125,$AV$2:$BA$84,6,FALSE),0)</f>
        <v/>
      </c>
      <c r="OC125" s="155">
        <f>TEXTJOIN(", ",TRUE,IF(IFERROR(VLOOKUP($MV125,$AV$2:$BA$84,5,FALSE),0)=1,$MV125,""),IF(IFERROR(VLOOKUP($MW125,$AV$2:$BA$84,5,FALSE),0)=1,$MW125,""),IF(IFERROR(VLOOKUP($MX125,$AV$2:$BA$84,5,FALSE),0)=1,$MX125,""),IF(IFERROR(VLOOKUP($MY125,$AV$2:$BA$84,5,FALSE),0)=1,$MY125,""))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f>
        <v/>
      </c>
      <c r="OY125" s="155">
        <f>$OW125-$OX125</f>
        <v/>
      </c>
      <c r="OZ125" s="155">
        <f>IF($MQ125=0,0,INDEX($P$2:$P$8,MAX(1,$MQ125)))</f>
        <v/>
      </c>
      <c r="PA125" s="155">
        <f>$OZ125-$OU125+$OX125</f>
        <v/>
      </c>
      <c r="PB125" s="155">
        <f>IF($MQ125=0,MAX(0,$NE125-IF($OS125&gt;0,1,0)),MAX(0,$PA125))</f>
        <v/>
      </c>
      <c r="PC125" s="155">
        <f>IF($MQ125=0,0,(IF(COUNTIF($MV125:$MY125,"Salto")&gt;0,1,0)+IF(COUNTIF($MV125:$MY125,"Queima")&gt;0,1,0)+IF(COUNTIF($MV125:$MY125,"Estilhaço")&gt;0,1,0))*FLOOR($PB125/2,1))</f>
        <v/>
      </c>
      <c r="PD125" s="155">
        <f>MAX(0,2-SUMPRODUCT($OK125:$OP125,$I$2:$N$2)+MIN(2,$OQ125*1+$OR125*1,SUMPRODUCT($OK125:$OP125,$I$2:$N$2)))</f>
        <v/>
      </c>
      <c r="PE125" s="155">
        <f>MAX(0,4-SUMPRODUCT($OK125:$OP125,$I$3:$N$3)+MIN(4,$OQ125*1+$OR125*2,SUMPRODUCT($OK125:$OP125,$I$3:$N$3)))</f>
        <v/>
      </c>
      <c r="PF125" s="155">
        <f>MAX(0,6-SUMPRODUCT($OK125:$OP125,$I$4:$N$4)+MIN(6,$OQ125*2+$OR125*3,SUMPRODUCT($OK125:$OP125,$I$4:$N$4)))</f>
        <v/>
      </c>
      <c r="PG125" s="155">
        <f>MAX(0,9-SUMPRODUCT($OK125:$OP125,$I$5:$N$5)+MIN(8,$OQ125*2+$OR125*4,SUMPRODUCT($OK125:$OP125,$I$5:$N$5)))</f>
        <v/>
      </c>
      <c r="PH125" s="155">
        <f>MAX(0,11-SUMPRODUCT($OK125:$OP125,$I$6:$N$6)+MIN(10,$OQ125*3+$OR125*5,SUMPRODUCT($OK125:$OP125,$I$6:$N$6)))</f>
        <v/>
      </c>
      <c r="PI125" s="155">
        <f>MAX(0,13-SUMPRODUCT($OK125:$OP125,$I$7:$N$7)+MIN(12,$OQ125*3+$OR125*6,SUMPRODUCT($OK125:$OP125,$I$7:$N$7)))</f>
        <v/>
      </c>
      <c r="PJ125" s="155">
        <f>MAX(0,16-SUMPRODUCT($OK125:$OP125,$I$8:$N$8)+MIN(14,$OQ125*4+$OR125*7,SUMPRODUCT($OK125:$OP125,$I$8:$N$8)))</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peça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IFERROR(VLOOKUP($MV126,$AV$2:$BA$84,2,FALSE),"")</f>
        <v/>
      </c>
      <c r="NJ126" s="155">
        <f>IFERROR(VLOOKUP($MW126,$AV$2:$BA$84,2,FALSE),"")</f>
        <v/>
      </c>
      <c r="NK126" s="155">
        <f>IFERROR(VLOOKUP($MX126,$AV$2:$BA$84,2,FALSE),"")</f>
        <v/>
      </c>
      <c r="NL126" s="155">
        <f>IFERROR(VLOOKUP($MY126,$AV$2:$BA$84,2,FALSE),"")</f>
        <v/>
      </c>
      <c r="NM126" s="155">
        <f>IFERROR(VLOOKUP($MV126,$AV$2:$BA$84,3,FALSE),0)</f>
        <v/>
      </c>
      <c r="NN126" s="155">
        <f>IFERROR(VLOOKUP($MW126,$AV$2:$BA$84,3,FALSE),0)</f>
        <v/>
      </c>
      <c r="NO126" s="155">
        <f>IFERROR(VLOOKUP($MX126,$AV$2:$BA$84,3,FALSE),0)</f>
        <v/>
      </c>
      <c r="NP126" s="155">
        <f>IFERROR(VLOOKUP($MY126,$AV$2:$BA$84,3,FALSE),0)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IFERROR(VLOOKUP($MV126,$AV$2:$BA$84,4,FALSE),0)+IFERROR(VLOOKUP($MW126,$AV$2:$BA$84,4,FALSE),0)+IFERROR(VLOOKUP($MX126,$AV$2:$BA$84,4,FALSE),0)+IFERROR(VLOOKUP($MY126,$AV$2:$BA$84,4,FALSE),0)</f>
        <v/>
      </c>
      <c r="OB126" s="155">
        <f>IFERROR(VLOOKUP($MV126,$AV$2:$BA$84,6,FALSE),0)+IFERROR(VLOOKUP($MW126,$AV$2:$BA$84,6,FALSE),0)+IFERROR(VLOOKUP($MX126,$AV$2:$BA$84,6,FALSE),0)+IFERROR(VLOOKUP($MY126,$AV$2:$BA$84,6,FALSE),0)</f>
        <v/>
      </c>
      <c r="OC126" s="155">
        <f>TEXTJOIN(", ",TRUE,IF(IFERROR(VLOOKUP($MV126,$AV$2:$BA$84,5,FALSE),0)=1,$MV126,""),IF(IFERROR(VLOOKUP($MW126,$AV$2:$BA$84,5,FALSE),0)=1,$MW126,""),IF(IFERROR(VLOOKUP($MX126,$AV$2:$BA$84,5,FALSE),0)=1,$MX126,""),IF(IFERROR(VLOOKUP($MY126,$AV$2:$BA$84,5,FALSE),0)=1,$MY126,""))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f>
        <v/>
      </c>
      <c r="OY126" s="155">
        <f>$OW126-$OX126</f>
        <v/>
      </c>
      <c r="OZ126" s="155">
        <f>IF($MQ126=0,0,INDEX($P$2:$P$8,MAX(1,$MQ126)))</f>
        <v/>
      </c>
      <c r="PA126" s="155">
        <f>$OZ126-$OU126+$OX126</f>
        <v/>
      </c>
      <c r="PB126" s="155">
        <f>IF($MQ126=0,MAX(0,$NE126-IF($OS126&gt;0,1,0)),MAX(0,$PA126))</f>
        <v/>
      </c>
      <c r="PC126" s="155">
        <f>IF($MQ126=0,0,(IF(COUNTIF($MV126:$MY126,"Salto")&gt;0,1,0)+IF(COUNTIF($MV126:$MY126,"Queima")&gt;0,1,0)+IF(COUNTIF($MV126:$MY126,"Estilhaço")&gt;0,1,0))*FLOOR($PB126/2,1))</f>
        <v/>
      </c>
      <c r="PD126" s="155">
        <f>MAX(0,2-SUMPRODUCT($OK126:$OP126,$I$2:$N$2)+MIN(2,$OQ126*1+$OR126*1,SUMPRODUCT($OK126:$OP126,$I$2:$N$2)))</f>
        <v/>
      </c>
      <c r="PE126" s="155">
        <f>MAX(0,4-SUMPRODUCT($OK126:$OP126,$I$3:$N$3)+MIN(4,$OQ126*1+$OR126*2,SUMPRODUCT($OK126:$OP126,$I$3:$N$3)))</f>
        <v/>
      </c>
      <c r="PF126" s="155">
        <f>MAX(0,6-SUMPRODUCT($OK126:$OP126,$I$4:$N$4)+MIN(6,$OQ126*2+$OR126*3,SUMPRODUCT($OK126:$OP126,$I$4:$N$4)))</f>
        <v/>
      </c>
      <c r="PG126" s="155">
        <f>MAX(0,9-SUMPRODUCT($OK126:$OP126,$I$5:$N$5)+MIN(8,$OQ126*2+$OR126*4,SUMPRODUCT($OK126:$OP126,$I$5:$N$5)))</f>
        <v/>
      </c>
      <c r="PH126" s="155">
        <f>MAX(0,11-SUMPRODUCT($OK126:$OP126,$I$6:$N$6)+MIN(10,$OQ126*3+$OR126*5,SUMPRODUCT($OK126:$OP126,$I$6:$N$6)))</f>
        <v/>
      </c>
      <c r="PI126" s="155">
        <f>MAX(0,13-SUMPRODUCT($OK126:$OP126,$I$7:$N$7)+MIN(12,$OQ126*3+$OR126*6,SUMPRODUCT($OK126:$OP126,$I$7:$N$7)))</f>
        <v/>
      </c>
      <c r="PJ126" s="155">
        <f>MAX(0,16-SUMPRODUCT($OK126:$OP126,$I$8:$N$8)+MIN(14,$OQ126*4+$OR126*7,SUMPRODUCT($OK126:$OP126,$I$8:$N$8)))</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peça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IFERROR(VLOOKUP($MV127,$AV$2:$BA$84,2,FALSE),"")</f>
        <v/>
      </c>
      <c r="NJ127" s="155">
        <f>IFERROR(VLOOKUP($MW127,$AV$2:$BA$84,2,FALSE),"")</f>
        <v/>
      </c>
      <c r="NK127" s="155">
        <f>IFERROR(VLOOKUP($MX127,$AV$2:$BA$84,2,FALSE),"")</f>
        <v/>
      </c>
      <c r="NL127" s="155">
        <f>IFERROR(VLOOKUP($MY127,$AV$2:$BA$84,2,FALSE),"")</f>
        <v/>
      </c>
      <c r="NM127" s="155">
        <f>IFERROR(VLOOKUP($MV127,$AV$2:$BA$84,3,FALSE),0)</f>
        <v/>
      </c>
      <c r="NN127" s="155">
        <f>IFERROR(VLOOKUP($MW127,$AV$2:$BA$84,3,FALSE),0)</f>
        <v/>
      </c>
      <c r="NO127" s="155">
        <f>IFERROR(VLOOKUP($MX127,$AV$2:$BA$84,3,FALSE),0)</f>
        <v/>
      </c>
      <c r="NP127" s="155">
        <f>IFERROR(VLOOKUP($MY127,$AV$2:$BA$84,3,FALSE),0)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IFERROR(VLOOKUP($MV127,$AV$2:$BA$84,4,FALSE),0)+IFERROR(VLOOKUP($MW127,$AV$2:$BA$84,4,FALSE),0)+IFERROR(VLOOKUP($MX127,$AV$2:$BA$84,4,FALSE),0)+IFERROR(VLOOKUP($MY127,$AV$2:$BA$84,4,FALSE),0)</f>
        <v/>
      </c>
      <c r="OB127" s="155">
        <f>IFERROR(VLOOKUP($MV127,$AV$2:$BA$84,6,FALSE),0)+IFERROR(VLOOKUP($MW127,$AV$2:$BA$84,6,FALSE),0)+IFERROR(VLOOKUP($MX127,$AV$2:$BA$84,6,FALSE),0)+IFERROR(VLOOKUP($MY127,$AV$2:$BA$84,6,FALSE),0)</f>
        <v/>
      </c>
      <c r="OC127" s="155">
        <f>TEXTJOIN(", ",TRUE,IF(IFERROR(VLOOKUP($MV127,$AV$2:$BA$84,5,FALSE),0)=1,$MV127,""),IF(IFERROR(VLOOKUP($MW127,$AV$2:$BA$84,5,FALSE),0)=1,$MW127,""),IF(IFERROR(VLOOKUP($MX127,$AV$2:$BA$84,5,FALSE),0)=1,$MX127,""),IF(IFERROR(VLOOKUP($MY127,$AV$2:$BA$84,5,FALSE),0)=1,$MY127,""))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f>
        <v/>
      </c>
      <c r="OY127" s="155">
        <f>$OW127-$OX127</f>
        <v/>
      </c>
      <c r="OZ127" s="155">
        <f>IF($MQ127=0,0,INDEX($P$2:$P$8,MAX(1,$MQ127)))</f>
        <v/>
      </c>
      <c r="PA127" s="155">
        <f>$OZ127-$OU127+$OX127</f>
        <v/>
      </c>
      <c r="PB127" s="155">
        <f>IF($MQ127=0,MAX(0,$NE127-IF($OS127&gt;0,1,0)),MAX(0,$PA127))</f>
        <v/>
      </c>
      <c r="PC127" s="155">
        <f>IF($MQ127=0,0,(IF(COUNTIF($MV127:$MY127,"Salto")&gt;0,1,0)+IF(COUNTIF($MV127:$MY127,"Queima")&gt;0,1,0)+IF(COUNTIF($MV127:$MY127,"Estilhaço")&gt;0,1,0))*FLOOR($PB127/2,1))</f>
        <v/>
      </c>
      <c r="PD127" s="155">
        <f>MAX(0,2-SUMPRODUCT($OK127:$OP127,$I$2:$N$2)+MIN(2,$OQ127*1+$OR127*1,SUMPRODUCT($OK127:$OP127,$I$2:$N$2)))</f>
        <v/>
      </c>
      <c r="PE127" s="155">
        <f>MAX(0,4-SUMPRODUCT($OK127:$OP127,$I$3:$N$3)+MIN(4,$OQ127*1+$OR127*2,SUMPRODUCT($OK127:$OP127,$I$3:$N$3)))</f>
        <v/>
      </c>
      <c r="PF127" s="155">
        <f>MAX(0,6-SUMPRODUCT($OK127:$OP127,$I$4:$N$4)+MIN(6,$OQ127*2+$OR127*3,SUMPRODUCT($OK127:$OP127,$I$4:$N$4)))</f>
        <v/>
      </c>
      <c r="PG127" s="155">
        <f>MAX(0,9-SUMPRODUCT($OK127:$OP127,$I$5:$N$5)+MIN(8,$OQ127*2+$OR127*4,SUMPRODUCT($OK127:$OP127,$I$5:$N$5)))</f>
        <v/>
      </c>
      <c r="PH127" s="155">
        <f>MAX(0,11-SUMPRODUCT($OK127:$OP127,$I$6:$N$6)+MIN(10,$OQ127*3+$OR127*5,SUMPRODUCT($OK127:$OP127,$I$6:$N$6)))</f>
        <v/>
      </c>
      <c r="PI127" s="155">
        <f>MAX(0,13-SUMPRODUCT($OK127:$OP127,$I$7:$N$7)+MIN(12,$OQ127*3+$OR127*6,SUMPRODUCT($OK127:$OP127,$I$7:$N$7)))</f>
        <v/>
      </c>
      <c r="PJ127" s="155">
        <f>MAX(0,16-SUMPRODUCT($OK127:$OP127,$I$8:$N$8)+MIN(14,$OQ127*4+$OR127*7,SUMPRODUCT($OK127:$OP127,$I$8:$N$8)))</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peça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IFERROR(VLOOKUP($MV128,$AV$2:$BA$84,2,FALSE),"")</f>
        <v/>
      </c>
      <c r="NJ128" s="155">
        <f>IFERROR(VLOOKUP($MW128,$AV$2:$BA$84,2,FALSE),"")</f>
        <v/>
      </c>
      <c r="NK128" s="155">
        <f>IFERROR(VLOOKUP($MX128,$AV$2:$BA$84,2,FALSE),"")</f>
        <v/>
      </c>
      <c r="NL128" s="155">
        <f>IFERROR(VLOOKUP($MY128,$AV$2:$BA$84,2,FALSE),"")</f>
        <v/>
      </c>
      <c r="NM128" s="155">
        <f>IFERROR(VLOOKUP($MV128,$AV$2:$BA$84,3,FALSE),0)</f>
        <v/>
      </c>
      <c r="NN128" s="155">
        <f>IFERROR(VLOOKUP($MW128,$AV$2:$BA$84,3,FALSE),0)</f>
        <v/>
      </c>
      <c r="NO128" s="155">
        <f>IFERROR(VLOOKUP($MX128,$AV$2:$BA$84,3,FALSE),0)</f>
        <v/>
      </c>
      <c r="NP128" s="155">
        <f>IFERROR(VLOOKUP($MY128,$AV$2:$BA$84,3,FALSE),0)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IFERROR(VLOOKUP($MV128,$AV$2:$BA$84,4,FALSE),0)+IFERROR(VLOOKUP($MW128,$AV$2:$BA$84,4,FALSE),0)+IFERROR(VLOOKUP($MX128,$AV$2:$BA$84,4,FALSE),0)+IFERROR(VLOOKUP($MY128,$AV$2:$BA$84,4,FALSE),0)</f>
        <v/>
      </c>
      <c r="OB128" s="155">
        <f>IFERROR(VLOOKUP($MV128,$AV$2:$BA$84,6,FALSE),0)+IFERROR(VLOOKUP($MW128,$AV$2:$BA$84,6,FALSE),0)+IFERROR(VLOOKUP($MX128,$AV$2:$BA$84,6,FALSE),0)+IFERROR(VLOOKUP($MY128,$AV$2:$BA$84,6,FALSE),0)</f>
        <v/>
      </c>
      <c r="OC128" s="155">
        <f>TEXTJOIN(", ",TRUE,IF(IFERROR(VLOOKUP($MV128,$AV$2:$BA$84,5,FALSE),0)=1,$MV128,""),IF(IFERROR(VLOOKUP($MW128,$AV$2:$BA$84,5,FALSE),0)=1,$MW128,""),IF(IFERROR(VLOOKUP($MX128,$AV$2:$BA$84,5,FALSE),0)=1,$MX128,""),IF(IFERROR(VLOOKUP($MY128,$AV$2:$BA$84,5,FALSE),0)=1,$MY128,""))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f>
        <v/>
      </c>
      <c r="OY128" s="155">
        <f>$OW128-$OX128</f>
        <v/>
      </c>
      <c r="OZ128" s="155">
        <f>IF($MQ128=0,0,INDEX($P$2:$P$8,MAX(1,$MQ128)))</f>
        <v/>
      </c>
      <c r="PA128" s="155">
        <f>$OZ128-$OU128+$OX128</f>
        <v/>
      </c>
      <c r="PB128" s="155">
        <f>IF($MQ128=0,MAX(0,$NE128-IF($OS128&gt;0,1,0)),MAX(0,$PA128))</f>
        <v/>
      </c>
      <c r="PC128" s="155">
        <f>IF($MQ128=0,0,(IF(COUNTIF($MV128:$MY128,"Salto")&gt;0,1,0)+IF(COUNTIF($MV128:$MY128,"Queima")&gt;0,1,0)+IF(COUNTIF($MV128:$MY128,"Estilhaço")&gt;0,1,0))*FLOOR($PB128/2,1))</f>
        <v/>
      </c>
      <c r="PD128" s="155">
        <f>MAX(0,2-SUMPRODUCT($OK128:$OP128,$I$2:$N$2)+MIN(2,$OQ128*1+$OR128*1,SUMPRODUCT($OK128:$OP128,$I$2:$N$2)))</f>
        <v/>
      </c>
      <c r="PE128" s="155">
        <f>MAX(0,4-SUMPRODUCT($OK128:$OP128,$I$3:$N$3)+MIN(4,$OQ128*1+$OR128*2,SUMPRODUCT($OK128:$OP128,$I$3:$N$3)))</f>
        <v/>
      </c>
      <c r="PF128" s="155">
        <f>MAX(0,6-SUMPRODUCT($OK128:$OP128,$I$4:$N$4)+MIN(6,$OQ128*2+$OR128*3,SUMPRODUCT($OK128:$OP128,$I$4:$N$4)))</f>
        <v/>
      </c>
      <c r="PG128" s="155">
        <f>MAX(0,9-SUMPRODUCT($OK128:$OP128,$I$5:$N$5)+MIN(8,$OQ128*2+$OR128*4,SUMPRODUCT($OK128:$OP128,$I$5:$N$5)))</f>
        <v/>
      </c>
      <c r="PH128" s="155">
        <f>MAX(0,11-SUMPRODUCT($OK128:$OP128,$I$6:$N$6)+MIN(10,$OQ128*3+$OR128*5,SUMPRODUCT($OK128:$OP128,$I$6:$N$6)))</f>
        <v/>
      </c>
      <c r="PI128" s="155">
        <f>MAX(0,13-SUMPRODUCT($OK128:$OP128,$I$7:$N$7)+MIN(12,$OQ128*3+$OR128*6,SUMPRODUCT($OK128:$OP128,$I$7:$N$7)))</f>
        <v/>
      </c>
      <c r="PJ128" s="155">
        <f>MAX(0,16-SUMPRODUCT($OK128:$OP128,$I$8:$N$8)+MIN(14,$OQ128*4+$OR128*7,SUMPRODUCT($OK128:$OP128,$I$8:$N$8)))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peça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IFERROR(VLOOKUP($MV129,$AV$2:$BA$84,2,FALSE),"")</f>
        <v/>
      </c>
      <c r="NJ129" s="155">
        <f>IFERROR(VLOOKUP($MW129,$AV$2:$BA$84,2,FALSE),"")</f>
        <v/>
      </c>
      <c r="NK129" s="155">
        <f>IFERROR(VLOOKUP($MX129,$AV$2:$BA$84,2,FALSE),"")</f>
        <v/>
      </c>
      <c r="NL129" s="155">
        <f>IFERROR(VLOOKUP($MY129,$AV$2:$BA$84,2,FALSE),"")</f>
        <v/>
      </c>
      <c r="NM129" s="155">
        <f>IFERROR(VLOOKUP($MV129,$AV$2:$BA$84,3,FALSE),0)</f>
        <v/>
      </c>
      <c r="NN129" s="155">
        <f>IFERROR(VLOOKUP($MW129,$AV$2:$BA$84,3,FALSE),0)</f>
        <v/>
      </c>
      <c r="NO129" s="155">
        <f>IFERROR(VLOOKUP($MX129,$AV$2:$BA$84,3,FALSE),0)</f>
        <v/>
      </c>
      <c r="NP129" s="155">
        <f>IFERROR(VLOOKUP($MY129,$AV$2:$BA$84,3,FALSE),0)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IFERROR(VLOOKUP($MV129,$AV$2:$BA$84,4,FALSE),0)+IFERROR(VLOOKUP($MW129,$AV$2:$BA$84,4,FALSE),0)+IFERROR(VLOOKUP($MX129,$AV$2:$BA$84,4,FALSE),0)+IFERROR(VLOOKUP($MY129,$AV$2:$BA$84,4,FALSE),0)</f>
        <v/>
      </c>
      <c r="OB129" s="155">
        <f>IFERROR(VLOOKUP($MV129,$AV$2:$BA$84,6,FALSE),0)+IFERROR(VLOOKUP($MW129,$AV$2:$BA$84,6,FALSE),0)+IFERROR(VLOOKUP($MX129,$AV$2:$BA$84,6,FALSE),0)+IFERROR(VLOOKUP($MY129,$AV$2:$BA$84,6,FALSE),0)</f>
        <v/>
      </c>
      <c r="OC129" s="155">
        <f>TEXTJOIN(", ",TRUE,IF(IFERROR(VLOOKUP($MV129,$AV$2:$BA$84,5,FALSE),0)=1,$MV129,""),IF(IFERROR(VLOOKUP($MW129,$AV$2:$BA$84,5,FALSE),0)=1,$MW129,""),IF(IFERROR(VLOOKUP($MX129,$AV$2:$BA$84,5,FALSE),0)=1,$MX129,""),IF(IFERROR(VLOOKUP($MY129,$AV$2:$BA$84,5,FALSE),0)=1,$MY129,""))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f>
        <v/>
      </c>
      <c r="OY129" s="155">
        <f>$OW129-$OX129</f>
        <v/>
      </c>
      <c r="OZ129" s="155">
        <f>IF($MQ129=0,0,INDEX($P$2:$P$8,MAX(1,$MQ129)))</f>
        <v/>
      </c>
      <c r="PA129" s="155">
        <f>$OZ129-$OU129+$OX129</f>
        <v/>
      </c>
      <c r="PB129" s="155">
        <f>IF($MQ129=0,MAX(0,$NE129-IF($OS129&gt;0,1,0)),MAX(0,$PA129))</f>
        <v/>
      </c>
      <c r="PC129" s="155">
        <f>IF($MQ129=0,0,(IF(COUNTIF($MV129:$MY129,"Salto")&gt;0,1,0)+IF(COUNTIF($MV129:$MY129,"Queima")&gt;0,1,0)+IF(COUNTIF($MV129:$MY129,"Estilhaço")&gt;0,1,0))*FLOOR($PB129/2,1))</f>
        <v/>
      </c>
      <c r="PD129" s="155">
        <f>MAX(0,2-SUMPRODUCT($OK129:$OP129,$I$2:$N$2)+MIN(2,$OQ129*1+$OR129*1,SUMPRODUCT($OK129:$OP129,$I$2:$N$2)))</f>
        <v/>
      </c>
      <c r="PE129" s="155">
        <f>MAX(0,4-SUMPRODUCT($OK129:$OP129,$I$3:$N$3)+MIN(4,$OQ129*1+$OR129*2,SUMPRODUCT($OK129:$OP129,$I$3:$N$3)))</f>
        <v/>
      </c>
      <c r="PF129" s="155">
        <f>MAX(0,6-SUMPRODUCT($OK129:$OP129,$I$4:$N$4)+MIN(6,$OQ129*2+$OR129*3,SUMPRODUCT($OK129:$OP129,$I$4:$N$4)))</f>
        <v/>
      </c>
      <c r="PG129" s="155">
        <f>MAX(0,9-SUMPRODUCT($OK129:$OP129,$I$5:$N$5)+MIN(8,$OQ129*2+$OR129*4,SUMPRODUCT($OK129:$OP129,$I$5:$N$5)))</f>
        <v/>
      </c>
      <c r="PH129" s="155">
        <f>MAX(0,11-SUMPRODUCT($OK129:$OP129,$I$6:$N$6)+MIN(10,$OQ129*3+$OR129*5,SUMPRODUCT($OK129:$OP129,$I$6:$N$6)))</f>
        <v/>
      </c>
      <c r="PI129" s="155">
        <f>MAX(0,13-SUMPRODUCT($OK129:$OP129,$I$7:$N$7)+MIN(12,$OQ129*3+$OR129*6,SUMPRODUCT($OK129:$OP129,$I$7:$N$7)))</f>
        <v/>
      </c>
      <c r="PJ129" s="155">
        <f>MAX(0,16-SUMPRODUCT($OK129:$OP129,$I$8:$N$8)+MIN(14,$OQ129*4+$OR129*7,SUMPRODUCT($OK129:$OP129,$I$8:$N$8)))</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peça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IFERROR(VLOOKUP($MV130,$AV$2:$BA$84,2,FALSE),"")</f>
        <v/>
      </c>
      <c r="NJ130" s="155">
        <f>IFERROR(VLOOKUP($MW130,$AV$2:$BA$84,2,FALSE),"")</f>
        <v/>
      </c>
      <c r="NK130" s="155">
        <f>IFERROR(VLOOKUP($MX130,$AV$2:$BA$84,2,FALSE),"")</f>
        <v/>
      </c>
      <c r="NL130" s="155">
        <f>IFERROR(VLOOKUP($MY130,$AV$2:$BA$84,2,FALSE),"")</f>
        <v/>
      </c>
      <c r="NM130" s="155">
        <f>IFERROR(VLOOKUP($MV130,$AV$2:$BA$84,3,FALSE),0)</f>
        <v/>
      </c>
      <c r="NN130" s="155">
        <f>IFERROR(VLOOKUP($MW130,$AV$2:$BA$84,3,FALSE),0)</f>
        <v/>
      </c>
      <c r="NO130" s="155">
        <f>IFERROR(VLOOKUP($MX130,$AV$2:$BA$84,3,FALSE),0)</f>
        <v/>
      </c>
      <c r="NP130" s="155">
        <f>IFERROR(VLOOKUP($MY130,$AV$2:$BA$84,3,FALSE),0)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IFERROR(VLOOKUP($MV130,$AV$2:$BA$84,4,FALSE),0)+IFERROR(VLOOKUP($MW130,$AV$2:$BA$84,4,FALSE),0)+IFERROR(VLOOKUP($MX130,$AV$2:$BA$84,4,FALSE),0)+IFERROR(VLOOKUP($MY130,$AV$2:$BA$84,4,FALSE),0)</f>
        <v/>
      </c>
      <c r="OB130" s="155">
        <f>IFERROR(VLOOKUP($MV130,$AV$2:$BA$84,6,FALSE),0)+IFERROR(VLOOKUP($MW130,$AV$2:$BA$84,6,FALSE),0)+IFERROR(VLOOKUP($MX130,$AV$2:$BA$84,6,FALSE),0)+IFERROR(VLOOKUP($MY130,$AV$2:$BA$84,6,FALSE),0)</f>
        <v/>
      </c>
      <c r="OC130" s="155">
        <f>TEXTJOIN(", ",TRUE,IF(IFERROR(VLOOKUP($MV130,$AV$2:$BA$84,5,FALSE),0)=1,$MV130,""),IF(IFERROR(VLOOKUP($MW130,$AV$2:$BA$84,5,FALSE),0)=1,$MW130,""),IF(IFERROR(VLOOKUP($MX130,$AV$2:$BA$84,5,FALSE),0)=1,$MX130,""),IF(IFERROR(VLOOKUP($MY130,$AV$2:$BA$84,5,FALSE),0)=1,$MY130,""))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f>
        <v/>
      </c>
      <c r="OY130" s="155">
        <f>$OW130-$OX130</f>
        <v/>
      </c>
      <c r="OZ130" s="155">
        <f>IF($MQ130=0,0,INDEX($P$2:$P$8,MAX(1,$MQ130)))</f>
        <v/>
      </c>
      <c r="PA130" s="155">
        <f>$OZ130-$OU130+$OX130</f>
        <v/>
      </c>
      <c r="PB130" s="155">
        <f>IF($MQ130=0,MAX(0,$NE130-IF($OS130&gt;0,1,0)),MAX(0,$PA130))</f>
        <v/>
      </c>
      <c r="PC130" s="155">
        <f>IF($MQ130=0,0,(IF(COUNTIF($MV130:$MY130,"Salto")&gt;0,1,0)+IF(COUNTIF($MV130:$MY130,"Queima")&gt;0,1,0)+IF(COUNTIF($MV130:$MY130,"Estilhaço")&gt;0,1,0))*FLOOR($PB130/2,1))</f>
        <v/>
      </c>
      <c r="PD130" s="155">
        <f>MAX(0,2-SUMPRODUCT($OK130:$OP130,$I$2:$N$2)+MIN(2,$OQ130*1+$OR130*1,SUMPRODUCT($OK130:$OP130,$I$2:$N$2)))</f>
        <v/>
      </c>
      <c r="PE130" s="155">
        <f>MAX(0,4-SUMPRODUCT($OK130:$OP130,$I$3:$N$3)+MIN(4,$OQ130*1+$OR130*2,SUMPRODUCT($OK130:$OP130,$I$3:$N$3)))</f>
        <v/>
      </c>
      <c r="PF130" s="155">
        <f>MAX(0,6-SUMPRODUCT($OK130:$OP130,$I$4:$N$4)+MIN(6,$OQ130*2+$OR130*3,SUMPRODUCT($OK130:$OP130,$I$4:$N$4)))</f>
        <v/>
      </c>
      <c r="PG130" s="155">
        <f>MAX(0,9-SUMPRODUCT($OK130:$OP130,$I$5:$N$5)+MIN(8,$OQ130*2+$OR130*4,SUMPRODUCT($OK130:$OP130,$I$5:$N$5)))</f>
        <v/>
      </c>
      <c r="PH130" s="155">
        <f>MAX(0,11-SUMPRODUCT($OK130:$OP130,$I$6:$N$6)+MIN(10,$OQ130*3+$OR130*5,SUMPRODUCT($OK130:$OP130,$I$6:$N$6)))</f>
        <v/>
      </c>
      <c r="PI130" s="155">
        <f>MAX(0,13-SUMPRODUCT($OK130:$OP130,$I$7:$N$7)+MIN(12,$OQ130*3+$OR130*6,SUMPRODUCT($OK130:$OP130,$I$7:$N$7)))</f>
        <v/>
      </c>
      <c r="PJ130" s="155">
        <f>MAX(0,16-SUMPRODUCT($OK130:$OP130,$I$8:$N$8)+MIN(14,$OQ130*4+$OR130*7,SUMPRODUCT($OK130:$OP130,$I$8:$N$8)))</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peça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IFERROR(VLOOKUP($MV131,$AV$2:$BA$84,2,FALSE),"")</f>
        <v/>
      </c>
      <c r="NJ131" s="155">
        <f>IFERROR(VLOOKUP($MW131,$AV$2:$BA$84,2,FALSE),"")</f>
        <v/>
      </c>
      <c r="NK131" s="155">
        <f>IFERROR(VLOOKUP($MX131,$AV$2:$BA$84,2,FALSE),"")</f>
        <v/>
      </c>
      <c r="NL131" s="155">
        <f>IFERROR(VLOOKUP($MY131,$AV$2:$BA$84,2,FALSE),"")</f>
        <v/>
      </c>
      <c r="NM131" s="155">
        <f>IFERROR(VLOOKUP($MV131,$AV$2:$BA$84,3,FALSE),0)</f>
        <v/>
      </c>
      <c r="NN131" s="155">
        <f>IFERROR(VLOOKUP($MW131,$AV$2:$BA$84,3,FALSE),0)</f>
        <v/>
      </c>
      <c r="NO131" s="155">
        <f>IFERROR(VLOOKUP($MX131,$AV$2:$BA$84,3,FALSE),0)</f>
        <v/>
      </c>
      <c r="NP131" s="155">
        <f>IFERROR(VLOOKUP($MY131,$AV$2:$BA$84,3,FALSE),0)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IFERROR(VLOOKUP($MV131,$AV$2:$BA$84,4,FALSE),0)+IFERROR(VLOOKUP($MW131,$AV$2:$BA$84,4,FALSE),0)+IFERROR(VLOOKUP($MX131,$AV$2:$BA$84,4,FALSE),0)+IFERROR(VLOOKUP($MY131,$AV$2:$BA$84,4,FALSE),0)</f>
        <v/>
      </c>
      <c r="OB131" s="155">
        <f>IFERROR(VLOOKUP($MV131,$AV$2:$BA$84,6,FALSE),0)+IFERROR(VLOOKUP($MW131,$AV$2:$BA$84,6,FALSE),0)+IFERROR(VLOOKUP($MX131,$AV$2:$BA$84,6,FALSE),0)+IFERROR(VLOOKUP($MY131,$AV$2:$BA$84,6,FALSE),0)</f>
        <v/>
      </c>
      <c r="OC131" s="155">
        <f>TEXTJOIN(", ",TRUE,IF(IFERROR(VLOOKUP($MV131,$AV$2:$BA$84,5,FALSE),0)=1,$MV131,""),IF(IFERROR(VLOOKUP($MW131,$AV$2:$BA$84,5,FALSE),0)=1,$MW131,""),IF(IFERROR(VLOOKUP($MX131,$AV$2:$BA$84,5,FALSE),0)=1,$MX131,""),IF(IFERROR(VLOOKUP($MY131,$AV$2:$BA$84,5,FALSE),0)=1,$MY131,""))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f>
        <v/>
      </c>
      <c r="OY131" s="155">
        <f>$OW131-$OX131</f>
        <v/>
      </c>
      <c r="OZ131" s="155">
        <f>IF($MQ131=0,0,INDEX($P$2:$P$8,MAX(1,$MQ131)))</f>
        <v/>
      </c>
      <c r="PA131" s="155">
        <f>$OZ131-$OU131+$OX131</f>
        <v/>
      </c>
      <c r="PB131" s="155">
        <f>IF($MQ131=0,MAX(0,$NE131-IF($OS131&gt;0,1,0)),MAX(0,$PA131))</f>
        <v/>
      </c>
      <c r="PC131" s="155">
        <f>IF($MQ131=0,0,(IF(COUNTIF($MV131:$MY131,"Salto")&gt;0,1,0)+IF(COUNTIF($MV131:$MY131,"Queima")&gt;0,1,0)+IF(COUNTIF($MV131:$MY131,"Estilhaço")&gt;0,1,0))*FLOOR($PB131/2,1))</f>
        <v/>
      </c>
      <c r="PD131" s="155">
        <f>MAX(0,2-SUMPRODUCT($OK131:$OP131,$I$2:$N$2)+MIN(2,$OQ131*1+$OR131*1,SUMPRODUCT($OK131:$OP131,$I$2:$N$2)))</f>
        <v/>
      </c>
      <c r="PE131" s="155">
        <f>MAX(0,4-SUMPRODUCT($OK131:$OP131,$I$3:$N$3)+MIN(4,$OQ131*1+$OR131*2,SUMPRODUCT($OK131:$OP131,$I$3:$N$3)))</f>
        <v/>
      </c>
      <c r="PF131" s="155">
        <f>MAX(0,6-SUMPRODUCT($OK131:$OP131,$I$4:$N$4)+MIN(6,$OQ131*2+$OR131*3,SUMPRODUCT($OK131:$OP131,$I$4:$N$4)))</f>
        <v/>
      </c>
      <c r="PG131" s="155">
        <f>MAX(0,9-SUMPRODUCT($OK131:$OP131,$I$5:$N$5)+MIN(8,$OQ131*2+$OR131*4,SUMPRODUCT($OK131:$OP131,$I$5:$N$5)))</f>
        <v/>
      </c>
      <c r="PH131" s="155">
        <f>MAX(0,11-SUMPRODUCT($OK131:$OP131,$I$6:$N$6)+MIN(10,$OQ131*3+$OR131*5,SUMPRODUCT($OK131:$OP131,$I$6:$N$6)))</f>
        <v/>
      </c>
      <c r="PI131" s="155">
        <f>MAX(0,13-SUMPRODUCT($OK131:$OP131,$I$7:$N$7)+MIN(12,$OQ131*3+$OR131*6,SUMPRODUCT($OK131:$OP131,$I$7:$N$7)))</f>
        <v/>
      </c>
      <c r="PJ131" s="155">
        <f>MAX(0,16-SUMPRODUCT($OK131:$OP131,$I$8:$N$8)+MIN(14,$OQ131*4+$OR131*7,SUMPRODUCT($OK131:$OP131,$I$8:$N$8)))</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peça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IFERROR(VLOOKUP($MV132,$AV$2:$BA$84,2,FALSE),"")</f>
        <v/>
      </c>
      <c r="NJ132" s="155">
        <f>IFERROR(VLOOKUP($MW132,$AV$2:$BA$84,2,FALSE),"")</f>
        <v/>
      </c>
      <c r="NK132" s="155">
        <f>IFERROR(VLOOKUP($MX132,$AV$2:$BA$84,2,FALSE),"")</f>
        <v/>
      </c>
      <c r="NL132" s="155">
        <f>IFERROR(VLOOKUP($MY132,$AV$2:$BA$84,2,FALSE),"")</f>
        <v/>
      </c>
      <c r="NM132" s="155">
        <f>IFERROR(VLOOKUP($MV132,$AV$2:$BA$84,3,FALSE),0)</f>
        <v/>
      </c>
      <c r="NN132" s="155">
        <f>IFERROR(VLOOKUP($MW132,$AV$2:$BA$84,3,FALSE),0)</f>
        <v/>
      </c>
      <c r="NO132" s="155">
        <f>IFERROR(VLOOKUP($MX132,$AV$2:$BA$84,3,FALSE),0)</f>
        <v/>
      </c>
      <c r="NP132" s="155">
        <f>IFERROR(VLOOKUP($MY132,$AV$2:$BA$84,3,FALSE),0)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IFERROR(VLOOKUP($MV132,$AV$2:$BA$84,4,FALSE),0)+IFERROR(VLOOKUP($MW132,$AV$2:$BA$84,4,FALSE),0)+IFERROR(VLOOKUP($MX132,$AV$2:$BA$84,4,FALSE),0)+IFERROR(VLOOKUP($MY132,$AV$2:$BA$84,4,FALSE),0)</f>
        <v/>
      </c>
      <c r="OB132" s="155">
        <f>IFERROR(VLOOKUP($MV132,$AV$2:$BA$84,6,FALSE),0)+IFERROR(VLOOKUP($MW132,$AV$2:$BA$84,6,FALSE),0)+IFERROR(VLOOKUP($MX132,$AV$2:$BA$84,6,FALSE),0)+IFERROR(VLOOKUP($MY132,$AV$2:$BA$84,6,FALSE),0)</f>
        <v/>
      </c>
      <c r="OC132" s="155">
        <f>TEXTJOIN(", ",TRUE,IF(IFERROR(VLOOKUP($MV132,$AV$2:$BA$84,5,FALSE),0)=1,$MV132,""),IF(IFERROR(VLOOKUP($MW132,$AV$2:$BA$84,5,FALSE),0)=1,$MW132,""),IF(IFERROR(VLOOKUP($MX132,$AV$2:$BA$84,5,FALSE),0)=1,$MX132,""),IF(IFERROR(VLOOKUP($MY132,$AV$2:$BA$84,5,FALSE),0)=1,$MY132,""))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f>
        <v/>
      </c>
      <c r="OY132" s="155">
        <f>$OW132-$OX132</f>
        <v/>
      </c>
      <c r="OZ132" s="155">
        <f>IF($MQ132=0,0,INDEX($P$2:$P$8,MAX(1,$MQ132)))</f>
        <v/>
      </c>
      <c r="PA132" s="155">
        <f>$OZ132-$OU132+$OX132</f>
        <v/>
      </c>
      <c r="PB132" s="155">
        <f>IF($MQ132=0,MAX(0,$NE132-IF($OS132&gt;0,1,0)),MAX(0,$PA132))</f>
        <v/>
      </c>
      <c r="PC132" s="155">
        <f>IF($MQ132=0,0,(IF(COUNTIF($MV132:$MY132,"Salto")&gt;0,1,0)+IF(COUNTIF($MV132:$MY132,"Queima")&gt;0,1,0)+IF(COUNTIF($MV132:$MY132,"Estilhaço")&gt;0,1,0))*FLOOR($PB132/2,1))</f>
        <v/>
      </c>
      <c r="PD132" s="155">
        <f>MAX(0,2-SUMPRODUCT($OK132:$OP132,$I$2:$N$2)+MIN(2,$OQ132*1+$OR132*1,SUMPRODUCT($OK132:$OP132,$I$2:$N$2)))</f>
        <v/>
      </c>
      <c r="PE132" s="155">
        <f>MAX(0,4-SUMPRODUCT($OK132:$OP132,$I$3:$N$3)+MIN(4,$OQ132*1+$OR132*2,SUMPRODUCT($OK132:$OP132,$I$3:$N$3)))</f>
        <v/>
      </c>
      <c r="PF132" s="155">
        <f>MAX(0,6-SUMPRODUCT($OK132:$OP132,$I$4:$N$4)+MIN(6,$OQ132*2+$OR132*3,SUMPRODUCT($OK132:$OP132,$I$4:$N$4)))</f>
        <v/>
      </c>
      <c r="PG132" s="155">
        <f>MAX(0,9-SUMPRODUCT($OK132:$OP132,$I$5:$N$5)+MIN(8,$OQ132*2+$OR132*4,SUMPRODUCT($OK132:$OP132,$I$5:$N$5)))</f>
        <v/>
      </c>
      <c r="PH132" s="155">
        <f>MAX(0,11-SUMPRODUCT($OK132:$OP132,$I$6:$N$6)+MIN(10,$OQ132*3+$OR132*5,SUMPRODUCT($OK132:$OP132,$I$6:$N$6)))</f>
        <v/>
      </c>
      <c r="PI132" s="155">
        <f>MAX(0,13-SUMPRODUCT($OK132:$OP132,$I$7:$N$7)+MIN(12,$OQ132*3+$OR132*6,SUMPRODUCT($OK132:$OP132,$I$7:$N$7)))</f>
        <v/>
      </c>
      <c r="PJ132" s="155">
        <f>MAX(0,16-SUMPRODUCT($OK132:$OP132,$I$8:$N$8)+MIN(14,$OQ132*4+$OR132*7,SUMPRODUCT($OK132:$OP132,$I$8:$N$8)))</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peça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IFERROR(VLOOKUP($MV133,$AV$2:$BA$84,2,FALSE),"")</f>
        <v/>
      </c>
      <c r="NJ133" s="155">
        <f>IFERROR(VLOOKUP($MW133,$AV$2:$BA$84,2,FALSE),"")</f>
        <v/>
      </c>
      <c r="NK133" s="155">
        <f>IFERROR(VLOOKUP($MX133,$AV$2:$BA$84,2,FALSE),"")</f>
        <v/>
      </c>
      <c r="NL133" s="155">
        <f>IFERROR(VLOOKUP($MY133,$AV$2:$BA$84,2,FALSE),"")</f>
        <v/>
      </c>
      <c r="NM133" s="155">
        <f>IFERROR(VLOOKUP($MV133,$AV$2:$BA$84,3,FALSE),0)</f>
        <v/>
      </c>
      <c r="NN133" s="155">
        <f>IFERROR(VLOOKUP($MW133,$AV$2:$BA$84,3,FALSE),0)</f>
        <v/>
      </c>
      <c r="NO133" s="155">
        <f>IFERROR(VLOOKUP($MX133,$AV$2:$BA$84,3,FALSE),0)</f>
        <v/>
      </c>
      <c r="NP133" s="155">
        <f>IFERROR(VLOOKUP($MY133,$AV$2:$BA$84,3,FALSE),0)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IFERROR(VLOOKUP($MV133,$AV$2:$BA$84,4,FALSE),0)+IFERROR(VLOOKUP($MW133,$AV$2:$BA$84,4,FALSE),0)+IFERROR(VLOOKUP($MX133,$AV$2:$BA$84,4,FALSE),0)+IFERROR(VLOOKUP($MY133,$AV$2:$BA$84,4,FALSE),0)</f>
        <v/>
      </c>
      <c r="OB133" s="155">
        <f>IFERROR(VLOOKUP($MV133,$AV$2:$BA$84,6,FALSE),0)+IFERROR(VLOOKUP($MW133,$AV$2:$BA$84,6,FALSE),0)+IFERROR(VLOOKUP($MX133,$AV$2:$BA$84,6,FALSE),0)+IFERROR(VLOOKUP($MY133,$AV$2:$BA$84,6,FALSE),0)</f>
        <v/>
      </c>
      <c r="OC133" s="155">
        <f>TEXTJOIN(", ",TRUE,IF(IFERROR(VLOOKUP($MV133,$AV$2:$BA$84,5,FALSE),0)=1,$MV133,""),IF(IFERROR(VLOOKUP($MW133,$AV$2:$BA$84,5,FALSE),0)=1,$MW133,""),IF(IFERROR(VLOOKUP($MX133,$AV$2:$BA$84,5,FALSE),0)=1,$MX133,""),IF(IFERROR(VLOOKUP($MY133,$AV$2:$BA$84,5,FALSE),0)=1,$MY133,""))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f>
        <v/>
      </c>
      <c r="OY133" s="155">
        <f>$OW133-$OX133</f>
        <v/>
      </c>
      <c r="OZ133" s="155">
        <f>IF($MQ133=0,0,INDEX($P$2:$P$8,MAX(1,$MQ133)))</f>
        <v/>
      </c>
      <c r="PA133" s="155">
        <f>$OZ133-$OU133+$OX133</f>
        <v/>
      </c>
      <c r="PB133" s="155">
        <f>IF($MQ133=0,MAX(0,$NE133-IF($OS133&gt;0,1,0)),MAX(0,$PA133))</f>
        <v/>
      </c>
      <c r="PC133" s="155">
        <f>IF($MQ133=0,0,(IF(COUNTIF($MV133:$MY133,"Salto")&gt;0,1,0)+IF(COUNTIF($MV133:$MY133,"Queima")&gt;0,1,0)+IF(COUNTIF($MV133:$MY133,"Estilhaço")&gt;0,1,0))*FLOOR($PB133/2,1))</f>
        <v/>
      </c>
      <c r="PD133" s="155">
        <f>MAX(0,2-SUMPRODUCT($OK133:$OP133,$I$2:$N$2)+MIN(2,$OQ133*1+$OR133*1,SUMPRODUCT($OK133:$OP133,$I$2:$N$2)))</f>
        <v/>
      </c>
      <c r="PE133" s="155">
        <f>MAX(0,4-SUMPRODUCT($OK133:$OP133,$I$3:$N$3)+MIN(4,$OQ133*1+$OR133*2,SUMPRODUCT($OK133:$OP133,$I$3:$N$3)))</f>
        <v/>
      </c>
      <c r="PF133" s="155">
        <f>MAX(0,6-SUMPRODUCT($OK133:$OP133,$I$4:$N$4)+MIN(6,$OQ133*2+$OR133*3,SUMPRODUCT($OK133:$OP133,$I$4:$N$4)))</f>
        <v/>
      </c>
      <c r="PG133" s="155">
        <f>MAX(0,9-SUMPRODUCT($OK133:$OP133,$I$5:$N$5)+MIN(8,$OQ133*2+$OR133*4,SUMPRODUCT($OK133:$OP133,$I$5:$N$5)))</f>
        <v/>
      </c>
      <c r="PH133" s="155">
        <f>MAX(0,11-SUMPRODUCT($OK133:$OP133,$I$6:$N$6)+MIN(10,$OQ133*3+$OR133*5,SUMPRODUCT($OK133:$OP133,$I$6:$N$6)))</f>
        <v/>
      </c>
      <c r="PI133" s="155">
        <f>MAX(0,13-SUMPRODUCT($OK133:$OP133,$I$7:$N$7)+MIN(12,$OQ133*3+$OR133*6,SUMPRODUCT($OK133:$OP133,$I$7:$N$7)))</f>
        <v/>
      </c>
      <c r="PJ133" s="155">
        <f>MAX(0,16-SUMPRODUCT($OK133:$OP133,$I$8:$N$8)+MIN(14,$OQ133*4+$OR133*7,SUMPRODUCT($OK133:$OP133,$I$8:$N$8)))</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peça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IFERROR(VLOOKUP($MV134,$AV$2:$BA$84,2,FALSE),"")</f>
        <v/>
      </c>
      <c r="NJ134" s="155">
        <f>IFERROR(VLOOKUP($MW134,$AV$2:$BA$84,2,FALSE),"")</f>
        <v/>
      </c>
      <c r="NK134" s="155">
        <f>IFERROR(VLOOKUP($MX134,$AV$2:$BA$84,2,FALSE),"")</f>
        <v/>
      </c>
      <c r="NL134" s="155">
        <f>IFERROR(VLOOKUP($MY134,$AV$2:$BA$84,2,FALSE),"")</f>
        <v/>
      </c>
      <c r="NM134" s="155">
        <f>IFERROR(VLOOKUP($MV134,$AV$2:$BA$84,3,FALSE),0)</f>
        <v/>
      </c>
      <c r="NN134" s="155">
        <f>IFERROR(VLOOKUP($MW134,$AV$2:$BA$84,3,FALSE),0)</f>
        <v/>
      </c>
      <c r="NO134" s="155">
        <f>IFERROR(VLOOKUP($MX134,$AV$2:$BA$84,3,FALSE),0)</f>
        <v/>
      </c>
      <c r="NP134" s="155">
        <f>IFERROR(VLOOKUP($MY134,$AV$2:$BA$84,3,FALSE),0)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IFERROR(VLOOKUP($MV134,$AV$2:$BA$84,4,FALSE),0)+IFERROR(VLOOKUP($MW134,$AV$2:$BA$84,4,FALSE),0)+IFERROR(VLOOKUP($MX134,$AV$2:$BA$84,4,FALSE),0)+IFERROR(VLOOKUP($MY134,$AV$2:$BA$84,4,FALSE),0)</f>
        <v/>
      </c>
      <c r="OB134" s="155">
        <f>IFERROR(VLOOKUP($MV134,$AV$2:$BA$84,6,FALSE),0)+IFERROR(VLOOKUP($MW134,$AV$2:$BA$84,6,FALSE),0)+IFERROR(VLOOKUP($MX134,$AV$2:$BA$84,6,FALSE),0)+IFERROR(VLOOKUP($MY134,$AV$2:$BA$84,6,FALSE),0)</f>
        <v/>
      </c>
      <c r="OC134" s="155">
        <f>TEXTJOIN(", ",TRUE,IF(IFERROR(VLOOKUP($MV134,$AV$2:$BA$84,5,FALSE),0)=1,$MV134,""),IF(IFERROR(VLOOKUP($MW134,$AV$2:$BA$84,5,FALSE),0)=1,$MW134,""),IF(IFERROR(VLOOKUP($MX134,$AV$2:$BA$84,5,FALSE),0)=1,$MX134,""),IF(IFERROR(VLOOKUP($MY134,$AV$2:$BA$84,5,FALSE),0)=1,$MY134,""))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f>
        <v/>
      </c>
      <c r="OY134" s="155">
        <f>$OW134-$OX134</f>
        <v/>
      </c>
      <c r="OZ134" s="155">
        <f>IF($MQ134=0,0,INDEX($P$2:$P$8,MAX(1,$MQ134)))</f>
        <v/>
      </c>
      <c r="PA134" s="155">
        <f>$OZ134-$OU134+$OX134</f>
        <v/>
      </c>
      <c r="PB134" s="155">
        <f>IF($MQ134=0,MAX(0,$NE134-IF($OS134&gt;0,1,0)),MAX(0,$PA134))</f>
        <v/>
      </c>
      <c r="PC134" s="155">
        <f>IF($MQ134=0,0,(IF(COUNTIF($MV134:$MY134,"Salto")&gt;0,1,0)+IF(COUNTIF($MV134:$MY134,"Queima")&gt;0,1,0)+IF(COUNTIF($MV134:$MY134,"Estilhaço")&gt;0,1,0))*FLOOR($PB134/2,1))</f>
        <v/>
      </c>
      <c r="PD134" s="155">
        <f>MAX(0,2-SUMPRODUCT($OK134:$OP134,$I$2:$N$2)+MIN(2,$OQ134*1+$OR134*1,SUMPRODUCT($OK134:$OP134,$I$2:$N$2)))</f>
        <v/>
      </c>
      <c r="PE134" s="155">
        <f>MAX(0,4-SUMPRODUCT($OK134:$OP134,$I$3:$N$3)+MIN(4,$OQ134*1+$OR134*2,SUMPRODUCT($OK134:$OP134,$I$3:$N$3)))</f>
        <v/>
      </c>
      <c r="PF134" s="155">
        <f>MAX(0,6-SUMPRODUCT($OK134:$OP134,$I$4:$N$4)+MIN(6,$OQ134*2+$OR134*3,SUMPRODUCT($OK134:$OP134,$I$4:$N$4)))</f>
        <v/>
      </c>
      <c r="PG134" s="155">
        <f>MAX(0,9-SUMPRODUCT($OK134:$OP134,$I$5:$N$5)+MIN(8,$OQ134*2+$OR134*4,SUMPRODUCT($OK134:$OP134,$I$5:$N$5)))</f>
        <v/>
      </c>
      <c r="PH134" s="155">
        <f>MAX(0,11-SUMPRODUCT($OK134:$OP134,$I$6:$N$6)+MIN(10,$OQ134*3+$OR134*5,SUMPRODUCT($OK134:$OP134,$I$6:$N$6)))</f>
        <v/>
      </c>
      <c r="PI134" s="155">
        <f>MAX(0,13-SUMPRODUCT($OK134:$OP134,$I$7:$N$7)+MIN(12,$OQ134*3+$OR134*6,SUMPRODUCT($OK134:$OP134,$I$7:$N$7)))</f>
        <v/>
      </c>
      <c r="PJ134" s="155">
        <f>MAX(0,16-SUMPRODUCT($OK134:$OP134,$I$8:$N$8)+MIN(14,$OQ134*4+$OR134*7,SUMPRODUCT($OK134:$OP134,$I$8:$N$8)))</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peça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IFERROR(VLOOKUP($MV135,$AV$2:$BA$84,2,FALSE),"")</f>
        <v/>
      </c>
      <c r="NJ135" s="155">
        <f>IFERROR(VLOOKUP($MW135,$AV$2:$BA$84,2,FALSE),"")</f>
        <v/>
      </c>
      <c r="NK135" s="155">
        <f>IFERROR(VLOOKUP($MX135,$AV$2:$BA$84,2,FALSE),"")</f>
        <v/>
      </c>
      <c r="NL135" s="155">
        <f>IFERROR(VLOOKUP($MY135,$AV$2:$BA$84,2,FALSE),"")</f>
        <v/>
      </c>
      <c r="NM135" s="155">
        <f>IFERROR(VLOOKUP($MV135,$AV$2:$BA$84,3,FALSE),0)</f>
        <v/>
      </c>
      <c r="NN135" s="155">
        <f>IFERROR(VLOOKUP($MW135,$AV$2:$BA$84,3,FALSE),0)</f>
        <v/>
      </c>
      <c r="NO135" s="155">
        <f>IFERROR(VLOOKUP($MX135,$AV$2:$BA$84,3,FALSE),0)</f>
        <v/>
      </c>
      <c r="NP135" s="155">
        <f>IFERROR(VLOOKUP($MY135,$AV$2:$BA$84,3,FALSE),0)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IFERROR(VLOOKUP($MV135,$AV$2:$BA$84,4,FALSE),0)+IFERROR(VLOOKUP($MW135,$AV$2:$BA$84,4,FALSE),0)+IFERROR(VLOOKUP($MX135,$AV$2:$BA$84,4,FALSE),0)+IFERROR(VLOOKUP($MY135,$AV$2:$BA$84,4,FALSE),0)</f>
        <v/>
      </c>
      <c r="OB135" s="155">
        <f>IFERROR(VLOOKUP($MV135,$AV$2:$BA$84,6,FALSE),0)+IFERROR(VLOOKUP($MW135,$AV$2:$BA$84,6,FALSE),0)+IFERROR(VLOOKUP($MX135,$AV$2:$BA$84,6,FALSE),0)+IFERROR(VLOOKUP($MY135,$AV$2:$BA$84,6,FALSE),0)</f>
        <v/>
      </c>
      <c r="OC135" s="155">
        <f>TEXTJOIN(", ",TRUE,IF(IFERROR(VLOOKUP($MV135,$AV$2:$BA$84,5,FALSE),0)=1,$MV135,""),IF(IFERROR(VLOOKUP($MW135,$AV$2:$BA$84,5,FALSE),0)=1,$MW135,""),IF(IFERROR(VLOOKUP($MX135,$AV$2:$BA$84,5,FALSE),0)=1,$MX135,""),IF(IFERROR(VLOOKUP($MY135,$AV$2:$BA$84,5,FALSE),0)=1,$MY135,""))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f>
        <v/>
      </c>
      <c r="OY135" s="155">
        <f>$OW135-$OX135</f>
        <v/>
      </c>
      <c r="OZ135" s="155">
        <f>IF($MQ135=0,0,INDEX($P$2:$P$8,MAX(1,$MQ135)))</f>
        <v/>
      </c>
      <c r="PA135" s="155">
        <f>$OZ135-$OU135+$OX135</f>
        <v/>
      </c>
      <c r="PB135" s="155">
        <f>IF($MQ135=0,MAX(0,$NE135-IF($OS135&gt;0,1,0)),MAX(0,$PA135))</f>
        <v/>
      </c>
      <c r="PC135" s="155">
        <f>IF($MQ135=0,0,(IF(COUNTIF($MV135:$MY135,"Salto")&gt;0,1,0)+IF(COUNTIF($MV135:$MY135,"Queima")&gt;0,1,0)+IF(COUNTIF($MV135:$MY135,"Estilhaço")&gt;0,1,0))*FLOOR($PB135/2,1))</f>
        <v/>
      </c>
      <c r="PD135" s="155">
        <f>MAX(0,2-SUMPRODUCT($OK135:$OP135,$I$2:$N$2)+MIN(2,$OQ135*1+$OR135*1,SUMPRODUCT($OK135:$OP135,$I$2:$N$2)))</f>
        <v/>
      </c>
      <c r="PE135" s="155">
        <f>MAX(0,4-SUMPRODUCT($OK135:$OP135,$I$3:$N$3)+MIN(4,$OQ135*1+$OR135*2,SUMPRODUCT($OK135:$OP135,$I$3:$N$3)))</f>
        <v/>
      </c>
      <c r="PF135" s="155">
        <f>MAX(0,6-SUMPRODUCT($OK135:$OP135,$I$4:$N$4)+MIN(6,$OQ135*2+$OR135*3,SUMPRODUCT($OK135:$OP135,$I$4:$N$4)))</f>
        <v/>
      </c>
      <c r="PG135" s="155">
        <f>MAX(0,9-SUMPRODUCT($OK135:$OP135,$I$5:$N$5)+MIN(8,$OQ135*2+$OR135*4,SUMPRODUCT($OK135:$OP135,$I$5:$N$5)))</f>
        <v/>
      </c>
      <c r="PH135" s="155">
        <f>MAX(0,11-SUMPRODUCT($OK135:$OP135,$I$6:$N$6)+MIN(10,$OQ135*3+$OR135*5,SUMPRODUCT($OK135:$OP135,$I$6:$N$6)))</f>
        <v/>
      </c>
      <c r="PI135" s="155">
        <f>MAX(0,13-SUMPRODUCT($OK135:$OP135,$I$7:$N$7)+MIN(12,$OQ135*3+$OR135*6,SUMPRODUCT($OK135:$OP135,$I$7:$N$7)))</f>
        <v/>
      </c>
      <c r="PJ135" s="155">
        <f>MAX(0,16-SUMPRODUCT($OK135:$OP135,$I$8:$N$8)+MIN(14,$OQ135*4+$OR135*7,SUMPRODUCT($OK135:$OP135,$I$8:$N$8)))</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peça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IFERROR(VLOOKUP($MV136,$AV$2:$BA$84,2,FALSE),"")</f>
        <v/>
      </c>
      <c r="NJ136" s="155">
        <f>IFERROR(VLOOKUP($MW136,$AV$2:$BA$84,2,FALSE),"")</f>
        <v/>
      </c>
      <c r="NK136" s="155">
        <f>IFERROR(VLOOKUP($MX136,$AV$2:$BA$84,2,FALSE),"")</f>
        <v/>
      </c>
      <c r="NL136" s="155">
        <f>IFERROR(VLOOKUP($MY136,$AV$2:$BA$84,2,FALSE),"")</f>
        <v/>
      </c>
      <c r="NM136" s="155">
        <f>IFERROR(VLOOKUP($MV136,$AV$2:$BA$84,3,FALSE),0)</f>
        <v/>
      </c>
      <c r="NN136" s="155">
        <f>IFERROR(VLOOKUP($MW136,$AV$2:$BA$84,3,FALSE),0)</f>
        <v/>
      </c>
      <c r="NO136" s="155">
        <f>IFERROR(VLOOKUP($MX136,$AV$2:$BA$84,3,FALSE),0)</f>
        <v/>
      </c>
      <c r="NP136" s="155">
        <f>IFERROR(VLOOKUP($MY136,$AV$2:$BA$84,3,FALSE),0)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IFERROR(VLOOKUP($MV136,$AV$2:$BA$84,4,FALSE),0)+IFERROR(VLOOKUP($MW136,$AV$2:$BA$84,4,FALSE),0)+IFERROR(VLOOKUP($MX136,$AV$2:$BA$84,4,FALSE),0)+IFERROR(VLOOKUP($MY136,$AV$2:$BA$84,4,FALSE),0)</f>
        <v/>
      </c>
      <c r="OB136" s="155">
        <f>IFERROR(VLOOKUP($MV136,$AV$2:$BA$84,6,FALSE),0)+IFERROR(VLOOKUP($MW136,$AV$2:$BA$84,6,FALSE),0)+IFERROR(VLOOKUP($MX136,$AV$2:$BA$84,6,FALSE),0)+IFERROR(VLOOKUP($MY136,$AV$2:$BA$84,6,FALSE),0)</f>
        <v/>
      </c>
      <c r="OC136" s="155">
        <f>TEXTJOIN(", ",TRUE,IF(IFERROR(VLOOKUP($MV136,$AV$2:$BA$84,5,FALSE),0)=1,$MV136,""),IF(IFERROR(VLOOKUP($MW136,$AV$2:$BA$84,5,FALSE),0)=1,$MW136,""),IF(IFERROR(VLOOKUP($MX136,$AV$2:$BA$84,5,FALSE),0)=1,$MX136,""),IF(IFERROR(VLOOKUP($MY136,$AV$2:$BA$84,5,FALSE),0)=1,$MY136,""))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f>
        <v/>
      </c>
      <c r="OY136" s="155">
        <f>$OW136-$OX136</f>
        <v/>
      </c>
      <c r="OZ136" s="155">
        <f>IF($MQ136=0,0,INDEX($P$2:$P$8,MAX(1,$MQ136)))</f>
        <v/>
      </c>
      <c r="PA136" s="155">
        <f>$OZ136-$OU136+$OX136</f>
        <v/>
      </c>
      <c r="PB136" s="155">
        <f>IF($MQ136=0,MAX(0,$NE136-IF($OS136&gt;0,1,0)),MAX(0,$PA136))</f>
        <v/>
      </c>
      <c r="PC136" s="155">
        <f>IF($MQ136=0,0,(IF(COUNTIF($MV136:$MY136,"Salto")&gt;0,1,0)+IF(COUNTIF($MV136:$MY136,"Queima")&gt;0,1,0)+IF(COUNTIF($MV136:$MY136,"Estilhaço")&gt;0,1,0))*FLOOR($PB136/2,1))</f>
        <v/>
      </c>
      <c r="PD136" s="155">
        <f>MAX(0,2-SUMPRODUCT($OK136:$OP136,$I$2:$N$2)+MIN(2,$OQ136*1+$OR136*1,SUMPRODUCT($OK136:$OP136,$I$2:$N$2)))</f>
        <v/>
      </c>
      <c r="PE136" s="155">
        <f>MAX(0,4-SUMPRODUCT($OK136:$OP136,$I$3:$N$3)+MIN(4,$OQ136*1+$OR136*2,SUMPRODUCT($OK136:$OP136,$I$3:$N$3)))</f>
        <v/>
      </c>
      <c r="PF136" s="155">
        <f>MAX(0,6-SUMPRODUCT($OK136:$OP136,$I$4:$N$4)+MIN(6,$OQ136*2+$OR136*3,SUMPRODUCT($OK136:$OP136,$I$4:$N$4)))</f>
        <v/>
      </c>
      <c r="PG136" s="155">
        <f>MAX(0,9-SUMPRODUCT($OK136:$OP136,$I$5:$N$5)+MIN(8,$OQ136*2+$OR136*4,SUMPRODUCT($OK136:$OP136,$I$5:$N$5)))</f>
        <v/>
      </c>
      <c r="PH136" s="155">
        <f>MAX(0,11-SUMPRODUCT($OK136:$OP136,$I$6:$N$6)+MIN(10,$OQ136*3+$OR136*5,SUMPRODUCT($OK136:$OP136,$I$6:$N$6)))</f>
        <v/>
      </c>
      <c r="PI136" s="155">
        <f>MAX(0,13-SUMPRODUCT($OK136:$OP136,$I$7:$N$7)+MIN(12,$OQ136*3+$OR136*6,SUMPRODUCT($OK136:$OP136,$I$7:$N$7)))</f>
        <v/>
      </c>
      <c r="PJ136" s="155">
        <f>MAX(0,16-SUMPRODUCT($OK136:$OP136,$I$8:$N$8)+MIN(14,$OQ136*4+$OR136*7,SUMPRODUCT($OK136:$OP136,$I$8:$N$8)))</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peça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IFERROR(VLOOKUP($MV137,$AV$2:$BA$84,2,FALSE),"")</f>
        <v/>
      </c>
      <c r="NJ137" s="155">
        <f>IFERROR(VLOOKUP($MW137,$AV$2:$BA$84,2,FALSE),"")</f>
        <v/>
      </c>
      <c r="NK137" s="155">
        <f>IFERROR(VLOOKUP($MX137,$AV$2:$BA$84,2,FALSE),"")</f>
        <v/>
      </c>
      <c r="NL137" s="155">
        <f>IFERROR(VLOOKUP($MY137,$AV$2:$BA$84,2,FALSE),"")</f>
        <v/>
      </c>
      <c r="NM137" s="155">
        <f>IFERROR(VLOOKUP($MV137,$AV$2:$BA$84,3,FALSE),0)</f>
        <v/>
      </c>
      <c r="NN137" s="155">
        <f>IFERROR(VLOOKUP($MW137,$AV$2:$BA$84,3,FALSE),0)</f>
        <v/>
      </c>
      <c r="NO137" s="155">
        <f>IFERROR(VLOOKUP($MX137,$AV$2:$BA$84,3,FALSE),0)</f>
        <v/>
      </c>
      <c r="NP137" s="155">
        <f>IFERROR(VLOOKUP($MY137,$AV$2:$BA$84,3,FALSE),0)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IFERROR(VLOOKUP($MV137,$AV$2:$BA$84,4,FALSE),0)+IFERROR(VLOOKUP($MW137,$AV$2:$BA$84,4,FALSE),0)+IFERROR(VLOOKUP($MX137,$AV$2:$BA$84,4,FALSE),0)+IFERROR(VLOOKUP($MY137,$AV$2:$BA$84,4,FALSE),0)</f>
        <v/>
      </c>
      <c r="OB137" s="155">
        <f>IFERROR(VLOOKUP($MV137,$AV$2:$BA$84,6,FALSE),0)+IFERROR(VLOOKUP($MW137,$AV$2:$BA$84,6,FALSE),0)+IFERROR(VLOOKUP($MX137,$AV$2:$BA$84,6,FALSE),0)+IFERROR(VLOOKUP($MY137,$AV$2:$BA$84,6,FALSE),0)</f>
        <v/>
      </c>
      <c r="OC137" s="155">
        <f>TEXTJOIN(", ",TRUE,IF(IFERROR(VLOOKUP($MV137,$AV$2:$BA$84,5,FALSE),0)=1,$MV137,""),IF(IFERROR(VLOOKUP($MW137,$AV$2:$BA$84,5,FALSE),0)=1,$MW137,""),IF(IFERROR(VLOOKUP($MX137,$AV$2:$BA$84,5,FALSE),0)=1,$MX137,""),IF(IFERROR(VLOOKUP($MY137,$AV$2:$BA$84,5,FALSE),0)=1,$MY137,""))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f>
        <v/>
      </c>
      <c r="OY137" s="155">
        <f>$OW137-$OX137</f>
        <v/>
      </c>
      <c r="OZ137" s="155">
        <f>IF($MQ137=0,0,INDEX($P$2:$P$8,MAX(1,$MQ137)))</f>
        <v/>
      </c>
      <c r="PA137" s="155">
        <f>$OZ137-$OU137+$OX137</f>
        <v/>
      </c>
      <c r="PB137" s="155">
        <f>IF($MQ137=0,MAX(0,$NE137-IF($OS137&gt;0,1,0)),MAX(0,$PA137))</f>
        <v/>
      </c>
      <c r="PC137" s="155">
        <f>IF($MQ137=0,0,(IF(COUNTIF($MV137:$MY137,"Salto")&gt;0,1,0)+IF(COUNTIF($MV137:$MY137,"Queima")&gt;0,1,0)+IF(COUNTIF($MV137:$MY137,"Estilhaço")&gt;0,1,0))*FLOOR($PB137/2,1))</f>
        <v/>
      </c>
      <c r="PD137" s="155">
        <f>MAX(0,2-SUMPRODUCT($OK137:$OP137,$I$2:$N$2)+MIN(2,$OQ137*1+$OR137*1,SUMPRODUCT($OK137:$OP137,$I$2:$N$2)))</f>
        <v/>
      </c>
      <c r="PE137" s="155">
        <f>MAX(0,4-SUMPRODUCT($OK137:$OP137,$I$3:$N$3)+MIN(4,$OQ137*1+$OR137*2,SUMPRODUCT($OK137:$OP137,$I$3:$N$3)))</f>
        <v/>
      </c>
      <c r="PF137" s="155">
        <f>MAX(0,6-SUMPRODUCT($OK137:$OP137,$I$4:$N$4)+MIN(6,$OQ137*2+$OR137*3,SUMPRODUCT($OK137:$OP137,$I$4:$N$4)))</f>
        <v/>
      </c>
      <c r="PG137" s="155">
        <f>MAX(0,9-SUMPRODUCT($OK137:$OP137,$I$5:$N$5)+MIN(8,$OQ137*2+$OR137*4,SUMPRODUCT($OK137:$OP137,$I$5:$N$5)))</f>
        <v/>
      </c>
      <c r="PH137" s="155">
        <f>MAX(0,11-SUMPRODUCT($OK137:$OP137,$I$6:$N$6)+MIN(10,$OQ137*3+$OR137*5,SUMPRODUCT($OK137:$OP137,$I$6:$N$6)))</f>
        <v/>
      </c>
      <c r="PI137" s="155">
        <f>MAX(0,13-SUMPRODUCT($OK137:$OP137,$I$7:$N$7)+MIN(12,$OQ137*3+$OR137*6,SUMPRODUCT($OK137:$OP137,$I$7:$N$7)))</f>
        <v/>
      </c>
      <c r="PJ137" s="155">
        <f>MAX(0,16-SUMPRODUCT($OK137:$OP137,$I$8:$N$8)+MIN(14,$OQ137*4+$OR137*7,SUMPRODUCT($OK137:$OP137,$I$8:$N$8)))</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peça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IFERROR(VLOOKUP($MV138,$AV$2:$BA$84,2,FALSE),"")</f>
        <v/>
      </c>
      <c r="NJ138" s="155">
        <f>IFERROR(VLOOKUP($MW138,$AV$2:$BA$84,2,FALSE),"")</f>
        <v/>
      </c>
      <c r="NK138" s="155">
        <f>IFERROR(VLOOKUP($MX138,$AV$2:$BA$84,2,FALSE),"")</f>
        <v/>
      </c>
      <c r="NL138" s="155">
        <f>IFERROR(VLOOKUP($MY138,$AV$2:$BA$84,2,FALSE),"")</f>
        <v/>
      </c>
      <c r="NM138" s="155">
        <f>IFERROR(VLOOKUP($MV138,$AV$2:$BA$84,3,FALSE),0)</f>
        <v/>
      </c>
      <c r="NN138" s="155">
        <f>IFERROR(VLOOKUP($MW138,$AV$2:$BA$84,3,FALSE),0)</f>
        <v/>
      </c>
      <c r="NO138" s="155">
        <f>IFERROR(VLOOKUP($MX138,$AV$2:$BA$84,3,FALSE),0)</f>
        <v/>
      </c>
      <c r="NP138" s="155">
        <f>IFERROR(VLOOKUP($MY138,$AV$2:$BA$84,3,FALSE),0)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IFERROR(VLOOKUP($MV138,$AV$2:$BA$84,4,FALSE),0)+IFERROR(VLOOKUP($MW138,$AV$2:$BA$84,4,FALSE),0)+IFERROR(VLOOKUP($MX138,$AV$2:$BA$84,4,FALSE),0)+IFERROR(VLOOKUP($MY138,$AV$2:$BA$84,4,FALSE),0)</f>
        <v/>
      </c>
      <c r="OB138" s="155">
        <f>IFERROR(VLOOKUP($MV138,$AV$2:$BA$84,6,FALSE),0)+IFERROR(VLOOKUP($MW138,$AV$2:$BA$84,6,FALSE),0)+IFERROR(VLOOKUP($MX138,$AV$2:$BA$84,6,FALSE),0)+IFERROR(VLOOKUP($MY138,$AV$2:$BA$84,6,FALSE),0)</f>
        <v/>
      </c>
      <c r="OC138" s="155">
        <f>TEXTJOIN(", ",TRUE,IF(IFERROR(VLOOKUP($MV138,$AV$2:$BA$84,5,FALSE),0)=1,$MV138,""),IF(IFERROR(VLOOKUP($MW138,$AV$2:$BA$84,5,FALSE),0)=1,$MW138,""),IF(IFERROR(VLOOKUP($MX138,$AV$2:$BA$84,5,FALSE),0)=1,$MX138,""),IF(IFERROR(VLOOKUP($MY138,$AV$2:$BA$84,5,FALSE),0)=1,$MY138,""))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f>
        <v/>
      </c>
      <c r="OY138" s="155">
        <f>$OW138-$OX138</f>
        <v/>
      </c>
      <c r="OZ138" s="155">
        <f>IF($MQ138=0,0,INDEX($P$2:$P$8,MAX(1,$MQ138)))</f>
        <v/>
      </c>
      <c r="PA138" s="155">
        <f>$OZ138-$OU138+$OX138</f>
        <v/>
      </c>
      <c r="PB138" s="155">
        <f>IF($MQ138=0,MAX(0,$NE138-IF($OS138&gt;0,1,0)),MAX(0,$PA138))</f>
        <v/>
      </c>
      <c r="PC138" s="155">
        <f>IF($MQ138=0,0,(IF(COUNTIF($MV138:$MY138,"Salto")&gt;0,1,0)+IF(COUNTIF($MV138:$MY138,"Queima")&gt;0,1,0)+IF(COUNTIF($MV138:$MY138,"Estilhaço")&gt;0,1,0))*FLOOR($PB138/2,1))</f>
        <v/>
      </c>
      <c r="PD138" s="155">
        <f>MAX(0,2-SUMPRODUCT($OK138:$OP138,$I$2:$N$2)+MIN(2,$OQ138*1+$OR138*1,SUMPRODUCT($OK138:$OP138,$I$2:$N$2)))</f>
        <v/>
      </c>
      <c r="PE138" s="155">
        <f>MAX(0,4-SUMPRODUCT($OK138:$OP138,$I$3:$N$3)+MIN(4,$OQ138*1+$OR138*2,SUMPRODUCT($OK138:$OP138,$I$3:$N$3)))</f>
        <v/>
      </c>
      <c r="PF138" s="155">
        <f>MAX(0,6-SUMPRODUCT($OK138:$OP138,$I$4:$N$4)+MIN(6,$OQ138*2+$OR138*3,SUMPRODUCT($OK138:$OP138,$I$4:$N$4)))</f>
        <v/>
      </c>
      <c r="PG138" s="155">
        <f>MAX(0,9-SUMPRODUCT($OK138:$OP138,$I$5:$N$5)+MIN(8,$OQ138*2+$OR138*4,SUMPRODUCT($OK138:$OP138,$I$5:$N$5)))</f>
        <v/>
      </c>
      <c r="PH138" s="155">
        <f>MAX(0,11-SUMPRODUCT($OK138:$OP138,$I$6:$N$6)+MIN(10,$OQ138*3+$OR138*5,SUMPRODUCT($OK138:$OP138,$I$6:$N$6)))</f>
        <v/>
      </c>
      <c r="PI138" s="155">
        <f>MAX(0,13-SUMPRODUCT($OK138:$OP138,$I$7:$N$7)+MIN(12,$OQ138*3+$OR138*6,SUMPRODUCT($OK138:$OP138,$I$7:$N$7)))</f>
        <v/>
      </c>
      <c r="PJ138" s="155">
        <f>MAX(0,16-SUMPRODUCT($OK138:$OP138,$I$8:$N$8)+MIN(14,$OQ138*4+$OR138*7,SUMPRODUCT($OK138:$OP138,$I$8:$N$8)))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peça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IFERROR(VLOOKUP($MV139,$AV$2:$BA$84,2,FALSE),"")</f>
        <v/>
      </c>
      <c r="NJ139" s="155">
        <f>IFERROR(VLOOKUP($MW139,$AV$2:$BA$84,2,FALSE),"")</f>
        <v/>
      </c>
      <c r="NK139" s="155">
        <f>IFERROR(VLOOKUP($MX139,$AV$2:$BA$84,2,FALSE),"")</f>
        <v/>
      </c>
      <c r="NL139" s="155">
        <f>IFERROR(VLOOKUP($MY139,$AV$2:$BA$84,2,FALSE),"")</f>
        <v/>
      </c>
      <c r="NM139" s="155">
        <f>IFERROR(VLOOKUP($MV139,$AV$2:$BA$84,3,FALSE),0)</f>
        <v/>
      </c>
      <c r="NN139" s="155">
        <f>IFERROR(VLOOKUP($MW139,$AV$2:$BA$84,3,FALSE),0)</f>
        <v/>
      </c>
      <c r="NO139" s="155">
        <f>IFERROR(VLOOKUP($MX139,$AV$2:$BA$84,3,FALSE),0)</f>
        <v/>
      </c>
      <c r="NP139" s="155">
        <f>IFERROR(VLOOKUP($MY139,$AV$2:$BA$84,3,FALSE),0)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IFERROR(VLOOKUP($MV139,$AV$2:$BA$84,4,FALSE),0)+IFERROR(VLOOKUP($MW139,$AV$2:$BA$84,4,FALSE),0)+IFERROR(VLOOKUP($MX139,$AV$2:$BA$84,4,FALSE),0)+IFERROR(VLOOKUP($MY139,$AV$2:$BA$84,4,FALSE),0)</f>
        <v/>
      </c>
      <c r="OB139" s="155">
        <f>IFERROR(VLOOKUP($MV139,$AV$2:$BA$84,6,FALSE),0)+IFERROR(VLOOKUP($MW139,$AV$2:$BA$84,6,FALSE),0)+IFERROR(VLOOKUP($MX139,$AV$2:$BA$84,6,FALSE),0)+IFERROR(VLOOKUP($MY139,$AV$2:$BA$84,6,FALSE),0)</f>
        <v/>
      </c>
      <c r="OC139" s="155">
        <f>TEXTJOIN(", ",TRUE,IF(IFERROR(VLOOKUP($MV139,$AV$2:$BA$84,5,FALSE),0)=1,$MV139,""),IF(IFERROR(VLOOKUP($MW139,$AV$2:$BA$84,5,FALSE),0)=1,$MW139,""),IF(IFERROR(VLOOKUP($MX139,$AV$2:$BA$84,5,FALSE),0)=1,$MX139,""),IF(IFERROR(VLOOKUP($MY139,$AV$2:$BA$84,5,FALSE),0)=1,$MY139,""))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f>
        <v/>
      </c>
      <c r="OY139" s="155">
        <f>$OW139-$OX139</f>
        <v/>
      </c>
      <c r="OZ139" s="155">
        <f>IF($MQ139=0,0,INDEX($P$2:$P$8,MAX(1,$MQ139)))</f>
        <v/>
      </c>
      <c r="PA139" s="155">
        <f>$OZ139-$OU139+$OX139</f>
        <v/>
      </c>
      <c r="PB139" s="155">
        <f>IF($MQ139=0,MAX(0,$NE139-IF($OS139&gt;0,1,0)),MAX(0,$PA139))</f>
        <v/>
      </c>
      <c r="PC139" s="155">
        <f>IF($MQ139=0,0,(IF(COUNTIF($MV139:$MY139,"Salto")&gt;0,1,0)+IF(COUNTIF($MV139:$MY139,"Queima")&gt;0,1,0)+IF(COUNTIF($MV139:$MY139,"Estilhaço")&gt;0,1,0))*FLOOR($PB139/2,1))</f>
        <v/>
      </c>
      <c r="PD139" s="155">
        <f>MAX(0,2-SUMPRODUCT($OK139:$OP139,$I$2:$N$2)+MIN(2,$OQ139*1+$OR139*1,SUMPRODUCT($OK139:$OP139,$I$2:$N$2)))</f>
        <v/>
      </c>
      <c r="PE139" s="155">
        <f>MAX(0,4-SUMPRODUCT($OK139:$OP139,$I$3:$N$3)+MIN(4,$OQ139*1+$OR139*2,SUMPRODUCT($OK139:$OP139,$I$3:$N$3)))</f>
        <v/>
      </c>
      <c r="PF139" s="155">
        <f>MAX(0,6-SUMPRODUCT($OK139:$OP139,$I$4:$N$4)+MIN(6,$OQ139*2+$OR139*3,SUMPRODUCT($OK139:$OP139,$I$4:$N$4)))</f>
        <v/>
      </c>
      <c r="PG139" s="155">
        <f>MAX(0,9-SUMPRODUCT($OK139:$OP139,$I$5:$N$5)+MIN(8,$OQ139*2+$OR139*4,SUMPRODUCT($OK139:$OP139,$I$5:$N$5)))</f>
        <v/>
      </c>
      <c r="PH139" s="155">
        <f>MAX(0,11-SUMPRODUCT($OK139:$OP139,$I$6:$N$6)+MIN(10,$OQ139*3+$OR139*5,SUMPRODUCT($OK139:$OP139,$I$6:$N$6)))</f>
        <v/>
      </c>
      <c r="PI139" s="155">
        <f>MAX(0,13-SUMPRODUCT($OK139:$OP139,$I$7:$N$7)+MIN(12,$OQ139*3+$OR139*6,SUMPRODUCT($OK139:$OP139,$I$7:$N$7)))</f>
        <v/>
      </c>
      <c r="PJ139" s="155">
        <f>MAX(0,16-SUMPRODUCT($OK139:$OP139,$I$8:$N$8)+MIN(14,$OQ139*4+$OR139*7,SUMPRODUCT($OK139:$OP139,$I$8:$N$8)))</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peça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IFERROR(VLOOKUP($MV140,$AV$2:$BA$84,2,FALSE),"")</f>
        <v/>
      </c>
      <c r="NJ140" s="155">
        <f>IFERROR(VLOOKUP($MW140,$AV$2:$BA$84,2,FALSE),"")</f>
        <v/>
      </c>
      <c r="NK140" s="155">
        <f>IFERROR(VLOOKUP($MX140,$AV$2:$BA$84,2,FALSE),"")</f>
        <v/>
      </c>
      <c r="NL140" s="155">
        <f>IFERROR(VLOOKUP($MY140,$AV$2:$BA$84,2,FALSE),"")</f>
        <v/>
      </c>
      <c r="NM140" s="155">
        <f>IFERROR(VLOOKUP($MV140,$AV$2:$BA$84,3,FALSE),0)</f>
        <v/>
      </c>
      <c r="NN140" s="155">
        <f>IFERROR(VLOOKUP($MW140,$AV$2:$BA$84,3,FALSE),0)</f>
        <v/>
      </c>
      <c r="NO140" s="155">
        <f>IFERROR(VLOOKUP($MX140,$AV$2:$BA$84,3,FALSE),0)</f>
        <v/>
      </c>
      <c r="NP140" s="155">
        <f>IFERROR(VLOOKUP($MY140,$AV$2:$BA$84,3,FALSE),0)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IFERROR(VLOOKUP($MV140,$AV$2:$BA$84,4,FALSE),0)+IFERROR(VLOOKUP($MW140,$AV$2:$BA$84,4,FALSE),0)+IFERROR(VLOOKUP($MX140,$AV$2:$BA$84,4,FALSE),0)+IFERROR(VLOOKUP($MY140,$AV$2:$BA$84,4,FALSE),0)</f>
        <v/>
      </c>
      <c r="OB140" s="155">
        <f>IFERROR(VLOOKUP($MV140,$AV$2:$BA$84,6,FALSE),0)+IFERROR(VLOOKUP($MW140,$AV$2:$BA$84,6,FALSE),0)+IFERROR(VLOOKUP($MX140,$AV$2:$BA$84,6,FALSE),0)+IFERROR(VLOOKUP($MY140,$AV$2:$BA$84,6,FALSE),0)</f>
        <v/>
      </c>
      <c r="OC140" s="155">
        <f>TEXTJOIN(", ",TRUE,IF(IFERROR(VLOOKUP($MV140,$AV$2:$BA$84,5,FALSE),0)=1,$MV140,""),IF(IFERROR(VLOOKUP($MW140,$AV$2:$BA$84,5,FALSE),0)=1,$MW140,""),IF(IFERROR(VLOOKUP($MX140,$AV$2:$BA$84,5,FALSE),0)=1,$MX140,""),IF(IFERROR(VLOOKUP($MY140,$AV$2:$BA$84,5,FALSE),0)=1,$MY140,""))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f>
        <v/>
      </c>
      <c r="OY140" s="155">
        <f>$OW140-$OX140</f>
        <v/>
      </c>
      <c r="OZ140" s="155">
        <f>IF($MQ140=0,0,INDEX($P$2:$P$8,MAX(1,$MQ140)))</f>
        <v/>
      </c>
      <c r="PA140" s="155">
        <f>$OZ140-$OU140+$OX140</f>
        <v/>
      </c>
      <c r="PB140" s="155">
        <f>IF($MQ140=0,MAX(0,$NE140-IF($OS140&gt;0,1,0)),MAX(0,$PA140))</f>
        <v/>
      </c>
      <c r="PC140" s="155">
        <f>IF($MQ140=0,0,(IF(COUNTIF($MV140:$MY140,"Salto")&gt;0,1,0)+IF(COUNTIF($MV140:$MY140,"Queima")&gt;0,1,0)+IF(COUNTIF($MV140:$MY140,"Estilhaço")&gt;0,1,0))*FLOOR($PB140/2,1))</f>
        <v/>
      </c>
      <c r="PD140" s="155">
        <f>MAX(0,2-SUMPRODUCT($OK140:$OP140,$I$2:$N$2)+MIN(2,$OQ140*1+$OR140*1,SUMPRODUCT($OK140:$OP140,$I$2:$N$2)))</f>
        <v/>
      </c>
      <c r="PE140" s="155">
        <f>MAX(0,4-SUMPRODUCT($OK140:$OP140,$I$3:$N$3)+MIN(4,$OQ140*1+$OR140*2,SUMPRODUCT($OK140:$OP140,$I$3:$N$3)))</f>
        <v/>
      </c>
      <c r="PF140" s="155">
        <f>MAX(0,6-SUMPRODUCT($OK140:$OP140,$I$4:$N$4)+MIN(6,$OQ140*2+$OR140*3,SUMPRODUCT($OK140:$OP140,$I$4:$N$4)))</f>
        <v/>
      </c>
      <c r="PG140" s="155">
        <f>MAX(0,9-SUMPRODUCT($OK140:$OP140,$I$5:$N$5)+MIN(8,$OQ140*2+$OR140*4,SUMPRODUCT($OK140:$OP140,$I$5:$N$5)))</f>
        <v/>
      </c>
      <c r="PH140" s="155">
        <f>MAX(0,11-SUMPRODUCT($OK140:$OP140,$I$6:$N$6)+MIN(10,$OQ140*3+$OR140*5,SUMPRODUCT($OK140:$OP140,$I$6:$N$6)))</f>
        <v/>
      </c>
      <c r="PI140" s="155">
        <f>MAX(0,13-SUMPRODUCT($OK140:$OP140,$I$7:$N$7)+MIN(12,$OQ140*3+$OR140*6,SUMPRODUCT($OK140:$OP140,$I$7:$N$7)))</f>
        <v/>
      </c>
      <c r="PJ140" s="155">
        <f>MAX(0,16-SUMPRODUCT($OK140:$OP140,$I$8:$N$8)+MIN(14,$OQ140*4+$OR140*7,SUMPRODUCT($OK140:$OP140,$I$8:$N$8)))</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peça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IFERROR(VLOOKUP($MV141,$AV$2:$BA$84,2,FALSE),"")</f>
        <v/>
      </c>
      <c r="NJ141" s="155">
        <f>IFERROR(VLOOKUP($MW141,$AV$2:$BA$84,2,FALSE),"")</f>
        <v/>
      </c>
      <c r="NK141" s="155">
        <f>IFERROR(VLOOKUP($MX141,$AV$2:$BA$84,2,FALSE),"")</f>
        <v/>
      </c>
      <c r="NL141" s="155">
        <f>IFERROR(VLOOKUP($MY141,$AV$2:$BA$84,2,FALSE),"")</f>
        <v/>
      </c>
      <c r="NM141" s="155">
        <f>IFERROR(VLOOKUP($MV141,$AV$2:$BA$84,3,FALSE),0)</f>
        <v/>
      </c>
      <c r="NN141" s="155">
        <f>IFERROR(VLOOKUP($MW141,$AV$2:$BA$84,3,FALSE),0)</f>
        <v/>
      </c>
      <c r="NO141" s="155">
        <f>IFERROR(VLOOKUP($MX141,$AV$2:$BA$84,3,FALSE),0)</f>
        <v/>
      </c>
      <c r="NP141" s="155">
        <f>IFERROR(VLOOKUP($MY141,$AV$2:$BA$84,3,FALSE),0)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IFERROR(VLOOKUP($MV141,$AV$2:$BA$84,4,FALSE),0)+IFERROR(VLOOKUP($MW141,$AV$2:$BA$84,4,FALSE),0)+IFERROR(VLOOKUP($MX141,$AV$2:$BA$84,4,FALSE),0)+IFERROR(VLOOKUP($MY141,$AV$2:$BA$84,4,FALSE),0)</f>
        <v/>
      </c>
      <c r="OB141" s="155">
        <f>IFERROR(VLOOKUP($MV141,$AV$2:$BA$84,6,FALSE),0)+IFERROR(VLOOKUP($MW141,$AV$2:$BA$84,6,FALSE),0)+IFERROR(VLOOKUP($MX141,$AV$2:$BA$84,6,FALSE),0)+IFERROR(VLOOKUP($MY141,$AV$2:$BA$84,6,FALSE),0)</f>
        <v/>
      </c>
      <c r="OC141" s="155">
        <f>TEXTJOIN(", ",TRUE,IF(IFERROR(VLOOKUP($MV141,$AV$2:$BA$84,5,FALSE),0)=1,$MV141,""),IF(IFERROR(VLOOKUP($MW141,$AV$2:$BA$84,5,FALSE),0)=1,$MW141,""),IF(IFERROR(VLOOKUP($MX141,$AV$2:$BA$84,5,FALSE),0)=1,$MX141,""),IF(IFERROR(VLOOKUP($MY141,$AV$2:$BA$84,5,FALSE),0)=1,$MY141,""))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f>
        <v/>
      </c>
      <c r="OY141" s="155">
        <f>$OW141-$OX141</f>
        <v/>
      </c>
      <c r="OZ141" s="155">
        <f>IF($MQ141=0,0,INDEX($P$2:$P$8,MAX(1,$MQ141)))</f>
        <v/>
      </c>
      <c r="PA141" s="155">
        <f>$OZ141-$OU141+$OX141</f>
        <v/>
      </c>
      <c r="PB141" s="155">
        <f>IF($MQ141=0,MAX(0,$NE141-IF($OS141&gt;0,1,0)),MAX(0,$PA141))</f>
        <v/>
      </c>
      <c r="PC141" s="155">
        <f>IF($MQ141=0,0,(IF(COUNTIF($MV141:$MY141,"Salto")&gt;0,1,0)+IF(COUNTIF($MV141:$MY141,"Queima")&gt;0,1,0)+IF(COUNTIF($MV141:$MY141,"Estilhaço")&gt;0,1,0))*FLOOR($PB141/2,1))</f>
        <v/>
      </c>
      <c r="PD141" s="155">
        <f>MAX(0,2-SUMPRODUCT($OK141:$OP141,$I$2:$N$2)+MIN(2,$OQ141*1+$OR141*1,SUMPRODUCT($OK141:$OP141,$I$2:$N$2)))</f>
        <v/>
      </c>
      <c r="PE141" s="155">
        <f>MAX(0,4-SUMPRODUCT($OK141:$OP141,$I$3:$N$3)+MIN(4,$OQ141*1+$OR141*2,SUMPRODUCT($OK141:$OP141,$I$3:$N$3)))</f>
        <v/>
      </c>
      <c r="PF141" s="155">
        <f>MAX(0,6-SUMPRODUCT($OK141:$OP141,$I$4:$N$4)+MIN(6,$OQ141*2+$OR141*3,SUMPRODUCT($OK141:$OP141,$I$4:$N$4)))</f>
        <v/>
      </c>
      <c r="PG141" s="155">
        <f>MAX(0,9-SUMPRODUCT($OK141:$OP141,$I$5:$N$5)+MIN(8,$OQ141*2+$OR141*4,SUMPRODUCT($OK141:$OP141,$I$5:$N$5)))</f>
        <v/>
      </c>
      <c r="PH141" s="155">
        <f>MAX(0,11-SUMPRODUCT($OK141:$OP141,$I$6:$N$6)+MIN(10,$OQ141*3+$OR141*5,SUMPRODUCT($OK141:$OP141,$I$6:$N$6)))</f>
        <v/>
      </c>
      <c r="PI141" s="155">
        <f>MAX(0,13-SUMPRODUCT($OK141:$OP141,$I$7:$N$7)+MIN(12,$OQ141*3+$OR141*6,SUMPRODUCT($OK141:$OP141,$I$7:$N$7)))</f>
        <v/>
      </c>
      <c r="PJ141" s="155">
        <f>MAX(0,16-SUMPRODUCT($OK141:$OP141,$I$8:$N$8)+MIN(14,$OQ141*4+$OR141*7,SUMPRODUCT($OK141:$OP141,$I$8:$N$8)))</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peça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IFERROR(VLOOKUP($MV142,$AV$2:$BA$84,2,FALSE),"")</f>
        <v/>
      </c>
      <c r="NJ142" s="155">
        <f>IFERROR(VLOOKUP($MW142,$AV$2:$BA$84,2,FALSE),"")</f>
        <v/>
      </c>
      <c r="NK142" s="155">
        <f>IFERROR(VLOOKUP($MX142,$AV$2:$BA$84,2,FALSE),"")</f>
        <v/>
      </c>
      <c r="NL142" s="155">
        <f>IFERROR(VLOOKUP($MY142,$AV$2:$BA$84,2,FALSE),"")</f>
        <v/>
      </c>
      <c r="NM142" s="155">
        <f>IFERROR(VLOOKUP($MV142,$AV$2:$BA$84,3,FALSE),0)</f>
        <v/>
      </c>
      <c r="NN142" s="155">
        <f>IFERROR(VLOOKUP($MW142,$AV$2:$BA$84,3,FALSE),0)</f>
        <v/>
      </c>
      <c r="NO142" s="155">
        <f>IFERROR(VLOOKUP($MX142,$AV$2:$BA$84,3,FALSE),0)</f>
        <v/>
      </c>
      <c r="NP142" s="155">
        <f>IFERROR(VLOOKUP($MY142,$AV$2:$BA$84,3,FALSE),0)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IFERROR(VLOOKUP($MV142,$AV$2:$BA$84,4,FALSE),0)+IFERROR(VLOOKUP($MW142,$AV$2:$BA$84,4,FALSE),0)+IFERROR(VLOOKUP($MX142,$AV$2:$BA$84,4,FALSE),0)+IFERROR(VLOOKUP($MY142,$AV$2:$BA$84,4,FALSE),0)</f>
        <v/>
      </c>
      <c r="OB142" s="155">
        <f>IFERROR(VLOOKUP($MV142,$AV$2:$BA$84,6,FALSE),0)+IFERROR(VLOOKUP($MW142,$AV$2:$BA$84,6,FALSE),0)+IFERROR(VLOOKUP($MX142,$AV$2:$BA$84,6,FALSE),0)+IFERROR(VLOOKUP($MY142,$AV$2:$BA$84,6,FALSE),0)</f>
        <v/>
      </c>
      <c r="OC142" s="155">
        <f>TEXTJOIN(", ",TRUE,IF(IFERROR(VLOOKUP($MV142,$AV$2:$BA$84,5,FALSE),0)=1,$MV142,""),IF(IFERROR(VLOOKUP($MW142,$AV$2:$BA$84,5,FALSE),0)=1,$MW142,""),IF(IFERROR(VLOOKUP($MX142,$AV$2:$BA$84,5,FALSE),0)=1,$MX142,""),IF(IFERROR(VLOOKUP($MY142,$AV$2:$BA$84,5,FALSE),0)=1,$MY142,""))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f>
        <v/>
      </c>
      <c r="OY142" s="155">
        <f>$OW142-$OX142</f>
        <v/>
      </c>
      <c r="OZ142" s="155">
        <f>IF($MQ142=0,0,INDEX($P$2:$P$8,MAX(1,$MQ142)))</f>
        <v/>
      </c>
      <c r="PA142" s="155">
        <f>$OZ142-$OU142+$OX142</f>
        <v/>
      </c>
      <c r="PB142" s="155">
        <f>IF($MQ142=0,MAX(0,$NE142-IF($OS142&gt;0,1,0)),MAX(0,$PA142))</f>
        <v/>
      </c>
      <c r="PC142" s="155">
        <f>IF($MQ142=0,0,(IF(COUNTIF($MV142:$MY142,"Salto")&gt;0,1,0)+IF(COUNTIF($MV142:$MY142,"Queima")&gt;0,1,0)+IF(COUNTIF($MV142:$MY142,"Estilhaço")&gt;0,1,0))*FLOOR($PB142/2,1))</f>
        <v/>
      </c>
      <c r="PD142" s="155">
        <f>MAX(0,2-SUMPRODUCT($OK142:$OP142,$I$2:$N$2)+MIN(2,$OQ142*1+$OR142*1,SUMPRODUCT($OK142:$OP142,$I$2:$N$2)))</f>
        <v/>
      </c>
      <c r="PE142" s="155">
        <f>MAX(0,4-SUMPRODUCT($OK142:$OP142,$I$3:$N$3)+MIN(4,$OQ142*1+$OR142*2,SUMPRODUCT($OK142:$OP142,$I$3:$N$3)))</f>
        <v/>
      </c>
      <c r="PF142" s="155">
        <f>MAX(0,6-SUMPRODUCT($OK142:$OP142,$I$4:$N$4)+MIN(6,$OQ142*2+$OR142*3,SUMPRODUCT($OK142:$OP142,$I$4:$N$4)))</f>
        <v/>
      </c>
      <c r="PG142" s="155">
        <f>MAX(0,9-SUMPRODUCT($OK142:$OP142,$I$5:$N$5)+MIN(8,$OQ142*2+$OR142*4,SUMPRODUCT($OK142:$OP142,$I$5:$N$5)))</f>
        <v/>
      </c>
      <c r="PH142" s="155">
        <f>MAX(0,11-SUMPRODUCT($OK142:$OP142,$I$6:$N$6)+MIN(10,$OQ142*3+$OR142*5,SUMPRODUCT($OK142:$OP142,$I$6:$N$6)))</f>
        <v/>
      </c>
      <c r="PI142" s="155">
        <f>MAX(0,13-SUMPRODUCT($OK142:$OP142,$I$7:$N$7)+MIN(12,$OQ142*3+$OR142*6,SUMPRODUCT($OK142:$OP142,$I$7:$N$7)))</f>
        <v/>
      </c>
      <c r="PJ142" s="155">
        <f>MAX(0,16-SUMPRODUCT($OK142:$OP142,$I$8:$N$8)+MIN(14,$OQ142*4+$OR142*7,SUMPRODUCT($OK142:$OP142,$I$8:$N$8)))</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peça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IFERROR(VLOOKUP($MV143,$AV$2:$BA$84,2,FALSE),"")</f>
        <v/>
      </c>
      <c r="NJ143" s="155">
        <f>IFERROR(VLOOKUP($MW143,$AV$2:$BA$84,2,FALSE),"")</f>
        <v/>
      </c>
      <c r="NK143" s="155">
        <f>IFERROR(VLOOKUP($MX143,$AV$2:$BA$84,2,FALSE),"")</f>
        <v/>
      </c>
      <c r="NL143" s="155">
        <f>IFERROR(VLOOKUP($MY143,$AV$2:$BA$84,2,FALSE),"")</f>
        <v/>
      </c>
      <c r="NM143" s="155">
        <f>IFERROR(VLOOKUP($MV143,$AV$2:$BA$84,3,FALSE),0)</f>
        <v/>
      </c>
      <c r="NN143" s="155">
        <f>IFERROR(VLOOKUP($MW143,$AV$2:$BA$84,3,FALSE),0)</f>
        <v/>
      </c>
      <c r="NO143" s="155">
        <f>IFERROR(VLOOKUP($MX143,$AV$2:$BA$84,3,FALSE),0)</f>
        <v/>
      </c>
      <c r="NP143" s="155">
        <f>IFERROR(VLOOKUP($MY143,$AV$2:$BA$84,3,FALSE),0)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IFERROR(VLOOKUP($MV143,$AV$2:$BA$84,4,FALSE),0)+IFERROR(VLOOKUP($MW143,$AV$2:$BA$84,4,FALSE),0)+IFERROR(VLOOKUP($MX143,$AV$2:$BA$84,4,FALSE),0)+IFERROR(VLOOKUP($MY143,$AV$2:$BA$84,4,FALSE),0)</f>
        <v/>
      </c>
      <c r="OB143" s="155">
        <f>IFERROR(VLOOKUP($MV143,$AV$2:$BA$84,6,FALSE),0)+IFERROR(VLOOKUP($MW143,$AV$2:$BA$84,6,FALSE),0)+IFERROR(VLOOKUP($MX143,$AV$2:$BA$84,6,FALSE),0)+IFERROR(VLOOKUP($MY143,$AV$2:$BA$84,6,FALSE),0)</f>
        <v/>
      </c>
      <c r="OC143" s="155">
        <f>TEXTJOIN(", ",TRUE,IF(IFERROR(VLOOKUP($MV143,$AV$2:$BA$84,5,FALSE),0)=1,$MV143,""),IF(IFERROR(VLOOKUP($MW143,$AV$2:$BA$84,5,FALSE),0)=1,$MW143,""),IF(IFERROR(VLOOKUP($MX143,$AV$2:$BA$84,5,FALSE),0)=1,$MX143,""),IF(IFERROR(VLOOKUP($MY143,$AV$2:$BA$84,5,FALSE),0)=1,$MY143,""))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f>
        <v/>
      </c>
      <c r="OY143" s="155">
        <f>$OW143-$OX143</f>
        <v/>
      </c>
      <c r="OZ143" s="155">
        <f>IF($MQ143=0,0,INDEX($P$2:$P$8,MAX(1,$MQ143)))</f>
        <v/>
      </c>
      <c r="PA143" s="155">
        <f>$OZ143-$OU143+$OX143</f>
        <v/>
      </c>
      <c r="PB143" s="155">
        <f>IF($MQ143=0,MAX(0,$NE143-IF($OS143&gt;0,1,0)),MAX(0,$PA143))</f>
        <v/>
      </c>
      <c r="PC143" s="155">
        <f>IF($MQ143=0,0,(IF(COUNTIF($MV143:$MY143,"Salto")&gt;0,1,0)+IF(COUNTIF($MV143:$MY143,"Queima")&gt;0,1,0)+IF(COUNTIF($MV143:$MY143,"Estilhaço")&gt;0,1,0))*FLOOR($PB143/2,1))</f>
        <v/>
      </c>
      <c r="PD143" s="155">
        <f>MAX(0,2-SUMPRODUCT($OK143:$OP143,$I$2:$N$2)+MIN(2,$OQ143*1+$OR143*1,SUMPRODUCT($OK143:$OP143,$I$2:$N$2)))</f>
        <v/>
      </c>
      <c r="PE143" s="155">
        <f>MAX(0,4-SUMPRODUCT($OK143:$OP143,$I$3:$N$3)+MIN(4,$OQ143*1+$OR143*2,SUMPRODUCT($OK143:$OP143,$I$3:$N$3)))</f>
        <v/>
      </c>
      <c r="PF143" s="155">
        <f>MAX(0,6-SUMPRODUCT($OK143:$OP143,$I$4:$N$4)+MIN(6,$OQ143*2+$OR143*3,SUMPRODUCT($OK143:$OP143,$I$4:$N$4)))</f>
        <v/>
      </c>
      <c r="PG143" s="155">
        <f>MAX(0,9-SUMPRODUCT($OK143:$OP143,$I$5:$N$5)+MIN(8,$OQ143*2+$OR143*4,SUMPRODUCT($OK143:$OP143,$I$5:$N$5)))</f>
        <v/>
      </c>
      <c r="PH143" s="155">
        <f>MAX(0,11-SUMPRODUCT($OK143:$OP143,$I$6:$N$6)+MIN(10,$OQ143*3+$OR143*5,SUMPRODUCT($OK143:$OP143,$I$6:$N$6)))</f>
        <v/>
      </c>
      <c r="PI143" s="155">
        <f>MAX(0,13-SUMPRODUCT($OK143:$OP143,$I$7:$N$7)+MIN(12,$OQ143*3+$OR143*6,SUMPRODUCT($OK143:$OP143,$I$7:$N$7)))</f>
        <v/>
      </c>
      <c r="PJ143" s="155">
        <f>MAX(0,16-SUMPRODUCT($OK143:$OP143,$I$8:$N$8)+MIN(14,$OQ143*4+$OR143*7,SUMPRODUCT($OK143:$OP143,$I$8:$N$8)))</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peça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IFERROR(VLOOKUP($MV144,$AV$2:$BA$84,2,FALSE),"")</f>
        <v/>
      </c>
      <c r="NJ144" s="155">
        <f>IFERROR(VLOOKUP($MW144,$AV$2:$BA$84,2,FALSE),"")</f>
        <v/>
      </c>
      <c r="NK144" s="155">
        <f>IFERROR(VLOOKUP($MX144,$AV$2:$BA$84,2,FALSE),"")</f>
        <v/>
      </c>
      <c r="NL144" s="155">
        <f>IFERROR(VLOOKUP($MY144,$AV$2:$BA$84,2,FALSE),"")</f>
        <v/>
      </c>
      <c r="NM144" s="155">
        <f>IFERROR(VLOOKUP($MV144,$AV$2:$BA$84,3,FALSE),0)</f>
        <v/>
      </c>
      <c r="NN144" s="155">
        <f>IFERROR(VLOOKUP($MW144,$AV$2:$BA$84,3,FALSE),0)</f>
        <v/>
      </c>
      <c r="NO144" s="155">
        <f>IFERROR(VLOOKUP($MX144,$AV$2:$BA$84,3,FALSE),0)</f>
        <v/>
      </c>
      <c r="NP144" s="155">
        <f>IFERROR(VLOOKUP($MY144,$AV$2:$BA$84,3,FALSE),0)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IFERROR(VLOOKUP($MV144,$AV$2:$BA$84,4,FALSE),0)+IFERROR(VLOOKUP($MW144,$AV$2:$BA$84,4,FALSE),0)+IFERROR(VLOOKUP($MX144,$AV$2:$BA$84,4,FALSE),0)+IFERROR(VLOOKUP($MY144,$AV$2:$BA$84,4,FALSE),0)</f>
        <v/>
      </c>
      <c r="OB144" s="155">
        <f>IFERROR(VLOOKUP($MV144,$AV$2:$BA$84,6,FALSE),0)+IFERROR(VLOOKUP($MW144,$AV$2:$BA$84,6,FALSE),0)+IFERROR(VLOOKUP($MX144,$AV$2:$BA$84,6,FALSE),0)+IFERROR(VLOOKUP($MY144,$AV$2:$BA$84,6,FALSE),0)</f>
        <v/>
      </c>
      <c r="OC144" s="155">
        <f>TEXTJOIN(", ",TRUE,IF(IFERROR(VLOOKUP($MV144,$AV$2:$BA$84,5,FALSE),0)=1,$MV144,""),IF(IFERROR(VLOOKUP($MW144,$AV$2:$BA$84,5,FALSE),0)=1,$MW144,""),IF(IFERROR(VLOOKUP($MX144,$AV$2:$BA$84,5,FALSE),0)=1,$MX144,""),IF(IFERROR(VLOOKUP($MY144,$AV$2:$BA$84,5,FALSE),0)=1,$MY144,""))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f>
        <v/>
      </c>
      <c r="OY144" s="155">
        <f>$OW144-$OX144</f>
        <v/>
      </c>
      <c r="OZ144" s="155">
        <f>IF($MQ144=0,0,INDEX($P$2:$P$8,MAX(1,$MQ144)))</f>
        <v/>
      </c>
      <c r="PA144" s="155">
        <f>$OZ144-$OU144+$OX144</f>
        <v/>
      </c>
      <c r="PB144" s="155">
        <f>IF($MQ144=0,MAX(0,$NE144-IF($OS144&gt;0,1,0)),MAX(0,$PA144))</f>
        <v/>
      </c>
      <c r="PC144" s="155">
        <f>IF($MQ144=0,0,(IF(COUNTIF($MV144:$MY144,"Salto")&gt;0,1,0)+IF(COUNTIF($MV144:$MY144,"Queima")&gt;0,1,0)+IF(COUNTIF($MV144:$MY144,"Estilhaço")&gt;0,1,0))*FLOOR($PB144/2,1))</f>
        <v/>
      </c>
      <c r="PD144" s="155">
        <f>MAX(0,2-SUMPRODUCT($OK144:$OP144,$I$2:$N$2)+MIN(2,$OQ144*1+$OR144*1,SUMPRODUCT($OK144:$OP144,$I$2:$N$2)))</f>
        <v/>
      </c>
      <c r="PE144" s="155">
        <f>MAX(0,4-SUMPRODUCT($OK144:$OP144,$I$3:$N$3)+MIN(4,$OQ144*1+$OR144*2,SUMPRODUCT($OK144:$OP144,$I$3:$N$3)))</f>
        <v/>
      </c>
      <c r="PF144" s="155">
        <f>MAX(0,6-SUMPRODUCT($OK144:$OP144,$I$4:$N$4)+MIN(6,$OQ144*2+$OR144*3,SUMPRODUCT($OK144:$OP144,$I$4:$N$4)))</f>
        <v/>
      </c>
      <c r="PG144" s="155">
        <f>MAX(0,9-SUMPRODUCT($OK144:$OP144,$I$5:$N$5)+MIN(8,$OQ144*2+$OR144*4,SUMPRODUCT($OK144:$OP144,$I$5:$N$5)))</f>
        <v/>
      </c>
      <c r="PH144" s="155">
        <f>MAX(0,11-SUMPRODUCT($OK144:$OP144,$I$6:$N$6)+MIN(10,$OQ144*3+$OR144*5,SUMPRODUCT($OK144:$OP144,$I$6:$N$6)))</f>
        <v/>
      </c>
      <c r="PI144" s="155">
        <f>MAX(0,13-SUMPRODUCT($OK144:$OP144,$I$7:$N$7)+MIN(12,$OQ144*3+$OR144*6,SUMPRODUCT($OK144:$OP144,$I$7:$N$7)))</f>
        <v/>
      </c>
      <c r="PJ144" s="155">
        <f>MAX(0,16-SUMPRODUCT($OK144:$OP144,$I$8:$N$8)+MIN(14,$OQ144*4+$OR144*7,SUMPRODUCT($OK144:$OP144,$I$8:$N$8)))</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peça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IFERROR(VLOOKUP($MV145,$AV$2:$BA$84,2,FALSE),"")</f>
        <v/>
      </c>
      <c r="NJ145" s="155">
        <f>IFERROR(VLOOKUP($MW145,$AV$2:$BA$84,2,FALSE),"")</f>
        <v/>
      </c>
      <c r="NK145" s="155">
        <f>IFERROR(VLOOKUP($MX145,$AV$2:$BA$84,2,FALSE),"")</f>
        <v/>
      </c>
      <c r="NL145" s="155">
        <f>IFERROR(VLOOKUP($MY145,$AV$2:$BA$84,2,FALSE),"")</f>
        <v/>
      </c>
      <c r="NM145" s="155">
        <f>IFERROR(VLOOKUP($MV145,$AV$2:$BA$84,3,FALSE),0)</f>
        <v/>
      </c>
      <c r="NN145" s="155">
        <f>IFERROR(VLOOKUP($MW145,$AV$2:$BA$84,3,FALSE),0)</f>
        <v/>
      </c>
      <c r="NO145" s="155">
        <f>IFERROR(VLOOKUP($MX145,$AV$2:$BA$84,3,FALSE),0)</f>
        <v/>
      </c>
      <c r="NP145" s="155">
        <f>IFERROR(VLOOKUP($MY145,$AV$2:$BA$84,3,FALSE),0)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IFERROR(VLOOKUP($MV145,$AV$2:$BA$84,4,FALSE),0)+IFERROR(VLOOKUP($MW145,$AV$2:$BA$84,4,FALSE),0)+IFERROR(VLOOKUP($MX145,$AV$2:$BA$84,4,FALSE),0)+IFERROR(VLOOKUP($MY145,$AV$2:$BA$84,4,FALSE),0)</f>
        <v/>
      </c>
      <c r="OB145" s="155">
        <f>IFERROR(VLOOKUP($MV145,$AV$2:$BA$84,6,FALSE),0)+IFERROR(VLOOKUP($MW145,$AV$2:$BA$84,6,FALSE),0)+IFERROR(VLOOKUP($MX145,$AV$2:$BA$84,6,FALSE),0)+IFERROR(VLOOKUP($MY145,$AV$2:$BA$84,6,FALSE),0)</f>
        <v/>
      </c>
      <c r="OC145" s="155">
        <f>TEXTJOIN(", ",TRUE,IF(IFERROR(VLOOKUP($MV145,$AV$2:$BA$84,5,FALSE),0)=1,$MV145,""),IF(IFERROR(VLOOKUP($MW145,$AV$2:$BA$84,5,FALSE),0)=1,$MW145,""),IF(IFERROR(VLOOKUP($MX145,$AV$2:$BA$84,5,FALSE),0)=1,$MX145,""),IF(IFERROR(VLOOKUP($MY145,$AV$2:$BA$84,5,FALSE),0)=1,$MY145,""))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f>
        <v/>
      </c>
      <c r="OY145" s="155">
        <f>$OW145-$OX145</f>
        <v/>
      </c>
      <c r="OZ145" s="155">
        <f>IF($MQ145=0,0,INDEX($P$2:$P$8,MAX(1,$MQ145)))</f>
        <v/>
      </c>
      <c r="PA145" s="155">
        <f>$OZ145-$OU145+$OX145</f>
        <v/>
      </c>
      <c r="PB145" s="155">
        <f>IF($MQ145=0,MAX(0,$NE145-IF($OS145&gt;0,1,0)),MAX(0,$PA145))</f>
        <v/>
      </c>
      <c r="PC145" s="155">
        <f>IF($MQ145=0,0,(IF(COUNTIF($MV145:$MY145,"Salto")&gt;0,1,0)+IF(COUNTIF($MV145:$MY145,"Queima")&gt;0,1,0)+IF(COUNTIF($MV145:$MY145,"Estilhaço")&gt;0,1,0))*FLOOR($PB145/2,1))</f>
        <v/>
      </c>
      <c r="PD145" s="155">
        <f>MAX(0,2-SUMPRODUCT($OK145:$OP145,$I$2:$N$2)+MIN(2,$OQ145*1+$OR145*1,SUMPRODUCT($OK145:$OP145,$I$2:$N$2)))</f>
        <v/>
      </c>
      <c r="PE145" s="155">
        <f>MAX(0,4-SUMPRODUCT($OK145:$OP145,$I$3:$N$3)+MIN(4,$OQ145*1+$OR145*2,SUMPRODUCT($OK145:$OP145,$I$3:$N$3)))</f>
        <v/>
      </c>
      <c r="PF145" s="155">
        <f>MAX(0,6-SUMPRODUCT($OK145:$OP145,$I$4:$N$4)+MIN(6,$OQ145*2+$OR145*3,SUMPRODUCT($OK145:$OP145,$I$4:$N$4)))</f>
        <v/>
      </c>
      <c r="PG145" s="155">
        <f>MAX(0,9-SUMPRODUCT($OK145:$OP145,$I$5:$N$5)+MIN(8,$OQ145*2+$OR145*4,SUMPRODUCT($OK145:$OP145,$I$5:$N$5)))</f>
        <v/>
      </c>
      <c r="PH145" s="155">
        <f>MAX(0,11-SUMPRODUCT($OK145:$OP145,$I$6:$N$6)+MIN(10,$OQ145*3+$OR145*5,SUMPRODUCT($OK145:$OP145,$I$6:$N$6)))</f>
        <v/>
      </c>
      <c r="PI145" s="155">
        <f>MAX(0,13-SUMPRODUCT($OK145:$OP145,$I$7:$N$7)+MIN(12,$OQ145*3+$OR145*6,SUMPRODUCT($OK145:$OP145,$I$7:$N$7)))</f>
        <v/>
      </c>
      <c r="PJ145" s="155">
        <f>MAX(0,16-SUMPRODUCT($OK145:$OP145,$I$8:$N$8)+MIN(14,$OQ145*4+$OR145*7,SUMPRODUCT($OK145:$OP145,$I$8:$N$8)))</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peça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IFERROR(VLOOKUP($MV146,$AV$2:$BA$84,2,FALSE),"")</f>
        <v/>
      </c>
      <c r="NJ146" s="155">
        <f>IFERROR(VLOOKUP($MW146,$AV$2:$BA$84,2,FALSE),"")</f>
        <v/>
      </c>
      <c r="NK146" s="155">
        <f>IFERROR(VLOOKUP($MX146,$AV$2:$BA$84,2,FALSE),"")</f>
        <v/>
      </c>
      <c r="NL146" s="155">
        <f>IFERROR(VLOOKUP($MY146,$AV$2:$BA$84,2,FALSE),"")</f>
        <v/>
      </c>
      <c r="NM146" s="155">
        <f>IFERROR(VLOOKUP($MV146,$AV$2:$BA$84,3,FALSE),0)</f>
        <v/>
      </c>
      <c r="NN146" s="155">
        <f>IFERROR(VLOOKUP($MW146,$AV$2:$BA$84,3,FALSE),0)</f>
        <v/>
      </c>
      <c r="NO146" s="155">
        <f>IFERROR(VLOOKUP($MX146,$AV$2:$BA$84,3,FALSE),0)</f>
        <v/>
      </c>
      <c r="NP146" s="155">
        <f>IFERROR(VLOOKUP($MY146,$AV$2:$BA$84,3,FALSE),0)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IFERROR(VLOOKUP($MV146,$AV$2:$BA$84,4,FALSE),0)+IFERROR(VLOOKUP($MW146,$AV$2:$BA$84,4,FALSE),0)+IFERROR(VLOOKUP($MX146,$AV$2:$BA$84,4,FALSE),0)+IFERROR(VLOOKUP($MY146,$AV$2:$BA$84,4,FALSE),0)</f>
        <v/>
      </c>
      <c r="OB146" s="155">
        <f>IFERROR(VLOOKUP($MV146,$AV$2:$BA$84,6,FALSE),0)+IFERROR(VLOOKUP($MW146,$AV$2:$BA$84,6,FALSE),0)+IFERROR(VLOOKUP($MX146,$AV$2:$BA$84,6,FALSE),0)+IFERROR(VLOOKUP($MY146,$AV$2:$BA$84,6,FALSE),0)</f>
        <v/>
      </c>
      <c r="OC146" s="155">
        <f>TEXTJOIN(", ",TRUE,IF(IFERROR(VLOOKUP($MV146,$AV$2:$BA$84,5,FALSE),0)=1,$MV146,""),IF(IFERROR(VLOOKUP($MW146,$AV$2:$BA$84,5,FALSE),0)=1,$MW146,""),IF(IFERROR(VLOOKUP($MX146,$AV$2:$BA$84,5,FALSE),0)=1,$MX146,""),IF(IFERROR(VLOOKUP($MY146,$AV$2:$BA$84,5,FALSE),0)=1,$MY146,""))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f>
        <v/>
      </c>
      <c r="OY146" s="155">
        <f>$OW146-$OX146</f>
        <v/>
      </c>
      <c r="OZ146" s="155">
        <f>IF($MQ146=0,0,INDEX($P$2:$P$8,MAX(1,$MQ146)))</f>
        <v/>
      </c>
      <c r="PA146" s="155">
        <f>$OZ146-$OU146+$OX146</f>
        <v/>
      </c>
      <c r="PB146" s="155">
        <f>IF($MQ146=0,MAX(0,$NE146-IF($OS146&gt;0,1,0)),MAX(0,$PA146))</f>
        <v/>
      </c>
      <c r="PC146" s="155">
        <f>IF($MQ146=0,0,(IF(COUNTIF($MV146:$MY146,"Salto")&gt;0,1,0)+IF(COUNTIF($MV146:$MY146,"Queima")&gt;0,1,0)+IF(COUNTIF($MV146:$MY146,"Estilhaço")&gt;0,1,0))*FLOOR($PB146/2,1))</f>
        <v/>
      </c>
      <c r="PD146" s="155">
        <f>MAX(0,2-SUMPRODUCT($OK146:$OP146,$I$2:$N$2)+MIN(2,$OQ146*1+$OR146*1,SUMPRODUCT($OK146:$OP146,$I$2:$N$2)))</f>
        <v/>
      </c>
      <c r="PE146" s="155">
        <f>MAX(0,4-SUMPRODUCT($OK146:$OP146,$I$3:$N$3)+MIN(4,$OQ146*1+$OR146*2,SUMPRODUCT($OK146:$OP146,$I$3:$N$3)))</f>
        <v/>
      </c>
      <c r="PF146" s="155">
        <f>MAX(0,6-SUMPRODUCT($OK146:$OP146,$I$4:$N$4)+MIN(6,$OQ146*2+$OR146*3,SUMPRODUCT($OK146:$OP146,$I$4:$N$4)))</f>
        <v/>
      </c>
      <c r="PG146" s="155">
        <f>MAX(0,9-SUMPRODUCT($OK146:$OP146,$I$5:$N$5)+MIN(8,$OQ146*2+$OR146*4,SUMPRODUCT($OK146:$OP146,$I$5:$N$5)))</f>
        <v/>
      </c>
      <c r="PH146" s="155">
        <f>MAX(0,11-SUMPRODUCT($OK146:$OP146,$I$6:$N$6)+MIN(10,$OQ146*3+$OR146*5,SUMPRODUCT($OK146:$OP146,$I$6:$N$6)))</f>
        <v/>
      </c>
      <c r="PI146" s="155">
        <f>MAX(0,13-SUMPRODUCT($OK146:$OP146,$I$7:$N$7)+MIN(12,$OQ146*3+$OR146*6,SUMPRODUCT($OK146:$OP146,$I$7:$N$7)))</f>
        <v/>
      </c>
      <c r="PJ146" s="155">
        <f>MAX(0,16-SUMPRODUCT($OK146:$OP146,$I$8:$N$8)+MIN(14,$OQ146*4+$OR146*7,SUMPRODUCT($OK146:$OP146,$I$8:$N$8)))</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peça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IFERROR(VLOOKUP($MV147,$AV$2:$BA$84,2,FALSE),"")</f>
        <v/>
      </c>
      <c r="NJ147" s="155">
        <f>IFERROR(VLOOKUP($MW147,$AV$2:$BA$84,2,FALSE),"")</f>
        <v/>
      </c>
      <c r="NK147" s="155">
        <f>IFERROR(VLOOKUP($MX147,$AV$2:$BA$84,2,FALSE),"")</f>
        <v/>
      </c>
      <c r="NL147" s="155">
        <f>IFERROR(VLOOKUP($MY147,$AV$2:$BA$84,2,FALSE),"")</f>
        <v/>
      </c>
      <c r="NM147" s="155">
        <f>IFERROR(VLOOKUP($MV147,$AV$2:$BA$84,3,FALSE),0)</f>
        <v/>
      </c>
      <c r="NN147" s="155">
        <f>IFERROR(VLOOKUP($MW147,$AV$2:$BA$84,3,FALSE),0)</f>
        <v/>
      </c>
      <c r="NO147" s="155">
        <f>IFERROR(VLOOKUP($MX147,$AV$2:$BA$84,3,FALSE),0)</f>
        <v/>
      </c>
      <c r="NP147" s="155">
        <f>IFERROR(VLOOKUP($MY147,$AV$2:$BA$84,3,FALSE),0)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IFERROR(VLOOKUP($MV147,$AV$2:$BA$84,4,FALSE),0)+IFERROR(VLOOKUP($MW147,$AV$2:$BA$84,4,FALSE),0)+IFERROR(VLOOKUP($MX147,$AV$2:$BA$84,4,FALSE),0)+IFERROR(VLOOKUP($MY147,$AV$2:$BA$84,4,FALSE),0)</f>
        <v/>
      </c>
      <c r="OB147" s="155">
        <f>IFERROR(VLOOKUP($MV147,$AV$2:$BA$84,6,FALSE),0)+IFERROR(VLOOKUP($MW147,$AV$2:$BA$84,6,FALSE),0)+IFERROR(VLOOKUP($MX147,$AV$2:$BA$84,6,FALSE),0)+IFERROR(VLOOKUP($MY147,$AV$2:$BA$84,6,FALSE),0)</f>
        <v/>
      </c>
      <c r="OC147" s="155">
        <f>TEXTJOIN(", ",TRUE,IF(IFERROR(VLOOKUP($MV147,$AV$2:$BA$84,5,FALSE),0)=1,$MV147,""),IF(IFERROR(VLOOKUP($MW147,$AV$2:$BA$84,5,FALSE),0)=1,$MW147,""),IF(IFERROR(VLOOKUP($MX147,$AV$2:$BA$84,5,FALSE),0)=1,$MX147,""),IF(IFERROR(VLOOKUP($MY147,$AV$2:$BA$84,5,FALSE),0)=1,$MY147,""))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f>
        <v/>
      </c>
      <c r="OY147" s="155">
        <f>$OW147-$OX147</f>
        <v/>
      </c>
      <c r="OZ147" s="155">
        <f>IF($MQ147=0,0,INDEX($P$2:$P$8,MAX(1,$MQ147)))</f>
        <v/>
      </c>
      <c r="PA147" s="155">
        <f>$OZ147-$OU147+$OX147</f>
        <v/>
      </c>
      <c r="PB147" s="155">
        <f>IF($MQ147=0,MAX(0,$NE147-IF($OS147&gt;0,1,0)),MAX(0,$PA147))</f>
        <v/>
      </c>
      <c r="PC147" s="155">
        <f>IF($MQ147=0,0,(IF(COUNTIF($MV147:$MY147,"Salto")&gt;0,1,0)+IF(COUNTIF($MV147:$MY147,"Queima")&gt;0,1,0)+IF(COUNTIF($MV147:$MY147,"Estilhaço")&gt;0,1,0))*FLOOR($PB147/2,1))</f>
        <v/>
      </c>
      <c r="PD147" s="155">
        <f>MAX(0,2-SUMPRODUCT($OK147:$OP147,$I$2:$N$2)+MIN(2,$OQ147*1+$OR147*1,SUMPRODUCT($OK147:$OP147,$I$2:$N$2)))</f>
        <v/>
      </c>
      <c r="PE147" s="155">
        <f>MAX(0,4-SUMPRODUCT($OK147:$OP147,$I$3:$N$3)+MIN(4,$OQ147*1+$OR147*2,SUMPRODUCT($OK147:$OP147,$I$3:$N$3)))</f>
        <v/>
      </c>
      <c r="PF147" s="155">
        <f>MAX(0,6-SUMPRODUCT($OK147:$OP147,$I$4:$N$4)+MIN(6,$OQ147*2+$OR147*3,SUMPRODUCT($OK147:$OP147,$I$4:$N$4)))</f>
        <v/>
      </c>
      <c r="PG147" s="155">
        <f>MAX(0,9-SUMPRODUCT($OK147:$OP147,$I$5:$N$5)+MIN(8,$OQ147*2+$OR147*4,SUMPRODUCT($OK147:$OP147,$I$5:$N$5)))</f>
        <v/>
      </c>
      <c r="PH147" s="155">
        <f>MAX(0,11-SUMPRODUCT($OK147:$OP147,$I$6:$N$6)+MIN(10,$OQ147*3+$OR147*5,SUMPRODUCT($OK147:$OP147,$I$6:$N$6)))</f>
        <v/>
      </c>
      <c r="PI147" s="155">
        <f>MAX(0,13-SUMPRODUCT($OK147:$OP147,$I$7:$N$7)+MIN(12,$OQ147*3+$OR147*6,SUMPRODUCT($OK147:$OP147,$I$7:$N$7)))</f>
        <v/>
      </c>
      <c r="PJ147" s="155">
        <f>MAX(0,16-SUMPRODUCT($OK147:$OP147,$I$8:$N$8)+MIN(14,$OQ147*4+$OR147*7,SUMPRODUCT($OK147:$OP147,$I$8:$N$8)))</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peça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IFERROR(VLOOKUP($MV148,$AV$2:$BA$84,2,FALSE),"")</f>
        <v/>
      </c>
      <c r="NJ148" s="155">
        <f>IFERROR(VLOOKUP($MW148,$AV$2:$BA$84,2,FALSE),"")</f>
        <v/>
      </c>
      <c r="NK148" s="155">
        <f>IFERROR(VLOOKUP($MX148,$AV$2:$BA$84,2,FALSE),"")</f>
        <v/>
      </c>
      <c r="NL148" s="155">
        <f>IFERROR(VLOOKUP($MY148,$AV$2:$BA$84,2,FALSE),"")</f>
        <v/>
      </c>
      <c r="NM148" s="155">
        <f>IFERROR(VLOOKUP($MV148,$AV$2:$BA$84,3,FALSE),0)</f>
        <v/>
      </c>
      <c r="NN148" s="155">
        <f>IFERROR(VLOOKUP($MW148,$AV$2:$BA$84,3,FALSE),0)</f>
        <v/>
      </c>
      <c r="NO148" s="155">
        <f>IFERROR(VLOOKUP($MX148,$AV$2:$BA$84,3,FALSE),0)</f>
        <v/>
      </c>
      <c r="NP148" s="155">
        <f>IFERROR(VLOOKUP($MY148,$AV$2:$BA$84,3,FALSE),0)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IFERROR(VLOOKUP($MV148,$AV$2:$BA$84,4,FALSE),0)+IFERROR(VLOOKUP($MW148,$AV$2:$BA$84,4,FALSE),0)+IFERROR(VLOOKUP($MX148,$AV$2:$BA$84,4,FALSE),0)+IFERROR(VLOOKUP($MY148,$AV$2:$BA$84,4,FALSE),0)</f>
        <v/>
      </c>
      <c r="OB148" s="155">
        <f>IFERROR(VLOOKUP($MV148,$AV$2:$BA$84,6,FALSE),0)+IFERROR(VLOOKUP($MW148,$AV$2:$BA$84,6,FALSE),0)+IFERROR(VLOOKUP($MX148,$AV$2:$BA$84,6,FALSE),0)+IFERROR(VLOOKUP($MY148,$AV$2:$BA$84,6,FALSE),0)</f>
        <v/>
      </c>
      <c r="OC148" s="155">
        <f>TEXTJOIN(", ",TRUE,IF(IFERROR(VLOOKUP($MV148,$AV$2:$BA$84,5,FALSE),0)=1,$MV148,""),IF(IFERROR(VLOOKUP($MW148,$AV$2:$BA$84,5,FALSE),0)=1,$MW148,""),IF(IFERROR(VLOOKUP($MX148,$AV$2:$BA$84,5,FALSE),0)=1,$MX148,""),IF(IFERROR(VLOOKUP($MY148,$AV$2:$BA$84,5,FALSE),0)=1,$MY148,""))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f>
        <v/>
      </c>
      <c r="OY148" s="155">
        <f>$OW148-$OX148</f>
        <v/>
      </c>
      <c r="OZ148" s="155">
        <f>IF($MQ148=0,0,INDEX($P$2:$P$8,MAX(1,$MQ148)))</f>
        <v/>
      </c>
      <c r="PA148" s="155">
        <f>$OZ148-$OU148+$OX148</f>
        <v/>
      </c>
      <c r="PB148" s="155">
        <f>IF($MQ148=0,MAX(0,$NE148-IF($OS148&gt;0,1,0)),MAX(0,$PA148))</f>
        <v/>
      </c>
      <c r="PC148" s="155">
        <f>IF($MQ148=0,0,(IF(COUNTIF($MV148:$MY148,"Salto")&gt;0,1,0)+IF(COUNTIF($MV148:$MY148,"Queima")&gt;0,1,0)+IF(COUNTIF($MV148:$MY148,"Estilhaço")&gt;0,1,0))*FLOOR($PB148/2,1))</f>
        <v/>
      </c>
      <c r="PD148" s="155">
        <f>MAX(0,2-SUMPRODUCT($OK148:$OP148,$I$2:$N$2)+MIN(2,$OQ148*1+$OR148*1,SUMPRODUCT($OK148:$OP148,$I$2:$N$2)))</f>
        <v/>
      </c>
      <c r="PE148" s="155">
        <f>MAX(0,4-SUMPRODUCT($OK148:$OP148,$I$3:$N$3)+MIN(4,$OQ148*1+$OR148*2,SUMPRODUCT($OK148:$OP148,$I$3:$N$3)))</f>
        <v/>
      </c>
      <c r="PF148" s="155">
        <f>MAX(0,6-SUMPRODUCT($OK148:$OP148,$I$4:$N$4)+MIN(6,$OQ148*2+$OR148*3,SUMPRODUCT($OK148:$OP148,$I$4:$N$4)))</f>
        <v/>
      </c>
      <c r="PG148" s="155">
        <f>MAX(0,9-SUMPRODUCT($OK148:$OP148,$I$5:$N$5)+MIN(8,$OQ148*2+$OR148*4,SUMPRODUCT($OK148:$OP148,$I$5:$N$5)))</f>
        <v/>
      </c>
      <c r="PH148" s="155">
        <f>MAX(0,11-SUMPRODUCT($OK148:$OP148,$I$6:$N$6)+MIN(10,$OQ148*3+$OR148*5,SUMPRODUCT($OK148:$OP148,$I$6:$N$6)))</f>
        <v/>
      </c>
      <c r="PI148" s="155">
        <f>MAX(0,13-SUMPRODUCT($OK148:$OP148,$I$7:$N$7)+MIN(12,$OQ148*3+$OR148*6,SUMPRODUCT($OK148:$OP148,$I$7:$N$7)))</f>
        <v/>
      </c>
      <c r="PJ148" s="155">
        <f>MAX(0,16-SUMPRODUCT($OK148:$OP148,$I$8:$N$8)+MIN(14,$OQ148*4+$OR148*7,SUMPRODUCT($OK148:$OP148,$I$8:$N$8)))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peça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IFERROR(VLOOKUP($MV149,$AV$2:$BA$84,2,FALSE),"")</f>
        <v/>
      </c>
      <c r="NJ149" s="155">
        <f>IFERROR(VLOOKUP($MW149,$AV$2:$BA$84,2,FALSE),"")</f>
        <v/>
      </c>
      <c r="NK149" s="155">
        <f>IFERROR(VLOOKUP($MX149,$AV$2:$BA$84,2,FALSE),"")</f>
        <v/>
      </c>
      <c r="NL149" s="155">
        <f>IFERROR(VLOOKUP($MY149,$AV$2:$BA$84,2,FALSE),"")</f>
        <v/>
      </c>
      <c r="NM149" s="155">
        <f>IFERROR(VLOOKUP($MV149,$AV$2:$BA$84,3,FALSE),0)</f>
        <v/>
      </c>
      <c r="NN149" s="155">
        <f>IFERROR(VLOOKUP($MW149,$AV$2:$BA$84,3,FALSE),0)</f>
        <v/>
      </c>
      <c r="NO149" s="155">
        <f>IFERROR(VLOOKUP($MX149,$AV$2:$BA$84,3,FALSE),0)</f>
        <v/>
      </c>
      <c r="NP149" s="155">
        <f>IFERROR(VLOOKUP($MY149,$AV$2:$BA$84,3,FALSE),0)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IFERROR(VLOOKUP($MV149,$AV$2:$BA$84,4,FALSE),0)+IFERROR(VLOOKUP($MW149,$AV$2:$BA$84,4,FALSE),0)+IFERROR(VLOOKUP($MX149,$AV$2:$BA$84,4,FALSE),0)+IFERROR(VLOOKUP($MY149,$AV$2:$BA$84,4,FALSE),0)</f>
        <v/>
      </c>
      <c r="OB149" s="155">
        <f>IFERROR(VLOOKUP($MV149,$AV$2:$BA$84,6,FALSE),0)+IFERROR(VLOOKUP($MW149,$AV$2:$BA$84,6,FALSE),0)+IFERROR(VLOOKUP($MX149,$AV$2:$BA$84,6,FALSE),0)+IFERROR(VLOOKUP($MY149,$AV$2:$BA$84,6,FALSE),0)</f>
        <v/>
      </c>
      <c r="OC149" s="155">
        <f>TEXTJOIN(", ",TRUE,IF(IFERROR(VLOOKUP($MV149,$AV$2:$BA$84,5,FALSE),0)=1,$MV149,""),IF(IFERROR(VLOOKUP($MW149,$AV$2:$BA$84,5,FALSE),0)=1,$MW149,""),IF(IFERROR(VLOOKUP($MX149,$AV$2:$BA$84,5,FALSE),0)=1,$MX149,""),IF(IFERROR(VLOOKUP($MY149,$AV$2:$BA$84,5,FALSE),0)=1,$MY149,""))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f>
        <v/>
      </c>
      <c r="OY149" s="155">
        <f>$OW149-$OX149</f>
        <v/>
      </c>
      <c r="OZ149" s="155">
        <f>IF($MQ149=0,0,INDEX($P$2:$P$8,MAX(1,$MQ149)))</f>
        <v/>
      </c>
      <c r="PA149" s="155">
        <f>$OZ149-$OU149+$OX149</f>
        <v/>
      </c>
      <c r="PB149" s="155">
        <f>IF($MQ149=0,MAX(0,$NE149-IF($OS149&gt;0,1,0)),MAX(0,$PA149))</f>
        <v/>
      </c>
      <c r="PC149" s="155">
        <f>IF($MQ149=0,0,(IF(COUNTIF($MV149:$MY149,"Salto")&gt;0,1,0)+IF(COUNTIF($MV149:$MY149,"Queima")&gt;0,1,0)+IF(COUNTIF($MV149:$MY149,"Estilhaço")&gt;0,1,0))*FLOOR($PB149/2,1))</f>
        <v/>
      </c>
      <c r="PD149" s="155">
        <f>MAX(0,2-SUMPRODUCT($OK149:$OP149,$I$2:$N$2)+MIN(2,$OQ149*1+$OR149*1,SUMPRODUCT($OK149:$OP149,$I$2:$N$2)))</f>
        <v/>
      </c>
      <c r="PE149" s="155">
        <f>MAX(0,4-SUMPRODUCT($OK149:$OP149,$I$3:$N$3)+MIN(4,$OQ149*1+$OR149*2,SUMPRODUCT($OK149:$OP149,$I$3:$N$3)))</f>
        <v/>
      </c>
      <c r="PF149" s="155">
        <f>MAX(0,6-SUMPRODUCT($OK149:$OP149,$I$4:$N$4)+MIN(6,$OQ149*2+$OR149*3,SUMPRODUCT($OK149:$OP149,$I$4:$N$4)))</f>
        <v/>
      </c>
      <c r="PG149" s="155">
        <f>MAX(0,9-SUMPRODUCT($OK149:$OP149,$I$5:$N$5)+MIN(8,$OQ149*2+$OR149*4,SUMPRODUCT($OK149:$OP149,$I$5:$N$5)))</f>
        <v/>
      </c>
      <c r="PH149" s="155">
        <f>MAX(0,11-SUMPRODUCT($OK149:$OP149,$I$6:$N$6)+MIN(10,$OQ149*3+$OR149*5,SUMPRODUCT($OK149:$OP149,$I$6:$N$6)))</f>
        <v/>
      </c>
      <c r="PI149" s="155">
        <f>MAX(0,13-SUMPRODUCT($OK149:$OP149,$I$7:$N$7)+MIN(12,$OQ149*3+$OR149*6,SUMPRODUCT($OK149:$OP149,$I$7:$N$7)))</f>
        <v/>
      </c>
      <c r="PJ149" s="155">
        <f>MAX(0,16-SUMPRODUCT($OK149:$OP149,$I$8:$N$8)+MIN(14,$OQ149*4+$OR149*7,SUMPRODUCT($OK149:$OP149,$I$8:$N$8)))</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peça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IFERROR(VLOOKUP($MV150,$AV$2:$BA$84,2,FALSE),"")</f>
        <v/>
      </c>
      <c r="NJ150" s="155">
        <f>IFERROR(VLOOKUP($MW150,$AV$2:$BA$84,2,FALSE),"")</f>
        <v/>
      </c>
      <c r="NK150" s="155">
        <f>IFERROR(VLOOKUP($MX150,$AV$2:$BA$84,2,FALSE),"")</f>
        <v/>
      </c>
      <c r="NL150" s="155">
        <f>IFERROR(VLOOKUP($MY150,$AV$2:$BA$84,2,FALSE),"")</f>
        <v/>
      </c>
      <c r="NM150" s="155">
        <f>IFERROR(VLOOKUP($MV150,$AV$2:$BA$84,3,FALSE),0)</f>
        <v/>
      </c>
      <c r="NN150" s="155">
        <f>IFERROR(VLOOKUP($MW150,$AV$2:$BA$84,3,FALSE),0)</f>
        <v/>
      </c>
      <c r="NO150" s="155">
        <f>IFERROR(VLOOKUP($MX150,$AV$2:$BA$84,3,FALSE),0)</f>
        <v/>
      </c>
      <c r="NP150" s="155">
        <f>IFERROR(VLOOKUP($MY150,$AV$2:$BA$84,3,FALSE),0)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IFERROR(VLOOKUP($MV150,$AV$2:$BA$84,4,FALSE),0)+IFERROR(VLOOKUP($MW150,$AV$2:$BA$84,4,FALSE),0)+IFERROR(VLOOKUP($MX150,$AV$2:$BA$84,4,FALSE),0)+IFERROR(VLOOKUP($MY150,$AV$2:$BA$84,4,FALSE),0)</f>
        <v/>
      </c>
      <c r="OB150" s="155">
        <f>IFERROR(VLOOKUP($MV150,$AV$2:$BA$84,6,FALSE),0)+IFERROR(VLOOKUP($MW150,$AV$2:$BA$84,6,FALSE),0)+IFERROR(VLOOKUP($MX150,$AV$2:$BA$84,6,FALSE),0)+IFERROR(VLOOKUP($MY150,$AV$2:$BA$84,6,FALSE),0)</f>
        <v/>
      </c>
      <c r="OC150" s="155">
        <f>TEXTJOIN(", ",TRUE,IF(IFERROR(VLOOKUP($MV150,$AV$2:$BA$84,5,FALSE),0)=1,$MV150,""),IF(IFERROR(VLOOKUP($MW150,$AV$2:$BA$84,5,FALSE),0)=1,$MW150,""),IF(IFERROR(VLOOKUP($MX150,$AV$2:$BA$84,5,FALSE),0)=1,$MX150,""),IF(IFERROR(VLOOKUP($MY150,$AV$2:$BA$84,5,FALSE),0)=1,$MY150,""))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f>
        <v/>
      </c>
      <c r="OY150" s="155">
        <f>$OW150-$OX150</f>
        <v/>
      </c>
      <c r="OZ150" s="155">
        <f>IF($MQ150=0,0,INDEX($P$2:$P$8,MAX(1,$MQ150)))</f>
        <v/>
      </c>
      <c r="PA150" s="155">
        <f>$OZ150-$OU150+$OX150</f>
        <v/>
      </c>
      <c r="PB150" s="155">
        <f>IF($MQ150=0,MAX(0,$NE150-IF($OS150&gt;0,1,0)),MAX(0,$PA150))</f>
        <v/>
      </c>
      <c r="PC150" s="155">
        <f>IF($MQ150=0,0,(IF(COUNTIF($MV150:$MY150,"Salto")&gt;0,1,0)+IF(COUNTIF($MV150:$MY150,"Queima")&gt;0,1,0)+IF(COUNTIF($MV150:$MY150,"Estilhaço")&gt;0,1,0))*FLOOR($PB150/2,1))</f>
        <v/>
      </c>
      <c r="PD150" s="155">
        <f>MAX(0,2-SUMPRODUCT($OK150:$OP150,$I$2:$N$2)+MIN(2,$OQ150*1+$OR150*1,SUMPRODUCT($OK150:$OP150,$I$2:$N$2)))</f>
        <v/>
      </c>
      <c r="PE150" s="155">
        <f>MAX(0,4-SUMPRODUCT($OK150:$OP150,$I$3:$N$3)+MIN(4,$OQ150*1+$OR150*2,SUMPRODUCT($OK150:$OP150,$I$3:$N$3)))</f>
        <v/>
      </c>
      <c r="PF150" s="155">
        <f>MAX(0,6-SUMPRODUCT($OK150:$OP150,$I$4:$N$4)+MIN(6,$OQ150*2+$OR150*3,SUMPRODUCT($OK150:$OP150,$I$4:$N$4)))</f>
        <v/>
      </c>
      <c r="PG150" s="155">
        <f>MAX(0,9-SUMPRODUCT($OK150:$OP150,$I$5:$N$5)+MIN(8,$OQ150*2+$OR150*4,SUMPRODUCT($OK150:$OP150,$I$5:$N$5)))</f>
        <v/>
      </c>
      <c r="PH150" s="155">
        <f>MAX(0,11-SUMPRODUCT($OK150:$OP150,$I$6:$N$6)+MIN(10,$OQ150*3+$OR150*5,SUMPRODUCT($OK150:$OP150,$I$6:$N$6)))</f>
        <v/>
      </c>
      <c r="PI150" s="155">
        <f>MAX(0,13-SUMPRODUCT($OK150:$OP150,$I$7:$N$7)+MIN(12,$OQ150*3+$OR150*6,SUMPRODUCT($OK150:$OP150,$I$7:$N$7)))</f>
        <v/>
      </c>
      <c r="PJ150" s="155">
        <f>MAX(0,16-SUMPRODUCT($OK150:$OP150,$I$8:$N$8)+MIN(14,$OQ150*4+$OR150*7,SUMPRODUCT($OK150:$OP150,$I$8:$N$8)))</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peça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IFERROR(VLOOKUP($MV151,$AV$2:$BA$84,2,FALSE),"")</f>
        <v/>
      </c>
      <c r="NJ151" s="155">
        <f>IFERROR(VLOOKUP($MW151,$AV$2:$BA$84,2,FALSE),"")</f>
        <v/>
      </c>
      <c r="NK151" s="155">
        <f>IFERROR(VLOOKUP($MX151,$AV$2:$BA$84,2,FALSE),"")</f>
        <v/>
      </c>
      <c r="NL151" s="155">
        <f>IFERROR(VLOOKUP($MY151,$AV$2:$BA$84,2,FALSE),"")</f>
        <v/>
      </c>
      <c r="NM151" s="155">
        <f>IFERROR(VLOOKUP($MV151,$AV$2:$BA$84,3,FALSE),0)</f>
        <v/>
      </c>
      <c r="NN151" s="155">
        <f>IFERROR(VLOOKUP($MW151,$AV$2:$BA$84,3,FALSE),0)</f>
        <v/>
      </c>
      <c r="NO151" s="155">
        <f>IFERROR(VLOOKUP($MX151,$AV$2:$BA$84,3,FALSE),0)</f>
        <v/>
      </c>
      <c r="NP151" s="155">
        <f>IFERROR(VLOOKUP($MY151,$AV$2:$BA$84,3,FALSE),0)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IFERROR(VLOOKUP($MV151,$AV$2:$BA$84,4,FALSE),0)+IFERROR(VLOOKUP($MW151,$AV$2:$BA$84,4,FALSE),0)+IFERROR(VLOOKUP($MX151,$AV$2:$BA$84,4,FALSE),0)+IFERROR(VLOOKUP($MY151,$AV$2:$BA$84,4,FALSE),0)</f>
        <v/>
      </c>
      <c r="OB151" s="155">
        <f>IFERROR(VLOOKUP($MV151,$AV$2:$BA$84,6,FALSE),0)+IFERROR(VLOOKUP($MW151,$AV$2:$BA$84,6,FALSE),0)+IFERROR(VLOOKUP($MX151,$AV$2:$BA$84,6,FALSE),0)+IFERROR(VLOOKUP($MY151,$AV$2:$BA$84,6,FALSE),0)</f>
        <v/>
      </c>
      <c r="OC151" s="155">
        <f>TEXTJOIN(", ",TRUE,IF(IFERROR(VLOOKUP($MV151,$AV$2:$BA$84,5,FALSE),0)=1,$MV151,""),IF(IFERROR(VLOOKUP($MW151,$AV$2:$BA$84,5,FALSE),0)=1,$MW151,""),IF(IFERROR(VLOOKUP($MX151,$AV$2:$BA$84,5,FALSE),0)=1,$MX151,""),IF(IFERROR(VLOOKUP($MY151,$AV$2:$BA$84,5,FALSE),0)=1,$MY151,""))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f>
        <v/>
      </c>
      <c r="OY151" s="155">
        <f>$OW151-$OX151</f>
        <v/>
      </c>
      <c r="OZ151" s="155">
        <f>IF($MQ151=0,0,INDEX($P$2:$P$8,MAX(1,$MQ151)))</f>
        <v/>
      </c>
      <c r="PA151" s="155">
        <f>$OZ151-$OU151+$OX151</f>
        <v/>
      </c>
      <c r="PB151" s="155">
        <f>IF($MQ151=0,MAX(0,$NE151-IF($OS151&gt;0,1,0)),MAX(0,$PA151))</f>
        <v/>
      </c>
      <c r="PC151" s="155">
        <f>IF($MQ151=0,0,(IF(COUNTIF($MV151:$MY151,"Salto")&gt;0,1,0)+IF(COUNTIF($MV151:$MY151,"Queima")&gt;0,1,0)+IF(COUNTIF($MV151:$MY151,"Estilhaço")&gt;0,1,0))*FLOOR($PB151/2,1))</f>
        <v/>
      </c>
      <c r="PD151" s="155">
        <f>MAX(0,2-SUMPRODUCT($OK151:$OP151,$I$2:$N$2)+MIN(2,$OQ151*1+$OR151*1,SUMPRODUCT($OK151:$OP151,$I$2:$N$2)))</f>
        <v/>
      </c>
      <c r="PE151" s="155">
        <f>MAX(0,4-SUMPRODUCT($OK151:$OP151,$I$3:$N$3)+MIN(4,$OQ151*1+$OR151*2,SUMPRODUCT($OK151:$OP151,$I$3:$N$3)))</f>
        <v/>
      </c>
      <c r="PF151" s="155">
        <f>MAX(0,6-SUMPRODUCT($OK151:$OP151,$I$4:$N$4)+MIN(6,$OQ151*2+$OR151*3,SUMPRODUCT($OK151:$OP151,$I$4:$N$4)))</f>
        <v/>
      </c>
      <c r="PG151" s="155">
        <f>MAX(0,9-SUMPRODUCT($OK151:$OP151,$I$5:$N$5)+MIN(8,$OQ151*2+$OR151*4,SUMPRODUCT($OK151:$OP151,$I$5:$N$5)))</f>
        <v/>
      </c>
      <c r="PH151" s="155">
        <f>MAX(0,11-SUMPRODUCT($OK151:$OP151,$I$6:$N$6)+MIN(10,$OQ151*3+$OR151*5,SUMPRODUCT($OK151:$OP151,$I$6:$N$6)))</f>
        <v/>
      </c>
      <c r="PI151" s="155">
        <f>MAX(0,13-SUMPRODUCT($OK151:$OP151,$I$7:$N$7)+MIN(12,$OQ151*3+$OR151*6,SUMPRODUCT($OK151:$OP151,$I$7:$N$7)))</f>
        <v/>
      </c>
      <c r="PJ151" s="155">
        <f>MAX(0,16-SUMPRODUCT($OK151:$OP151,$I$8:$N$8)+MIN(14,$OQ151*4+$OR151*7,SUMPRODUCT($OK151:$OP151,$I$8:$N$8)))</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peça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IFERROR(VLOOKUP($MV152,$AV$2:$BA$84,2,FALSE),"")</f>
        <v/>
      </c>
      <c r="NJ152" s="155">
        <f>IFERROR(VLOOKUP($MW152,$AV$2:$BA$84,2,FALSE),"")</f>
        <v/>
      </c>
      <c r="NK152" s="155">
        <f>IFERROR(VLOOKUP($MX152,$AV$2:$BA$84,2,FALSE),"")</f>
        <v/>
      </c>
      <c r="NL152" s="155">
        <f>IFERROR(VLOOKUP($MY152,$AV$2:$BA$84,2,FALSE),"")</f>
        <v/>
      </c>
      <c r="NM152" s="155">
        <f>IFERROR(VLOOKUP($MV152,$AV$2:$BA$84,3,FALSE),0)</f>
        <v/>
      </c>
      <c r="NN152" s="155">
        <f>IFERROR(VLOOKUP($MW152,$AV$2:$BA$84,3,FALSE),0)</f>
        <v/>
      </c>
      <c r="NO152" s="155">
        <f>IFERROR(VLOOKUP($MX152,$AV$2:$BA$84,3,FALSE),0)</f>
        <v/>
      </c>
      <c r="NP152" s="155">
        <f>IFERROR(VLOOKUP($MY152,$AV$2:$BA$84,3,FALSE),0)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IFERROR(VLOOKUP($MV152,$AV$2:$BA$84,4,FALSE),0)+IFERROR(VLOOKUP($MW152,$AV$2:$BA$84,4,FALSE),0)+IFERROR(VLOOKUP($MX152,$AV$2:$BA$84,4,FALSE),0)+IFERROR(VLOOKUP($MY152,$AV$2:$BA$84,4,FALSE),0)</f>
        <v/>
      </c>
      <c r="OB152" s="155">
        <f>IFERROR(VLOOKUP($MV152,$AV$2:$BA$84,6,FALSE),0)+IFERROR(VLOOKUP($MW152,$AV$2:$BA$84,6,FALSE),0)+IFERROR(VLOOKUP($MX152,$AV$2:$BA$84,6,FALSE),0)+IFERROR(VLOOKUP($MY152,$AV$2:$BA$84,6,FALSE),0)</f>
        <v/>
      </c>
      <c r="OC152" s="155">
        <f>TEXTJOIN(", ",TRUE,IF(IFERROR(VLOOKUP($MV152,$AV$2:$BA$84,5,FALSE),0)=1,$MV152,""),IF(IFERROR(VLOOKUP($MW152,$AV$2:$BA$84,5,FALSE),0)=1,$MW152,""),IF(IFERROR(VLOOKUP($MX152,$AV$2:$BA$84,5,FALSE),0)=1,$MX152,""),IF(IFERROR(VLOOKUP($MY152,$AV$2:$BA$84,5,FALSE),0)=1,$MY152,""))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f>
        <v/>
      </c>
      <c r="OY152" s="155">
        <f>$OW152-$OX152</f>
        <v/>
      </c>
      <c r="OZ152" s="155">
        <f>IF($MQ152=0,0,INDEX($P$2:$P$8,MAX(1,$MQ152)))</f>
        <v/>
      </c>
      <c r="PA152" s="155">
        <f>$OZ152-$OU152+$OX152</f>
        <v/>
      </c>
      <c r="PB152" s="155">
        <f>IF($MQ152=0,MAX(0,$NE152-IF($OS152&gt;0,1,0)),MAX(0,$PA152))</f>
        <v/>
      </c>
      <c r="PC152" s="155">
        <f>IF($MQ152=0,0,(IF(COUNTIF($MV152:$MY152,"Salto")&gt;0,1,0)+IF(COUNTIF($MV152:$MY152,"Queima")&gt;0,1,0)+IF(COUNTIF($MV152:$MY152,"Estilhaço")&gt;0,1,0))*FLOOR($PB152/2,1))</f>
        <v/>
      </c>
      <c r="PD152" s="155">
        <f>MAX(0,2-SUMPRODUCT($OK152:$OP152,$I$2:$N$2)+MIN(2,$OQ152*1+$OR152*1,SUMPRODUCT($OK152:$OP152,$I$2:$N$2)))</f>
        <v/>
      </c>
      <c r="PE152" s="155">
        <f>MAX(0,4-SUMPRODUCT($OK152:$OP152,$I$3:$N$3)+MIN(4,$OQ152*1+$OR152*2,SUMPRODUCT($OK152:$OP152,$I$3:$N$3)))</f>
        <v/>
      </c>
      <c r="PF152" s="155">
        <f>MAX(0,6-SUMPRODUCT($OK152:$OP152,$I$4:$N$4)+MIN(6,$OQ152*2+$OR152*3,SUMPRODUCT($OK152:$OP152,$I$4:$N$4)))</f>
        <v/>
      </c>
      <c r="PG152" s="155">
        <f>MAX(0,9-SUMPRODUCT($OK152:$OP152,$I$5:$N$5)+MIN(8,$OQ152*2+$OR152*4,SUMPRODUCT($OK152:$OP152,$I$5:$N$5)))</f>
        <v/>
      </c>
      <c r="PH152" s="155">
        <f>MAX(0,11-SUMPRODUCT($OK152:$OP152,$I$6:$N$6)+MIN(10,$OQ152*3+$OR152*5,SUMPRODUCT($OK152:$OP152,$I$6:$N$6)))</f>
        <v/>
      </c>
      <c r="PI152" s="155">
        <f>MAX(0,13-SUMPRODUCT($OK152:$OP152,$I$7:$N$7)+MIN(12,$OQ152*3+$OR152*6,SUMPRODUCT($OK152:$OP152,$I$7:$N$7)))</f>
        <v/>
      </c>
      <c r="PJ152" s="155">
        <f>MAX(0,16-SUMPRODUCT($OK152:$OP152,$I$8:$N$8)+MIN(14,$OQ152*4+$OR152*7,SUMPRODUCT($OK152:$OP152,$I$8:$N$8)))</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peça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IFERROR(VLOOKUP($MV153,$AV$2:$BA$84,2,FALSE),"")</f>
        <v/>
      </c>
      <c r="NJ153" s="155">
        <f>IFERROR(VLOOKUP($MW153,$AV$2:$BA$84,2,FALSE),"")</f>
        <v/>
      </c>
      <c r="NK153" s="155">
        <f>IFERROR(VLOOKUP($MX153,$AV$2:$BA$84,2,FALSE),"")</f>
        <v/>
      </c>
      <c r="NL153" s="155">
        <f>IFERROR(VLOOKUP($MY153,$AV$2:$BA$84,2,FALSE),"")</f>
        <v/>
      </c>
      <c r="NM153" s="155">
        <f>IFERROR(VLOOKUP($MV153,$AV$2:$BA$84,3,FALSE),0)</f>
        <v/>
      </c>
      <c r="NN153" s="155">
        <f>IFERROR(VLOOKUP($MW153,$AV$2:$BA$84,3,FALSE),0)</f>
        <v/>
      </c>
      <c r="NO153" s="155">
        <f>IFERROR(VLOOKUP($MX153,$AV$2:$BA$84,3,FALSE),0)</f>
        <v/>
      </c>
      <c r="NP153" s="155">
        <f>IFERROR(VLOOKUP($MY153,$AV$2:$BA$84,3,FALSE),0)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IFERROR(VLOOKUP($MV153,$AV$2:$BA$84,4,FALSE),0)+IFERROR(VLOOKUP($MW153,$AV$2:$BA$84,4,FALSE),0)+IFERROR(VLOOKUP($MX153,$AV$2:$BA$84,4,FALSE),0)+IFERROR(VLOOKUP($MY153,$AV$2:$BA$84,4,FALSE),0)</f>
        <v/>
      </c>
      <c r="OB153" s="155">
        <f>IFERROR(VLOOKUP($MV153,$AV$2:$BA$84,6,FALSE),0)+IFERROR(VLOOKUP($MW153,$AV$2:$BA$84,6,FALSE),0)+IFERROR(VLOOKUP($MX153,$AV$2:$BA$84,6,FALSE),0)+IFERROR(VLOOKUP($MY153,$AV$2:$BA$84,6,FALSE),0)</f>
        <v/>
      </c>
      <c r="OC153" s="155">
        <f>TEXTJOIN(", ",TRUE,IF(IFERROR(VLOOKUP($MV153,$AV$2:$BA$84,5,FALSE),0)=1,$MV153,""),IF(IFERROR(VLOOKUP($MW153,$AV$2:$BA$84,5,FALSE),0)=1,$MW153,""),IF(IFERROR(VLOOKUP($MX153,$AV$2:$BA$84,5,FALSE),0)=1,$MX153,""),IF(IFERROR(VLOOKUP($MY153,$AV$2:$BA$84,5,FALSE),0)=1,$MY153,""))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f>
        <v/>
      </c>
      <c r="OY153" s="155">
        <f>$OW153-$OX153</f>
        <v/>
      </c>
      <c r="OZ153" s="155">
        <f>IF($MQ153=0,0,INDEX($P$2:$P$8,MAX(1,$MQ153)))</f>
        <v/>
      </c>
      <c r="PA153" s="155">
        <f>$OZ153-$OU153+$OX153</f>
        <v/>
      </c>
      <c r="PB153" s="155">
        <f>IF($MQ153=0,MAX(0,$NE153-IF($OS153&gt;0,1,0)),MAX(0,$PA153))</f>
        <v/>
      </c>
      <c r="PC153" s="155">
        <f>IF($MQ153=0,0,(IF(COUNTIF($MV153:$MY153,"Salto")&gt;0,1,0)+IF(COUNTIF($MV153:$MY153,"Queima")&gt;0,1,0)+IF(COUNTIF($MV153:$MY153,"Estilhaço")&gt;0,1,0))*FLOOR($PB153/2,1))</f>
        <v/>
      </c>
      <c r="PD153" s="155">
        <f>MAX(0,2-SUMPRODUCT($OK153:$OP153,$I$2:$N$2)+MIN(2,$OQ153*1+$OR153*1,SUMPRODUCT($OK153:$OP153,$I$2:$N$2)))</f>
        <v/>
      </c>
      <c r="PE153" s="155">
        <f>MAX(0,4-SUMPRODUCT($OK153:$OP153,$I$3:$N$3)+MIN(4,$OQ153*1+$OR153*2,SUMPRODUCT($OK153:$OP153,$I$3:$N$3)))</f>
        <v/>
      </c>
      <c r="PF153" s="155">
        <f>MAX(0,6-SUMPRODUCT($OK153:$OP153,$I$4:$N$4)+MIN(6,$OQ153*2+$OR153*3,SUMPRODUCT($OK153:$OP153,$I$4:$N$4)))</f>
        <v/>
      </c>
      <c r="PG153" s="155">
        <f>MAX(0,9-SUMPRODUCT($OK153:$OP153,$I$5:$N$5)+MIN(8,$OQ153*2+$OR153*4,SUMPRODUCT($OK153:$OP153,$I$5:$N$5)))</f>
        <v/>
      </c>
      <c r="PH153" s="155">
        <f>MAX(0,11-SUMPRODUCT($OK153:$OP153,$I$6:$N$6)+MIN(10,$OQ153*3+$OR153*5,SUMPRODUCT($OK153:$OP153,$I$6:$N$6)))</f>
        <v/>
      </c>
      <c r="PI153" s="155">
        <f>MAX(0,13-SUMPRODUCT($OK153:$OP153,$I$7:$N$7)+MIN(12,$OQ153*3+$OR153*6,SUMPRODUCT($OK153:$OP153,$I$7:$N$7)))</f>
        <v/>
      </c>
      <c r="PJ153" s="155">
        <f>MAX(0,16-SUMPRODUCT($OK153:$OP153,$I$8:$N$8)+MIN(14,$OQ153*4+$OR153*7,SUMPRODUCT($OK153:$OP153,$I$8:$N$8)))</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peça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IFERROR(VLOOKUP($MV154,$AV$2:$BA$84,2,FALSE),"")</f>
        <v/>
      </c>
      <c r="NJ154" s="155">
        <f>IFERROR(VLOOKUP($MW154,$AV$2:$BA$84,2,FALSE),"")</f>
        <v/>
      </c>
      <c r="NK154" s="155">
        <f>IFERROR(VLOOKUP($MX154,$AV$2:$BA$84,2,FALSE),"")</f>
        <v/>
      </c>
      <c r="NL154" s="155">
        <f>IFERROR(VLOOKUP($MY154,$AV$2:$BA$84,2,FALSE),"")</f>
        <v/>
      </c>
      <c r="NM154" s="155">
        <f>IFERROR(VLOOKUP($MV154,$AV$2:$BA$84,3,FALSE),0)</f>
        <v/>
      </c>
      <c r="NN154" s="155">
        <f>IFERROR(VLOOKUP($MW154,$AV$2:$BA$84,3,FALSE),0)</f>
        <v/>
      </c>
      <c r="NO154" s="155">
        <f>IFERROR(VLOOKUP($MX154,$AV$2:$BA$84,3,FALSE),0)</f>
        <v/>
      </c>
      <c r="NP154" s="155">
        <f>IFERROR(VLOOKUP($MY154,$AV$2:$BA$84,3,FALSE),0)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IFERROR(VLOOKUP($MV154,$AV$2:$BA$84,4,FALSE),0)+IFERROR(VLOOKUP($MW154,$AV$2:$BA$84,4,FALSE),0)+IFERROR(VLOOKUP($MX154,$AV$2:$BA$84,4,FALSE),0)+IFERROR(VLOOKUP($MY154,$AV$2:$BA$84,4,FALSE),0)</f>
        <v/>
      </c>
      <c r="OB154" s="155">
        <f>IFERROR(VLOOKUP($MV154,$AV$2:$BA$84,6,FALSE),0)+IFERROR(VLOOKUP($MW154,$AV$2:$BA$84,6,FALSE),0)+IFERROR(VLOOKUP($MX154,$AV$2:$BA$84,6,FALSE),0)+IFERROR(VLOOKUP($MY154,$AV$2:$BA$84,6,FALSE),0)</f>
        <v/>
      </c>
      <c r="OC154" s="155">
        <f>TEXTJOIN(", ",TRUE,IF(IFERROR(VLOOKUP($MV154,$AV$2:$BA$84,5,FALSE),0)=1,$MV154,""),IF(IFERROR(VLOOKUP($MW154,$AV$2:$BA$84,5,FALSE),0)=1,$MW154,""),IF(IFERROR(VLOOKUP($MX154,$AV$2:$BA$84,5,FALSE),0)=1,$MX154,""),IF(IFERROR(VLOOKUP($MY154,$AV$2:$BA$84,5,FALSE),0)=1,$MY154,""))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f>
        <v/>
      </c>
      <c r="OY154" s="155">
        <f>$OW154-$OX154</f>
        <v/>
      </c>
      <c r="OZ154" s="155">
        <f>IF($MQ154=0,0,INDEX($P$2:$P$8,MAX(1,$MQ154)))</f>
        <v/>
      </c>
      <c r="PA154" s="155">
        <f>$OZ154-$OU154+$OX154</f>
        <v/>
      </c>
      <c r="PB154" s="155">
        <f>IF($MQ154=0,MAX(0,$NE154-IF($OS154&gt;0,1,0)),MAX(0,$PA154))</f>
        <v/>
      </c>
      <c r="PC154" s="155">
        <f>IF($MQ154=0,0,(IF(COUNTIF($MV154:$MY154,"Salto")&gt;0,1,0)+IF(COUNTIF($MV154:$MY154,"Queima")&gt;0,1,0)+IF(COUNTIF($MV154:$MY154,"Estilhaço")&gt;0,1,0))*FLOOR($PB154/2,1))</f>
        <v/>
      </c>
      <c r="PD154" s="155">
        <f>MAX(0,2-SUMPRODUCT($OK154:$OP154,$I$2:$N$2)+MIN(2,$OQ154*1+$OR154*1,SUMPRODUCT($OK154:$OP154,$I$2:$N$2)))</f>
        <v/>
      </c>
      <c r="PE154" s="155">
        <f>MAX(0,4-SUMPRODUCT($OK154:$OP154,$I$3:$N$3)+MIN(4,$OQ154*1+$OR154*2,SUMPRODUCT($OK154:$OP154,$I$3:$N$3)))</f>
        <v/>
      </c>
      <c r="PF154" s="155">
        <f>MAX(0,6-SUMPRODUCT($OK154:$OP154,$I$4:$N$4)+MIN(6,$OQ154*2+$OR154*3,SUMPRODUCT($OK154:$OP154,$I$4:$N$4)))</f>
        <v/>
      </c>
      <c r="PG154" s="155">
        <f>MAX(0,9-SUMPRODUCT($OK154:$OP154,$I$5:$N$5)+MIN(8,$OQ154*2+$OR154*4,SUMPRODUCT($OK154:$OP154,$I$5:$N$5)))</f>
        <v/>
      </c>
      <c r="PH154" s="155">
        <f>MAX(0,11-SUMPRODUCT($OK154:$OP154,$I$6:$N$6)+MIN(10,$OQ154*3+$OR154*5,SUMPRODUCT($OK154:$OP154,$I$6:$N$6)))</f>
        <v/>
      </c>
      <c r="PI154" s="155">
        <f>MAX(0,13-SUMPRODUCT($OK154:$OP154,$I$7:$N$7)+MIN(12,$OQ154*3+$OR154*6,SUMPRODUCT($OK154:$OP154,$I$7:$N$7)))</f>
        <v/>
      </c>
      <c r="PJ154" s="155">
        <f>MAX(0,16-SUMPRODUCT($OK154:$OP154,$I$8:$N$8)+MIN(14,$OQ154*4+$OR154*7,SUMPRODUCT($OK154:$OP154,$I$8:$N$8)))</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peça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IFERROR(VLOOKUP($MV155,$AV$2:$BA$84,2,FALSE),"")</f>
        <v/>
      </c>
      <c r="NJ155" s="155">
        <f>IFERROR(VLOOKUP($MW155,$AV$2:$BA$84,2,FALSE),"")</f>
        <v/>
      </c>
      <c r="NK155" s="155">
        <f>IFERROR(VLOOKUP($MX155,$AV$2:$BA$84,2,FALSE),"")</f>
        <v/>
      </c>
      <c r="NL155" s="155">
        <f>IFERROR(VLOOKUP($MY155,$AV$2:$BA$84,2,FALSE),"")</f>
        <v/>
      </c>
      <c r="NM155" s="155">
        <f>IFERROR(VLOOKUP($MV155,$AV$2:$BA$84,3,FALSE),0)</f>
        <v/>
      </c>
      <c r="NN155" s="155">
        <f>IFERROR(VLOOKUP($MW155,$AV$2:$BA$84,3,FALSE),0)</f>
        <v/>
      </c>
      <c r="NO155" s="155">
        <f>IFERROR(VLOOKUP($MX155,$AV$2:$BA$84,3,FALSE),0)</f>
        <v/>
      </c>
      <c r="NP155" s="155">
        <f>IFERROR(VLOOKUP($MY155,$AV$2:$BA$84,3,FALSE),0)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IFERROR(VLOOKUP($MV155,$AV$2:$BA$84,4,FALSE),0)+IFERROR(VLOOKUP($MW155,$AV$2:$BA$84,4,FALSE),0)+IFERROR(VLOOKUP($MX155,$AV$2:$BA$84,4,FALSE),0)+IFERROR(VLOOKUP($MY155,$AV$2:$BA$84,4,FALSE),0)</f>
        <v/>
      </c>
      <c r="OB155" s="155">
        <f>IFERROR(VLOOKUP($MV155,$AV$2:$BA$84,6,FALSE),0)+IFERROR(VLOOKUP($MW155,$AV$2:$BA$84,6,FALSE),0)+IFERROR(VLOOKUP($MX155,$AV$2:$BA$84,6,FALSE),0)+IFERROR(VLOOKUP($MY155,$AV$2:$BA$84,6,FALSE),0)</f>
        <v/>
      </c>
      <c r="OC155" s="155">
        <f>TEXTJOIN(", ",TRUE,IF(IFERROR(VLOOKUP($MV155,$AV$2:$BA$84,5,FALSE),0)=1,$MV155,""),IF(IFERROR(VLOOKUP($MW155,$AV$2:$BA$84,5,FALSE),0)=1,$MW155,""),IF(IFERROR(VLOOKUP($MX155,$AV$2:$BA$84,5,FALSE),0)=1,$MX155,""),IF(IFERROR(VLOOKUP($MY155,$AV$2:$BA$84,5,FALSE),0)=1,$MY155,""))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f>
        <v/>
      </c>
      <c r="OY155" s="155">
        <f>$OW155-$OX155</f>
        <v/>
      </c>
      <c r="OZ155" s="155">
        <f>IF($MQ155=0,0,INDEX($P$2:$P$8,MAX(1,$MQ155)))</f>
        <v/>
      </c>
      <c r="PA155" s="155">
        <f>$OZ155-$OU155+$OX155</f>
        <v/>
      </c>
      <c r="PB155" s="155">
        <f>IF($MQ155=0,MAX(0,$NE155-IF($OS155&gt;0,1,0)),MAX(0,$PA155))</f>
        <v/>
      </c>
      <c r="PC155" s="155">
        <f>IF($MQ155=0,0,(IF(COUNTIF($MV155:$MY155,"Salto")&gt;0,1,0)+IF(COUNTIF($MV155:$MY155,"Queima")&gt;0,1,0)+IF(COUNTIF($MV155:$MY155,"Estilhaço")&gt;0,1,0))*FLOOR($PB155/2,1))</f>
        <v/>
      </c>
      <c r="PD155" s="155">
        <f>MAX(0,2-SUMPRODUCT($OK155:$OP155,$I$2:$N$2)+MIN(2,$OQ155*1+$OR155*1,SUMPRODUCT($OK155:$OP155,$I$2:$N$2)))</f>
        <v/>
      </c>
      <c r="PE155" s="155">
        <f>MAX(0,4-SUMPRODUCT($OK155:$OP155,$I$3:$N$3)+MIN(4,$OQ155*1+$OR155*2,SUMPRODUCT($OK155:$OP155,$I$3:$N$3)))</f>
        <v/>
      </c>
      <c r="PF155" s="155">
        <f>MAX(0,6-SUMPRODUCT($OK155:$OP155,$I$4:$N$4)+MIN(6,$OQ155*2+$OR155*3,SUMPRODUCT($OK155:$OP155,$I$4:$N$4)))</f>
        <v/>
      </c>
      <c r="PG155" s="155">
        <f>MAX(0,9-SUMPRODUCT($OK155:$OP155,$I$5:$N$5)+MIN(8,$OQ155*2+$OR155*4,SUMPRODUCT($OK155:$OP155,$I$5:$N$5)))</f>
        <v/>
      </c>
      <c r="PH155" s="155">
        <f>MAX(0,11-SUMPRODUCT($OK155:$OP155,$I$6:$N$6)+MIN(10,$OQ155*3+$OR155*5,SUMPRODUCT($OK155:$OP155,$I$6:$N$6)))</f>
        <v/>
      </c>
      <c r="PI155" s="155">
        <f>MAX(0,13-SUMPRODUCT($OK155:$OP155,$I$7:$N$7)+MIN(12,$OQ155*3+$OR155*6,SUMPRODUCT($OK155:$OP155,$I$7:$N$7)))</f>
        <v/>
      </c>
      <c r="PJ155" s="155">
        <f>MAX(0,16-SUMPRODUCT($OK155:$OP155,$I$8:$N$8)+MIN(14,$OQ155*4+$OR155*7,SUMPRODUCT($OK155:$OP155,$I$8:$N$8)))</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peça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IFERROR(VLOOKUP($MV156,$AV$2:$BA$84,2,FALSE),"")</f>
        <v/>
      </c>
      <c r="NJ156" s="155">
        <f>IFERROR(VLOOKUP($MW156,$AV$2:$BA$84,2,FALSE),"")</f>
        <v/>
      </c>
      <c r="NK156" s="155">
        <f>IFERROR(VLOOKUP($MX156,$AV$2:$BA$84,2,FALSE),"")</f>
        <v/>
      </c>
      <c r="NL156" s="155">
        <f>IFERROR(VLOOKUP($MY156,$AV$2:$BA$84,2,FALSE),"")</f>
        <v/>
      </c>
      <c r="NM156" s="155">
        <f>IFERROR(VLOOKUP($MV156,$AV$2:$BA$84,3,FALSE),0)</f>
        <v/>
      </c>
      <c r="NN156" s="155">
        <f>IFERROR(VLOOKUP($MW156,$AV$2:$BA$84,3,FALSE),0)</f>
        <v/>
      </c>
      <c r="NO156" s="155">
        <f>IFERROR(VLOOKUP($MX156,$AV$2:$BA$84,3,FALSE),0)</f>
        <v/>
      </c>
      <c r="NP156" s="155">
        <f>IFERROR(VLOOKUP($MY156,$AV$2:$BA$84,3,FALSE),0)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IFERROR(VLOOKUP($MV156,$AV$2:$BA$84,4,FALSE),0)+IFERROR(VLOOKUP($MW156,$AV$2:$BA$84,4,FALSE),0)+IFERROR(VLOOKUP($MX156,$AV$2:$BA$84,4,FALSE),0)+IFERROR(VLOOKUP($MY156,$AV$2:$BA$84,4,FALSE),0)</f>
        <v/>
      </c>
      <c r="OB156" s="155">
        <f>IFERROR(VLOOKUP($MV156,$AV$2:$BA$84,6,FALSE),0)+IFERROR(VLOOKUP($MW156,$AV$2:$BA$84,6,FALSE),0)+IFERROR(VLOOKUP($MX156,$AV$2:$BA$84,6,FALSE),0)+IFERROR(VLOOKUP($MY156,$AV$2:$BA$84,6,FALSE),0)</f>
        <v/>
      </c>
      <c r="OC156" s="155">
        <f>TEXTJOIN(", ",TRUE,IF(IFERROR(VLOOKUP($MV156,$AV$2:$BA$84,5,FALSE),0)=1,$MV156,""),IF(IFERROR(VLOOKUP($MW156,$AV$2:$BA$84,5,FALSE),0)=1,$MW156,""),IF(IFERROR(VLOOKUP($MX156,$AV$2:$BA$84,5,FALSE),0)=1,$MX156,""),IF(IFERROR(VLOOKUP($MY156,$AV$2:$BA$84,5,FALSE),0)=1,$MY156,""))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f>
        <v/>
      </c>
      <c r="OY156" s="155">
        <f>$OW156-$OX156</f>
        <v/>
      </c>
      <c r="OZ156" s="155">
        <f>IF($MQ156=0,0,INDEX($P$2:$P$8,MAX(1,$MQ156)))</f>
        <v/>
      </c>
      <c r="PA156" s="155">
        <f>$OZ156-$OU156+$OX156</f>
        <v/>
      </c>
      <c r="PB156" s="155">
        <f>IF($MQ156=0,MAX(0,$NE156-IF($OS156&gt;0,1,0)),MAX(0,$PA156))</f>
        <v/>
      </c>
      <c r="PC156" s="155">
        <f>IF($MQ156=0,0,(IF(COUNTIF($MV156:$MY156,"Salto")&gt;0,1,0)+IF(COUNTIF($MV156:$MY156,"Queima")&gt;0,1,0)+IF(COUNTIF($MV156:$MY156,"Estilhaço")&gt;0,1,0))*FLOOR($PB156/2,1))</f>
        <v/>
      </c>
      <c r="PD156" s="155">
        <f>MAX(0,2-SUMPRODUCT($OK156:$OP156,$I$2:$N$2)+MIN(2,$OQ156*1+$OR156*1,SUMPRODUCT($OK156:$OP156,$I$2:$N$2)))</f>
        <v/>
      </c>
      <c r="PE156" s="155">
        <f>MAX(0,4-SUMPRODUCT($OK156:$OP156,$I$3:$N$3)+MIN(4,$OQ156*1+$OR156*2,SUMPRODUCT($OK156:$OP156,$I$3:$N$3)))</f>
        <v/>
      </c>
      <c r="PF156" s="155">
        <f>MAX(0,6-SUMPRODUCT($OK156:$OP156,$I$4:$N$4)+MIN(6,$OQ156*2+$OR156*3,SUMPRODUCT($OK156:$OP156,$I$4:$N$4)))</f>
        <v/>
      </c>
      <c r="PG156" s="155">
        <f>MAX(0,9-SUMPRODUCT($OK156:$OP156,$I$5:$N$5)+MIN(8,$OQ156*2+$OR156*4,SUMPRODUCT($OK156:$OP156,$I$5:$N$5)))</f>
        <v/>
      </c>
      <c r="PH156" s="155">
        <f>MAX(0,11-SUMPRODUCT($OK156:$OP156,$I$6:$N$6)+MIN(10,$OQ156*3+$OR156*5,SUMPRODUCT($OK156:$OP156,$I$6:$N$6)))</f>
        <v/>
      </c>
      <c r="PI156" s="155">
        <f>MAX(0,13-SUMPRODUCT($OK156:$OP156,$I$7:$N$7)+MIN(12,$OQ156*3+$OR156*6,SUMPRODUCT($OK156:$OP156,$I$7:$N$7)))</f>
        <v/>
      </c>
      <c r="PJ156" s="155">
        <f>MAX(0,16-SUMPRODUCT($OK156:$OP156,$I$8:$N$8)+MIN(14,$OQ156*4+$OR156*7,SUMPRODUCT($OK156:$OP156,$I$8:$N$8)))</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peça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IFERROR(VLOOKUP($MV157,$AV$2:$BA$84,2,FALSE),"")</f>
        <v/>
      </c>
      <c r="NJ157" s="155">
        <f>IFERROR(VLOOKUP($MW157,$AV$2:$BA$84,2,FALSE),"")</f>
        <v/>
      </c>
      <c r="NK157" s="155">
        <f>IFERROR(VLOOKUP($MX157,$AV$2:$BA$84,2,FALSE),"")</f>
        <v/>
      </c>
      <c r="NL157" s="155">
        <f>IFERROR(VLOOKUP($MY157,$AV$2:$BA$84,2,FALSE),"")</f>
        <v/>
      </c>
      <c r="NM157" s="155">
        <f>IFERROR(VLOOKUP($MV157,$AV$2:$BA$84,3,FALSE),0)</f>
        <v/>
      </c>
      <c r="NN157" s="155">
        <f>IFERROR(VLOOKUP($MW157,$AV$2:$BA$84,3,FALSE),0)</f>
        <v/>
      </c>
      <c r="NO157" s="155">
        <f>IFERROR(VLOOKUP($MX157,$AV$2:$BA$84,3,FALSE),0)</f>
        <v/>
      </c>
      <c r="NP157" s="155">
        <f>IFERROR(VLOOKUP($MY157,$AV$2:$BA$84,3,FALSE),0)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IFERROR(VLOOKUP($MV157,$AV$2:$BA$84,4,FALSE),0)+IFERROR(VLOOKUP($MW157,$AV$2:$BA$84,4,FALSE),0)+IFERROR(VLOOKUP($MX157,$AV$2:$BA$84,4,FALSE),0)+IFERROR(VLOOKUP($MY157,$AV$2:$BA$84,4,FALSE),0)</f>
        <v/>
      </c>
      <c r="OB157" s="155">
        <f>IFERROR(VLOOKUP($MV157,$AV$2:$BA$84,6,FALSE),0)+IFERROR(VLOOKUP($MW157,$AV$2:$BA$84,6,FALSE),0)+IFERROR(VLOOKUP($MX157,$AV$2:$BA$84,6,FALSE),0)+IFERROR(VLOOKUP($MY157,$AV$2:$BA$84,6,FALSE),0)</f>
        <v/>
      </c>
      <c r="OC157" s="155">
        <f>TEXTJOIN(", ",TRUE,IF(IFERROR(VLOOKUP($MV157,$AV$2:$BA$84,5,FALSE),0)=1,$MV157,""),IF(IFERROR(VLOOKUP($MW157,$AV$2:$BA$84,5,FALSE),0)=1,$MW157,""),IF(IFERROR(VLOOKUP($MX157,$AV$2:$BA$84,5,FALSE),0)=1,$MX157,""),IF(IFERROR(VLOOKUP($MY157,$AV$2:$BA$84,5,FALSE),0)=1,$MY157,""))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f>
        <v/>
      </c>
      <c r="OY157" s="155">
        <f>$OW157-$OX157</f>
        <v/>
      </c>
      <c r="OZ157" s="155">
        <f>IF($MQ157=0,0,INDEX($P$2:$P$8,MAX(1,$MQ157)))</f>
        <v/>
      </c>
      <c r="PA157" s="155">
        <f>$OZ157-$OU157+$OX157</f>
        <v/>
      </c>
      <c r="PB157" s="155">
        <f>IF($MQ157=0,MAX(0,$NE157-IF($OS157&gt;0,1,0)),MAX(0,$PA157))</f>
        <v/>
      </c>
      <c r="PC157" s="155">
        <f>IF($MQ157=0,0,(IF(COUNTIF($MV157:$MY157,"Salto")&gt;0,1,0)+IF(COUNTIF($MV157:$MY157,"Queima")&gt;0,1,0)+IF(COUNTIF($MV157:$MY157,"Estilhaço")&gt;0,1,0))*FLOOR($PB157/2,1))</f>
        <v/>
      </c>
      <c r="PD157" s="155">
        <f>MAX(0,2-SUMPRODUCT($OK157:$OP157,$I$2:$N$2)+MIN(2,$OQ157*1+$OR157*1,SUMPRODUCT($OK157:$OP157,$I$2:$N$2)))</f>
        <v/>
      </c>
      <c r="PE157" s="155">
        <f>MAX(0,4-SUMPRODUCT($OK157:$OP157,$I$3:$N$3)+MIN(4,$OQ157*1+$OR157*2,SUMPRODUCT($OK157:$OP157,$I$3:$N$3)))</f>
        <v/>
      </c>
      <c r="PF157" s="155">
        <f>MAX(0,6-SUMPRODUCT($OK157:$OP157,$I$4:$N$4)+MIN(6,$OQ157*2+$OR157*3,SUMPRODUCT($OK157:$OP157,$I$4:$N$4)))</f>
        <v/>
      </c>
      <c r="PG157" s="155">
        <f>MAX(0,9-SUMPRODUCT($OK157:$OP157,$I$5:$N$5)+MIN(8,$OQ157*2+$OR157*4,SUMPRODUCT($OK157:$OP157,$I$5:$N$5)))</f>
        <v/>
      </c>
      <c r="PH157" s="155">
        <f>MAX(0,11-SUMPRODUCT($OK157:$OP157,$I$6:$N$6)+MIN(10,$OQ157*3+$OR157*5,SUMPRODUCT($OK157:$OP157,$I$6:$N$6)))</f>
        <v/>
      </c>
      <c r="PI157" s="155">
        <f>MAX(0,13-SUMPRODUCT($OK157:$OP157,$I$7:$N$7)+MIN(12,$OQ157*3+$OR157*6,SUMPRODUCT($OK157:$OP157,$I$7:$N$7)))</f>
        <v/>
      </c>
      <c r="PJ157" s="155">
        <f>MAX(0,16-SUMPRODUCT($OK157:$OP157,$I$8:$N$8)+MIN(14,$OQ157*4+$OR157*7,SUMPRODUCT($OK157:$OP157,$I$8:$N$8)))</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peça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2"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2"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2"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2"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2"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2"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2"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2"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2"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2"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2"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2"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2"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2"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2"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2"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2"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2"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2"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2"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2"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2"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2"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2026-10-09T12:10:14Z</dcterms:created>
  <dcterms:modified xmlns:dcterms="http://purl.org/dc/terms/" xmlns:xsi="http://www.w3.org/2001/XMLSchema-instance" xsi:type="dcterms:W3CDTF">2026-10-09T12:10:50Z</dcterms:modified>
</cp:coreProperties>
</file>